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202300"/>
  <mc:AlternateContent xmlns:mc="http://schemas.openxmlformats.org/markup-compatibility/2006">
    <mc:Choice Requires="x15">
      <x15ac:absPath xmlns:x15ac="http://schemas.microsoft.com/office/spreadsheetml/2010/11/ac" url="/Users/suepie/Develop/10_project/aws-atuh-poc/doc/excel/"/>
    </mc:Choice>
  </mc:AlternateContent>
  <xr:revisionPtr revIDLastSave="0" documentId="13_ncr:1_{CE64DEF9-64C7-0845-9420-26FD0A671227}" xr6:coauthVersionLast="47" xr6:coauthVersionMax="47" xr10:uidLastSave="{00000000-0000-0000-0000-000000000000}"/>
  <bookViews>
    <workbookView xWindow="0" yWindow="780" windowWidth="34200" windowHeight="21460" activeTab="9" xr2:uid="{B021B529-7D79-6D49-8055-5FE1DF3A55F9}"/>
  </bookViews>
  <sheets>
    <sheet name="コスト見積もり" sheetId="12" r:id="rId1"/>
    <sheet name="設計決定一覧" sheetId="3" r:id="rId2"/>
    <sheet name="ADR一覧" sheetId="6" r:id="rId3"/>
    <sheet name="要件マッピング" sheetId="36" r:id="rId4"/>
    <sheet name="WBS(基本設計)" sheetId="9" r:id="rId5"/>
    <sheet name="WBS(詳細設計_製造)" sheetId="8" r:id="rId6"/>
    <sheet name="WBS(テスト)" sheetId="10" r:id="rId7"/>
    <sheet name="運用（定常）" sheetId="34" r:id="rId8"/>
    <sheet name="機能グループ一覧" sheetId="31" r:id="rId9"/>
    <sheet name="機能名一覧" sheetId="32" r:id="rId10"/>
    <sheet name="サマリ(工程別)" sheetId="33" r:id="rId11"/>
  </sheets>
  <definedNames>
    <definedName name="_xlnm._FilterDatabase" localSheetId="2" hidden="1">ADR一覧!$A$5:$E$72</definedName>
    <definedName name="_xlnm._FilterDatabase" localSheetId="6" hidden="1">'WBS(テスト)'!$A$5:$N$60</definedName>
    <definedName name="_xlnm._FilterDatabase" localSheetId="4" hidden="1">'WBS(基本設計)'!$A$6:$S$116</definedName>
    <definedName name="_xlnm._FilterDatabase" localSheetId="5" hidden="1">'WBS(詳細設計_製造)'!$A$5:$I$186</definedName>
    <definedName name="_xlnm._FilterDatabase" localSheetId="0" hidden="1">コスト見積もり!$A$24:$M$59</definedName>
    <definedName name="_xlnm._FilterDatabase" localSheetId="10" hidden="1">'サマリ(工程別)'!$A$1:$H$84</definedName>
    <definedName name="_xlnm._FilterDatabase" localSheetId="9" hidden="1">機能名一覧!$A$1:$J$140</definedName>
    <definedName name="_xlnm._FilterDatabase" localSheetId="1" hidden="1">設計決定一覧!$A$4:$E$189</definedName>
    <definedName name="_xlnm._FilterDatabase" localSheetId="3" hidden="1">要件マッピング!$A$1:$O$210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86" i="33" l="1"/>
  <c r="D86" i="33"/>
  <c r="E86" i="33"/>
  <c r="F86" i="33"/>
  <c r="G86" i="33"/>
  <c r="H86" i="33"/>
  <c r="H84" i="33"/>
  <c r="F84" i="33"/>
  <c r="E84" i="33"/>
  <c r="D84" i="33"/>
  <c r="C84" i="33"/>
  <c r="G84" i="33" s="1"/>
  <c r="H83" i="33"/>
  <c r="F83" i="33"/>
  <c r="E83" i="33"/>
  <c r="D83" i="33"/>
  <c r="C83" i="33"/>
  <c r="G83" i="33" s="1"/>
  <c r="H82" i="33"/>
  <c r="F82" i="33"/>
  <c r="E82" i="33"/>
  <c r="D82" i="33"/>
  <c r="C82" i="33"/>
  <c r="G82" i="33" s="1"/>
  <c r="H81" i="33"/>
  <c r="F81" i="33"/>
  <c r="E81" i="33"/>
  <c r="D81" i="33"/>
  <c r="C81" i="33"/>
  <c r="G81" i="33" s="1"/>
  <c r="H80" i="33"/>
  <c r="F80" i="33"/>
  <c r="E80" i="33"/>
  <c r="D80" i="33"/>
  <c r="C80" i="33"/>
  <c r="G80" i="33" s="1"/>
  <c r="H79" i="33"/>
  <c r="F79" i="33"/>
  <c r="E79" i="33"/>
  <c r="D79" i="33"/>
  <c r="C79" i="33"/>
  <c r="G79" i="33" s="1"/>
  <c r="H78" i="33"/>
  <c r="F78" i="33"/>
  <c r="E78" i="33"/>
  <c r="D78" i="33"/>
  <c r="C78" i="33"/>
  <c r="G78" i="33" s="1"/>
  <c r="H77" i="33"/>
  <c r="G77" i="33"/>
  <c r="F77" i="33"/>
  <c r="E77" i="33"/>
  <c r="D77" i="33"/>
  <c r="C77" i="33"/>
  <c r="H76" i="33"/>
  <c r="G76" i="33"/>
  <c r="F76" i="33"/>
  <c r="E76" i="33"/>
  <c r="D76" i="33"/>
  <c r="C76" i="33"/>
  <c r="H75" i="33"/>
  <c r="F75" i="33"/>
  <c r="E75" i="33"/>
  <c r="D75" i="33"/>
  <c r="C75" i="33"/>
  <c r="G75" i="33" s="1"/>
  <c r="H74" i="33"/>
  <c r="F74" i="33"/>
  <c r="E74" i="33"/>
  <c r="D74" i="33"/>
  <c r="C74" i="33"/>
  <c r="G74" i="33" s="1"/>
  <c r="H73" i="33"/>
  <c r="F73" i="33"/>
  <c r="E73" i="33"/>
  <c r="D73" i="33"/>
  <c r="C73" i="33"/>
  <c r="G73" i="33" s="1"/>
  <c r="H72" i="33"/>
  <c r="G72" i="33"/>
  <c r="F72" i="33"/>
  <c r="E72" i="33"/>
  <c r="D72" i="33"/>
  <c r="C72" i="33"/>
  <c r="H71" i="33"/>
  <c r="F71" i="33"/>
  <c r="E71" i="33"/>
  <c r="D71" i="33"/>
  <c r="C71" i="33"/>
  <c r="G71" i="33" s="1"/>
  <c r="H70" i="33"/>
  <c r="F70" i="33"/>
  <c r="E70" i="33"/>
  <c r="D70" i="33"/>
  <c r="C70" i="33"/>
  <c r="G70" i="33" s="1"/>
  <c r="H69" i="33"/>
  <c r="F69" i="33"/>
  <c r="E69" i="33"/>
  <c r="D69" i="33"/>
  <c r="C69" i="33"/>
  <c r="G69" i="33" s="1"/>
  <c r="H68" i="33"/>
  <c r="G68" i="33"/>
  <c r="F68" i="33"/>
  <c r="E68" i="33"/>
  <c r="D68" i="33"/>
  <c r="C68" i="33"/>
  <c r="H67" i="33"/>
  <c r="F67" i="33"/>
  <c r="E67" i="33"/>
  <c r="D67" i="33"/>
  <c r="C67" i="33"/>
  <c r="G67" i="33" s="1"/>
  <c r="H66" i="33"/>
  <c r="F66" i="33"/>
  <c r="E66" i="33"/>
  <c r="D66" i="33"/>
  <c r="C66" i="33"/>
  <c r="G66" i="33" s="1"/>
  <c r="H65" i="33"/>
  <c r="F65" i="33"/>
  <c r="E65" i="33"/>
  <c r="G65" i="33" s="1"/>
  <c r="D65" i="33"/>
  <c r="C65" i="33"/>
  <c r="H64" i="33"/>
  <c r="F64" i="33"/>
  <c r="E64" i="33"/>
  <c r="D64" i="33"/>
  <c r="C64" i="33"/>
  <c r="G64" i="33" s="1"/>
  <c r="H63" i="33"/>
  <c r="F63" i="33"/>
  <c r="E63" i="33"/>
  <c r="D63" i="33"/>
  <c r="C63" i="33"/>
  <c r="G63" i="33" s="1"/>
  <c r="H62" i="33"/>
  <c r="F62" i="33"/>
  <c r="E62" i="33"/>
  <c r="D62" i="33"/>
  <c r="C62" i="33"/>
  <c r="G62" i="33" s="1"/>
  <c r="H61" i="33"/>
  <c r="F61" i="33"/>
  <c r="E61" i="33"/>
  <c r="D61" i="33"/>
  <c r="G61" i="33" s="1"/>
  <c r="C61" i="33"/>
  <c r="H60" i="33"/>
  <c r="F60" i="33"/>
  <c r="E60" i="33"/>
  <c r="D60" i="33"/>
  <c r="C60" i="33"/>
  <c r="G60" i="33" s="1"/>
  <c r="H59" i="33"/>
  <c r="F59" i="33"/>
  <c r="E59" i="33"/>
  <c r="D59" i="33"/>
  <c r="C59" i="33"/>
  <c r="G59" i="33" s="1"/>
  <c r="H58" i="33"/>
  <c r="F58" i="33"/>
  <c r="E58" i="33"/>
  <c r="D58" i="33"/>
  <c r="C58" i="33"/>
  <c r="G58" i="33" s="1"/>
  <c r="H57" i="33"/>
  <c r="F57" i="33"/>
  <c r="G57" i="33" s="1"/>
  <c r="E57" i="33"/>
  <c r="D57" i="33"/>
  <c r="C57" i="33"/>
  <c r="H56" i="33"/>
  <c r="F56" i="33"/>
  <c r="E56" i="33"/>
  <c r="D56" i="33"/>
  <c r="G56" i="33" s="1"/>
  <c r="C56" i="33"/>
  <c r="H55" i="33"/>
  <c r="F55" i="33"/>
  <c r="E55" i="33"/>
  <c r="D55" i="33"/>
  <c r="C55" i="33"/>
  <c r="G55" i="33" s="1"/>
  <c r="H54" i="33"/>
  <c r="F54" i="33"/>
  <c r="E54" i="33"/>
  <c r="D54" i="33"/>
  <c r="C54" i="33"/>
  <c r="G54" i="33" s="1"/>
  <c r="H53" i="33"/>
  <c r="F53" i="33"/>
  <c r="G53" i="33" s="1"/>
  <c r="E53" i="33"/>
  <c r="D53" i="33"/>
  <c r="C53" i="33"/>
  <c r="H52" i="33"/>
  <c r="G52" i="33"/>
  <c r="F52" i="33"/>
  <c r="E52" i="33"/>
  <c r="D52" i="33"/>
  <c r="C52" i="33"/>
  <c r="H51" i="33"/>
  <c r="F51" i="33"/>
  <c r="E51" i="33"/>
  <c r="D51" i="33"/>
  <c r="C51" i="33"/>
  <c r="G51" i="33" s="1"/>
  <c r="H50" i="33"/>
  <c r="F50" i="33"/>
  <c r="E50" i="33"/>
  <c r="D50" i="33"/>
  <c r="C50" i="33"/>
  <c r="G50" i="33" s="1"/>
  <c r="H49" i="33"/>
  <c r="F49" i="33"/>
  <c r="E49" i="33"/>
  <c r="G49" i="33" s="1"/>
  <c r="D49" i="33"/>
  <c r="C49" i="33"/>
  <c r="H48" i="33"/>
  <c r="G48" i="33"/>
  <c r="F48" i="33"/>
  <c r="E48" i="33"/>
  <c r="D48" i="33"/>
  <c r="C48" i="33"/>
  <c r="H47" i="33"/>
  <c r="F47" i="33"/>
  <c r="E47" i="33"/>
  <c r="D47" i="33"/>
  <c r="C47" i="33"/>
  <c r="G47" i="33" s="1"/>
  <c r="H46" i="33"/>
  <c r="F46" i="33"/>
  <c r="E46" i="33"/>
  <c r="D46" i="33"/>
  <c r="C46" i="33"/>
  <c r="G46" i="33" s="1"/>
  <c r="H45" i="33"/>
  <c r="F45" i="33"/>
  <c r="E45" i="33"/>
  <c r="D45" i="33"/>
  <c r="G45" i="33" s="1"/>
  <c r="C45" i="33"/>
  <c r="H44" i="33"/>
  <c r="F44" i="33"/>
  <c r="E44" i="33"/>
  <c r="D44" i="33"/>
  <c r="C44" i="33"/>
  <c r="G44" i="33" s="1"/>
  <c r="H43" i="33"/>
  <c r="F43" i="33"/>
  <c r="E43" i="33"/>
  <c r="D43" i="33"/>
  <c r="C43" i="33"/>
  <c r="G43" i="33" s="1"/>
  <c r="H42" i="33"/>
  <c r="G42" i="33"/>
  <c r="F42" i="33"/>
  <c r="E42" i="33"/>
  <c r="D42" i="33"/>
  <c r="C42" i="33"/>
  <c r="H41" i="33"/>
  <c r="F41" i="33"/>
  <c r="E41" i="33"/>
  <c r="G41" i="33" s="1"/>
  <c r="D41" i="33"/>
  <c r="C41" i="33"/>
  <c r="H40" i="33"/>
  <c r="F40" i="33"/>
  <c r="E40" i="33"/>
  <c r="D40" i="33"/>
  <c r="C40" i="33"/>
  <c r="G40" i="33" s="1"/>
  <c r="H39" i="33"/>
  <c r="F39" i="33"/>
  <c r="E39" i="33"/>
  <c r="D39" i="33"/>
  <c r="C39" i="33"/>
  <c r="G39" i="33" s="1"/>
  <c r="H38" i="33"/>
  <c r="G38" i="33"/>
  <c r="F38" i="33"/>
  <c r="E38" i="33"/>
  <c r="D38" i="33"/>
  <c r="C38" i="33"/>
  <c r="H37" i="33"/>
  <c r="F37" i="33"/>
  <c r="E37" i="33"/>
  <c r="G37" i="33" s="1"/>
  <c r="D37" i="33"/>
  <c r="C37" i="33"/>
  <c r="H36" i="33"/>
  <c r="F36" i="33"/>
  <c r="E36" i="33"/>
  <c r="D36" i="33"/>
  <c r="C36" i="33"/>
  <c r="G36" i="33" s="1"/>
  <c r="H35" i="33"/>
  <c r="F35" i="33"/>
  <c r="E35" i="33"/>
  <c r="D35" i="33"/>
  <c r="C35" i="33"/>
  <c r="G35" i="33" s="1"/>
  <c r="H34" i="33"/>
  <c r="F34" i="33"/>
  <c r="E34" i="33"/>
  <c r="D34" i="33"/>
  <c r="G34" i="33" s="1"/>
  <c r="C34" i="33"/>
  <c r="H33" i="33"/>
  <c r="F33" i="33"/>
  <c r="E33" i="33"/>
  <c r="G33" i="33" s="1"/>
  <c r="D33" i="33"/>
  <c r="C33" i="33"/>
  <c r="H32" i="33"/>
  <c r="F32" i="33"/>
  <c r="E32" i="33"/>
  <c r="D32" i="33"/>
  <c r="C32" i="33"/>
  <c r="G32" i="33" s="1"/>
  <c r="H31" i="33"/>
  <c r="F31" i="33"/>
  <c r="E31" i="33"/>
  <c r="D31" i="33"/>
  <c r="C31" i="33"/>
  <c r="G31" i="33" s="1"/>
  <c r="H30" i="33"/>
  <c r="F30" i="33"/>
  <c r="E30" i="33"/>
  <c r="D30" i="33"/>
  <c r="G30" i="33" s="1"/>
  <c r="C30" i="33"/>
  <c r="H29" i="33"/>
  <c r="F29" i="33"/>
  <c r="E29" i="33"/>
  <c r="G29" i="33" s="1"/>
  <c r="D29" i="33"/>
  <c r="C29" i="33"/>
  <c r="H28" i="33"/>
  <c r="F28" i="33"/>
  <c r="E28" i="33"/>
  <c r="D28" i="33"/>
  <c r="C28" i="33"/>
  <c r="G28" i="33" s="1"/>
  <c r="H27" i="33"/>
  <c r="F27" i="33"/>
  <c r="E27" i="33"/>
  <c r="D27" i="33"/>
  <c r="C27" i="33"/>
  <c r="G27" i="33" s="1"/>
  <c r="H26" i="33"/>
  <c r="F26" i="33"/>
  <c r="E26" i="33"/>
  <c r="D26" i="33"/>
  <c r="G26" i="33" s="1"/>
  <c r="C26" i="33"/>
  <c r="H25" i="33"/>
  <c r="F25" i="33"/>
  <c r="G25" i="33" s="1"/>
  <c r="E25" i="33"/>
  <c r="D25" i="33"/>
  <c r="C25" i="33"/>
  <c r="H24" i="33"/>
  <c r="F24" i="33"/>
  <c r="E24" i="33"/>
  <c r="D24" i="33"/>
  <c r="C24" i="33"/>
  <c r="G24" i="33" s="1"/>
  <c r="H23" i="33"/>
  <c r="F23" i="33"/>
  <c r="E23" i="33"/>
  <c r="D23" i="33"/>
  <c r="C23" i="33"/>
  <c r="G23" i="33" s="1"/>
  <c r="H22" i="33"/>
  <c r="F22" i="33"/>
  <c r="E22" i="33"/>
  <c r="D22" i="33"/>
  <c r="G22" i="33" s="1"/>
  <c r="C22" i="33"/>
  <c r="H21" i="33"/>
  <c r="G21" i="33"/>
  <c r="F21" i="33"/>
  <c r="E21" i="33"/>
  <c r="D21" i="33"/>
  <c r="C21" i="33"/>
  <c r="H20" i="33"/>
  <c r="F20" i="33"/>
  <c r="E20" i="33"/>
  <c r="D20" i="33"/>
  <c r="C20" i="33"/>
  <c r="G20" i="33" s="1"/>
  <c r="H19" i="33"/>
  <c r="F19" i="33"/>
  <c r="E19" i="33"/>
  <c r="D19" i="33"/>
  <c r="C19" i="33"/>
  <c r="G19" i="33" s="1"/>
  <c r="H18" i="33"/>
  <c r="F18" i="33"/>
  <c r="E18" i="33"/>
  <c r="D18" i="33"/>
  <c r="G18" i="33" s="1"/>
  <c r="C18" i="33"/>
  <c r="H17" i="33"/>
  <c r="F17" i="33"/>
  <c r="E17" i="33"/>
  <c r="D17" i="33"/>
  <c r="G17" i="33" s="1"/>
  <c r="C17" i="33"/>
  <c r="H16" i="33"/>
  <c r="F16" i="33"/>
  <c r="E16" i="33"/>
  <c r="D16" i="33"/>
  <c r="C16" i="33"/>
  <c r="G16" i="33" s="1"/>
  <c r="H15" i="33"/>
  <c r="F15" i="33"/>
  <c r="E15" i="33"/>
  <c r="D15" i="33"/>
  <c r="C15" i="33"/>
  <c r="G15" i="33" s="1"/>
  <c r="H14" i="33"/>
  <c r="F14" i="33"/>
  <c r="E14" i="33"/>
  <c r="D14" i="33"/>
  <c r="G14" i="33" s="1"/>
  <c r="C14" i="33"/>
  <c r="H13" i="33"/>
  <c r="F13" i="33"/>
  <c r="E13" i="33"/>
  <c r="D13" i="33"/>
  <c r="G13" i="33" s="1"/>
  <c r="C13" i="33"/>
  <c r="H12" i="33"/>
  <c r="F12" i="33"/>
  <c r="E12" i="33"/>
  <c r="D12" i="33"/>
  <c r="C12" i="33"/>
  <c r="G12" i="33" s="1"/>
  <c r="H11" i="33"/>
  <c r="F11" i="33"/>
  <c r="E11" i="33"/>
  <c r="D11" i="33"/>
  <c r="C11" i="33"/>
  <c r="G11" i="33" s="1"/>
  <c r="H10" i="33"/>
  <c r="F10" i="33"/>
  <c r="E10" i="33"/>
  <c r="D10" i="33"/>
  <c r="G10" i="33" s="1"/>
  <c r="C10" i="33"/>
  <c r="H9" i="33"/>
  <c r="F9" i="33"/>
  <c r="E9" i="33"/>
  <c r="D9" i="33"/>
  <c r="G9" i="33" s="1"/>
  <c r="C9" i="33"/>
  <c r="H8" i="33"/>
  <c r="F8" i="33"/>
  <c r="E8" i="33"/>
  <c r="D8" i="33"/>
  <c r="C8" i="33"/>
  <c r="G8" i="33" s="1"/>
  <c r="H7" i="33"/>
  <c r="F7" i="33"/>
  <c r="E7" i="33"/>
  <c r="D7" i="33"/>
  <c r="C7" i="33"/>
  <c r="G7" i="33" s="1"/>
  <c r="H6" i="33"/>
  <c r="F6" i="33"/>
  <c r="E6" i="33"/>
  <c r="D6" i="33"/>
  <c r="C6" i="33"/>
  <c r="G6" i="33" s="1"/>
  <c r="H5" i="33"/>
  <c r="F5" i="33"/>
  <c r="E5" i="33"/>
  <c r="D5" i="33"/>
  <c r="G5" i="33" s="1"/>
  <c r="C5" i="33"/>
  <c r="H4" i="33"/>
  <c r="F4" i="33"/>
  <c r="E4" i="33"/>
  <c r="D4" i="33"/>
  <c r="C4" i="33"/>
  <c r="G4" i="33" s="1"/>
  <c r="H3" i="33"/>
  <c r="F3" i="33"/>
  <c r="E3" i="33"/>
  <c r="D3" i="33"/>
  <c r="C3" i="33"/>
  <c r="G3" i="33" s="1"/>
  <c r="H2" i="33"/>
  <c r="G2" i="33"/>
  <c r="F2" i="33"/>
  <c r="E2" i="33"/>
  <c r="D2" i="33"/>
  <c r="C2" i="33"/>
  <c r="J143" i="32"/>
  <c r="I143" i="32"/>
  <c r="H143" i="32"/>
  <c r="J30" i="34"/>
  <c r="H30" i="34"/>
  <c r="E1" i="10"/>
  <c r="E3" i="10"/>
  <c r="E2" i="10"/>
  <c r="L59" i="12"/>
  <c r="K59" i="12"/>
  <c r="J59" i="12"/>
  <c r="L58" i="12"/>
  <c r="K58" i="12"/>
  <c r="J58" i="12"/>
  <c r="L57" i="12"/>
  <c r="K57" i="12"/>
  <c r="J57" i="12"/>
  <c r="L56" i="12"/>
  <c r="K56" i="12"/>
  <c r="J56" i="12"/>
  <c r="L55" i="12"/>
  <c r="K55" i="12"/>
  <c r="J55" i="12"/>
  <c r="L54" i="12"/>
  <c r="K54" i="12"/>
  <c r="J54" i="12"/>
  <c r="L53" i="12"/>
  <c r="K53" i="12"/>
  <c r="J53" i="12"/>
  <c r="L52" i="12"/>
  <c r="K52" i="12"/>
  <c r="J52" i="12"/>
  <c r="L51" i="12"/>
  <c r="K51" i="12"/>
  <c r="J51" i="12"/>
  <c r="L50" i="12"/>
  <c r="K50" i="12"/>
  <c r="J50" i="12"/>
  <c r="L49" i="12"/>
  <c r="K49" i="12"/>
  <c r="J49" i="12"/>
  <c r="L48" i="12"/>
  <c r="K48" i="12"/>
  <c r="J48" i="12"/>
  <c r="L47" i="12"/>
  <c r="K47" i="12"/>
  <c r="J47" i="12"/>
  <c r="L46" i="12"/>
  <c r="K46" i="12"/>
  <c r="J46" i="12"/>
  <c r="L45" i="12"/>
  <c r="K45" i="12"/>
  <c r="J45" i="12"/>
  <c r="L44" i="12"/>
  <c r="K44" i="12"/>
  <c r="J44" i="12"/>
  <c r="L43" i="12"/>
  <c r="K43" i="12"/>
  <c r="J43" i="12"/>
  <c r="L42" i="12"/>
  <c r="K42" i="12"/>
  <c r="J42" i="12"/>
  <c r="L41" i="12"/>
  <c r="K41" i="12"/>
  <c r="J41" i="12"/>
  <c r="L40" i="12"/>
  <c r="K40" i="12"/>
  <c r="J40" i="12"/>
  <c r="L39" i="12"/>
  <c r="K39" i="12"/>
  <c r="J39" i="12"/>
  <c r="L38" i="12"/>
  <c r="K38" i="12"/>
  <c r="J38" i="12"/>
  <c r="L37" i="12"/>
  <c r="K37" i="12"/>
  <c r="J37" i="12"/>
  <c r="L36" i="12"/>
  <c r="K36" i="12"/>
  <c r="J36" i="12"/>
  <c r="L35" i="12"/>
  <c r="K35" i="12"/>
  <c r="J35" i="12"/>
  <c r="L34" i="12"/>
  <c r="K34" i="12"/>
  <c r="J34" i="12"/>
  <c r="L33" i="12"/>
  <c r="K33" i="12"/>
  <c r="J33" i="12"/>
  <c r="L32" i="12"/>
  <c r="K32" i="12"/>
  <c r="J32" i="12"/>
  <c r="L31" i="12"/>
  <c r="K31" i="12"/>
  <c r="J31" i="12"/>
  <c r="L30" i="12"/>
  <c r="K30" i="12"/>
  <c r="J30" i="12"/>
  <c r="L29" i="12"/>
  <c r="K29" i="12"/>
  <c r="J29" i="12"/>
  <c r="L28" i="12"/>
  <c r="K28" i="12"/>
  <c r="J28" i="12"/>
  <c r="L27" i="12"/>
  <c r="K27" i="12"/>
  <c r="J27" i="12"/>
  <c r="L26" i="12"/>
  <c r="K26" i="12"/>
  <c r="J26" i="12"/>
  <c r="L25" i="12"/>
  <c r="K25" i="12"/>
  <c r="J25" i="12"/>
  <c r="E4" i="10" l="1"/>
  <c r="F4" i="10" s="1"/>
  <c r="G4" i="10" s="1"/>
  <c r="A85" i="12"/>
  <c r="B64" i="12" l="1"/>
  <c r="C64" i="12"/>
  <c r="B65" i="12"/>
  <c r="B66" i="12"/>
  <c r="B67" i="12"/>
  <c r="B68" i="12"/>
  <c r="B69" i="12"/>
  <c r="N60" i="12"/>
  <c r="E65" i="12"/>
  <c r="C65" i="12"/>
  <c r="D66" i="12"/>
  <c r="E66" i="12"/>
  <c r="C66" i="12"/>
  <c r="C67" i="12"/>
  <c r="D67" i="12"/>
  <c r="E67" i="12"/>
  <c r="C68" i="12"/>
  <c r="D68" i="12"/>
  <c r="E68" i="12"/>
  <c r="C69" i="12"/>
  <c r="D69" i="12"/>
  <c r="E69" i="12"/>
  <c r="H7" i="6"/>
  <c r="H8" i="6"/>
  <c r="H9" i="6"/>
  <c r="H10" i="6"/>
  <c r="H11" i="6"/>
  <c r="H12" i="6"/>
  <c r="B70" i="12" l="1"/>
  <c r="F70" i="12" s="1"/>
  <c r="H13" i="6"/>
  <c r="I13" i="6" s="1"/>
  <c r="L60" i="12"/>
  <c r="D74" i="12" s="1"/>
  <c r="D75" i="12" s="1"/>
  <c r="D79" i="12" s="1"/>
  <c r="K60" i="12"/>
  <c r="C74" i="12" s="1"/>
  <c r="C76" i="12" s="1"/>
  <c r="C77" i="12" s="1"/>
  <c r="C78" i="12" s="1"/>
  <c r="J60" i="12"/>
  <c r="B74" i="12" s="1"/>
  <c r="B75" i="12" s="1"/>
  <c r="B79" i="12" s="1"/>
  <c r="D65" i="12"/>
  <c r="C70" i="12"/>
  <c r="E64" i="12"/>
  <c r="E70" i="12" s="1"/>
  <c r="D64" i="12"/>
  <c r="C75" i="12" l="1"/>
  <c r="C79" i="12" s="1"/>
  <c r="B76" i="12"/>
  <c r="B77" i="12" s="1"/>
  <c r="B78" i="12" s="1"/>
  <c r="D76" i="12"/>
  <c r="D77" i="12" s="1"/>
  <c r="D78" i="12" s="1"/>
  <c r="D70" i="12"/>
</calcChain>
</file>

<file path=xl/sharedStrings.xml><?xml version="1.0" encoding="utf-8"?>
<sst xmlns="http://schemas.openxmlformats.org/spreadsheetml/2006/main" count="10459" uniqueCount="4773">
  <si>
    <t>区分</t>
  </si>
  <si>
    <t>機能要件</t>
  </si>
  <si>
    <t>非機能要件</t>
  </si>
  <si>
    <t>合計</t>
  </si>
  <si>
    <t>概要</t>
  </si>
  <si>
    <t>出典</t>
  </si>
  <si>
    <t>FR-AUTH-002</t>
  </si>
  <si>
    <t>FR-AUTH-003</t>
  </si>
  <si>
    <t>Authorization Code + client_secret（SSR）</t>
  </si>
  <si>
    <t>FR-AUTH-004</t>
  </si>
  <si>
    <t>Client Credentials（M2M）</t>
  </si>
  <si>
    <t>FR-AUTH-005</t>
  </si>
  <si>
    <t>Token Exchange（RFC 8693）</t>
  </si>
  <si>
    <t>FR-AUTH-006</t>
  </si>
  <si>
    <t>FR-AUTH-007</t>
  </si>
  <si>
    <t>FR-AUTH-008</t>
  </si>
  <si>
    <t>ROPC（Password Grant）</t>
  </si>
  <si>
    <t>FR-AUTH-009</t>
  </si>
  <si>
    <t>パスワードポリシー（最小長・複雑性）</t>
  </si>
  <si>
    <t>FR-AUTH-010</t>
  </si>
  <si>
    <t>FR-AUTH-011</t>
  </si>
  <si>
    <t>FR-AUTH-012</t>
  </si>
  <si>
    <t>パスワード有効期限</t>
  </si>
  <si>
    <t>FR-AUTH-013</t>
  </si>
  <si>
    <t>FR-AUTH-014</t>
  </si>
  <si>
    <t>初期パスワード強制変更</t>
  </si>
  <si>
    <t>FR-FED-001</t>
  </si>
  <si>
    <t>FR-FED-002</t>
  </si>
  <si>
    <t>FR-FED-003</t>
  </si>
  <si>
    <t>FR-FED-004</t>
  </si>
  <si>
    <t>FR-FED-005</t>
  </si>
  <si>
    <t>FR-FED-006</t>
  </si>
  <si>
    <t>FR-FED-007</t>
  </si>
  <si>
    <t>LDAP / AD 直接連携</t>
  </si>
  <si>
    <t>FR-FED-014</t>
  </si>
  <si>
    <t>FR-FED-008</t>
  </si>
  <si>
    <t>FR-FED-009</t>
  </si>
  <si>
    <t>FR-FED-010</t>
  </si>
  <si>
    <t>FR-FED-013</t>
  </si>
  <si>
    <t>FR-MFA-001</t>
  </si>
  <si>
    <t>FR-MFA-002</t>
  </si>
  <si>
    <t>WebAuthn / FIDO2（Passkeys）</t>
  </si>
  <si>
    <t>FR-MFA-003</t>
  </si>
  <si>
    <t>SMS OTP</t>
  </si>
  <si>
    <t>FR-MFA-004</t>
  </si>
  <si>
    <t>FR-MFA-005</t>
  </si>
  <si>
    <t>FR-MFA-006</t>
  </si>
  <si>
    <t>FR-MFA-007</t>
  </si>
  <si>
    <t>FR-MFA-008</t>
  </si>
  <si>
    <t>FR-MFA-009</t>
  </si>
  <si>
    <t>FR-SSO-001</t>
  </si>
  <si>
    <t>FR-SSO-002</t>
  </si>
  <si>
    <t>FR-SSO-004</t>
  </si>
  <si>
    <t>FR-SSO-005</t>
  </si>
  <si>
    <t>FR-SSO-006</t>
  </si>
  <si>
    <t>Front-Channel Logout</t>
  </si>
  <si>
    <t>FR-SSO-007</t>
  </si>
  <si>
    <t>Back-Channel Logout（RFC 8606）</t>
  </si>
  <si>
    <t>FR-SSO-008</t>
  </si>
  <si>
    <t>セッションタイムアウト設定</t>
  </si>
  <si>
    <t>FR-SSO-009</t>
  </si>
  <si>
    <t>アクセストークン強制無効化（Revocation）</t>
  </si>
  <si>
    <t>FR-AUTHZ-003</t>
  </si>
  <si>
    <t>FR-AUTHZ-004</t>
  </si>
  <si>
    <t>ロール階層（継承）</t>
  </si>
  <si>
    <t>FR-AUTHZ-005</t>
  </si>
  <si>
    <t>FR-AUTHZ-006</t>
  </si>
  <si>
    <t>カスタムクレーム注入（任意属性）</t>
  </si>
  <si>
    <t>FR-AUTHZ-008</t>
  </si>
  <si>
    <t>FR-AUTHZ-009</t>
  </si>
  <si>
    <t>リソースレベル認可（UMA 2.0 / Fine-grained）</t>
  </si>
  <si>
    <t>FR-AUTHZ-010</t>
  </si>
  <si>
    <t>動的属性ベース認可（ABAC）</t>
  </si>
  <si>
    <t>FR-USER-005</t>
  </si>
  <si>
    <t>ユーザー検索・一覧</t>
  </si>
  <si>
    <t>FR-USER-002</t>
  </si>
  <si>
    <t>カスタム属性（任意フィールド）</t>
  </si>
  <si>
    <t>FR-USER-007</t>
  </si>
  <si>
    <t>ユーザーグループ管理</t>
  </si>
  <si>
    <t>FR-USER-008</t>
  </si>
  <si>
    <t>ロール割り当て</t>
  </si>
  <si>
    <t>FR-USER-004</t>
  </si>
  <si>
    <t>セルフサービスプロフィール編集</t>
  </si>
  <si>
    <t>FR-USER-012</t>
  </si>
  <si>
    <t>ユーザー作成時の招待メール</t>
  </si>
  <si>
    <t>FR-USER-009</t>
  </si>
  <si>
    <t>バルクインポート（CSV / JSON）</t>
  </si>
  <si>
    <t>FR-USER-010</t>
  </si>
  <si>
    <t>ユーザーパスワード強制リセット</t>
  </si>
  <si>
    <t>FR-ADMIN-001</t>
  </si>
  <si>
    <t>FR-ADMIN-002</t>
  </si>
  <si>
    <t>テナント追加・削除</t>
  </si>
  <si>
    <t>FR-ADMIN-003</t>
  </si>
  <si>
    <t>FR-ADMIN-004</t>
  </si>
  <si>
    <t>クライアント（App）管理</t>
  </si>
  <si>
    <t>FR-ADMIN-005</t>
  </si>
  <si>
    <t>ロール定義管理</t>
  </si>
  <si>
    <t>FR-ADMIN-009</t>
  </si>
  <si>
    <t>テナント別設定の分離</t>
  </si>
  <si>
    <t>FR-ADMIN-008</t>
  </si>
  <si>
    <t>設定変更履歴</t>
  </si>
  <si>
    <t>FR-ADMIN-006</t>
  </si>
  <si>
    <t>パーミッション管理（細粒度）</t>
  </si>
  <si>
    <t>FR-ADMIN-010</t>
  </si>
  <si>
    <t>管理者ロール（RBAC for Admin）</t>
  </si>
  <si>
    <t>FR-ADMIN-011</t>
  </si>
  <si>
    <t>テナント管理者の委譲（顧客の自社運用）</t>
  </si>
  <si>
    <t>FR-ADMIN-012</t>
  </si>
  <si>
    <t>FR-INT-001</t>
  </si>
  <si>
    <t>OIDC 1.0 / OAuth 2.0 標準準拠</t>
  </si>
  <si>
    <t>FR-INT-002</t>
  </si>
  <si>
    <t>FR-INT-003</t>
  </si>
  <si>
    <t>FR-INT-004</t>
  </si>
  <si>
    <t>SAML 2.0 メタデータ</t>
  </si>
  <si>
    <t>FR-INT-008</t>
  </si>
  <si>
    <t>監査ログ外部出力（CloudWatch / S3 / Kinesis）</t>
  </si>
  <si>
    <t>FR-INT-009</t>
  </si>
  <si>
    <t>FR-INT-005</t>
  </si>
  <si>
    <t>FR-INT-006</t>
  </si>
  <si>
    <t>FR-INT-010</t>
  </si>
  <si>
    <t>NFR-AVL-001</t>
  </si>
  <si>
    <t>NFR-AVL-002</t>
  </si>
  <si>
    <t>NFR-AVL-003</t>
  </si>
  <si>
    <t>NFR-AVL-004</t>
  </si>
  <si>
    <t>自動復旧（コンテナ障害）</t>
  </si>
  <si>
    <t>NFR-AVL-005</t>
  </si>
  <si>
    <t>単一障害点の排除</t>
  </si>
  <si>
    <t>NFR-AVL-006</t>
  </si>
  <si>
    <t>デプロイ時のダウンタイム</t>
  </si>
  <si>
    <t>NFR-PERF-001</t>
  </si>
  <si>
    <t>NFR-PERF-004</t>
  </si>
  <si>
    <t>NFR-PERF-005</t>
  </si>
  <si>
    <t>NFR-PERF-008</t>
  </si>
  <si>
    <t>NFR-PERF-002</t>
  </si>
  <si>
    <t>同時認証リクエスト処理能力</t>
  </si>
  <si>
    <t>NFR-PERF-006</t>
  </si>
  <si>
    <t>NFR-PERF-007</t>
  </si>
  <si>
    <t>認証ピーク時間帯への耐性</t>
  </si>
  <si>
    <t>NFR-SCL-001</t>
  </si>
  <si>
    <t>NFR-SCL-002</t>
  </si>
  <si>
    <t>ピーク時同時セッション数</t>
  </si>
  <si>
    <t>NFR-SCL-003</t>
  </si>
  <si>
    <t>NFR-SCL-005</t>
  </si>
  <si>
    <t>自動スケーリング</t>
  </si>
  <si>
    <t>NFR-SCL-006</t>
  </si>
  <si>
    <t>NFR-SCL-007</t>
  </si>
  <si>
    <t>データベーススケール（Keycloak）</t>
  </si>
  <si>
    <t>NFR-SEC-001</t>
  </si>
  <si>
    <t>通信暗号化</t>
  </si>
  <si>
    <t>NFR-SEC-002</t>
  </si>
  <si>
    <t>データ暗号化（at-rest）</t>
  </si>
  <si>
    <t>NFR-SEC-003</t>
  </si>
  <si>
    <t>トークン署名アルゴリズム</t>
  </si>
  <si>
    <t>NFR-SEC-009</t>
  </si>
  <si>
    <t>パスワード保管アルゴリズム</t>
  </si>
  <si>
    <t>NFR-SEC-015</t>
  </si>
  <si>
    <t>シークレット管理</t>
  </si>
  <si>
    <t>NFR-SEC-004</t>
  </si>
  <si>
    <t>Access Token TTL</t>
  </si>
  <si>
    <t>NFR-SEC-005</t>
  </si>
  <si>
    <t>Refresh Token TTL</t>
  </si>
  <si>
    <t>NFR-SEC-006</t>
  </si>
  <si>
    <t>ID Token TTL</t>
  </si>
  <si>
    <t>NFR-SEC-007</t>
  </si>
  <si>
    <t>Refresh Token Rotation</t>
  </si>
  <si>
    <t>NFR-SEC-008</t>
  </si>
  <si>
    <t>トークン失効（Revocation）</t>
  </si>
  <si>
    <t>NFR-SEC-020</t>
  </si>
  <si>
    <t>セッション固定攻撃対策</t>
  </si>
  <si>
    <t>NFR-SEC-010</t>
  </si>
  <si>
    <t>ブルートフォース対策</t>
  </si>
  <si>
    <t>NFR-SEC-010-2</t>
  </si>
  <si>
    <t>NFR-SEC-013</t>
  </si>
  <si>
    <t>ペネトレーションテスト</t>
  </si>
  <si>
    <t>NFR-SEC-014</t>
  </si>
  <si>
    <t>脆弱性スキャン</t>
  </si>
  <si>
    <t>NFR-SEC-016</t>
  </si>
  <si>
    <t>ネットワーク分離（Private Subnet）</t>
  </si>
  <si>
    <t>NFR-SEC-017</t>
  </si>
  <si>
    <t>管理画面アクセス制御</t>
  </si>
  <si>
    <t>NFR-SEC-018</t>
  </si>
  <si>
    <t>NFR-SEC-019</t>
  </si>
  <si>
    <t>NFR-DR-001</t>
  </si>
  <si>
    <t>RTO（目標復旧時間）</t>
  </si>
  <si>
    <t>NFR-DR-002</t>
  </si>
  <si>
    <t>RPO（目標復旧地点）</t>
  </si>
  <si>
    <t>NFR-DR-003</t>
  </si>
  <si>
    <t>フェイルオーバー方式</t>
  </si>
  <si>
    <t>NFR-DR-004</t>
  </si>
  <si>
    <t>バックアップ保存期間</t>
  </si>
  <si>
    <t>NFR-DR-005</t>
  </si>
  <si>
    <t>PITR（Point-in-Time Recovery）</t>
  </si>
  <si>
    <t>NFR-DR-006</t>
  </si>
  <si>
    <t>クロスリージョンバックアップ</t>
  </si>
  <si>
    <t>NFR-DR-007</t>
  </si>
  <si>
    <t>NFR-DR-008</t>
  </si>
  <si>
    <t>NFR-OPS-001</t>
  </si>
  <si>
    <t>監視・メトリクス</t>
  </si>
  <si>
    <t>NFR-OPS-002</t>
  </si>
  <si>
    <t>アラート通知</t>
  </si>
  <si>
    <t>NFR-OPS-005</t>
  </si>
  <si>
    <t>バージョンアップ方針</t>
  </si>
  <si>
    <t>NFR-OPS-006</t>
  </si>
  <si>
    <t>NFR-OPS-007</t>
  </si>
  <si>
    <t>NFR-OPS-010</t>
  </si>
  <si>
    <t>デプロイ自動化（CI/CD）</t>
  </si>
  <si>
    <t>NFR-OPS-008</t>
  </si>
  <si>
    <t>NFR-OPS-009</t>
  </si>
  <si>
    <t>運用工数（人月）</t>
  </si>
  <si>
    <t>NFR-COMP-001</t>
  </si>
  <si>
    <t>個人情報保護法対応</t>
  </si>
  <si>
    <t>NFR-COMP-002</t>
  </si>
  <si>
    <t>GDPR / CCPA（海外展開時）</t>
  </si>
  <si>
    <t>NFR-COMP-008</t>
  </si>
  <si>
    <t>データ所在地（リージョン制限）</t>
  </si>
  <si>
    <t>NFR-COMP-003</t>
  </si>
  <si>
    <t>SOC 2 Type II</t>
  </si>
  <si>
    <t>NFR-COMP-004</t>
  </si>
  <si>
    <t>ISO 27001</t>
  </si>
  <si>
    <t>NFR-COMP-005</t>
  </si>
  <si>
    <t>NFR-COMP-006</t>
  </si>
  <si>
    <t>NFR-COMP-010</t>
  </si>
  <si>
    <t>アクセス監査の追跡可能性</t>
  </si>
  <si>
    <t>NFR-COMP-011</t>
  </si>
  <si>
    <t>NFR-COST-001</t>
  </si>
  <si>
    <t>初期構築費</t>
  </si>
  <si>
    <t>NFR-COST-002</t>
  </si>
  <si>
    <t>月額固定インフラ費</t>
  </si>
  <si>
    <t>NFR-COST-003</t>
  </si>
  <si>
    <t>NFR-COST-004</t>
  </si>
  <si>
    <t>NFR-COST-005</t>
  </si>
  <si>
    <t>運用人件費</t>
  </si>
  <si>
    <t>NFR-COST-006</t>
  </si>
  <si>
    <t>NFR-COST-007</t>
  </si>
  <si>
    <t>NFR-COST-008</t>
  </si>
  <si>
    <t>NFR-COST-009</t>
  </si>
  <si>
    <t>NFR-MIG-001</t>
  </si>
  <si>
    <t>既存認証システムからのユーザー移行</t>
  </si>
  <si>
    <t>NFR-MIG-002</t>
  </si>
  <si>
    <t>パスワード移行（ハッシュ持ち越し）</t>
  </si>
  <si>
    <t>NFR-MIG-003</t>
  </si>
  <si>
    <t>ベンダーロックイン回避</t>
  </si>
  <si>
    <t>NFR-MIG-004</t>
  </si>
  <si>
    <t>データエクスポート</t>
  </si>
  <si>
    <t>NFR-MIG-005</t>
  </si>
  <si>
    <t>段階的移行（並行稼働）</t>
  </si>
  <si>
    <t>不要</t>
  </si>
  <si>
    <t>状態</t>
  </si>
  <si>
    <t>設計決定一覧（基本設計 02〜10 の正式決定）</t>
  </si>
  <si>
    <t>要件ID</t>
  </si>
  <si>
    <t>対象外</t>
  </si>
  <si>
    <t>件数</t>
  </si>
  <si>
    <t>U4 §4.3.3</t>
    <phoneticPr fontId="2"/>
  </si>
  <si>
    <t>D-U4-03</t>
    <phoneticPr fontId="2"/>
  </si>
  <si>
    <t>D-U4-04</t>
    <phoneticPr fontId="2"/>
  </si>
  <si>
    <t>U4 §4.2.3</t>
    <phoneticPr fontId="2"/>
  </si>
  <si>
    <t>U4 §4.1.4</t>
    <phoneticPr fontId="2"/>
  </si>
  <si>
    <t>D-U7-17</t>
    <phoneticPr fontId="2"/>
  </si>
  <si>
    <t>D-U7-14</t>
    <phoneticPr fontId="2"/>
  </si>
  <si>
    <t>D-U7-13</t>
    <phoneticPr fontId="2"/>
  </si>
  <si>
    <t>D-U7-16</t>
    <phoneticPr fontId="2"/>
  </si>
  <si>
    <t>D-U7-15b</t>
    <phoneticPr fontId="2"/>
  </si>
  <si>
    <t>D-U7-05</t>
    <phoneticPr fontId="2"/>
  </si>
  <si>
    <t>D-U7-12</t>
    <phoneticPr fontId="2"/>
  </si>
  <si>
    <t>D-U8-01</t>
    <phoneticPr fontId="2"/>
  </si>
  <si>
    <t>D-U8-02</t>
    <phoneticPr fontId="2"/>
  </si>
  <si>
    <t>D-U8-04</t>
    <phoneticPr fontId="2"/>
  </si>
  <si>
    <t>D-U8-14</t>
    <phoneticPr fontId="2"/>
  </si>
  <si>
    <t>D-U8-13</t>
    <phoneticPr fontId="2"/>
  </si>
  <si>
    <t>D-U8-10</t>
    <phoneticPr fontId="2"/>
  </si>
  <si>
    <t>D-U6-13</t>
    <phoneticPr fontId="2"/>
  </si>
  <si>
    <t>D-U6-04</t>
    <phoneticPr fontId="2"/>
  </si>
  <si>
    <t>D-U6-10</t>
    <phoneticPr fontId="2"/>
  </si>
  <si>
    <t>D-U6-05</t>
    <phoneticPr fontId="2"/>
  </si>
  <si>
    <t>D-U9-05</t>
    <phoneticPr fontId="2"/>
  </si>
  <si>
    <t>D-U9-06</t>
    <phoneticPr fontId="2"/>
  </si>
  <si>
    <t>D-U9-15</t>
    <phoneticPr fontId="2"/>
  </si>
  <si>
    <t>D-U10-02</t>
    <phoneticPr fontId="2"/>
  </si>
  <si>
    <t>D-U10-12</t>
    <phoneticPr fontId="2"/>
  </si>
  <si>
    <t>D-U9-04</t>
    <phoneticPr fontId="2"/>
  </si>
  <si>
    <t>同上</t>
    <phoneticPr fontId="2"/>
  </si>
  <si>
    <t>受け取り側実装ガイド: 通行証の検証（必須7点）</t>
    <phoneticPr fontId="2"/>
  </si>
  <si>
    <t>①署名方式の検証と鍵情報のキャッシュ（鍵の入れ替えに追従）②発行元の完全一致 ③有効期限と発行時刻（時刻ずれ許容60秒以内）④宛先が自分のAPI識別子を含むこと、不一致は拒否 ⑤接続元アプリを許可リストで検証 ⑥所属情報を、要求が触れる全リソースの所属範囲と一致強制（他人のデータを覗く攻撃の防御。経路やリクエスト本文の指定より通行証の値を常に優先）⑦【2026-08-12追加】ヘッダの種別が通行証用であることを検証し、別種のトークンの流用を拒否（署名が通っても種別不一致は拒否）。リソース単位の権限判定はアプリ責務</t>
    <phoneticPr fontId="2"/>
  </si>
  <si>
    <t>ADR番号</t>
  </si>
  <si>
    <t>表題</t>
  </si>
  <si>
    <t>ステータス</t>
  </si>
  <si>
    <t>ADR-065</t>
  </si>
  <si>
    <t>ADR-066</t>
  </si>
  <si>
    <t>非人間IDのガバナンス</t>
  </si>
  <si>
    <t>ADR-067</t>
  </si>
  <si>
    <t>認可判定ログ＋アクセス再認証</t>
  </si>
  <si>
    <t>継続アクセス評価</t>
  </si>
  <si>
    <t>同意管理</t>
  </si>
  <si>
    <t>出典: github.com/suepie/aws-atuh-poc  doc/basic-design/  commit 9511a58 ／ Gitからの派生ビュー（読み取り専用）。2026-08-12 網羅性再監査で16件追加</t>
  </si>
  <si>
    <t>セキュリティ</t>
  </si>
  <si>
    <t>種別</t>
  </si>
  <si>
    <t>決定名（何を決めたか）</t>
    <phoneticPr fontId="2"/>
  </si>
  <si>
    <t>設計単元</t>
    <phoneticPr fontId="2"/>
  </si>
  <si>
    <t>決定内容</t>
    <phoneticPr fontId="2"/>
  </si>
  <si>
    <t>内部ID（Git内の採番）</t>
    <phoneticPr fontId="2"/>
  </si>
  <si>
    <t>出典</t>
    <phoneticPr fontId="2"/>
  </si>
  <si>
    <t>Realm構成</t>
    <phoneticPr fontId="2"/>
  </si>
  <si>
    <t>U2 Keycloak論理</t>
    <phoneticPr fontId="2"/>
  </si>
  <si>
    <t>Broker KC=単一Realm『broker』+Organizations、IdP-KC=単一Realm『idp』+Organizations。masterはKeycloak自体の管理専用で業務ユーザ・Clientを置かない。Realm名はissuer URLに埋まり変更不可のため普遍的短名</t>
    <phoneticPr fontId="2"/>
  </si>
  <si>
    <t>U2 §2.1.1</t>
    <phoneticPr fontId="2"/>
  </si>
  <si>
    <t>basic-design/02-keycloak-logical-design.md</t>
    <phoneticPr fontId="2"/>
  </si>
  <si>
    <t>Organizationsの使い方</t>
    <phoneticPr fontId="2"/>
  </si>
  <si>
    <t>Brokerは全顧客（IdPあり・なし問わず）を1顧客=1Orgで登録。顧客IdPは必ず当該顧客Orgに紐付け（グローバルIdP禁止）。IdP-KCはIdPなし顧客のみ登録。Org attributeは表示名とhrd_modeのみ、課金・契約メタは持たない</t>
    <phoneticPr fontId="2"/>
  </si>
  <si>
    <t>U2 §2.1.2</t>
    <phoneticPr fontId="2"/>
  </si>
  <si>
    <t>Org命名規則・alias規則</t>
    <phoneticPr fontId="2"/>
  </si>
  <si>
    <t>Org alias=小文字英数字2〜20文字・先頭英字・ハイフン禁止・作成後変更不可。tenant_idクレーム値とログインIDのtenantプレフィックスと完全一致。master/admin/broker/idp/api/scim/test等は予約語で使用禁止</t>
    <phoneticPr fontId="2"/>
  </si>
  <si>
    <t>U2 §2.1.3</t>
    <phoneticPr fontId="2"/>
  </si>
  <si>
    <t>IdP alias規則</t>
    <phoneticPr fontId="2"/>
  </si>
  <si>
    <t>顧客IdP alias=&lt;orgAlias&gt;-&lt;proto&gt;&lt;NN&gt;（例 acme-oidc01）。IdP製品名はdisplayNameのみに記載しaliasには含めない（製品乗換時にalias変更＝顧客側再設定を避ける）</t>
    <phoneticPr fontId="2"/>
  </si>
  <si>
    <t>U2 §2.1.4</t>
    <phoneticPr fontId="2"/>
  </si>
  <si>
    <t>2-tier間フェデの位置付け</t>
    <phoneticPr fontId="2"/>
  </si>
  <si>
    <t>Brokerから見たIdP-KCは「OIDC IdPの1つ」として登録。IdP-KC側ではBrokerをOIDC confidential clientとして登録</t>
    <phoneticPr fontId="2"/>
  </si>
  <si>
    <t>U2 §2.2.1</t>
    <phoneticPr fontId="2"/>
  </si>
  <si>
    <t>Broker側IdP登録（IdP-KC向け）</t>
    <phoneticPr fontId="2"/>
  </si>
  <si>
    <t>IdPなし顧客共通の単一OIDC IdPエントリ『idpkc-oidc01』を作り、IdPなし顧客の全Orgに紐付け。loginHint=true / hideOnLoginPage=true / trustEmail=false / syncMode=IMPORT / storeToken=false</t>
    <phoneticPr fontId="2"/>
  </si>
  <si>
    <t>U2 §2.2.2</t>
    <phoneticPr fontId="2"/>
  </si>
  <si>
    <t>IdP-KC側Client登録（Broker向け）</t>
    <phoneticPr fontId="2"/>
  </si>
  <si>
    <t>client_id=broker-rp。Confidential・Standard Flowのみ（Implicit/Direct Access/Service Account無効）。redirect URIは完全一致1本のみ（ワイルドカード禁止）。Phase 1=client_secret_post、Phase 2でprivate_key_jwtへ昇格。Web Origins/CORSなし</t>
    <phoneticPr fontId="2"/>
  </si>
  <si>
    <t>U2 §2.2.3</t>
    <phoneticPr fontId="2"/>
  </si>
  <si>
    <t>2-tier間のクレーム受け渡し</t>
    <phoneticPr fontId="2"/>
  </si>
  <si>
    <t>IdP-KC側に専用Client Scope『broker-federation』を作りMapperを集約（tenant_id / preferred_username / amr / email の4種）。JIT突合キーはtenant_id+persistent sub、emailは補助。Phase 1ではIdP-KCのrolesをBrokerへ伝播しない</t>
    <phoneticPr fontId="2"/>
  </si>
  <si>
    <t>U2 §2.2.4</t>
    <phoneticPr fontId="2"/>
  </si>
  <si>
    <t>ログアウト連鎖</t>
    <phoneticPr fontId="2"/>
  </si>
  <si>
    <t>idpkc-oidc01にbackchannelSupported=trueを設定し、Brokerのログアウト時にIdP-KCセッションも常時破棄（自社基盤のため越境問題なし）。storeToken=false下でのid_token_hint取り回しは実機確認が必要</t>
    <phoneticPr fontId="2"/>
  </si>
  <si>
    <t>U2 §2.2.5 #1</t>
    <phoneticPr fontId="2"/>
  </si>
  <si>
    <t>IdP-KC側Realmセッション TTL</t>
    <phoneticPr fontId="2"/>
  </si>
  <si>
    <t>Realm『idp』のSSO Session Idle/MaxをBroker Realmと同値（Idle 1h / Max 24h）に固定。IaCで両Realm共通変数化し独立変更を構造的に防ぐ</t>
    <phoneticPr fontId="2"/>
  </si>
  <si>
    <t>U2 §2.2.5 #2</t>
    <phoneticPr fontId="2"/>
  </si>
  <si>
    <t>ステップアップ（AAL3）の転送</t>
    <phoneticPr fontId="2"/>
  </si>
  <si>
    <t>認証元がidpkc-oidc01の場合、IdP-KCへacr_values="3"+prompt=loginを付けて再リダイレクト。IdP-KC側にもACR-to-LoAマッピング（1/2/3）を定義し、amrで返してmfa_indicator Mapper（FORCE）がBroker側acr判定に反映</t>
    <phoneticPr fontId="2"/>
  </si>
  <si>
    <t>U2 §2.2.5 #3</t>
    <phoneticPr fontId="2"/>
  </si>
  <si>
    <t>prompt=login / max_ageの転送方針</t>
    <phoneticPr fontId="2"/>
  </si>
  <si>
    <t>idpkc-oidc01経由のユーザにはprompt=login / max_age / acr_valuesをIdP-KCへ転送する。外部顧客IdPへは転送しない（挙動がIdP依存で保証できないため、Broker側max_age評価で代替）</t>
    <phoneticPr fontId="2"/>
  </si>
  <si>
    <t>U2 §2.2.5 #4</t>
    <phoneticPr fontId="2"/>
  </si>
  <si>
    <t>login_hintの書式契約</t>
    <phoneticPr fontId="2"/>
  </si>
  <si>
    <t>Broker→IdP-KCへ渡す値は&lt;userid&gt;（tenantプレフィックス除去後）のみ。IdP-KC側は完全形&lt;tenant&gt;-&lt;userid&gt;も受理して除去する寛容受理とし、誤設定でもループしない</t>
    <phoneticPr fontId="2"/>
  </si>
  <si>
    <t>U2 §2.2.5 #5</t>
    <phoneticPr fontId="2"/>
  </si>
  <si>
    <t>Flow配置の全系統共通制約</t>
    <phoneticPr fontId="2"/>
  </si>
  <si>
    <t>Keycloakは同一レベルにREQUIREDがあると同レベルのALTERNATIVEを無視するため、requiresUser()=trueのCustom SPIをtop-levelのREQUIREDに置いてはならない。必ずformsサブフロー内またはBroker Flow末尾に配置。IaCレビューのチェック項目に含める</t>
    <phoneticPr fontId="2"/>
  </si>
  <si>
    <t>U2 §2.3 共通制約</t>
    <phoneticPr fontId="2"/>
  </si>
  <si>
    <t>系統① ローカル認証（Browser Flow）</t>
    <phoneticPr fontId="2"/>
  </si>
  <si>
    <t>カスタムFlow『browser-std』。到達するのは基盤運用者P-1のみで、アクセスは踏み台/SSMのクローズド接続に限定。顧客テナント管理者P-2は対象外（フェデ化）。P-1はWebAuthn/Passkey必須。PAM L3向けにeligible/activeの2状態Composite Roleを両Realmに用意</t>
    <phoneticPr fontId="2"/>
  </si>
  <si>
    <t>U2 §2.3.1</t>
    <phoneticPr fontId="2"/>
  </si>
  <si>
    <t>系統② フェデレーション（First/Post Broker Login）</t>
    <phoneticPr fontId="2"/>
  </si>
  <si>
    <t>全IdP共通でfirst-broker-std / post-broker-stdを紐付け。Review ProfileはDISABLED（JITでユーザ入力を挟まない）。自動リンクは行わず衝突時はエラー画面+監査+管理者通知。突合キーはtenant_id+IdP persistent subでemailは使わない。初回はFirst→Postが連続発火するためSPIは冪等に実装</t>
    <phoneticPr fontId="2"/>
  </si>
  <si>
    <t>U2 §2.3.2</t>
    <phoneticPr fontId="2"/>
  </si>
  <si>
    <t>系統③ HRD（Home Realm Discovery）</t>
    <phoneticPr fontId="2"/>
  </si>
  <si>
    <t>識別子先行（&lt;tenant&gt;-&lt;userid&gt;）を主経路、メールドメインを補助経路とするハイブリッド。実装はCustom Authenticator SPI。最初のハイフンでparseしOrg→IdPを解決。顧客ごとの受入経路はOrg attribute『hrd_mode』（identifier/email/both、既定both）で宣言。IdP一覧非表示は性能成立の必須条件</t>
    <phoneticPr fontId="2"/>
  </si>
  <si>
    <t>U2 §2.3.3</t>
    <phoneticPr fontId="2"/>
  </si>
  <si>
    <t>系統④ ステップアップ認証（acr/LoA）</t>
    <phoneticPr fontId="2"/>
  </si>
  <si>
    <t>Keycloak標準のACR to LoA Mapping + Conditional Level of Authenticationを使用。acr 1/2/3をAAL1/2/3に対応。LoA3はWebAuthnのみ（Phishing-resistant）。フェデユーザの充足判定はmfa_indicator属性で行い、値がなければ未済扱い（fail-safe）。外部フェデユーザは補完せず記録・監視のみ</t>
    <phoneticPr fontId="2"/>
  </si>
  <si>
    <t>U2 §2.3.4</t>
    <phoneticPr fontId="2"/>
  </si>
  <si>
    <t>系統⑤ Adaptive認証</t>
    <phoneticPr fontId="2"/>
  </si>
  <si>
    <t>Phase 1はBrute Force Detection（Keycloak標準）と侵害クレデンシャル検出（ローカルPW=管理者のみ対象、PW変更時とログイン成功時にHIBP照合）のみ。IPレピュテーション・Impossible Travel・デバイス指紋等のフルRisk ScoringはPhase 2</t>
    <phoneticPr fontId="2"/>
  </si>
  <si>
    <t>U2 §2.3.5</t>
    <phoneticPr fontId="2"/>
  </si>
  <si>
    <t>Custom SPIの総量</t>
    <phoneticPr fontId="2"/>
  </si>
  <si>
    <t>Phase 1のCustom SPIは3JAR・4機能に限定（JIT制御Authenticator / HRD Authenticator / Event Listener / mfa_indicator正規化）。RHBKバージョン追従コストを面積で抑えるため。CI/CDは全SPIでU9の仕組みを共用</t>
    <phoneticPr fontId="2"/>
  </si>
  <si>
    <t>U2 §2.4</t>
    <phoneticPr fontId="2"/>
  </si>
  <si>
    <t>SPI① JIT制御Authenticator</t>
    <phoneticPr fontId="2"/>
  </si>
  <si>
    <t>Re-Activation分岐（scim/local-admin/app/ldapは拒否、jitのみ再有効化）+ last_login書込（debounce 1日、冪等）+ provisioned_by未設定時のみjit系属性を書込（既設定値は経路を問わず上書き禁止）。Re-Activation拒否はfail-closed、属性書込失敗はログインを失敗させない</t>
    <phoneticPr fontId="2"/>
  </si>
  <si>
    <t>U2 §2.4.1</t>
    <phoneticPr fontId="2"/>
  </si>
  <si>
    <t>SPI② HRD Authenticator</t>
    <phoneticPr fontId="2"/>
  </si>
  <si>
    <t>常にfail-openで後続Authenticatorに降格（HRDは経路解決であって認証判定ではない）。requiresUser()=false、実装50〜100行。複数IdPリンク時は先頭1件を選ばずattempted()降格してOrgセレクターに委ねる</t>
    <phoneticPr fontId="2"/>
  </si>
  <si>
    <t>U2 §2.4.2</t>
    <phoneticPr fontId="2"/>
  </si>
  <si>
    <t>Re-Activationの実装制約</t>
    <phoneticPr fontId="2"/>
  </si>
  <si>
    <t>Re-ActivationロジックはSPI①に統合し単独SPIとして分離しない（同一トランザクションで判定）。SCIM除外条件と想定外値の安全側拒否は削除不可の必須分岐とし単体テストで固定</t>
    <phoneticPr fontId="2"/>
  </si>
  <si>
    <t>U2 §2.4.3</t>
    <phoneticPr fontId="2"/>
  </si>
  <si>
    <t>mfa_indicator正規化Mapper</t>
    <phoneticPr fontId="2"/>
  </si>
  <si>
    <t>OIDC amr / SAML AuthnContextClassRef / Microsoft拡張の3方言を単一user attribute『mfa_indicator』に正規化。第一選択はKeycloak標準IdP Mapper、ホワイトリスト化が表現できない場合のみCustom。syncMode=FORCE（認証ごとに最新値で上書き）。属性不在・空・非MFA値はすべて未済扱い（fail-safe）</t>
    <phoneticPr fontId="2"/>
  </si>
  <si>
    <t>U2 §2.4.4</t>
    <phoneticPr fontId="2"/>
  </si>
  <si>
    <t>Stage 1クレーム（既定発行）</t>
    <phoneticPr fontId="2"/>
  </si>
  <si>
    <t>全アプリClientの既定発行をStage 1最小に固定（iss/exp/iat/sub/sid/azp/aud/tenant_id）。email・name等のPII系Mapperはアプリ Clientの Default Scopeから外しuserinfoまたはアプリDB参照とする。preferred_usernameも既定発行しない。provisioned_by/scim_active/last_loginはJWTに載せない</t>
    <phoneticPr fontId="2"/>
  </si>
  <si>
    <t>U2 §2.5.1</t>
    <phoneticPr fontId="2"/>
  </si>
  <si>
    <t>audience Mapper</t>
    <phoneticPr fontId="2"/>
  </si>
  <si>
    <t>アプリAPIごとに専用Client Scope『aud-&lt;api名&gt;』を作りoidc-audience-mapperを1つ載せる。フロントClientにはアクセス先APIのaud-*のみDefault付与。多重audはscopeの複数付与で表現</t>
    <phoneticPr fontId="2"/>
  </si>
  <si>
    <t>U2 §2.5.2</t>
    <phoneticPr fontId="2"/>
  </si>
  <si>
    <t>tenant_id / usernameの供給経路</t>
    <phoneticPr fontId="2"/>
  </si>
  <si>
    <t>tenant_idは3経路（フェデJIT時にBroker側で焼き込む / IdP-KC経由のAttribute Importer / 管理画面BackendのAdmin API）のいずれかで必ず設定。顧客IdPのクレームは信用しない。Broker内部username=&lt;orgAlias&gt;-&lt;userid&gt;でRealm内一意性を担保</t>
    <phoneticPr fontId="2"/>
  </si>
  <si>
    <t>U2 §2.5.3</t>
    <phoneticPr fontId="2"/>
  </si>
  <si>
    <t>roles方式とsyncMode既定</t>
    <phoneticPr fontId="2"/>
  </si>
  <si>
    <t>rolesはハイブリッドC（管理系Clientに限りrealm-role-mapperで発行、業務アプリの細粒度認可はアプリ側DB/管理画面Backend）。粗粒度認可のSSOTは管理画面Backend DBで配信は/api/me/context。syncMode既定はIMPORT、Mapper単位overrideはmfa_indicator（FORCE）のみ許可。scim_active/provisioned_by/last_loginをIdP Mapper対象にすることを禁止</t>
    <phoneticPr fontId="2"/>
  </si>
  <si>
    <t>U2 §2.5.4</t>
    <phoneticPr fontId="2"/>
  </si>
  <si>
    <t>User Profileスキーマ</t>
    <phoneticPr fontId="2"/>
  </si>
  <si>
    <t>両RealmでUser Profileを明示宣言しunmanagedAttributePolicy=DISABLED（未宣言属性は保存不可＝顧客IdPの生クレームを保存段階で物理破棄）。設定はUser Profile API経由でIaC化。宣言属性のSSOTはU3側。emailは必須にしない（email非保有顧客を収容）。realm属性でのポリシー設定は無効、JSONにコメントキーを入れると拒否される</t>
    <phoneticPr fontId="2"/>
  </si>
  <si>
    <t>U2 §2.6</t>
    <phoneticPr fontId="2"/>
  </si>
  <si>
    <t>1000+IdP制約1: バージョン固定</t>
    <phoneticPr fontId="2"/>
  </si>
  <si>
    <t>RHBK 26.x系に固定しupstream混在禁止。RHBK OperatorのOLMは手動承認とし自動更新を禁止。パッチ含む全昇格はStagingで1000 IdP合成データセットに対する回帰測定（ログインp99/Admin API p99）を通過してから本番適用</t>
    <phoneticPr fontId="2"/>
  </si>
  <si>
    <t>U2 §2.7.1</t>
    <phoneticPr fontId="2"/>
  </si>
  <si>
    <t>1000+IdP制約2: IdP一覧を出さない</t>
    <phoneticPr fontId="2"/>
  </si>
  <si>
    <t>全IdP・全期間でhideOnLoginPage=trueを必須とし（IaC既定+CI lint）、ログインテーマはIdPリストを描画しない。Account ConsoleのIdPリンク一覧は無効化または対象限定。HRD SPIはこの制約の実現手段であり性能成立の必須条件</t>
    <phoneticPr fontId="2"/>
  </si>
  <si>
    <t>U2 §2.7.2</t>
    <phoneticPr fontId="2"/>
  </si>
  <si>
    <t>1000+IdP制約3: Org紐付け必須</t>
    <phoneticPr fontId="2"/>
  </si>
  <si>
    <t>Org非紐付けのグローバルIdPの新規作成を禁止。例外はidpkc-oidc01のみ（これも各Orgに紐付けて登録）。オンボーディングパイプラインはOrg紐付けのないIdP作成要求をrejectする</t>
    <phoneticPr fontId="2"/>
  </si>
  <si>
    <t>U2 §2.7.3</t>
    <phoneticPr fontId="2"/>
  </si>
  <si>
    <t>1000+IdP制約4: realm全体export禁止</t>
    <phoneticPr fontId="2"/>
  </si>
  <si>
    <t>日常運用・バックアップ・監査のいずれでもrealm全体export（partial-export含む）を使用しない。構成の読取・変更はIdP単位/Org単位/Client単位のAdmin APIのみ。構成バックアップはIaCリポジトリとAuroraスナップショット/PITRを正とする</t>
    <phoneticPr fontId="2"/>
  </si>
  <si>
    <t>U2 §2.7.4</t>
    <phoneticPr fontId="2"/>
  </si>
  <si>
    <t>1000+IdP制約5: IaC 2層分離</t>
    <phoneticPr fontId="2"/>
  </si>
  <si>
    <t>基盤層（Realm設定/Flow/SPI配備/共通Client Scope/アプリClient/User Profile）はTerraform、テナント層（Organization/顧客IdP/IdP Mapper/リンク）は自作オンボーディングAPIによるAdmin API差分適用。keycloak-config-cliはrealm representationベースのため制約4と原理衝突し不採用に確定。単一stateに1000 IdPを置く構成は設計として不成立</t>
    <phoneticPr fontId="2"/>
  </si>
  <si>
    <t>U2 §2.7.5</t>
    <phoneticPr fontId="2"/>
  </si>
  <si>
    <t>1000+IdP制約6: キャッシュサイジング明示</t>
    <phoneticPr fontId="2"/>
  </si>
  <si>
    <t>キャッシュサイズを既定値のまま運用することを禁止し初期値を明示宣言。realmsキャッシュはmax-count 200,000 entriesを初期値（IdP 2,000×Mapper 5-6+Orgリンクで数万エントリ想定+ヘッドルーム）。usersキャッシュは10M MAU前提でU6が算定。再起動時のウォームアップ時間も測定対象</t>
    <phoneticPr fontId="2"/>
  </si>
  <si>
    <t>U2 §2.7.6</t>
    <phoneticPr fontId="2"/>
  </si>
  <si>
    <t>1000+IdP制約7: IdP数の関数としての継続監視</t>
    <phoneticPr fontId="2"/>
  </si>
  <si>
    <t>ログインフローp99・HRD解決時間・IdP系Admin API p99・IdPキャッシュhit率とエントリ数・Aurora CPUを、IdP数とOrg数を注記した時系列として継続計測。IdP追加バッチ前後で比較できるダッシュボードをU9が実装。アラート初期閾値は10 IdP時点ベースライン比+10%</t>
    <phoneticPr fontId="2"/>
  </si>
  <si>
    <t>U2 §2.7.7</t>
    <phoneticPr fontId="2"/>
  </si>
  <si>
    <t>1000社超過時の拡張パス</t>
    <phoneticPr fontId="2"/>
  </si>
  <si>
    <t>第一拡張パスはIdP-KC側のシャーディング（例 500 IdP/クラスタ）でBroker KCのIdP数を圧縮（Broker多段）。Realm分割は運用コストが復活するため次善。Custom IdP Storage SPIはPhase 2の研究テーマ</t>
    <phoneticPr fontId="2"/>
  </si>
  <si>
    <t>U2 §2.7.8</t>
    <phoneticPr fontId="2"/>
  </si>
  <si>
    <t>3階層識別子の格納先</t>
    <phoneticPr fontId="2"/>
  </si>
  <si>
    <t>U3 ID・プロビジョニング</t>
    <phoneticPr fontId="2"/>
  </si>
  <si>
    <t>Layer A=sub（user_entity.id、Keycloak採番、絶対不変、全DB FK・監査・アプリ主ID）/ Layer B=external_id（username=&lt;tenant&gt;-&lt;userid&gt; + user_attribute.external_id生値 + external_id_history改番履歴）/ Layer C=IdP側sub（federated_identity）。カスタム属性はUser Profile APIによるschema宣言+unmanagedAttributePolicy設定が必須（realm属性では効かないことを実機確認済）</t>
    <phoneticPr fontId="2"/>
  </si>
  <si>
    <t>D3-01</t>
    <phoneticPr fontId="2"/>
  </si>
  <si>
    <t>basic-design/03-identity-provisioning-design.md §3.1</t>
    <phoneticPr fontId="2"/>
  </si>
  <si>
    <t>emailは補助属性</t>
    <phoneticPr fontId="2"/>
  </si>
  <si>
    <t>JIT突合キーの第一推奨はtenant_id+persistentなIdP不変ID（OIDC sub / SAML persistent NameID / Entra oid）。emailは補助属性で突合キー・主識別子に使用禁止。email非保有ユーザーが存在しても全フローが成立する設計。復旧手段はRecovery Codes / Admin Reset / Passkey多重登録。email突合を使う顧客はデフォルトConfirm Link（Auto-LinkはTrusted IdPのみ）</t>
    <phoneticPr fontId="2"/>
  </si>
  <si>
    <t>D3-02</t>
    <phoneticPr fontId="2"/>
  </si>
  <si>
    <t>マッピングDBのスキーマ</t>
    <phoneticPr fontId="2"/>
  </si>
  <si>
    <t>per-userの少数マッピング（external_id/tenant_id等）はKeycloak user_attribute。多システムIDマッピング（経理ID/ServiceNow user_name/旧システムID等）はAurora補助スキーマ idmap（id_mapping + external_id_history、履歴行方式valid_from/valid_to）。Brokerのuser_attributeには置かずJWTにも載せない。アプリはJWT subを鍵にユーザ管理API経由で参照。FKはLayer A（sub）のみ。idmapは写像でありSoTではない</t>
    <phoneticPr fontId="2"/>
  </si>
  <si>
    <t>D3-03</t>
    <phoneticPr fontId="2"/>
  </si>
  <si>
    <t>プロビジョニング経路とprovisioned_by値体系</t>
    <phoneticPr fontId="2"/>
  </si>
  <si>
    <t>①JIT（フェデ初回ログイン、Broker、provisioned_by=jit、90日バッチ・Re-Activation対象）②SCIM受信（D2顧客IdP→Broker / D1顧客HRIS→IdP-KC、scim + scim_active=true、Re-Activation禁止）③LDAP（Phase 1対象外、ldapは将来用に予約）④管理者作成（local-admin、P-1運用者は踏み台経由）⑤アプリ発CRUD（IdP-KC、app + provisioned_app=client_id）+ Realm Import（realm_import）。未知の値・nullは常に安全側（90日バッチ=人間レビュー / Re-Activation=拒否）</t>
    <phoneticPr fontId="2"/>
  </si>
  <si>
    <t>D3-04</t>
    <phoneticPr fontId="2"/>
  </si>
  <si>
    <t>basic-design/03-identity-provisioning-design.md §3.2</t>
    <phoneticPr fontId="2"/>
  </si>
  <si>
    <t>アプリ発CRUDは専用API層経由</t>
    <phoneticPr fontId="2"/>
  </si>
  <si>
    <t>案C（専用API層）を採用。実体はADR-038の管理画面Backend（自作SPA+3層スコープ）と同一のユーザ管理APIをIdP-KC Acctに配置し、アプリにはOAuth2 Client Credentials（クライアントごとにテナント/操作スコープ限定）で開放。案B（SCIMエンドポイント経由）はSCIMのセマンティクスを壊すため明確に却下。案A（Admin API直叩き）は暫定運用としても不採用（物理削除ガードレールLayer 1が崩壊）</t>
    <phoneticPr fontId="2"/>
  </si>
  <si>
    <t>D3-05</t>
    <phoneticPr fontId="2"/>
  </si>
  <si>
    <t>appユーザのライフサイクル扱い</t>
    <phoneticPr fontId="2"/>
  </si>
  <si>
    <t>appユーザは90日バッチ対象外（アプリがSoT、削除・休眠判定はアプリ責務）+ Re-Activation禁止。ただしPCI DSS 8.2.6のシステムごと独立監査原則により、アプリは休眠検出時にAPI層のdeactivate（Soft Delete）を必ず呼ぶ義務を開発標準・契約に明記。未達アプリ向けに「90日バッチへのテナント単位オプトイン」をPhase 1設定項目として用意</t>
    <phoneticPr fontId="2"/>
  </si>
  <si>
    <t>D3-06</t>
    <phoneticPr fontId="2"/>
  </si>
  <si>
    <t>JIT/SCIM判別ロジックとCase 1-6</t>
    <phoneticPr fontId="2"/>
  </si>
  <si>
    <t>判定順序を固定: 判定1=scim_active=="true"なら削除・復活対象外（最強フラグ）→ 判定2=除外（serviceAccountClientLink / provisioned_by∈{local-admin,app,ldap} / admin role）→ 判定3=経路判定（jitのみ90日バッチ・Re-Activation対象、manual・realm_import・nullは人間レビュー）。不変条件3点: First Broker Login SPIはprovisioned_by未設定時のみjitをセット / per-Mapper syncMode=IMPORTでscim_active・provisioned_byを上書きから保護 / SPIは3系統Flow配置でdebounceは両Flow対応</t>
    <phoneticPr fontId="2"/>
  </si>
  <si>
    <t>D3-07</t>
    <phoneticPr fontId="2"/>
  </si>
  <si>
    <t>basic-design/03-identity-provisioning-design.md §3.3</t>
    <phoneticPr fontId="2"/>
  </si>
  <si>
    <t>SoTルールと混在時ポリシー</t>
    <phoneticPr fontId="2"/>
  </si>
  <si>
    <t>経路別SoT: ①JIT=顧客IdP（受動キャッシュ、削除トリガーは本基盤90日バッチ）②SCIM=顧客IdP/HRIS（SCIM Consumer、PATCH active=false / DELETE）③LDAP=顧客AD/LDAP ④local-admin=本基盤運用 ⑤app=同居アプリ。混在時ポリシーは「SCIM優先」= scim_active=trueが他のすべての判定に優先する削除禁止・復活禁止フラグ。SCIMユーザーのInactive Detectionは顧客IdP責任として契約に明記</t>
    <phoneticPr fontId="2"/>
  </si>
  <si>
    <t>D3-08</t>
    <phoneticPr fontId="2"/>
  </si>
  <si>
    <t>S1-S10状態遷移と3段階削除モデル</t>
    <phoneticPr fontId="2"/>
  </si>
  <si>
    <t>4状態機械（Active / Disabled / Deleted）。3段階削除: 第1段階=認証遮断（短命AT+RT Rotation、退職後数分〜4hで実質遮断）/ 第2段階=Soft Delete（enabled=false + not_before + Session Revoke + deprovisioned_at必須セット、Phase 1）/ 第3段階=物理削除（deprovisioned_at + retention_years経過後、S3 Glacier Deep Archive → DELETE CASCADE + idmap掃除、Phase 2）。起算はlast_loginではなくdeprovisioned_at。90日バッチはROSA infra PoolのKubernetes CronJobで実行（Lambda不採用）。jit_idp_aliasがidpkc%のもの（Broker shadow）は90日バッチ対象外</t>
    <phoneticPr fontId="2"/>
  </si>
  <si>
    <t>D3-09</t>
    <phoneticPr fontId="2"/>
  </si>
  <si>
    <t>basic-design/03-identity-provisioning-design.md §3.4</t>
    <phoneticPr fontId="2"/>
  </si>
  <si>
    <t>責任分界 L1-L3</t>
    <phoneticPr fontId="2"/>
  </si>
  <si>
    <t>L1本基盤Hygiene=90日バッチ+Soft Delete+Re-Activation+SCIM受信+Health Check（契約明記「JIT顧客のDeprovisioningは最大90日Lag。即時性が必要ならSCIM実装」）/ L2認証（本当の遮断）=顧客IdP責任（本基盤は顧客IdPのユーザ状態を操作しない）/ L3認可=アプリ（USER_DISABLED / USER_REACTIVATED / USER_DEPROVISIONEDをEventBridge→Webhookで通知、アプリはsub主ID+通知受信でRole剥奪）</t>
    <phoneticPr fontId="2"/>
  </si>
  <si>
    <t>D3-10</t>
    <phoneticPr fontId="2"/>
  </si>
  <si>
    <t>SCIM受信は自作Facade</t>
    <phoneticPr fontId="2"/>
  </si>
  <si>
    <t>Keycloak native inbound SCIMは不採用（feature有効でも404、実測）。Metatavu keycloak-scim-serverはPhase 1選定不要。Phase 1はSCIM 2.0を受けてKeycloak Admin APIに写像する自前の外部コンポーネント（SCIM Facade）を採用。エンドポイントはD2（scim-broker.&lt;domain&gt;/t/{tenant_id}/scim/v2）とD1（scim-idp.&lt;domain&gt;/t/{tenant_id}/scim/v2）の2方向。パスにテナントを含めURL+トークンの二重照合。DELETEはSoft Deleteに写像し物理削除しない。GroupsはPhase 2。認証=テナント専用の不透明Bearer（Secrets Manager保管、90日ローテ、URL不一致は403、Rate Limit初期値10 req/s）。externalId突合順序=scim_external_id → username → email（verified+matchByEmail=trueのみ）→ 新規作成</t>
    <phoneticPr fontId="2"/>
  </si>
  <si>
    <t>D3-11</t>
    <phoneticPr fontId="2"/>
  </si>
  <si>
    <t>basic-design/03-identity-provisioning-design.md §3.5</t>
    <phoneticPr fontId="2"/>
  </si>
  <si>
    <t>Re-Activationの条件仕様</t>
    <phoneticPr fontId="2"/>
  </si>
  <si>
    <t>発火点はPost Broker Login Flowが主戦場。enabled=falseで復帰ログイン時、jit→自動enabled=true + reactivated_at + deprovisioned_atクリア / scim or scim_active=true→拒否（SCIM deprovisioningの意味喪失防止、セキュリティ上重大）/ local-admin・app・未知→拒否。USER_REACTIVATEDイベント必須発行+大量発生の異常検知（ITDR）。Phase 1推奨=自動+監査+異常検知、厳格ポリシー顧客はテナント単位で手動切替可</t>
    <phoneticPr fontId="2"/>
  </si>
  <si>
    <t>D3-12</t>
    <phoneticPr fontId="2"/>
  </si>
  <si>
    <t>ゲート追跡表の一元管理</t>
    <phoneticPr fontId="2"/>
  </si>
  <si>
    <t>Phase 1契約前ゲート8項目（B-JIT-LC-1 / B-JIT-RA-1 / B-SCIM-JIT-1 / B-SCIM-JIT-3 / B-JIT-DEL-1 / B-JIT-DEL-2 / B-SCIM-HC-1 / B-TENANT-SWITCH-1・B-TENANT-EXIT-1）を本書§3.7で一元管理し、Waveごとに更新。全項目が未通過で暫定値（デフォルト）で設計継続中</t>
    <phoneticPr fontId="2"/>
  </si>
  <si>
    <t>D3-13</t>
    <phoneticPr fontId="2"/>
  </si>
  <si>
    <t>basic-design/03-identity-provisioning-design.md §3.7</t>
    <phoneticPr fontId="2"/>
  </si>
  <si>
    <t>認可境界は「粗粒度」まで</t>
    <phoneticPr fontId="2"/>
  </si>
  <si>
    <t>本基盤が持つのはL-認可2（組織コンテキスト+エンタイトルメント+機能ロール割当の器）まで。SSOT=ADR-038 Backend DB。JWTには載せずAPI pull（/api/me/context）で配信（ハイブリッドC）。アプリエンタイトルメントはフェデ系テナントにも必要。組織属性は認可に要る部分集合のみ（Minimum Storage）。機能ロール割当は器（opaque per-app文字列）のみ本基盤が持ち、意味の定義・閾値・ルーティング・リソース判定はアプリ</t>
    <phoneticPr fontId="2"/>
  </si>
  <si>
    <t>D3-14</t>
    <phoneticPr fontId="2"/>
  </si>
  <si>
    <t>basic-design/03-identity-provisioning-design.md §3.8</t>
    <phoneticPr fontId="2"/>
  </si>
  <si>
    <t>組織属性の格納と属性正準化の原則</t>
    <phoneticPr fontId="2"/>
  </si>
  <si>
    <t>単純per-user組織属性はKeycloak user attribute（User Profile宣言）: department / manager_ref / job_title / cost_center / organization / division / employment_type / hire_year。関係データ（機能ロール割当・エンタイトルメント・idmap・射影）はBackend DB。SCIM Enterprise拡張のmanagerは参照型のため直写像不可 → manager_ref=同一テナント内external_id値へ正規化する規約。属性正準化の原則: 名前・ID以外の属性は顧客IdPから素通しせず基盤の正準スキーマへ写像or基盤付与し、アプリは正準スキーマのみ受領。source解決3ケース（顧客写像 / 基盤付与 / 不要）はテナント×属性ごとに決める</t>
    <phoneticPr fontId="2"/>
  </si>
  <si>
    <t>D3-15</t>
    <phoneticPr fontId="2"/>
  </si>
  <si>
    <t>統合コンテキスト射影（/api/me/context）</t>
    <phoneticPr fontId="2"/>
  </si>
  <si>
    <t>読取元=ブランドユニット内の統合射影（read model = Option A）を1 read（Keycloak非経由・越境ゼロ）。都度join（Option B）は非IdPユーザーの読取でIdP-KC越境が必要=P-17抵触のため却下。ハイブリッド案2（部分射影: 変化の遅い組織属性・idmapは射影、変化の速いエンタイトルメントはBroker内で都度read）を選択肢として保持。即時剥奪など鮮度が命の操作は射影に頼らずBroker shadow無効化で担保。書込フィード3系統（D2 SCIM直upsert / D1 SCIM・アプリCRUD→EventBridge→upsert / 管理画面authoring直）。EventBridge at-least-once前提の冪等upsert+version最新勝ち。読取p99とストア選定はG-SCIMで実測して確定</t>
    <phoneticPr fontId="2"/>
  </si>
  <si>
    <t>D3-16</t>
    <phoneticPr fontId="2"/>
  </si>
  <si>
    <t>非IdPテナントのユーザCRUD/削除モデル</t>
    <phoneticPr fontId="2"/>
  </si>
  <si>
    <t>mode A（管理画面=SoT）単独を採用。テナント管理者がユーザ一覧/編集画面から作成・編集・削除。mode B（HRIS/D1 SCIM）・mode C（アプリ発CRUD）・非IdPの90日休眠バッチはPhase 1対象外。削除はoutboxパターンで確実伝播（①IdP-KC Soft Delete → ②projection deprovisioned + user.deprovisioned outbox行をauthz DBの1 Txで書く → ③outboxリレーがEventBridgeへ必達送信 → ④中央shadow制御LambdaがBroker shadowをenabled=false + not_before + session revoke、冪等）。遮断窓=通常数秒 / worst=リコンサイル間隔（数分）、発行済みATは最大30分有効。安全網として「IdP-KC deprovisioned_at有り ↔ Broker shadow enabled=true」を数分間隔で突合</t>
    <phoneticPr fontId="2"/>
  </si>
  <si>
    <t>D3-17</t>
    <phoneticPr fontId="2"/>
  </si>
  <si>
    <t>既定発行クレームの確定（Stage 1 + sid）</t>
    <phoneticPr fontId="2"/>
  </si>
  <si>
    <t>U5 トークン・認可</t>
    <phoneticPr fontId="2"/>
  </si>
  <si>
    <t>全アプリClientの既定発行= Stage 1の7クレーム（iss/sub/aud/azp/tenant_id/exp/iat）+ sid（Stage 1.5）に確定。sid既定発行を正式決定しADR-030の宙吊りを解消。sidはBack-Channel Logoutの突合キーで認可判定には使用禁止。Keycloakが付すjti/typ/scope/session_stateは契約外。Lightweight Access Token化はPhase 1では行わない</t>
    <phoneticPr fontId="2"/>
  </si>
  <si>
    <t>U5 §5.1.1</t>
    <phoneticPr fontId="2"/>
  </si>
  <si>
    <t>basic-design/05-token-session-authz-design.md</t>
    <phoneticPr fontId="2"/>
  </si>
  <si>
    <t>Stage 2 / Stage 3への昇格規約</t>
    <phoneticPr fontId="2"/>
  </si>
  <si>
    <t>昇格はRealm一括ではなくClient（アプリ）単位。Stage 2（scope/client_id/auth_time/jti）はToken Exchange参加・jti監査要件・ステップアップMFA利用のいずれか。Stage 3（roles）は管理系Clientのみで業務アプリへのroles発行は不可。acr/amrは常時発行せずOptional Client Scope『acr-step-up』でのみ発行</t>
    <phoneticPr fontId="2"/>
  </si>
  <si>
    <t>U5 §5.1.2</t>
    <phoneticPr fontId="2"/>
  </si>
  <si>
    <t>顧客拡張クレームの規約（ext_）</t>
    <phoneticPr fontId="2"/>
  </si>
  <si>
    <t>命名=ext_&lt;tenant&gt;_&lt;name&gt; または ext_&lt;name&gt;。該当テナント専用のOptional Client Scopeに集約しDefault Scopeへの追加禁止。PII審査必須（氏名・メール・電話・住所等の直接PIIは拒否）。供給元はUser Profile宣言済み属性のみ。拡張込みでAccess Token ≤ 1KB（base64後）を上限、groups等の可変長配列は原則拒否</t>
    <phoneticPr fontId="2"/>
  </si>
  <si>
    <t>U5 §5.1.3</t>
    <phoneticPr fontId="2"/>
  </si>
  <si>
    <t>PII非搭載原則の検証チェックリスト（C-1〜C-7）</t>
    <phoneticPr fontId="2"/>
  </si>
  <si>
    <t>C-1 AT/ID TokenにPII系クレームが含まれない / C-2 アプリClientのDefault Scopeにprofile・emailが付いていない / C-3 ライフサイクル属性がJWTに載っていない / C-4 新規クレームが直接・準識別子でない（external_id生値はJWT非搭載）/ C-5 トークンサイズ≤1KB / C-6 ログ・APMにトークン平文が出ない / C-7 userinfoがPII提供の唯一の窓口。①Mapper追加時レビュー ②CI（realm設定lint）③四半期監査の3箇所で運用</t>
    <phoneticPr fontId="2"/>
  </si>
  <si>
    <t>U5 §5.1.4</t>
    <phoneticPr fontId="2"/>
  </si>
  <si>
    <t>TTL体系の最終値とKeycloak設定マッピング</t>
    <phoneticPr fontId="2"/>
  </si>
  <si>
    <t>Access Token 30分 / ID Token 30分（ATと同一、Keycloakは共用）/ SSO Session Idle 1h / SSO Session Max 24h / Revoke Refresh Token=ON（Rotation有効）/ Refresh Token Max Reuse=0（Reuse Detection、再利用でトークンファミリー全停止）/ Client Session Idle・Maxは未設定（SSOセッション従属）/ offline_access はPhase 1無効 / 署名=ES256 / RP側の許容clock skew ≤60秒</t>
    <phoneticPr fontId="2"/>
  </si>
  <si>
    <t>U5 §5.2.1</t>
    <phoneticPr fontId="2"/>
  </si>
  <si>
    <t>「RT 30日」の解釈確定</t>
    <phoneticPr fontId="2"/>
  </si>
  <si>
    <t>P-09の「RT 30日」は設定可能上限（レンジ）を指すと解釈を確定。KeycloakではRTの寿命はSSO Session Idle/Maxに従属するためRT単独30日は成立しない。Phase 1のRT実効寿命=アイドル1hごとのRotation前提で最大24h（絶対）。NIST AAL2と完全整合し「絶対24h」と「RT 30日」の見かけの矛盾を解消。30日級の長期ログインはOffline Tokenのみで実現可能だがPhase 1無効、必要時はアプリ単位の個別審査でPhase 2以降に解禁</t>
    <phoneticPr fontId="2"/>
  </si>
  <si>
    <t>U5 §5.2.2</t>
    <phoneticPr fontId="2"/>
  </si>
  <si>
    <t>テナント別TTL短縮オプション（5-15分）</t>
    <phoneticPr fontId="2"/>
  </si>
  <si>
    <t>Keycloak標準のClient単位Access Token Lifespan overrideで実現。Client単位overrideはテナント単位ではないため短縮対象テナントには専用Clientを発行する。SSO Session Idle短縮（15-30分）も同一テナント判定で適用可。規制/PCIテナントの絶対セッション短縮（24h→8h）はSSO Session MaxがRealm単位のため専用Realm（ADR-017規制例外）で実現。カスタムTokenProvider SPI方式は不採用</t>
    <phoneticPr fontId="2"/>
  </si>
  <si>
    <t>U5 §5.2.3</t>
    <phoneticPr fontId="2"/>
  </si>
  <si>
    <t>ゾンビウィンドウの侵害シナリオ（Z-1〜Z-5）</t>
    <phoneticPr fontId="2"/>
  </si>
  <si>
    <t>ATはStateless JWTのため失効操作後も最大30分のゾンビ窓が残る。Z-1退職者SCIM削除=≤30分 / Z-2 RT盗難=Reuse Detectionでファミリー全停止（即時）/ Z-3管理者強制ログアウト=≤30分 / Z-4 ITDR L4大規模侵害=not-beforeはRPローカル検証に伝播せず≤30分 / Z-5 AT単体盗難=構造的残余リスク（Phase 2 DPoPで完全防御）。契約明示事項として顧客説明に用いる</t>
    <phoneticPr fontId="2"/>
  </si>
  <si>
    <t>U5 §5.2.4</t>
    <phoneticPr fontId="2"/>
  </si>
  <si>
    <t>Token Exchange 適用パターンの限定</t>
    <phoneticPr fontId="2"/>
  </si>
  <si>
    <t>Phase 1で有効化するのはPattern 2（Audience縮小/Downstream Token）とPattern 3（Scope縮小）の2つに限定。Pattern 5（Delegation/act連鎖）とPattern 6/7（クロスドメイン・エッジ橋渡し）はPhase 2。Pattern 4（Impersonation）は監査追跡性を損なうため不採用（テスト環境限定・本番禁止）。aud跨ぎの素通し転送は禁止。同一信頼境界内の複数API呼び出しはTEではなくaud-* scopeの複数Default付与で解決するのが第一選択</t>
    <phoneticPr fontId="2"/>
  </si>
  <si>
    <t>U5 §5.3.1</t>
    <phoneticPr fontId="2"/>
  </si>
  <si>
    <t>audience設計と命名規約</t>
    <phoneticPr fontId="2"/>
  </si>
  <si>
    <t>Token Exchangeのaudienceパラメータ値=aud-&lt;api&gt; scopeが埋めるAPI識別子と同一の名前空間（TE用に別体系を作らない）。aud値の命名は短名（Client IDと同一の&lt;api名&gt;、例 expense-api）を採用しURI形式は不採用。交換後トークンのクレームはStage 1 + sidを維持（sub=元ユーザ、azp=交換実行サービス）</t>
    <phoneticPr fontId="2"/>
  </si>
  <si>
    <t>U5 §5.3.2</t>
    <phoneticPr fontId="2"/>
  </si>
  <si>
    <t>Token Exchange の Client設定方針</t>
    <phoneticPr fontId="2"/>
  </si>
  <si>
    <t>Keycloak Standard Token Exchange（V2）のみ使用しLegacy(V1)は禁止。交換実行ClientはConfidential必須（Public ClientのTE禁止）。有効化はClientごとに個別（Realm一括禁止）でaud-* scope付与のホワイトリストとして表現。scopeは縮小のみ許可（要求scope ⊆ 元AT scope）。交換後AT TTL=15分、Refresh Tokenは発行しない。TOKEN_EXCHANGEイベントを監査ログ必須収集。IdP-KC側でのTEは提供しない</t>
    <phoneticPr fontId="2"/>
  </si>
  <si>
    <t>U5 §5.3.3</t>
    <phoneticPr fontId="2"/>
  </si>
  <si>
    <t>RT Revocation（アプリ・ユーザ起点）</t>
    <phoneticPr fontId="2"/>
  </si>
  <si>
    <t>RFC 7009準拠のRevocationエンドポイントを全RPに開放。RPはログアウト時に保持中のRTをrevokeしてから破棄することをRP実装ガイドの必須項目とする。ATのrevokeは受理されるがローカル検証RPには伝播しないため、RPには「AT revokeに依存せず短TTLを前提に設計せよ」と案内</t>
    <phoneticPr fontId="2"/>
  </si>
  <si>
    <t>U5 §5.4.1</t>
    <phoneticPr fontId="2"/>
  </si>
  <si>
    <t>管理者強制ログアウトの3粒度</t>
    <phoneticPr fontId="2"/>
  </si>
  <si>
    <t>①個別ユーザ=Admin API users/{id}/logout（全セッション削除→RT即死+L4 Back-Channel Logout発火）、入口は管理画面Backend経由のみでテナント管理者は自テナントに限定 ②テナント単位=対象Orgメンバーへの一括logout（冪等・再開可能なジョブ）③全体（緊急）=ITDR L4手順、基盤on-callのみ。全操作を監査ログ必須（操作者/対象/理由コード/粒度）。パスワード変更時の全セッション無効化は自動切断をデフォルト</t>
    <phoneticPr fontId="2"/>
  </si>
  <si>
    <t>U5 §5.4.2</t>
    <phoneticPr fontId="2"/>
  </si>
  <si>
    <t>ITDR L4連動（全Token Revoke）</t>
    <phoneticPr fontId="2"/>
  </si>
  <si>
    <t>①not-before push（Realmまたは対象Client単位）で発火時刻以前発行の全トークンを無効化 ②対象範囲の全セッション削除（RT即死+L4一斉送信）③限界の明示=ローカル署名検証のみのRPにはnot-beforeが伝播せずAT残寿命≤30分のゾンビ窓が残るため、L4発火Runbookに「30分間の追加監視」を含める ④発火判定・自動化閾値はU7のRisk Engine設計に従う。本書は実行API面の確定のみ</t>
    <phoneticPr fontId="2"/>
  </si>
  <si>
    <t>U5 §5.4.3</t>
    <phoneticPr fontId="2"/>
  </si>
  <si>
    <t>ログアウト4レイヤーの採用範囲</t>
    <phoneticPr fontId="2"/>
  </si>
  <si>
    <t>L1ローカル=Must（Cookie/トークンストア破棄+保持RTのrevoke）/ L2 RP-Initiated Logout=Must（id_token_hint必須、post_logout_redirect_uriは完全一致登録・ワイルドカード禁止）/ L3フェデ連動=既定OFF・テナントオプション、ただしidpkc-oidc01（自社IdP-KC）は既定ON / L4 Back-Channel Logout=Must（コア層OIDCアプリ標準）/ L4 Front-Channel Logout=不採用。既定の到達範囲=L1+L2+L4+IdP-KC連鎖（顧客IdPセッションは維持=顧客責任）</t>
    <phoneticPr fontId="2"/>
  </si>
  <si>
    <t>U5 §5.5.1</t>
    <phoneticPr fontId="2"/>
  </si>
  <si>
    <t>SAML SP（ServiceNow）へのSLO</t>
    <phoneticPr fontId="2"/>
  </si>
  <si>
    <t>ServiceNowへのSAML SLOはPhase 1では実装しない（オプション扱い）。根拠=SAML SLOは成功率60-80%・SOAP実装複雑で1 SPの無応答がチェーンを壊す。SNセッションはSN側アイドルタイムアウト+次回アクセス時のSAML再認証で収束し、L1 SCIM enabled=false→SAML認証拒否の遮断経路が既にある。テナントが要求した場合はSP-initiated SLOのみ検討し詳細設計はU10へ</t>
    <phoneticPr fontId="2"/>
  </si>
  <si>
    <t>U5 §5.5.2</t>
    <phoneticPr fontId="2"/>
  </si>
  <si>
    <t>SPA直構成の限界の明示</t>
    <phoneticPr fontId="2"/>
  </si>
  <si>
    <t>Back-Channel Logoutはサーバ間POSTのためバックエンドを持たないSPA直構成はL4通知を受信できない。該当アプリは①AT 30分の自然失効+次回Refresh失敗で最大30分遅れの切断を許容するか、②BFF構成へ移行してL4受信を実装するかのいずれかを選択。OIDC Session Management（iframe polling）は3rd party cookie制約により推奨しない。シェア端末を扱うアプリはBFF+L4を必須</t>
    <phoneticPr fontId="2"/>
  </si>
  <si>
    <t>U5 §5.5.3</t>
    <phoneticPr fontId="2"/>
  </si>
  <si>
    <t>Back-Channel Logoutの実装確定</t>
    <phoneticPr fontId="2"/>
  </si>
  <si>
    <t>各アプリClientにbackchannel_logout_urlを登録しBackchannel Logout Session Required=ON（Logout Tokenにsidを含める）。発火点=L2 RP-Initiated / 管理者強制ログアウト / ITDR L4のすべて。RP受信実装の必須項目=①POST /backchannel-logout ②Logout Token検証（署名/iss/aud/iat/events/nonceが無いこと）③sidでローカルセッション索引を破棄（sid不在時はsub全セッション破棄にフォールバック）④2xx応答・冪等実装。送信失敗時はベストエフォート（再送保証なし）で最終防衛線はTTL</t>
    <phoneticPr fontId="2"/>
  </si>
  <si>
    <t>U5 §5.5.4</t>
    <phoneticPr fontId="2"/>
  </si>
  <si>
    <t>RP実装ガイド: 認可リクエスト（全アプリ必須）</t>
    <phoneticPr fontId="2"/>
  </si>
  <si>
    <t>response_type=codeのみ（Implicit/Hybrid禁止）。state（128bit以上乱数）+ nonce + PKCE S256を必須。Public Client（SPA/モバイル）はPKCE必須、ConfidentialでもPKCE推奨。state/nonce/code_verifierはHttpOnly Cookie or sessionStorage（BFFはサーバセッション）でTTL 10分・1回検証で即破棄。Callbackでstate不一致は400拒否。issレスポンスパラメータ検証（mix-up対策）を推奨項目に含める</t>
    <phoneticPr fontId="2"/>
  </si>
  <si>
    <t>U5 §5.6.1</t>
    <phoneticPr fontId="2"/>
  </si>
  <si>
    <t>RP実装ガイド: BFF vs SPA直の使い分け</t>
    <phoneticPr fontId="2"/>
  </si>
  <si>
    <t>既定推奨はBFF（トークンはサーバ側保管、ブラウザにはHttpOnly+Secure+SameSite=Laxのセッションcookieのみ、L4受信可、CSRFはDouble Submit Cookie必須）。SPA直は制約の明示同意（アプリオーナー）を条件に許容（AT/RTはMemory保管のみ、localStorage/Cookie禁止、L4受信不可、CSP+escape+DOMPurify必須）。適用目安=機微データ・シェア端末・長時間業務はBFF、社内向け読み取り中心の軽量SPAはSPA直</t>
    <phoneticPr fontId="2"/>
  </si>
  <si>
    <t>U5 §5.6.2</t>
    <phoneticPr fontId="2"/>
  </si>
  <si>
    <t>U5 §5.6.3</t>
    <phoneticPr fontId="2"/>
  </si>
  <si>
    <t>RP実装ガイド: CORS / SameSite</t>
    <phoneticPr fontId="2"/>
  </si>
  <si>
    <t>APIのAccess-Control-Allow-Originは具体的RP originの許可リスト（*禁止）。Bearer方式ではAccess-Control-Allow-Credentials=false。BFFセッションCookieはHttpOnly; Secure; SameSite=Laxを既定（Strictはフェデリダイレクト帰還で切れるためLax、CSRFトークン併用で完全防御）。GETで状態変更するAPIの実装禁止</t>
    <phoneticPr fontId="2"/>
  </si>
  <si>
    <t>U5 §5.6.4</t>
    <phoneticPr fontId="2"/>
  </si>
  <si>
    <t>RP実装ガイド: ログアウト・トークンライフサイクル</t>
    <phoneticPr fontId="2"/>
  </si>
  <si>
    <t>ログアウト時はRT revoke → ローカル破棄 → L2 RP-Initiated（id_token_hint付き）の順。L4受信エンドポイント実装はBFF/SSR必須。Refresh失敗（invalid_grant）はセッション終了として再ログイン誘導（Reuse Detection発火時も同じ経路に収束）</t>
    <phoneticPr fontId="2"/>
  </si>
  <si>
    <t>U5 §5.6.5</t>
    <phoneticPr fontId="2"/>
  </si>
  <si>
    <t>RP実装ガイド: 認可失敗（403）→ Sorry誘導</t>
    <phoneticPr fontId="2"/>
  </si>
  <si>
    <t>アプリは403を検知したらlaunchpad.&lt;domain&gt;/sorry?app=&lt;カタログID&gt;&amp;reason=&lt;code&gt;へredirectする。reasonコードは固定辞書のみ（not_entitled / tenant_not_allowed / stepup_required 等、SSOTはU4）。自由文パラメータの付与は禁止（インジェクション・情報漏えい対策）。エッジ403→302集約が他組織に受諾された後も本規約は廃止しない（二重化）</t>
    <phoneticPr fontId="2"/>
  </si>
  <si>
    <t>U5 §5.6.6</t>
    <phoneticPr fontId="2"/>
  </si>
  <si>
    <t>専用API層のスコープ命名規約とPhase 1セット</t>
    <phoneticPr fontId="2"/>
  </si>
  <si>
    <t>命名=idm:&lt;resource&gt;:&lt;action&gt;（小文字・コロン区切り・複数形リソース）。Phase 1セット= idm:users:read / write / deactivate / reactivate、idm:idmap:read / write、idm:context:read、idm:assignments:write、idm:sessions:revoke、idm:orgs:read。粒度は「リソース×操作」の2軸のみとし行レベル制約はスコープで表現しない（スコープ爆発の防止）。物理削除スコープ（idm:users:delete）はPhase 1では定義しない</t>
    <phoneticPr fontId="2"/>
  </si>
  <si>
    <t>U5 §5.8.1</t>
    <phoneticPr fontId="2"/>
  </si>
  <si>
    <t>専用API層のClient発行・テナント制約・トークン設定</t>
    <phoneticPr fontId="2"/>
  </si>
  <si>
    <t>Client発行単位=利用アプリごとに1 Confidential Client（Service Account有効・Standard Flow無効、共有Client禁止）。スコープはOptional Client Scopeとして定義しアプリごとに必要最小セットのみ付与。テナント制約=Client属性allowed_tenants（カンマ区切りOrg alias）をHardcoded Claim MapperでATに焼き込み、API層は全リクエストで対象リソースのtenant ∈ allowed_tenants を強制（スコープ=リソース×操作、テナント境界=クレームの2層認可）。aud=idm-api、AT TTL=15分、azp単位のレート制限</t>
    <phoneticPr fontId="2"/>
  </si>
  <si>
    <t>U5 §5.8.2</t>
    <phoneticPr fontId="2"/>
  </si>
  <si>
    <t>ログインUX = Identifier-First 2段階</t>
    <phoneticPr fontId="2"/>
  </si>
  <si>
    <t>U4 認証体験・UX</t>
    <phoneticPr fontId="2"/>
  </si>
  <si>
    <t>画面1は識別子入力のみ（パスワード欄なし・接続先ボタンなし）。IDとメールを同一フィールドで受けHRDが判別。接続先一覧は恒久的に非表示（1000+件では性能上成立しないため必須条件）。画面1に「ここではパスワードを入力しません」の1行説明を常設し、リダイレクト直前の中間画面は設けない。統合1画面案は98%の利用者に無関係なPW欄を見せフィッシング教育上有害なため不採用</t>
    <phoneticPr fontId="2"/>
  </si>
  <si>
    <t>D-U4-01</t>
    <phoneticPr fontId="2"/>
  </si>
  <si>
    <t>basic-design/04-auth-ux-design.md §4.1</t>
    <phoneticPr fontId="2"/>
  </si>
  <si>
    <t>HRD失敗時のフォールバックUX</t>
    <phoneticPr fontId="2"/>
  </si>
  <si>
    <t>利用者の存在有無を漏らさない応答同一化を全ケースで守る。①所属不在/接続なし=無言でPW画面へ+汎用エラー+書式ヒント ②メールのドメイン未登録=同上 ③ハイフンなしの素のID=PW画面（運用者の正規経路）+恒常ヒント ④同一所属に複数接続=所属限定セレクター（displayName昇順）。ダミー遅延は入れずフォーム描画コストに吸収。「組織が見つかりません」等の表示は禁止</t>
    <phoneticPr fontId="2"/>
  </si>
  <si>
    <t>D-U4-02</t>
    <phoneticPr fontId="2"/>
  </si>
  <si>
    <t>basic-design/04-auth-ux-design.md §4.1.3</t>
    <phoneticPr fontId="2"/>
  </si>
  <si>
    <t>ブランディング = パターンA（統一テーマ1本）</t>
    <phoneticPr fontId="2"/>
  </si>
  <si>
    <t>基盤統一のニュートラルテーマ1本のみ保守。テナント別ロゴ・配色はPhase 1不採用（画面1はテナント未確定で原理的に不可能、HRD解決後も出さない）。テナント識別はテキスト表示のみ。全カスタム文言はmessagesプロパティに集約しFTL直書き禁止。標準のCSRF hiddenフィールドとsession_codeを削除・改変しないことをテーマPRレビュー必須項目に。アプリ別テーマはA'移行時に解禁、顧客別はPhase 2の顧客別URL方式で受ける</t>
    <phoneticPr fontId="2"/>
  </si>
  <si>
    <t>basic-design/04-auth-ux-design.md §4.2</t>
    <phoneticPr fontId="2"/>
  </si>
  <si>
    <t>MFA UX 4ケース（2026-07-30 D-17反映）</t>
    <phoneticPr fontId="2"/>
  </si>
  <si>
    <t>ケースA'=外部フェデ利用者（顧客IdP保有テナントの全員＋そのテナント管理者）は基盤側追加画面ゼロ、mfa_indicatorの検証・記録・監視のみでブロックも補完もしない（MFA実施は顧客IdP責任＋契約担保）/ ケースB=自社受け皿収容の利用者（非IdPテナントの一般利用者＋テナント管理者）にWebAuthn優先、実施場所は受け皿側のログイン画面 / ケースC=同対象でWebAuthn不可時にTOTP（6桁自動送信はしない）/ ケースD=基盤運用者のみPW+WebAuthn必須（TOTPへの緩和不可）。SMS OTPは不採用確定。二重MFA回避が本設計の中核価値</t>
    <phoneticPr fontId="2"/>
  </si>
  <si>
    <t>basic-design/04-auth-ux-design.md §4.3.1</t>
    <phoneticPr fontId="2"/>
  </si>
  <si>
    <t>MFAエンロールフロー（初回登録UX）</t>
    <phoneticPr fontId="2"/>
  </si>
  <si>
    <t>ケースB/C対象者は初回ログイン時にエンロール強制（猶予期間なし）。遷移=登録案内（所要1分目安）→WebAuthn登録（認証器名は自動命名、利用者入力を必須にしない）→使えない場合のフォールバックリンクでTOTP登録（QR+手動キー併記・コピーボタン付き）→Recovery Codes発行→着地。猶予期間案は「MFA漏れ利用者が常在しコンプラ主張が崩れる」ため不採用</t>
    <phoneticPr fontId="2"/>
  </si>
  <si>
    <t>U4 §4.3.2</t>
    <phoneticPr fontId="2"/>
  </si>
  <si>
    <t>basic-design/04-auth-ux-design.md §4.3.2</t>
    <phoneticPr fontId="2"/>
  </si>
  <si>
    <t>Recovery Codes（予備コード）</t>
    <phoneticPr fontId="2"/>
  </si>
  <si>
    <t>基盤側クレデンシャルを持つ全利用者（ケースB/C/D）に標準機能で発行。エンロール完了直後に自動発火し一括表示＋ダウンロード/印刷/コピー。ハッシュ化保存。残3以下でバナー再発行誘導、全消費時は再発行を強制。紛失時の自己救済不能ケースはケースB/C=顧客テナント管理者が管理画面からリセット、ケースD=自社運用ランブック（本人確認手順込み）。リセットは通常操作ではなく管理者の一時昇格承認経路のみ</t>
    <phoneticPr fontId="2"/>
  </si>
  <si>
    <t>basic-design/04-auth-ux-design.md §4.3.3</t>
    <phoneticPr fontId="2"/>
  </si>
  <si>
    <t>ステップアップ再認証UX</t>
    <phoneticPr fontId="2"/>
  </si>
  <si>
    <t>通常ログインと明確に区別された専用文言画面。AAL2=「操作の確認のため、追加の本人確認を行います」でWebAuthn/TOTP・max_age 900秒 / AAL3=同文言でフィッシング耐性のある方式のみ（TOTPは選択肢に出さない）・max_age 300秒。再認証後は元の操作画面へ復帰（操作コンテキスト保持はアプリ責務）。「再ログイン」「ログインし直してください」という表現を全画面で禁止。max_age超過時は「最後の確認から時間が経過しました」（「セッション切れ」と言わない）。外部フェデ利用者はステップアップ対象外</t>
    <phoneticPr fontId="2"/>
  </si>
  <si>
    <t>D-U4-05</t>
    <phoneticPr fontId="2"/>
  </si>
  <si>
    <t>basic-design/04-auth-ux-design.md §4.3.4</t>
    <phoneticPr fontId="2"/>
  </si>
  <si>
    <t>Landing = Pattern 1（許可サービスのみ表示）</t>
    <phoneticPr fontId="2"/>
  </si>
  <si>
    <t>Post-loginサービス選択画面を独立SPA（launchpad）として構築。許可されたサービスのみタイル表示＋申請可能セクション。表示判定は通行証のロール直読ではなく管理画面Backendのエンタイトルメント照会API（/api/me/context、フェデ系・非IdP系を問わず全テナント共通契約）。業務アプリにロール情報を発行しない決定と整合。アプリ側の認可判定はPattern 1でも必須（省略は誤った安心感）。お気に入り・最近使ったはPhase 2</t>
    <phoneticPr fontId="2"/>
  </si>
  <si>
    <t>D-U4-06</t>
    <phoneticPr fontId="2"/>
  </si>
  <si>
    <t>basic-design/04-auth-ux-design.md §4.4</t>
    <phoneticPr fontId="2"/>
  </si>
  <si>
    <t>Sorry = 基盤側SPA主実装</t>
    <phoneticPr fontId="2"/>
  </si>
  <si>
    <t>主実装=launchpad SPA内ルート/sorry（同一codebase・同一配信）。主経路=アプリが403検知時に/sorryへredirectする規約を受け取り側実装ガイドの標準要件に。追加層=エッジでの403→302集約は境界が他組織管理のため実装を保証できず、要求仕様（別紙）に降格。受諾されてもアプリ側redirect規約は廃止しない（二重化）。表示必須=認証エラーと誤認させない見出し・利用者名とテナント名・対象サービス名・理由コードの固定文言・次のアクション・リクエストIDと時刻。表示禁止=他テナント情報・スタックトレース・内部システム名・生トークン・内部ロール名</t>
    <phoneticPr fontId="2"/>
  </si>
  <si>
    <t>D-U4-07</t>
    <phoneticPr fontId="2"/>
  </si>
  <si>
    <t>basic-design/04-auth-ux-design.md §4.5</t>
    <phoneticPr fontId="2"/>
  </si>
  <si>
    <t>アクセシビリティ = WCAG 2.2 AA + JIS AA</t>
    <phoneticPr fontId="2"/>
  </si>
  <si>
    <t>全UI接点10画面を対象にWCAG 2.2 AA + JIS X 8341-3:2016 AA準拠。axe-coreをPRごとに実行しAA違反でmergeブロック（テーマは実画面をテストコンテナで起動して検査、FTL静的検査では不足）。3層検証=L1自動CI / L2手動（NVDA・VoiceOver、月1+Major改修時）/ L3当事者テスト（年1回）。拘束項目=識別子欄にautocomplete=username・TOTPにone-time-code、ステップアップで識別子を再入力させない、ヒント/エラーはrole=alert+aria-live、タイムアウトは無言の白画面禁止、ボタン44×44px以上、コントラスト・フォーカスリングはデザイントークン1セットを共通化</t>
    <phoneticPr fontId="2"/>
  </si>
  <si>
    <t>D-U4-08</t>
    <phoneticPr fontId="2"/>
  </si>
  <si>
    <t>basic-design/04-auth-ux-design.md §4.6</t>
    <phoneticPr fontId="2"/>
  </si>
  <si>
    <t>ディープリンク・着地の原則</t>
    <phoneticPr fontId="2"/>
  </si>
  <si>
    <t>redirect_uri優先（ディープリンク尊重）。認可要求に戻り先がない基盤起点ログインのみLandingに着地。接続先指定付きディープリンク（ポータル・QR・招待メール用途）は画面1をスキップする正規経路として許容し、指定が不正な場合は標準動作で画面1に降格</t>
    <phoneticPr fontId="2"/>
  </si>
  <si>
    <t>basic-design/04-auth-ux-design.md §4.1.4</t>
    <phoneticPr fontId="2"/>
  </si>
  <si>
    <t>テーマの構成と保守範囲</t>
    <phoneticPr fontId="2"/>
  </si>
  <si>
    <t>カスタマイズ対象は10ファイルに限定（識別子/PW画面・TOTP認証・TOTPエンロール・WebAuthn認証・WebAuthn登録・Recovery Codes発行/入力・所属セレクター・エラー・情報）。それ以外は標準テーマ継承のままとし製品バージョンアップ時の差分確認対象を最小化。アクセシビリティ要件をテーマの受け入れ基準に組み込む。アカウント設定画面は標準ベース＋文言/ロゴのみを暫定</t>
    <phoneticPr fontId="2"/>
  </si>
  <si>
    <t>basic-design/04-auth-ux-design.md §4.2.3</t>
    <phoneticPr fontId="2"/>
  </si>
  <si>
    <t>暗号鍵の命名規則と配置（6アカウント体系への写像）</t>
    <phoneticPr fontId="2"/>
  </si>
  <si>
    <t>U7 セキュリティ</t>
    <phoneticPr fontId="2"/>
  </si>
  <si>
    <t>3階層モデル（L1基盤共通/L2アカウント別/L3テナント別）を維持し alias/&lt;scope&gt;-&lt;purpose&gt;[-mrk] で確定。Phase 1初期セット10種を定義（監査ログ・組織証跡・Break-Glass・Broker Aurora・IdP-KC Aurora〔PWハッシュ保有〕・idmap・ITDR・Secrets・S3・テナント別）。IdP-KC侵害時にBroker側の鍵へ到達できないことをアカウント分割で構造保証。他組織アカウントへの鍵共有はゼロ。全鍵MRK化は漏洩影響を東京に限定する観点で不採用</t>
    <phoneticPr fontId="2"/>
  </si>
  <si>
    <t>D-U7-01</t>
    <phoneticPr fontId="2"/>
  </si>
  <si>
    <t>basic-design/07-security-compliance-design.md §7.1.1</t>
    <phoneticPr fontId="2"/>
  </si>
  <si>
    <t>鍵ポリシー — 管理者/利用者/監査者の職務分離</t>
    <phoneticPr fontId="2"/>
  </si>
  <si>
    <t>全鍵の Key Policy を3ロール構造で統一しTerraformテンプレート化。管理者=Security Lead+Infra Leadの2名（多要素認証必須、暗号化操作権限は付与しない、JIT昇格経由のみ）/ 利用者=サービスRole（IRSA）のみで人間への付与禁止・対象鍵限定 / 監査者=読取専用。Key Custodian Agreement は書面で法務レビュー、離職時は即日削除。鍵削除・ポリシー変更・無効化は高重要度で即時通知</t>
    <phoneticPr fontId="2"/>
  </si>
  <si>
    <t>D-U7-02</t>
    <phoneticPr fontId="2"/>
  </si>
  <si>
    <t>basic-design/07-security-compliance-design.md §7.1.2</t>
    <phoneticPr fontId="2"/>
  </si>
  <si>
    <t>JWT署名鍵はKeycloak標準管理 + 90日更新周期</t>
    <phoneticPr fontId="2"/>
  </si>
  <si>
    <t>署名鍵はKeycloak標準のRealm Keysで管理し暗号管理サービスには持ち込まない。90日で新鍵に切替、旧鍵は検証専用で30日並走（受け取り側キャッシュTTLを上回ることを保証）。緊急時は並走なしで即時無効化＋全体無効化操作＋受け取り側へ再取得の注意喚起。暗号管理サービスでの署名は該当機能がなく開発と遅延が過大なためPhase 1では見送り（金融要件発生時にPhase 2再評価）</t>
    <phoneticPr fontId="2"/>
  </si>
  <si>
    <t>D-U7-03</t>
    <phoneticPr fontId="2"/>
  </si>
  <si>
    <t>basic-design/07-security-compliance-design.md §7.1.3</t>
    <phoneticPr fontId="2"/>
  </si>
  <si>
    <t>不正検知のパイプライン構成と配置</t>
    <phoneticPr fontId="2"/>
  </si>
  <si>
    <t>イベント送出専任の仕組みでイベントバスへ送り、Broker側に判定エンジンと履歴DBを一元配置。IdP-KC側のイベント（ローカルパスワードログインが主戦場）はクロスアカウントで送出のみ。対応操作はBroker内で完結させ、IdP-KCへの逆流経路は作らない（片方向原則の維持）。判定エンジンの二重配置は履歴が分裂し将来の相関分析が不能になるため不採用。監視製品連携は後続フェーズ</t>
    <phoneticPr fontId="2"/>
  </si>
  <si>
    <t>D-U7-04</t>
    <phoneticPr fontId="2"/>
  </si>
  <si>
    <t>basic-design/07-security-compliance-design.md §7.2.1</t>
    <phoneticPr fontId="2"/>
  </si>
  <si>
    <t>Phase 1の検知範囲と閾値初期値</t>
    <phoneticPr fontId="2"/>
  </si>
  <si>
    <t>漏洩パスワード照合と総当たり検知の2領域に限定。①アカウント単位=連続5失敗で30分ロック（恒久ロックはサービス妨害化を防ぐため不使用）②横断パターン=同一送信元から10分で10利用者以上の失敗で警戒、30ユーザ以上で上位通知（Phase 1aは通知のみ）③漏洩パスワード=ログイン成功時とパスワード設定変更時に外部照合し、ヒット時は強制再認証＋変更強制/設定拒否。照合は先頭5桁のみ送信する方式で平文は送らない。外部API障害時は照合をスキップしログイン可用性を優先。リスク帯を4段階で定義</t>
    <phoneticPr fontId="2"/>
  </si>
  <si>
    <t>basic-design/07-security-compliance-design.md §7.2.2</t>
    <phoneticPr fontId="2"/>
  </si>
  <si>
    <t>誤検知の段階活性化運用</t>
    <phoneticPr fontId="2"/>
  </si>
  <si>
    <t>Phase 1a（〜3ヶ月）は検知・通知のみ（例外は漏洩パスワードヒット時の変更強制）。Phase 1bで誤検知率5%未満を実測条件として自動対応をシグナル単位で有効化。検証済み送信元の除外リストはコード管理＋四半期棚卸し。災害復旧訓練の実施ウィンドウ中は一部検知を通知のみに自動降格し、総当たり検知の感度は一段引き上げ。誤ロック解除はテナント管理者または基盤運用者が行い操作を監査記録。リリース時から全自動遮断は誤検知多発が確実なため不採用</t>
    <phoneticPr fontId="2"/>
  </si>
  <si>
    <t>D-U7-06</t>
    <phoneticPr fontId="2"/>
  </si>
  <si>
    <t>basic-design/07-security-compliance-design.md §7.2.3</t>
    <phoneticPr fontId="2"/>
  </si>
  <si>
    <t>ログの秘匿情報マスキング（収集段＋保存後スキャンの2段構え）</t>
    <phoneticPr fontId="2"/>
  </si>
  <si>
    <t>収集段マスクを主とし保存後スキャンで漏れを検知。収集は全ノード配置の軽量収集役→集約役（マスク処理を集中、Keycloak用ノードとは分離配置しCPUを食わせない）。マスキング辞書14項目を定義（旧来方式の応答/要求/中継状態、認可コード、検証子、各種トークン、セッションCookie、認証ヘッダ、ログアウトトークン等）。週1で保存後スキャンを実行し、検出時は該当トークンの強制無効化＋辞書追加。マスク処理件数もメトリクス化し突然のゼロ件はパイプライン故障として警報。配信元ログは他組織管理のため要求仕様に登録</t>
    <phoneticPr fontId="2"/>
  </si>
  <si>
    <t>D-U7-07</t>
    <phoneticPr fontId="2"/>
  </si>
  <si>
    <t>basic-design/07-security-compliance-design.md §7.3.1</t>
    <phoneticPr fontId="2"/>
  </si>
  <si>
    <t>署名鍵悪用検知はPhase 1でルールベース4シグナル</t>
    <phoneticPr fontId="2"/>
  </si>
  <si>
    <t>ベースライン学習の要否で分割。Phase 1採用=①短時間大量発行（1分100件で警戒/1000件で重大）②通常時間帯外の署名操作（深夜帯の急増）③鍵識別子の異常使用（廃止済み・未知・未指定。90日更新運用と表裏一体のため必須）④認証イベントを伴わないトークン発行（最も直接的なシグナル）。発行分布の統計逸脱と異常地理IPは3ヶ月以上の履歴が前提のためPhase 2。重大発火時は緊急鍵更新手順＋全体無効化手順に連動（Phase 1aは通知のみ）</t>
    <phoneticPr fontId="2"/>
  </si>
  <si>
    <t>D-U7-08</t>
    <phoneticPr fontId="2"/>
  </si>
  <si>
    <t>basic-design/07-security-compliance-design.md §7.4.1</t>
    <phoneticPr fontId="2"/>
  </si>
  <si>
    <t>実行主体の権限設計（IRSA）</t>
    <phoneticPr fontId="2"/>
  </si>
  <si>
    <t>Pod→AWSリソースは標準のIRSA方式で統一。命名規約 &lt;acct&gt;-irsa-&lt;namespace&gt;-&lt;serviceaccount&gt;、信頼ポリシーは完全一致（ワイルドカード禁止）、1実行主体=1ロール（共有禁止）、Broker/IdP-KCは信頼関係も完全別で相互のロールを信頼する構成を禁止。Phase 1初期セット6種を定義（Keycloak各Realm用・ログ収集・SCIM受け口・鍵更新ジョブ・判定エンジンなど）。長期の固定認証情報を排除し1時間で自動更新</t>
    <phoneticPr fontId="2"/>
  </si>
  <si>
    <t>D-U7-09</t>
    <phoneticPr fontId="2"/>
  </si>
  <si>
    <t>basic-design/07-security-compliance-design.md §7.5.1</t>
    <phoneticPr fontId="2"/>
  </si>
  <si>
    <t>Keycloakへの機械アクセスは内部から順に無秘密方式へ</t>
    <phoneticPr fontId="2"/>
  </si>
  <si>
    <t>基盤内部コンポーネントは実行環境の身分証明を使った交換方式へ移行し秘密情報を廃止（管理画面Backend・専用API層・鍵更新ジョブ・一括ログアウトジョブ）。実行環境を持たない判定エンジンと顧客側のアプリは秘密情報方式のまま（保管庫管理＋90日更新）。全クライアント一括移行は対象外が存在するため不成立。方式を2系統に限定し「野良管理される秘密情報」だけを排除する</t>
    <phoneticPr fontId="2"/>
  </si>
  <si>
    <t>D-U7-10a</t>
    <phoneticPr fontId="2"/>
  </si>
  <si>
    <t>basic-design/07-security-compliance-design.md §7.5.2</t>
    <phoneticPr fontId="2"/>
  </si>
  <si>
    <t>クライアント認証の昇格時期を確定</t>
    <phoneticPr fontId="2"/>
  </si>
  <si>
    <t>Phase 1は閉域が成立しているため送信型の秘密情報を許容。ただし①保管庫での管理＋90日自動更新 ②2世代並走で無停止更新 ③設定ファイルへの直書き禁止（CI機械検査）を必須。Phase 2開始時に鍵ペア方式へ一括昇格し、更新の自動化基盤はそのまま流用（Phase 1の投資を無駄にしない）。相互証明書方式は金融要件発生時のみでPhase 3・標準昇格パスには含めない。昇格の前提条件は方式そのものではなく更新自動化であるという判断</t>
    <phoneticPr fontId="2"/>
  </si>
  <si>
    <t>D-U7-10b</t>
    <phoneticPr fontId="2"/>
  </si>
  <si>
    <t>basic-design/07-security-compliance-design.md §7.5.3</t>
    <phoneticPr fontId="2"/>
  </si>
  <si>
    <t>ブランド単位アカウント内での認証系と権限系の強分離</t>
    <phoneticPr fontId="2"/>
  </si>
  <si>
    <t>Phase 1は単一アカウントだが、認証基盤（Keycloak）と権限系（権限DB・ID対応表・射影）をデータベース・暗号鍵・実行権限・通信許可の4軸で内部分離。両方に届く単一の実行権限や通信許可を作らない。両者をつなぐ唯一の橋渡しコンポーネントは権限を必要最小に絞り、その堅牢化を最優先（主脅威である橋渡しの乗っ取りはアカウント分割でも防げないため）。規制対象ブランドでアカウントレベル分離が要件化した場合に2アカウント分割へ移行可能な不変条件を維持</t>
    <phoneticPr fontId="2"/>
  </si>
  <si>
    <t>D-U7-19</t>
    <phoneticPr fontId="2"/>
  </si>
  <si>
    <t>basic-design/07-security-compliance-design.md §7.5.4</t>
    <phoneticPr fontId="2"/>
  </si>
  <si>
    <t>特権管理4層モデルの構成への写像</t>
    <phoneticPr fontId="2"/>
  </si>
  <si>
    <t>L1緊急用アカウント=自管理3アカウントに各1つ、専用暗号鍵＋物理金庫＋ハードウェアキー（他組織アカウント分は先方責務）。L2インフラ=6アカウント×3チームで権限セット定義、BrokerとIdP-KCへの同一人物の同時昇格を承認フローで排他。L3アプリ=昇格可能/昇格中の2状態の組み合わせ役割を両Realmに定義し最大4時間で自動剥奪、管理画面へは内部ホスト名・内部経路のみ。L4テナント特権=破壊的操作の都度承認。追加製品ゼロで実現</t>
    <phoneticPr fontId="2"/>
  </si>
  <si>
    <t>D-U7-11</t>
    <phoneticPr fontId="2"/>
  </si>
  <si>
    <t>basic-design/07-security-compliance-design.md §7.6.1</t>
    <phoneticPr fontId="2"/>
  </si>
  <si>
    <t>管理経路と監査ログ集約の整合</t>
    <phoneticPr fontId="2"/>
  </si>
  <si>
    <t>管理画面の実効防御は3層（WAF要求／自管理側での拒否＝生命線／内部ホスト名分離）で成立していることを特権管理側の前提として確定。特権セッションはセッション管理サービスのポート転送を標準としVPN併用、全操作を録画して監査アカウントへ。インターネットから管理画面へ到達する経路が存在しない構造を維持。監査アカウントを唯一の集約先とし、昇格記録7年・操作録画1年＋長期保管6年・管理イベント1年＋6年、すべて改ざん不能保管。運用者は監査アカウントに対し読取専用</t>
    <phoneticPr fontId="2"/>
  </si>
  <si>
    <t>basic-design/07-security-compliance-design.md §7.6.2</t>
    <phoneticPr fontId="2"/>
  </si>
  <si>
    <t>監査ログ保持 — 即時分析90日 + 改ざん不能7年</t>
    <phoneticPr fontId="2"/>
  </si>
  <si>
    <t>Hot層=CloudWatch Logs＋検索基盤で90日（直近3ヶ月の即時アクセス要件を充足、保持設定はコードで固定）。Cold層=監査アカウントのS3に改ざん不能モードで7年（運用者・最上位権限でも削除不可）＋長期アーカイブ移行。12ヶ月超の調査はデータレイク検索で対応。対象ログ源11種を必須セットとして列挙し、すべてマスキング通過後に保存（長期保管層に平文トークンを7年残さない）。誤設定の巻き戻し不能リスクはバケット分割と保持期間の段階設定で緩和</t>
    <phoneticPr fontId="2"/>
  </si>
  <si>
    <t>basic-design/07-security-compliance-design.md §7.7.1</t>
    <phoneticPr fontId="2"/>
  </si>
  <si>
    <t>フィッシング耐性のある追加確認を管理系に必須化</t>
    <phoneticPr fontId="2"/>
  </si>
  <si>
    <t>①基盤運用者=パスキー必須（認証アプリ不可）②テナント管理者=顧客側ID基盤保有なら顧客側の追加確認を信頼し基盤は補完しない／非保有なら自社受け皿収容でパスキー必須・初回強制登録 ③ローカル利用者=パスキー推奨・認証アプリ許容 ④外部連携利用者=顧客側の追加確認を信頼し記録・監視のみ ⑤緊急用アカウント=ハードウェアキー必須。2026-07-26改訂で外部連携利用者への基盤側補完を撤去。リスク明示: 顧客側が追加確認を実施しない場合そのテナントでは技術的に充足されないため、契約で必須条項化し実施率の監視を遵守検知手段とする</t>
    <phoneticPr fontId="2"/>
  </si>
  <si>
    <t>basic-design/07-security-compliance-design.md §7.7.2</t>
    <phoneticPr fontId="2"/>
  </si>
  <si>
    <t>漏えい等報告の標準手順（個人情報保護法）</t>
    <phoneticPr fontId="2"/>
  </si>
  <si>
    <t>7ステップで確定。①検知（不正検知・署名鍵悪用検知・ログ監査スキャン・外部通報）→②トリアージ（4類型該当判定、不正アクセス起因は1件でも報告対象、検知から24時間以内）→③封じ込め（②と並行、個別/テナント/全体の粒度＋必要時の緊急鍵更新）→④速報（知った時点から3〜5日）→⑤顧客通知（契約SLA）→⑥確報（30日以内、不正アクセス起因は60日以内）→⑦事後（是正＋監査記録7年）。Phase 1αは業務時間内対応だが重大インシデントの初動のみ緊急経路で時間外可、Phase 1βで24/7体制へ</t>
    <phoneticPr fontId="2"/>
  </si>
  <si>
    <t>D-U7-15</t>
    <phoneticPr fontId="2"/>
  </si>
  <si>
    <t>basic-design/07-security-compliance-design.md §7.7.3</t>
    <phoneticPr fontId="2"/>
  </si>
  <si>
    <t>委託先監督（個人情報保護法25条・28条）</t>
    <phoneticPr fontId="2"/>
  </si>
  <si>
    <t>Red Hat=保守要員の越境アクセスが外国第三者提供に当たる可能性があるため、データ処理契約に標準契約条項相当＋越境アクセスログ取得＋監査権を求める。技術側前提として個人データ本体をクラスタ構成情報に流入させない設計（鍵類のみ保持、個人データはデータベースに閉じ込め）。法務確認で不可なら実行基盤を再検討。AWS=リージョンを国内2拠点に限定し関連文書を整理。導入SaaSは第三者監査証跡の確認を必須プロセス化。顧客に対しては責任分担表と書面での確認を契約書内で明文提供（ポータル掲載単独では不可）</t>
    <phoneticPr fontId="2"/>
  </si>
  <si>
    <t>basic-design/07-security-compliance-design.md §7.7.4</t>
    <phoneticPr fontId="2"/>
  </si>
  <si>
    <t>外部通信を持たない構成のセキュリティ評価 — 採用推奨</t>
    <phoneticPr fontId="2"/>
  </si>
  <si>
    <t>供給網統制の観点で推奨。イメージ配布のミラーが単一の検証点になり、脆弱性スキャンと署名検証を同期パイプラインに組み込めば未検証イメージがクラスタに到達する経路が構造的に消える（取得時検証より強い事前検証モデル）。外部通信統制の観点でも自アカウントに出口が存在しなくなり未知宛先への通信経路が縮小、統制説明が容易。トレードオフはミラー同期の鮮度遅延で、重大脆弱性時の緊急同期手順を運用手順書に必須追加。最終採否はインフラ側の先方回答と運用負荷実測で決定</t>
    <phoneticPr fontId="2"/>
  </si>
  <si>
    <t>basic-design/07-security-compliance-design.md §7.7.5</t>
    <phoneticPr fontId="2"/>
  </si>
  <si>
    <t>自動化された攻撃・大量アクセスの自管理/他組織分離</t>
    <phoneticPr fontId="2"/>
  </si>
  <si>
    <t>L1ネットワーク=他組織へ要求（不正自動化対策の一般＋標的型、認証情報リスト攻撃検知、認証系への流量制限〔5分あたり2000件/送信元が初期値〕、大規模攻撃防御）＋検知ログの自社監査アカウントへの配信を新規要求。L2アプリ=人間判定はPhase 2オプションだが、L1が他組織に受け入れられない場合の埋め合わせとして前倒し検討するトリガーを追加。L3アカウント=Phase 1必須（総当たり検知5回30分、アカウント存在の有無を返さない汎用エラーと応答時間の均一化、パスワード12文字＋英数混在＋漏洩照合）。体積型の大量アクセス防御は保証せず責任分担表に明記</t>
    <phoneticPr fontId="2"/>
  </si>
  <si>
    <t>basic-design/07-security-compliance-design.md §7.8.1</t>
    <phoneticPr fontId="2"/>
  </si>
  <si>
    <t>稼働率の目標値と、直列で積み上げた成立性</t>
    <phoneticPr fontId="2"/>
  </si>
  <si>
    <t>U8 可用性・DR</t>
    <phoneticPr fontId="2"/>
  </si>
  <si>
    <t>月間の停止許容枠は43.8分（年8.76時間）。計測対象は認証処理の成功率で、計画停止（月1回・深夜2〜4時・7日前通知）と顧客側のID基盤起因の失敗は除外。自管理部分だけを積み上げると余裕をもって成立するが、律速はインターネット出入口を管理する他組織側。よってエッジ経路の可用性99.95%以上を要求仕様として明文化</t>
    <phoneticPr fontId="2"/>
  </si>
  <si>
    <t>basic-design/08-availability-dr-design.md §8.1.1</t>
    <phoneticPr fontId="2"/>
  </si>
  <si>
    <t>3拠点分散・停止許容数・自動増減の方針</t>
    <phoneticPr fontId="2"/>
  </si>
  <si>
    <t>最小3台（拠点ごとに1台以上、偏りを1に制限）。同時停止許容数を1に設定し、更新中も2拠点分の容量を維持。自動増減はCPU60%を目標。自社受け皿側はパスワード検証と実行環境の起動が遅いため、CPUではなく予兆（1台あたり毎秒8件超が3分継続）を優先トリガに。ノード障害は基盤側で自動置換され、クラスタ再編も外部の仕組みなしで自動</t>
    <phoneticPr fontId="2"/>
  </si>
  <si>
    <t>basic-design/08-availability-dr-design.md §8.1.2</t>
    <phoneticPr fontId="2"/>
  </si>
  <si>
    <t>データベースの拠点内切替</t>
    <phoneticPr fontId="2"/>
  </si>
  <si>
    <t>書込1台＋読取2台の3拠点構成。拠点内の書込障害は1分未満で自動切替。接続は書込用の窓口のみを使い、交代時は接続タイムアウトで早期切断して再接続。ただし交代中は探索用の書込が一時失敗するため、全台同時再起動を伴う操作は書込側が安定してから実施する（運用手順書の禁止事項に登録）</t>
    <phoneticPr fontId="2"/>
  </si>
  <si>
    <t>D-U8-03</t>
    <phoneticPr fontId="2"/>
  </si>
  <si>
    <t>basic-design/08-availability-dr-design.md §8.1.3</t>
    <phoneticPr fontId="2"/>
  </si>
  <si>
    <t>無停止での更新方式</t>
    <phoneticPr fontId="2"/>
  </si>
  <si>
    <t>設定変更と修正版の適用は互換判定に基づく順次再起動で無停止（セッションはデータベース保存のため入れ替えても切れない）。機能追加を伴う版数更新はデータベース移行を伴い得るため計画停止窓で実施し、事前に規模データでの回帰測定通過を必須。管理ソフト自体の更新は手動承認とし自動更新を禁止。独自機能の差し替えも修正版と同じ順次再起動</t>
    <phoneticPr fontId="2"/>
  </si>
  <si>
    <t>basic-design/08-availability-dr-design.md §8.1.4</t>
    <phoneticPr fontId="2"/>
  </si>
  <si>
    <t>復旧目標と待機形態（2026-07-30 全面転換）</t>
    <phoneticPr fontId="2"/>
  </si>
  <si>
    <t>手動での復旧・目標復旧時間およそ14日。予備地域は平時に設備を持たず、被災時に構成コードから作り直す。データ喪失許容はバックアップ方式に依存。従前の「1時間で復旧・予備地域を温めて待機」は廃止。常時稼働の二重化は東西間の遅延が公式要件の上限を超え保証できないため引き続き不採用。より短い復旧時間は常時待機が前提となるため今回は提供しない</t>
    <phoneticPr fontId="2"/>
  </si>
  <si>
    <t>D-U8-05</t>
    <phoneticPr fontId="2"/>
  </si>
  <si>
    <t>basic-design/08-availability-dr-design.md §8.2.1</t>
    <phoneticPr fontId="2"/>
  </si>
  <si>
    <t>一括書き出しを全廃し、復元経路を2系統に再定義</t>
    <phoneticPr fontId="2"/>
  </si>
  <si>
    <t>構成の一括書き出しはバックアップ・災害復旧を含む一切の用途で使用しない（接続先1000件超では出力が巨大化し運用が成立しないため）。経路1=地域障害では予備地域を作り直しデータを復元（構成もデータベースに一体で入っているため構成の再投入は不要）。経路2=論理破壊では時点復元で直前に巻き戻し、それ以降の正当な変更だけを構成コードから差分再生。全1000件超を一括再生することはしない。ランサム等で時点復元自体が消される事態に備え、変更不能な控えからの復元経路を必ず併設</t>
    <phoneticPr fontId="2"/>
  </si>
  <si>
    <t>D-U8-06</t>
    <phoneticPr fontId="2"/>
  </si>
  <si>
    <t>basic-design/08-availability-dr-design.md §8.3.1</t>
    <phoneticPr fontId="2"/>
  </si>
  <si>
    <t>データ保全の3層構造と予備地域のオンデマンド再構築</t>
    <phoneticPr fontId="2"/>
  </si>
  <si>
    <t>「計算資源は平時ゼロ、データは保全」を原則とし2つの障害シナリオを分離。L1=地域災害向けの継続複製（喪失およそ1秒）／L2=論理復元向けの時点復元（1〜35日・1秒精度、ただしサービス内に留まるため攻撃者に消される）／L3=ランサム・内部不正の最終防衛線として定期取得の控えを変更不能モードで施錠し別地域・別アカウントへ複製。重要な制約として継続バックアップは変更不能化も別地域複製もできないため、不変・隔離が要る対策は定期取得の控えに置く。施錠は一度かけると解除不可（猶予は最短3日）で、保持期間「無期限」は永久課金のため避ける。アカウント閉鎖90日で施錠も無効化される点を事業継続計画に織り込む</t>
    <phoneticPr fontId="2"/>
  </si>
  <si>
    <t>basic-design/08-availability-dr-design.md §8.3.1a</t>
    <phoneticPr fontId="2"/>
  </si>
  <si>
    <t>（廃止）予備地域を温めて待機する方式</t>
    <phoneticPr fontId="2"/>
  </si>
  <si>
    <t>2026-07-30の方針転換で廃止。予備側のデータベースは読取専用で認証製品が起動できないため「設備は温め、製品は0台で待機」としていたが、コールド化に伴いD-U8-14へ統合</t>
    <phoneticPr fontId="2"/>
  </si>
  <si>
    <t>D-U8-07</t>
    <phoneticPr fontId="2"/>
  </si>
  <si>
    <t>切替の判断基準と承認フロー</t>
    <phoneticPr fontId="2"/>
  </si>
  <si>
    <t>地域障害かどうかを判定するチェックリストを新設。判定材料はクラウド事業者の障害情報、外形監視（成功率50%未満が3分継続、予備地域からの到達性）、データベースの接続不能と拠点内切替の不成立。2系統以上該当した時点で地域障害を宣言し承認プロセスへ（単一拠点・単一部品の障害は自動復旧に委ねる）。データベースの昇格・全体切替・切り戻しは起案者から責任者への手動承認。承認は検知から15分以内を運用目標とし訓練で計測</t>
    <phoneticPr fontId="2"/>
  </si>
  <si>
    <t>D-U8-08</t>
    <phoneticPr fontId="2"/>
  </si>
  <si>
    <t>basic-design/08-availability-dr-design.md §8.4.1</t>
    <phoneticPr fontId="2"/>
  </si>
  <si>
    <t>（廃止）1時間復旧の積み上げ検証</t>
    <phoneticPr fontId="2"/>
  </si>
  <si>
    <t>2026-07-30の方針転換で廃止。旧方式（予備地域を温めて待機）を前提とした50分の積み上げと成立5条件は、コールド化に伴い無効。将来より短い復旧時間を再検討する際の出発点として本文に旧参考として保存</t>
    <phoneticPr fontId="2"/>
  </si>
  <si>
    <t>D-U8-09</t>
    <phoneticPr fontId="2"/>
  </si>
  <si>
    <t>basic-design/08-availability-dr-design.md §8.4.3</t>
    <phoneticPr fontId="2"/>
  </si>
  <si>
    <t>切替時は全利用者が再認証（セッション連続性は対象外）</t>
    <phoneticPr fontId="2"/>
  </si>
  <si>
    <t>地域間で共有されるのはデータベースのみで、ログイン途中の状態・一時的な失敗回数などのキャッシュは予備地域では空から再構築される。よって切替時は全利用者が再ログインとなることを製品仕様として明文化し、顧客との取り決めにも記載する。「再ログインだけで業務再開できる」（追加認証手段はデータベース経由で予備地域でも有効）を説明線とする。発行済みの通行証は自己完結かつ署名鍵も複製され識別子が変わらないため、切替中もアプリ側の検証は継続できる。ログイン途中の状態とパスワード再設定リンクは消失（再試行・再送で回復）。失敗回数カウンタの消失による一時的な低下は、切替後60分間の検知感度引き上げで緩和</t>
    <phoneticPr fontId="2"/>
  </si>
  <si>
    <t>basic-design/08-availability-dr-design.md §8.5.1</t>
    <phoneticPr fontId="2"/>
  </si>
  <si>
    <t>切り戻しは計画切替（データ喪失ゼロ）</t>
    <phoneticPr fontId="2"/>
  </si>
  <si>
    <t>予備地域で稼働していた期間のデータを守ることが目的。禁止3操作を冒頭に置く（旧本番のデータベースを単独で再起動しない／広域構成を削除しない／同期完了前に元へ戻さない）。手順は①復旧確認②禁止操作の周知③旧本番を予備として再参加させ全量複製の完了を確認④計画停止窓で計画切替（喪失ゼロ）⑤検証後に切り戻し⑥東西双方で構成の突合と事後レビュー。全段が手動承認で、急がない（予備地域のまま数日運用しても構成上の問題はない）</t>
    <phoneticPr fontId="2"/>
  </si>
  <si>
    <t>D-U8-12</t>
    <phoneticPr fontId="2"/>
  </si>
  <si>
    <t>basic-design/08-availability-dr-design.md §8.7.1</t>
    <phoneticPr fontId="2"/>
  </si>
  <si>
    <t>復旧訓練は年2回</t>
    <phoneticPr fontId="2"/>
  </si>
  <si>
    <t>上期＝地域災害シナリオ（構成コードによる予備地域の作り直し＋データ復元＋構成突合＋手動での経路切替、他組織にも参加を要求）。合格基準は各工程の所要時間の実測と、復元後の構成が構成コードと一致すること。下期＝論理破壊シナリオ（時点復元による細粒度の巻き戻しと、変更不能な控えからの復元の両方を検証）。通年で承認15分以内の机上検証。アプリ運用へ2週間前、顧客へ3営業日前に通知。達成率の指標も定義</t>
    <phoneticPr fontId="2"/>
  </si>
  <si>
    <t>basic-design/08-availability-dr-design.md §8.7.2</t>
    <phoneticPr fontId="2"/>
  </si>
  <si>
    <t>（廃止）予備地域の最小構成と平時同期対象</t>
    <phoneticPr fontId="2"/>
  </si>
  <si>
    <t>2026-07-30の方針転換で廃止。予備地域は平時に設備を持たない方式へ変更されD-U8-14に統合。ただし「腐らない備え」のためデータ層・イメージ・構成コード・IPレンジ予約は平時から維持する</t>
    <phoneticPr fontId="2"/>
  </si>
  <si>
    <t>D-U8-11</t>
    <phoneticPr fontId="2"/>
  </si>
  <si>
    <t>basic-design/08-availability-dr-design.md §8.6.1</t>
    <phoneticPr fontId="2"/>
  </si>
  <si>
    <t>6アカウント体系の確定</t>
    <phoneticPr fontId="2"/>
  </si>
  <si>
    <t>U6 インフラ・NW</t>
    <phoneticPr fontId="2"/>
  </si>
  <si>
    <t>ネットワーク監査（他組織管理）／ネットワーク（他組織想定・要確認）／監査（自社、証跡集約7年）／Broker（受け皿#1＋データベース＋不正検知＋管理画面裏側）／自社受け皿=ブランド単位（受け皿#2＋2系統のデータベース＋管理API。業務アプリは非同居＝パスワードハッシュの影響範囲を隔離）／アプリ用×N。本設計書は「自管理内の設計（A部）」と「他組織への要求（B部）」を明確に分離し混在させない。セキュリティの生命線は『他組織側の要求が満たされなくても自管理側単独で破られないこと』</t>
    <phoneticPr fontId="2"/>
  </si>
  <si>
    <t>D-U6-01</t>
    <phoneticPr fontId="2"/>
  </si>
  <si>
    <t>basic-design/06-infra-network-design.md §6.1.1</t>
    <phoneticPr fontId="2"/>
  </si>
  <si>
    <t>アカウント間の権限原則と許可経路8本</t>
    <phoneticPr fontId="2"/>
  </si>
  <si>
    <t>Broker と自社受け皿の間に権限の相互信頼を作らない（片方の侵害が他方の管理面に波及しない構造）。Podからクラウド資源へは実行環境の身分証明を使い一時資格は最長1時間で失効。アカウント跨ぎは8経路に限定（証跡集約×2、自動デプロイ、ID対応表更新、不正検知イベント集約、削除伝播、初回識別子通知、アプリ→Brokerは権限経路なし）。ワイルドカード指定を禁止し条件付きを必須。他組織アカウントとは権限関係を一切持たない</t>
    <phoneticPr fontId="2"/>
  </si>
  <si>
    <t>D-U6-02</t>
    <phoneticPr fontId="2"/>
  </si>
  <si>
    <t>basic-design/06-infra-network-design.md §6.1.2</t>
    <phoneticPr fontId="2"/>
  </si>
  <si>
    <t>クラスタ構成（2クラスタ）</t>
    <phoneticPr fontId="2"/>
  </si>
  <si>
    <t>管理負荷の軽い方式を採用（旧方式は新規作成期限が公式化）。基盤自体の稼働率は99.95%で目標を上回る。3拠点分散し拠点ごとに1つずつ配置。制御部分はベンダー側で自動管理され顧客の関与不要。入口は内部限定で作成し前段に自管理の負荷分散装置を置いて細かい制御を行う。各アカウントに専用の仮想ネットワークを持ち、用途別4層でアドレスを採番（構築後は変更不可のため事前確定が必須）。外部通信の形態は要決定で、外部通信を持たない構成が他組織経由の方針と噛み合うため積極検討</t>
    <phoneticPr fontId="2"/>
  </si>
  <si>
    <t>D-U6-03</t>
    <phoneticPr fontId="2"/>
  </si>
  <si>
    <t>basic-design/06-infra-network-design.md §6.2.1</t>
    <phoneticPr fontId="2"/>
  </si>
  <si>
    <t>ノード群を役割で2系統に分離</t>
    <phoneticPr fontId="2"/>
  </si>
  <si>
    <t>この基盤には専用の管理用ノードが存在せず管理系が業務ノードに同居するため、「認証製品専用」と「既定（管理系）」の2系統に分ける。既定側は入口・監視・イメージ配布・受け口などを載せ、負荷ではなく規模と監視量で準静的に調整。認証製品側は専用の隔離設定を付けて動的に増減（自動増減→保留→ノード追加の連鎖）。分離しない場合、認証側の急増が監視や入口と資源を食い合い『監視が飛ぶ・入口が詰まる』事態が確実に顕在化する。自社受け皿側はパスワード検証が支配的なため上限台数を大きく取る</t>
    <phoneticPr fontId="2"/>
  </si>
  <si>
    <t>basic-design/06-infra-network-design.md §6.2.2</t>
    <phoneticPr fontId="2"/>
  </si>
  <si>
    <t>基盤コストの概算（予備地域は平時ゼロ）</t>
    <phoneticPr fontId="2"/>
  </si>
  <si>
    <t>東京2クラスタで月額およそ2,032ドル（管理系ノードを別建て加算したことで旧試算1,678ドルから増加）。2026-07-30の方針転換で予備地域の常時クラスタ（月602ドル）を廃止し平時ゼロに。ただし切替時に認証製品が配置不能にならないよう、予備地域にも同じ隔離設定を持つ専用ノード群を台数0で事前定義しておく。10M規模のピーク帯まで伸ばした場合の増分は別途線形加算。概算±30%</t>
    <phoneticPr fontId="2"/>
  </si>
  <si>
    <t>basic-design/06-infra-network-design.md §6.2.3</t>
    <phoneticPr fontId="2"/>
  </si>
  <si>
    <t>2つの受け皿の間の裏側通信は単方向の私設経路</t>
    <phoneticPr fontId="2"/>
  </si>
  <si>
    <t>3方式を比較し、公開したサービスのみに届く単方向の私設接続を採用。自社受け皿側から Broker 側へ構造的に到達できないため、パスワードハッシュを持つ側が侵害されても横展開を経路レベルで遮断できる。中継方式は他組織依存となり内部経路まで他組織の変更管理に載るため回避。アドレス重複の制約も受けない。閉じた経路が成立するため、当面はクライアント認証に送信型の秘密情報を許容。利用者の画面遷移（表側）は他組織の入口経由となる点で裏側と分離</t>
    <phoneticPr fontId="2"/>
  </si>
  <si>
    <t>D-U6-06</t>
    <phoneticPr fontId="2"/>
  </si>
  <si>
    <t>basic-design/06-infra-network-design.md §6.3.2</t>
    <phoneticPr fontId="2"/>
  </si>
  <si>
    <t>データベースの基本構成</t>
    <phoneticPr fontId="2"/>
  </si>
  <si>
    <t>2系統に分け共有しない。東京は書込1台＋読取2台の3拠点構成。予備地域へは継続複製を維持（計算資源は平時ゼロだがデータ層は維持）＋変更不能な控えを併用。暗号鍵はアカウントごとに分離し、パスワードハッシュを持つ側はバックアップの暗号化を必須。権限系・ID対応表・射影は2026-08-07の方針変更でブランド側アカウントに配置し、認証用とは別のデータベース・別の鍵・別の権限・別の通信許可に分離</t>
    <phoneticPr fontId="2"/>
  </si>
  <si>
    <t>D-U6-07</t>
    <phoneticPr fontId="2"/>
  </si>
  <si>
    <t>basic-design/06-infra-network-design.md §6.4.1</t>
    <phoneticPr fontId="2"/>
  </si>
  <si>
    <t>接続プールの設計</t>
    <phoneticPr fontId="2"/>
  </si>
  <si>
    <t>製品の既定がデータベース経由のノード探索に変わったことを前提に設計。接続先は書込用の窓口のみとし読取分散は行わない。1台あたりの接続プールは初期値・最小・最大をすべて30に揃えて明示設定（製品既定の100を放置しない）。等値化により接続の作り直しを避け、事前準備済みの問い合わせが効いて応答のばらつきに有利。総接続数は最大810で、上限約3,300に対して大幅な余裕。交代中は探索用の書込が一時失敗するため全台同時再起動を伴う操作は書込側が安定してから実施</t>
    <phoneticPr fontId="2"/>
  </si>
  <si>
    <t>D-U6-08</t>
    <phoneticPr fontId="2"/>
  </si>
  <si>
    <t>basic-design/06-infra-network-design.md §6.4.2</t>
    <phoneticPr fontId="2"/>
  </si>
  <si>
    <t>接続の中継サービスは当面不採用</t>
    <phoneticPr fontId="2"/>
  </si>
  <si>
    <t>中継サービスの主用途は大量かつ短命な接続の束ね直しだが、本構成は長命プールで接続数が設計上固定のため恩恵がほぼない。逆に状態保持による束ね直しの無効化と遅延加算、ノード探索の経路に中間層が挟まることによるサポート切り分けの不利、費用増が生じる。よって直接続とする。復旧検証で書込側交代時の再接続時間が復旧時間を圧迫する場合のみ再評価。将来数百台規模まで分割する段階で初めて別方式を検討</t>
    <phoneticPr fontId="2"/>
  </si>
  <si>
    <t>D-U6-09</t>
    <phoneticPr fontId="2"/>
  </si>
  <si>
    <t>basic-design/06-infra-network-design.md §6.4.3</t>
    <phoneticPr fontId="2"/>
  </si>
  <si>
    <t>接続先1000件超に備えたキャッシュ初期値</t>
    <phoneticPr fontId="2"/>
  </si>
  <si>
    <t>接続先関連のキャッシュを20万件に設定（公式ベンチで1万→20万件にするとデータベースCPUが77.8%→63.8%に低下。想定1.6万件に対し10倍超の余裕）。利用者キャッシュは10万件を初期値としヒット率90%未満で増量。セッション系はデータベース永続の既定を維持。上記でノードあたり1.5〜2GBのメモリ増を見込み、割当を3GB→4GBへ引き上げられる余裕をノード群に確保。実測で補正する前提</t>
    <phoneticPr fontId="2"/>
  </si>
  <si>
    <t>basic-design/06-infra-network-design.md §6.5.5</t>
    <phoneticPr fontId="2"/>
  </si>
  <si>
    <t>管理画面保護は3層防御＋管理用ホスト名の分離</t>
    <phoneticPr fontId="2"/>
  </si>
  <si>
    <t>他組織側の入口での遮断は「あれば良い追加層」で保証しない。生命線は自管理の負荷分散装置での固定拒否ルール（最優先評価）。加えて管理画面専用の内部ホスト名を分離し、社内DNSにのみ登録して公開DNSには存在させない（公開名からは管理画面が構造的に開けない）。ただしホスト名分離単体は遮断機構ではないため必ず拒否ルールと併用。管理APIへの到達は内部限定の接続点＋送信元を絞った通信許可＋通信暗号化＋アプリ層の認証で行い、インターネットには露出しない</t>
    <phoneticPr fontId="2"/>
  </si>
  <si>
    <t>D-U6-11</t>
    <phoneticPr fontId="2"/>
  </si>
  <si>
    <t>basic-design/06-infra-network-design.md §6.6.1</t>
    <phoneticPr fontId="2"/>
  </si>
  <si>
    <t>運用者の内部アクセス経路</t>
    <phoneticPr fontId="2"/>
  </si>
  <si>
    <t>標準はクラウド標準のセッション管理サービスによる転送（踏み台不要、権限と操作ログで監査し監査アカウントへ集約）。併用として社内ネットワーク経由も認めるが、中継が他組織依存のため可用性は保証しない（断時はセッション管理サービス経路へ退避）。インターネットから管理画面へ到達する経路の新設は禁止。運用経路の二重化を必須とする</t>
    <phoneticPr fontId="2"/>
  </si>
  <si>
    <t>D-U6-12</t>
    <phoneticPr fontId="2"/>
  </si>
  <si>
    <t>basic-design/06-infra-network-design.md §6.6.2</t>
    <phoneticPr fontId="2"/>
  </si>
  <si>
    <t>外部通信の許可運用は「枠は他組織・中身は自社」の委任方式（要求案）</t>
    <phoneticPr fontId="2"/>
  </si>
  <si>
    <t>接続先1000件超では許可ドメインも1000件超となり、他組織管理のドメイン絞り込みと正面衝突する。3案を比較し、認証基盤専用の許可枠を事前合意で設置したうえで、許可リストの更新権限を自社のオンボーディング処理に委任する方式（可能なら更新APIで自動化）を第一要求とする。全更新は双方の証跡に記録し四半期で棚卸し。受け入れられない場合は都度申請の応答時間4営業時間以内の合意が必要で、それも不可なら「接続追加は翌営業日以内」という非機能要件自体の改訂へ差し戻す</t>
    <phoneticPr fontId="2"/>
  </si>
  <si>
    <t>basic-design/06-infra-network-design.md §6.7.3</t>
    <phoneticPr fontId="2"/>
  </si>
  <si>
    <t>監視の仕組みと収集役の配置</t>
    <phoneticPr fontId="2"/>
  </si>
  <si>
    <t>U9 運用・監視・IaC</t>
    <phoneticPr fontId="2"/>
  </si>
  <si>
    <t>標準的な計測フレームワークとクラウド標準の managed サービスを採用し商用の高機能監視製品は不採用（年3.2万ドル、商用比5〜8倍の削減）。収集役は両クラスタの管理系ノードに常駐させ、認証製品専用ノードの資源を食わせない（専用ノードへの配置許可設定を忘れるとログ収集と同じ落とし穴になる点を明記）。指標の集約先は監査アカウントに1か所へ寄せ、東西比較と接続先件数との相関分析を1か所で行えるようにする。予備地域にも平時から縮退構成で配備（「切替えたら監視が死んでいた」の防止）</t>
    <phoneticPr fontId="2"/>
  </si>
  <si>
    <t>D-U9-01</t>
    <phoneticPr fontId="2"/>
  </si>
  <si>
    <t>basic-design/09-operations-observability-design.md §9.1.1</t>
    <phoneticPr fontId="2"/>
  </si>
  <si>
    <t>計装ポイント14点と「接続先件数の関数」としての監視</t>
    <phoneticPr fontId="2"/>
  </si>
  <si>
    <t>認証製品の組込み指標＋独自機能内の手動計測＋イベント由来指標の3系統で計装。主要な系列は接続先件数と顧客数を注記した時系列として継続計測し、「10件時点の基準値に対して+10%」で警戒とする。キャッシュのヒット率は90%以上維持、自社受け皿は1台あたり毎秒8件超が3分継続で増設予兆、地域間の複製遅延は10秒で注意・30秒で重大。マスキング処理件数が突然ゼロになったらパイプライン故障として警報。接続先追加バッチの前後スナップショット比較を、顧客追加手順の完了条件に組み込む</t>
    <phoneticPr fontId="2"/>
  </si>
  <si>
    <t>D-U9-02</t>
    <phoneticPr fontId="2"/>
  </si>
  <si>
    <t>basic-design/09-operations-observability-design.md §9.1.2</t>
    <phoneticPr fontId="2"/>
  </si>
  <si>
    <t>指標の系列数の規約と追跡の抽出率</t>
    <phoneticPr fontId="2"/>
  </si>
  <si>
    <t>ラベルに使うのは顧客識別子・エンドポイント・メソッド・状態コード・アプリ識別子まで。利用者ID・セッションID・要求ID・IPアドレスは指標には使わない（追跡はログ側で行う）。顧客単位の系列は「ログイン系と利用者同期系のみ」に限定し、1000件超×エンドポイントで課金が爆発するのを防ぐ。詳細追跡の抽出率は正常1%・エラーと遅延100%・障害調査時は特定顧客を一時的に100%。入口が他組織管理で透過を期待できないため、追跡の起点は自管理側の負荷分散装置から</t>
    <phoneticPr fontId="2"/>
  </si>
  <si>
    <t>D-U9-03</t>
    <phoneticPr fontId="2"/>
  </si>
  <si>
    <t>basic-design/09-operations-observability-design.md §9.1.3</t>
    <phoneticPr fontId="2"/>
  </si>
  <si>
    <t>サービス別の内部目標値と、消費速度による警報</t>
    <phoneticPr fontId="2"/>
  </si>
  <si>
    <t>顧客への約束は99.9%だが、それを支える内部目標を4サービスで個別設定（認証99.9%・500ms／トークン発行99.95%・200ms／管理API 99.5%・1秒／鍵情報公開99.99%・100ms）。停止許容枠の消費速度で3段階の警報（急速消費14.4倍は即時呼出、緩慢6倍はチャット、予兆3倍は通知）。枠の50%消費で変更凍結の要否を週次レビューし、枯渇時は機能変更を凍結して信頼性作業のみ許可。消費の内訳を毎月「自管理／他組織の入口／顧客側ID基盤」に分類し、他組織起因分は定例で提示する</t>
    <phoneticPr fontId="2"/>
  </si>
  <si>
    <t>basic-design/09-operations-observability-design.md §9.2.1</t>
    <phoneticPr fontId="2"/>
  </si>
  <si>
    <t>ログ3層保管の最終形</t>
    <phoneticPr fontId="2"/>
  </si>
  <si>
    <t>収集は全ノード常駐→集約役でマスキング集中適用→3層へ。即時参照は90日（設定はコード固定でPRのみ変更可）、検索用は1年、長期は監査アカウントで変更不能モード7年（削除不可）。順序保証として「全ソースがマスキングを通過した後に保存」を厳守し、平文がどの層にも入らないようにする。予備地域にも集約役とマスキング経路を平時配備。週1の監査スキャンをダッシュボード化し、検出時の手順書に接続。入口側のログは他組織管理で回答待ちだが、未対応でも自管理2層で主要な秘匿情報は遮蔽される</t>
    <phoneticPr fontId="2"/>
  </si>
  <si>
    <t>basic-design/09-operations-observability-design.md §9.3.1</t>
    <phoneticPr fontId="2"/>
  </si>
  <si>
    <t>監視・相関に取り込むイベントセット</t>
    <phoneticPr fontId="2"/>
  </si>
  <si>
    <t>認証系（成功・失敗・アプリ認証・コード引換・更新）、トークン引換（主体・要求元・宛先・範囲付き）、取消とログアウト系、ライフサイクル系（再有効化・無効化・削除）、管理操作の全量（構成のドリフト検知の照合元も兼ねる）、基盤の証跡（6アカウント分＋クラスタ操作記録＋緊急用アカウント使用）を必須取込セットとして確定。顧客側の監視製品への提供は標準形式で次段階</t>
    <phoneticPr fontId="2"/>
  </si>
  <si>
    <t>basic-design/09-operations-observability-design.md §9.3.2</t>
    <phoneticPr fontId="2"/>
  </si>
  <si>
    <t>運用手順書 全36冊の体系と、先行必須13冊の指定</t>
    <phoneticPr fontId="2"/>
  </si>
  <si>
    <t>顧客追加/変更/離脱/同期方式切替/トークン更新/外部システム連携/通知先登録の7冊、アプリ追加系3冊、利用者操作系6冊、セキュリティ系7冊、基盤系5冊、災害復旧系6冊、移行1冊、開示請求1冊。太字の13冊（顧客追加・顧客離脱、セキュリティ系6冊、災害復旧系6冊）はリリース前に文書化と訓練を必須、残りはリリース後3ヶ月以内。全手順書に対応する監視ダッシュボードURLと警報名の記載を必須化し、年次見直しと訓練での完走率100%をKPIとする</t>
    <phoneticPr fontId="2"/>
  </si>
  <si>
    <t>D-U9-07</t>
    <phoneticPr fontId="2"/>
  </si>
  <si>
    <t>basic-design/09-operations-observability-design.md §9.4.1</t>
    <phoneticPr fontId="2"/>
  </si>
  <si>
    <t>運用禁則集 11項目と機械強制</t>
    <phoneticPr fontId="2"/>
  </si>
  <si>
    <t>K-1 構成の一括書き出し・取り込みを全用途で禁止／K-2 全ノード同時再起動はデータベース書込側の安定後／K-3 検知の一時降格は災害復旧判定手順の中でのみ操作（恒常的な降格を禁止）／K-4 切り戻し時の禁止3操作／K-5 管理画面からの直接変更禁止（緊急時のみ・事後にコードへ反映必須）／K-6 利用者を要求する独自機能を最上位の必須位置に置かない／K-7 秘密情報のコード直書き禁止／K-8 接続先一覧の非表示と所属紐付けを必須／K-9 単一の構成管理単位に1000件級を置かない／K-10 管理APIの呼び出しは内部ホスト名経由に統一／K-11 管理ソフトの自動更新禁止。可能なものは自動検査とパイプラインでの却下により機械強制する（運用者の記憶に依存させない）</t>
    <phoneticPr fontId="2"/>
  </si>
  <si>
    <t>D-U9-08</t>
    <phoneticPr fontId="2"/>
  </si>
  <si>
    <t>basic-design/09-operations-observability-design.md §9.4.2</t>
    <phoneticPr fontId="2"/>
  </si>
  <si>
    <t>構成管理の単位分割</t>
    <phoneticPr fontId="2"/>
  </si>
  <si>
    <t>「クラウドアカウント×層」で分割（Broker基盤／自社受け皿基盤／監査基盤／各受け皿の認証製品設定／予備地域の重ね合わせ）。顧客数に比例して増えるリソースは基盤層の管理単位に置かない。環境（開発・検証・本番）は別アカウント＋別管理単位。適用は自動化パイプラインのみで手元からの実行を禁止し、本番は手動承認ゲートを置く</t>
    <phoneticPr fontId="2"/>
  </si>
  <si>
    <t>D-U9-09</t>
    <phoneticPr fontId="2"/>
  </si>
  <si>
    <t>basic-design/09-operations-observability-design.md §9.5.1</t>
    <phoneticPr fontId="2"/>
  </si>
  <si>
    <t>顧客層の適用エンジンは自作（既存の設定投入ツールは不採用）</t>
    <phoneticPr fontId="2"/>
  </si>
  <si>
    <t>顧客ごとの宣言ファイルをコード管理し、自作の顧客追加APIが管理APIを個別単位で呼んで差分適用する。既存の設定投入ツールは構成一式の取り込みを中核とするため禁則K-1と原理的に衝突し、1000件超では巨大な構成ファイルの再取り込みになるため不採用と確定。冪等性は「現状取得→差分→反映」で担保し、結果・差分・実行者を監査アカウントへ記録。このエンジン自体を性能検証用の一括投入資産として実装し、検証と本番投入で同一コードを使う</t>
    <phoneticPr fontId="2"/>
  </si>
  <si>
    <t>D-U9-10</t>
    <phoneticPr fontId="2"/>
  </si>
  <si>
    <t>basic-design/09-operations-observability-design.md §9.5.2</t>
    <phoneticPr fontId="2"/>
  </si>
  <si>
    <t>構成のずれの検知（日次）</t>
    <phoneticPr fontId="2"/>
  </si>
  <si>
    <t>基盤層は日次で全管理単位の差分ゼロを確認。顧客層は管理APIの個別読取と宣言ファイルの突合スクリプトで検査し、構成の一括書き出しは使わない（禁則K-1）。検査項目に接続先一覧の非表示と所属紐付けを含める。ずれ検出時は管理操作記録と証跡を照合し、正当なら構成コードへ逆反映のPR、不正なら時点復元＋差分再生の発動判断と不正検知連携へ。予備地域も日次で検証し、訓練で「切替後の構成＝コード」を突合</t>
    <phoneticPr fontId="2"/>
  </si>
  <si>
    <t>D-U9-11</t>
    <phoneticPr fontId="2"/>
  </si>
  <si>
    <t>basic-design/09-operations-observability-design.md §9.5.3</t>
    <phoneticPr fontId="2"/>
  </si>
  <si>
    <t>退職者遮断バッチの実行基盤はクラスタ内の定期ジョブ（関数実行は不採用）</t>
    <phoneticPr fontId="2"/>
  </si>
  <si>
    <t>顧客側ID基盤の退職を本基盤は検知できないため、最終ログインを入力とした90日休眠での停止処理で代替する。管理APIが内部限定であることと実行時間の15分上限の2点から、関数実行ではなくクラスタ内の定期ジョブを採用。管理系ノードに置くのでログイン負荷の急増による自動増減の影響を受けない。多重実行対策の3点セット（重なり禁止設定・完全終了後の置換設定・データベースの排他ロック）を必須とし、停止直前に最終ログインを再取得して現役利用者の誤停止を防ぐ。停止時はセッション取消も必須（無効化だけでは既存セッションと発行済み通行証が残るため）。試走モードと1回あたりの上限件数で暴走を防止し、未知の作成経路は停止せず人間レビューへ</t>
    <phoneticPr fontId="2"/>
  </si>
  <si>
    <t>D-U9-17</t>
    <phoneticPr fontId="2"/>
  </si>
  <si>
    <t>basic-design/09-operations-observability-design.md §9.5.4</t>
    <phoneticPr fontId="2"/>
  </si>
  <si>
    <t>継続的な組み立てと配信の構成</t>
    <phoneticPr fontId="2"/>
  </si>
  <si>
    <t>組み立ては外部の自動化サービス＋一時資格による認証（長期の固定鍵なし）。コンテナ置き場は1か所へ一元化し、製品の基となるイメージも自社側へ複製して取得経路を一本化（供給網の検証点を単一化）。クラスタへの反映は基盤同梱の構成同期ツールでコードから同期し、イメージ更新はコード上の識別子書き換えで行う。秘密情報はクラウドの保管庫を正とし専用の連携部品経由でのみ供給。画面テーマの自動検査（改ざん防止項目の保持・接続先一覧を描画しない・文言集約）とアクセシビリティ自動検査、通行証への個人情報混入検査も同じ段で機械強制</t>
    <phoneticPr fontId="2"/>
  </si>
  <si>
    <t>D-U9-12</t>
    <phoneticPr fontId="2"/>
  </si>
  <si>
    <t>basic-design/09-operations-observability-design.md §9.6.1</t>
    <phoneticPr fontId="2"/>
  </si>
  <si>
    <t>独自機能の組み立て・検証・段階的投入</t>
    <phoneticPr fontId="2"/>
  </si>
  <si>
    <t>独自機能は個別配布せず、製品イメージに焼き込んだ単一イメージとして出荷（識別子＝検証単位）。脆弱性スキャン（重大24時間・高7日で対処）→署名と生成来歴の付与→クラスタ側は署名検証を必須にして未署名イメージの起動を拒否。検証段では3系統の配置回帰と1000件規模の合成データでの回帰（基準値比+10%以内）を通す。本番投入は1台目更新後に15分の様子見を置き、その間は毎分の外形ログインチェックを実施して失敗なら自動巻き戻し。セッションがデータベース保存のため利用者影響はゼロ</t>
    <phoneticPr fontId="2"/>
  </si>
  <si>
    <t>D-U9-13</t>
    <phoneticPr fontId="2"/>
  </si>
  <si>
    <t>basic-design/09-operations-observability-design.md §9.6.2</t>
    <phoneticPr fontId="2"/>
  </si>
  <si>
    <t>製品版数の固定と昇格前検証</t>
    <phoneticPr fontId="2"/>
  </si>
  <si>
    <t>版数系列を固定し、イメージはタグではなく識別子で指定（東西の一致を日次検証）。管理ソフトの更新は手動承認でコード固定。修正版を含む全昇格が、検証環境での1000件規模の合成データ回帰を通過してから本番へ（過去に修正版で性能劣化の前例があるため例外を作らない）。年1〜2回の製品リリースへの追従をカレンダー化し、独自機能の互換確認→必要修正→出荷の順で流す</t>
    <phoneticPr fontId="2"/>
  </si>
  <si>
    <t>D-U9-14</t>
    <phoneticPr fontId="2"/>
  </si>
  <si>
    <t>basic-design/09-operations-observability-design.md §9.6.3</t>
    <phoneticPr fontId="2"/>
  </si>
  <si>
    <t>管理API群と非同期処理は認証製品とは別系統のパイプライン</t>
    <phoneticPr fontId="2"/>
  </si>
  <si>
    <t>ブランド側の管理APIと非同期の連結処理（射影反映・通知配信・影ユーザ制御）は関数実行方式とし、認証製品（クラスタ＋構成同期）とは別のパイプラインで配信する。これが「認証は最優先・管理ツールは次位」という障害範囲の分離の実体。コンテナイメージ形式で同じ置き場へ送り、専用の配信ツールで2アカウントへ展開。秘密情報は保管庫＋自動更新の関数で管理（クラスタ用の連携部品は使わない）。定常バッチは日時起動サービスと組み合わせるが、退職者遮断バッチだけは管理APIが内部限定のためクラスタ内定期ジョブで別扱い</t>
    <phoneticPr fontId="2"/>
  </si>
  <si>
    <t>D-U9-18</t>
    <phoneticPr fontId="2"/>
  </si>
  <si>
    <t>basic-design/09-operations-observability-design.md §9.6.4</t>
    <phoneticPr fontId="2"/>
  </si>
  <si>
    <t>顧客追加パイプライン6ステップとリードタイム内訳</t>
    <phoneticPr fontId="2"/>
  </si>
  <si>
    <t>①申請（宣言ファイルのPR、接続情報とドメインとヒントキー）②検証（機械検査＋運用者1名レビュー、約2時間）③外部通信の許可先更新（他組織側の絞り込みリストへの反映。委任方式が合意できれば自動で約10分、都度申請なら先方の4営業時間以内）④所属と接続先の作成（全自動・約10分）⑤疎通確認（自動の情報取得約5分＋顧客と合同のテストログイン）⑥監視登録（自動・約5分）。基盤側の純作業は合計2〜3時間で「翌営業日以内」は成立するが、都度申請で先方の応答が1営業日以上になる場合は成立せず、その際は要件自体の緩和へエスカレーションする</t>
    <phoneticPr fontId="2"/>
  </si>
  <si>
    <t>basic-design/09-operations-observability-design.md §9.7.1</t>
    <phoneticPr fontId="2"/>
  </si>
  <si>
    <t>常時監視用の自動アクセスの配置変更と検知範囲</t>
    <phoneticPr fontId="2"/>
  </si>
  <si>
    <t>当初計画では入口を管理するアカウントに置く想定だったが、そのアカウントが他組織管理となったため成立せず、自社の監査アカウントへ配置変更（運用主体も自社の基盤運用へ変更）。検知範囲は「認証実装漏れの検知」を主目的とし、正当な通行証で200が返ることに加えて、通行証なし・改ざん通行証で401/403が返ることを確認する（認証チェックの欠落を直接検知）。外形での目標値計測（入口経由と内部直の2系統で切り分け）、段階投入時の様子見判定、予備地域の外形監視にも兼用する</t>
    <phoneticPr fontId="2"/>
  </si>
  <si>
    <t>D-U9-16</t>
    <phoneticPr fontId="2"/>
  </si>
  <si>
    <t>basic-design/09-operations-observability-design.md §9.8.1</t>
    <phoneticPr fontId="2"/>
  </si>
  <si>
    <t>既存業務システム連携の全体構成</t>
    <phoneticPr fontId="2"/>
  </si>
  <si>
    <t>U10 連携・移行</t>
    <phoneticPr fontId="2"/>
  </si>
  <si>
    <t>顧客側ID基盤→本基盤は利用者情報の自動同期（未対応なら初回ログイン時の自動作成）、本基盤→業務システムは旧来方式の認証＋業務システム側での初回自動作成という2層構成を標準とする。業務システムへの利用者情報の押し出しは今回対象外（超大企業かつ承認フロー事前設定必須かつ特定製品以外という3条件が揃う顧客のみ次段階で個別検討）。下層の経路の違いは仲介役が吸収するため上層の設計に一切現れない（これが2層＋仲介構成の設計上の利得）。画面遷移はブラウザ経由で運ばれるためサーバ間の外部通信が発生しない</t>
    <phoneticPr fontId="2"/>
  </si>
  <si>
    <t>D-U10-01</t>
    <phoneticPr fontId="2"/>
  </si>
  <si>
    <t>basic-design/10-integration-migration-design.md §10.1.1</t>
    <phoneticPr fontId="2"/>
  </si>
  <si>
    <t>業務システム向けの接続定義（テンプレート化）</t>
    <phoneticPr fontId="2"/>
  </si>
  <si>
    <t>顧客ごとに1本ずつ接続枠を発行。利用者の識別名は基盤内で一意な「所属＋利用者ID」の全体を渡し、突合用には顧客生値の社員番号を属性として別送する。署名は業務システム側の互換標準に合わせ、通行証側の方式とは別体系とする。業務システム側から始まる遷移のみ許可し、基盤側から始まる遷移は無効化（悪用面の排除）。戻り先URLは完全一致で登録しワイルドカード禁止。一括ログアウトの窓口は今回登録しない。送出属性は社員番号・メール・氏名の最小セットに限定し、部署・上司・役割は今回送らない</t>
    <phoneticPr fontId="2"/>
  </si>
  <si>
    <t>basic-design/10-integration-migration-design.md §10.1.2</t>
    <phoneticPr fontId="2"/>
  </si>
  <si>
    <t>既存利用者の引き当てと内部IDの保全</t>
    <phoneticPr fontId="2"/>
  </si>
  <si>
    <t>業務システム側の突合項目は社員番号を第一推奨とし、埋込率に応じた判断フローで顧客別に確定（移行前に決めて以後変更しない）。一致すれば既存の利用者レコードに紐付け内部IDが変わらないため、過去の申請・承認・監査履歴がすべて保全される。禁止事項3つ=①既存利用者を削除して作り直す（履歴破壊）②突合項目の後変更③パスワード無効化と連携有効化の間に隙間を作る。重複レコードは連携開始前に検出・統合しておく</t>
    <phoneticPr fontId="2"/>
  </si>
  <si>
    <t>D-U10-03</t>
    <phoneticPr fontId="2"/>
  </si>
  <si>
    <t>basic-design/10-integration-migration-design.md §10.1.3</t>
    <phoneticPr fontId="2"/>
  </si>
  <si>
    <t>移行の並走4段階</t>
    <phoneticPr fontId="2"/>
  </si>
  <si>
    <t>①準備（1〜2週間、接続枠の発行と情報提供、顧客側の設定投入、強制せず並走モードで起動、重複レコード統合をここで完了）②試行（2〜4週間、10〜20名のみ有効化し内部ID不変・履歴表示・権限を受入テスト、設定クリアで即時巻き戻し）③全社有効化（1〜2ヶ月、全員に設定しつつパスワード認証も継続、未移行者を履歴から追跡）④パスワード無効化（1ヶ月、全員の成功確認後に一般利用者のパスワードを無効化し強制モードへ。緊急用アカウントのみ残置。無効化と強制化は同一の変更枠で実施）。各段階に巻き戻し手段を明記</t>
    <phoneticPr fontId="2"/>
  </si>
  <si>
    <t>D-U10-04</t>
    <phoneticPr fontId="2"/>
  </si>
  <si>
    <t>basic-design/10-integration-migration-design.md §10.1.4</t>
    <phoneticPr fontId="2"/>
  </si>
  <si>
    <t>業務システム側の緊急用アカウント</t>
    <phoneticPr fontId="2"/>
  </si>
  <si>
    <t>2〜3名を専用命名で用意。連携設定を空にして専用の裏口URLから入る（本基盤の障害時に業務システムが道連れにならない最終防衛線）。認証はローカルパスワード20文字以上＋ハードウェアキー必須。統制はアクセス元IP制限＋使用時の即時通知＋変更申請の起票＋使用後24時間以内のパスワード入れ替え＋四半期ごとのログインテスト。これは業務システム側で完結する経路で、本基盤の緊急用アカウントとは独立</t>
    <phoneticPr fontId="2"/>
  </si>
  <si>
    <t>D-U10-05</t>
    <phoneticPr fontId="2"/>
  </si>
  <si>
    <t>basic-design/10-integration-migration-design.md §10.1.5</t>
    <phoneticPr fontId="2"/>
  </si>
  <si>
    <t>退職時の遮断連鎖と一括ログアウト</t>
    <phoneticPr fontId="2"/>
  </si>
  <si>
    <t>本基盤側で停止すれば次回アクセス時の認証が拒否され、結果として業務システムにも入れなくなる（遮断成立）。業務システム側の利用者レコードは残置し業務履歴を保全する（削除の非対称性）。既存セッションは業務システム側の無操作タイムアウトまで残るため、その残余時間を顧客契約に明記し、即時性が必要な顧客にはタイムアウト短縮を案内。一括ログアウトは成功率が6〜8割で1つの無応答が連鎖を壊すため今回不実装。復帰は本基盤側で戻せば次回アクセスで自動復帰し業務システム側の操作は不要。試行段階の受入テスト5点（内部ID不変・自動作成・遮断連鎖・緊急用アカウント・履歴非破壊）を必須</t>
    <phoneticPr fontId="2"/>
  </si>
  <si>
    <t>D-U10-06</t>
    <phoneticPr fontId="2"/>
  </si>
  <si>
    <t>basic-design/10-integration-migration-design.md §10.1.6</t>
    <phoneticPr fontId="2"/>
  </si>
  <si>
    <t>管理API の構成</t>
    <phoneticPr fontId="2"/>
  </si>
  <si>
    <t>仕様定義は1本にまとめ、ブランド側の管理APIを主役として配置（利用者の作成・変更・権限・射影・ID対応表の実体）。入口はブランド側で、振り分けは配信網の入口側で行い、重い中央窓口は置かない。中央に残るのは影ユーザの有効・無効を切り替える薄い処理のみ（削除イベントで発火）。実行形態は関数実行で確定し、認証製品（最優先）と管理ツール（次位）を別の障害範囲に分離する。認証製品の管理APIへは内部限定の接続点経由で到達。管理画面のアクセシビリティ準拠も実装要件</t>
    <phoneticPr fontId="2"/>
  </si>
  <si>
    <t>D-U10-07</t>
    <phoneticPr fontId="2"/>
  </si>
  <si>
    <t>basic-design/10-integration-migration-design.md §10.2.1</t>
    <phoneticPr fontId="2"/>
  </si>
  <si>
    <t>提供する操作の一覧と共通規約</t>
    <phoneticPr fontId="2"/>
  </si>
  <si>
    <t>利用者の検索・参照・作成・属性更新・無効化・再有効化、招待、資格情報リセット（パスワード・追加確認・ロック解除）、役割、所属管理、利用可否の付与剥奪、監査ログ照会、ID対応表、強制ログアウト、本人向けの文脈取得。削除の動詞は提供せず405を返す（今回の物理削除禁止をAPI層で物理的に強制）。共通規約=標準形式のエラー体系（内部例外の露出禁止）、カーソル方式のページング（1回200件上限、飛び番方式は大規模で不採用）、作成系は重複防止キーを受理、流量制限は管理画面10件/秒・アプリ50件/秒が初期値、全書込で実行者・対象・操作・理由コードを記録</t>
    <phoneticPr fontId="2"/>
  </si>
  <si>
    <t>D-U10-08</t>
    <phoneticPr fontId="2"/>
  </si>
  <si>
    <t>basic-design/10-integration-migration-design.md §10.2.2</t>
    <phoneticPr fontId="2"/>
  </si>
  <si>
    <t>権限モデルの実装</t>
    <phoneticPr fontId="2"/>
  </si>
  <si>
    <t>「アプリを使えるかどうか」は管理画面側のデータベースで持ちAPI照会で配る（通行証には載せない＝先の決定を上書き）。「承認上限いくらまで」といったアプリ内の詳細権限は各アプリのデータベースで持ち本基盤は関与しない。所属境界の検証は3層（通行証の検証6点→所属情報と管理者役割の確認→管理API呼び出し時に所属フィルタを常時付与、フィルタ不能なAPIは結果を再フィルタ）。越境要求は403＋監査記録。管理者自身の停止・自己の役割剥奪は拒否（締め出し防止）。自社運用者は全顧客範囲で使えるが入口は一時昇格経由に限定</t>
    <phoneticPr fontId="2"/>
  </si>
  <si>
    <t>D-U10-09</t>
    <phoneticPr fontId="2"/>
  </si>
  <si>
    <t>basic-design/10-integration-migration-design.md §10.2.3</t>
    <phoneticPr fontId="2"/>
  </si>
  <si>
    <t>利用可能アプリ一覧APIの仕様</t>
    <phoneticPr fontId="2"/>
  </si>
  <si>
    <t>着地画面と権限不足画面の表示判定の正とする。所属の表示名と、アプリごとの識別子・名称・説明・起動URL・アイコン・状態（利用可／申請可）を返す。識別子はアプリ台帳のカタログIDと統一し、権限不足画面の引数や理由コード辞書と同一の名前空間にする。キャッシュは本人限定60秒で、剥奪の伝播は最大60秒＋アプリ側の認可判定で防御。管理者役割を持つ場合のみ管理画面のタイルを含める。申請フローは今回は申請URLへの誘導のみ</t>
    <phoneticPr fontId="2"/>
  </si>
  <si>
    <t>D-U10-10</t>
    <phoneticPr fontId="2"/>
  </si>
  <si>
    <t>basic-design/10-integration-migration-design.md §10.2.4</t>
    <phoneticPr fontId="2"/>
  </si>
  <si>
    <t>出来事通知の配信機構</t>
    <phoneticPr fontId="2"/>
  </si>
  <si>
    <t>基盤は対応必須・顧客アプリ側は任意という立場。イベントバス上の正規化イベントを正とし、認証製品の生イベントを直接顧客に流さない（内部名称の契約化を防ぐ）。今回配信する7種=利用者の作成・更新・停止・復活、追加確認の登録と解除、セッション取消。予約4種=物理削除、リスク検知、接続先の有効無効、計画メンテ通知。署名は時刻付きの改ざん検知方式で許容幅±5分、秘密情報は顧客×宛先単位で保管庫管理・入れ替え時は2世代並走。重複排除用の不変IDを付与。再送は指数的な間隔で計8回・約24時間、最終失敗は待避キューに14日保管＋運用警報＋顧客通知。順序は保証せず、受信側は発生時刻とリソース再取得で収束させる規約。配信内容に個人情報は含めず、必要な属性は受信側がAPIで取得する</t>
    <phoneticPr fontId="2"/>
  </si>
  <si>
    <t>D-U10-11</t>
    <phoneticPr fontId="2"/>
  </si>
  <si>
    <t>basic-design/10-integration-migration-design.md §10.3</t>
    <phoneticPr fontId="2"/>
  </si>
  <si>
    <t>既存システムからの移行方式</t>
    <phoneticPr fontId="2"/>
  </si>
  <si>
    <t>利用者集団の性質で4分類。A=顧客側ID基盤ありの利用者は接続先を本基盤へ向け替えて初回ログインで作成（パスワード移行不要）／B=旧システムのローカルパスワード利用者は並走方式（初回ログイン時に旧システムへ照会し成功したら新方式で再保存＝強制リセットなし）を第一選択／C=属性とID対応のみ必要な集団は一括投入／D=人事システム起点の顧客は自動同期で初期投入。パスワードの持ち越しは判定フローで確定（抽出不可なら並走方式、標準的な方式ならそのまま取り込み、旧方式を恒久維持するなら独自部品を追加して互換検証の対象に載せる、方式不明や脆弱な方式なら強制リセット）。切替単位はアプリ単位で並走3〜6ヶ月、旧IDは対応表に記録し通行証には載せない（先の決定を上書き）。巻き戻しは1時間以内が目標</t>
    <phoneticPr fontId="2"/>
  </si>
  <si>
    <t>basic-design/10-integration-migration-design.md §10.4</t>
    <phoneticPr fontId="2"/>
  </si>
  <si>
    <t>データ主体の権利対応の今回範囲</t>
    <phoneticPr fontId="2"/>
  </si>
  <si>
    <t>今回は手動運用（手順書）＋既存APIの組み合わせに限定。受付は顧客管理者経由の1経路に収束させ、本人向けポータル・自動化された処理基盤・暗号鍵削除による消去は次段階。6権利の実現手段=開示と可搬性は標準形式での書き出し手順（秘匿値は含めない）／訂正は属性更新API／削除は停止処理＋監査ログの仮名化で応答し物理削除は行わない（先の決定が優先。監査・法的義務による保持は法令上の除外事由に該当）／処理制限は停止処理／処理拒否は手動対応。全対応を7年保管。件数が月10件を超えた時点を次段階への前倒しトリガーとする</t>
    <phoneticPr fontId="2"/>
  </si>
  <si>
    <t>D-U10-13</t>
    <phoneticPr fontId="2"/>
  </si>
  <si>
    <t>basic-design/10-integration-migration-design.md §10.5</t>
    <phoneticPr fontId="2"/>
  </si>
  <si>
    <t>継続アクセス（CAEP／共有シグナル）= 取り消し漏れ時間の恒久解</t>
    <phoneticPr fontId="2"/>
  </si>
  <si>
    <t>通行証の取り消しが受け取り側に届かない残余時間（最大30分）の恒久的な解決策として、継続的アクセス評価を目標構成に据える。今回は暫定のつなぎ（短命な通行証＋一括無効化＋高価値リソースの都度照会＋送信者拘束）に加え、削除伝播の仕組みを起点とした自前のイベント送出を実装し、希望する受け取り側にセッション取消・アカウント無効化を配信する。次段階で製品標準の対応、その次で顧客側ID基盤からの失効を受信する側へ拡張。受け取り側実装ガイドに受信章を追加。最終確定は新設ゲートと顧客確認に依存</t>
    <phoneticPr fontId="2"/>
  </si>
  <si>
    <t>D-U5-09</t>
    <phoneticPr fontId="2"/>
  </si>
  <si>
    <t>basic-design/05-token-session-authz-design.md §5.10.1 / ADR-065</t>
    <phoneticPr fontId="2"/>
  </si>
  <si>
    <t>API層のステップアップ = 標準仕様に準拠</t>
    <phoneticPr fontId="2"/>
  </si>
  <si>
    <t>管理系・決済・個人情報更新などの重要APIについて、API側から「本人確認が不足している」と通知して再認証へ誘導する標準方式に準拠する。ログイン時のステップアップと同じ強度体系を使う。今回は構造の準備（認可要求の集約）に留め、重要APIが発生した時点でAPI側のチャレンジを有効化する</t>
    <phoneticPr fontId="2"/>
  </si>
  <si>
    <t>D-U5-10</t>
    <phoneticPr fontId="2"/>
  </si>
  <si>
    <t>basic-design/05-token-session-authz-design.md §5.10.2</t>
    <phoneticPr fontId="2"/>
  </si>
  <si>
    <t>同時セッション数の制限</t>
    <phoneticPr fontId="2"/>
  </si>
  <si>
    <t>基盤運用者と顧客テナント管理者に同時に有効なセッションの上限を設ける（製品標準の機能を使用）。無制限のセッションは失効時の影響範囲と乗っ取りリスクを拡大するため。一般利用者は無制限のままとし、上限は管理系のみ。具体的な上限値は運用設計側のサイジングと合わせて確定。顧客確認事項として登録</t>
    <phoneticPr fontId="2"/>
  </si>
  <si>
    <t>D-U5-11</t>
    <phoneticPr fontId="2"/>
  </si>
  <si>
    <t>basic-design/05-token-session-authz-design.md §5.10.3</t>
    <phoneticPr fontId="2"/>
  </si>
  <si>
    <t>通行証引き換えの委譲制御</t>
    <phoneticPr fontId="2"/>
  </si>
  <si>
    <t>引き換えの際に「実際に操作している主体」と「代理を許された主体」を明示するクレームで委譲を表現し、引き換えごとに宛先と権限範囲の縮小を必須とする（黙って権限が広がることを禁止）。なりすましと正規の委譲を区別する。将来の自動エージェントによる代理実行の基盤にもなる</t>
    <phoneticPr fontId="2"/>
  </si>
  <si>
    <t>D-U5-12</t>
    <phoneticPr fontId="2"/>
  </si>
  <si>
    <t>basic-design/05-token-session-authz-design.md §5.10.4</t>
    <phoneticPr fontId="2"/>
  </si>
  <si>
    <t>金融グレード仕様への姿勢</t>
    <phoneticPr fontId="2"/>
  </si>
  <si>
    <t>今回の認可要求の基線は、検証子付きの標準フロー＋発行元の応答検証＋使い捨て値の必須化で成立させる。要求内容の事前登録・要求そのものの署名・送信者拘束の3つは「金融グレードの顧客が出た時点で必須化する」条件付き採用とし、現時点では導入しない。相互証明書方式は第3段階という既存の段階昇格と整合。判定は顧客確認に依存</t>
    <phoneticPr fontId="2"/>
  </si>
  <si>
    <t>D-U5-13</t>
    <phoneticPr fontId="2"/>
  </si>
  <si>
    <t>basic-design/05-token-session-authz-design.md §5.10.5</t>
    <phoneticPr fontId="2"/>
  </si>
  <si>
    <t>送信者拘束方式の運用サイジング</t>
    <phoneticPr fontId="2"/>
  </si>
  <si>
    <t>導入時はサーバ側から使い捨て値を提供する仕組み（時刻ずれと事前生成攻撃の対策）と、証明の再生防止キャッシュが必要。1000万規模では再生防止キャッシュが容量と応答時間の設計項目になるため、インフラ側のサイジングに含める。送信者拘束は通行証だけでなく更新用の引換券にも適用する（盗まれた引換券を別端末で使わせない）</t>
    <phoneticPr fontId="2"/>
  </si>
  <si>
    <t>D-U5-14</t>
    <phoneticPr fontId="2"/>
  </si>
  <si>
    <t>basic-design/05-token-session-authz-design.md §5.10.6</t>
    <phoneticPr fontId="2"/>
  </si>
  <si>
    <t>セルフサービスのセッション・端末管理</t>
    <phoneticPr fontId="2"/>
  </si>
  <si>
    <t>利用者が自分の有効なセッションと端末の一覧を見て、自分で失効させられる画面を提供する（製品標準のアカウント設定画面相当をブランド適用、または管理画面に組込）。不審な端末の即時失効と、自分のアクセス状況の可視化を利用者自身で担保し、問い合わせ負荷と取り消し漏れ時間の露出を縮小する。管理者側の強制失効とは別レイヤ。顧客側ID基盤を使う利用者については本基盤のセッションのみが対象（顧客側のセッションは顧客責任）。今回実装するか次段階かは顧客確認で確定</t>
    <phoneticPr fontId="2"/>
  </si>
  <si>
    <t>D-U4-09</t>
    <phoneticPr fontId="2"/>
  </si>
  <si>
    <t>basic-design/04-auth-ux-design.md §4.3.5</t>
    <phoneticPr fontId="2"/>
  </si>
  <si>
    <t>安全な登録手続き（登録の乗っ取り対策）</t>
    <phoneticPr fontId="2"/>
  </si>
  <si>
    <t>追加確認手段の新規登録は「検証済みの文脈」でのみ許可する。①初回は初回ログイン直後の強制登録 ②2台目以降と再登録は、既存の認証手段または予備コードによる再認証を必須とし、第1要素だけでの追加登録を禁止。盗んだ第1要素で攻撃者が自分の認証器を登録し、正規の利用者を締め出す乗っ取り手口を防ぐため。顧客確認事項として登録</t>
    <phoneticPr fontId="2"/>
  </si>
  <si>
    <t>D-U4-10</t>
    <phoneticPr fontId="2"/>
  </si>
  <si>
    <t>認証器のみ・メール非保有の利用者の復旧</t>
    <phoneticPr fontId="2"/>
  </si>
  <si>
    <t>メールによる追加確認を不採用としたためメール経由のリセット経路が存在しない。そのため ①2台目の認証手段の事前登録を強く推奨（登録直後に案内）②復旧時に確認の強度を下げない（予備コードまたは管理者の一時昇格承認経路のみとし、SMSやメールへの後退を禁止）③永久的な締め出しを避ける設計（自社受け皿収容の利用者は顧客テナント管理者、基盤運用者は運用手順書による復旧経路を用意）。顧客確認事項として登録</t>
    <phoneticPr fontId="2"/>
  </si>
  <si>
    <t>D-U4-11</t>
    <phoneticPr fontId="2"/>
  </si>
  <si>
    <t>非人間IDのガバナンス</t>
    <phoneticPr fontId="2"/>
  </si>
  <si>
    <t>機械同士の通信用アカウント・サービスアカウント・実行環境の権限・連携部品・糊付けの関数など、本基盤が生成し保持する非人間IDを、軽量な台帳＋命名規約＋孤立検知＋失効伝播で統制する（軽量な権限管理の枠組みの傘下）。1000超の顧客×機械通信で非人間IDは人間の数十倍規模になり、台帳・責任者・棚卸しがないとスケール時に統制不能になり資格情報が散乱するため。要点=①台帳（種別／責任者は必須で空欄は自動検査で拒否／用途／権限範囲／更新周期／最終使用、権限系データベースに同居）②孤立検知の定期ジョブ（最終使用から90日超・責任者不在・更新期限超過を検出し通知のうえ猶予後に停止）③失効は既存の削除伝播の仕組みで伝播。顧客と自社どちらが責任者を持つかの分界は顧客確認 B-NHI-1。自動エージェントのIDは非人間IDの特殊系として台帳の種別拡張で受ける</t>
    <phoneticPr fontId="2"/>
  </si>
  <si>
    <t>D-U7-20</t>
    <phoneticPr fontId="2"/>
  </si>
  <si>
    <t>basic-design/07-security-compliance-design.md §7.5.5 / ADR-066</t>
    <phoneticPr fontId="2"/>
  </si>
  <si>
    <t>同意管理・同意レシート</t>
    <phoneticPr fontId="2"/>
  </si>
  <si>
    <t>顧客側ID基盤からの属性の受け渡し・越境・利用目的に対する同意を、記録・撤回・監査証跡（同意レシート）として保持する枠組みを用意する。連携では利用者の属性を受け取り側アプリに渡すため、国内外の個人情報保護法制は記録可能かつ撤回可能な同意を期待する。製品には同意画面があるが、記録・目的の拘束・撤回の伝播は別途設計が必要。今回の既定は自社が主体のサービスであるため同意画面はオフ運用可としつつ、越境や第三者提供が絡む顧客については同意レシートを必須とする。要否と適用範囲は顧客確認 B-CONSENT-1。忘れられる権利との整合は連携・移行側の決定と顧客確認 B-RTBF-1 で扱う</t>
    <phoneticPr fontId="2"/>
  </si>
  <si>
    <t>D-U7-21</t>
    <phoneticPr fontId="2"/>
  </si>
  <si>
    <t>basic-design/07-security-compliance-design.md §7.7.6</t>
    <phoneticPr fontId="2"/>
  </si>
  <si>
    <t>非本番環境の個人情報マスキング／合成データ</t>
    <phoneticPr fontId="2"/>
  </si>
  <si>
    <t>検証環境に本番相当の個人情報を投入しない。①本番からの複製時に不可逆のマスキングを施す ②または合成データを生成する のいずれかをコード管理と自動検査で標準化し、非本番に平文の個人情報が着地しないことを機械的に検査する。1000万規模の実データを非本番に露出させることは法令上の重大な責任であり、テスト環境からの流出は制裁事例でも相当の割合を占めるため。負荷試験用の大量データセットも本規約に従い合成生成する。適用範囲とマスキング方式は顧客確認 B-TESTDATA-1</t>
    <phoneticPr fontId="2"/>
  </si>
  <si>
    <t>D-U9-19</t>
    <phoneticPr fontId="2"/>
  </si>
  <si>
    <t>basic-design/09-operations-observability-design.md §9.5.5</t>
    <phoneticPr fontId="2"/>
  </si>
  <si>
    <t>認可判定ログ</t>
    <phoneticPr fontId="2"/>
  </si>
  <si>
    <t>管理APIの認可判定ごとに決定ログ（判定対象・操作主体・対象リソース×操作・許可/拒否・理由・適用したポリシー版）を出力し、既存のログ3層に相乗りさせる（秘匿情報のマスキングを通過後に保存、判定対象は個人情報非搭載の内部IDのみ）。既存の監査ログは認証イベント中心で、第三者認証や情報セキュリティ規格が求める「認可の説明可能性（最小権限の証明）」が担保されないため。サンプリングは拒否を全件、高権限操作（書込・削除・権限変更）の許可も全件、一般の読み取りは集約とし、量の律速を避けつつ高リスク面で「なぜ許可したか」を担保。将来、認可判定を外部エンジンに移しても決定ログの形は変わらない。粒度と保持期間は顧客確認 B-AUTHZLOG-1</t>
    <phoneticPr fontId="2"/>
  </si>
  <si>
    <t>D-U9-20</t>
    <phoneticPr fontId="2"/>
  </si>
  <si>
    <t>basic-design/09-operations-observability-design.md §9.3.3 / ADR-067</t>
    <phoneticPr fontId="2"/>
  </si>
  <si>
    <t>テナント隔離の契約化と認証フローの公平性</t>
    <phoneticPr fontId="2"/>
  </si>
  <si>
    <t>単一の領域＋所属単位の構成は論理的な分離であり、資源や障害の隔離が自動的に伴うわけではないため、隔離を「契約」として明文化する。①テナント別の公平性（一部の顧客の急増が他に波及する問題への対策）= ログインと通行証発行のフローに顧客別のレート制限・上限を設ける。利用者同期と管理APIには既に毎秒10件の制限があるが、認証フローは1顧客の急増で共有のデータベース接続プールとキャッシュを枯渇させ得るため、配信網や負荷分散装置の層と認証製品側の両方で顧客別の絞り込みを実装する ②隔離の強制点 = 所属情報をデータベースの行・ログ・キュー・射影・下流APIで一貫して強制する（所属のクレームは識別であって隔離ではない）③領域分割への脱出条件 = 領域全体の変更・障害・キャッシュは全顧客に波及するため、大口顧客や規制対象の顧客を別領域へ分離できる基準を持つ。既定値と分離基準は顧客確認 B-TENANT-ISO-1 とインフラ側サイジングで確定</t>
    <phoneticPr fontId="2"/>
  </si>
  <si>
    <t>D-U6-14</t>
    <phoneticPr fontId="2"/>
  </si>
  <si>
    <t>basic-design/06-infra-network-design.md §6.6.3</t>
    <phoneticPr fontId="2"/>
  </si>
  <si>
    <t>忘れられる権利と7年間の改ざん不能監査の境界を明文化</t>
    <phoneticPr fontId="2"/>
  </si>
  <si>
    <t>利用者からの消去要求と、改ざん不能で7年保管する監査証跡は正面から衝突するため、「消去する対象」と「不変の監査側で墓標化・仮名化して残す対象」の境界を文書で定める（都度判断は不可）。既定は、個人データ本体は停止処理のうえ次段階の物理削除へ／監査ログ内の主体識別子は仮名化して保持（法令上の保持根拠がある）。認可判定ログ内の識別子の仮名化も同じ扱いで整合させる。境界の最終確定は顧客確認 B-RTBF-1</t>
    <phoneticPr fontId="2"/>
  </si>
  <si>
    <t>D-U10-13b</t>
    <phoneticPr fontId="2"/>
  </si>
  <si>
    <t>—</t>
  </si>
  <si>
    <t>内容</t>
    <phoneticPr fontId="2"/>
  </si>
  <si>
    <t>区分</t>
    <phoneticPr fontId="2"/>
  </si>
  <si>
    <t>状態</t>
    <phoneticPr fontId="2"/>
  </si>
  <si>
    <t>ADR-064</t>
  </si>
  <si>
    <t>② 詳細設計</t>
  </si>
  <si>
    <t>④ テスト</t>
  </si>
  <si>
    <t>ADR（アーキテクチャ決定記録）一覧 — 全67本</t>
  </si>
  <si>
    <t>出典: doc/adr/00-index.md ＋ 各ADRファイル（commit 9511a58 時点）。Gitからの派生ビュー（読み取り専用）</t>
  </si>
  <si>
    <t>日付</t>
  </si>
  <si>
    <t>備考・更新履歴</t>
  </si>
  <si>
    <t>ADR-001</t>
  </si>
  <si>
    <t>PoC第1パターンとしてCognitoハイブリッド構成を採用</t>
  </si>
  <si>
    <t>Accepted</t>
  </si>
  <si>
    <t>ADR-002</t>
  </si>
  <si>
    <t>認可方式としてLambda Authorizerを採用</t>
  </si>
  <si>
    <t>ADR-003</t>
  </si>
  <si>
    <t>認証ライブラリとしてoidc-client-tsを採用</t>
  </si>
  <si>
    <t>ADR-004</t>
  </si>
  <si>
    <t>1アカウント2 User Poolでマルチアカウント構成を擬似再現</t>
  </si>
  <si>
    <t>ADR-005</t>
  </si>
  <si>
    <t>共通認証基盤にUser Poolを使用（Identity Poolではない）</t>
  </si>
  <si>
    <t>ADR-006</t>
  </si>
  <si>
    <t>Cognito vs Keycloak コスト損益分岐点の分析</t>
  </si>
  <si>
    <t>Proposed</t>
  </si>
  <si>
    <t>ADR-007</t>
  </si>
  <si>
    <t>大阪リージョンでAuth0 OIDC IdP接続不可の記録</t>
  </si>
  <si>
    <t>ADR-008</t>
  </si>
  <si>
    <t>PoCでKeycloak start-devモードを使用</t>
  </si>
  <si>
    <t>ADR-009</t>
  </si>
  <si>
    <t>MFA責任はパスワード管理側に帰属させる</t>
  </si>
  <si>
    <t>ADR-010</t>
  </si>
  <si>
    <t>Keycloak環境をPrivate Subnet + VPC Endpoint構成へ移行</t>
  </si>
  <si>
    <t>ADR-011</t>
  </si>
  <si>
    <t>認証基盤前段ネットワーク設計の統合判断</t>
  </si>
  <si>
    <t>HTTPS／カスタムドメイン／WAF／CloudFront</t>
  </si>
  <si>
    <t>ADR-012</t>
  </si>
  <si>
    <t>VPC Lambda Authorizer + Internal ALBによる鍵情報のプライベート化</t>
  </si>
  <si>
    <t>ADR-013</t>
  </si>
  <si>
    <t>CloudFront + WAFによるIP制限の置き換え戦略</t>
  </si>
  <si>
    <t>ADR-014</t>
  </si>
  <si>
    <t>共有認証基盤が対応する認証パターンの範囲</t>
  </si>
  <si>
    <t>ADR-015</t>
  </si>
  <si>
    <t>PoCではRHBK検証を実施せず本番設計フェーズへ先送り</t>
  </si>
  <si>
    <t>ADR-016</t>
  </si>
  <si>
    <t>Cognito機能ティアの機能マトリクスと選定基準</t>
  </si>
  <si>
    <t>Lite / Essentials / Plus</t>
  </si>
  <si>
    <t>ADR-017</t>
  </si>
  <si>
    <t>マルチテナントL2（単一領域＋複数IdP）の採用根拠</t>
  </si>
  <si>
    <t>2026-06-11 / 2026-07-23</t>
  </si>
  <si>
    <t>2026-07-23更新: 1000+ IdP条件付き成立・必須対策7点・PoC P-1〜P-7を追記</t>
  </si>
  <si>
    <t>ADR-018</t>
  </si>
  <si>
    <t>利用者識別子3階層戦略（メール非保有＋顧客独自ID対応）</t>
  </si>
  <si>
    <t>ADR-019</t>
  </si>
  <si>
    <t>既存システムからの移行戦略（並走＋キャッシュ移行）</t>
  </si>
  <si>
    <t>ADR-020</t>
  </si>
  <si>
    <t>所属判定のヒントキー戦略＋フェデ/ローカル混在の識別子先行</t>
  </si>
  <si>
    <t>ADR-021</t>
  </si>
  <si>
    <t>ログイン後の着地UX（サービス選択画面＋権限不足画面）</t>
  </si>
  <si>
    <t>ADR-022</t>
  </si>
  <si>
    <t>エッジでの権限不足画面の制御パターン</t>
  </si>
  <si>
    <t>ADR-023</t>
  </si>
  <si>
    <t>業務システム（ServiceNow）連携設計</t>
  </si>
  <si>
    <t>SSO＋プロビジョニング方向の選択</t>
  </si>
  <si>
    <t>ADR-024</t>
  </si>
  <si>
    <t>ログイン画面アーキテクチャとブランディング4パターン</t>
  </si>
  <si>
    <t>ADR-025</t>
  </si>
  <si>
    <t>利用者自動同期の位置づけと受信スタンス</t>
  </si>
  <si>
    <t>2026-07-08 §H追記: 顧客IdPがLDAPの場合の扱い、論点6件、ヒアリングB-LDAP-1〜7を起票</t>
  </si>
  <si>
    <t>ADR-026</t>
  </si>
  <si>
    <t>強度の不整合の具体例とステップアップ設計</t>
  </si>
  <si>
    <t>ADR-027</t>
  </si>
  <si>
    <t>同一顧客内の利用者重複の扱い（7シナリオ＋連携戦略）</t>
  </si>
  <si>
    <t>ADR-028</t>
  </si>
  <si>
    <t>IdPなし顧客のローカル利用者管理 — 4選択肢の比較</t>
  </si>
  <si>
    <t>ADR-029</t>
  </si>
  <si>
    <t>ローカル利用者の定義 — 利用者カテゴリと範囲シナリオ</t>
  </si>
  <si>
    <t>ADR-030</t>
  </si>
  <si>
    <t>最小の通行証項目設計と接続元アプリの表現</t>
  </si>
  <si>
    <t>ADR-031</t>
  </si>
  <si>
    <t>追加確認の実施情報の統合方針</t>
  </si>
  <si>
    <t>ADR-032</t>
  </si>
  <si>
    <t>1000万規模におけるプラットフォーム選定とコスト比較</t>
  </si>
  <si>
    <t>ADR-033</t>
  </si>
  <si>
    <t>2層アーキテクチャ（仲介＋自社受け皿）</t>
  </si>
  <si>
    <t>2026-06-15 / 2026-07-23</t>
  </si>
  <si>
    <t>2026-07-23更新: 別アカウント配置＋2クラスタ凍結＋シャーディング拡張パス</t>
  </si>
  <si>
    <t>ADR-034</t>
  </si>
  <si>
    <t>状況に応じた認証（リスクベース）の設計</t>
  </si>
  <si>
    <t>ADR-035</t>
  </si>
  <si>
    <t>不正検知と対応（ITDR）の設計</t>
  </si>
  <si>
    <t>ADR-036</t>
  </si>
  <si>
    <t>顧客監査対応</t>
  </si>
  <si>
    <t>Scope Reduced</t>
  </si>
  <si>
    <t>2026-06-24縮小: 監査ログ保管＋都度メール対応のみ。情報開示ポータルはスコープ外</t>
  </si>
  <si>
    <t>ADR-037</t>
  </si>
  <si>
    <t>責任分界モデルと軽量な権限管理の設計</t>
  </si>
  <si>
    <t>ADR-038</t>
  </si>
  <si>
    <t>利用者管理画面（顧客テナント管理者向け）</t>
  </si>
  <si>
    <t>ADR-039</t>
  </si>
  <si>
    <t>ネットワーク監査アカウント設計</t>
  </si>
  <si>
    <t>2026-06-23 / 2026-07-23</t>
  </si>
  <si>
    <t>v3 2026-07-23: 当該アカウントが他組織管理と判明し要求仕様化。外部通信の許可申請リスクを追記</t>
  </si>
  <si>
    <t>ADR-040</t>
  </si>
  <si>
    <t>特権管理（一時昇格）</t>
  </si>
  <si>
    <t>Out of Scope</t>
  </si>
  <si>
    <t>2026-06-24: 本基盤対象外、運用体制側で別途検討。管理画面パス保護方針はADR-039/013へ</t>
  </si>
  <si>
    <t>ADR-041</t>
  </si>
  <si>
    <t>実行環境の権限設計</t>
  </si>
  <si>
    <t>2026-07-23更新: 基盤転換に伴い方式を変更</t>
  </si>
  <si>
    <t>ADR-042</t>
  </si>
  <si>
    <t>自動化された攻撃の検知と対策の設計</t>
  </si>
  <si>
    <t>ADR-043</t>
  </si>
  <si>
    <t>アクセシビリティ設計（WCAG 2.2 AA＋JIS準拠）</t>
  </si>
  <si>
    <t>要件側に対応項目が存在しない点は本ブックの「設計→要件」で指摘済み</t>
  </si>
  <si>
    <t>ADR-044</t>
  </si>
  <si>
    <t>机上演習・インシデント訓練の設計</t>
  </si>
  <si>
    <t>ADR-045</t>
  </si>
  <si>
    <t>鍵管理戦略の集約</t>
  </si>
  <si>
    <t>ADR-046</t>
  </si>
  <si>
    <t>供給網セキュリティ</t>
  </si>
  <si>
    <t>ADR-047</t>
  </si>
  <si>
    <t>耐量子暗号への移行計画</t>
  </si>
  <si>
    <t>ADR-048</t>
  </si>
  <si>
    <t>データ可搬性＋データ主体の権利対応</t>
  </si>
  <si>
    <t>ADR-049</t>
  </si>
  <si>
    <t>委託先リスク管理</t>
  </si>
  <si>
    <t>ADR-050</t>
  </si>
  <si>
    <t>モバイルアプリ認証設計</t>
  </si>
  <si>
    <t>ADR-051</t>
  </si>
  <si>
    <t>複数地域での災害復旧・切替の詳細設計</t>
  </si>
  <si>
    <t>2026-07-23更新: 予備地域の対応確認。ただし2026-07-30の手動復旧転換により再改訂が必要（DU-U8-12）</t>
  </si>
  <si>
    <t>ADR-052</t>
  </si>
  <si>
    <t>認証APIへの流量制限</t>
  </si>
  <si>
    <t>ADR-053</t>
  </si>
  <si>
    <t>可観測性戦略</t>
  </si>
  <si>
    <t>ADR-054</t>
  </si>
  <si>
    <t>ID統合戦略</t>
  </si>
  <si>
    <t>現状調査＋人事DBを正＋対応表＋3段階移行</t>
  </si>
  <si>
    <t>ADR-055</t>
  </si>
  <si>
    <t>所属判定の実装方式選定</t>
  </si>
  <si>
    <t>Accepted (Phase 1)</t>
  </si>
  <si>
    <t>今回採用＝独自機能方式。次段階候補＝URL＋エッジ関数の併用</t>
  </si>
  <si>
    <t>ADR-056</t>
  </si>
  <si>
    <t>基盤の採用判断</t>
  </si>
  <si>
    <t>Accepted（条件付き）</t>
  </si>
  <si>
    <t>2026-06-25 / 2026-07-23</t>
  </si>
  <si>
    <t>2026-07-23で決定が逆転。採用条件3点の充足まで条件付き。旧判断は履歴として保存</t>
  </si>
  <si>
    <t>ADR-057</t>
  </si>
  <si>
    <t>偽装リクエスト対策の責任分界と実装パターン</t>
  </si>
  <si>
    <t>3層に分けて整理（基盤UI／認可フロー／アプリAPI）</t>
  </si>
  <si>
    <t>ADR-058</t>
  </si>
  <si>
    <t>認証プラットフォームの代替6パターン比較</t>
  </si>
  <si>
    <t>2系統の独立調査で現行方式の維持を再確認</t>
  </si>
  <si>
    <t>ADR-059</t>
  </si>
  <si>
    <t>認証実装漏れ検知の中央監視アーキテクチャ</t>
  </si>
  <si>
    <t>アプリ台帳＋仕様台帳で全アプリを自動追随</t>
  </si>
  <si>
    <t>ADR-060</t>
  </si>
  <si>
    <t>認証プロトコルの攻撃経路 残課題対応</t>
  </si>
  <si>
    <t>33経路の残課題3領域を統合（ログのマスキング／送信者拘束／状況判定の強化）</t>
  </si>
  <si>
    <t>ADR-061</t>
  </si>
  <si>
    <t>デプロイ検知の巡回型への統一</t>
  </si>
  <si>
    <t>2026-08-06 / 2026-08-07</t>
  </si>
  <si>
    <t>★索引に未登録。改訂で検知対象をコード差分に変更。受容した穴2点（コンソール直変更・未デプロイ時の偽安心）を明記</t>
  </si>
  <si>
    <t>ADR-062</t>
  </si>
  <si>
    <t>管理APIの実行形態＝関数実行</t>
  </si>
  <si>
    <t>2026-08-06 / 2026-08-08</t>
  </si>
  <si>
    <t>認証製品と管理ツールを別障害ドメインに分離。トポロジはADR-063、削除伝播はADR-064</t>
  </si>
  <si>
    <t>ADR-063</t>
  </si>
  <si>
    <t>ブランドユニット・アーキテクチャ</t>
  </si>
  <si>
    <t>仲介は共有1つ、権限系はブランド側へ。不変条件4点を明示。今回は1ブランド</t>
  </si>
  <si>
    <t>削除・停止伝播＝取りこぼし防止方式</t>
  </si>
  <si>
    <t>1トランザクションで記録し必達送信、冪等に影ユーザを無効化。数分で突合</t>
  </si>
  <si>
    <t>取り消し漏れ時間の恒久解。3段階導入。確定はゲートG-SSFと顧客確認B-CAEP-1</t>
  </si>
  <si>
    <t>軽量台帳＋命名規約＋孤立検知＋失効伝播。確定は顧客確認B-NHI-1</t>
  </si>
  <si>
    <t>決定ログと定期棚卸し。確定は顧客確認B-AUTHZLOG-1／B-IGA-REC-1</t>
  </si>
  <si>
    <t>ステータス別</t>
  </si>
  <si>
    <t>2026-03-17</t>
  </si>
  <si>
    <t>2026-03-18</t>
  </si>
  <si>
    <t>2026-03-25</t>
  </si>
  <si>
    <t>2026-03-28</t>
  </si>
  <si>
    <t>2026-04-21</t>
  </si>
  <si>
    <t>2026-04-23</t>
  </si>
  <si>
    <t>2026-04-24</t>
  </si>
  <si>
    <t>2026-05-13</t>
  </si>
  <si>
    <t>2026-06-12</t>
  </si>
  <si>
    <t>2026-06-15</t>
  </si>
  <si>
    <t>2026-06-18</t>
  </si>
  <si>
    <t>2026-06-23</t>
  </si>
  <si>
    <t>2026-06-24</t>
  </si>
  <si>
    <t>2026-06-25</t>
  </si>
  <si>
    <t>2026-07-06</t>
  </si>
  <si>
    <t>2026-07-02</t>
  </si>
  <si>
    <t>2026-07-08</t>
  </si>
  <si>
    <t>2026-08-06</t>
  </si>
  <si>
    <t>2026-08-08</t>
  </si>
  <si>
    <t>2026-08-12</t>
  </si>
  <si>
    <t>状況</t>
  </si>
  <si>
    <t>項目数</t>
  </si>
  <si>
    <t>IT-01</t>
  </si>
  <si>
    <t>IT-03</t>
  </si>
  <si>
    <t>IT-06</t>
  </si>
  <si>
    <t>IT-07</t>
  </si>
  <si>
    <t>ST-08</t>
  </si>
  <si>
    <t>ST-09</t>
  </si>
  <si>
    <t>RI-01</t>
  </si>
  <si>
    <t>RI-04</t>
  </si>
  <si>
    <t>PT-01</t>
  </si>
  <si>
    <t>PT-02</t>
  </si>
  <si>
    <t>PT-03</t>
  </si>
  <si>
    <t>PT-05</t>
  </si>
  <si>
    <t>PT-06</t>
  </si>
  <si>
    <t>DR-02</t>
  </si>
  <si>
    <t>DR-03</t>
  </si>
  <si>
    <t>DR-04</t>
  </si>
  <si>
    <t>SEC-04</t>
  </si>
  <si>
    <t>SEC-05</t>
  </si>
  <si>
    <t>OP-01</t>
  </si>
  <si>
    <t>OP-03</t>
  </si>
  <si>
    <t>OP-04</t>
  </si>
  <si>
    <t>UAT-02</t>
  </si>
  <si>
    <t>ROSA</t>
  </si>
  <si>
    <t>AWS＋ROSA コスト見積もり（東京リージョン ap-northeast-1）</t>
  </si>
  <si>
    <t>構成の根拠: doc/basic-design/06-infra-network-design.md（D-U6-01〜14）ほか設計書。ROSAサービス料は AWS 公式料金ページから取得（2026-08時点）。AWSインフラの単価は公式ページが動的読み込みのため取得できず、青字の入力欄としている</t>
  </si>
  <si>
    <t>★青字セル＝入力欄（未取得）。AWS Pricing Calculator または各サービスの公式料金ページから値を入れると、以降の集計は自動計算される。数量は設計値（上限台数・構成）に基づくが、規模別の按分は推定</t>
  </si>
  <si>
    <t>■ 前提（入力）</t>
  </si>
  <si>
    <t>項目</t>
  </si>
  <si>
    <t>値</t>
  </si>
  <si>
    <t>単位</t>
  </si>
  <si>
    <t>備考</t>
  </si>
  <si>
    <t>対象リージョン</t>
  </si>
  <si>
    <t>東京 ap-northeast-1</t>
  </si>
  <si>
    <t>前提P-15。予備地域は平時ゼロのため本表に含めない</t>
  </si>
  <si>
    <t>月間稼働時間</t>
  </si>
  <si>
    <t>時間</t>
  </si>
  <si>
    <t>24時間×365日÷12</t>
  </si>
  <si>
    <t>為替レート</t>
  </si>
  <si>
    <t>円/USD</t>
  </si>
  <si>
    <t>円換算用の入力値。実勢に合わせて変更</t>
  </si>
  <si>
    <t>想定利用者数 シナリオ1</t>
  </si>
  <si>
    <t>人</t>
  </si>
  <si>
    <t>小規模。最小構成想定</t>
  </si>
  <si>
    <t>想定利用者数 シナリオ2</t>
  </si>
  <si>
    <t>更新メモ「100〜500万ユーザー」の上限</t>
  </si>
  <si>
    <t>想定利用者数 シナリオ3</t>
  </si>
  <si>
    <t>前提P-02の凍結値（設計上の上限）</t>
  </si>
  <si>
    <t>■ ROSA サービス料（AWS公式料金ページから取得）</t>
  </si>
  <si>
    <t>単価</t>
  </si>
  <si>
    <t>制御部分の料金（hosted control planes）</t>
  </si>
  <si>
    <t>クラスタ・時</t>
  </si>
  <si>
    <t>https://aws.amazon.com/rosa/pricing/</t>
  </si>
  <si>
    <t>取得済</t>
  </si>
  <si>
    <t>ワーカーノードのサービス料（従量）</t>
  </si>
  <si>
    <t>4vCPU・時</t>
  </si>
  <si>
    <t>同・年額換算（従量）</t>
  </si>
  <si>
    <t>4vCPU・年</t>
  </si>
  <si>
    <t>同・1年契約</t>
  </si>
  <si>
    <t>同・3年契約</t>
  </si>
  <si>
    <t>※ ROSAのサービス料は全対応リージョンで同一。契約による割引は従量比で1年33%・3年55%。製品サポートは基盤に内包され追加費用は発生しない（前提P-01）</t>
  </si>
  <si>
    <t>■ AWSインフラ費 明細（数量＝月間の課金単位数。単価は青字の入力欄）</t>
  </si>
  <si>
    <t>リソース／サービス</t>
  </si>
  <si>
    <t>用途（設計上の根拠）</t>
  </si>
  <si>
    <t>数量の考え方</t>
  </si>
  <si>
    <t>数量 100万人</t>
  </si>
  <si>
    <t>数量 500万人</t>
  </si>
  <si>
    <t>数量 1000万人</t>
  </si>
  <si>
    <t>単価(USD)</t>
  </si>
  <si>
    <t>月額 100万人</t>
  </si>
  <si>
    <t>月額 500万人</t>
  </si>
  <si>
    <t>月額 1000万人</t>
  </si>
  <si>
    <t>単価の出典URL</t>
  </si>
  <si>
    <t>計算</t>
  </si>
  <si>
    <t>ROSA 計算ノード（認証製品専用・仲介側）</t>
  </si>
  <si>
    <t>認証処理の実行。D-U6-04で2系統に分離、上限9台</t>
  </si>
  <si>
    <t>台数×730時間。100万=3台／500万=6台／1000万=9台（上限）</t>
  </si>
  <si>
    <t>インスタンス時間</t>
  </si>
  <si>
    <t>ROSA 計算ノード（認証製品専用・自社受け皿側）</t>
  </si>
  <si>
    <t>パスワード検証が支配的。D-U6-04で上限18台</t>
  </si>
  <si>
    <t>台数×730時間。100万=3台／500万=9台／1000万=18台（上限）</t>
  </si>
  <si>
    <t>ROSA 計算ノード（管理系）×2クラスタ</t>
  </si>
  <si>
    <t>入口・監視・イメージ配布・受け口。規模と監視量で準静的</t>
  </si>
  <si>
    <t>3台×2クラスタ×730時間で固定</t>
  </si>
  <si>
    <t>ROSA サービス料（制御部分）</t>
  </si>
  <si>
    <t>D-U6-03で2クラスタ構成</t>
  </si>
  <si>
    <t>0.25ドル×2クラスタ×730時間</t>
  </si>
  <si>
    <t>クラスタ時間</t>
  </si>
  <si>
    <t>ROSA サービス料（ワーカーノード）</t>
  </si>
  <si>
    <t>4vCPUあたりの従量。ノードのvCPU総数に比例</t>
  </si>
  <si>
    <t>ノード合計vCPU÷4×730時間。1台4vCPU想定</t>
  </si>
  <si>
    <t>4vCPU時間</t>
  </si>
  <si>
    <t>EBS（ノード用ブロックストレージ）</t>
  </si>
  <si>
    <t>各ノードのOS・作業領域</t>
  </si>
  <si>
    <t>GB・月</t>
  </si>
  <si>
    <t>DB</t>
  </si>
  <si>
    <t>Aurora インスタンス（認証用・書込1＋読取2）</t>
  </si>
  <si>
    <t>D-U6-07。db.r7g.xlarge想定の3拠点構成</t>
  </si>
  <si>
    <t>3台×730時間</t>
  </si>
  <si>
    <t>Aurora インスタンス（権限系・書込1＋読取2）</t>
  </si>
  <si>
    <t>D-U6-07。認証用と別系統・別鍵で分離</t>
  </si>
  <si>
    <t>Aurora ストレージ</t>
  </si>
  <si>
    <t>利用者・セッション・権限・ID対応表・射影</t>
  </si>
  <si>
    <t>利用者数に比例。1人あたり約2KB＋索引</t>
  </si>
  <si>
    <t>Aurora I/O</t>
  </si>
  <si>
    <t>認証時の読み書き。100req/sあたり書込1,400 IOPSが公式算定式</t>
  </si>
  <si>
    <t>ログイン回数に比例（月間認証回数×IO係数）</t>
  </si>
  <si>
    <t>100万リクエスト</t>
  </si>
  <si>
    <t>Aurora バックアップストレージ</t>
  </si>
  <si>
    <t>時点復元1〜35日＋定期取得の控え</t>
  </si>
  <si>
    <t>データ量と同程度＋世代分</t>
  </si>
  <si>
    <t>Aurora グローバル複製（予備地域へのデータ保全）</t>
  </si>
  <si>
    <t>D-U8-14のL1。計算資源は平時ゼロだがデータ層は維持</t>
  </si>
  <si>
    <t>複製データ量。転送＋предスト保管</t>
  </si>
  <si>
    <t>NW</t>
  </si>
  <si>
    <t>内部接続点（内部NLB）×2</t>
  </si>
  <si>
    <t>D-U6-05。管理APIへの到達。インターネット非露出</t>
  </si>
  <si>
    <t>2台×730時間＋処理容量単位</t>
  </si>
  <si>
    <t>NLB時間</t>
  </si>
  <si>
    <t>負荷分散装置（ALB）</t>
  </si>
  <si>
    <t>D-U6-11の生命線。管理画面の固定拒否ルールを評価</t>
  </si>
  <si>
    <t>1台×730時間＋処理容量単位</t>
  </si>
  <si>
    <t>ALB時間</t>
  </si>
  <si>
    <t>配信網（CloudFront）</t>
  </si>
  <si>
    <t>D-U6-04の入口3系統。画面配信とAPI入口</t>
  </si>
  <si>
    <t>データ転送量とリクエスト数</t>
  </si>
  <si>
    <t>GB</t>
  </si>
  <si>
    <t>不正アクセス遮断（WAF）</t>
  </si>
  <si>
    <t>D-U7-17。ただし入口側は他組織管理</t>
  </si>
  <si>
    <t>ルール数＋リクエスト数。自管理分のみ</t>
  </si>
  <si>
    <t>私設接続（PrivateLink）</t>
  </si>
  <si>
    <t>D-U6-06。2つの受け皿の間を単方向で接続</t>
  </si>
  <si>
    <t>エンドポイント×730時間＋転送量</t>
  </si>
  <si>
    <t>エンドポイント時間</t>
  </si>
  <si>
    <t>接続点群（VPCエンドポイント）</t>
  </si>
  <si>
    <t>D-U6-07の外部通信を持たない構成。各サービスへの私設経路</t>
  </si>
  <si>
    <t>20種×3拠点×730時間</t>
  </si>
  <si>
    <t>名前解決（Route 53 私設ゾーン）</t>
  </si>
  <si>
    <t>DU-U6-13。内外で解決結果を分ける構成</t>
  </si>
  <si>
    <t>ゾーン数＋問い合わせ数</t>
  </si>
  <si>
    <t>データ転送（拠点間）</t>
  </si>
  <si>
    <t>3拠点分散のため拠点をまたぐ通信が発生</t>
  </si>
  <si>
    <t>クラスタ内・DB複製の拠点間転送量</t>
  </si>
  <si>
    <t>データ転送（インターネット向け）</t>
  </si>
  <si>
    <t>利用者への画面・通行証の応答</t>
  </si>
  <si>
    <t>配信網経由分を除いた直接転送</t>
  </si>
  <si>
    <t>APP</t>
  </si>
  <si>
    <t>関数実行（管理API）</t>
  </si>
  <si>
    <t>D-U6-06。認証製品と別の障害ドメインに分離</t>
  </si>
  <si>
    <t>呼び出し回数×実行時間×メモリ</t>
  </si>
  <si>
    <t>関数実行（糊付け：影ユーザ制御・伝播・通知配信）</t>
  </si>
  <si>
    <t>DU-U3-05、DU-U10-03。非同期の連結処理</t>
  </si>
  <si>
    <t>イベント数に比例</t>
  </si>
  <si>
    <t>API入口（API Gateway）</t>
  </si>
  <si>
    <t>D-U6-06。通行証の一次検証と流量制限</t>
  </si>
  <si>
    <t>リクエスト数</t>
  </si>
  <si>
    <t>イベントバス（EventBridge）</t>
  </si>
  <si>
    <t>D-U6-02のアカウント跨ぎ8経路。削除伝播と初回通知</t>
  </si>
  <si>
    <t>発行イベント数</t>
  </si>
  <si>
    <t>キー・バリューストア（DynamoDB）</t>
  </si>
  <si>
    <t>D-U7-04の不正検知の履歴、顧客開示用の監査ログ射影</t>
  </si>
  <si>
    <t>書込・読込・保管量</t>
  </si>
  <si>
    <t>暗号鍵（KMS CMK）</t>
  </si>
  <si>
    <t>D-U7-01。3階層6アカウント写像で初期10種</t>
  </si>
  <si>
    <t>10鍵×月額＋API呼び出し数</t>
  </si>
  <si>
    <t>鍵・月</t>
  </si>
  <si>
    <t>秘密情報の保管（Secrets Manager）</t>
  </si>
  <si>
    <t>D-U7-01。90日自動入れ替え対象</t>
  </si>
  <si>
    <t>顧客別の接続用秘密情報＋内部用</t>
  </si>
  <si>
    <t>シークレット・月</t>
  </si>
  <si>
    <t>自社認証局（Private CA）</t>
  </si>
  <si>
    <t>DU-U6-11。内部接続点の通信暗号化</t>
  </si>
  <si>
    <t>認証局×月額＋証明書発行数</t>
  </si>
  <si>
    <t>CA・月</t>
  </si>
  <si>
    <t>変更不能な控え（AWS Backup Vault Lock）</t>
  </si>
  <si>
    <t>D-U8-14のL3。ランサム対策の最終防衛線</t>
  </si>
  <si>
    <t>保管量＋別地域複製</t>
  </si>
  <si>
    <t>運用</t>
  </si>
  <si>
    <t>ログ（即時参照90日）</t>
  </si>
  <si>
    <t>D-U9-05の3層構造のうちHot層</t>
  </si>
  <si>
    <t>取込量＋保管量</t>
  </si>
  <si>
    <t>ログ検索基盤（1年）</t>
  </si>
  <si>
    <t>D-U9-05のCold検索層</t>
  </si>
  <si>
    <t>インスタンス＋ストレージ</t>
  </si>
  <si>
    <t>長期保管（S3＋Glacier Deep Archive）</t>
  </si>
  <si>
    <t>D-U7-13。改ざん不能モードで7年</t>
  </si>
  <si>
    <t>累積保管量（7年分の逓増）</t>
  </si>
  <si>
    <t>メール送信（SES）</t>
  </si>
  <si>
    <t>DU-U6-12。通知・招待メール</t>
  </si>
  <si>
    <t>送信数</t>
  </si>
  <si>
    <t>外形監視（Canary）</t>
  </si>
  <si>
    <t>D-U9-16。認証実装漏れの検知</t>
  </si>
  <si>
    <t>実行回数×2クラスタ</t>
  </si>
  <si>
    <t>実行回数</t>
  </si>
  <si>
    <t>合計（AWSインフラ＋ROSAサービス料）</t>
  </si>
  <si>
    <t>■ 区分別 月額小計</t>
  </si>
  <si>
    <t>■ 総括（月額・年額・3年総額）</t>
  </si>
  <si>
    <t>100万人</t>
  </si>
  <si>
    <t>500万人</t>
  </si>
  <si>
    <t>1000万人</t>
  </si>
  <si>
    <t>月額（USD）</t>
  </si>
  <si>
    <t>明細の合計</t>
  </si>
  <si>
    <t>月額（円）</t>
  </si>
  <si>
    <t>為替レートは前提の入力値</t>
  </si>
  <si>
    <t>年額（USD）</t>
  </si>
  <si>
    <t>月額×12</t>
  </si>
  <si>
    <t>3年総額（USD）</t>
  </si>
  <si>
    <t>年額×3。ROSAの3年契約割引は未反映</t>
  </si>
  <si>
    <t>3年総額（円）</t>
  </si>
  <si>
    <t>利用者1人あたり月額（円）</t>
  </si>
  <si>
    <t>月額円÷利用者数</t>
  </si>
  <si>
    <t>参考: 設計書の概算（月額USD）</t>
  </si>
  <si>
    <t>D-U6-05。東京2クラスタの基盤部分のみ・±30%。本表はデータベース等を含むため範囲が広い</t>
  </si>
  <si>
    <t>-</t>
  </si>
  <si>
    <t>前提</t>
    <phoneticPr fontId="2"/>
  </si>
  <si>
    <t>合計</t>
    <phoneticPr fontId="2"/>
  </si>
  <si>
    <t>系統</t>
    <phoneticPr fontId="2"/>
  </si>
  <si>
    <t>ID</t>
    <phoneticPr fontId="2"/>
  </si>
  <si>
    <t>未着手</t>
    <phoneticPr fontId="2"/>
  </si>
  <si>
    <t>人日</t>
    <phoneticPr fontId="2"/>
  </si>
  <si>
    <t>スコープ</t>
    <phoneticPr fontId="2"/>
  </si>
  <si>
    <t>② 詳細設計</t>
    <phoneticPr fontId="2"/>
  </si>
  <si>
    <t>④ テスト</t>
    <phoneticPr fontId="2"/>
  </si>
  <si>
    <t>—</t>
    <phoneticPr fontId="2"/>
  </si>
  <si>
    <t>https://aws.amazon.com/jp/ec2/pricing/on-demand/</t>
  </si>
  <si>
    <t>c7g.xlarge（D-U6-04）</t>
  </si>
  <si>
    <t>c7g.large（default/infra Pool）</t>
  </si>
  <si>
    <t>https://aws.amazon.com/jp/rosa/pricing/</t>
  </si>
  <si>
    <t>取得済（変更なし）</t>
  </si>
  <si>
    <t>https://aws.amazon.com/jp/ebs/pricing/</t>
  </si>
  <si>
    <t>https://aws.amazon.com/jp/rds/aurora/pricing/</t>
  </si>
  <si>
    <t>db.r7g.xlarge 標準ストレージ構成</t>
  </si>
  <si>
    <t>1人あたり約2KB＋索引</t>
  </si>
  <si>
    <t>I/O 件</t>
  </si>
  <si>
    <t>※単位を「100万リクエスト」から「I/O 件」へ是正。件数×単価で計算する</t>
  </si>
  <si>
    <t>※DR案②③でのみ発生。案①では0</t>
  </si>
  <si>
    <t>https://aws.amazon.com/jp/elasticloadbalancing/pricing/</t>
  </si>
  <si>
    <t>別途 LCU 0.006/時</t>
  </si>
  <si>
    <t>別途 LCU</t>
  </si>
  <si>
    <t>https://aws.amazon.com/jp/cloudfront/pricing/</t>
  </si>
  <si>
    <t>日本向け転送。別途リクエスト 0.0000012/件</t>
  </si>
  <si>
    <t>https://aws.amazon.com/jp/waf/pricing/</t>
  </si>
  <si>
    <t>0.0000006/件×100万。別途 Rule 1.0/月</t>
  </si>
  <si>
    <t>https://aws.amazon.com/jp/privatelink/pricing/</t>
  </si>
  <si>
    <t>クエリ</t>
  </si>
  <si>
    <t>https://aws.amazon.com/jp/route53/pricing/</t>
  </si>
  <si>
    <t>※単位を「100万クエリ」から「クエリ」へ是正。別途ゾーン 0.50/月</t>
  </si>
  <si>
    <t>東京→大阪</t>
  </si>
  <si>
    <t>CloudFront経由のため直接転送は限定的</t>
  </si>
  <si>
    <t>リクエスト</t>
  </si>
  <si>
    <t>https://aws.amazon.com/jp/lambda/pricing/</t>
  </si>
  <si>
    <t>※単位を「100万リクエスト」から「リクエスト」へ是正。別途 GB秒 0.0000166667</t>
  </si>
  <si>
    <t>※単位を「100万リクエスト」から「リクエスト」へ是正。別途 GB秒</t>
  </si>
  <si>
    <t>https://aws.amazon.com/jp/api-gateway/pricing/</t>
  </si>
  <si>
    <t>※単位を「100万リクエスト」から「リクエスト」へ是正。HTTP API</t>
  </si>
  <si>
    <t>イベント</t>
  </si>
  <si>
    <t>https://aws.amazon.com/jp/eventbridge/pricing/</t>
  </si>
  <si>
    <t>※単位を「100万イベント」から「イベント」へ是正。8Kチャンク</t>
  </si>
  <si>
    <t>書込単位</t>
  </si>
  <si>
    <t>https://aws.amazon.com/jp/dynamodb/pricing/</t>
  </si>
  <si>
    <t>※単位を「100万リクエスト」から「書込単位」へ是正。オンデマンド</t>
  </si>
  <si>
    <t>https://aws.amazon.com/jp/kms/pricing/</t>
  </si>
  <si>
    <t>別途 API 0.000003/件</t>
  </si>
  <si>
    <t>https://aws.amazon.com/jp/secrets-manager/pricing/</t>
  </si>
  <si>
    <t>https://aws.amazon.com/jp/private-ca/pricing/</t>
  </si>
  <si>
    <t>https://aws.amazon.com/jp/backup/pricing/</t>
  </si>
  <si>
    <t>https://aws.amazon.com/jp/cloudwatch/pricing/</t>
  </si>
  <si>
    <t>取り込み。別途保管 0.033/GB-月</t>
  </si>
  <si>
    <t>https://aws.amazon.com/jp/opensearch-service/pricing/</t>
  </si>
  <si>
    <t>m6g.large.search 想定</t>
  </si>
  <si>
    <t>https://aws.amazon.com/jp/s3/glacier/pricing/</t>
  </si>
  <si>
    <t>Deep Archive</t>
  </si>
  <si>
    <t>通</t>
  </si>
  <si>
    <t>https://aws.amazon.com/jp/ses/pricing/</t>
  </si>
  <si>
    <t>※単位を「1000通」から「通」へ是正</t>
  </si>
  <si>
    <t>3系統</t>
  </si>
  <si>
    <t>○</t>
  </si>
  <si>
    <t>■ 2026-08-17 単価取得後の是正メモ</t>
  </si>
  <si>
    <t>① Aurora I/O（34行）: 単位表記が「100万リクエスト」だったが数量は件数のため「I/O 件」へ是正。単価0.00000024 USD/件を件数に直接掛ける。100万件単位で掛けると100万倍ずれる</t>
  </si>
  <si>
    <t>② 同様の単位是正: Route 53（43行）／関数実行2件（46・47行）／API入口（48行）／イベントバス（49行）／DynamoDB（50行）／メール送信（58行）も「100万〜」「1000通」表記を実数単位へ是正済み</t>
  </si>
  <si>
    <t>④ 未反映の割引: ROSAの1年契約（33%）／3年契約（55%）は未適用。適用すれば計算区分が下がる</t>
  </si>
  <si>
    <t>⑤ Private CA（53行）: 400 USD/月は汎用モードの単価。短期証明書モードなら 50 USD/月で、年420万円の差になる</t>
  </si>
  <si>
    <t>⑥ 予備地域（大阪）の費用は本シートに含まない。別シート「DR案別コスト」を参照（案①0.9万円／案②1.7万円／案③38万円・月額100万人規模）</t>
  </si>
  <si>
    <t>認証製品用ノード120GB＋管理系ノード100GB（D-U6-16）。100万=KC6台+管理6台／500万=KC15台+管理6台／1000万=KC27台+管理6台</t>
  </si>
  <si>
    <t>D-U6-16でgp3・KC Pool 120GB（ログバッファ30GB明示）・infra Pool 100GBに確定。旧値は一律100GB前提</t>
  </si>
  <si>
    <t>汎用モード400 USD/月。D-U6-15で短期証明書モード（50 USD/月）を第一候補に決定。切替可否は有効期間の検証待ち。差は年420万円</t>
  </si>
  <si>
    <t>Superseded</t>
  </si>
  <si>
    <t>2026-08-18: 前提P-07の転換により置き換え（Superseded）。削除せず記録として保持</t>
  </si>
  <si>
    <t>2026-08-18: ADR-033の2層分離（2-tier）で置き換え（Superseded）。削除せず記録として保持</t>
  </si>
  <si>
    <t>2026-06-24縮小: 認証APIのみ。その他はAPIプラットフォーム側／※2026-08-18 二重定義に注意: 認証フローのレート制限はD-U6-14が正。本ADRの方式は管理APIにのみ適用する</t>
  </si>
  <si>
    <t>★ADR-061は2026-08-18にGit側の索引（00-index.md）へ登録済み（APIプラットフォーム側のスコープ）。本表では実ファイルから収録している</t>
  </si>
  <si>
    <t>優先度</t>
  </si>
  <si>
    <t>D-20</t>
  </si>
  <si>
    <t>G-1.2</t>
  </si>
  <si>
    <t>G-1.10</t>
  </si>
  <si>
    <t>IT-09</t>
  </si>
  <si>
    <t>SEC-06</t>
  </si>
  <si>
    <t>TE-03</t>
  </si>
  <si>
    <t>出典: doc/basic-design/research/wbs-test-refinement-2026-08-26.md §3〜§6（旧: gap-audit §10 の43項目363人日）。数値のSSOTは出典側</t>
  </si>
  <si>
    <t>HA-04</t>
  </si>
  <si>
    <t>HA-21</t>
  </si>
  <si>
    <t>HH-05</t>
  </si>
  <si>
    <t>HJ-09</t>
  </si>
  <si>
    <t>HK-02</t>
  </si>
  <si>
    <t>HK-07</t>
  </si>
  <si>
    <t>DDA-01</t>
  </si>
  <si>
    <t>DDA-02</t>
  </si>
  <si>
    <t>DDA-03</t>
  </si>
  <si>
    <t>DDA-04</t>
  </si>
  <si>
    <t>DDA-05</t>
  </si>
  <si>
    <t>DDA-06</t>
  </si>
  <si>
    <t>DDA-07</t>
  </si>
  <si>
    <t>DDB-01</t>
  </si>
  <si>
    <t>DDB-02</t>
  </si>
  <si>
    <t>DDB-03</t>
  </si>
  <si>
    <t>DDB-04</t>
  </si>
  <si>
    <t>DDB-05</t>
  </si>
  <si>
    <t>DDB-06</t>
  </si>
  <si>
    <t>DDB-07</t>
  </si>
  <si>
    <t>DDB-08</t>
  </si>
  <si>
    <t>DDB-09</t>
  </si>
  <si>
    <t>DDC-01</t>
  </si>
  <si>
    <t>DDC-02</t>
  </si>
  <si>
    <t>DDD-01</t>
  </si>
  <si>
    <t>DDD-02</t>
  </si>
  <si>
    <t>DDD-03</t>
  </si>
  <si>
    <t>DDD-04</t>
  </si>
  <si>
    <t>DDD-05</t>
  </si>
  <si>
    <t>DDD-06</t>
  </si>
  <si>
    <t>DDD-07</t>
  </si>
  <si>
    <t>DDE-01</t>
  </si>
  <si>
    <t>DDE-02</t>
  </si>
  <si>
    <t>DDE-03</t>
  </si>
  <si>
    <t>DDE-04</t>
  </si>
  <si>
    <t>DDE-05</t>
  </si>
  <si>
    <t>DDE-06</t>
  </si>
  <si>
    <t>DDF-01</t>
  </si>
  <si>
    <t>DDF-02</t>
  </si>
  <si>
    <t>DDF-03</t>
  </si>
  <si>
    <t>DDG-01</t>
  </si>
  <si>
    <t>DDG-02</t>
  </si>
  <si>
    <t>DDG-03</t>
  </si>
  <si>
    <t>DDG-04</t>
  </si>
  <si>
    <t>DDG-05</t>
  </si>
  <si>
    <t>DDG-06</t>
  </si>
  <si>
    <t>DDH-01</t>
  </si>
  <si>
    <t>DDH-02</t>
  </si>
  <si>
    <t>DDI-01</t>
  </si>
  <si>
    <t>DDI-02</t>
  </si>
  <si>
    <t>DDI-03</t>
  </si>
  <si>
    <t>DDI-04</t>
  </si>
  <si>
    <t>DDI-05</t>
  </si>
  <si>
    <t>DDI-06</t>
  </si>
  <si>
    <t>DDJ-01</t>
  </si>
  <si>
    <t>DD-J レビュー・整合</t>
  </si>
  <si>
    <t>DDJ-02</t>
  </si>
  <si>
    <t>DDJ-03</t>
  </si>
  <si>
    <t>DDJ-04</t>
  </si>
  <si>
    <t>DDJ-05</t>
  </si>
  <si>
    <t>出典: wbs-detailed-design-refinement-2026-08-26.md §3（②）／wbs-build-refinement-2026-08-26.md §3・§7（③）。数値のSSOTは出典側</t>
  </si>
  <si>
    <t>画面設計規約</t>
  </si>
  <si>
    <t>GD-22</t>
  </si>
  <si>
    <t>F-AUTH-01</t>
  </si>
  <si>
    <t>F-AUTH-02</t>
  </si>
  <si>
    <t>F-AUTH-03</t>
  </si>
  <si>
    <t>F-AUTH-04</t>
  </si>
  <si>
    <t>F-AUTH-05</t>
  </si>
  <si>
    <t>F-AUTH-06</t>
  </si>
  <si>
    <t>F-AUTH-09</t>
  </si>
  <si>
    <t>F-AUTH-10</t>
  </si>
  <si>
    <t>F-AUTH-11</t>
  </si>
  <si>
    <t>F-AUTH-12</t>
  </si>
  <si>
    <t>F-AUTH-13</t>
  </si>
  <si>
    <t>F-AUTH-14</t>
  </si>
  <si>
    <t>F-AUTH-15</t>
  </si>
  <si>
    <t>F-AUTH-16</t>
  </si>
  <si>
    <t>F-AUTH-17</t>
  </si>
  <si>
    <t>F-AUTH-18</t>
  </si>
  <si>
    <t>F-AUTH-19</t>
  </si>
  <si>
    <t>F-AUTH-20</t>
  </si>
  <si>
    <t>F-AUTH-21</t>
  </si>
  <si>
    <t>F-AUTH-22</t>
  </si>
  <si>
    <t>F-PROV-01</t>
  </si>
  <si>
    <t>F-PROV-02</t>
  </si>
  <si>
    <t>F-PROV-03</t>
  </si>
  <si>
    <t>F-PROV-04</t>
  </si>
  <si>
    <t>F-PROV-05</t>
  </si>
  <si>
    <t>F-PROV-06</t>
  </si>
  <si>
    <t>F-PROV-07</t>
  </si>
  <si>
    <t>F-PROV-08</t>
  </si>
  <si>
    <t>F-PROV-09</t>
  </si>
  <si>
    <t>F-PROV-10</t>
  </si>
  <si>
    <t>F-PROV-11</t>
  </si>
  <si>
    <t>F-PROV-12</t>
  </si>
  <si>
    <t>F-PROV-13</t>
  </si>
  <si>
    <t>F-PROV-14</t>
  </si>
  <si>
    <t>F-PROV-15</t>
  </si>
  <si>
    <t>F-PROV-16</t>
  </si>
  <si>
    <t>F-PROV-17</t>
  </si>
  <si>
    <t>F-ADM-01</t>
  </si>
  <si>
    <t>F-ADM-02</t>
  </si>
  <si>
    <t>F-ADM-03</t>
  </si>
  <si>
    <t>F-ADM-04</t>
  </si>
  <si>
    <t>F-ADM-05</t>
  </si>
  <si>
    <t>F-ADM-06</t>
  </si>
  <si>
    <t>F-ADM-07</t>
  </si>
  <si>
    <t>F-ADM-08</t>
  </si>
  <si>
    <t>F-ADM-09</t>
  </si>
  <si>
    <t>F-ADM-10</t>
  </si>
  <si>
    <t>F-ADM-11</t>
  </si>
  <si>
    <t>F-ADM-12</t>
  </si>
  <si>
    <t>F-ADM-13</t>
  </si>
  <si>
    <t>F-ADM-14</t>
  </si>
  <si>
    <t>F-ADM-15</t>
  </si>
  <si>
    <t>F-ADM-16</t>
  </si>
  <si>
    <t>F-ADM-17</t>
  </si>
  <si>
    <t>F-ADM-18</t>
  </si>
  <si>
    <t>F-ADM-19</t>
  </si>
  <si>
    <t>F-ADM-20</t>
  </si>
  <si>
    <t>F-ADM-21</t>
  </si>
  <si>
    <t>F-ADM-22</t>
  </si>
  <si>
    <t>F-AZ-01</t>
  </si>
  <si>
    <t>F-AZ-02</t>
  </si>
  <si>
    <t>F-AZ-03</t>
  </si>
  <si>
    <t>F-AZ-04</t>
  </si>
  <si>
    <t>F-AZ-05</t>
  </si>
  <si>
    <t>F-AZ-06</t>
  </si>
  <si>
    <t>F-AZ-07</t>
  </si>
  <si>
    <t>F-AZ-08</t>
  </si>
  <si>
    <t>F-INT-01</t>
  </si>
  <si>
    <t>F-INT-02</t>
  </si>
  <si>
    <t>F-INT-03</t>
  </si>
  <si>
    <t>F-INT-04</t>
  </si>
  <si>
    <t>F-INT-07</t>
  </si>
  <si>
    <t>F-INT-08</t>
  </si>
  <si>
    <t>F-INT-09</t>
  </si>
  <si>
    <t>F-INT-11</t>
  </si>
  <si>
    <t>F-INT-12</t>
  </si>
  <si>
    <t>F-BAT-01</t>
  </si>
  <si>
    <t>F-BAT-02</t>
  </si>
  <si>
    <t>F-BAT-03</t>
  </si>
  <si>
    <t>F-BAT-04</t>
  </si>
  <si>
    <t>F-BAT-05</t>
  </si>
  <si>
    <t>F-BAT-07</t>
  </si>
  <si>
    <t>F-BAT-08</t>
  </si>
  <si>
    <t>F-BAT-09</t>
  </si>
  <si>
    <t>機能ID</t>
    <phoneticPr fontId="2"/>
  </si>
  <si>
    <t>HB-F-AUTH-07</t>
  </si>
  <si>
    <t>HB-F-AUTH-21</t>
  </si>
  <si>
    <t>HB-F-PROV-10</t>
  </si>
  <si>
    <t>HB-F-ADM-16</t>
  </si>
  <si>
    <t>HB-F-AZ-07</t>
  </si>
  <si>
    <t>HB-F-BAT-01</t>
  </si>
  <si>
    <t>スマートフォンアプリで生成する 6 桁の数字による追加認証</t>
  </si>
  <si>
    <t>パスワードの変更と、初回ログイン時に変更を強制する動き</t>
  </si>
  <si>
    <t>保管するデータがどれくらいの量になり、5 年後どこまで増えるかの見積もり</t>
    <phoneticPr fontId="2"/>
  </si>
  <si>
    <t>機能名</t>
    <phoneticPr fontId="2"/>
  </si>
  <si>
    <t>一覧・記録のファイル出力</t>
  </si>
  <si>
    <t>業務システムへの認証提供</t>
  </si>
  <si>
    <t>権限情報の一括取得</t>
  </si>
  <si>
    <t>重要操作時の追加認証</t>
  </si>
  <si>
    <t>振り分け失敗時のパスワード入力への切替</t>
  </si>
  <si>
    <t>追加認証（数字コード）</t>
  </si>
  <si>
    <t>追加認証（生体・セキュリティキー）</t>
  </si>
  <si>
    <t>追加認証の登録（数字コード）</t>
  </si>
  <si>
    <t>追加認証の登録（生体・セキュリティキー）</t>
  </si>
  <si>
    <t>復旧用コードの発行・利用</t>
  </si>
  <si>
    <t>メールを持たない人の復旧</t>
  </si>
  <si>
    <t>パスワードの自己再設定</t>
  </si>
  <si>
    <t>パスワード変更・初回強制変更</t>
  </si>
  <si>
    <t>連続失敗時の一時締め出し</t>
  </si>
  <si>
    <t>ログイン時の属性更新</t>
  </si>
  <si>
    <t>項目名の変換・統一</t>
  </si>
  <si>
    <t>登録経路の区分判定</t>
  </si>
  <si>
    <t>停止の確実な伝播</t>
  </si>
  <si>
    <t>再開の確実な伝播</t>
  </si>
  <si>
    <t>顧客番号と基盤識別子の対応づけ</t>
  </si>
  <si>
    <t>参照用データの更新</t>
  </si>
  <si>
    <t>パスワード初期化（管理者）</t>
  </si>
  <si>
    <t>追加認証の解除（管理者）</t>
  </si>
  <si>
    <t>使えるアプリの設定</t>
  </si>
  <si>
    <t>アプリ内の役割の設定</t>
  </si>
  <si>
    <t>組織情報の編集</t>
  </si>
  <si>
    <t>接続設定の変更・証明書更新</t>
  </si>
  <si>
    <t>操作記録の照会</t>
  </si>
  <si>
    <t>システム用アカウントの台帳管理</t>
  </si>
  <si>
    <t>アプリ利用可否の判定</t>
  </si>
  <si>
    <t>アプリ内の役割の解決</t>
  </si>
  <si>
    <t>業務システムから他アプリへの連携</t>
  </si>
  <si>
    <t>通知メールの送信</t>
  </si>
  <si>
    <t>不正兆候の検知</t>
  </si>
  <si>
    <t>接続情報の自動追随</t>
  </si>
  <si>
    <t>長期未使用者の自動停止</t>
  </si>
  <si>
    <t>停止伝播の突合（短間隔）</t>
  </si>
  <si>
    <t>日次の整合突合</t>
  </si>
  <si>
    <t>署名鍵の定期入れ替え</t>
  </si>
  <si>
    <t>接続用パスワードの定期入れ替え</t>
  </si>
  <si>
    <t>証明書期限の監視</t>
  </si>
  <si>
    <t>保存期限切れデータの消去</t>
  </si>
  <si>
    <t>概要</t>
    <phoneticPr fontId="2"/>
  </si>
  <si>
    <t>成果物と完了条件</t>
    <phoneticPr fontId="2"/>
  </si>
  <si>
    <t>依存</t>
    <phoneticPr fontId="2"/>
  </si>
  <si>
    <t>機能グループ</t>
    <phoneticPr fontId="2"/>
  </si>
  <si>
    <t>多要素認証</t>
  </si>
  <si>
    <t>不正アクセス対策</t>
  </si>
  <si>
    <t>流出パスワードの使用拒否</t>
  </si>
  <si>
    <t>権限管理</t>
  </si>
  <si>
    <t>顧客の作成</t>
  </si>
  <si>
    <t>顧客設定の編集</t>
  </si>
  <si>
    <t>権限の棚卸し</t>
  </si>
  <si>
    <t>監視・検知</t>
  </si>
  <si>
    <t>権限棚卸しの定期起動</t>
  </si>
  <si>
    <t>権限の棚卸しを定期的に開始する処理</t>
  </si>
  <si>
    <t>監視・検知</t>
    <phoneticPr fontId="2"/>
  </si>
  <si>
    <t>不正アクセス対策</t>
    <phoneticPr fontId="2"/>
  </si>
  <si>
    <t>多要素認証</t>
    <phoneticPr fontId="2"/>
  </si>
  <si>
    <t>権限管理</t>
    <phoneticPr fontId="2"/>
  </si>
  <si>
    <t>分類</t>
    <phoneticPr fontId="2"/>
  </si>
  <si>
    <t>項目</t>
    <phoneticPr fontId="2"/>
  </si>
  <si>
    <t>概要・完了定義</t>
    <phoneticPr fontId="2"/>
  </si>
  <si>
    <t>内訳</t>
    <phoneticPr fontId="2"/>
  </si>
  <si>
    <t>DD-B 機能の詳細設計</t>
  </si>
  <si>
    <t>DDB-10</t>
  </si>
  <si>
    <t>DDB-11</t>
  </si>
  <si>
    <t>DDB-12</t>
  </si>
  <si>
    <t>DDB-13</t>
  </si>
  <si>
    <t>DDB-14</t>
  </si>
  <si>
    <t>DDB-15</t>
  </si>
  <si>
    <t>DDB-16</t>
  </si>
  <si>
    <t>DDB-17</t>
  </si>
  <si>
    <t>DDB-18</t>
  </si>
  <si>
    <t>DDB-19</t>
  </si>
  <si>
    <t>DD-C 画面の詳細設計</t>
  </si>
  <si>
    <t>DD-D データの詳細設計</t>
  </si>
  <si>
    <t>保持期間と消去の実装設計</t>
  </si>
  <si>
    <t>DD-F 定期処理の詳細設計</t>
  </si>
  <si>
    <t>DDG-07</t>
  </si>
  <si>
    <t>DDG-08</t>
  </si>
  <si>
    <t>WBS ②詳細設計 473 ＋ ③構築 743 — 全量 217行（② DD 102項目 ／ ③ DU 107行=1,044×60%→626 ／ ③ 横断BX 8行=117）</t>
  </si>
  <si>
    <t>★②はボトムアップ473を正とする（2026-09-01改訂: DD-Bを機能グループ単位27行88に再編、DD-K基盤・運用8行84を新設、DD-Dをストア単位16行40に再編、DD-A/C/G/Hに受け皿5件を追加）。③のみ「DU人日1,044×60%＝626」の按分を維持し、横断BX 117を加えて743</t>
  </si>
  <si>
    <t>DD-I 単体試験の仕様</t>
  </si>
  <si>
    <t>DD-A 共通・方式の実装仕様</t>
  </si>
  <si>
    <t>① 基本設計</t>
  </si>
  <si>
    <t>判断根拠</t>
    <phoneticPr fontId="2"/>
  </si>
  <si>
    <t>根拠の補足</t>
    <phoneticPr fontId="2"/>
  </si>
  <si>
    <t>対象</t>
  </si>
  <si>
    <t>対象</t>
    <phoneticPr fontId="2"/>
  </si>
  <si>
    <t>担当</t>
  </si>
  <si>
    <t>認証</t>
  </si>
  <si>
    <t>連携</t>
  </si>
  <si>
    <t>当初想定</t>
    <phoneticPr fontId="2"/>
  </si>
  <si>
    <t>作業種別</t>
    <phoneticPr fontId="2"/>
  </si>
  <si>
    <t>★書く作業が 551.0 人日 ＝ 全体の 73%（設計書の執筆 409.0 ＋ ガイド・手順書の執筆 142.0）。決める作業 120.5（16%）、外に出る作業 82.5（11%）。工数を削る議論は 551.0 に対して行うべき ／ ★初回見積り 80 人日 → 現在 704 人日 ＝ 8.8 倍。うち『当初あり』分だけで 194 人日あり、初回見積りの 2.4 倍。8.8 倍のうち 2.4 倍は最初から必要だった分（設計成果物・レビューの計上漏れ）で、残りが本当の要件追加</t>
  </si>
  <si>
    <t>WBS ① 基本設計クローズ — 全量 754.0 人日 / 対象 704.0 人日 / 全量 450 行（「スコープ」列で「対象」を絞れば今やる分。対象外50.0＝認証製品を1つに統合18行28.5＋災害対策をやらない11行21.5）</t>
  </si>
  <si>
    <t>基盤チーム</t>
  </si>
  <si>
    <t>基盤チーム</t>
    <phoneticPr fontId="2"/>
  </si>
  <si>
    <t>アプリチーム</t>
    <phoneticPr fontId="2"/>
  </si>
  <si>
    <t>要判断</t>
    <phoneticPr fontId="2"/>
  </si>
  <si>
    <t>共同</t>
    <phoneticPr fontId="2"/>
  </si>
  <si>
    <t>担当（案②: 一部移管）</t>
    <phoneticPr fontId="2"/>
  </si>
  <si>
    <t>担当（案③: アプリ構築）</t>
    <phoneticPr fontId="2"/>
  </si>
  <si>
    <t>★1シート1テーブル。集計軸は6本 — 「作業種別」6値／「機能グループ」31値／「担当（案②: 一部移管）」4値（決定済み）／「担当（案③: アプリ構築）」3値（提示用）／「スコープ」3値（今やるか・やらないか）／「当初想定」5値。担当2列は語彙を統一（基盤チーム／アプリチーム が両方に出る）。構成の論点は「判断根拠」で絞る</t>
  </si>
  <si>
    <t>★担当は3段階のグラデーション。案①「全部こちら」=704.0 が基準（全行が基盤チームなので列は持たない）。案②「一部移管」は権限まわりをアプリへ寄せた決定済みの姿（基盤632.0／アプリ56.5／要判断15.5）。案③「アプリ構築」は『最初のアプリが認証製品の上の仕組みを全部作り、弊社は運用を引き継ぐ』案で、弊社は305.0（-57%）になるが総量は減らず、最初のアプリに386.0が発生する。2つ目以降は30人日程度で済むのが案③の利点。成立条件3つ — ①弊社が設計レビューに入る ②設計書を残して引き渡す ③2つ目以降が業務・利用者の種類の面で合わせられる。※案③は採用予定の案ではない</t>
  </si>
  <si>
    <t>★担当2列を並べると移り方が読める — 基盤→アプリ 235行（案③で移る分＝案③の実体）／基盤→基盤 156（どちらでも弊社）／アプリ→アプリ 46（既に移管済み）／要判断→基盤 6（記録の生成・保管は改ざん防止のためどちらでも弊社）／基盤→共同 4（製品の設定は1つで全アプリに効くため分けられない）／要判断→アプリ 2／アプリ→共同 1。★案②=アプリチーム かつ 案③=基盤チーム の行は0件（案③は案②より移管が進む案なので戻る行は無い）</t>
  </si>
  <si>
    <t>①全量</t>
  </si>
  <si>
    <t>②+③（按分後）</t>
  </si>
  <si>
    <t>④</t>
  </si>
  <si>
    <t>★1シート1テーブル。工程列でフィルタすれば②③を分けて見られる。★機能グループ列は WBS(基本設計) と同じ値なので、両シートで同じ絞り込みができる。DD-Bは内部設計に限定 — 外から見た振る舞いは①基本設計のHB-F-* 91行が担当 ／★担当2列・スコープ・当初想定は①から機能グループ単位で導出（2026-09-03）。判断根拠は①で管理 ／★U列「人日（按分後）」は ③DU のみ×60%按分。②③の合計はこの列で見る ／★分類列が ②=DD-*、③=U*（単元）の2語彙なのは工程ごとの意図的な設計のため統一しない ／★④テストは単元別に按分せず、別シート「WBS(テスト)」で54項目・429人日として管理する ／★対象外 ADR: ADR-050 モバイルSDK(Phase 2)／ADR-047 PQC(Phase 3)／ADR-042 Turnstile(Phase 2)／ADR-049 TPRM(契約・運用側)。製造側の行は持たない</t>
  </si>
  <si>
    <t>WBS ④ テスト — ベース 429 人日（54項目 = 50項目 + 2026-09 追加 4 項目（PT-01追加／PT-02追加a／PT-02追加b／OP-05））・全54行</t>
  </si>
  <si>
    <t>★従来「30項目」という記載は誤り（実数43→新規7追加で50項目）。＋2026-09 に負荷・運用 4 項目 8 人日追加で 54 項目 429 人日。スコープ＝フルスコープ（結合・E2E・実機・負荷・DR・セキュリティ・運用・受入・共有基盤・異常系）</t>
  </si>
  <si>
    <t>★テスト側の条件付き分岐 CT-1〜6（63 人日）は「分岐プール」シートで管理（二重計上しない） ／★機能グループ・機能名・担当2列・スコープ・当初想定は WBS(基本設計) から機能グループ単位で導出（2026-09-03）。判断根拠は WBS(基本設計) で管理</t>
  </si>
  <si>
    <t>HB-F-AZ-05a</t>
  </si>
  <si>
    <t>実機検証・照会</t>
    <phoneticPr fontId="2"/>
  </si>
  <si>
    <t>調査・計画</t>
    <phoneticPr fontId="2"/>
  </si>
  <si>
    <t>レビュー・合意</t>
    <phoneticPr fontId="2"/>
  </si>
  <si>
    <t>ガイド・手順書の執筆</t>
    <phoneticPr fontId="2"/>
  </si>
  <si>
    <t>設計書の執筆</t>
    <phoneticPr fontId="2"/>
  </si>
  <si>
    <t>調査計画：仮定値の根拠整理</t>
    <phoneticPr fontId="2"/>
  </si>
  <si>
    <t>接続情報の自動追随</t>
    <phoneticPr fontId="2"/>
  </si>
  <si>
    <t>管理操作の記録の置き場所と保存年数</t>
    <phoneticPr fontId="2"/>
  </si>
  <si>
    <t>権限を一時的に上げる仕組みの置き場所</t>
    <phoneticPr fontId="2"/>
  </si>
  <si>
    <t>希望する復旧時間と実現できる時間の差の分析</t>
    <phoneticPr fontId="2"/>
  </si>
  <si>
    <t>復旧方式の決定</t>
    <phoneticPr fontId="2"/>
  </si>
  <si>
    <t>決めた復旧方式の設計書への反映</t>
    <phoneticPr fontId="2"/>
  </si>
  <si>
    <t>復旧作業の手順書の骨子</t>
    <phoneticPr fontId="2"/>
  </si>
  <si>
    <t>運用設計：運用委託先から個人情報を見せない記録方式</t>
    <phoneticPr fontId="2"/>
  </si>
  <si>
    <t>開発・検証環境: 費用と共用方式の調査</t>
    <phoneticPr fontId="2"/>
  </si>
  <si>
    <t>開発・検証環境: 構成と共用方針の決定</t>
    <phoneticPr fontId="2"/>
  </si>
  <si>
    <t>開発・検証環境: 試験用データの作り方と費用見積</t>
    <phoneticPr fontId="2"/>
  </si>
  <si>
    <t>性能試験の全体計画書</t>
    <phoneticPr fontId="2"/>
  </si>
  <si>
    <t>本番設定: 同時受付数の上限</t>
    <phoneticPr fontId="2"/>
  </si>
  <si>
    <t>本番設定: 外部に出さないパスの遮断表</t>
    <phoneticPr fontId="2"/>
  </si>
  <si>
    <t>本番設定: クラスタ内のノード発見方式</t>
    <phoneticPr fontId="2"/>
  </si>
  <si>
    <t>本番設定: ログイン状態の永続化の確認</t>
    <phoneticPr fontId="2"/>
  </si>
  <si>
    <t>手順書: 顧客の解約</t>
    <phoneticPr fontId="2"/>
  </si>
  <si>
    <t>手順書: 事故発生時の初動</t>
    <phoneticPr fontId="2"/>
  </si>
  <si>
    <t>手順書: 情報漏えい時の報告</t>
    <phoneticPr fontId="2"/>
  </si>
  <si>
    <t>手順書: 緊急時の管理者アクセス</t>
    <phoneticPr fontId="2"/>
  </si>
  <si>
    <t>手順書: 災害時の切替判断</t>
    <phoneticPr fontId="2"/>
  </si>
  <si>
    <t>手順書: 切替先での再構築</t>
    <phoneticPr fontId="2"/>
  </si>
  <si>
    <t>手順書: データの復元</t>
    <phoneticPr fontId="2"/>
  </si>
  <si>
    <t>手順書: 元の地域への復帰</t>
    <phoneticPr fontId="2"/>
  </si>
  <si>
    <t>運用設計：当番体制と通知先の割り当て</t>
    <phoneticPr fontId="2"/>
  </si>
  <si>
    <t>構成図：ネットワーク詳細図</t>
    <phoneticPr fontId="2"/>
  </si>
  <si>
    <t>前提：設計書 総則（目的・範囲・読み方）</t>
    <phoneticPr fontId="2"/>
  </si>
  <si>
    <t>前提：前提条件一覧</t>
    <phoneticPr fontId="2"/>
  </si>
  <si>
    <t>前提：用語集・略語集</t>
    <phoneticPr fontId="2"/>
  </si>
  <si>
    <t>構成図：全体構成図（論理・清書を含む）</t>
    <phoneticPr fontId="2"/>
  </si>
  <si>
    <t>構成図：全体構成図（物理・清書を含む）</t>
    <phoneticPr fontId="2"/>
  </si>
  <si>
    <t>認証：セッション管理方式設計（ログイン状態の保持・タイムアウト・ログアウト）</t>
    <phoneticPr fontId="2"/>
  </si>
  <si>
    <t>共通：文字コード・日時・タイムゾーン方式</t>
    <phoneticPr fontId="2"/>
  </si>
  <si>
    <t>共通：キャッシュ方式設計</t>
    <phoneticPr fontId="2"/>
  </si>
  <si>
    <t>共通：採番設計（ID 採番方式・重複回避）</t>
    <phoneticPr fontId="2"/>
  </si>
  <si>
    <t>共通：命名規約（リソース/API/DB）</t>
    <phoneticPr fontId="2"/>
  </si>
  <si>
    <t>共通：Terraform 設計規約</t>
    <phoneticPr fontId="2"/>
  </si>
  <si>
    <t>非機能要件→設計対応表</t>
    <phoneticPr fontId="2"/>
  </si>
  <si>
    <t>共通：性能設計書（目標値・処理方式・チューニング方針）</t>
    <phoneticPr fontId="2"/>
  </si>
  <si>
    <t>共通：キャパシティ・データ量見積（テーブル別・増加率・5 年後）</t>
    <phoneticPr fontId="2"/>
  </si>
  <si>
    <t>トレーサビリティマトリクス（要件→機能→設計→テスト）</t>
    <phoneticPr fontId="2"/>
  </si>
  <si>
    <t>共通：鍵管理設計書（3 階層の鍵と暗号化の境界）</t>
    <phoneticPr fontId="2"/>
  </si>
  <si>
    <t>機能仕様書: ローカルログイン（ID/PW）</t>
    <phoneticPr fontId="2"/>
  </si>
  <si>
    <t>機能仕様書: フェデレーションログイン（OIDC）</t>
    <phoneticPr fontId="2"/>
  </si>
  <si>
    <t>機能仕様書: フェデレーションログイン（SAML）</t>
    <phoneticPr fontId="2"/>
  </si>
  <si>
    <t>機能仕様書: MFA認証（TOTP）</t>
    <phoneticPr fontId="2"/>
  </si>
  <si>
    <t>機能仕様書: MFAエンロール（TOTP）</t>
    <phoneticPr fontId="2"/>
  </si>
  <si>
    <t>機能仕様書: SCIM 受信 グループ連携</t>
    <phoneticPr fontId="2"/>
  </si>
  <si>
    <t>機能仕様書: JWT署名鍵ローテ</t>
    <phoneticPr fontId="2"/>
  </si>
  <si>
    <t>機能仕様書: client_secretローテ</t>
    <phoneticPr fontId="2"/>
  </si>
  <si>
    <t>機能仕様書: 証明書期限監視・通知</t>
    <phoneticPr fontId="2"/>
  </si>
  <si>
    <t>管理操作の記録テーブル定義（ブランド単位）</t>
    <phoneticPr fontId="2"/>
  </si>
  <si>
    <t>認証プロトコルIF（OIDCエンドポイント・クレーム）</t>
    <phoneticPr fontId="2"/>
  </si>
  <si>
    <t>認証プロトコルIF（SAMLメタデータ・Assertion）</t>
    <phoneticPr fontId="2"/>
  </si>
  <si>
    <t>外部IF 顧客IdP（SAML/OIDC差分）</t>
    <phoneticPr fontId="2"/>
  </si>
  <si>
    <t>鍵・証明書一覧：署名に使う鍵</t>
    <phoneticPr fontId="2"/>
  </si>
  <si>
    <t>運用設計：監査ログ イベント一覧</t>
    <phoneticPr fontId="2"/>
  </si>
  <si>
    <t>運用設計：監査ログ 取得項目・保持年数・置き場所</t>
    <phoneticPr fontId="2"/>
  </si>
  <si>
    <t>セキュリティ：攻撃経路対応表（33 経路×対策）</t>
    <phoneticPr fontId="2"/>
  </si>
  <si>
    <t>運用設計：監視項目一覧（メトリクス）</t>
    <phoneticPr fontId="2"/>
  </si>
  <si>
    <t>運用設計：監視項目一覧（ログ・合成監視）</t>
    <phoneticPr fontId="2"/>
  </si>
  <si>
    <t>運用設計：閾値・通知先設計</t>
    <phoneticPr fontId="2"/>
  </si>
  <si>
    <t>運用設計：環境設計書（本番 / stg / dev の構成差分）</t>
    <phoneticPr fontId="2"/>
  </si>
  <si>
    <t>単元間 整合性レビュー（第1回）</t>
    <phoneticPr fontId="2"/>
  </si>
  <si>
    <t>指摘対応・改訂（第1回）</t>
    <phoneticPr fontId="2"/>
  </si>
  <si>
    <t>単元間 整合性レビュー（第2回）</t>
    <phoneticPr fontId="2"/>
  </si>
  <si>
    <t>指摘対応・改訂（第2回）</t>
    <phoneticPr fontId="2"/>
  </si>
  <si>
    <t>Realm / Organizations 構成設計書</t>
    <phoneticPr fontId="2"/>
  </si>
  <si>
    <t>認証フローの組み立て順序（3 系統）</t>
    <phoneticPr fontId="2"/>
  </si>
  <si>
    <t>自社拡張の配置・ビルド・版数管理の設計</t>
    <phoneticPr fontId="2"/>
  </si>
  <si>
    <t>Client 登録テンプレート（アプリオンボーディング標準）</t>
    <phoneticPr fontId="2"/>
  </si>
  <si>
    <t>構成：クラスタ構成設計書（ノード群・配置制約・自動増減）</t>
    <phoneticPr fontId="2"/>
  </si>
  <si>
    <t>構成：クラスタ運用の境界と責任分界（ベンダー保守との分担）</t>
    <phoneticPr fontId="2"/>
  </si>
  <si>
    <t>責任分界表／渡す相手: 全顧客（契約添付）</t>
    <phoneticPr fontId="2"/>
  </si>
  <si>
    <t>SLA / SLO 定義書（顧客向け）／渡す相手: 全顧客（契約添付）</t>
    <phoneticPr fontId="2"/>
  </si>
  <si>
    <t>アプリ側の実装ガイド（アプリ開発者向け）／渡す相手: 接続アプリ開発者</t>
    <phoneticPr fontId="2"/>
  </si>
  <si>
    <t>サービス仕様書・制約事項一覧（ゾンビ窓/ログアウト限界/再認証の明示）／渡す相手: 全顧客</t>
    <phoneticPr fontId="2"/>
  </si>
  <si>
    <t>第3部 Webアプリ（BFF / SSR）</t>
    <phoneticPr fontId="2"/>
  </si>
  <si>
    <t>第3部 SPA（ブラウザ）</t>
    <phoneticPr fontId="2"/>
  </si>
  <si>
    <t>第4部 認可リクエスト</t>
    <phoneticPr fontId="2"/>
  </si>
  <si>
    <t>第4部 アクセストークン検証（RS必須7点）</t>
    <phoneticPr fontId="2"/>
  </si>
  <si>
    <t>第4部 ID Token検証</t>
    <phoneticPr fontId="2"/>
  </si>
  <si>
    <t>第4部 JWKS取得・鍵ローテ追随</t>
    <phoneticPr fontId="2"/>
  </si>
  <si>
    <t>第4部 セッション管理</t>
    <phoneticPr fontId="2"/>
  </si>
  <si>
    <t>第4部 ログアウト3方式の使い分け</t>
    <phoneticPr fontId="2"/>
  </si>
  <si>
    <t>第4部 Back-Channel Logout受信実装</t>
    <phoneticPr fontId="2"/>
  </si>
  <si>
    <t>第4部 リフレッシュトークン</t>
    <phoneticPr fontId="2"/>
  </si>
  <si>
    <t>誰が何をしたかの記録を、ブランドごとに分けて持つか中央に集めるかを決める</t>
    <phoneticPr fontId="2"/>
  </si>
  <si>
    <t>一時的に強い権限を出す機能をどこに置くかを決める</t>
    <phoneticPr fontId="2"/>
  </si>
  <si>
    <t>顧客の希望する復旧時間と、現在の方式で実現できる時間の差を数値で明らかにする</t>
    <phoneticPr fontId="2"/>
  </si>
  <si>
    <t>分析を踏まえ、復旧方式をどうするかを決める</t>
    <phoneticPr fontId="2"/>
  </si>
  <si>
    <t>決めた復旧方式を関連する設計書に反映する</t>
    <phoneticPr fontId="2"/>
  </si>
  <si>
    <t>復旧作業の手順書の骨子を作る</t>
    <phoneticPr fontId="2"/>
  </si>
  <si>
    <t>運用委託先から個人情報が見えないよう、記録の出し方の方式を決める</t>
    <phoneticPr fontId="2"/>
  </si>
  <si>
    <t>開発・検証用の環境について、費用と共用のしかたを調査する</t>
    <phoneticPr fontId="2"/>
  </si>
  <si>
    <t>開発・検証環境をいくつ、どう分けて持つかを決める</t>
    <phoneticPr fontId="2"/>
  </si>
  <si>
    <t>試験に使うデータの作り方と、環境にかかる費用を見積もる</t>
    <phoneticPr fontId="2"/>
  </si>
  <si>
    <t>性能試験の全体計画を 1 本にまとめる</t>
    <phoneticPr fontId="2"/>
  </si>
  <si>
    <t>製品を新しい版へ上げる際の運用手順を精密化する</t>
    <phoneticPr fontId="2"/>
  </si>
  <si>
    <t>顧客が解約するときの段階的な削除手順を手順書にする</t>
    <phoneticPr fontId="2"/>
  </si>
  <si>
    <t>情報漏えいが起きたときの報告手順を手順書にする</t>
    <phoneticPr fontId="2"/>
  </si>
  <si>
    <t>通常経路が使えないときに管理者が入る手順を手順書にする</t>
    <phoneticPr fontId="2"/>
  </si>
  <si>
    <t>災害時に切り替えるかどうかの判断手順を手順書にする</t>
    <phoneticPr fontId="2"/>
  </si>
  <si>
    <t>切替先の地域で環境を作り直す手順を手順書にする</t>
    <phoneticPr fontId="2"/>
  </si>
  <si>
    <t>保存してあるデータから復元する手順を手順書にする</t>
    <phoneticPr fontId="2"/>
  </si>
  <si>
    <t>元の地域へ戻す手順を手順書にする</t>
    <phoneticPr fontId="2"/>
  </si>
  <si>
    <t>当番体制を組み、警報の通知先を割り当てる</t>
    <phoneticPr fontId="2"/>
  </si>
  <si>
    <t>設計書全体の入口となる章。目的・扱う範囲・読み方をまとめる</t>
    <phoneticPr fontId="2"/>
  </si>
  <si>
    <t>設計の土台となる前提条件を一覧にし、変わった場合にどこへ影響するかを示す</t>
    <phoneticPr fontId="2"/>
  </si>
  <si>
    <t>設計書で使う言葉の意味を統一する</t>
    <phoneticPr fontId="2"/>
  </si>
  <si>
    <t>システム全体の構成を、機能のまとまりで表した図。清書（旧 G-4.1）を含む</t>
    <phoneticPr fontId="2"/>
  </si>
  <si>
    <t>システム全体の構成を、実際の設備配置で表した図。清書（旧 G-4.1）を含む</t>
    <phoneticPr fontId="2"/>
  </si>
  <si>
    <t>ログイン状態をどう保持するかの全体方針</t>
    <phoneticPr fontId="2"/>
  </si>
  <si>
    <t>文字の扱い・日時の扱い・時差の扱いを統一する方針</t>
    <phoneticPr fontId="2"/>
  </si>
  <si>
    <t>よく使うデータを一時的に手元に置く仕組みの方針</t>
    <phoneticPr fontId="2"/>
  </si>
  <si>
    <t>各種の識別番号を誰がどう採番するかの方針</t>
    <phoneticPr fontId="2"/>
  </si>
  <si>
    <t>設備を設定ファイルで管理する際の書き方の決まり</t>
    <phoneticPr fontId="2"/>
  </si>
  <si>
    <t>性能や可用性などの目標値が、設計のどこで実現されるかを対応づけた表</t>
    <phoneticPr fontId="2"/>
  </si>
  <si>
    <t>性能の目標値と、それを達成するための考え方をまとめた設計書</t>
    <phoneticPr fontId="2"/>
  </si>
  <si>
    <t>要件・機能・設計・試験の対応関係を一覧にした表</t>
    <phoneticPr fontId="2"/>
  </si>
  <si>
    <t>暗号化に使う鍵を、種類ごとにどう管理するかの設計</t>
    <phoneticPr fontId="2"/>
  </si>
  <si>
    <t>顧客が持っている認証システムに認証を委ね、その結果を受け取ってログインさせる機能（標準的な連携方式）</t>
    <phoneticPr fontId="2"/>
  </si>
  <si>
    <t>顧客が持っている認証システムのうち、旧来の方式で連携する場合のログイン機能</t>
    <phoneticPr fontId="2"/>
  </si>
  <si>
    <t>スマートフォンアプリで生成する 6 桁の数字による追加認証</t>
    <phoneticPr fontId="2"/>
  </si>
  <si>
    <t>スマートフォンアプリの追加認証を初めて登録する画面の流れ</t>
    <phoneticPr fontId="2"/>
  </si>
  <si>
    <t>アプリごとの接続用パスワードを定期的に入れ替える処理</t>
    <phoneticPr fontId="2"/>
  </si>
  <si>
    <t>証明書の期限切れが近いものを検出して通知する処理</t>
    <phoneticPr fontId="2"/>
  </si>
  <si>
    <t>接続仕様が返すエラーの種類と番号の体系（アプリが判定に使う）</t>
    <phoneticPr fontId="2"/>
  </si>
  <si>
    <t>誰が何をしたかの記録を保持する表の定義。顧客のまとまりごとに分けて持つ</t>
    <phoneticPr fontId="2"/>
  </si>
  <si>
    <t>標準方式の認証連携で、やり取りする情報の仕様。内訳: 認可エンドポイント / トークンエンドポイント / クレーム / ログアウト</t>
    <phoneticPr fontId="2"/>
  </si>
  <si>
    <t>旧方式の認証連携で、やり取りする情報の仕様。内訳: メタデータ / Assertion / シングルログアウト</t>
    <phoneticPr fontId="2"/>
  </si>
  <si>
    <t>トークンに署名する鍵の一覧と、入れ替えの手順を整理する</t>
    <phoneticPr fontId="2"/>
  </si>
  <si>
    <t>システムが正常に動いているか判断するために監視する数値を洗い出して一覧にする</t>
    <phoneticPr fontId="2"/>
  </si>
  <si>
    <t>監視する記録と、外形からの確認項目の一覧</t>
    <phoneticPr fontId="2"/>
  </si>
  <si>
    <t>異常と判断する基準値と、誰に知らせるかの設計</t>
    <phoneticPr fontId="2"/>
  </si>
  <si>
    <t>本番・検証・開発の各環境の違いをまとめた設計書</t>
    <phoneticPr fontId="2"/>
  </si>
  <si>
    <t>設計書間で矛盾がないかを通しで確認する（1 回目）</t>
    <phoneticPr fontId="2"/>
  </si>
  <si>
    <t>1 回目の指摘に対応して設計書を直す</t>
    <phoneticPr fontId="2"/>
  </si>
  <si>
    <t>設計書間で矛盾がないかを通しで確認する（2 回目）</t>
    <phoneticPr fontId="2"/>
  </si>
  <si>
    <t>2 回目の指摘に対応して設計書を直す</t>
    <phoneticPr fontId="2"/>
  </si>
  <si>
    <t>顧客をまとめる単位と区画の構成を決める（外部連携を受ける側）</t>
    <phoneticPr fontId="2"/>
  </si>
  <si>
    <t>ログイン処理の組み立て順序を決める（外部連携を受ける側の 3 系統）</t>
    <phoneticPr fontId="2"/>
  </si>
  <si>
    <t>拡張機能をどこに配置し、どう版を管理するかの設計</t>
    <phoneticPr fontId="2"/>
  </si>
  <si>
    <t>新しいアプリを接続するときの登録内容のひな形</t>
    <phoneticPr fontId="2"/>
  </si>
  <si>
    <t>実行基盤の構成設計。サーバーの種類・台数・役割分担</t>
    <phoneticPr fontId="2"/>
  </si>
  <si>
    <t>実行基盤の運用について、委託先と自社の分担を整理する</t>
    <phoneticPr fontId="2"/>
  </si>
  <si>
    <t>顧客と本基盤のどちらが何に責任を持つかを示す表</t>
    <phoneticPr fontId="2"/>
  </si>
  <si>
    <t>顧客に約束する稼働率と復旧目標をまとめた文書</t>
    <phoneticPr fontId="2"/>
  </si>
  <si>
    <t>（廃止）アプリ開発者向けの実装ガイド。章ごとに分割したため、この行では作業しない</t>
    <phoneticPr fontId="2"/>
  </si>
  <si>
    <t>サービスの仕様と、利用上の制約をまとめた文書</t>
    <phoneticPr fontId="2"/>
  </si>
  <si>
    <t>ブラウザだけで動く形式のアプリ向けの実装手順と、認める条件</t>
    <phoneticPr fontId="2"/>
  </si>
  <si>
    <t>ログインを開始するときにアプリが必ず付ける情報と、やってはいけない古い方式</t>
    <phoneticPr fontId="2"/>
  </si>
  <si>
    <t>ログインした本人を表す情報を検証する手順</t>
    <phoneticPr fontId="2"/>
  </si>
  <si>
    <t>署名の検証に使う鍵の取得方法と、鍵が入れ替わっても止まらないための保持方法。鍵をアプリ内に直接書くことは禁止</t>
    <phoneticPr fontId="2"/>
  </si>
  <si>
    <t>ログイン状態がどれくらい続くのか、いつ切れるのかの説明</t>
    <phoneticPr fontId="2"/>
  </si>
  <si>
    <t>ログアウトの 3 つの方式の違いと、どれをいつ使うかの整理。1 つ実装すれば全アプリで切れる、という誤解を正す</t>
    <phoneticPr fontId="2"/>
  </si>
  <si>
    <t>他のアプリでのログアウトを受け取って自分のセッションも切る実装。受け取った通知の検証項目を含む</t>
    <phoneticPr fontId="2"/>
  </si>
  <si>
    <t>根拠の整理メモ。仮定値の出どころと見直しの判断基準が明記されている</t>
    <phoneticPr fontId="2"/>
  </si>
  <si>
    <t>判断記録。保存年数との整合を含め、置き場所が定まっている</t>
    <phoneticPr fontId="2"/>
  </si>
  <si>
    <t>ひな形定義。項目の対応づけが定まっている</t>
    <phoneticPr fontId="2"/>
  </si>
  <si>
    <t>→ 収載先: 鍵・証明書管理設計書。決定記録。自動追随が使えない場合の手動手順も含む</t>
    <phoneticPr fontId="2"/>
  </si>
  <si>
    <t>分析結果。差分と、その原因となる制約が数値で示されている</t>
    <phoneticPr fontId="2"/>
  </si>
  <si>
    <t>決定記録。方式が 1 つに確定している</t>
    <phoneticPr fontId="2"/>
  </si>
  <si>
    <t>改訂済みの設計記述 3 冊</t>
    <phoneticPr fontId="2"/>
  </si>
  <si>
    <t>手順書の骨子。実際の作業順序が追える</t>
    <phoneticPr fontId="2"/>
  </si>
  <si>
    <t>→ 収載先: ログ設計書。決定記録。出力内容の伏せ方と、設定を固定する方法が定まっている</t>
    <phoneticPr fontId="2"/>
  </si>
  <si>
    <t>調査結果。費用の見込みと共用可能な範囲が整理されている</t>
    <phoneticPr fontId="2"/>
  </si>
  <si>
    <t>方針書。環境の数と分け方、共用範囲が定まっている</t>
    <phoneticPr fontId="2"/>
  </si>
  <si>
    <t>方針と見積。本物の個人情報を使わない作り方が定まっている</t>
    <phoneticPr fontId="2"/>
  </si>
  <si>
    <t>計画書。試験の道具・データ・合格基準が定まっている</t>
    <phoneticPr fontId="2"/>
  </si>
  <si>
    <t>設定値。5 項目それぞれの値と根拠が定まっている</t>
    <phoneticPr fontId="2"/>
  </si>
  <si>
    <t>手順設計。事前確認の方法と、停止を伴う場合の作業時間帯が定まっている</t>
    <phoneticPr fontId="2"/>
  </si>
  <si>
    <t>手順書。猶予期間・データの引き渡し・完了の証明までが書かれている</t>
    <phoneticPr fontId="2"/>
  </si>
  <si>
    <t>手順書。法令が求める期限と報告先が書かれている</t>
    <phoneticPr fontId="2"/>
  </si>
  <si>
    <t>手順書。発動条件・承認者・事後の監査までが書かれている</t>
    <phoneticPr fontId="2"/>
  </si>
  <si>
    <t>手順書。判断基準と判断者が明確になっている</t>
    <phoneticPr fontId="2"/>
  </si>
  <si>
    <t>手順書。所要時間の見込みつきで作業が順に書かれている</t>
    <phoneticPr fontId="2"/>
  </si>
  <si>
    <t>手順書。時点を指定した復元の方法まで書かれている</t>
    <phoneticPr fontId="2"/>
  </si>
  <si>
    <t>手順書。戻した後の整合確認まで書かれている</t>
    <phoneticPr fontId="2"/>
  </si>
  <si>
    <t>当番表と通知設定。夜間・休日の連絡経路が定まっている</t>
    <phoneticPr fontId="2"/>
  </si>
  <si>
    <t>構成図。閉域接続とイベント経路が反映されている</t>
    <phoneticPr fontId="2"/>
  </si>
  <si>
    <t>総則の章。範囲外の事項も明示されている</t>
    <phoneticPr fontId="2"/>
  </si>
  <si>
    <t>前提一覧。各前提に影響範囲が紐づいている</t>
    <phoneticPr fontId="2"/>
  </si>
  <si>
    <t>用語集。本文で使う用語が漏れなく定義されている</t>
    <phoneticPr fontId="2"/>
  </si>
  <si>
    <t>論理構成図。主要な構成要素と関係が 1 枚で分かる</t>
    <phoneticPr fontId="2"/>
  </si>
  <si>
    <t>物理構成図。設備の配置と接続経路が示されている</t>
    <phoneticPr fontId="2"/>
  </si>
  <si>
    <t>方式設計。保持する場所と有効期間の考え方が定まっている</t>
    <phoneticPr fontId="2"/>
  </si>
  <si>
    <t>方式設計。保存時と表示時の扱いが定まっている</t>
    <phoneticPr fontId="2"/>
  </si>
  <si>
    <t>方式設計。置く対象・保持時間・古くなった際の捨て方が定まっている</t>
    <phoneticPr fontId="2"/>
  </si>
  <si>
    <t>方式設計。重複しない仕組みと、採番の責任者が定まっている</t>
    <phoneticPr fontId="2"/>
  </si>
  <si>
    <t>命名規約。名前から用途と所属が分かる形になっている</t>
    <phoneticPr fontId="2"/>
  </si>
  <si>
    <t>規約。書き方の統一と、レビュー観点が定まっている</t>
    <phoneticPr fontId="2"/>
  </si>
  <si>
    <t>対応表。すべての目標値に実現手段が紐づいている</t>
    <phoneticPr fontId="2"/>
  </si>
  <si>
    <t>性能設計書。目標値・処理方式・調整の余地が示されている</t>
    <phoneticPr fontId="2"/>
  </si>
  <si>
    <t>見積書。表ごとの件数と増加率、必要な容量が数値で示されている</t>
    <phoneticPr fontId="2"/>
  </si>
  <si>
    <t>対応表。要件から試験まで追跡でき、抜けが検出できる</t>
    <phoneticPr fontId="2"/>
  </si>
  <si>
    <t>→ 収載先: 鍵・証明書管理設計書。鍵管理設計書。鍵の種類・保管場所・入れ替え周期が定まっている</t>
    <phoneticPr fontId="2"/>
  </si>
  <si>
    <t>機能仕様書 1 本。委譲時に渡す情報・受け取る情報と、拒否された場合の扱いが定義されレビュー承認済み</t>
    <phoneticPr fontId="2"/>
  </si>
  <si>
    <t>機能仕様書 1 本。旧方式特有の識別子の扱いと、標準方式との差分が定義されレビュー承認済み</t>
    <phoneticPr fontId="2"/>
  </si>
  <si>
    <t>→ 収載先: 多要素認証設計書。機能仕様書 1 本。桁ずれの許容範囲と、連続失敗時の扱いが定義されレビュー承認済み</t>
    <phoneticPr fontId="2"/>
  </si>
  <si>
    <t>→ 収載先: 多要素認証設計書。機能仕様書 1 本。QR と手入力の両方を用意し、登録完了を確認してから有効化する手順が定義されレビュー承認済み</t>
    <phoneticPr fontId="2"/>
  </si>
  <si>
    <t>→ 収載先: 鍵・証明書管理設計書。機能仕様書 1 本。入れ替え周期・並走期間と、失敗時の手動手順が定義されレビュー承認済み</t>
    <phoneticPr fontId="2"/>
  </si>
  <si>
    <t>→ 収載先: 鍵・証明書管理設計書。機能仕様書 1 本。入れ替え周期と、切り替え中に接続が切れないための扱いが定義されレビュー承認済み</t>
    <phoneticPr fontId="2"/>
  </si>
  <si>
    <t>→ 収載先: 鍵・証明書管理設計書。機能仕様書 1 本。通知するタイミングと、通知先が定義されレビュー承認済み</t>
    <phoneticPr fontId="2"/>
  </si>
  <si>
    <t>エラーコード体系。番号の付け方と、意味の一覧が定まっている</t>
    <phoneticPr fontId="2"/>
  </si>
  <si>
    <t>仕様書。接続情報の受け渡し方と項目が定まっている</t>
    <phoneticPr fontId="2"/>
  </si>
  <si>
    <t>差分表。製品ごとの違いが一覧化されている</t>
    <phoneticPr fontId="2"/>
  </si>
  <si>
    <t>→ 収載先: 鍵・証明書管理設計書。一覧と手順。鍵の種類・保管場所・入れ替え周期が定まっている</t>
    <phoneticPr fontId="2"/>
  </si>
  <si>
    <t>→ 収載先: ログ設計書。イベント一覧。監査で必要な操作が漏れなく含まれている</t>
    <phoneticPr fontId="2"/>
  </si>
  <si>
    <t>→ 収載先: ログ設計書。項目表。すべての記録に保存年数が紐づいている</t>
    <phoneticPr fontId="2"/>
  </si>
  <si>
    <t>対応表。すべての経路に対策が紐づいている</t>
    <phoneticPr fontId="2"/>
  </si>
  <si>
    <t>項目一覧。取得元と用途が整理されている</t>
    <phoneticPr fontId="2"/>
  </si>
  <si>
    <t>項目一覧。確認の頻度が定まっている</t>
    <phoneticPr fontId="2"/>
  </si>
  <si>
    <t>閾値設計。すべての監視項目に基準値と通知先が紐づいている</t>
    <phoneticPr fontId="2"/>
  </si>
  <si>
    <t>環境設計書。環境ごとの差分が一覧化されている</t>
    <phoneticPr fontId="2"/>
  </si>
  <si>
    <t>レビュー記録。指摘が一覧化されている</t>
    <phoneticPr fontId="2"/>
  </si>
  <si>
    <t>改訂済みの設計書。指摘がすべて処理されている</t>
    <phoneticPr fontId="2"/>
  </si>
  <si>
    <t>レビュー記録。1 回目の指摘が解消されている</t>
    <phoneticPr fontId="2"/>
  </si>
  <si>
    <t>改訂済みの設計書。残課題が明示されている</t>
    <phoneticPr fontId="2"/>
  </si>
  <si>
    <t>構成設計書。顧客の収容方法と区画の分け方が定まっている</t>
    <phoneticPr fontId="2"/>
  </si>
  <si>
    <t>処理順序の設計書。3 系統それぞれの分岐が図で示されている</t>
    <phoneticPr fontId="2"/>
  </si>
  <si>
    <t>配置設計。組み込み方法と版の管理方法が定まっている</t>
    <phoneticPr fontId="2"/>
  </si>
  <si>
    <t>定義書。載せる項目と、載せない項目の区別が明確</t>
    <phoneticPr fontId="2"/>
  </si>
  <si>
    <t>ひな形。必要な設定が漏れなく含まれ、宛先の設定漏れを防ぐ仕組みがある</t>
    <phoneticPr fontId="2"/>
  </si>
  <si>
    <t>設定値一覧。有効期間・回数制限などが数値で定まっている</t>
    <phoneticPr fontId="2"/>
  </si>
  <si>
    <t>設定値一覧。パスワード条件を含め数値で定まっている</t>
    <phoneticPr fontId="2"/>
  </si>
  <si>
    <t>構成設計書。役割ごとの分離と増減の考え方が定まっている</t>
    <phoneticPr fontId="2"/>
  </si>
  <si>
    <t>分担表。どちらが何をするかが明確になっている</t>
    <phoneticPr fontId="2"/>
  </si>
  <si>
    <t>責任分界表。契約に添付できる粒度で整理されている</t>
    <phoneticPr fontId="2"/>
  </si>
  <si>
    <t>定義書。数値と、達成できなかった場合の扱いが定まっている</t>
    <phoneticPr fontId="2"/>
  </si>
  <si>
    <t>作業なし。分割先の各章で実施する</t>
    <phoneticPr fontId="2"/>
  </si>
  <si>
    <t>仕様書。止めてから完全に切れるまでの時間差など、注意すべき制約が明記されている</t>
    <phoneticPr fontId="2"/>
  </si>
  <si>
    <t>ガイド 1 章。推奨する理由と、この形式でしか使えない機能が明示されている</t>
    <phoneticPr fontId="2"/>
  </si>
  <si>
    <t>ガイド 1 章。必須パラメータと禁止事項が判定可能な形で列挙されている</t>
    <phoneticPr fontId="2"/>
  </si>
  <si>
    <t>ガイド 1 章。保存場所ごとの可否と理由が示されている</t>
    <phoneticPr fontId="2"/>
  </si>
  <si>
    <t>ガイド 1 章。7 つの検証項目と、宛先の設定漏れで検証が無効化される罠の警告が示されている</t>
    <phoneticPr fontId="2"/>
  </si>
  <si>
    <t>ガイド 1 章。必須の検証項目と、追加情報を問い合わせた場合の突き合わせ要件が示されている</t>
    <phoneticPr fontId="2"/>
  </si>
  <si>
    <t>ガイド 1 章。取得の頻度・保持期間・未知の鍵が来た場合の動き・取得できないときの継続方法が数値で示されている</t>
    <phoneticPr fontId="2"/>
  </si>
  <si>
    <t>ガイド 1 章。有効期間の一覧と、切れたときのアプリ側の動きが示されている</t>
    <phoneticPr fontId="2"/>
  </si>
  <si>
    <t>ガイド 1 章。3 方式の関係と責任分界が図で示されている</t>
    <phoneticPr fontId="2"/>
  </si>
  <si>
    <t>ガイド 1 章。8 つの検証項目が列挙され、検証を省くと強制ログアウトの悪用が可能になる旨が警告されている</t>
    <phoneticPr fontId="2"/>
  </si>
  <si>
    <t>ガイド 1 章。延長時の入れ替え要件と、失効したときのアプリ側の動きが示されている</t>
    <phoneticPr fontId="2"/>
  </si>
  <si>
    <t>構成の前提</t>
    <phoneticPr fontId="2"/>
  </si>
  <si>
    <t>代替手段あり</t>
    <phoneticPr fontId="2"/>
  </si>
  <si>
    <t>後から追加可能</t>
    <phoneticPr fontId="2"/>
  </si>
  <si>
    <t>事故防止</t>
    <phoneticPr fontId="2"/>
  </si>
  <si>
    <t>認証の中核</t>
    <phoneticPr fontId="2"/>
  </si>
  <si>
    <t>製品機能</t>
    <phoneticPr fontId="2"/>
  </si>
  <si>
    <t>業務ルール依存</t>
    <phoneticPr fontId="2"/>
  </si>
  <si>
    <t>画面のみ</t>
    <phoneticPr fontId="2"/>
  </si>
  <si>
    <t>法令・契約</t>
    <phoneticPr fontId="2"/>
  </si>
  <si>
    <t>運用に必須</t>
    <phoneticPr fontId="2"/>
  </si>
  <si>
    <t>横断（対象縮小）</t>
    <phoneticPr fontId="2"/>
  </si>
  <si>
    <t>業務データ</t>
    <phoneticPr fontId="2"/>
  </si>
  <si>
    <t>改ざん防止</t>
    <phoneticPr fontId="2"/>
  </si>
  <si>
    <t>構成が成立するかの確認で、機能を減らしても確かめる必要は残る</t>
    <phoneticPr fontId="2"/>
  </si>
  <si>
    <t>通常のシステム監視と手動更新で代替でき、無くても認証は止まらない</t>
    <phoneticPr fontId="2"/>
  </si>
  <si>
    <t>構成の前提を決める判断で、先送りすると後続が全て止まる</t>
    <phoneticPr fontId="2"/>
  </si>
  <si>
    <t>【省略・吸収】ステップアップ認証は不要と決定。人日は復活時のために残す</t>
    <phoneticPr fontId="2"/>
  </si>
  <si>
    <t>【省略・吸収】HG-05 に吸収（監査ログの置き場所・保持年数）。人日は復活時のために残す</t>
    <phoneticPr fontId="2"/>
  </si>
  <si>
    <t>【省略・吸収】E-1.2 に吸収（費用比較は構成決定と一体）。人日は復活時のために残す</t>
    <phoneticPr fontId="2"/>
  </si>
  <si>
    <t>環境や製品設定は、機能を減らしても同じだけ必要になる</t>
    <phoneticPr fontId="2"/>
  </si>
  <si>
    <t>【省略・吸収】④ テストで計上（試験用データの作り方）。人日は復活時のために残す</t>
    <phoneticPr fontId="2"/>
  </si>
  <si>
    <t>見る画面はアプリでよいが、記録そのものは改ざん防止のため基盤が持つ</t>
    <phoneticPr fontId="2"/>
  </si>
  <si>
    <t>手順書が無いと運用が回らず、作っただけで終わる</t>
    <phoneticPr fontId="2"/>
  </si>
  <si>
    <t>入れ替えを止めると、漏れた鍵がいつまでも有効なままになる</t>
    <phoneticPr fontId="2"/>
  </si>
  <si>
    <t>方式は 1 機能でも 91 機能でも決める必要があり、対象が減っても消えない</t>
    <phoneticPr fontId="2"/>
  </si>
  <si>
    <t>応答時間の目標は、アプリの作り方と基盤の設備の両方で決まるため共同で決める</t>
    <phoneticPr fontId="2"/>
  </si>
  <si>
    <t>同上。達成手段が基盤側とアプリ側にまたがる</t>
    <phoneticPr fontId="2"/>
  </si>
  <si>
    <t>切れると全顧客のログインが黙って止まるため、期限の監視は外せない</t>
    <phoneticPr fontId="2"/>
  </si>
  <si>
    <t>対象の画面が減るぶん縮むが、画面設計という作業自体は残る</t>
    <phoneticPr fontId="2"/>
  </si>
  <si>
    <t>【省略・吸収】② 詳細設計 DDD-07 で計上。人日は復活時のために残す</t>
    <phoneticPr fontId="2"/>
  </si>
  <si>
    <t>記録する側と操作する側を分けないと、監査の意味が無くなる</t>
    <phoneticPr fontId="2"/>
  </si>
  <si>
    <t>運用の手順が無いと、作っても回せない</t>
    <phoneticPr fontId="2"/>
  </si>
  <si>
    <t>対象が減るぶん縮むが、突き合わせと合意の場は必ず要る</t>
    <phoneticPr fontId="2"/>
  </si>
  <si>
    <t>顧客への約束は機能の数では変わらない</t>
    <phoneticPr fontId="2"/>
  </si>
  <si>
    <t>対象外：省略・吸収</t>
    <phoneticPr fontId="2"/>
  </si>
  <si>
    <t>新規: 自社構築</t>
    <phoneticPr fontId="2"/>
  </si>
  <si>
    <t>当初あり</t>
    <phoneticPr fontId="2"/>
  </si>
  <si>
    <t>新規: 機能追加</t>
    <phoneticPr fontId="2"/>
  </si>
  <si>
    <t>新規: 規模</t>
    <phoneticPr fontId="2"/>
  </si>
  <si>
    <t>新規: 非機能・運用</t>
    <phoneticPr fontId="2"/>
  </si>
  <si>
    <t>要件確認</t>
    <phoneticPr fontId="2"/>
  </si>
  <si>
    <t>着手</t>
    <phoneticPr fontId="2"/>
  </si>
  <si>
    <t>追加認証（数字コード）</t>
    <phoneticPr fontId="2"/>
  </si>
  <si>
    <t>追加認証の登録（数字コード）</t>
    <phoneticPr fontId="2"/>
  </si>
  <si>
    <t>システム同士が API を呼ぶための資格の発行と交換</t>
  </si>
  <si>
    <t>アプリ</t>
    <phoneticPr fontId="2"/>
  </si>
  <si>
    <t>△</t>
  </si>
  <si>
    <t>ログイン時の属性更新</t>
    <phoneticPr fontId="2"/>
  </si>
  <si>
    <t>ログイン振り分け（HRD）</t>
  </si>
  <si>
    <t>フェデレーションログイン</t>
  </si>
  <si>
    <t>ローカルログイン（Keycloak-IdP 収容）</t>
  </si>
  <si>
    <t>パスワードに加えて 2 つ目の要素（数字コード・生体・セキュリティキー）を求める。登録と利用の両方を含む</t>
  </si>
  <si>
    <t>パスワード・アカウント復旧</t>
  </si>
  <si>
    <t>セッション・ログアウト</t>
  </si>
  <si>
    <t>ログイン状態をどこまで保つか、いつ切るか。アプリ側へのログアウト連携を含む</t>
  </si>
  <si>
    <t>ログイン画面・エラー画面</t>
  </si>
  <si>
    <t>利用規約などへの同意を取り、いつ誰が同意したかを記録する</t>
  </si>
  <si>
    <t>ユーザ登録（顧客システム連携・SCIM）</t>
  </si>
  <si>
    <t>ユーザ管理</t>
  </si>
  <si>
    <t>ユーザ属性の統一</t>
  </si>
  <si>
    <t>顧客ごとにバラバラな項目名や登録経路を、基盤内の統一した形に揃える</t>
  </si>
  <si>
    <t>ユーザの停止・再開・消去</t>
  </si>
  <si>
    <t>ユーザ管理（管理画面・API）</t>
  </si>
  <si>
    <t>顧客・組織管理</t>
  </si>
  <si>
    <t>権限・認可</t>
  </si>
  <si>
    <t>認可・権限判定</t>
  </si>
  <si>
    <t>アプリ・外部連携</t>
  </si>
  <si>
    <t>業務システム連携（ServiceNow）</t>
  </si>
  <si>
    <t>監査・記録</t>
  </si>
  <si>
    <t>運用機能</t>
  </si>
  <si>
    <t>誰が何をしたかの記録と、その照会・保管。システム用アカウントの台帳と本人からの請求対応を含む</t>
  </si>
  <si>
    <t>鍵・証明書管理</t>
  </si>
  <si>
    <t>署名鍵・接続用パスワード・証明書を期限前に入れ替える</t>
  </si>
  <si>
    <t>データ整合・突合</t>
  </si>
  <si>
    <t>システム間の伝えそこないを定期的に突き合わせて回収する</t>
  </si>
  <si>
    <t>不正兆候の検知と、擬似ログインによる障害検知</t>
  </si>
  <si>
    <t>非機能: システム構成</t>
  </si>
  <si>
    <t>非機能</t>
  </si>
  <si>
    <t>全体構成・ネットワーク・クラスタ・環境の構成。他組織が管理する境界との調整を含む</t>
  </si>
  <si>
    <t>非機能: 性能・拡張性</t>
  </si>
  <si>
    <t>性能目標・処理量の見積り・同時実行の上限・性能試験の計画</t>
  </si>
  <si>
    <t>非機能: 可用性・災害対策</t>
  </si>
  <si>
    <t>障害と災害からの復旧。稼働率と復旧目標の顧客への約束</t>
  </si>
  <si>
    <t>非機能: セキュリティ</t>
  </si>
  <si>
    <t>攻撃経路への対策、鍵と暗号化の管理方式、個人情報の取り扱い</t>
  </si>
  <si>
    <t>非機能: 運用・監視</t>
  </si>
  <si>
    <t>非機能: 移行・環境</t>
  </si>
  <si>
    <t>開発・検証環境の用意と、既存からの移行</t>
  </si>
  <si>
    <t>非機能: 設計標準・規約</t>
  </si>
  <si>
    <t>全機能に共通して守る設計上の決まり（エラー・ログ・命名・API・画面）</t>
  </si>
  <si>
    <t>非機能: 設計管理</t>
  </si>
  <si>
    <t>非機能: 提供ドキュメント</t>
  </si>
  <si>
    <t>顧客とアプリ開発者へ渡す資料のうち、特定の機能に紐づかない共通部分</t>
  </si>
  <si>
    <t>非機能: 性能・拡張性</t>
    <phoneticPr fontId="2"/>
  </si>
  <si>
    <t>ユーザ登録（顧客システム連携・SCIM）</t>
    <phoneticPr fontId="2"/>
  </si>
  <si>
    <t>ユーザの停止・再開・消去</t>
    <phoneticPr fontId="2"/>
  </si>
  <si>
    <t>フェデレーションログイン</t>
    <phoneticPr fontId="2"/>
  </si>
  <si>
    <t>ログイン振り分け（HRD）</t>
    <phoneticPr fontId="2"/>
  </si>
  <si>
    <t>アプリ・外部連携</t>
    <phoneticPr fontId="2"/>
  </si>
  <si>
    <t>非機能: 設計管理</t>
    <phoneticPr fontId="2"/>
  </si>
  <si>
    <t>非機能: セキュリティ</t>
    <phoneticPr fontId="2"/>
  </si>
  <si>
    <t>非機能: 運用・監視</t>
    <phoneticPr fontId="2"/>
  </si>
  <si>
    <t>非機能: システム構成</t>
    <phoneticPr fontId="2"/>
  </si>
  <si>
    <t>ログイン画面・エラー画面</t>
    <phoneticPr fontId="2"/>
  </si>
  <si>
    <t>非機能: 可用性・災害対策</t>
    <phoneticPr fontId="2"/>
  </si>
  <si>
    <t>認可・権限判定</t>
    <phoneticPr fontId="2"/>
  </si>
  <si>
    <t>非機能: 移行・環境</t>
    <phoneticPr fontId="2"/>
  </si>
  <si>
    <t>業務システム連携（ServiceNow）</t>
    <phoneticPr fontId="2"/>
  </si>
  <si>
    <t>ローカルログイン（Keycloak-IdP 収容）</t>
    <phoneticPr fontId="2"/>
  </si>
  <si>
    <t>ユーザ属性の統一</t>
    <phoneticPr fontId="2"/>
  </si>
  <si>
    <t>顧客・組織管理</t>
    <phoneticPr fontId="2"/>
  </si>
  <si>
    <t>セッション・ログアウト</t>
    <phoneticPr fontId="2"/>
  </si>
  <si>
    <t>非機能: 設計標準・規約</t>
    <phoneticPr fontId="2"/>
  </si>
  <si>
    <t>監査・記録</t>
    <phoneticPr fontId="2"/>
  </si>
  <si>
    <t>同意管理</t>
    <phoneticPr fontId="2"/>
  </si>
  <si>
    <t>鍵・証明書管理</t>
    <phoneticPr fontId="2"/>
  </si>
  <si>
    <t>非機能: 提供ドキュメント</t>
    <phoneticPr fontId="2"/>
  </si>
  <si>
    <t>キャパシティ・データ量見積</t>
  </si>
  <si>
    <t>キャパシティ・データ量見積</t>
    <phoneticPr fontId="2"/>
  </si>
  <si>
    <t>状態変化の即時通知（CAEP）</t>
  </si>
  <si>
    <t>顧客・ベンダーへの照会</t>
  </si>
  <si>
    <t>攻撃経路と対策</t>
  </si>
  <si>
    <t>攻撃経路と対策</t>
    <phoneticPr fontId="2"/>
  </si>
  <si>
    <t>ネットワーク構成</t>
  </si>
  <si>
    <t>ネットワーク構成</t>
    <phoneticPr fontId="2"/>
  </si>
  <si>
    <t>クラスタ構成</t>
  </si>
  <si>
    <t>クラスタ構成</t>
    <phoneticPr fontId="2"/>
  </si>
  <si>
    <t>ログイン画面の表示（ブランド・並び順）</t>
  </si>
  <si>
    <t>ログイン画面の表示（ブランド・並び順）</t>
    <phoneticPr fontId="2"/>
  </si>
  <si>
    <t>災害対策（別地域への切替）</t>
  </si>
  <si>
    <t>災害対策（別地域への切替）</t>
    <phoneticPr fontId="2"/>
  </si>
  <si>
    <t>他組織との構成調整</t>
  </si>
  <si>
    <t>他組織との構成調整</t>
    <phoneticPr fontId="2"/>
  </si>
  <si>
    <t>擬似ログインによる障害検知</t>
  </si>
  <si>
    <t>不正兆候の検知</t>
    <phoneticPr fontId="2"/>
  </si>
  <si>
    <t>同時実行・上限値の設定</t>
  </si>
  <si>
    <t>同時実行・上限値の設定</t>
    <phoneticPr fontId="2"/>
  </si>
  <si>
    <t>管理操作の 3 段階権限確認</t>
  </si>
  <si>
    <t>管理操作の 3 段階権限確認</t>
    <phoneticPr fontId="2"/>
  </si>
  <si>
    <t>既存からの移行</t>
  </si>
  <si>
    <t>既存からの移行</t>
    <phoneticPr fontId="2"/>
  </si>
  <si>
    <t>業務システムへの認証提供</t>
    <phoneticPr fontId="2"/>
  </si>
  <si>
    <t>Keycloak-IdP 収容ユーザのログイン</t>
  </si>
  <si>
    <t>Keycloak-IdP 収容ユーザのログイン</t>
    <phoneticPr fontId="2"/>
  </si>
  <si>
    <t>登録経路の区分判定</t>
    <phoneticPr fontId="2"/>
  </si>
  <si>
    <t>Realm・ブランド区画構成</t>
  </si>
  <si>
    <t>Realm・ブランド区画構成</t>
    <phoneticPr fontId="2"/>
  </si>
  <si>
    <t>開発・検証環境</t>
  </si>
  <si>
    <t>開発・検証環境</t>
    <phoneticPr fontId="2"/>
  </si>
  <si>
    <t>性能試験の計画</t>
  </si>
  <si>
    <t>性能試験の計画</t>
    <phoneticPr fontId="2"/>
  </si>
  <si>
    <t>運用コストの管理</t>
  </si>
  <si>
    <t>鍵・暗号化の管理方式</t>
  </si>
  <si>
    <t>鍵・暗号化の管理方式</t>
    <phoneticPr fontId="2"/>
  </si>
  <si>
    <t>性能目標・チューニング方針</t>
  </si>
  <si>
    <t>性能目標・チューニング方針</t>
    <phoneticPr fontId="2"/>
  </si>
  <si>
    <t>顧客の解約</t>
  </si>
  <si>
    <t>顧客の解約</t>
    <phoneticPr fontId="2"/>
  </si>
  <si>
    <t>運用手順書</t>
  </si>
  <si>
    <t>運用手順書</t>
    <phoneticPr fontId="2"/>
  </si>
  <si>
    <t>緊急時の管理者アクセス</t>
  </si>
  <si>
    <t>緊急時の管理者アクセス</t>
    <phoneticPr fontId="2"/>
  </si>
  <si>
    <t>強制ログアウト（管理者）</t>
  </si>
  <si>
    <t>バックアップ・復元</t>
  </si>
  <si>
    <t>バックアップ・復元</t>
    <phoneticPr fontId="2"/>
  </si>
  <si>
    <t>運用体制・当番</t>
  </si>
  <si>
    <t>運用体制・当番</t>
    <phoneticPr fontId="2"/>
  </si>
  <si>
    <t>設計書の総則・前提・用語</t>
  </si>
  <si>
    <t>設計書の総則・前提・用語</t>
    <phoneticPr fontId="2"/>
  </si>
  <si>
    <t>全体構成（論理・物理）</t>
  </si>
  <si>
    <t>全体構成（論理・物理）</t>
    <phoneticPr fontId="2"/>
  </si>
  <si>
    <t>共通方式（エラー・ログ・整合・排他ほか）</t>
  </si>
  <si>
    <t>共通方式（エラー・ログ・整合・排他ほか）</t>
    <phoneticPr fontId="2"/>
  </si>
  <si>
    <t>監査ログの取得・保管方式</t>
  </si>
  <si>
    <t>監査ログの取得・保管方式</t>
    <phoneticPr fontId="2"/>
  </si>
  <si>
    <t>個人情報の取り扱い</t>
  </si>
  <si>
    <t>個人情報の取り扱い</t>
    <phoneticPr fontId="2"/>
  </si>
  <si>
    <t>顧客番号と基盤識別子の対応づけ</t>
    <phoneticPr fontId="2"/>
  </si>
  <si>
    <t>命名・構成管理規約</t>
  </si>
  <si>
    <t>命名・構成管理規約</t>
    <phoneticPr fontId="2"/>
  </si>
  <si>
    <t>API 設計規約</t>
  </si>
  <si>
    <t>API 設計規約</t>
    <phoneticPr fontId="2"/>
  </si>
  <si>
    <t>トレーサビリティ</t>
  </si>
  <si>
    <t>トレーサビリティ</t>
    <phoneticPr fontId="2"/>
  </si>
  <si>
    <t>機能一覧・業務フロー</t>
  </si>
  <si>
    <t>ログイン状態の保持とタイムアウト</t>
  </si>
  <si>
    <t>ログイン状態の保持とタイムアウト</t>
    <phoneticPr fontId="2"/>
  </si>
  <si>
    <t>振り分け失敗時のパスワード入力への切替</t>
    <phoneticPr fontId="2"/>
  </si>
  <si>
    <t>初回ログイン時のユーザ自動作成（JIT）</t>
  </si>
  <si>
    <t>初回ログイン時のユーザ自動作成（JIT）</t>
    <phoneticPr fontId="2"/>
  </si>
  <si>
    <t>2 台目の認証器登録時の本人再確認</t>
  </si>
  <si>
    <t>SCIM 受信: 削除通知（無効化へ読み替え）</t>
  </si>
  <si>
    <t>SCIM 受信: 削除通知（無効化へ読み替え）</t>
    <phoneticPr fontId="2"/>
  </si>
  <si>
    <t>SCIM 受信: グループ連携</t>
  </si>
  <si>
    <t>SCIM 受信: グループ連携</t>
    <phoneticPr fontId="2"/>
  </si>
  <si>
    <t>項目名の変換・統一</t>
    <phoneticPr fontId="2"/>
  </si>
  <si>
    <t>長期未使用者の自動停止</t>
    <phoneticPr fontId="2"/>
  </si>
  <si>
    <t>保存期限切れデータの消去</t>
    <phoneticPr fontId="2"/>
  </si>
  <si>
    <t>初回ログイン時の権限側への識別子連携</t>
  </si>
  <si>
    <t>初回ログイン時の権限側の受け皿作成</t>
  </si>
  <si>
    <t>使えるアプリ一覧の取得（ログイン後の着地）</t>
  </si>
  <si>
    <t>顧客の作成</t>
    <phoneticPr fontId="2"/>
  </si>
  <si>
    <t>接続設定の変更・証明書更新</t>
    <phoneticPr fontId="2"/>
  </si>
  <si>
    <t>業務システムから他アプリへの連携</t>
    <phoneticPr fontId="2"/>
  </si>
  <si>
    <t>アプリへの変更通知（Webhook）</t>
  </si>
  <si>
    <t>画面一覧・画面遷移</t>
  </si>
  <si>
    <t>利用規約への同意取得と記録</t>
  </si>
  <si>
    <t>利用規約への同意取得と記録</t>
    <phoneticPr fontId="2"/>
  </si>
  <si>
    <t>IF 一覧・データ全体構成</t>
  </si>
  <si>
    <t>署名鍵の定期入れ替え</t>
    <phoneticPr fontId="2"/>
  </si>
  <si>
    <t>接続用パスワードの定期入れ替え</t>
    <phoneticPr fontId="2"/>
  </si>
  <si>
    <t>証明書期限の監視</t>
    <phoneticPr fontId="2"/>
  </si>
  <si>
    <t>定期処理の実行基盤</t>
  </si>
  <si>
    <t>監視項目・閾値・通知</t>
  </si>
  <si>
    <t>監視項目・閾値・通知</t>
    <phoneticPr fontId="2"/>
  </si>
  <si>
    <t>環境構成（本番 / stg / dev）</t>
  </si>
  <si>
    <t>環境構成（本番 / stg / dev）</t>
    <phoneticPr fontId="2"/>
  </si>
  <si>
    <t>設計レビュー・説明会</t>
  </si>
  <si>
    <t>設計レビュー・説明会</t>
    <phoneticPr fontId="2"/>
  </si>
  <si>
    <t>アプリの接続登録（クライアント登録）</t>
  </si>
  <si>
    <t>アプリの接続登録（クライアント登録）</t>
    <phoneticPr fontId="2"/>
  </si>
  <si>
    <t>顧客向け説明資料</t>
  </si>
  <si>
    <t>顧客向け説明資料</t>
    <phoneticPr fontId="2"/>
  </si>
  <si>
    <t>稼働率・復旧目標（SLA / SLO）</t>
  </si>
  <si>
    <t>稼働率・復旧目標（SLA / SLO）</t>
    <phoneticPr fontId="2"/>
  </si>
  <si>
    <t>アプリ開発者向けガイド（共通部）</t>
  </si>
  <si>
    <t>アプリ開発者向けガイド（共通部）</t>
    <phoneticPr fontId="2"/>
  </si>
  <si>
    <t>本人からの開示・削除請求への対応</t>
  </si>
  <si>
    <t>本人からの開示・削除請求への対応</t>
    <phoneticPr fontId="2"/>
  </si>
  <si>
    <t>アプリへのログアウト連携</t>
  </si>
  <si>
    <t>アプリへのログアウト連携</t>
    <phoneticPr fontId="2"/>
  </si>
  <si>
    <t>エラー・案内画面（アプリ）</t>
  </si>
  <si>
    <t>NF-PRF-02</t>
  </si>
  <si>
    <t>NF-PRF-02</t>
    <phoneticPr fontId="2"/>
  </si>
  <si>
    <t>F-PROV-03</t>
    <phoneticPr fontId="2"/>
  </si>
  <si>
    <t>F-PROV-10</t>
    <phoneticPr fontId="2"/>
  </si>
  <si>
    <t>F-AUTH-05</t>
    <phoneticPr fontId="2"/>
  </si>
  <si>
    <t>F-AUTH-06</t>
    <phoneticPr fontId="2"/>
  </si>
  <si>
    <t>F-AUTH-02</t>
    <phoneticPr fontId="2"/>
  </si>
  <si>
    <t>NF-MGT-07</t>
  </si>
  <si>
    <t>NF-SEC-01</t>
  </si>
  <si>
    <t>NF-SEC-01</t>
    <phoneticPr fontId="2"/>
  </si>
  <si>
    <t>NF-OPS-05</t>
  </si>
  <si>
    <t>NF-OPS-05</t>
    <phoneticPr fontId="2"/>
  </si>
  <si>
    <t>NF-ARC-02</t>
  </si>
  <si>
    <t>NF-ARC-02</t>
    <phoneticPr fontId="2"/>
  </si>
  <si>
    <t>NF-ARC-03</t>
  </si>
  <si>
    <t>NF-ARC-03</t>
    <phoneticPr fontId="2"/>
  </si>
  <si>
    <t>F-ADM-16</t>
    <phoneticPr fontId="2"/>
  </si>
  <si>
    <t>F-AUTH-25</t>
  </si>
  <si>
    <t>F-AUTH-25</t>
    <phoneticPr fontId="2"/>
  </si>
  <si>
    <t>NF-AVL-01</t>
  </si>
  <si>
    <t>NF-AVL-01</t>
    <phoneticPr fontId="2"/>
  </si>
  <si>
    <t>NF-ARC-06</t>
  </si>
  <si>
    <t>NF-ARC-06</t>
    <phoneticPr fontId="2"/>
  </si>
  <si>
    <t>F-INT-08</t>
    <phoneticPr fontId="2"/>
  </si>
  <si>
    <t>NF-PRF-03</t>
  </si>
  <si>
    <t>NF-PRF-03</t>
    <phoneticPr fontId="2"/>
  </si>
  <si>
    <t>F-AZ-06</t>
    <phoneticPr fontId="2"/>
  </si>
  <si>
    <t>NF-MIG-02</t>
  </si>
  <si>
    <t>NF-MIG-02</t>
    <phoneticPr fontId="2"/>
  </si>
  <si>
    <t>F-INT-01</t>
    <phoneticPr fontId="2"/>
  </si>
  <si>
    <t>F-AUTH-01</t>
    <phoneticPr fontId="2"/>
  </si>
  <si>
    <t>F-PROV-09</t>
    <phoneticPr fontId="2"/>
  </si>
  <si>
    <t>NF-ARC-04</t>
  </si>
  <si>
    <t>NF-ARC-04</t>
    <phoneticPr fontId="2"/>
  </si>
  <si>
    <t>NF-MIG-01</t>
  </si>
  <si>
    <t>NF-MIG-01</t>
    <phoneticPr fontId="2"/>
  </si>
  <si>
    <t>NF-PRF-04</t>
  </si>
  <si>
    <t>NF-PRF-04</t>
    <phoneticPr fontId="2"/>
  </si>
  <si>
    <t>NF-OPS-07</t>
  </si>
  <si>
    <t>NF-SEC-02</t>
  </si>
  <si>
    <t>NF-SEC-02</t>
    <phoneticPr fontId="2"/>
  </si>
  <si>
    <t>NF-PRF-01</t>
  </si>
  <si>
    <t>NF-PRF-01</t>
    <phoneticPr fontId="2"/>
  </si>
  <si>
    <t>F-ADM-23</t>
  </si>
  <si>
    <t>F-ADM-23</t>
    <phoneticPr fontId="2"/>
  </si>
  <si>
    <t>NF-OPS-03</t>
  </si>
  <si>
    <t>NF-OPS-03</t>
    <phoneticPr fontId="2"/>
  </si>
  <si>
    <t>NF-OPS-04</t>
  </si>
  <si>
    <t>NF-OPS-04</t>
    <phoneticPr fontId="2"/>
  </si>
  <si>
    <t>NF-AVL-02</t>
  </si>
  <si>
    <t>NF-AVL-02</t>
    <phoneticPr fontId="2"/>
  </si>
  <si>
    <t>NF-OPS-02</t>
  </si>
  <si>
    <t>NF-OPS-02</t>
    <phoneticPr fontId="2"/>
  </si>
  <si>
    <t>NF-MGT-01</t>
  </si>
  <si>
    <t>NF-MGT-01</t>
    <phoneticPr fontId="2"/>
  </si>
  <si>
    <t>NF-ARC-01</t>
  </si>
  <si>
    <t>NF-ARC-01</t>
    <phoneticPr fontId="2"/>
  </si>
  <si>
    <t>NF-STD-01</t>
  </si>
  <si>
    <t>NF-STD-01</t>
    <phoneticPr fontId="2"/>
  </si>
  <si>
    <t>F-ADM-25</t>
  </si>
  <si>
    <t>F-ADM-25</t>
    <phoneticPr fontId="2"/>
  </si>
  <si>
    <t>NF-SEC-03</t>
  </si>
  <si>
    <t>NF-SEC-03</t>
    <phoneticPr fontId="2"/>
  </si>
  <si>
    <t>F-PROV-16</t>
    <phoneticPr fontId="2"/>
  </si>
  <si>
    <t>NF-STD-04</t>
  </si>
  <si>
    <t>NF-STD-04</t>
    <phoneticPr fontId="2"/>
  </si>
  <si>
    <t>NF-STD-02</t>
  </si>
  <si>
    <t>NF-STD-02</t>
    <phoneticPr fontId="2"/>
  </si>
  <si>
    <t>NF-STD-03</t>
  </si>
  <si>
    <t>NF-MGT-05</t>
  </si>
  <si>
    <t>NF-MGT-05</t>
    <phoneticPr fontId="2"/>
  </si>
  <si>
    <t>NF-MGT-02</t>
  </si>
  <si>
    <t>F-AUTH-23</t>
  </si>
  <si>
    <t>F-AUTH-23</t>
    <phoneticPr fontId="2"/>
  </si>
  <si>
    <t>F-AUTH-03</t>
    <phoneticPr fontId="2"/>
  </si>
  <si>
    <t>F-PROV-01</t>
    <phoneticPr fontId="2"/>
  </si>
  <si>
    <t>F-PROV-02</t>
    <phoneticPr fontId="2"/>
  </si>
  <si>
    <t>F-AUTH-09</t>
    <phoneticPr fontId="2"/>
  </si>
  <si>
    <t>F-AUTH-10</t>
    <phoneticPr fontId="2"/>
  </si>
  <si>
    <t>F-AUTH-12</t>
    <phoneticPr fontId="2"/>
  </si>
  <si>
    <t>F-AUTH-21</t>
    <phoneticPr fontId="2"/>
  </si>
  <si>
    <t>F-PROV-04</t>
    <phoneticPr fontId="2"/>
  </si>
  <si>
    <t>F-PROV-05</t>
    <phoneticPr fontId="2"/>
  </si>
  <si>
    <t>F-PROV-06</t>
    <phoneticPr fontId="2"/>
  </si>
  <si>
    <t>F-PROV-07</t>
    <phoneticPr fontId="2"/>
  </si>
  <si>
    <t>F-PROV-08</t>
    <phoneticPr fontId="2"/>
  </si>
  <si>
    <t>F-PROV-11</t>
    <phoneticPr fontId="2"/>
  </si>
  <si>
    <t>F-BAT-01</t>
    <phoneticPr fontId="2"/>
  </si>
  <si>
    <t>F-BAT-09</t>
    <phoneticPr fontId="2"/>
  </si>
  <si>
    <t>F-ADM-14</t>
    <phoneticPr fontId="2"/>
  </si>
  <si>
    <t>F-ADM-17</t>
    <phoneticPr fontId="2"/>
  </si>
  <si>
    <t>F-AZ-05</t>
    <phoneticPr fontId="2"/>
  </si>
  <si>
    <t>F-AZ-07</t>
    <phoneticPr fontId="2"/>
  </si>
  <si>
    <t>F-INT-02</t>
    <phoneticPr fontId="2"/>
  </si>
  <si>
    <t>F-INT-03</t>
    <phoneticPr fontId="2"/>
  </si>
  <si>
    <t>F-INT-11</t>
    <phoneticPr fontId="2"/>
  </si>
  <si>
    <t>NF-MGT-03</t>
  </si>
  <si>
    <t>F-AUTH-04</t>
    <phoneticPr fontId="2"/>
  </si>
  <si>
    <t>F-AUTH-26</t>
  </si>
  <si>
    <t>F-AUTH-26</t>
    <phoneticPr fontId="2"/>
  </si>
  <si>
    <t>F-AUTH-28</t>
  </si>
  <si>
    <t>F-AUTH-28</t>
    <phoneticPr fontId="2"/>
  </si>
  <si>
    <t>NF-MGT-04</t>
  </si>
  <si>
    <t>F-AZ-10</t>
  </si>
  <si>
    <t>F-AZ-10</t>
    <phoneticPr fontId="2"/>
  </si>
  <si>
    <t>F-BAT-04</t>
    <phoneticPr fontId="2"/>
  </si>
  <si>
    <t>F-BAT-05</t>
    <phoneticPr fontId="2"/>
  </si>
  <si>
    <t>F-BAT-07</t>
    <phoneticPr fontId="2"/>
  </si>
  <si>
    <t>NF-OPS-06</t>
  </si>
  <si>
    <t>NF-OPS-01</t>
  </si>
  <si>
    <t>NF-OPS-01</t>
    <phoneticPr fontId="2"/>
  </si>
  <si>
    <t>NF-ARC-05</t>
  </si>
  <si>
    <t>NF-ARC-05</t>
    <phoneticPr fontId="2"/>
  </si>
  <si>
    <t>NF-MGT-06</t>
  </si>
  <si>
    <t>NF-MGT-06</t>
    <phoneticPr fontId="2"/>
  </si>
  <si>
    <t>F-INT-13</t>
  </si>
  <si>
    <t>F-INT-13</t>
    <phoneticPr fontId="2"/>
  </si>
  <si>
    <t>NF-DOC-02</t>
  </si>
  <si>
    <t>NF-DOC-02</t>
    <phoneticPr fontId="2"/>
  </si>
  <si>
    <t>NF-AVL-03</t>
  </si>
  <si>
    <t>NF-AVL-03</t>
    <phoneticPr fontId="2"/>
  </si>
  <si>
    <t>NF-DOC-01</t>
  </si>
  <si>
    <t>NF-DOC-01</t>
    <phoneticPr fontId="2"/>
  </si>
  <si>
    <t>F-ADM-24</t>
  </si>
  <si>
    <t>F-ADM-24</t>
    <phoneticPr fontId="2"/>
  </si>
  <si>
    <t>F-AUTH-24</t>
  </si>
  <si>
    <t>F-AUTH-24</t>
    <phoneticPr fontId="2"/>
  </si>
  <si>
    <t>F-AUTH-27</t>
  </si>
  <si>
    <t>顧客が持つ認証システムに OIDC で認証を委ね、その結果を受け取ってログインさせる</t>
  </si>
  <si>
    <t>顧客が持つ認証システムに SAML で認証を委ね、その結果を受け取ってログインさせる</t>
  </si>
  <si>
    <t>2 回目以降のログインで、顧客側の最新情報を使って属性を更新する</t>
  </si>
  <si>
    <t>初めてログインした人の識別子を、権限を管理する側へ知らせる</t>
  </si>
  <si>
    <t>スマートフォンアプリの追加認証を初めて登録する流れ</t>
  </si>
  <si>
    <t>生体認証やセキュリティキーを初めて登録する流れ</t>
  </si>
  <si>
    <t>2 台目以降の認証器を登録するとき、すでに持っている認証器で本人確認してから登録させる</t>
  </si>
  <si>
    <t>重要な操作の直前に追加の認証を求める。ステップアップ認証は不要と決定したため対象外</t>
  </si>
  <si>
    <t>端末を失くしたときに使う一度きりのコードを発行し、利用させる</t>
  </si>
  <si>
    <t>パスワードの連続失敗を検知して一時的に受け付けなくする</t>
  </si>
  <si>
    <t>その ID が実在するかが応答の違いから分からないようにする。1 件ずつ試して実在者を割り出されるのを防ぐ</t>
  </si>
  <si>
    <t>入力されたパスワードが過去に流出したものでないかを確認し、該当する場合は使わせない</t>
  </si>
  <si>
    <t>ログイン状態をどこにどれだけ保つか、いつ切れるか。アプリ側のセッションとの関係を含む</t>
  </si>
  <si>
    <t>1 箇所でログアウトしたとき、他のアプリのログイン状態も切る仕組み</t>
  </si>
  <si>
    <t>アプリ側が出す案内画面。権限が無い（403）ときの Sorry 画面への誘導規約</t>
  </si>
  <si>
    <t>SCIM で顧客側からの削除通知を受け取り、基盤側では消さずに使えない状態にする</t>
  </si>
  <si>
    <t>SCIM で顧客側のグループ情報を受け取る。初期リリースでは対象外</t>
  </si>
  <si>
    <t>保存期限を過ぎたデータを実際に消去する。初期リリースでは準備のみ</t>
  </si>
  <si>
    <t>顧客ごとの設定（ログイン方式の切り替えなど）を編集する</t>
  </si>
  <si>
    <t>顧客がサービスから離脱するときのデータの扱いと停止の段取り</t>
  </si>
  <si>
    <t>接続済みの認証システムの設定変更と、期限が来る証明書の入れ替え</t>
  </si>
  <si>
    <t>付与済みの権限が今も妥当かを定期的に確認させる</t>
  </si>
  <si>
    <t>アプリが 1 回の問い合わせで必要な情報を得られるよう、複数の情報源をまとめた参照用データを最新に保つ</t>
  </si>
  <si>
    <t>アプリごとの役割の値を解決して返す</t>
  </si>
  <si>
    <t>ログイン後の入口画面に表示する「使えるアプリの一覧」を返す</t>
  </si>
  <si>
    <t>アプリやバッチがシステムとして API を呼ぶための資格を発行する</t>
  </si>
  <si>
    <t>あるアプリ向けの資格を、別のアプリ向けに交換する</t>
  </si>
  <si>
    <t>招待・パスワード再設定・注意喚起などのメールを送る</t>
  </si>
  <si>
    <t>業務システムにログインした状態から、他のアプリの API を呼べるようにする</t>
  </si>
  <si>
    <t>管理操作やログイン、権限判定の記録を検索・閲覧する。長期保管と中央集約を含む</t>
  </si>
  <si>
    <t>何を記録に残し、どの項目を何年保つか。長期保管領域と、他組織の監査アカウントへの集約を含む</t>
  </si>
  <si>
    <t>人ではないシステム用のアカウントを台帳で管理し、管理者不在のものを検出する</t>
  </si>
  <si>
    <t>本人から求められたときに、保有する個人データを開示し、または削除する</t>
  </si>
  <si>
    <t>アプリごとの接続用パスワードを定期的に入れ替える</t>
  </si>
  <si>
    <t>証明書の期限切れが近いものを検出して通知する</t>
  </si>
  <si>
    <t>システム間の情報のずれを 1 日 1 回突き合わせる</t>
  </si>
  <si>
    <t>不正なログインの兆候を検知して通知する</t>
  </si>
  <si>
    <t>システム全体の構成を論理・物理の両面で示す図と、その清書</t>
  </si>
  <si>
    <t>ネットワークの区画・経路・IP アドレス範囲。他組織が管理する境界との接続を含む</t>
  </si>
  <si>
    <t>環境ごとの構成の差分と、どこまで揃えるか</t>
  </si>
  <si>
    <t>インターネット境界を管理する他組織との要求事項のやり取りと合意</t>
  </si>
  <si>
    <t>応答時間と処理量の目標、処理方式、チューニングの考え方</t>
  </si>
  <si>
    <t>テーブル別のデータ量・増加率・5 年後の見込みと、その前提の根拠</t>
  </si>
  <si>
    <t>同時に受け付ける数の上限や、重い処理が他を止めないための設定</t>
  </si>
  <si>
    <t>どの経路をどれだけの負荷で測るかの計画</t>
  </si>
  <si>
    <t>地域全体が使えなくなったときの切替。Phase 1 では対象外</t>
  </si>
  <si>
    <t>誤操作やデータの壊れからの復元手順。同一地域内で行う</t>
  </si>
  <si>
    <t>顧客に約束する稼働率と復旧目標、および約束しない範囲</t>
  </si>
  <si>
    <t>想定される攻撃経路を洗い出し、それぞれの対策を対応づける</t>
  </si>
  <si>
    <t>暗号化に使う鍵を種類ごとにどう管理するか。鍵と証明書の一覧を含む</t>
  </si>
  <si>
    <t>運用委託先や記録から個人情報が漏れないようにする方式</t>
  </si>
  <si>
    <t>何を見張り、どの値で誰に知らせるか</t>
  </si>
  <si>
    <t>当番の組み方と通知先の割り当て</t>
  </si>
  <si>
    <t>事故対応・報告・顧客の受け入れなど、運用時に手順どおり行う作業</t>
  </si>
  <si>
    <t>通常経路が使えないときに管理者が入る仕組み</t>
  </si>
  <si>
    <t>バッチの一覧・実行基盤・スケジュール・多重起動制御</t>
  </si>
  <si>
    <t>運用開始後に費用を継続的に把握・管理する仕組み</t>
  </si>
  <si>
    <t>開発と検証に使う環境の構成・共用方針・試験用データ</t>
  </si>
  <si>
    <t>エラー処理・ログ出力・整合性・排他制御・キャッシュ・採番・文字コード・多言語の共通方針</t>
  </si>
  <si>
    <t>API の命名・エラーの返し方・件数の区切り方・冪等・版管理と廃止方針</t>
  </si>
  <si>
    <t>画面の共通レイアウト・部品・メッセージ・アクセシビリティの基準</t>
  </si>
  <si>
    <t>リソース・API・DB の命名と、構成をコードで管理するときの規約</t>
  </si>
  <si>
    <t>設計書の目的・範囲・読み方、前提条件の一覧、用語集</t>
  </si>
  <si>
    <t>システム全体でどんな画面があるかの一覧と、画面のつながり</t>
  </si>
  <si>
    <t>内部・外部のつなぎ目の一覧と、どのデータがどこにあるかの全体像</t>
  </si>
  <si>
    <t>要件から機能・設計・テストまでの追跡と、その維持の仕方</t>
  </si>
  <si>
    <t>設計書どうしの整合レビューと、関係者への説明</t>
  </si>
  <si>
    <t>顧客への質問状、法務やベンダーへの照会と、その回答の設計への反映</t>
  </si>
  <si>
    <t>アプリ開発者へ渡すガイドのうち、特定の機能に紐づかない導入・運用・参照の部分</t>
  </si>
  <si>
    <t>責任分界・サービス仕様・制約事項など、契約に添えて顧客へ渡す資料</t>
  </si>
  <si>
    <t>単元間 整合性レビュー（第3回）</t>
    <phoneticPr fontId="2"/>
  </si>
  <si>
    <t>指摘対応・改訂（第3回）</t>
    <phoneticPr fontId="2"/>
  </si>
  <si>
    <t>単元間 整合性レビュー（第4回）</t>
    <phoneticPr fontId="2"/>
  </si>
  <si>
    <t>指摘対応・改訂（第5回）</t>
    <phoneticPr fontId="2"/>
  </si>
  <si>
    <t>単元間 整合性レビュー（第5回）</t>
    <phoneticPr fontId="2"/>
  </si>
  <si>
    <t>指摘対応・改訂（第4回）</t>
    <phoneticPr fontId="2"/>
  </si>
  <si>
    <t>設計書間で矛盾がないかを通しで確認する（3 回目）</t>
    <phoneticPr fontId="2"/>
  </si>
  <si>
    <t>3 回目の指摘に対応して設計書を直す</t>
    <phoneticPr fontId="2"/>
  </si>
  <si>
    <t>設計書間で矛盾がないかを通しで確認する（4 回目）</t>
    <phoneticPr fontId="2"/>
  </si>
  <si>
    <t>4 回目の指摘に対応して設計書を直す</t>
    <phoneticPr fontId="2"/>
  </si>
  <si>
    <t>設計書間で矛盾がないかを通しで確認する（5 回目）</t>
    <phoneticPr fontId="2"/>
  </si>
  <si>
    <t>5 回目の指摘に対応して設計書を直す</t>
    <phoneticPr fontId="2"/>
  </si>
  <si>
    <t>同上</t>
  </si>
  <si>
    <t>NF-ARC-07</t>
  </si>
  <si>
    <t>D-16.4</t>
  </si>
  <si>
    <t>DD-H 自社拡張の詳細設計</t>
  </si>
  <si>
    <t>振り分けの判定ロジックの実装設計</t>
  </si>
  <si>
    <t>判定に使う値の取り出し方・照合の順序・見つからないときの分岐が実装できる粒度で書かれている</t>
  </si>
  <si>
    <t>単体試験仕様: 振り分け</t>
  </si>
  <si>
    <t>判定できる／できない／複数該当の観点と期待結果が定義されている</t>
  </si>
  <si>
    <t>③ 製造</t>
  </si>
  <si>
    <t>MKC-01</t>
  </si>
  <si>
    <t>MK-C 自社拡張の実装</t>
  </si>
  <si>
    <t>振り分けの自社拡張の実装</t>
  </si>
  <si>
    <t>入力された ID から送り先が決まり、実機で振り分く</t>
  </si>
  <si>
    <t>MKI-01</t>
  </si>
  <si>
    <t>MK-I 単体試験の実施</t>
  </si>
  <si>
    <t>単体試験: 振り分け</t>
  </si>
  <si>
    <t>試験仕様どおりに実施し、不具合が是正されている</t>
  </si>
  <si>
    <t>MKC-02</t>
  </si>
  <si>
    <t>切替の実装</t>
  </si>
  <si>
    <t>判定できないときにパスワード入力へ切り替わる</t>
  </si>
  <si>
    <t>MKB-01</t>
  </si>
  <si>
    <t>複数ある場合に選択でき、並び順が設計どおりになる</t>
  </si>
  <si>
    <t>OIDC フェデレーションの詳細設計</t>
  </si>
  <si>
    <t>接続定義2+属性写像1+フロー配置1</t>
  </si>
  <si>
    <t>DD-E つなぎ目（IF）の詳細設計</t>
  </si>
  <si>
    <t>OIDC エンドポイントとクレームの実装レベル定義</t>
  </si>
  <si>
    <t>公開する入口・要求できる範囲・返す項目が一覧で確定している</t>
  </si>
  <si>
    <t>単体試験仕様: OIDC ログイン</t>
  </si>
  <si>
    <t>初回・2 回目・属性変更・エラー応答の観点と期待結果が定義されている</t>
  </si>
  <si>
    <t>MKB-02</t>
  </si>
  <si>
    <t>ひな形3+初期分2</t>
  </si>
  <si>
    <t>MKB-03</t>
  </si>
  <si>
    <t>認証フローの組み立て</t>
  </si>
  <si>
    <t>ログイン・初回連携・連携後の 3 系統のフローが構成され、実機で通る</t>
  </si>
  <si>
    <t>MKI-02</t>
  </si>
  <si>
    <t>単体試験: OIDC ログイン</t>
  </si>
  <si>
    <t>SAML フェデレーションの詳細設計</t>
  </si>
  <si>
    <t>SAML メタデータと Assertion の実装レベル定義</t>
  </si>
  <si>
    <t>交換する情報の項目と、必須・任意の区別が確定している</t>
  </si>
  <si>
    <t>単体試験仕様: SAML ログイン</t>
  </si>
  <si>
    <t>正常・署名不正・期限切れの観点と期待結果が定義されている</t>
  </si>
  <si>
    <t>MKB-04</t>
  </si>
  <si>
    <t>MKI-03</t>
  </si>
  <si>
    <t>単体試験: SAML ログイン</t>
  </si>
  <si>
    <t>初回作成の実装設計</t>
  </si>
  <si>
    <t>作る条件・持たせる項目・重複時の扱いと、フローのどこで動かすかが確定している</t>
  </si>
  <si>
    <t>単体試験仕様: 初回作成</t>
  </si>
  <si>
    <t>初回・重複・項目不足の観点と期待結果が定義されている</t>
  </si>
  <si>
    <t>MKB-05</t>
  </si>
  <si>
    <t>初回作成の実装</t>
  </si>
  <si>
    <t>MKI-04</t>
  </si>
  <si>
    <t>単体試験: 初回作成</t>
  </si>
  <si>
    <t>属性更新の実装設計</t>
  </si>
  <si>
    <t>更新する項目・しない項目と、更新の起こし方が確定している</t>
  </si>
  <si>
    <t>MKB-06</t>
  </si>
  <si>
    <t>属性更新の実装</t>
  </si>
  <si>
    <t>ログインのたびに設計どおりの項目が更新される</t>
  </si>
  <si>
    <t>DD-G 基盤構成の実装設計</t>
  </si>
  <si>
    <t>引き渡す範囲と初期状態の取り決め</t>
  </si>
  <si>
    <t>★基盤は基盤（ROSA）だけ作ってアプリへ引き渡す</t>
  </si>
  <si>
    <t>MKA-01</t>
  </si>
  <si>
    <t>MK-A 環境・基盤の構築</t>
  </si>
  <si>
    <t>★引き渡しまでが基盤の範囲</t>
  </si>
  <si>
    <t>MKJ-01</t>
  </si>
  <si>
    <t>MK-J レビュー・受入・引き渡し</t>
  </si>
  <si>
    <t>アプリチームへの引き渡し</t>
  </si>
  <si>
    <t>初期状態の確認が済み、引き渡し手順と責任分界が合意されている</t>
  </si>
  <si>
    <t>ログイン状態の保持の実装仕様</t>
  </si>
  <si>
    <t>保持先・保持時間・無操作での切れ方・再ログインの条件が確定している</t>
  </si>
  <si>
    <t>単体試験仕様: ログイン状態の保持</t>
  </si>
  <si>
    <t>時間経過・再開・強制切断の観点と期待結果が定義されている</t>
  </si>
  <si>
    <t>MKB-07</t>
  </si>
  <si>
    <t>ログイン状態の保持とタイムアウトの設定</t>
  </si>
  <si>
    <t>設計どおりの時間で切れ、再ログインを求められる</t>
  </si>
  <si>
    <t>MKI-05</t>
  </si>
  <si>
    <t>単体試験: ログイン状態の保持</t>
  </si>
  <si>
    <t>ログアウト連携の実装仕様</t>
  </si>
  <si>
    <t>通知の宛先・内容・失敗時の再送と、アプリ側に求める受け口が確定している</t>
  </si>
  <si>
    <t>MKB-08</t>
  </si>
  <si>
    <t>ログアウト連携の設定</t>
  </si>
  <si>
    <t>1 箇所のログアウトで他のアプリにも通知が届く</t>
  </si>
  <si>
    <t>MKI-06</t>
  </si>
  <si>
    <t>単体試験: ログアウト連携</t>
  </si>
  <si>
    <t>正常・宛先不達の観点で実施し、不具合が是正されている</t>
  </si>
  <si>
    <t>受信窓口の実装設計（入口・認証・応答）</t>
  </si>
  <si>
    <t>入口2+認証1+応答1</t>
  </si>
  <si>
    <t>単体試験仕様: 受信窓口</t>
  </si>
  <si>
    <t>登録・更新・削除・検索と、規格への適合の観点が定義されている</t>
  </si>
  <si>
    <t>MKE-01</t>
  </si>
  <si>
    <t>MK-E つなぎ目（IF）の実装</t>
  </si>
  <si>
    <t>受信窓口の実装</t>
  </si>
  <si>
    <t>部品の組み込み3+自作部分5</t>
  </si>
  <si>
    <t>MKI-07</t>
  </si>
  <si>
    <t>単体試験: 受信窓口</t>
  </si>
  <si>
    <t>更新の反映と競合の扱いの実装設計</t>
  </si>
  <si>
    <t>削除通知の読み替えの実装設計</t>
  </si>
  <si>
    <t>削除の通知を受けたときに消さずに止める読み替えの規則と、記録の残し方が確定している</t>
  </si>
  <si>
    <t>MKE-02</t>
  </si>
  <si>
    <t>削除通知の読み替えの実装</t>
  </si>
  <si>
    <t>DDE-07</t>
  </si>
  <si>
    <t>項目の対応づけと絞り込みの実装設計</t>
  </si>
  <si>
    <t>受け取る項目の対応と、絞り込み・件数の区切りの実装方法が確定している</t>
  </si>
  <si>
    <t>属性の宣言と変換規則の実装設計</t>
  </si>
  <si>
    <t>持たせる項目の宣言と、顧客ごとの変換規則の書き方が実装できる粒度で書かれている</t>
  </si>
  <si>
    <t>MKB-09</t>
  </si>
  <si>
    <t>属性の宣言と変換の設定</t>
  </si>
  <si>
    <t>宣言した項目が保持され、顧客ごとの変換が設計どおり動く</t>
  </si>
  <si>
    <t>登録経路の区分の実装設計</t>
  </si>
  <si>
    <t>区分の値と、どこで付けるかが確定している</t>
  </si>
  <si>
    <t>MKB-10</t>
  </si>
  <si>
    <t>登録経路の区分の実装</t>
  </si>
  <si>
    <t>経路ごとに正しい区分が付く</t>
  </si>
  <si>
    <t>停止と再開の実装設計</t>
  </si>
  <si>
    <t>止める条件・再開してよい条件・除外する条件が確定している</t>
  </si>
  <si>
    <t>MKB-11</t>
  </si>
  <si>
    <t>停止と再開の実装</t>
  </si>
  <si>
    <t>削除通知で止まり、条件を満たす場合だけ再開できる</t>
  </si>
  <si>
    <t>再開の条件判定の実装設計</t>
  </si>
  <si>
    <t>再開してよい条件と、誤って復活させないための除外条件が実装できる粒度で書かれている</t>
  </si>
  <si>
    <t>MKB-12</t>
  </si>
  <si>
    <t>再開の実装</t>
  </si>
  <si>
    <t>条件を満たす場合だけ再開でき、除外条件に当たる場合は再開されない</t>
  </si>
  <si>
    <t>顧客解約時の処理の詳細設計</t>
  </si>
  <si>
    <t>停止・データの持ち出し・消去の順序と猶予期間が確定している</t>
  </si>
  <si>
    <t>MKB-13</t>
  </si>
  <si>
    <t>顧客解約の処理の実装</t>
  </si>
  <si>
    <t>手順どおりに停止と消去ができる</t>
  </si>
  <si>
    <t>接続設定の変更と証明書更新の実装設計</t>
  </si>
  <si>
    <t>止めずに入れ替える順序と、切り戻しの手順が確定している</t>
  </si>
  <si>
    <t>MKB-14</t>
  </si>
  <si>
    <t>証明書の無停止入れ替えの実装</t>
  </si>
  <si>
    <t>入れ替え中もログインが止まらないことを実機で確認できる</t>
  </si>
  <si>
    <t>識別子の採番と対応づけの実装設計</t>
  </si>
  <si>
    <t>識別子の形式・重複の避け方・顧客番号との対応の持ち方が確定している</t>
  </si>
  <si>
    <t>MKB-15</t>
  </si>
  <si>
    <t>識別子の採番と保持の実装</t>
  </si>
  <si>
    <t>設計どおりの識別子が付き、顧客番号と対応づく</t>
  </si>
  <si>
    <t>DDE-08</t>
  </si>
  <si>
    <t>項目ごとの生成規則・要求できる範囲との対応が実装できる粒度で書かれている</t>
  </si>
  <si>
    <t>DDI-07</t>
  </si>
  <si>
    <t>項目の有無・値・範囲ごとの差分の観点と期待結果が定義されている</t>
  </si>
  <si>
    <t>MKB-16</t>
  </si>
  <si>
    <t>MKI-08</t>
  </si>
  <si>
    <t>越境防止の実装設計</t>
  </si>
  <si>
    <t>どこで判定し、弾いたときに何を記録するかが確定している</t>
  </si>
  <si>
    <t>MKB-17</t>
  </si>
  <si>
    <t>越境防止の実装</t>
  </si>
  <si>
    <t>MKI-09</t>
  </si>
  <si>
    <t>単体試験: 越境防止</t>
  </si>
  <si>
    <t>正しい組み合わせと誤った組み合わせで実施し、不具合が是正されている</t>
  </si>
  <si>
    <t>アプリの接続登録の詳細設計</t>
  </si>
  <si>
    <t>登録項目のひな形・命名規則・接続情報の渡し方と入れ替えが確定している</t>
  </si>
  <si>
    <t>MKB-18</t>
  </si>
  <si>
    <t>接続登録のひな形の実装</t>
  </si>
  <si>
    <t>ひな形からアプリを登録でき、接続情報が発行される</t>
  </si>
  <si>
    <t>MKI-10</t>
  </si>
  <si>
    <t>単体試験: アプリの接続登録</t>
  </si>
  <si>
    <t>ひな形からの登録と接続確認を実施し、不具合が是正されている</t>
  </si>
  <si>
    <t>業務システム連携の実装設計</t>
  </si>
  <si>
    <t>交換する情報・署名の扱い・ログアウトの伝え方が実装できる粒度で書かれている</t>
  </si>
  <si>
    <t>DDI-08</t>
  </si>
  <si>
    <t>単体試験仕様: 業務システム連携</t>
  </si>
  <si>
    <t>MKB-19</t>
  </si>
  <si>
    <t>業務システム連携の設定と実装</t>
  </si>
  <si>
    <t>接続設定4+属性の受け渡し2</t>
  </si>
  <si>
    <t>MKI-11</t>
  </si>
  <si>
    <t>単体試験: 業務システム連携</t>
  </si>
  <si>
    <t>MKB-20</t>
  </si>
  <si>
    <t>MKB-21</t>
  </si>
  <si>
    <t>他アプリへの連携の設定</t>
  </si>
  <si>
    <t>業務システムにログインした状態から他のアプリを呼べる</t>
  </si>
  <si>
    <t>記録の出力先と保持の実装設計</t>
  </si>
  <si>
    <t>全体の共通基盤へ出す形式・経路・保持年数と、個人情報を伏せる箇所が確定している</t>
  </si>
  <si>
    <t>DDE-09</t>
  </si>
  <si>
    <t>記録の出力と集約の実装仕様</t>
  </si>
  <si>
    <t>出力する項目・形式と、全体の共通基盤へ送る経路が確定している</t>
  </si>
  <si>
    <t>MKH-01</t>
  </si>
  <si>
    <t>MK-H 監視・運用の構築</t>
  </si>
  <si>
    <t>記録の出力設定と共通基盤への集約</t>
  </si>
  <si>
    <t>設計どおりの記録が出力され、全体の共通基盤に集約されて参照できる</t>
  </si>
  <si>
    <t>出力設定2+集約の疎通1</t>
  </si>
  <si>
    <t>MKI-12</t>
  </si>
  <si>
    <t>単体試験: 記録の取得</t>
  </si>
  <si>
    <t>記録の欠落・項目の過不足の観点で実施し、不具合が是正されている</t>
  </si>
  <si>
    <t>署名鍵の入れ替えの実装仕様</t>
  </si>
  <si>
    <t>並走期間・切替の順序・アプリ側の追随のさせ方が確定している</t>
  </si>
  <si>
    <t>MKF-01</t>
  </si>
  <si>
    <t>MK-F 定期処理の実装</t>
  </si>
  <si>
    <t>署名鍵の入れ替えの実装</t>
  </si>
  <si>
    <t>入れ替えが自動で走り、切替中もログインが止まらない</t>
  </si>
  <si>
    <t>MKI-13</t>
  </si>
  <si>
    <t>単体試験: 署名鍵の入れ替え</t>
  </si>
  <si>
    <t>並走中・切替後の観点で実施し、不具合が是正されている</t>
  </si>
  <si>
    <t>接続用パスワードの入れ替えの実装仕様</t>
  </si>
  <si>
    <t>入れ替えの周期・アプリへの通知・猶予期間が確定している</t>
  </si>
  <si>
    <t>MKF-02</t>
  </si>
  <si>
    <t>接続用パスワードの入れ替えの実装</t>
  </si>
  <si>
    <t>入れ替えが自動で走り、アプリへ通知される</t>
  </si>
  <si>
    <t>証明書期限の監視の実装仕様</t>
  </si>
  <si>
    <t>監視対象の一覧・通知の閾値と宛先が確定している</t>
  </si>
  <si>
    <t>MKF-03</t>
  </si>
  <si>
    <t>証明書期限の監視の実装</t>
  </si>
  <si>
    <t>期限が近い証明書が検出され、通知が届く</t>
  </si>
  <si>
    <t>全体構成のコード化方針</t>
  </si>
  <si>
    <t>どの構成要素をコードで管理し、どれを手で作るかの線引きが確定している</t>
  </si>
  <si>
    <t>MKA-02</t>
  </si>
  <si>
    <t>構成の実機反映と構成図の更新</t>
  </si>
  <si>
    <t>実機の構成が図と一致している</t>
  </si>
  <si>
    <t>ネットワークの実装設計</t>
  </si>
  <si>
    <t>区画・経路・通信の許可範囲・名前解決が実装できる粒度で書かれている</t>
  </si>
  <si>
    <t>区画2+経路1.5+名前解決1.5</t>
  </si>
  <si>
    <t>MKA-03</t>
  </si>
  <si>
    <t>ネットワークの構築</t>
  </si>
  <si>
    <t>区画・経路・通信の許可が設計どおりに作られ、疎通する</t>
  </si>
  <si>
    <t>MKA-04</t>
  </si>
  <si>
    <t>境界を管理する組織との接続と疎通確認</t>
  </si>
  <si>
    <t>外部からの入口と外向き通信が通り、合意した条件で運用できる</t>
  </si>
  <si>
    <t>クラスタの実装設計</t>
  </si>
  <si>
    <t>ノード群の構成・配置の制約・自動増減の条件が確定している</t>
  </si>
  <si>
    <t>MKA-05</t>
  </si>
  <si>
    <t>クラスタの構築</t>
  </si>
  <si>
    <t>MKA-06</t>
  </si>
  <si>
    <t>ノード群と自動増減の設定</t>
  </si>
  <si>
    <t>負荷に応じて増減し、配置の制約が守られる</t>
  </si>
  <si>
    <t>MKD-01</t>
  </si>
  <si>
    <t>MK-D データストアの構築</t>
  </si>
  <si>
    <t>★基本設計に対応する行が無い</t>
  </si>
  <si>
    <t>区画（Realm・組織）の実装設計</t>
  </si>
  <si>
    <t>区画の分け方・発行元の値・組織の持たせ方が確定している</t>
  </si>
  <si>
    <t>MKB-22</t>
  </si>
  <si>
    <t>区画（Realm・組織）の構築</t>
  </si>
  <si>
    <t>設計どおりの区画が作られ、発行元の値が意図どおりになる</t>
  </si>
  <si>
    <t>環境ごとの差分のコード化設計</t>
  </si>
  <si>
    <t>環境で変わる値と変わらない値が分離され、切り替え方が確定している</t>
  </si>
  <si>
    <t>MKA-07</t>
  </si>
  <si>
    <t>開発・検証環境の構築</t>
  </si>
  <si>
    <t>開発と検証の環境が使える状態になっている</t>
  </si>
  <si>
    <t>MKA-08</t>
  </si>
  <si>
    <t>本番環境の構築</t>
  </si>
  <si>
    <t>本番環境が使える状態になっている</t>
  </si>
  <si>
    <t>表の定義と索引・分割の実装設計</t>
  </si>
  <si>
    <t>使う表・索引・分割の指定が実装できる粒度で書かれている</t>
  </si>
  <si>
    <t>構造変更の適用方式と戻し方</t>
  </si>
  <si>
    <t>構造を変えるときの適用手順と、元に戻す手順が確定している</t>
  </si>
  <si>
    <t>性能に関わる設定値の実装仕様</t>
  </si>
  <si>
    <t>接続数・スレッド・待ち行列などの設定値と根拠が確定している</t>
  </si>
  <si>
    <t>MKA-09</t>
  </si>
  <si>
    <t>性能設定の適用と調整</t>
  </si>
  <si>
    <t>設定が適用され、目標値の範囲で動いている</t>
  </si>
  <si>
    <t>設備量とデータ量の実装設計</t>
  </si>
  <si>
    <t>見積りに基づく設備の量と、増えたときの広げ方が確定している</t>
  </si>
  <si>
    <t>MKA-10</t>
  </si>
  <si>
    <t>設備量の設定と確認</t>
  </si>
  <si>
    <t>設計どおりの設備量で動いている</t>
  </si>
  <si>
    <t>同時実行と上限値の実装仕様</t>
  </si>
  <si>
    <t>上限を超えたときの振る舞いと、戻し方が確定している</t>
  </si>
  <si>
    <t>MKB-23</t>
  </si>
  <si>
    <t>上限値の設定</t>
  </si>
  <si>
    <t>設計どおりの上限で受け付け、超過時に想定どおり振る舞う</t>
  </si>
  <si>
    <t>DDI-09</t>
  </si>
  <si>
    <t>性能を測る計測点の実装仕様</t>
  </si>
  <si>
    <t>どこで何を測るかと、取り出し方が確定している</t>
  </si>
  <si>
    <t>MKH-02</t>
  </si>
  <si>
    <t>計測点の実装</t>
  </si>
  <si>
    <t>計測値が取得でき、試験で使える</t>
  </si>
  <si>
    <t>切替方式の実装設計</t>
  </si>
  <si>
    <t>データの複製方法・切替の合図・起動の順序・戻し方が実装できる粒度で書かれている</t>
  </si>
  <si>
    <t>複製2+切替手順2</t>
  </si>
  <si>
    <t>切替先の構成差分の実装設計</t>
  </si>
  <si>
    <t>切替先で変える値と、平時にどこまで動かしておくかが確定している</t>
  </si>
  <si>
    <t>復旧手順の詳細化</t>
  </si>
  <si>
    <t>誰が何をどの順で行うか、判断の基準と所要時間が確定している</t>
  </si>
  <si>
    <t>MKA-11</t>
  </si>
  <si>
    <t>切替先のネットワークとクラスタの構築</t>
  </si>
  <si>
    <t>切替先の地域に環境が作られ、起動できる</t>
  </si>
  <si>
    <t>MKA-12</t>
  </si>
  <si>
    <t>MKA-13</t>
  </si>
  <si>
    <t>MKI-14</t>
  </si>
  <si>
    <t>切替訓練（1 回）</t>
  </si>
  <si>
    <t>目標時間内に切り替わることを実機で確認し、手順が是正されている</t>
  </si>
  <si>
    <t>DDG-09</t>
  </si>
  <si>
    <t>バックアップと復元の実装設計</t>
  </si>
  <si>
    <t>取得の頻度・保持期間・復元の手順と所要時間が確定している</t>
  </si>
  <si>
    <t>MKA-14</t>
  </si>
  <si>
    <t>バックアップの構築と復元の実機確認</t>
  </si>
  <si>
    <t>取得が自動で走り、復元が手順どおりにできる</t>
  </si>
  <si>
    <t>攻撃対策の実装仕様</t>
  </si>
  <si>
    <t>遮断する経路・流量の制限・応答ヘッダの指定が確定している</t>
  </si>
  <si>
    <t>MKA-15</t>
  </si>
  <si>
    <t>遮断と流量制限の実装</t>
  </si>
  <si>
    <t>外部に出さない経路が塞がれ、過大な流量が制限される</t>
  </si>
  <si>
    <t>MKI-15</t>
  </si>
  <si>
    <t>単体試験: 攻撃対策</t>
  </si>
  <si>
    <t>遮断・制限が効くことを実施で確認し、不具合が是正されている</t>
  </si>
  <si>
    <t>鍵管理の実装仕様</t>
  </si>
  <si>
    <t>鍵の階層・保管先・利用権限の与え方が確定している</t>
  </si>
  <si>
    <t>MKA-16</t>
  </si>
  <si>
    <t>鍵管理の構築</t>
  </si>
  <si>
    <t>鍵が設計どおりに保管され、必要な主体だけが使える</t>
  </si>
  <si>
    <t>記録の伏せ字の実装仕様</t>
  </si>
  <si>
    <t>伏せる項目と伏せ方、確認の仕方が確定している</t>
  </si>
  <si>
    <t>MKH-03</t>
  </si>
  <si>
    <t>記録の伏せ字処理の実装</t>
  </si>
  <si>
    <t>個人情報が記録に残らないことを確認できる</t>
  </si>
  <si>
    <t>DDG-10</t>
  </si>
  <si>
    <t>監視の実装設計</t>
  </si>
  <si>
    <t>取得する値・閾値・通知の宛先と経路が確定している</t>
  </si>
  <si>
    <t>MKH-04</t>
  </si>
  <si>
    <t>監視の構築</t>
  </si>
  <si>
    <t>値が取得でき、閾値超過で通知が届く</t>
  </si>
  <si>
    <t>メトリクス3+ログ3+通知2</t>
  </si>
  <si>
    <t>MKH-05</t>
  </si>
  <si>
    <t>通知先と当番の設定</t>
  </si>
  <si>
    <t>当番表どおりに通知が振り分けられる</t>
  </si>
  <si>
    <t>MKH-06</t>
  </si>
  <si>
    <t>事故時の証跡取得手段の準備</t>
  </si>
  <si>
    <t>必要な記録をすぐ取り出せる状態になっている</t>
  </si>
  <si>
    <t>DDG-11</t>
  </si>
  <si>
    <t>緊急時アクセスの実装設計</t>
  </si>
  <si>
    <t>通常経路が使えないときの入り方と、記録の残し方が確定している</t>
  </si>
  <si>
    <t>MKA-17</t>
  </si>
  <si>
    <t>緊急時アクセスの構築</t>
  </si>
  <si>
    <t>緊急時の経路で入れ、操作が記録される</t>
  </si>
  <si>
    <t>DDG-12</t>
  </si>
  <si>
    <t>更新の手順・切り戻し・自社拡張の作り直しの段取りが確定している</t>
  </si>
  <si>
    <t>自社拡張の組み立てと配置の実装設計</t>
  </si>
  <si>
    <t>ビルドの手順・版の付け方・入れ替え方が確定している</t>
  </si>
  <si>
    <t>MKA-18</t>
  </si>
  <si>
    <t>検証環境で 1 回更新を通し、手順が使えることを確認できている</t>
  </si>
  <si>
    <t>MKC-03</t>
  </si>
  <si>
    <t>自社拡張の組み立てと配置の実装</t>
  </si>
  <si>
    <t>コードから配置までが自動で通る</t>
  </si>
  <si>
    <t>切替計画の詳細化</t>
  </si>
  <si>
    <t>切替の単位・並行稼働の期間・戻す条件と手順が確定している</t>
  </si>
  <si>
    <t>MKJ-02</t>
  </si>
  <si>
    <t>切替の準備（ひな形・確認表）</t>
  </si>
  <si>
    <t>アプリごとの切替手順とチェック表が使える状態になっている</t>
  </si>
  <si>
    <t>共通方式の実装仕様</t>
  </si>
  <si>
    <t>文字コード・日時の扱い・一時保持の規則が実装できる粒度で書かれている</t>
  </si>
  <si>
    <t>MKB-24</t>
  </si>
  <si>
    <t>一時保持の設定</t>
  </si>
  <si>
    <t>設計どおりの保持時間と破棄のきっかけで動く</t>
  </si>
  <si>
    <t>DDE-10</t>
  </si>
  <si>
    <t>エラー応答の実装仕様</t>
  </si>
  <si>
    <t>エラーの種類・番号・本文の形式が一覧で確定している</t>
  </si>
  <si>
    <t>DDG-13</t>
  </si>
  <si>
    <t>命名とリポジトリ構成の実装規約</t>
  </si>
  <si>
    <t>資源の名前・タグ・コードの置き場所と分け方が確定している</t>
  </si>
  <si>
    <t>MKA-19</t>
  </si>
  <si>
    <t>構成コードの置き場と自動反映の構築</t>
  </si>
  <si>
    <t>コードから環境へ反映する経路が通り、環境ごとに切り替えられる</t>
  </si>
  <si>
    <t>詳細設計書の総則と構成</t>
  </si>
  <si>
    <t>詳細設計書の目的・範囲・読み方と、冊子の構成が確定している</t>
  </si>
  <si>
    <t>詳細設計のトレーサビリティ更新</t>
  </si>
  <si>
    <t>基本設計の項目と詳細設計の項目が対応づいている</t>
  </si>
  <si>
    <t>MKJ-03</t>
  </si>
  <si>
    <t>構築物のトレーサビリティ更新</t>
  </si>
  <si>
    <t>設計と実物の対応が最新になっている</t>
  </si>
  <si>
    <t>詳細設計レビューと指摘対応（3 回）</t>
  </si>
  <si>
    <t>設計書どうしの矛盾が解消され、承認されている</t>
  </si>
  <si>
    <t>レビュー3+指摘対応6</t>
  </si>
  <si>
    <t>MKJ-04</t>
  </si>
  <si>
    <t>構築物のレビューと受入確認（2 回）</t>
  </si>
  <si>
    <t>実物が設計どおりであることが確認され、承認されている</t>
  </si>
  <si>
    <t>レビュー2+指摘対応4</t>
  </si>
  <si>
    <t>サンプル実装の仕様</t>
  </si>
  <si>
    <t>アプリ側に示す最小実装の範囲と動作条件が確定している</t>
  </si>
  <si>
    <t>MKJ-05</t>
  </si>
  <si>
    <t>サンプル実装と試用環境の提供</t>
  </si>
  <si>
    <t>アプリ開発者が動かして確認できる状態で渡せている</t>
  </si>
  <si>
    <t>詳細設計 人日</t>
    <phoneticPr fontId="2"/>
  </si>
  <si>
    <t>製造 人日</t>
    <phoneticPr fontId="2"/>
  </si>
  <si>
    <t>発行の条件・要求できる範囲・有効期限・失効のさせ方が実装できる粒度で書かれている</t>
  </si>
  <si>
    <t>MKB-27</t>
  </si>
  <si>
    <t>システムとして入口を呼べる資格が発行でき、範囲外の呼び出しが拒否される</t>
  </si>
  <si>
    <t>MKI-17</t>
  </si>
  <si>
    <t>正常・範囲外・期限切れ・失効後の観点で実施し、不具合が是正されている</t>
  </si>
  <si>
    <t>DDF-04</t>
  </si>
  <si>
    <t>接続情報の自動追随の実装仕様</t>
  </si>
  <si>
    <t>取り直す間隔・失敗時の再試行・追随できないときの通知先が確定している</t>
  </si>
  <si>
    <t>MKF-04</t>
  </si>
  <si>
    <t>接続情報の自動追随の実装</t>
  </si>
  <si>
    <t>相手側が証明書を入れ替えても自動で追随し、失敗時に通知が届く</t>
  </si>
  <si>
    <t>MKB-26</t>
  </si>
  <si>
    <t>接続登録の実装</t>
  </si>
  <si>
    <t>登録する項目・順序・失敗時の戻し方が実装できる粒度で書かれている</t>
  </si>
  <si>
    <t>MKB-25</t>
  </si>
  <si>
    <t>顧客登録の実装</t>
  </si>
  <si>
    <t>ひな形から顧客を作成でき、初期状態が設計どおりになる</t>
  </si>
  <si>
    <t>画面の実装設計（差し替える範囲の特定）</t>
  </si>
  <si>
    <t>MKC-04</t>
  </si>
  <si>
    <t>MK-C 自社拡張・画面の実装</t>
  </si>
  <si>
    <t>識別子の入力画面の実装</t>
  </si>
  <si>
    <t>設計どおりの画面が表示され、振り分けへ進む</t>
  </si>
  <si>
    <t>MKI-16</t>
  </si>
  <si>
    <t>単体試験: 識別子の入力画面</t>
  </si>
  <si>
    <t>入力の検証・遷移・表示崩れの観点で実施し、不具合が是正されている</t>
  </si>
  <si>
    <t>エラー画面の文言と出し分けの実装設計</t>
  </si>
  <si>
    <t>表示する文言と出し分けの条件が、実在を推測させない形で確定している</t>
  </si>
  <si>
    <t>MKC-05</t>
  </si>
  <si>
    <t>エラー・案内画面の実装</t>
  </si>
  <si>
    <t>失敗の種類ごとに設計どおりの案内が出る</t>
  </si>
  <si>
    <t>応答の同一化と試行回数の制限の実装設計</t>
  </si>
  <si>
    <t>同一化する応答の範囲・数える単位・制限の回数と時間が確定している</t>
  </si>
  <si>
    <t>MKB-28</t>
  </si>
  <si>
    <t>応答の同一化と試行回数の制限の実装</t>
  </si>
  <si>
    <t>実在の有無が応答から分からず、短時間の繰り返しが制限される</t>
  </si>
  <si>
    <t>MKI-18</t>
  </si>
  <si>
    <t>単体試験: 応答の同一化と試行回数の制限</t>
  </si>
  <si>
    <t>実在・非実在の応答差が無いこと、制限が効くことを確認し、不具合が是正されている</t>
  </si>
  <si>
    <t>IT-12</t>
  </si>
  <si>
    <t>IT-11</t>
  </si>
  <si>
    <t>IT-10</t>
  </si>
  <si>
    <t>ST-18</t>
  </si>
  <si>
    <t>ST-20</t>
  </si>
  <si>
    <t>ST-22</t>
  </si>
  <si>
    <t>ST-23</t>
  </si>
  <si>
    <t>PT-07</t>
  </si>
  <si>
    <t>SEC-09</t>
  </si>
  <si>
    <t>SEC-08</t>
  </si>
  <si>
    <t>OP-10</t>
  </si>
  <si>
    <t>OP-06</t>
  </si>
  <si>
    <t>OP-07</t>
  </si>
  <si>
    <t>OP-09</t>
  </si>
  <si>
    <t>UAT-04</t>
  </si>
  <si>
    <t>運用プロセス（受付・変更・障害）</t>
  </si>
  <si>
    <t>NF-OPS-08</t>
  </si>
  <si>
    <t>問い合わせを受けてから解決するまで、設定を変えるとき、障害が起きたときの、決められた進め方</t>
  </si>
  <si>
    <t>サービスレベルの測定と報告</t>
  </si>
  <si>
    <t>NF-OPS-09</t>
  </si>
  <si>
    <t>約束した稼働率や応答時間を実際に測り、顧客へ定期的に報告する</t>
  </si>
  <si>
    <t>定期作業の計画と引き継ぎ</t>
  </si>
  <si>
    <t>NF-OPS-10</t>
  </si>
  <si>
    <t>日次・週次・月次・年次に行う作業の一覧と暦。運用開始前の引き継ぎと教育を含む</t>
  </si>
  <si>
    <t>日次</t>
  </si>
  <si>
    <t>OPD-01</t>
  </si>
  <si>
    <t>監視の確認と一次対応</t>
  </si>
  <si>
    <t>通知された内容を確認し、一次対応するか担当へ引き継ぐ</t>
  </si>
  <si>
    <t>毎営業日</t>
  </si>
  <si>
    <t>OPD-02</t>
  </si>
  <si>
    <t>定期処理の結果確認</t>
  </si>
  <si>
    <t>前夜に動いた定期処理が正常に終わったかを確認する</t>
  </si>
  <si>
    <t>週次</t>
  </si>
  <si>
    <t>OPW-01</t>
  </si>
  <si>
    <t>通知の見直し</t>
  </si>
  <si>
    <t>誤検知や取りこぼしを見て、閾値と宛先を調整する</t>
  </si>
  <si>
    <t>週 1 回</t>
  </si>
  <si>
    <t>OPW-02</t>
  </si>
  <si>
    <t>変更の確認</t>
  </si>
  <si>
    <t>申請された設定変更を確認し、適用の可否を判断する</t>
  </si>
  <si>
    <t>OPW-03</t>
  </si>
  <si>
    <t>脆弱性情報の確認</t>
  </si>
  <si>
    <t>月次</t>
  </si>
  <si>
    <t>OPM-01</t>
  </si>
  <si>
    <t>サービスレベルの集計と報告</t>
  </si>
  <si>
    <t>稼働率と応答時間を集計し、顧客向けの報告を作る</t>
  </si>
  <si>
    <t>月 1 回</t>
  </si>
  <si>
    <t>OPM-02</t>
  </si>
  <si>
    <t>使用量の確認と増強判断</t>
  </si>
  <si>
    <t>OPM-03</t>
  </si>
  <si>
    <t>控えの取得確認と抜き取り復元</t>
  </si>
  <si>
    <t>控えが取れていることを確認し、抜き取りで復元できることを確かめる</t>
  </si>
  <si>
    <t>OPM-04</t>
  </si>
  <si>
    <t>運用者アカウントの棚卸し</t>
  </si>
  <si>
    <t>運用に使うアカウントと権限を確認し、不要なものを止める</t>
  </si>
  <si>
    <t>OPM-05</t>
  </si>
  <si>
    <t>費用の確認</t>
  </si>
  <si>
    <t>想定と実績の差を確認し、増えている要因を調べる</t>
  </si>
  <si>
    <t>OPM-06</t>
  </si>
  <si>
    <t>記録の保全確認</t>
  </si>
  <si>
    <t>監査ログが共通基盤に欠けずに貯まっていることを確認する</t>
  </si>
  <si>
    <t>四半期</t>
  </si>
  <si>
    <t>OPQ-01</t>
  </si>
  <si>
    <t>手順書の見直し</t>
  </si>
  <si>
    <t>実施した作業をもとに手順書を直す</t>
  </si>
  <si>
    <t>四半期 1 回</t>
  </si>
  <si>
    <t>OPQ-02</t>
  </si>
  <si>
    <t>障害と問題のふりかえり</t>
  </si>
  <si>
    <t>発生した障害を振り返り、再発防止を決めて追跡する</t>
  </si>
  <si>
    <t>OPQ-03</t>
  </si>
  <si>
    <t>接続用パスワードの入れ替え確認</t>
  </si>
  <si>
    <t>自動で入れ替わったことを確認し、アプリ側の追随を確かめる</t>
  </si>
  <si>
    <t>年次</t>
  </si>
  <si>
    <t>OPY-01</t>
  </si>
  <si>
    <t>署名鍵の入れ替え確認</t>
  </si>
  <si>
    <t>自動で入れ替わったことを確認し、並走期間の動作を確かめる</t>
  </si>
  <si>
    <t>年 1 回</t>
  </si>
  <si>
    <t>OPY-02</t>
  </si>
  <si>
    <t>本基盤の証明書の更新</t>
  </si>
  <si>
    <t>通信に使う証明書を期限前に入れ替える</t>
  </si>
  <si>
    <t>OPY-03</t>
  </si>
  <si>
    <t>検証環境で確認してから本番の版を上げる。自社拡張の作り直しを含む</t>
  </si>
  <si>
    <t>年 2 回</t>
  </si>
  <si>
    <t>OPY-04</t>
  </si>
  <si>
    <t>災害復旧の訓練</t>
  </si>
  <si>
    <t>別地域への切替を実際に行い、目標時間内に戻せることを確かめる</t>
  </si>
  <si>
    <t>OPY-05</t>
  </si>
  <si>
    <t>疑似攻撃検査の受入</t>
  </si>
  <si>
    <t>外部に依頼した検査の結果を受け取り、是正して再確認する</t>
  </si>
  <si>
    <t>OPY-06</t>
  </si>
  <si>
    <t>顧客監査への対応</t>
  </si>
  <si>
    <t>顧客から求められた資料を用意し、質問に答える</t>
  </si>
  <si>
    <t>OPY-07</t>
  </si>
  <si>
    <t>運用体制の見直しと教育</t>
  </si>
  <si>
    <t>担当の入れ替わりに合わせて教育し、体制を見直す</t>
  </si>
  <si>
    <t>随時</t>
  </si>
  <si>
    <t>OPS-01</t>
  </si>
  <si>
    <t>件数に連動</t>
  </si>
  <si>
    <t>OPS-02</t>
  </si>
  <si>
    <t>停止・データの持ち出し・消去を手順どおりに行う</t>
  </si>
  <si>
    <t>OPS-03</t>
  </si>
  <si>
    <t>アプリの接続登録</t>
  </si>
  <si>
    <t>ひな形からアプリを登録し、接続情報を渡す</t>
  </si>
  <si>
    <t>OPS-04</t>
  </si>
  <si>
    <t>顧客側の証明書入れ替えへの対応</t>
  </si>
  <si>
    <t>自動で追随できなかった分を手作業で入れ替える</t>
  </si>
  <si>
    <t>OPS-05</t>
  </si>
  <si>
    <t>問い合わせ対応</t>
  </si>
  <si>
    <t>顧客とアプリチームからの問い合わせに答える</t>
  </si>
  <si>
    <t>月 20 件想定</t>
  </si>
  <si>
    <t>OPS-06</t>
  </si>
  <si>
    <t>障害対応</t>
  </si>
  <si>
    <t>サービスに影響のある障害の対応と報告</t>
  </si>
  <si>
    <t>年 4 件想定</t>
  </si>
  <si>
    <t>OPS-07</t>
  </si>
  <si>
    <t>設定変更の適用</t>
  </si>
  <si>
    <t>承認された設定変更を適用し、記録を残す</t>
  </si>
  <si>
    <t>月 4 件想定</t>
  </si>
  <si>
    <t>HB-F 機能仕様書</t>
    <phoneticPr fontId="2"/>
  </si>
  <si>
    <t>HB 機能設計</t>
    <phoneticPr fontId="2"/>
  </si>
  <si>
    <t>HE つなぎ目設計</t>
    <phoneticPr fontId="2"/>
  </si>
  <si>
    <t>GD アプリ向けガイド</t>
    <phoneticPr fontId="2"/>
  </si>
  <si>
    <t>D 判断</t>
    <phoneticPr fontId="2"/>
  </si>
  <si>
    <t>HA 全体・方式設計</t>
    <phoneticPr fontId="2"/>
  </si>
  <si>
    <t>HC 画面設計</t>
    <phoneticPr fontId="2"/>
  </si>
  <si>
    <t>HD データ設計</t>
    <phoneticPr fontId="2"/>
  </si>
  <si>
    <t>G 手順書</t>
    <phoneticPr fontId="2"/>
  </si>
  <si>
    <t>HG 権限・監査</t>
    <phoneticPr fontId="2"/>
  </si>
  <si>
    <t>G 構成図</t>
    <phoneticPr fontId="2"/>
  </si>
  <si>
    <t>HH 運用設計</t>
    <phoneticPr fontId="2"/>
  </si>
  <si>
    <t>A 調査・PoC</t>
    <phoneticPr fontId="2"/>
  </si>
  <si>
    <t>G 運用設計</t>
    <phoneticPr fontId="2"/>
  </si>
  <si>
    <t>E 方式判断</t>
    <phoneticPr fontId="2"/>
  </si>
  <si>
    <t>HK 顧客提供成果物</t>
    <phoneticPr fontId="2"/>
  </si>
  <si>
    <t>HI レビュー・合意</t>
    <phoneticPr fontId="2"/>
  </si>
  <si>
    <t>機能仕様書。判定に使う値・判定の順序・判定できたときの送り先が定まっている</t>
    <phoneticPr fontId="2"/>
  </si>
  <si>
    <t>拡張の仕様書。入出力と、どのフローのどこに置くかが定まっている</t>
    <phoneticPr fontId="2"/>
  </si>
  <si>
    <t>機能仕様書。切り替える条件と、切り替えた後の扱いが定まっている</t>
    <phoneticPr fontId="2"/>
  </si>
  <si>
    <t>機能仕様書。選ばせる条件と、並び順の決め方が定まっている</t>
    <phoneticPr fontId="2"/>
  </si>
  <si>
    <t>機能仕様書。作る条件・持たせる項目・重複したときの扱いが定まっている</t>
    <phoneticPr fontId="2"/>
  </si>
  <si>
    <t>機能仕様書。更新する項目と、更新しない項目の区別が定まっている</t>
    <phoneticPr fontId="2"/>
  </si>
  <si>
    <t>合意記録。引き渡す状態・手順・渡した後の責任範囲が定まっている</t>
    <phoneticPr fontId="2"/>
  </si>
  <si>
    <t>機能仕様書。同一化する応答の範囲・制限する回数と時間・制限にかかったときの表示が定まっている</t>
    <phoneticPr fontId="2"/>
  </si>
  <si>
    <t>画面仕様書。入力項目・検証・次に進む条件・戻り方が定まっている</t>
    <phoneticPr fontId="2"/>
  </si>
  <si>
    <t>画面仕様書。表示する文言・出し分けの条件・誘導先が定まっている</t>
    <phoneticPr fontId="2"/>
  </si>
  <si>
    <t>接続仕様。入口・認証方法・項目の対応・応答が定まっている</t>
    <phoneticPr fontId="2"/>
  </si>
  <si>
    <t>機能仕様書。受け取る項目と、重複したときの扱いが定まっている</t>
    <phoneticPr fontId="2"/>
  </si>
  <si>
    <t>機能仕様書。更新する項目と、競合したときの扱いが定まっている</t>
    <phoneticPr fontId="2"/>
  </si>
  <si>
    <t>機能仕様書。読み替えの規則と、記録の残し方が定まっている</t>
    <phoneticPr fontId="2"/>
  </si>
  <si>
    <t>機能仕様書。絞り込みの条件と件数の区切り方が定まっている</t>
    <phoneticPr fontId="2"/>
  </si>
  <si>
    <t>機能仕様書。初期リリースで対象外とする範囲が明記されている</t>
    <phoneticPr fontId="2"/>
  </si>
  <si>
    <t>宣言の設計。項目名・型・必須かどうかが一覧で定まっている</t>
    <phoneticPr fontId="2"/>
  </si>
  <si>
    <t>変換方針。規則の書き方と、顧客が増えたときの追加方法が定まっている</t>
    <phoneticPr fontId="2"/>
  </si>
  <si>
    <t>機能仕様書。区分の値と、判定するタイミングが定まっている</t>
    <phoneticPr fontId="2"/>
  </si>
  <si>
    <t>機能仕様書。止める条件と、止めた後にできなくなることが定まっている</t>
    <phoneticPr fontId="2"/>
  </si>
  <si>
    <t>機能仕様書。再開してよい条件と、除外する条件が定まっている</t>
    <phoneticPr fontId="2"/>
  </si>
  <si>
    <t>機能仕様書。登録する項目・初期状態・使えるようになる条件が定まっている</t>
    <phoneticPr fontId="2"/>
  </si>
  <si>
    <t>機能仕様書。受け取る情報・登録の順序・疎通確認の合格条件が定まっている</t>
    <phoneticPr fontId="2"/>
  </si>
  <si>
    <t>機能仕様書。取り直す間隔・失敗時の扱い・追随できないときの通知が定まっている</t>
    <phoneticPr fontId="2"/>
  </si>
  <si>
    <t>合意記録。使う値と、変わらないことの保証が定まっている</t>
    <phoneticPr fontId="2"/>
  </si>
  <si>
    <t>機能仕様書。判定の場所と、防げなかった場合の記録の残し方が定まっている</t>
    <phoneticPr fontId="2"/>
  </si>
  <si>
    <t>機能仕様書。発行の条件・要求できる範囲・有効期限・失効のさせ方が定まっている</t>
    <phoneticPr fontId="2"/>
  </si>
  <si>
    <t>機能仕様書。交換する情報と、ログアウトの扱いが定まっている</t>
    <phoneticPr fontId="2"/>
  </si>
  <si>
    <t>接続仕様。項目・必須の区別・エラー時の扱いが定まっている</t>
    <phoneticPr fontId="2"/>
  </si>
  <si>
    <t>ガイドの章。設定手順と注意点が書かれている</t>
    <phoneticPr fontId="2"/>
  </si>
  <si>
    <t>機能仕様書。渡す属性と、業務システム側に求める設定が定まっている</t>
    <phoneticPr fontId="2"/>
  </si>
  <si>
    <t>機能仕様書。引き継ぐ情報と、引き継がない情報が定まっている</t>
    <phoneticPr fontId="2"/>
  </si>
  <si>
    <t>構成図。保管先と保管内容が対応づいている</t>
    <phoneticPr fontId="2"/>
  </si>
  <si>
    <t>整理結果。直接読み書きしてよい範囲が定まっている</t>
    <phoneticPr fontId="2"/>
  </si>
  <si>
    <t>方針。索引の付け方と、接続数の上限の根拠が定まっている</t>
    <phoneticPr fontId="2"/>
  </si>
  <si>
    <t>運用設計書の章。監視する値・増強の判断基準・増強に要する期間が定まっている</t>
    <phoneticPr fontId="2"/>
  </si>
  <si>
    <t>手順書。判断の基準・止める順序・証跡の保全方法・連絡先が定まっている</t>
    <phoneticPr fontId="2"/>
  </si>
  <si>
    <t>運用設計書の章。受付の窓口・切り分けの手順・引き継ぎの基準・返答の目安時間が定まっている</t>
    <phoneticPr fontId="2"/>
  </si>
  <si>
    <t>運用設計書の章。変更の分類・承認者・適用の窓・記録の残し方・切り戻しの判断が定まっている</t>
    <phoneticPr fontId="2"/>
  </si>
  <si>
    <t>運用設計書の章。記録する項目・重大度の区分・報告の期限と宛先・再発防止の追跡方法が定まっている</t>
    <phoneticPr fontId="2"/>
  </si>
  <si>
    <t>運用設計書の章。棚卸しの頻度・確認する項目・止める手順・記録の残し方が定まっている</t>
    <phoneticPr fontId="2"/>
  </si>
  <si>
    <t>運用設計書の章。測る対象・計算式・除外する時間・報告の頻度と様式が定まっている</t>
    <phoneticPr fontId="2"/>
  </si>
  <si>
    <t>運用設計書の章。作業の一覧・頻度・所要時間・担当・前後関係が定まっている</t>
    <phoneticPr fontId="2"/>
  </si>
  <si>
    <t>計画。渡す資料の一覧・訓練の項目・開始の判定条件が定まっている</t>
    <phoneticPr fontId="2"/>
  </si>
  <si>
    <t>計画。切替の単位・判断の基準・戻す条件が定まっている</t>
    <phoneticPr fontId="2"/>
  </si>
  <si>
    <t>レビュー記録。2 回目の指摘が一覧化されている</t>
    <phoneticPr fontId="2"/>
  </si>
  <si>
    <t>改訂済みの設計書。2 回目の指摘がすべて処理されている</t>
    <phoneticPr fontId="2"/>
  </si>
  <si>
    <t>レビュー記録。3 回目の指摘が一覧化されている</t>
    <phoneticPr fontId="2"/>
  </si>
  <si>
    <t>改訂済みの設計書。3 回目の指摘がすべて処理されている</t>
    <phoneticPr fontId="2"/>
  </si>
  <si>
    <t>レビュー記録。4 回目の指摘が一覧化されている</t>
    <phoneticPr fontId="2"/>
  </si>
  <si>
    <t>改訂済みの設計書。4 回目の指摘がすべて処理されている</t>
    <phoneticPr fontId="2"/>
  </si>
  <si>
    <t>検証用の旧方式の認証システムが用意できていること</t>
    <phoneticPr fontId="2"/>
  </si>
  <si>
    <t>引き渡し範囲の取り決めが合意されていること</t>
    <phoneticPr fontId="2"/>
  </si>
  <si>
    <t>受信窓口の実装が完了していること</t>
    <phoneticPr fontId="2"/>
  </si>
  <si>
    <t>A 結合の前提が揃っていること</t>
    <phoneticPr fontId="2"/>
  </si>
  <si>
    <t>クライアント登録のひな形ができていること</t>
    <phoneticPr fontId="2"/>
  </si>
  <si>
    <t>業務システムの検証環境が用意できていること</t>
    <phoneticPr fontId="2"/>
  </si>
  <si>
    <t>共通基盤への出力経路が開通していること</t>
    <phoneticPr fontId="2"/>
  </si>
  <si>
    <t>構築が完了していること</t>
    <phoneticPr fontId="2"/>
  </si>
  <si>
    <t>ネットワークの構築と境界組織との接続が完了していること</t>
    <phoneticPr fontId="2"/>
  </si>
  <si>
    <t>区画の構築が完了していること</t>
    <phoneticPr fontId="2"/>
  </si>
  <si>
    <t>3 環境の構築が完了していること</t>
    <phoneticPr fontId="2"/>
  </si>
  <si>
    <t>データベースの構築が完了していること</t>
    <phoneticPr fontId="2"/>
  </si>
  <si>
    <t>自社拡張の実装が完了していること</t>
    <phoneticPr fontId="2"/>
  </si>
  <si>
    <t>A 結合が完了していること</t>
    <phoneticPr fontId="2"/>
  </si>
  <si>
    <t>停止と再開の実装が完了していること</t>
    <phoneticPr fontId="2"/>
  </si>
  <si>
    <t>B 総合の前提が揃っていること</t>
    <phoneticPr fontId="2"/>
  </si>
  <si>
    <t>相手方の検証環境の貸与</t>
    <phoneticPr fontId="2"/>
  </si>
  <si>
    <t>クラスタの構築が完了していること</t>
    <phoneticPr fontId="2"/>
  </si>
  <si>
    <t>性能試験の計画と計測点の実装が完了していること</t>
    <phoneticPr fontId="2"/>
  </si>
  <si>
    <t>切替先の構築とデータ複製が完了していること</t>
    <phoneticPr fontId="2"/>
  </si>
  <si>
    <t>本番相当の構成ができていること</t>
    <phoneticPr fontId="2"/>
  </si>
  <si>
    <t>控えの取得が動いていること</t>
    <phoneticPr fontId="2"/>
  </si>
  <si>
    <t>実装が完了していること</t>
    <phoneticPr fontId="2"/>
  </si>
  <si>
    <t>鍵管理の構築が完了していること</t>
    <phoneticPr fontId="2"/>
  </si>
  <si>
    <t>本番相当の構成と、検査実施の合意</t>
    <phoneticPr fontId="2"/>
  </si>
  <si>
    <t>WAF 側の設定が完了していること</t>
    <phoneticPr fontId="2"/>
  </si>
  <si>
    <t>記録の伏せ字処理の実装が完了していること</t>
    <phoneticPr fontId="2"/>
  </si>
  <si>
    <t>構成コードからの反映が動いていること</t>
    <phoneticPr fontId="2"/>
  </si>
  <si>
    <t>証明書の無停止入れ替えの実装が完了していること</t>
    <phoneticPr fontId="2"/>
  </si>
  <si>
    <t>自動追随の実装が完了していること</t>
    <phoneticPr fontId="2"/>
  </si>
  <si>
    <t>共通基盤への集約が完了していること</t>
    <phoneticPr fontId="2"/>
  </si>
  <si>
    <t>期限監視の実装が完了していること</t>
    <phoneticPr fontId="2"/>
  </si>
  <si>
    <t>E 可用性・災害復旧が完了していること</t>
    <phoneticPr fontId="2"/>
  </si>
  <si>
    <t>監視の構築が完了していること</t>
    <phoneticPr fontId="2"/>
  </si>
  <si>
    <t>手順書がすべて揃っていること</t>
    <phoneticPr fontId="2"/>
  </si>
  <si>
    <t>緊急時アクセスの構築が完了していること</t>
    <phoneticPr fontId="2"/>
  </si>
  <si>
    <t>更新手順の実装が完了していること</t>
    <phoneticPr fontId="2"/>
  </si>
  <si>
    <t>構成コードの置き場と自動反映の構築が完了していること</t>
    <phoneticPr fontId="2"/>
  </si>
  <si>
    <t>B 総合が完了していること</t>
    <phoneticPr fontId="2"/>
  </si>
  <si>
    <t>G 運用が完了していること</t>
    <phoneticPr fontId="2"/>
  </si>
  <si>
    <t>サンプル実装と試用環境の提供が完了していること</t>
    <phoneticPr fontId="2"/>
  </si>
  <si>
    <t>—（テストの前提そのもの）</t>
    <phoneticPr fontId="2"/>
  </si>
  <si>
    <t>テスト環境の構築が完了していること</t>
    <phoneticPr fontId="2"/>
  </si>
  <si>
    <t>切替の準備が完了していること</t>
    <phoneticPr fontId="2"/>
  </si>
  <si>
    <t>B 総合の試験仕様が確定していること</t>
    <phoneticPr fontId="2"/>
  </si>
  <si>
    <t>—（テスト期間を通じて実施）</t>
    <phoneticPr fontId="2"/>
  </si>
  <si>
    <t>基本設計が承認されていること</t>
    <phoneticPr fontId="2"/>
  </si>
  <si>
    <t>IT-01</t>
    <phoneticPr fontId="2"/>
  </si>
  <si>
    <t>IT-02</t>
    <phoneticPr fontId="2"/>
  </si>
  <si>
    <t>IT-03</t>
    <phoneticPr fontId="2"/>
  </si>
  <si>
    <t>IT-04</t>
    <phoneticPr fontId="2"/>
  </si>
  <si>
    <t>IT-05</t>
    <phoneticPr fontId="2"/>
  </si>
  <si>
    <t>IT-06</t>
    <phoneticPr fontId="2"/>
  </si>
  <si>
    <t>IT-07</t>
    <phoneticPr fontId="2"/>
  </si>
  <si>
    <t>IT-08</t>
    <phoneticPr fontId="2"/>
  </si>
  <si>
    <t>IT-09</t>
    <phoneticPr fontId="2"/>
  </si>
  <si>
    <t>IT-10</t>
    <phoneticPr fontId="2"/>
  </si>
  <si>
    <t>IT-11</t>
    <phoneticPr fontId="2"/>
  </si>
  <si>
    <t>IT-12</t>
    <phoneticPr fontId="2"/>
  </si>
  <si>
    <t>IT-13</t>
    <phoneticPr fontId="2"/>
  </si>
  <si>
    <t>IT-14</t>
    <phoneticPr fontId="2"/>
  </si>
  <si>
    <t>IT-15</t>
    <phoneticPr fontId="2"/>
  </si>
  <si>
    <t>ST-01</t>
    <phoneticPr fontId="2"/>
  </si>
  <si>
    <t>ST-02</t>
    <phoneticPr fontId="2"/>
  </si>
  <si>
    <t>ST-03</t>
    <phoneticPr fontId="2"/>
  </si>
  <si>
    <t>ST-04</t>
    <phoneticPr fontId="2"/>
  </si>
  <si>
    <t>ST-05</t>
    <phoneticPr fontId="2"/>
  </si>
  <si>
    <t>ST-06</t>
    <phoneticPr fontId="2"/>
  </si>
  <si>
    <t>ST-07</t>
    <phoneticPr fontId="2"/>
  </si>
  <si>
    <t>ST-08</t>
    <phoneticPr fontId="2"/>
  </si>
  <si>
    <t>ST-09</t>
    <phoneticPr fontId="2"/>
  </si>
  <si>
    <t>ST-10</t>
    <phoneticPr fontId="2"/>
  </si>
  <si>
    <t>ST-11</t>
    <phoneticPr fontId="2"/>
  </si>
  <si>
    <t>ST-12</t>
    <phoneticPr fontId="2"/>
  </si>
  <si>
    <t>ST-13</t>
    <phoneticPr fontId="2"/>
  </si>
  <si>
    <t>ST-14</t>
    <phoneticPr fontId="2"/>
  </si>
  <si>
    <t>ST-15</t>
    <phoneticPr fontId="2"/>
  </si>
  <si>
    <t>ST-16</t>
    <phoneticPr fontId="2"/>
  </si>
  <si>
    <t>ST-17</t>
    <phoneticPr fontId="2"/>
  </si>
  <si>
    <t>ST-18</t>
    <phoneticPr fontId="2"/>
  </si>
  <si>
    <t>ST-19</t>
    <phoneticPr fontId="2"/>
  </si>
  <si>
    <t>ST-20</t>
    <phoneticPr fontId="2"/>
  </si>
  <si>
    <t>ST-21</t>
    <phoneticPr fontId="2"/>
  </si>
  <si>
    <t>ST-22</t>
    <phoneticPr fontId="2"/>
  </si>
  <si>
    <t>ST-23</t>
    <phoneticPr fontId="2"/>
  </si>
  <si>
    <t>ST-24</t>
    <phoneticPr fontId="2"/>
  </si>
  <si>
    <t>ST-25</t>
    <phoneticPr fontId="2"/>
  </si>
  <si>
    <t>ST-26</t>
    <phoneticPr fontId="2"/>
  </si>
  <si>
    <t>RI-01</t>
    <phoneticPr fontId="2"/>
  </si>
  <si>
    <t>RI-02</t>
    <phoneticPr fontId="2"/>
  </si>
  <si>
    <t>RI-03</t>
    <phoneticPr fontId="2"/>
  </si>
  <si>
    <t>RI-04</t>
    <phoneticPr fontId="2"/>
  </si>
  <si>
    <t>RI-05</t>
    <phoneticPr fontId="2"/>
  </si>
  <si>
    <t>PT-01</t>
    <phoneticPr fontId="2"/>
  </si>
  <si>
    <t>PT-02</t>
    <phoneticPr fontId="2"/>
  </si>
  <si>
    <t>PT-03</t>
    <phoneticPr fontId="2"/>
  </si>
  <si>
    <t>PT-04</t>
    <phoneticPr fontId="2"/>
  </si>
  <si>
    <t>PT-05</t>
    <phoneticPr fontId="2"/>
  </si>
  <si>
    <t>PT-06</t>
    <phoneticPr fontId="2"/>
  </si>
  <si>
    <t>PT-07</t>
    <phoneticPr fontId="2"/>
  </si>
  <si>
    <t>DR-01</t>
    <phoneticPr fontId="2"/>
  </si>
  <si>
    <t>DR-02</t>
    <phoneticPr fontId="2"/>
  </si>
  <si>
    <t>DR-03</t>
    <phoneticPr fontId="2"/>
  </si>
  <si>
    <t>DR-04</t>
    <phoneticPr fontId="2"/>
  </si>
  <si>
    <t>SEC-01</t>
    <phoneticPr fontId="2"/>
  </si>
  <si>
    <t>SEC-02</t>
    <phoneticPr fontId="2"/>
  </si>
  <si>
    <t>SEC-03</t>
    <phoneticPr fontId="2"/>
  </si>
  <si>
    <t>SEC-04</t>
    <phoneticPr fontId="2"/>
  </si>
  <si>
    <t>SEC-05</t>
    <phoneticPr fontId="2"/>
  </si>
  <si>
    <t>SEC-06</t>
    <phoneticPr fontId="2"/>
  </si>
  <si>
    <t>SEC-07</t>
    <phoneticPr fontId="2"/>
  </si>
  <si>
    <t>SEC-08</t>
    <phoneticPr fontId="2"/>
  </si>
  <si>
    <t>SEC-09</t>
    <phoneticPr fontId="2"/>
  </si>
  <si>
    <t>OP-01</t>
    <phoneticPr fontId="2"/>
  </si>
  <si>
    <t>OP-02</t>
    <phoneticPr fontId="2"/>
  </si>
  <si>
    <t>OP-03</t>
    <phoneticPr fontId="2"/>
  </si>
  <si>
    <t>OP-04</t>
    <phoneticPr fontId="2"/>
  </si>
  <si>
    <t>OP-05</t>
    <phoneticPr fontId="2"/>
  </si>
  <si>
    <t>OP-06</t>
    <phoneticPr fontId="2"/>
  </si>
  <si>
    <t>OP-07</t>
    <phoneticPr fontId="2"/>
  </si>
  <si>
    <t>OP-08</t>
    <phoneticPr fontId="2"/>
  </si>
  <si>
    <t>OP-09</t>
    <phoneticPr fontId="2"/>
  </si>
  <si>
    <t>OP-10</t>
    <phoneticPr fontId="2"/>
  </si>
  <si>
    <t>UAT-01</t>
    <phoneticPr fontId="2"/>
  </si>
  <si>
    <t>UAT-02</t>
    <phoneticPr fontId="2"/>
  </si>
  <si>
    <t>UAT-03</t>
    <phoneticPr fontId="2"/>
  </si>
  <si>
    <t>UAT-04</t>
    <phoneticPr fontId="2"/>
  </si>
  <si>
    <t>TE-01</t>
    <phoneticPr fontId="2"/>
  </si>
  <si>
    <t>TE-02</t>
    <phoneticPr fontId="2"/>
  </si>
  <si>
    <t>TE-03</t>
    <phoneticPr fontId="2"/>
  </si>
  <si>
    <t>TE-04</t>
    <phoneticPr fontId="2"/>
  </si>
  <si>
    <t>TE-05</t>
    <phoneticPr fontId="2"/>
  </si>
  <si>
    <t>TE-06</t>
    <phoneticPr fontId="2"/>
  </si>
  <si>
    <t>行数</t>
    <phoneticPr fontId="2"/>
  </si>
  <si>
    <t>入力された ID から、その人をどの顧客IdPへ送るかを決める入口。顧客IdPの一覧を見せずに済ませる</t>
  </si>
  <si>
    <t>端末の紛失やパスワード忘れから、ユーザ自身または管理者が復旧する</t>
  </si>
  <si>
    <t>総当たり・ユーザ名の推測・流出パスワードなど、ログイン口への攻撃を防ぐ</t>
  </si>
  <si>
    <t>ユーザが実際に目にする画面。ログイン画面の見せ方と、失敗したときの案内</t>
  </si>
  <si>
    <t>顧客の人事システムや IdP から SCIM でユーザの登録・更新・削除を受け取る。ログインを待たずに反映できる</t>
  </si>
  <si>
    <t>退職などでユーザを止めた事実を確実に反映し、復職時に安全に再開する。消さずに無効化し、期限後に消す</t>
  </si>
  <si>
    <t>管理者がユーザを検索・登録・変更・招待・出力する操作</t>
  </si>
  <si>
    <t>顧客と組織の作成・設定・解約</t>
  </si>
  <si>
    <t>顧客IdP管理</t>
  </si>
  <si>
    <t>どのユーザがどのアプリをどの役割で使えるかを設定し、定期的に見直す。権限側で使う識別子の対応づけを含む</t>
  </si>
  <si>
    <t>ログイン後にアプリの利用可否と役割を判定し、アプリへ渡す。顧客越境と権限逸脱を防ぐ</t>
  </si>
  <si>
    <t>JWT の発行・交換</t>
  </si>
  <si>
    <t>ユーザの変更をアプリへ通知する仕組みと、ユーザへのメール送信</t>
  </si>
  <si>
    <t>運用開始後の監視・体制・手順。定期処理の実行基盤とKeycloak の更新を含む</t>
  </si>
  <si>
    <t>設計書そのもの管理（総則・前提・一覧・追跡・レビュー・照会）</t>
  </si>
  <si>
    <t>作業</t>
    <phoneticPr fontId="2"/>
  </si>
  <si>
    <t>頻度</t>
    <phoneticPr fontId="2"/>
  </si>
  <si>
    <t>1 回の工数（時間）</t>
    <phoneticPr fontId="2"/>
  </si>
  <si>
    <t>初年度 回数</t>
    <phoneticPr fontId="2"/>
  </si>
  <si>
    <t>初年度 人日</t>
    <phoneticPr fontId="2"/>
  </si>
  <si>
    <t>定常 回数</t>
    <phoneticPr fontId="2"/>
  </si>
  <si>
    <t>定常 人日</t>
    <phoneticPr fontId="2"/>
  </si>
  <si>
    <t>担当</t>
    <phoneticPr fontId="2"/>
  </si>
  <si>
    <t>Keycloak-Brokerと使っている部品の脆弱性情報を確認し、対応要否を判断する</t>
  </si>
  <si>
    <t>ユーザ数・顧客IdP数・データ量の伸びを見て、増強の要否を判断する</t>
  </si>
  <si>
    <t>Keycloak の版上げ</t>
  </si>
  <si>
    <t>顧客の追加</t>
  </si>
  <si>
    <t>顧客を登録し、顧客IdPを登録して疎通を確認する</t>
  </si>
  <si>
    <t>① 基本設計</t>
    <phoneticPr fontId="2"/>
  </si>
  <si>
    <t>③ 製造</t>
    <phoneticPr fontId="2"/>
  </si>
  <si>
    <t>②③④ 行数</t>
    <phoneticPr fontId="2"/>
  </si>
  <si>
    <t>顧客IdPの自動振り分け</t>
  </si>
  <si>
    <t>顧客IdPの選択（1 顧客に複数）</t>
  </si>
  <si>
    <t>顧客IdPへのログイン委譲（OIDC）</t>
  </si>
  <si>
    <t>顧客IdPへのログイン委譲（SAML）</t>
  </si>
  <si>
    <t>ユーザの存在推測の防止</t>
  </si>
  <si>
    <t>エラー・案内画面（Keycloak-Broker）</t>
  </si>
  <si>
    <t>SCIM 受信: ユーザの登録</t>
  </si>
  <si>
    <t>SCIM 受信: ユーザの更新</t>
  </si>
  <si>
    <t>SCIM 受信: ユーザの検索</t>
  </si>
  <si>
    <t>ユーザの停止（消さずに無効化）</t>
  </si>
  <si>
    <t>停止済みユーザの再開</t>
  </si>
  <si>
    <t>顧客IdPの接続登録</t>
  </si>
  <si>
    <t>JWT に載せる項目の定義</t>
  </si>
  <si>
    <t>顧客越境の防止（Keycloak-Broker 側）</t>
  </si>
  <si>
    <t>システム間 JWT の発行</t>
  </si>
  <si>
    <t>業務システム側のユーザ自動作成</t>
  </si>
  <si>
    <t>データベース設計（Keycloak-Broker）</t>
  </si>
  <si>
    <t>Keycloak の更新・保守</t>
  </si>
  <si>
    <t>基盤</t>
    <phoneticPr fontId="2"/>
  </si>
  <si>
    <t>うち対象</t>
    <phoneticPr fontId="2"/>
  </si>
  <si>
    <t>ログイン画面で入力された ID から、その人がどの顧客IdPのユーザかを判定し、自動で振り分ける</t>
  </si>
  <si>
    <t>顧客IdPを判定できなかったときに、パスワード入力欄に切り替えて処理を続ける逃げ道</t>
  </si>
  <si>
    <t>1 つの顧客に顧客IdPが複数ある場合に、ユーザにどれを使うか選ばせる</t>
  </si>
  <si>
    <t>権限管理側に、まだ権限が設定されていないユーザの受け皿となる行を作る</t>
  </si>
  <si>
    <t>Keycloak-Broker と Keycloak-IdP の連携</t>
  </si>
  <si>
    <t>管理者がユーザの追加認証の登録を解除する。端末紛失時の復旧に使う</t>
  </si>
  <si>
    <t>ユーザが自分でパスワードを再設定する</t>
  </si>
  <si>
    <t>管理者がユーザのパスワードを初期化する</t>
  </si>
  <si>
    <t>メールアドレスを持たないユーザが端末を失くした場合の復旧手段。管理者の承認を経て復旧する</t>
  </si>
  <si>
    <t>管理者がユーザのログイン状態を強制的に終了させる。個別・顧客単位・全体の 3 段階</t>
  </si>
  <si>
    <t>ログイン画面の見せ方。ブランドごとの表示切替と、顧客IdPの並び順</t>
  </si>
  <si>
    <t>Keycloak-Brokerが出すエラー・案内の画面。ログインや振り分けに失敗したときの文言と誘導</t>
  </si>
  <si>
    <t>顧客の人事システムや IdP から SCIM でユーザの新規登録を受け取る</t>
  </si>
  <si>
    <t>SCIM で顧客側からのユーザ情報の変更を受け取って反映する</t>
  </si>
  <si>
    <t>SCIM で顧客側からユーザを検索・絞り込みで問い合わせられるようにする</t>
  </si>
  <si>
    <t>顧客ごとにバラバラな項目名を基盤内の統一名に変換して取り込む。統一名の辞書と 顧客IdPごとの変換表を含む</t>
  </si>
  <si>
    <t>そのユーザがどの経路（JIT / SCIM / 管理画面 / アプリ API / 運用者 / 移行）で登録されたかを区別する</t>
  </si>
  <si>
    <t>ユーザを削除せず使えない状態にし、停止日時を記録する</t>
  </si>
  <si>
    <t>一度止めたユーザを再び使えるようにする。誤って復活させない条件を含む</t>
  </si>
  <si>
    <t>ユーザの検索・一覧</t>
  </si>
  <si>
    <t>管理者が自分の顧客のユーザを検索・一覧表示する</t>
  </si>
  <si>
    <t>ユーザの詳細参照</t>
  </si>
  <si>
    <t>ユーザ 1 人の詳細情報を表示する</t>
  </si>
  <si>
    <t>ユーザの登録</t>
  </si>
  <si>
    <t>管理者がユーザを新規に登録する</t>
  </si>
  <si>
    <t>ユーザの変更</t>
  </si>
  <si>
    <t>管理者がユーザの情報を変更する</t>
  </si>
  <si>
    <t>ユーザの利用可否の切替</t>
  </si>
  <si>
    <t>管理者がユーザを一時的に使えなくする／戻す</t>
  </si>
  <si>
    <t>ユーザの削除</t>
  </si>
  <si>
    <t>管理者がユーザを削除する。実際には消さずに使えない状態にする</t>
  </si>
  <si>
    <t>ユーザの招待</t>
  </si>
  <si>
    <t>新しいユーザに招待を送り、本人に初期設定させる</t>
  </si>
  <si>
    <t>ユーザの一括登録</t>
  </si>
  <si>
    <t>ユーザをまとめて登録するためのファイル取り込み</t>
  </si>
  <si>
    <t>ユーザ一覧や操作記録をファイルとして出力する</t>
  </si>
  <si>
    <t>新しい顧客を作成する</t>
  </si>
  <si>
    <t>ユーザが所属する組織の情報を編集する</t>
  </si>
  <si>
    <t>顧客IdPを基盤に接続する登録作業</t>
  </si>
  <si>
    <t>顧客IdPの接続情報を定期的に取り直し、証明書の入れ替えに自動追随する</t>
  </si>
  <si>
    <t>どのユーザにどのアプリを使わせるかを設定する</t>
  </si>
  <si>
    <t>アプリごとの役割（ロール）をユーザに割り当てる</t>
  </si>
  <si>
    <t>顧客側のユーザ番号と基盤側の識別子を対応づけて管理する</t>
  </si>
  <si>
    <t>ユーザがそのアプリを使ってよいかを判定する</t>
  </si>
  <si>
    <t>アプリが「このユーザは何ができるか」を 1 回の問い合わせで取得できるようにする</t>
  </si>
  <si>
    <t>アプリへ渡すJWT に何を載せるか。要求できる範囲（スコープ）とクレームの辞書を含む</t>
  </si>
  <si>
    <t>ユーザが自分の顧客以外の顧客IdPを使ってログインできないようにする。権限データ側の越境防止はアプリの責務</t>
  </si>
  <si>
    <t>管理画面の操作について、顧客・役割・対象の 3 つの観点で権限を確認する</t>
  </si>
  <si>
    <t>JWT の交換</t>
  </si>
  <si>
    <t>ユーザの変更をアプリ側へ通知する。届かなかった場合の再送を含む</t>
  </si>
  <si>
    <t>ユーザの状態変化をアプリ側へ即時に伝える新方式。初期リリースでは対象外</t>
  </si>
  <si>
    <t>業務システム側で、初回ログイン時にユーザを自動作成させる</t>
  </si>
  <si>
    <t>JWT の署名に使う鍵を定期的に入れ替える。切り替え中も止めないための並走期間を含む</t>
  </si>
  <si>
    <t>本物のユーザを模した定期的なログイン試行で、障害をユーザより先に見つける</t>
  </si>
  <si>
    <t>Keycloak-Brokerを動かすクラスタのノード構成・配置制約・自動増減と、ベンダー保守との責任分界</t>
  </si>
  <si>
    <t>Keycloak-Brokerを何個の区画に分けるか。ブランドごとの分け方と発行元の規律</t>
  </si>
  <si>
    <t>Keycloak の版を上げるときの手順と、ベンダーのサポート範囲</t>
  </si>
  <si>
    <t>既存の仕組みから本基盤へ移るときの段取りと、移行先にしかいないユーザの扱い</t>
  </si>
  <si>
    <t>作る機能の一覧と、ユーザから見た代表的な業務の流れ</t>
  </si>
  <si>
    <t>Keycloak-Brokerが使うデータベースの構成・触ってよい範囲・索引と分割の方針。Keycloak-Broker 側のみを対象とし、IdP 側はアプリチームの範囲</t>
  </si>
  <si>
    <t>テスト項目</t>
    <phoneticPr fontId="2"/>
  </si>
  <si>
    <t>テスト観点</t>
    <phoneticPr fontId="2"/>
  </si>
  <si>
    <t>対応要件</t>
    <phoneticPr fontId="2"/>
  </si>
  <si>
    <t>MK-B Keycloak-Brokerの設定・構築</t>
  </si>
  <si>
    <t>顧客IdPの選択の設定</t>
  </si>
  <si>
    <t>顧客IdPの定義項目・属性の写し方・フローの配置場所が実装できる粒度で書かれている</t>
  </si>
  <si>
    <t>OIDC 顧客IdPの登録と属性の写し込み設定</t>
  </si>
  <si>
    <t>ひな形と初期分の顧客IdPが登録され、属性が設計どおり写る</t>
  </si>
  <si>
    <t>顧客IdPの定義項目・署名の検証方法・属性の写し方が実装できる粒度で書かれている</t>
  </si>
  <si>
    <t>SAML 顧客IdPの登録と署名検証の設定</t>
  </si>
  <si>
    <t>ひな形と初期分の顧客IdPが登録され、署名検証が動作する</t>
  </si>
  <si>
    <t>初めてのログインでユーザが作られ、2 回目以降は作られない</t>
  </si>
  <si>
    <t>Keycloak-IdP 用の基盤（ROSA）の構築</t>
  </si>
  <si>
    <t>既定の状態のクラスタが起動し、アプリチームがKeycloak-Brokerを載せられる</t>
  </si>
  <si>
    <t>Keycloak-Brokerの既定画面のどこを差し替えるか、版を上げたときの作り直しの手間が確定している</t>
  </si>
  <si>
    <t>入口の作り・呼び出し元の確認方法・応答と異常時の返し方が実装できる粒度で書かれている。窓口はKeycloak-Brokerの上に立てる（別の実行基盤は作らない）</t>
  </si>
  <si>
    <t>Keycloak-Brokerの上に立てた窓口で、顧客システムから登録・更新・削除・検索ができる</t>
  </si>
  <si>
    <t>既にいるユーザを更新するときの項目の上書き規則と、競合したときの扱いが確定している</t>
  </si>
  <si>
    <t>削除の通知でユーザが止まり、消えていないことを確認できる</t>
  </si>
  <si>
    <t>顧客と顧客IdPの登録手順の実装設計</t>
  </si>
  <si>
    <t>受け取った情報から顧客IdPを登録でき、疎通確認まで通る</t>
  </si>
  <si>
    <t>JWT に載せる項目の実装仕様</t>
  </si>
  <si>
    <t>単体試験仕様: JWT の内容</t>
  </si>
  <si>
    <t>JWT の項目生成の実装</t>
  </si>
  <si>
    <t>設計どおりの項目が入ったJWTが発行される</t>
  </si>
  <si>
    <t>単体試験: JWT の内容</t>
  </si>
  <si>
    <t>他顧客の顧客IdPではログインできない</t>
  </si>
  <si>
    <t>システム間 JWT の実装設計</t>
  </si>
  <si>
    <t>システム間 JWT の実装</t>
  </si>
  <si>
    <t>単体試験: システム間 JWT</t>
  </si>
  <si>
    <t>ログイン・ユーザの自動作成・ログアウトの観点と期待結果が定義されている</t>
  </si>
  <si>
    <t>業務システムへログインでき、相手側にユーザが作られる</t>
  </si>
  <si>
    <t>業務システム側のユーザ自動作成の設定</t>
  </si>
  <si>
    <t>初回ログインで相手側にユーザが作られ、渡した属性が反映される</t>
  </si>
  <si>
    <t>クラスタが起動し、Keycloak-Brokerを載せられる状態になっている</t>
  </si>
  <si>
    <t>データベースの構築（Keycloak-Brokerの格納先）</t>
  </si>
  <si>
    <t>Keycloak-Brokerが使うデータベースが作られ、接続・冗長化・バックアップが設定されている</t>
  </si>
  <si>
    <t>Keycloak の更新の実装設計</t>
  </si>
  <si>
    <t>Keycloak の更新の実機確認</t>
  </si>
  <si>
    <t>Must</t>
  </si>
  <si>
    <t>Keycloak-IdP</t>
  </si>
  <si>
    <t>Authorization Code + PKCE（SPA / モバイル）</t>
  </si>
  <si>
    <t>画面を持つアプリが、標準の手順（認可コード＋PKCE）でログインを開始し JWT を受け取れること</t>
  </si>
  <si>
    <t>Keycloak-Broker</t>
  </si>
  <si>
    <t>サーバ側で処理するアプリが、接続用パスワードを使う標準の手順でログインできること</t>
  </si>
  <si>
    <t>人ではなくシステムが API を呼ぶための資格を発行できること</t>
  </si>
  <si>
    <t>あるアプリ向けの JWT を、別のアプリ向けに交換できること</t>
  </si>
  <si>
    <t>TBD</t>
  </si>
  <si>
    <t>Phase 1 では作らない。必要になれば Keycloak の標準機能で足せる</t>
  </si>
  <si>
    <t>Device Code Flow（画面のない機器・CLI 向けログイン）</t>
  </si>
  <si>
    <t>画面のない機器や CLI からログインできること</t>
  </si>
  <si>
    <t>2026-08-16 の判断で Phase 1 対象外</t>
  </si>
  <si>
    <t>mTLS Client Authentication（RFC 8705、証明書によるアプリ認証）</t>
  </si>
  <si>
    <t>証明書でアプリを認証できること</t>
  </si>
  <si>
    <t>2026-08-16 の判断で対象外。金融水準の顧客が現れたときに再評価</t>
  </si>
  <si>
    <t>アプリがユーザのパスワードを直接受け取ってログインさせる方式</t>
  </si>
  <si>
    <t>Won't</t>
  </si>
  <si>
    <t>採用しない（安全でないため）</t>
  </si>
  <si>
    <t>パスワードの最小の長さと文字種の組み合わせを決められること</t>
  </si>
  <si>
    <t>ローカルに収容するユーザだけの話。フェデレーションのユーザは顧客IdP 側の規則に従う</t>
  </si>
  <si>
    <t>パスワード履歴（N 個と一致禁止）</t>
  </si>
  <si>
    <t>過去に使ったパスワードを一定個数まで再利用させないこと</t>
  </si>
  <si>
    <t>Should</t>
  </si>
  <si>
    <t>アカウントロック（連続失敗）</t>
  </si>
  <si>
    <t>パスワードを連続で間違えたら一時的にログインを受け付けないこと</t>
  </si>
  <si>
    <t>パスワードに有効期限を設けられること</t>
  </si>
  <si>
    <t>セルフサービスパスワードリセット</t>
  </si>
  <si>
    <t>ユーザが自分でパスワードを再設定できること</t>
  </si>
  <si>
    <t>初回ログイン時にパスワードの変更を強制できること</t>
  </si>
  <si>
    <t>FR-AUTH-015</t>
  </si>
  <si>
    <t>DPoP（RFC 9449、送信者に縛った JWT）</t>
  </si>
  <si>
    <t>JWT を受け取った本人以外が使い回せないよう、送信者を JWT に縛りつけること（DPoP）</t>
  </si>
  <si>
    <t>提案書で新規想定として挙げた項目。Phase 1 では作らない</t>
  </si>
  <si>
    <t>Auth0 OIDC IdP 連携</t>
  </si>
  <si>
    <t>Auth0 を顧客IdP として接続できること</t>
  </si>
  <si>
    <t>推奨値あり</t>
  </si>
  <si>
    <t>Entra ID（Azure AD）OIDC 連携</t>
  </si>
  <si>
    <t>Entra ID（Azure AD）を顧客IdP として接続できること</t>
  </si>
  <si>
    <t>Okta OIDC 連携</t>
  </si>
  <si>
    <t>Okta を顧客IdP として接続できること</t>
  </si>
  <si>
    <t>Google Workspace OIDC 連携</t>
  </si>
  <si>
    <t>Google Workspace を顧客IdP として接続できること</t>
  </si>
  <si>
    <t>Could</t>
  </si>
  <si>
    <t>SAML 2.0 IdP として受け入れ（SP モード）</t>
  </si>
  <si>
    <t>旧方式（SAML）の顧客IdP からログインを受け入れられること</t>
  </si>
  <si>
    <t>SAML 2.0 IdP として発行（IdP モード）</t>
  </si>
  <si>
    <t>ServiceNow 連携で必要</t>
  </si>
  <si>
    <t>社内ディレクトリ（LDAP / AD）に直接つなげること</t>
  </si>
  <si>
    <t>Phase 1 では作らない</t>
  </si>
  <si>
    <t>JIT プロビジョニング</t>
  </si>
  <si>
    <t>顧客IdP 経由で初めて来た人を、その場でユーザとして自動作成できること</t>
  </si>
  <si>
    <t>属性マッピング / クレーム変換</t>
  </si>
  <si>
    <t>顧客ごとにバラバラな属性名を、基盤の統一名に変換して取り込めること</t>
  </si>
  <si>
    <t>複数 IdP 並行運用（マルチテナント）</t>
  </si>
  <si>
    <t>複数の顧客IdP を同時に運用でき、顧客ごとに分離できること</t>
  </si>
  <si>
    <t>新しい顧客を迎え入れるときの、登録から利用開始までの流れが用意されていること</t>
  </si>
  <si>
    <t>Custom Domain での federation</t>
  </si>
  <si>
    <t>顧客ごとの独自ドメインでフェデレーションできること</t>
  </si>
  <si>
    <t>TOTP（Google Authenticator 等）</t>
  </si>
  <si>
    <t>スマートフォンアプリの数字コードで追加認証できること</t>
  </si>
  <si>
    <t>追加認証は Keycloak-Broker では扱わない。ローカル収容ユーザは Keycloak-IdP 側</t>
  </si>
  <si>
    <t>生体認証やセキュリティキーで追加認証できること</t>
  </si>
  <si>
    <t>SMS の数字コードで追加認証できること</t>
  </si>
  <si>
    <t>メール OTP</t>
  </si>
  <si>
    <t>メールの数字コードで追加認証できること</t>
  </si>
  <si>
    <t>バックアップコード</t>
  </si>
  <si>
    <t>端末を失くしたときに使う予備のコードを発行できること</t>
  </si>
  <si>
    <t>条件付き MFA（IP / リスクベース）</t>
  </si>
  <si>
    <t>接続元やリスクに応じて追加認証を出し分けられること</t>
  </si>
  <si>
    <t>MFA 強制 / 任意の切替（ロール単位）</t>
  </si>
  <si>
    <t>追加認証を必須にするか任意にするかを役割ごとに切り替えられること</t>
  </si>
  <si>
    <t>端末記憶（Trusted Device）</t>
  </si>
  <si>
    <t>一度確認した端末を覚えて、次回から追加認証を省けること</t>
  </si>
  <si>
    <t>管理者の MFA 強制</t>
  </si>
  <si>
    <t>管理者には追加認証を必ず求めること</t>
  </si>
  <si>
    <t>同一 IdP 内の複数 Client 間 SSO</t>
  </si>
  <si>
    <t>同じ顧客の複数のアプリを、一度のログインで行き来できること</t>
  </si>
  <si>
    <t>Auth0/Entra 経由のクロス IdP SSO</t>
  </si>
  <si>
    <t>顧客IdP を経由した場合も、複数のアプリを一度のログインで行き来できること</t>
  </si>
  <si>
    <t>IdP セッション破棄（OIDC RP-Initiated Logout）</t>
  </si>
  <si>
    <t>フェデレーション IdP セッション破棄（連動ログアウト）</t>
  </si>
  <si>
    <t>画面経由で他のアプリにログアウトを伝えられること</t>
  </si>
  <si>
    <t>Back-Channel を採用するため作らない</t>
  </si>
  <si>
    <t>サーバ間の通知で他のアプリにログアウトを伝えられること</t>
  </si>
  <si>
    <t>管理者の操作で、対象のログイン状態をまとめて破棄できること</t>
  </si>
  <si>
    <t>JWT に載せた情報でアプリが可否を判断できること</t>
  </si>
  <si>
    <t>顧客を指す値で、他の顧客のデータに触れられないようにできること</t>
  </si>
  <si>
    <t>roles クレームによるロール認可</t>
  </si>
  <si>
    <t>役割を表す情報で可否を判断できること</t>
  </si>
  <si>
    <t>認可はこちらでは行わない</t>
  </si>
  <si>
    <t>役割に上下関係を持たせられること</t>
  </si>
  <si>
    <t>scope ベース認可（M2M）</t>
  </si>
  <si>
    <t>システム間の呼び出しで、許す範囲を限定できること</t>
  </si>
  <si>
    <t>任意の属性を JWT に載せられること</t>
  </si>
  <si>
    <t>マルチイシュア対応（複数 User Pool / Realm）</t>
  </si>
  <si>
    <t>発行元が複数あっても正しく検証できること</t>
  </si>
  <si>
    <t>データ 1 件ごとに細かく可否を判断できること</t>
  </si>
  <si>
    <t>属性の組み合わせで動的に可否を判断できること</t>
  </si>
  <si>
    <t>ユーザを作る・変える・消せること</t>
  </si>
  <si>
    <t>顧客ごとの追加の項目を持たせられること</t>
  </si>
  <si>
    <t>顧客の人事システムから SCIM でユーザを受け取れること</t>
  </si>
  <si>
    <t>ユーザが自分で自分の情報を変えられること</t>
  </si>
  <si>
    <t>ローカル収容ユーザの話</t>
  </si>
  <si>
    <t>ユーザを検索・一覧表示できること</t>
  </si>
  <si>
    <t>管理画面はアプリ</t>
  </si>
  <si>
    <t>ユーザをグループでまとめられること</t>
  </si>
  <si>
    <t>Phase 1 では作らない（SCIM のグループ連携も対象外）</t>
  </si>
  <si>
    <t>ユーザに役割を割り当てられること</t>
  </si>
  <si>
    <t>権限はこちらでは扱わない</t>
  </si>
  <si>
    <t>ファイルからまとめてユーザを取り込めること</t>
  </si>
  <si>
    <t>管理者がユーザのパスワードを強制的に初期化できること</t>
  </si>
  <si>
    <t>ユーザを消すときに関連するデータも消せること</t>
  </si>
  <si>
    <t>新しいユーザに招待を送れること</t>
  </si>
  <si>
    <t>管理コンソール UI</t>
  </si>
  <si>
    <t>管理のための画面があること</t>
  </si>
  <si>
    <t>管理画面はアプリが作る</t>
  </si>
  <si>
    <t>顧客を追加・削除できること</t>
  </si>
  <si>
    <t>設計は本基盤。細部は運用設計で詰める</t>
  </si>
  <si>
    <t>IdP 追加・削除・更新</t>
  </si>
  <si>
    <t>顧客IdP を追加・変更・削除できること</t>
  </si>
  <si>
    <t>アプリの接続登録を管理できること</t>
  </si>
  <si>
    <t>役割の定義を管理できること</t>
  </si>
  <si>
    <t>権限を細かく設定できること</t>
  </si>
  <si>
    <t>設定を変えた履歴が残ること</t>
  </si>
  <si>
    <t>顧客ごとに設定を分けられること</t>
  </si>
  <si>
    <t>管理者にも役割を持たせて操作を制限できること</t>
  </si>
  <si>
    <t>管理画面の権限はアプリ</t>
  </si>
  <si>
    <t>顧客の管理者に運用の一部を任せられること</t>
  </si>
  <si>
    <t>カスタマイズ可能なログイン UI</t>
  </si>
  <si>
    <t>ログイン画面の見た目を変えられること</t>
  </si>
  <si>
    <t>OIDC / OAuth 2.0 の標準に従っていること</t>
  </si>
  <si>
    <t>OIDC Discovery（`.well-known`）</t>
  </si>
  <si>
    <t>接続情報を公開の場所から自動で取得できること</t>
  </si>
  <si>
    <t>JWKS 公開エンドポイント</t>
  </si>
  <si>
    <t>署名鍵を公開の場所から取得できること</t>
  </si>
  <si>
    <t>旧方式（SAML）の接続情報を交換できること</t>
  </si>
  <si>
    <t>Webhook イベント通知（user.created 等）</t>
  </si>
  <si>
    <t>ユーザの変更をアプリへ通知できること（Webhook）</t>
  </si>
  <si>
    <t>管理 REST API</t>
  </si>
  <si>
    <t>管理のための API があること</t>
  </si>
  <si>
    <t>監査の記録を外部へ出力できること</t>
  </si>
  <si>
    <t>全体の共通基盤へ出して集約する</t>
  </si>
  <si>
    <t>監査ログ SIEM 連携（Splunk / Datadog）</t>
  </si>
  <si>
    <t>監査の記録を分析製品へ連携できること</t>
  </si>
  <si>
    <t>共通基盤側の範囲</t>
  </si>
  <si>
    <t>Terraform / IaC 管理</t>
  </si>
  <si>
    <t>構成をコードで管理できること</t>
  </si>
  <si>
    <t>サービス稼働率 SLA</t>
  </si>
  <si>
    <t>顧客に約束する稼働率を定めて満たすこと</t>
  </si>
  <si>
    <t>計画メンテナンス窓</t>
  </si>
  <si>
    <t>計画的に止める時間の枠を定めること</t>
  </si>
  <si>
    <t>マルチ AZ 配置</t>
  </si>
  <si>
    <t>複数の区画に分けて配置し、片方が落ちても動くこと</t>
  </si>
  <si>
    <t>部品が落ちたときに自動で立ち上がり直すこと</t>
  </si>
  <si>
    <t>1 か所が落ちると全部止まる箇所を無くすこと</t>
  </si>
  <si>
    <t>入れ替えのときにログインを止めないこと</t>
  </si>
  <si>
    <t>認証応答時間（P50 / P95 / P99）</t>
  </si>
  <si>
    <t>ログインの応答時間が目標に収まること</t>
  </si>
  <si>
    <t>同時に来るログインの数を目標まで捌けること</t>
  </si>
  <si>
    <t>JWT 検証スループット</t>
  </si>
  <si>
    <t>JWT の検証を目標の件数まで捌けること</t>
  </si>
  <si>
    <t>JWKS キャッシュ TTL</t>
  </si>
  <si>
    <t>署名鍵の取得結果を一定時間持ち回して負荷を下げること</t>
  </si>
  <si>
    <t>始業時などの山に耐えられること</t>
  </si>
  <si>
    <t>DB 応答時間（Keycloak のみ）</t>
  </si>
  <si>
    <t>データベースの応答時間が目標に収まること</t>
  </si>
  <si>
    <t>MAU スケール上限</t>
  </si>
  <si>
    <t>想定するユーザ数まで伸ばせること</t>
  </si>
  <si>
    <t>同時にログインしている数の山に耐えられること</t>
  </si>
  <si>
    <t>顧客テナント数（IdP 数）スケール</t>
  </si>
  <si>
    <t>顧客IdP の数が増えても捌けること</t>
  </si>
  <si>
    <t>負荷に応じて自動で増減すること</t>
  </si>
  <si>
    <t>マルチリージョン対応（複数地域での同時稼働）</t>
  </si>
  <si>
    <t>複数の地域で同時に動かせること</t>
  </si>
  <si>
    <t>災害対策の結論に従属。Phase 1 では別地域は待機のみ</t>
  </si>
  <si>
    <t>データベースを増強できること</t>
  </si>
  <si>
    <t>通信が暗号化されていること</t>
  </si>
  <si>
    <t>保管したデータが暗号化されていること</t>
  </si>
  <si>
    <t>JWT の署名方式が安全なものであること</t>
  </si>
  <si>
    <t>JWT の有効期限が適切に短いこと</t>
  </si>
  <si>
    <t>本人確認結果の有効期限が定められていること</t>
  </si>
  <si>
    <t>更新用の資格を使うたびに入れ替えること</t>
  </si>
  <si>
    <t>パスワードを安全な方式で保管すること</t>
  </si>
  <si>
    <t>総当たりを防ぐこと</t>
  </si>
  <si>
    <t>Keycloak-Broker はパスワードを持たないため、振り分けの実在推測の防止と試行回数の制限に置き換える</t>
  </si>
  <si>
    <t>外部からの攻撃を入口で遮ること（WAF）</t>
  </si>
  <si>
    <t>大量の通信で止められないようにすること</t>
  </si>
  <si>
    <t>疑似攻撃検査を定期的に受けること</t>
  </si>
  <si>
    <t>部品の弱点を定期的に検査すること</t>
  </si>
  <si>
    <t>接続用パスワードや鍵を安全に保管すること</t>
  </si>
  <si>
    <t>外から直接触れない区画に置くこと</t>
  </si>
  <si>
    <t>管理のための入口を限られた元からだけ通すこと</t>
  </si>
  <si>
    <t>JWKS エンドポイント保護</t>
  </si>
  <si>
    <t>署名鍵の公開先を守ること</t>
  </si>
  <si>
    <t>ログインの前後で状態を作り替え、乗っ取りを防ぐこと</t>
  </si>
  <si>
    <t>目標の時間内に復旧できること</t>
  </si>
  <si>
    <t>失うデータを目標の範囲に収めること</t>
  </si>
  <si>
    <t>控えを一定期間保つこと</t>
  </si>
  <si>
    <t>時点を指定して戻せること</t>
  </si>
  <si>
    <t>控えを別の地域にも置くこと</t>
  </si>
  <si>
    <t>DR 訓練</t>
  </si>
  <si>
    <t>復旧の訓練を定期的に行うこと</t>
  </si>
  <si>
    <t>DR 切替時のセッション維持</t>
  </si>
  <si>
    <t>切り替えてもログインし直さずに済むこと</t>
  </si>
  <si>
    <t>動きを測る値が取れること</t>
  </si>
  <si>
    <t>異常を検知したら通知が届くこと</t>
  </si>
  <si>
    <t>記録を定められた期間保つこと</t>
  </si>
  <si>
    <t>記録を必要な条件で探せること</t>
  </si>
  <si>
    <t>Keycloak の版を上げる方針が定まっていること</t>
  </si>
  <si>
    <t>パッチ適用（CVE 対応）</t>
  </si>
  <si>
    <t>弱点への修正を定めた期間内に当てること</t>
  </si>
  <si>
    <t>設定変更プロセス</t>
  </si>
  <si>
    <t>設定を変えるときの手順が定まっていること</t>
  </si>
  <si>
    <t>インシデント対応体制</t>
  </si>
  <si>
    <t>障害に対応する体制があること</t>
  </si>
  <si>
    <t>運用にかかる人手が想定の範囲に収まること</t>
  </si>
  <si>
    <t>入れ替えを自動で行えること</t>
  </si>
  <si>
    <t>個人情報保護法に沿った扱いをすること</t>
  </si>
  <si>
    <t>海外の個人情報の規則に沿えること</t>
  </si>
  <si>
    <t>海外展開時に再評価</t>
  </si>
  <si>
    <t>第三者認証（SOC 2）に対応できること</t>
  </si>
  <si>
    <t>取得の予定が決まってから</t>
  </si>
  <si>
    <t>第三者認証（ISO 27001）に対応できること</t>
  </si>
  <si>
    <t>PCI DSS（金融）</t>
  </si>
  <si>
    <t>カード業界の基準に対応できること</t>
  </si>
  <si>
    <t>該当する顧客が現れてから</t>
  </si>
  <si>
    <t>FIPS 140-3 認定（暗号モジュール認定、旧 140-2）</t>
  </si>
  <si>
    <t>暗号の実装が国の認定を受けていること</t>
  </si>
  <si>
    <t>不要と確定（2026-07-30）</t>
  </si>
  <si>
    <t>法令が求める期間まで記録を保つこと</t>
  </si>
  <si>
    <t>データを置く地域を限定できること</t>
  </si>
  <si>
    <t>本人の求めに応じてデータを消せること</t>
  </si>
  <si>
    <t>誰がいつ何をしたかを追えること</t>
  </si>
  <si>
    <t>暗号鍵のローテーションと所在の可視化</t>
  </si>
  <si>
    <t>鍵を定期的に入れ替え、どこにあるか分かること</t>
  </si>
  <si>
    <t>初期に作るための費用が見積もられていること</t>
  </si>
  <si>
    <t>毎月かかる設備の費用が見積もられていること</t>
  </si>
  <si>
    <t>MAU あたりコスト（連携）</t>
  </si>
  <si>
    <t>ユーザ 1 人あたりの費用が把握できること</t>
  </si>
  <si>
    <t>DR 追加月額</t>
  </si>
  <si>
    <t>災害対策を持つ場合の追加費用が把握できること</t>
  </si>
  <si>
    <t>運用にかかる人件費が見積もられていること</t>
  </si>
  <si>
    <t>RHBK サブスクリプション</t>
  </si>
  <si>
    <t>Keycloak の商用サポート費用の要否が定まっていること</t>
  </si>
  <si>
    <t>損益分岐 MAU（連携のみ）</t>
  </si>
  <si>
    <t>どの規模から自前が有利になるかが分かること</t>
  </si>
  <si>
    <t>3 年 TCO（10 万 MAU 想定）</t>
  </si>
  <si>
    <t>3 年分の総額が把握できること（小規模）</t>
  </si>
  <si>
    <t>3 年 TCO（50 万 MAU 想定）</t>
  </si>
  <si>
    <t>3 年分の総額が把握できること（中規模）</t>
  </si>
  <si>
    <t>既存の認証からユーザを移せること</t>
  </si>
  <si>
    <t>パスワードを暗号化したまま引き継げること</t>
  </si>
  <si>
    <t>特定の製品に縛られない作りであること</t>
  </si>
  <si>
    <t>データを取り出せること</t>
  </si>
  <si>
    <t>新旧を並行して動かしながら段階的に移せること</t>
  </si>
  <si>
    <t>切替の計画は本基盤、実施はアプリ</t>
  </si>
  <si>
    <t>MKA-01 MKJ-01</t>
  </si>
  <si>
    <t>GD-09 GD-10 GD-14 GD-15 HB-F-AUTH-05 HE-14 HJ-02a HJ-09 HJ-10a</t>
  </si>
  <si>
    <t>DDB-01 DDB-14 DDE-01 DDI-02</t>
  </si>
  <si>
    <t>MKB-02 MKB-03 MKB-22 MKI-02 MKI-13</t>
  </si>
  <si>
    <t>IT-07 ST-04</t>
  </si>
  <si>
    <t>全工程あり</t>
  </si>
  <si>
    <t>IT-01 IT-07 RI-01 RI-02 ST-04</t>
  </si>
  <si>
    <t>MKB-21 MKI-12</t>
  </si>
  <si>
    <t>MKB-07 MKI-05</t>
  </si>
  <si>
    <t>GD-09 GD-10 GD-14 GD-15 HB-F-ADM-16 HB-F-AUTH-05 HE-14 HJ-02a HJ-10a</t>
  </si>
  <si>
    <t>DDB-01 DDE-01 DDI-02</t>
  </si>
  <si>
    <t>MKB-02 MKB-03 MKB-16 MKI-02</t>
  </si>
  <si>
    <t>IT-01 RI-02</t>
  </si>
  <si>
    <t>IT-01 OP-01 RI-01 RI-02 ST-04</t>
  </si>
  <si>
    <t>HB-F-ADM-16 HB-F-AUTH-06 HE-15</t>
  </si>
  <si>
    <t>DDB-02 DDE-02 DDI-03</t>
  </si>
  <si>
    <t>MKB-04 MKB-16 MKI-03</t>
  </si>
  <si>
    <t>IT-02 RI-03 ST-05</t>
  </si>
  <si>
    <t>GD-13 HB-F-INT-01 HE-16</t>
  </si>
  <si>
    <t>DDB-15 DDI-08</t>
  </si>
  <si>
    <t>MKB-23 MKI-14</t>
  </si>
  <si>
    <t>IT-08 RI-05 ST-25 ST-26</t>
  </si>
  <si>
    <t>DDB-03 DDI-04</t>
  </si>
  <si>
    <t>MKB-05 MKI-04</t>
  </si>
  <si>
    <t>ST-04 ST-06 ST-12</t>
  </si>
  <si>
    <t>HB-F-PROV-02 HD-05 HD-18</t>
  </si>
  <si>
    <t>DDB-04 DDD-01</t>
  </si>
  <si>
    <t>MKB-06 MKB-10</t>
  </si>
  <si>
    <t>IT-04 ST-07 ST-16</t>
  </si>
  <si>
    <t>HB-F-AZ-05a HJ-01a</t>
  </si>
  <si>
    <t>DDB-12 DDB-17</t>
  </si>
  <si>
    <t>MKB-20 MKB-27 MKI-11</t>
  </si>
  <si>
    <t>IT-12 ST-24</t>
  </si>
  <si>
    <t>HB-F-ADM-14 HB-F-ADM-16</t>
  </si>
  <si>
    <t>MKB-14 MKB-16</t>
  </si>
  <si>
    <t>OP-02 ST-21 UAT-02</t>
  </si>
  <si>
    <t>HB-F-AUTH-02 HB-F-AUTH-04 HC-04a HJ-03</t>
  </si>
  <si>
    <t>DDC-01 DDH-01 DDI-01</t>
  </si>
  <si>
    <t>MKB-01 MKC-01 MKC-03 MKI-01 MKI-08</t>
  </si>
  <si>
    <t>ST-01 ST-02 ST-03</t>
  </si>
  <si>
    <t>GD-21 GD-24 HA-10</t>
  </si>
  <si>
    <t>DDA-01 DDI-05</t>
  </si>
  <si>
    <t>MKB-08 MKI-06</t>
  </si>
  <si>
    <t>GD-09 GD-10 GD-14 GD-15 GD-21 GD-24 HA-10 HB-F-AUTH-05 HE-14 HJ-02a HJ-10a</t>
  </si>
  <si>
    <t>DDA-01 DDB-01 DDE-01 DDI-02 DDI-05</t>
  </si>
  <si>
    <t>MKB-02 MKB-03 MKB-08 MKI-02 MKI-06</t>
  </si>
  <si>
    <t>IT-01 RI-01 RI-02 ST-04 ST-08</t>
  </si>
  <si>
    <t>GD-22 GD-23</t>
  </si>
  <si>
    <t>MKB-09 MKI-07</t>
  </si>
  <si>
    <t>GD-16 GD-17 HB-F-PROV-10 HJ-07</t>
  </si>
  <si>
    <t>DDB-07 DDE-08 DDI-07</t>
  </si>
  <si>
    <t>MKB-12 MKB-19 MKI-10</t>
  </si>
  <si>
    <t>GD-16 GD-17 HJ-07</t>
  </si>
  <si>
    <t>DDE-08 DDI-07</t>
  </si>
  <si>
    <t>MKB-19 MKI-10</t>
  </si>
  <si>
    <t>IT-05 ST-23</t>
  </si>
  <si>
    <t>MKB-20 MKI-11</t>
  </si>
  <si>
    <t>ST-15 ST-24</t>
  </si>
  <si>
    <t>GD-16 GD-17 HD-05 HD-18 HJ-07</t>
  </si>
  <si>
    <t>DDD-01 DDE-08 DDI-07</t>
  </si>
  <si>
    <t>MKB-10 MKB-19 MKI-10</t>
  </si>
  <si>
    <t>PT-02 ST-16 ST-23</t>
  </si>
  <si>
    <t>GD-16 GD-17 HJ-01a HJ-07</t>
  </si>
  <si>
    <t>DDB-17 DDE-08 DDI-07</t>
  </si>
  <si>
    <t>MKB-19 MKB-27 MKI-10</t>
  </si>
  <si>
    <t>HD-05 HD-18</t>
  </si>
  <si>
    <t>ST-16 ST-17</t>
  </si>
  <si>
    <t>HB-F-PROV-03 HB-F-PROV-04 HB-F-PROV-05 HB-F-PROV-06 HE-09</t>
  </si>
  <si>
    <t>DDE-04 DDE-05 DDE-06 DDE-07 DDI-06</t>
  </si>
  <si>
    <t>MKE-01 MKE-02 MKI-09</t>
  </si>
  <si>
    <t>IT-04 RI-04 ST-12 ST-13 ST-14 ST-15</t>
  </si>
  <si>
    <t>HB-F-PROV-10 HB-F-PROV-11</t>
  </si>
  <si>
    <t>DDB-07 DDB-08</t>
  </si>
  <si>
    <t>MKB-12 MKB-13</t>
  </si>
  <si>
    <t>ST-18 ST-19</t>
  </si>
  <si>
    <t>HD-24 HK-07</t>
  </si>
  <si>
    <t>DDB-16 DDD-02</t>
  </si>
  <si>
    <t>MKB-26 MKF-01</t>
  </si>
  <si>
    <t>G-1.2 HB-F-ADM-14</t>
  </si>
  <si>
    <t>DDB-09 DDB-10</t>
  </si>
  <si>
    <t>MKB-14 MKB-15</t>
  </si>
  <si>
    <t>ST-21 ST-22</t>
  </si>
  <si>
    <t>D-12 HB-F-ADM-16</t>
  </si>
  <si>
    <t>MKB-16 MKB-17</t>
  </si>
  <si>
    <t>OP-01 UAT-02</t>
  </si>
  <si>
    <t>MKB-22 MKI-13</t>
  </si>
  <si>
    <t>HG-04 HG-05</t>
  </si>
  <si>
    <t>DDD-04 DDE-09</t>
  </si>
  <si>
    <t>MKH-01 MKI-15</t>
  </si>
  <si>
    <t>IT-09 OP-03</t>
  </si>
  <si>
    <t>HC-04a HC-04j</t>
  </si>
  <si>
    <t>DDC-01 DDC-02</t>
  </si>
  <si>
    <t>MKC-03 MKC-04 MKI-08</t>
  </si>
  <si>
    <t>ST-10 ST-11</t>
  </si>
  <si>
    <t>GD-09 GD-10 GD-14 GD-15 GD-16 GD-17 HB-F-AUTH-05 HE-14 HJ-02a HJ-07 HJ-10a</t>
  </si>
  <si>
    <t>DDB-01 DDE-01 DDE-08 DDI-02 DDI-07</t>
  </si>
  <si>
    <t>MKB-02 MKB-03 MKB-19 MKI-02 MKI-10</t>
  </si>
  <si>
    <t>GD-18 HB-F-BAT-04 HJ-09</t>
  </si>
  <si>
    <t>DDB-14 DDF-02</t>
  </si>
  <si>
    <t>MKB-22 MKF-03 MKI-13 MKI-16</t>
  </si>
  <si>
    <t>GD-13 HB-F-AUTH-06 HB-F-INT-01 HE-15 HE-16</t>
  </si>
  <si>
    <t>DDB-02 DDB-15 DDE-02 DDI-03 DDI-08</t>
  </si>
  <si>
    <t>MKB-04 MKB-23 MKI-03 MKI-14</t>
  </si>
  <si>
    <t>IT-02 IT-08 ST-25 ST-27</t>
  </si>
  <si>
    <t>HA-16 HA-17</t>
  </si>
  <si>
    <t>OP-11</t>
  </si>
  <si>
    <t>E-5 HJ-06</t>
  </si>
  <si>
    <t>DDG-12 DDH-02</t>
  </si>
  <si>
    <t>MKA-18 MKC-05</t>
  </si>
  <si>
    <t>OP-10 SEC-09</t>
  </si>
  <si>
    <t>HJ-17 HJ-19</t>
  </si>
  <si>
    <t>MKA-05 MKA-06 MKD-01</t>
  </si>
  <si>
    <t>HD-01 HD-04 HD-25 HJ-17 HJ-19</t>
  </si>
  <si>
    <t>DDD-05 DDD-06 DDG-04</t>
  </si>
  <si>
    <t>IT-14 PT-03 PT-04</t>
  </si>
  <si>
    <t>E-4a E-4d E-4e HA-21</t>
  </si>
  <si>
    <t>DDA-02 DDA-03</t>
  </si>
  <si>
    <t>MKA-09 MKB-28</t>
  </si>
  <si>
    <t>HA-11 HA-13</t>
  </si>
  <si>
    <t>MKB-29</t>
  </si>
  <si>
    <t>E-4a E-4d E-4e</t>
  </si>
  <si>
    <t>E-2 HA-21</t>
  </si>
  <si>
    <t>DDA-02 DDI-09</t>
  </si>
  <si>
    <t>MKA-09 MKH-02</t>
  </si>
  <si>
    <t>HD-01 HD-04 HD-25</t>
  </si>
  <si>
    <t>DDD-05 DDD-06</t>
  </si>
  <si>
    <t>IT-14 PT-04</t>
  </si>
  <si>
    <t>A-1.7 G-5.8 HA-22</t>
  </si>
  <si>
    <t>A-1.7 G-5.8 HA-22 HB-F-ADM-16</t>
  </si>
  <si>
    <t>MKA-10 MKB-16</t>
  </si>
  <si>
    <t>E-4c G-4.2 HA-05 HA-26 HE-19a</t>
  </si>
  <si>
    <t>DDA-05 DDG-03</t>
  </si>
  <si>
    <t>MKA-03 MKA-04 MKA-16</t>
  </si>
  <si>
    <t>E-4c HA-26 HE-19a</t>
  </si>
  <si>
    <t>GD-16 GD-17 GD-18 HB-F-BAT-04 HJ-07</t>
  </si>
  <si>
    <t>DDE-08 DDF-02 DDI-07</t>
  </si>
  <si>
    <t>MKB-19 MKF-03 MKI-10 MKI-16</t>
  </si>
  <si>
    <t>PT-02 ST-23</t>
  </si>
  <si>
    <t>SEC-01 SEC-05 ST-01 ST-11</t>
  </si>
  <si>
    <t>E-4b HG-08</t>
  </si>
  <si>
    <t>MKA-15 MKI-18</t>
  </si>
  <si>
    <t>E-4c HA-26 HB-F-BAT-05 HE-19a</t>
  </si>
  <si>
    <t>DDA-05 DDF-03</t>
  </si>
  <si>
    <t>MKA-16 MKF-04</t>
  </si>
  <si>
    <t>SEC-03 SEC-07</t>
  </si>
  <si>
    <t>G-4.2 HA-05</t>
  </si>
  <si>
    <t>MKA-03 MKA-04</t>
  </si>
  <si>
    <t>G-1.6 G-4.2 HA-05</t>
  </si>
  <si>
    <t>DDG-03 DDG-11</t>
  </si>
  <si>
    <t>MKA-03 MKA-04 MKA-17</t>
  </si>
  <si>
    <t>SEC-04 SEC-05</t>
  </si>
  <si>
    <t>D-18.1 D-18.2 D-18.3 D-18.4 G-1.11 G-1.8 G-1.9 HK-02</t>
  </si>
  <si>
    <t>DDG-06 DDG-07 DDG-08</t>
  </si>
  <si>
    <t>MKA-11 MKA-12 MKA-13 MKI-17</t>
  </si>
  <si>
    <t>DR-01 OP-06</t>
  </si>
  <si>
    <t>DR-01 DR-02 OP-06</t>
  </si>
  <si>
    <t>D-18.1 D-18.2 D-18.3 D-18.4 G-1.11 G-1.8 G-1.9</t>
  </si>
  <si>
    <t>DR-01 DR-02</t>
  </si>
  <si>
    <t>DR-03 DR-04</t>
  </si>
  <si>
    <t>HH-01 HH-02 HH-03</t>
  </si>
  <si>
    <t>OP-02 OP-05</t>
  </si>
  <si>
    <t>G-5.1 G-5.2 G-5.3 G-5.6</t>
  </si>
  <si>
    <t>G-1.3 G-1.4 G-5.1 G-5.2 G-5.3 G-5.6</t>
  </si>
  <si>
    <t>OP-08 UAT-03</t>
  </si>
  <si>
    <t>G-5.5 G-5.7</t>
  </si>
  <si>
    <t>G-5.4 HB-F-ADM-16</t>
  </si>
  <si>
    <t>IT-09 ST-20</t>
  </si>
  <si>
    <t>OP-04 ST-22</t>
  </si>
  <si>
    <t>E-4c GD-18 HA-26 HB-F-BAT-04 HB-F-BAT-05 HB-F-BAT-07 HE-19a</t>
  </si>
  <si>
    <t>DDA-05 DDF-02 DDF-03 DDF-04</t>
  </si>
  <si>
    <t>MKA-16 MKF-03 MKF-04 MKF-05 MKI-16</t>
  </si>
  <si>
    <t>SEC-02 SEC-07</t>
  </si>
  <si>
    <t>別シートで管理（コスト見積もり）</t>
  </si>
  <si>
    <t>GD-09 GD-10 GD-14 GD-15 HB-F-AUTH-05 HE-14 HE-22a HJ-02a HJ-10a</t>
  </si>
  <si>
    <t>DDB-01 DDE-01 DDE-10 DDI-02</t>
  </si>
  <si>
    <t>MKB-02 MKB-03 MKI-02</t>
  </si>
  <si>
    <t>IT-01 IT-15 RI-01 RI-02 ST-04</t>
  </si>
  <si>
    <t>HB-F-AZ-07</t>
    <phoneticPr fontId="2"/>
  </si>
  <si>
    <t>要件実現対象</t>
  </si>
  <si>
    <t>構築場所</t>
  </si>
  <si>
    <t>アプリ側で実施</t>
  </si>
  <si>
    <t>その他</t>
  </si>
  <si>
    <t>顧客側で実施</t>
  </si>
  <si>
    <t>🔺 一部の工程のみ</t>
  </si>
  <si>
    <t>ST-27</t>
    <phoneticPr fontId="2"/>
  </si>
  <si>
    <t>OP-11</t>
    <phoneticPr fontId="2"/>
  </si>
  <si>
    <t>業務システムに対して、Keycloak-Broker が認証の提供元として振る舞う</t>
  </si>
  <si>
    <t>MKF-05</t>
  </si>
  <si>
    <t>開示と削除の求めへの対応の実装設計</t>
  </si>
  <si>
    <t>本人を特定する方法・取り出す範囲・消す範囲と、対応の記録の残し方が確定している</t>
  </si>
  <si>
    <t>MK-B Keycloak-Broker の設定・構築</t>
  </si>
  <si>
    <t>開示と削除の手段の実装</t>
  </si>
  <si>
    <t>本人分のデータを取り出せ、消せることを実機で確認できる</t>
  </si>
  <si>
    <t>対象の表ごとの保持年数・消去の起点・消去の順序と、消し残しの検出方法が確定している</t>
  </si>
  <si>
    <t>消去処理の実装</t>
  </si>
  <si>
    <t>期限を過ぎたデータが自動で消え、消したことが記録に残る</t>
  </si>
  <si>
    <t>顧客が持つ認証システムに認証を委ね、その結果を受けてログインさせる。Keycloak-Broker の中核で、ユーザの大半がこの経路を通る</t>
  </si>
  <si>
    <t>顧客側に認証システムが無い顧客のユーザと、基盤の運用者が、Keycloak-Broker に直接 ID とパスワードでログインする</t>
  </si>
  <si>
    <t>顧客IdPを Keycloak-Broker に接続し、設定と証明書を維持する</t>
  </si>
  <si>
    <t>ServiceNow などの業務システムへ Keycloak-Broker がログインを提供し、業務システム側にユーザを自動作成させる</t>
  </si>
  <si>
    <t>顧客IdP経由で初めてログインした人を、その場で Keycloak-Broker のユーザとして作成する</t>
  </si>
  <si>
    <t>Keycloak-Broker から見て Keycloak-IdP を顧客IdP の 1 つ（共有エントリ）として接続する。識別子の引き継ぎ・追加認証結果の取り込み・ログアウト連鎖・セッション上限の同値を含む。Keycloak-IdP 側の Client・Realm 設定は要求仕様としてアプリチームへ渡す（2026-09-07 復活: 2 台構成に戻したため）</t>
  </si>
  <si>
    <t>顧客側に認証システムが無い顧客のユーザが Keycloak-IdP に、本基盤の運用者が Keycloak-Broker に、ID とパスワードで直接ログインする。顧客のユーザ分は Keycloak-IdP 側（アプリ責務）、運用者分は本基盤</t>
  </si>
  <si>
    <t>Keycloak-IdP 側の引き渡しと責任分界</t>
  </si>
  <si>
    <t>F-AUTH-29</t>
  </si>
  <si>
    <t>Keycloak-IdP 用の基盤（ROSA）をどこまで作って渡すか、渡した後の非機能（可用性・復旧・監視・更新・鍵・ログ）を誰が持つか。本基盤は ROSA の引き渡しまで、以降はアプリ責務</t>
  </si>
  <si>
    <t>端末の生体認証やセキュリティキーを使った追加認証。Keycloak-Broker の推奨方式</t>
  </si>
  <si>
    <t>利用規約などへの同意を画面で取り、いつ誰がどの版に同意したかを記録する。要否は顧客回答待ち（D-22）</t>
  </si>
  <si>
    <t>長期間（90 日）ログインのないユーザを自動で使えない状態にする定期処理。顧客IdP 経由で自動作成したユーザのみが対象で、Keycloak-IdP 収容ユーザと顧客システム連携ユーザは対象外</t>
  </si>
  <si>
    <t>片方で止めた事実をもう一方へ必ず伝える。2026-09-07 決定: 伝播しない。Keycloak-IdP 側で止めた後の残存は Keycloak-Broker のセッション上限（12 時間）で受容する</t>
  </si>
  <si>
    <t>再開も止めたときと同じ経路で伝える。2026-09-07 決定: 伝播しない。Keycloak-IdP 側で止めた後の残存は Keycloak-Broker のセッション上限（12 時間）で受容する</t>
  </si>
  <si>
    <t>新しいアプリを Keycloak-Broker に接続するときの登録内容・申請の流れ・接続情報の渡し方</t>
  </si>
  <si>
    <t>管理 API の内部公開（idm-api 向け）</t>
  </si>
  <si>
    <t>F-INT-14</t>
  </si>
  <si>
    <t>アプリ側の管理 API（idm-api）が Keycloak-Broker の管理 API を呼ぶための内部経路と、呼び出し元の資格・許す操作の範囲。ユーザの停止・全セッション破棄など管理画面からの操作はここを通る</t>
  </si>
  <si>
    <t>止めた事実が確実に伝わったかを短い間隔で突き合わせる。2026-09-07 決定: 伝播しない。Keycloak-IdP 側で止めた後の残存は Keycloak-Broker のセッション上限（12 時間）で受容する</t>
  </si>
  <si>
    <t>運用者アカウントと権限の保護</t>
  </si>
  <si>
    <t>NF-OPS-11</t>
  </si>
  <si>
    <t>本基盤運用者のローカル認証（WebAuthn 必須）、常時の全権付与の禁止と必要時だけの昇格、緊急時アクセスとの関係、定期棚卸し</t>
  </si>
  <si>
    <t>HE-24</t>
  </si>
  <si>
    <t>HB-F-AUTH-02</t>
    <phoneticPr fontId="2"/>
  </si>
  <si>
    <t>顧客IdPの自動振り分け</t>
    <phoneticPr fontId="2"/>
  </si>
  <si>
    <t>機能仕様書: 顧客IdPの自動振り分け（HRD）</t>
    <phoneticPr fontId="2"/>
  </si>
  <si>
    <t>入力された ID から、その人がどの顧客IdPのユーザかを判定し、自動で送り先を決める</t>
    <phoneticPr fontId="2"/>
  </si>
  <si>
    <t>顧客IdPが複数ある前提で、ユーザが自分の顧客IdPにたどり着く唯一の手段</t>
    <phoneticPr fontId="2"/>
  </si>
  <si>
    <t>HJ-03</t>
    <phoneticPr fontId="2"/>
  </si>
  <si>
    <t>HJ Keycloak-Brokerの作り込み</t>
    <phoneticPr fontId="2"/>
  </si>
  <si>
    <t>HRD：自社拡張の仕様書（判定ロジック・切替）</t>
    <phoneticPr fontId="2"/>
  </si>
  <si>
    <t>判定を行う自社拡張の入出力・動作条件・Keycloak-Brokerへの組み込み位置を決める</t>
    <phoneticPr fontId="2"/>
  </si>
  <si>
    <t>Keycloak-Brokerの標準機能では実現できず、自社拡張で作る必要がある</t>
    <phoneticPr fontId="2"/>
  </si>
  <si>
    <t>HB-F-AUTH-03</t>
    <phoneticPr fontId="2"/>
  </si>
  <si>
    <t>機能仕様書: 振り分けできないときのパスワード入力への切替</t>
    <phoneticPr fontId="2"/>
  </si>
  <si>
    <t>顧客IdPを判定できなかったときに、パスワード入力へ切り替えて処理を続ける動き</t>
    <phoneticPr fontId="2"/>
  </si>
  <si>
    <t>どの顧客か分からない状態でもユーザを止めないための逃げ道</t>
    <phoneticPr fontId="2"/>
  </si>
  <si>
    <t>HB-F-AUTH-04</t>
    <phoneticPr fontId="2"/>
  </si>
  <si>
    <t>顧客IdPの選択（1 顧客に複数）</t>
    <phoneticPr fontId="2"/>
  </si>
  <si>
    <t>機能仕様書: 顧客IdPの選択画面</t>
    <phoneticPr fontId="2"/>
  </si>
  <si>
    <t>1 つの顧客に顧客IdPが複数ある場合に、ユーザにどれを使うか選ばせる</t>
    <phoneticPr fontId="2"/>
  </si>
  <si>
    <t>グループ会社や部門ごとに認証システムを持つ顧客がいるため</t>
    <phoneticPr fontId="2"/>
  </si>
  <si>
    <t>HB-F-AUTH-05</t>
    <phoneticPr fontId="2"/>
  </si>
  <si>
    <t>顧客IdPへのログイン委譲（OIDC）</t>
    <phoneticPr fontId="2"/>
  </si>
  <si>
    <t>顧客IdPへ委ねる中核で、これが無いと基盤の存在理由が無い</t>
    <phoneticPr fontId="2"/>
  </si>
  <si>
    <t>ADR-033、U2 §2.2</t>
    <phoneticPr fontId="2"/>
  </si>
  <si>
    <t>HE-14</t>
    <phoneticPr fontId="2"/>
  </si>
  <si>
    <t>仕様書。顧客IdPの情報と、渡す項目が定まっている</t>
    <phoneticPr fontId="2"/>
  </si>
  <si>
    <t>HJ-02a</t>
    <phoneticPr fontId="2"/>
  </si>
  <si>
    <t>HJ Keycloak の作り込み</t>
    <phoneticPr fontId="2"/>
  </si>
  <si>
    <t>HJ-10a</t>
    <phoneticPr fontId="2"/>
  </si>
  <si>
    <t>Keycloak-Brokerの設定値一覧</t>
    <phoneticPr fontId="2"/>
  </si>
  <si>
    <t>Keycloak-Brokerの設定値を決める（外部連携を受ける側）</t>
    <phoneticPr fontId="2"/>
  </si>
  <si>
    <t>HE-17</t>
    <phoneticPr fontId="2"/>
  </si>
  <si>
    <t>顧客IdPごとの接続仕様の差分整理</t>
    <phoneticPr fontId="2"/>
  </si>
  <si>
    <t>【省略・吸収】HE-14 / HE-15 の認証プロトコル IF に吸収。人日は復活時のために残す</t>
    <phoneticPr fontId="2"/>
  </si>
  <si>
    <t>GD-09</t>
    <phoneticPr fontId="2"/>
  </si>
  <si>
    <t>サーバー側で処理を受け持つ形式のアプリ向けの実装手順。Keycloak-Broker の推奨形式</t>
    <phoneticPr fontId="2"/>
  </si>
  <si>
    <t>GD-10</t>
    <phoneticPr fontId="2"/>
  </si>
  <si>
    <t>ガイド 1 章。JWT をブラウザに保存してはいけない範囲と、使えない機能の制約が明示されている</t>
    <phoneticPr fontId="2"/>
  </si>
  <si>
    <t>GD-14</t>
    <phoneticPr fontId="2"/>
  </si>
  <si>
    <t>GD-15</t>
    <phoneticPr fontId="2"/>
  </si>
  <si>
    <t>第4部 JWT の取得・保存</t>
    <phoneticPr fontId="2"/>
  </si>
  <si>
    <t>受け取ったJWT をどこに保存してよいか・いけないかの方針</t>
    <phoneticPr fontId="2"/>
  </si>
  <si>
    <t>HB-F-AUTH-06</t>
    <phoneticPr fontId="2"/>
  </si>
  <si>
    <t>顧客IdPへのログイン委譲（SAML）</t>
    <phoneticPr fontId="2"/>
  </si>
  <si>
    <t>ADR-031、U2 §2.7</t>
    <phoneticPr fontId="2"/>
  </si>
  <si>
    <t>HE-15</t>
    <phoneticPr fontId="2"/>
  </si>
  <si>
    <t>D-11</t>
    <phoneticPr fontId="2"/>
  </si>
  <si>
    <t>旧方式の顧客IdPを登録するひな形</t>
    <phoneticPr fontId="2"/>
  </si>
  <si>
    <t>旧方式の顧客IdPを登録するときのひな形を作る</t>
    <phoneticPr fontId="2"/>
  </si>
  <si>
    <t>【省略・吸収】HE-15 認証プロトコル IF（SAML メタデータ・Assertion）に吸収。人日は復活時のために残す</t>
    <phoneticPr fontId="2"/>
  </si>
  <si>
    <t>HB-F-AUTH-07</t>
    <phoneticPr fontId="2"/>
  </si>
  <si>
    <t>機能仕様書: 初回ログイン時のユーザ自動作成（JIT）</t>
    <phoneticPr fontId="2"/>
  </si>
  <si>
    <t>顧客IdP経由で初めてログインした人を、その場で Keycloak-Broker のユーザとして作る</t>
    <phoneticPr fontId="2"/>
  </si>
  <si>
    <t>これが無いとフェデレーションのログインが完了しない。Keycloak-Brokerの初回連携フローに直結する</t>
    <phoneticPr fontId="2"/>
  </si>
  <si>
    <t>HB-F-PROV-02</t>
    <phoneticPr fontId="2"/>
  </si>
  <si>
    <t>機能仕様書: ログイン時の属性更新</t>
    <phoneticPr fontId="2"/>
  </si>
  <si>
    <t>2 回目以降のログインで、顧客側の最新の情報を使って属性を更新する</t>
    <phoneticPr fontId="2"/>
  </si>
  <si>
    <t>属性が古いままだとアプリ側の判断が誤る</t>
    <phoneticPr fontId="2"/>
  </si>
  <si>
    <t>HB-F-AUTH-09</t>
    <phoneticPr fontId="2"/>
  </si>
  <si>
    <t>Keycloak-Broker と Keycloak-IdP の連携</t>
    <phoneticPr fontId="2"/>
  </si>
  <si>
    <t>機能仕様書: Keycloak-IdP へのログイン委譲</t>
    <phoneticPr fontId="2"/>
  </si>
  <si>
    <t>Keycloak-Broker が Keycloak-IdP を顧客IdP の 1 つ（共有エントリ）として扱い、識別子の引き継ぎ・初回作成・追加認証結果（amr）の取り込みを行う</t>
    <phoneticPr fontId="2"/>
  </si>
  <si>
    <t>機能仕様書。渡す情報・受け取る情報・拒否時の扱い・2 回目以降は Keycloak-IdP を呼ばないことが定まっている</t>
    <phoneticPr fontId="2"/>
  </si>
  <si>
    <t>2 台構成に戻したため復活。顧客IdP を持たない顧客のログインはすべてここを通る</t>
    <phoneticPr fontId="2"/>
  </si>
  <si>
    <t>HE-23</t>
    <phoneticPr fontId="2"/>
  </si>
  <si>
    <t>Keycloak-Broker ⇄ Keycloak-IdP 接続仕様（要求仕様としてアプリチームへ渡す）</t>
    <phoneticPr fontId="2"/>
  </si>
  <si>
    <t>Keycloak-IdP 側に求める Client（broker-rp）・返す項目（tenant_id / username / amr）・login_hint の書式・ログアウト連鎖・セッション上限の同値（12 時間）・接続経路（閉域・単方向）を 1 冊にまとめる</t>
    <phoneticPr fontId="2"/>
  </si>
  <si>
    <t>接続仕様書。両チームが合意し、Keycloak-IdP 側の設定値がこの 1 冊で作れる</t>
    <phoneticPr fontId="2"/>
  </si>
  <si>
    <t>U2 §2.2.2〜2.2.5 / 02a / U6 D-U6-06 の決定を接続仕様の形にする。アプリチームとの境界そのもの</t>
    <phoneticPr fontId="2"/>
  </si>
  <si>
    <t>HI-11</t>
    <phoneticPr fontId="2"/>
  </si>
  <si>
    <t>接続仕様のアプリチームとの合意</t>
    <phoneticPr fontId="2"/>
  </si>
  <si>
    <t>接続仕様（HE-23）をアプリチームとレビューし、Keycloak-IdP 側の設定値と検証環境の提供時期を合意する</t>
    <phoneticPr fontId="2"/>
  </si>
  <si>
    <t>合意記録。設定値・検証環境の提供時期・連絡先が定まっている</t>
    <phoneticPr fontId="2"/>
  </si>
  <si>
    <t>合意が無いと結合試験（IT-16）が始められない</t>
    <phoneticPr fontId="2"/>
  </si>
  <si>
    <t>HB-F-AUTH-01</t>
    <phoneticPr fontId="2"/>
  </si>
  <si>
    <t>本基盤の運用者が Keycloak-Broker に ID とパスワード＋WebAuthn で直接ログインする機能。顧客のユーザ分（Keycloak-IdP 収容）はアプリ側の仕様とし、本仕様書は運用者分のみ</t>
    <phoneticPr fontId="2"/>
  </si>
  <si>
    <t>機能仕様書 1 本。運用者の認証手段・失敗時にユーザへ返す内容が定義されレビュー承認済み（パスワード桁数等の顧客ユーザ向け規則は対象外）</t>
    <phoneticPr fontId="2"/>
  </si>
  <si>
    <t>Keycloak-Broker にローカルで残るのは運用者だけ。顧客ユーザのパスワード規則は Keycloak-IdP（アプリ責務）</t>
    <phoneticPr fontId="2"/>
  </si>
  <si>
    <t>U2 §2.3、P-07</t>
    <phoneticPr fontId="2"/>
  </si>
  <si>
    <t>HJ-10b</t>
    <phoneticPr fontId="2"/>
  </si>
  <si>
    <t>Keycloak-Brokerの設定値一覧（ユーザを直接収容する側）</t>
    <phoneticPr fontId="2"/>
  </si>
  <si>
    <t>Keycloak-Brokerの設定値を決める（ユーザを直接収容する側）</t>
    <phoneticPr fontId="2"/>
  </si>
  <si>
    <t>Keycloak-IdP 側の設定値はアプリチームが決める。本基盤が求める値は接続仕様（HE-23）に限る</t>
    <phoneticPr fontId="2"/>
  </si>
  <si>
    <t>対象外：Keycloak-IdP 側の責務</t>
    <phoneticPr fontId="2"/>
  </si>
  <si>
    <t>HJ-20</t>
    <phoneticPr fontId="2"/>
  </si>
  <si>
    <t>Keycloak-IdP 側の引き渡しと責任分界</t>
    <phoneticPr fontId="2"/>
  </si>
  <si>
    <t>Keycloak-IdP 側の引き渡し範囲と責任分界の取り決め</t>
    <phoneticPr fontId="2"/>
  </si>
  <si>
    <t>基盤（ROSA）をどの状態まで作って渡すか、渡した後は誰が何を持つかを決める</t>
    <phoneticPr fontId="2"/>
  </si>
  <si>
    <t>基盤は基盤（ROSA）だけを作ってアプリチームへ引き渡す前提。境界が曖昧だと運用で揉める</t>
    <phoneticPr fontId="2"/>
  </si>
  <si>
    <t>F-AUTH-29</t>
    <phoneticPr fontId="2"/>
  </si>
  <si>
    <t>D-21</t>
    <phoneticPr fontId="2"/>
  </si>
  <si>
    <t>Keycloak-IdP 側の非機能責任表（可用性・復旧・監視・更新・鍵・ログ）</t>
    <phoneticPr fontId="2"/>
  </si>
  <si>
    <t>非機能要件ごとに Keycloak-IdP 側では誰が満たすかを表にする。本基盤は ROSA の引き渡しまで、以降はアプリ責務とする方針を明文化する</t>
    <phoneticPr fontId="2"/>
  </si>
  <si>
    <t>責任表。非機能要件の全行に Keycloak-IdP 側の担当が入っている</t>
    <phoneticPr fontId="2"/>
  </si>
  <si>
    <t>要件マッピングの「Keycloak-IdP 側」列の根拠。曖昧だと SLA と運用で揉める</t>
    <phoneticPr fontId="2"/>
  </si>
  <si>
    <t>HB-F-AUTH-10</t>
    <phoneticPr fontId="2"/>
  </si>
  <si>
    <t>【Keycloak-IdP 側の責務】追加認証はKeycloak-Broker では行わない。フェデレーションのユーザは顧客IdP側、直接収容するユーザは Keycloak-IdP 側で行う。人日は復活時のために残す</t>
    <phoneticPr fontId="2"/>
  </si>
  <si>
    <t>U7 D-U7-14</t>
    <phoneticPr fontId="2"/>
  </si>
  <si>
    <t>HB-F-AUTH-12</t>
    <phoneticPr fontId="2"/>
  </si>
  <si>
    <t>U4 §4.4.2</t>
    <phoneticPr fontId="2"/>
  </si>
  <si>
    <t>HB-F-AUTH-21</t>
    <phoneticPr fontId="2"/>
  </si>
  <si>
    <t>ユーザの存在推測の防止</t>
    <phoneticPr fontId="2"/>
  </si>
  <si>
    <t>機能仕様書: 振り分けの応答の同一化と試行回数の制限</t>
    <phoneticPr fontId="2"/>
  </si>
  <si>
    <t>入力された識別子が実在するかどうかが応答の違いから分からないようにし、短時間の繰り返し試行を制限する</t>
    <phoneticPr fontId="2"/>
  </si>
  <si>
    <t>Keycloak-Brokerはパスワードを持たないため連続失敗の締め出しは不要だが、振り分けは識別子を受け取るため実在の推測と総当たりが成立する。WAF は同じ送信元しか見ないので、分散して来ると効かない</t>
    <phoneticPr fontId="2"/>
  </si>
  <si>
    <t>HA-10</t>
    <phoneticPr fontId="2"/>
  </si>
  <si>
    <t>ログイン状態はKeycloak-Brokerが持つため全アプリ共通。アプリ内の保持方法はアプリが決めるが、全体の有効期間は 1 つの設定で全アプリに効くため共同で決める</t>
    <phoneticPr fontId="2"/>
  </si>
  <si>
    <t>GD-21</t>
    <phoneticPr fontId="2"/>
  </si>
  <si>
    <t>GD-24</t>
    <phoneticPr fontId="2"/>
  </si>
  <si>
    <t>JWT を延長するための仕組みと、不正利用が疑われた場合の挙動</t>
    <phoneticPr fontId="2"/>
  </si>
  <si>
    <t>GD-22</t>
    <phoneticPr fontId="2"/>
  </si>
  <si>
    <t>GD-23</t>
    <phoneticPr fontId="2"/>
  </si>
  <si>
    <t>HC-04a</t>
    <phoneticPr fontId="2"/>
  </si>
  <si>
    <t>画面仕様書: 識別子の入力画面（振り分け）</t>
    <phoneticPr fontId="2"/>
  </si>
  <si>
    <t>振り分けの起点となる、識別子を入力させる画面の項目・文言・遷移を決める</t>
    <phoneticPr fontId="2"/>
  </si>
  <si>
    <t>振り分け（HRD）は識別子の入力から始まるため、この画面が無いと成立しない</t>
    <phoneticPr fontId="2"/>
  </si>
  <si>
    <t>HC-04j</t>
    <phoneticPr fontId="2"/>
  </si>
  <si>
    <t>エラー・案内画面（Keycloak-Broker）</t>
    <phoneticPr fontId="2"/>
  </si>
  <si>
    <t>画面仕様書: エラー・案内の表示画面（Keycloak-Broker）</t>
    <phoneticPr fontId="2"/>
  </si>
  <si>
    <t>ログインや振り分けに失敗したときに何を表示し、どこへ誘導するかを決める</t>
    <phoneticPr fontId="2"/>
  </si>
  <si>
    <t>失敗したときの案内が無いとユーザが詰まる。文言はユーザの実在を推測させない書き方にする必要がある</t>
    <phoneticPr fontId="2"/>
  </si>
  <si>
    <t>D-22</t>
  </si>
  <si>
    <t>D-22</t>
    <phoneticPr fontId="2"/>
  </si>
  <si>
    <t>同意取得の要否と方式の判断</t>
    <phoneticPr fontId="2"/>
  </si>
  <si>
    <t>利用規約などへの同意をログイン画面で取るか、アプリ側で取るか、取らないかを顧客に確認して決める</t>
    <phoneticPr fontId="2"/>
  </si>
  <si>
    <t>決定記録。要否と、取る場合の場所と記録先が定まっている</t>
    <phoneticPr fontId="2"/>
  </si>
  <si>
    <t>要件未確定。顧客回答待ち</t>
    <phoneticPr fontId="2"/>
  </si>
  <si>
    <t>HE-09</t>
    <phoneticPr fontId="2"/>
  </si>
  <si>
    <t>SCIM 受信: ユーザの登録</t>
    <phoneticPr fontId="2"/>
  </si>
  <si>
    <t>SCIM 受信仕様（窓口・項目の対応づけ・絞り込み・削除の読み替え）</t>
    <phoneticPr fontId="2"/>
  </si>
  <si>
    <t>顧客の人事システムや認証システムからユーザ情報を受け取る窓口の仕様を決める。窓口はKeycloak-Broker（Keycloak）の上に立て、別の実行基盤は作らない</t>
    <phoneticPr fontId="2"/>
  </si>
  <si>
    <t>ログインを待たずにユーザを反映する唯一の経路。Keycloak-Brokerの標準機能は使わず自作または部品を使い、Keycloak-Brokerの上に載せる</t>
    <phoneticPr fontId="2"/>
  </si>
  <si>
    <t>HB-F-PROV-03</t>
    <phoneticPr fontId="2"/>
  </si>
  <si>
    <t>機能仕様書: SCIM 受信 ユーザの登録</t>
    <phoneticPr fontId="2"/>
  </si>
  <si>
    <t>顧客システムからユーザの新規登録を受け取る</t>
    <phoneticPr fontId="2"/>
  </si>
  <si>
    <t>顧客システム連携の中核</t>
    <phoneticPr fontId="2"/>
  </si>
  <si>
    <t>HB-F-PROV-04</t>
    <phoneticPr fontId="2"/>
  </si>
  <si>
    <t>SCIM 受信: ユーザの更新</t>
    <phoneticPr fontId="2"/>
  </si>
  <si>
    <t>機能仕様書: SCIM 受信 ユーザの更新</t>
    <phoneticPr fontId="2"/>
  </si>
  <si>
    <t>顧客側からのユーザ情報の変更を受け取って反映する</t>
    <phoneticPr fontId="2"/>
  </si>
  <si>
    <t>HB-F-PROV-05</t>
    <phoneticPr fontId="2"/>
  </si>
  <si>
    <t>機能仕様書: SCIM 受信 削除通知（消さずに無効化へ読み替え）</t>
    <phoneticPr fontId="2"/>
  </si>
  <si>
    <t>顧客側からの削除通知を受け取り、基盤側では消さずに使えない状態にする</t>
    <phoneticPr fontId="2"/>
  </si>
  <si>
    <t>消してしまうと監査の記録が追えなくなるため、無効化に読み替える</t>
    <phoneticPr fontId="2"/>
  </si>
  <si>
    <t>HB-F-PROV-06</t>
    <phoneticPr fontId="2"/>
  </si>
  <si>
    <t>SCIM 受信: ユーザの検索</t>
    <phoneticPr fontId="2"/>
  </si>
  <si>
    <t>機能仕様書: SCIM 受信 ユーザの検索・絞り込み</t>
    <phoneticPr fontId="2"/>
  </si>
  <si>
    <t>顧客側からユーザを検索・絞り込みで問い合わせられるようにする</t>
    <phoneticPr fontId="2"/>
  </si>
  <si>
    <t>HB-F-PROV-07</t>
    <phoneticPr fontId="2"/>
  </si>
  <si>
    <t>顧客側のグループ情報を受け取る。初期リリースでは対象外</t>
    <phoneticPr fontId="2"/>
  </si>
  <si>
    <t>初期リリースでは対象外だが、対象外と宣言すること自体が成果物</t>
    <phoneticPr fontId="2"/>
  </si>
  <si>
    <t>HD-05</t>
    <phoneticPr fontId="2"/>
  </si>
  <si>
    <t>ユーザ属性に載せる項目の宣言設計</t>
    <phoneticPr fontId="2"/>
  </si>
  <si>
    <t>Keycloak-Brokerのユーザ情報に、独自に持たせる項目を宣言する</t>
    <phoneticPr fontId="2"/>
  </si>
  <si>
    <t>JWT に載せる項目の入力元。これが無いと出力だけ設計している状態になる</t>
    <phoneticPr fontId="2"/>
  </si>
  <si>
    <t>HD-18</t>
    <phoneticPr fontId="2"/>
  </si>
  <si>
    <t>顧客IdPごとの項目名の変換方針</t>
    <phoneticPr fontId="2"/>
  </si>
  <si>
    <t>顧客ごとにバラバラな項目名を基盤の統一名へ変換する規則と、その置き場所を決める</t>
    <phoneticPr fontId="2"/>
  </si>
  <si>
    <t>顧客ごとに項目名が違うため、写し方の規則が無いと属性が入らない</t>
    <phoneticPr fontId="2"/>
  </si>
  <si>
    <t>HB-F-PROV-09</t>
    <phoneticPr fontId="2"/>
  </si>
  <si>
    <t>機能仕様書: 登録経路の区分判定</t>
    <phoneticPr fontId="2"/>
  </si>
  <si>
    <t>そのユーザがどの経路（初回ログイン・顧客システム連携・運用者）で登録されたかを区別する</t>
    <phoneticPr fontId="2"/>
  </si>
  <si>
    <t>初回ログインで作った人と顧客システムから来た人で、後の扱いが変わるため</t>
    <phoneticPr fontId="2"/>
  </si>
  <si>
    <t>HB-F-PROV-10</t>
    <phoneticPr fontId="2"/>
  </si>
  <si>
    <t>ユーザの停止（消さずに無効化）</t>
    <phoneticPr fontId="2"/>
  </si>
  <si>
    <t>機能仕様書: ユーザの停止（消さずに無効化・停止日時の記録）</t>
    <phoneticPr fontId="2"/>
  </si>
  <si>
    <t>ユーザを削除せず使えない状態にし、いつ止めたかを記録する</t>
    <phoneticPr fontId="2"/>
  </si>
  <si>
    <t>顧客システムからの削除通知の受け皿。退職者を確実に遮断する</t>
    <phoneticPr fontId="2"/>
  </si>
  <si>
    <t>HB-F-PROV-11</t>
    <phoneticPr fontId="2"/>
  </si>
  <si>
    <t>停止済みユーザの再開</t>
    <phoneticPr fontId="2"/>
  </si>
  <si>
    <t>機能仕様書: 停止済みユーザの再開</t>
    <phoneticPr fontId="2"/>
  </si>
  <si>
    <t>一度止めたユーザを再び使えるようにする。誤って復活させない条件を含む</t>
    <phoneticPr fontId="2"/>
  </si>
  <si>
    <t>条件を誤ると退職者が復活する。除外条件の明示が必須</t>
    <phoneticPr fontId="2"/>
  </si>
  <si>
    <t>HD-24</t>
    <phoneticPr fontId="2"/>
  </si>
  <si>
    <t>ユーザと記録の保持年数と消去の方針</t>
    <phoneticPr fontId="2"/>
  </si>
  <si>
    <t>ユーザと記録を何年保ち、いつどうやって消すかを決める。停止から消去までの段階と、消したことをどう示すかを含む</t>
    <phoneticPr fontId="2"/>
  </si>
  <si>
    <t>方針。対象ごとの保持年数・消去の起点・消去の証跡の残し方が定まっている</t>
    <phoneticPr fontId="2"/>
  </si>
  <si>
    <t>個人データを求めに応じて消せることは法令の要求。トリミングで方針の行が落ち、消去の起点が決まらないまま残っていた</t>
    <phoneticPr fontId="2"/>
  </si>
  <si>
    <t>HB-F-BAT-01</t>
    <phoneticPr fontId="2"/>
  </si>
  <si>
    <t>機能仕様書: 長期未使用者の自動停止（90 日）</t>
    <phoneticPr fontId="2"/>
  </si>
  <si>
    <t>顧客IdP 経由で自動作成したユーザのうち 90 日ログインの無いものを止める定期処理。Keycloak-IdP 収容ユーザ・顧客システム連携ユーザは対象外</t>
    <phoneticPr fontId="2"/>
  </si>
  <si>
    <t>機能仕様書。対象の条件・除外の条件・止めたときの記録が定まっている</t>
    <phoneticPr fontId="2"/>
  </si>
  <si>
    <t>U3 D3-17 の除外規則を含む。要否は B-JIT-LC-1 で最終確認</t>
    <phoneticPr fontId="2"/>
  </si>
  <si>
    <t>HB-F-ADM-14</t>
    <phoneticPr fontId="2"/>
  </si>
  <si>
    <t>機能仕様書: 顧客の作成</t>
    <phoneticPr fontId="2"/>
  </si>
  <si>
    <t>新しい顧客を作るときに何を登録し、どの状態から使えるようになるかを決める。手順の細部は後続の運用設計で詰める</t>
    <phoneticPr fontId="2"/>
  </si>
  <si>
    <t>解約の手順はあるのに作成が無く、顧客を迎え入れる入口が設計上つながっていない。運用色が強いため骨子までとし、細部は運用設計で積む</t>
    <phoneticPr fontId="2"/>
  </si>
  <si>
    <t>G-1.2</t>
    <phoneticPr fontId="2"/>
  </si>
  <si>
    <t>HB-F-ADM-16</t>
    <phoneticPr fontId="2"/>
  </si>
  <si>
    <t>顧客IdP管理</t>
    <phoneticPr fontId="2"/>
  </si>
  <si>
    <t>顧客IdPの接続登録</t>
    <phoneticPr fontId="2"/>
  </si>
  <si>
    <t>機能仕様書: 顧客IdPの接続登録</t>
    <phoneticPr fontId="2"/>
  </si>
  <si>
    <t>顧客IdPを Keycloak-Broker へ接続するときに、何を受け取り、どの順で登録し、どこで疎通を確認するかを決める</t>
    <phoneticPr fontId="2"/>
  </si>
  <si>
    <t>フェデレーション・振り分け・顧客システム連携のすべてが、この登録が済んでいることを前提にしている。運用色が強いため骨子までとし、細部は運用設計で積む</t>
    <phoneticPr fontId="2"/>
  </si>
  <si>
    <t>D-12</t>
    <phoneticPr fontId="2"/>
  </si>
  <si>
    <t>証明書（顧客IdP の SAML 署名・Keycloak-Broker の SAML 署名・TLS）を止めずに入れ替える運用手順</t>
    <phoneticPr fontId="2"/>
  </si>
  <si>
    <t>顧客IdPの証明書を止めずに入れ替えるための運用手順を決める</t>
    <phoneticPr fontId="2"/>
  </si>
  <si>
    <t>HB-F-INT-11</t>
    <phoneticPr fontId="2"/>
  </si>
  <si>
    <t>機能仕様書: 接続情報の自動追随</t>
    <phoneticPr fontId="2"/>
  </si>
  <si>
    <t>顧客IdPの接続情報を定期的に取り直し、相手側が証明書を入れ替えても自動で追随する</t>
    <phoneticPr fontId="2"/>
  </si>
  <si>
    <t>顧客IdPが多いほど手作業では追えない。相手側の入れ替えに気づけないとログインが止まる</t>
    <phoneticPr fontId="2"/>
  </si>
  <si>
    <t>HA-14</t>
    <phoneticPr fontId="2"/>
  </si>
  <si>
    <t>識別番号のうちユーザを指すものはKeycloak-Brokerが発行するため共通。アプリ内の番号はアプリが決める</t>
    <phoneticPr fontId="2"/>
  </si>
  <si>
    <t>HD-19</t>
    <phoneticPr fontId="2"/>
  </si>
  <si>
    <t>ユーザを識別する値の取り決め（アプリチームと協議）</t>
    <phoneticPr fontId="2"/>
  </si>
  <si>
    <t>アプリがユーザを一意に指す値を何にするかを、アプリチームと決める</t>
    <phoneticPr fontId="2"/>
  </si>
  <si>
    <t>アプリ側の作りに依存するため協議して決める。後から変えられない値</t>
    <phoneticPr fontId="2"/>
  </si>
  <si>
    <t>HJ-07</t>
    <phoneticPr fontId="2"/>
  </si>
  <si>
    <t>JWT に載せる項目の定義</t>
    <phoneticPr fontId="2"/>
  </si>
  <si>
    <t>JWT（JWT）に載せる項目と要求範囲の定義書</t>
    <phoneticPr fontId="2"/>
  </si>
  <si>
    <t>JWT に載せる情報の生成規則の定義</t>
    <phoneticPr fontId="2"/>
  </si>
  <si>
    <t>Keycloak-Brokerをどう組むかは、ユーザ管理を誰が作るかとは無関係に決まる</t>
    <phoneticPr fontId="2"/>
  </si>
  <si>
    <t>GD-16</t>
    <phoneticPr fontId="2"/>
  </si>
  <si>
    <t>アプリが受け取ったJWT を検証するときの必須チェック項目。設定を誤ると検証が素通りする落とし穴の警告を含む</t>
    <phoneticPr fontId="2"/>
  </si>
  <si>
    <t>GD-17</t>
    <phoneticPr fontId="2"/>
  </si>
  <si>
    <t>HB-F-AZ-05a</t>
    <phoneticPr fontId="2"/>
  </si>
  <si>
    <t>顧客越境の防止（Keycloak-Broker 側）</t>
    <phoneticPr fontId="2"/>
  </si>
  <si>
    <t>機能仕様書: 他顧客の顧客IdPで入れてしまうことの防止</t>
    <phoneticPr fontId="2"/>
  </si>
  <si>
    <t>ユーザが自分の顧客以外の顧客IdPを使ってログインできないようにする</t>
    <phoneticPr fontId="2"/>
  </si>
  <si>
    <t>権限データ側の越境防止はアプリの責務だが、Keycloak-Broker 側の越境は基盤の責務</t>
    <phoneticPr fontId="2"/>
  </si>
  <si>
    <t>D-15</t>
    <phoneticPr fontId="2"/>
  </si>
  <si>
    <t>決定記録。一時的に強い権限を出す仕組みをどこに置くかが 1 つに確定している</t>
    <phoneticPr fontId="2"/>
  </si>
  <si>
    <t>JWT の発行・交換</t>
    <phoneticPr fontId="2"/>
  </si>
  <si>
    <t>システム間 JWT の発行</t>
    <phoneticPr fontId="2"/>
  </si>
  <si>
    <t>機能仕様書: システム間 JWT の発行</t>
    <phoneticPr fontId="2"/>
  </si>
  <si>
    <t>人ではなくシステムがKeycloak-Broker の入口を呼ぶときの資格を発行する。顧客の人事システムからの受信や、定期処理からの呼び出しで使う</t>
    <phoneticPr fontId="2"/>
  </si>
  <si>
    <t>顧客システム連携の呼び出し元をどう確認するかがこれで決まる。資格の管理方法が決まらないと受信窓口を開けられない</t>
    <phoneticPr fontId="2"/>
  </si>
  <si>
    <t>HJ-09</t>
    <phoneticPr fontId="2"/>
  </si>
  <si>
    <t>HE-24</t>
    <phoneticPr fontId="2"/>
  </si>
  <si>
    <t>管理 API の内部公開（idm-api 向け）</t>
    <phoneticPr fontId="2"/>
  </si>
  <si>
    <t>管理 API の内部公開経路と呼び出し元の権限範囲</t>
    <phoneticPr fontId="2"/>
  </si>
  <si>
    <t>アプリ側の管理 API（idm-api）が Keycloak-Broker の管理 API を呼ぶ経路（内部 NLB・インターネット非露出）、呼び出し元の資格（システム間 JWT）と許す操作の範囲、記録の残し方を決める</t>
    <phoneticPr fontId="2"/>
  </si>
  <si>
    <t>接続仕様。経路・資格・許す操作の一覧が定まっている</t>
    <phoneticPr fontId="2"/>
  </si>
  <si>
    <t>禁則 K-10（管理 API は内部経路のみ）の実体。ユーザの停止・全セッション破棄など管理画面からの操作はここを通る</t>
    <phoneticPr fontId="2"/>
  </si>
  <si>
    <t>F-INT-14</t>
    <phoneticPr fontId="2"/>
  </si>
  <si>
    <t>HB-F-INT-01</t>
    <phoneticPr fontId="2"/>
  </si>
  <si>
    <t>機能仕様書: ServiceNow へのログイン提供（SAML）</t>
    <phoneticPr fontId="2"/>
  </si>
  <si>
    <t>業務システムに対して、Keycloak-Broker が認証の提供元として振る舞う</t>
    <phoneticPr fontId="2"/>
  </si>
  <si>
    <t>業務システムは旧方式（SAML）でしか受けられないため、専用の設計が要る</t>
    <phoneticPr fontId="2"/>
  </si>
  <si>
    <t>HE-16</t>
    <phoneticPr fontId="2"/>
  </si>
  <si>
    <t>外部 IF: ServiceNow</t>
    <phoneticPr fontId="2"/>
  </si>
  <si>
    <t>業務システムとやり取りする情報の項目と形式を決める</t>
    <phoneticPr fontId="2"/>
  </si>
  <si>
    <t>相手方の仕様に合わせる必要があり、事前に確定していないと接続できない</t>
    <phoneticPr fontId="2"/>
  </si>
  <si>
    <t>GD-13</t>
    <phoneticPr fontId="2"/>
  </si>
  <si>
    <t>第 3 部 既存の旧方式アプリ向け</t>
    <phoneticPr fontId="2"/>
  </si>
  <si>
    <t>旧方式でしか受けられないアプリの接続方法を手引きにする</t>
    <phoneticPr fontId="2"/>
  </si>
  <si>
    <t>業務システム以外にも旧方式のアプリがある想定</t>
    <phoneticPr fontId="2"/>
  </si>
  <si>
    <t>HB-F-INT-02</t>
    <phoneticPr fontId="2"/>
  </si>
  <si>
    <t>業務システム側のユーザ自動作成</t>
    <phoneticPr fontId="2"/>
  </si>
  <si>
    <t>機能仕様書: ServiceNow 側のユーザ自動作成</t>
    <phoneticPr fontId="2"/>
  </si>
  <si>
    <t>業務システム側で、初回ログイン時にユーザを自動作成させる</t>
    <phoneticPr fontId="2"/>
  </si>
  <si>
    <t>業務システム側にユーザがいないとログイン後に何もできない</t>
    <phoneticPr fontId="2"/>
  </si>
  <si>
    <t>HB-F-INT-03</t>
    <phoneticPr fontId="2"/>
  </si>
  <si>
    <t>機能仕様書: 業務システムから他アプリへの連携</t>
    <phoneticPr fontId="2"/>
  </si>
  <si>
    <t>業務システムにログインした状態から、他のアプリを呼べるようにする</t>
    <phoneticPr fontId="2"/>
  </si>
  <si>
    <t>業務システムを起点にした導線。無くても各アプリへ直接ログインできる</t>
    <phoneticPr fontId="2"/>
  </si>
  <si>
    <t>HG-04</t>
    <phoneticPr fontId="2"/>
  </si>
  <si>
    <t>記録に残すできごとの一覧を作る。あわせて、ログをどの水準でどんな形式で出すかの出力方式もここで決める。出力先は全体の共通基盤とし、集約はそちらで行う</t>
    <phoneticPr fontId="2"/>
  </si>
  <si>
    <t>HG-05</t>
    <phoneticPr fontId="2"/>
  </si>
  <si>
    <t>記録に残す項目と保持年数を決める。置き場所は全体の共通基盤とし、参照は保管先で行う（Keycloak-Broker に照会画面は作らない）。管理操作の記録の置き場所（D-9.2）を含む</t>
    <phoneticPr fontId="2"/>
  </si>
  <si>
    <t>全体の共通基盤へ出力して集約する。Keycloak-Broker 側に照会の仕組みは作らないため、出す形式と項目をここで確定させる必要がある</t>
    <phoneticPr fontId="2"/>
  </si>
  <si>
    <t>D-9.2</t>
    <phoneticPr fontId="2"/>
  </si>
  <si>
    <t>HD-14</t>
    <phoneticPr fontId="2"/>
  </si>
  <si>
    <t>表定義。記録する項目と、他顧客の記録が混ざらない仕組みが定まっている</t>
    <phoneticPr fontId="2"/>
  </si>
  <si>
    <t>HK-07</t>
    <phoneticPr fontId="2"/>
  </si>
  <si>
    <t>本人からの開示・削除請求への対応手順</t>
    <phoneticPr fontId="2"/>
  </si>
  <si>
    <t>本人から求められたときに、保有しているデータを開示し、または消すまでの手順を決める</t>
    <phoneticPr fontId="2"/>
  </si>
  <si>
    <t>手順書。受付から回答までの期限・確認方法・記録の残し方が定まっている</t>
    <phoneticPr fontId="2"/>
  </si>
  <si>
    <t>顧客が本人対応の窓口になるため、本基盤側の手順が無いと顧客が答えられない</t>
    <phoneticPr fontId="2"/>
  </si>
  <si>
    <t>HB-F-BAT-04</t>
    <phoneticPr fontId="2"/>
  </si>
  <si>
    <t>JWT の署名に使う鍵を定期的に入れ替える処理。切り替え中も止めないための並走期間を含む</t>
    <phoneticPr fontId="2"/>
  </si>
  <si>
    <t>ADR-045、DU-U7-02</t>
    <phoneticPr fontId="2"/>
  </si>
  <si>
    <t>GD-18</t>
    <phoneticPr fontId="2"/>
  </si>
  <si>
    <t>HB-F-BAT-05</t>
    <phoneticPr fontId="2"/>
  </si>
  <si>
    <t>D-U7-10b、DU-U7-12</t>
    <phoneticPr fontId="2"/>
  </si>
  <si>
    <t>HB-F-BAT-07</t>
    <phoneticPr fontId="2"/>
  </si>
  <si>
    <t>HH-06</t>
  </si>
  <si>
    <t>HH-06</t>
    <phoneticPr fontId="2"/>
  </si>
  <si>
    <t>運用設計：不正兆候の検知項目と通知</t>
    <phoneticPr fontId="2"/>
  </si>
  <si>
    <t>ログイン失敗の急増・同一送信元の連続試行・新しい顧客IdP からの大量の初回作成など、不正の兆候として見張る項目と通知先を決める。検知して知らせるまでとし、自動遮断はしない</t>
    <phoneticPr fontId="2"/>
  </si>
  <si>
    <t>項目一覧。検知の条件・閾値・通知先が定まっている</t>
    <phoneticPr fontId="2"/>
  </si>
  <si>
    <t>ADR-035 Phase 1a（検知通知のみ）。監視項目（HH-01〜03）とは別に不正の観点で持つ</t>
    <phoneticPr fontId="2"/>
  </si>
  <si>
    <t>HA-04</t>
    <phoneticPr fontId="2"/>
  </si>
  <si>
    <t>HA-05</t>
    <phoneticPr fontId="2"/>
  </si>
  <si>
    <t>分離は到達を防ぐものではなく「何が取れるか」を変えるもの。管理用の口はパスワードのハッシュを返さないが、DB を直接読めば全件取れる。ハッシュが持ち出されると元のパスワードが割り出され、ユーザが他所で使い回している分まで被害が広がる。分離すれば DB への経路そのものが存在しないため、これを構造的に防げる（2026-09-02 維持を決定）</t>
    <phoneticPr fontId="2"/>
  </si>
  <si>
    <t>G-4.2</t>
    <phoneticPr fontId="2"/>
  </si>
  <si>
    <t>ネットワークの区画・経路・通信の許可範囲を図にする。使用する IP アドレス範囲は確定済みの値を用いる</t>
    <phoneticPr fontId="2"/>
  </si>
  <si>
    <t>被ってる気がする</t>
    <phoneticPr fontId="2"/>
  </si>
  <si>
    <t>HJ-17</t>
    <phoneticPr fontId="2"/>
  </si>
  <si>
    <t>HJ-19</t>
    <phoneticPr fontId="2"/>
  </si>
  <si>
    <t>HJ-01a</t>
    <phoneticPr fontId="2"/>
  </si>
  <si>
    <t>HH-05</t>
    <phoneticPr fontId="2"/>
  </si>
  <si>
    <t>HD-01</t>
    <phoneticPr fontId="2"/>
  </si>
  <si>
    <t>データベース設計（Keycloak-Broker）</t>
    <phoneticPr fontId="2"/>
  </si>
  <si>
    <t>データの全体構成図（Keycloak-Broker 側）</t>
    <phoneticPr fontId="2"/>
  </si>
  <si>
    <t>どのデータがどこに保管されているかを 1 枚の図にする</t>
    <phoneticPr fontId="2"/>
  </si>
  <si>
    <t>Keycloak-Broker 側のみを対象とする。Keycloak-IdP 側は基盤だけ渡すためアプリチームの範囲</t>
    <phoneticPr fontId="2"/>
  </si>
  <si>
    <t>NF-ARC-07</t>
    <phoneticPr fontId="2"/>
  </si>
  <si>
    <t>HD-04</t>
    <phoneticPr fontId="2"/>
  </si>
  <si>
    <t>Keycloak-Brokerのスキーマの利用範囲整理（Keycloak-Broker 側）</t>
    <phoneticPr fontId="2"/>
  </si>
  <si>
    <t>Keycloak-Brokerが持つ表のうち、触ってよい範囲と触らない範囲を明示する</t>
    <phoneticPr fontId="2"/>
  </si>
  <si>
    <t>製品の表を直接触ると版を上げたときに壊れる。線引きが要る</t>
    <phoneticPr fontId="2"/>
  </si>
  <si>
    <t>HD-25</t>
    <phoneticPr fontId="2"/>
  </si>
  <si>
    <t>索引・分割・チューニング方針（Keycloak-Broker 側）</t>
    <phoneticPr fontId="2"/>
  </si>
  <si>
    <t>データベースの索引・大きな表の分割・接続の設定方針を決める</t>
    <phoneticPr fontId="2"/>
  </si>
  <si>
    <t>Keycloak-Brokerはデータベースが無いと動かない。設備量と性能の根拠になる</t>
    <phoneticPr fontId="2"/>
  </si>
  <si>
    <t>HK-10</t>
    <phoneticPr fontId="2"/>
  </si>
  <si>
    <t>境界（WAF・NWFW）への要求仕様書／渡す相手: 境界を管理する組織</t>
    <phoneticPr fontId="2"/>
  </si>
  <si>
    <t>ログイン口の流量制限・署名鍵公開先の保護・管理画面の遮断・顧客IdP 向け外向き許可など、境界側に求める設定を要求仕様書にする</t>
    <phoneticPr fontId="2"/>
  </si>
  <si>
    <t>要求仕様書。要求ごとに値と根拠、確認方法が書かれている</t>
    <phoneticPr fontId="2"/>
  </si>
  <si>
    <t>WAF・DDoS は他組織が持つが、何を求めるかは本基盤の責務。HG-08 の「WAF 側で行う前提」の受け皿</t>
    <phoneticPr fontId="2"/>
  </si>
  <si>
    <t>HA-21</t>
    <phoneticPr fontId="2"/>
  </si>
  <si>
    <t>A-1.7</t>
    <phoneticPr fontId="2"/>
  </si>
  <si>
    <t>顧客IdPの数を実測せず仮定値のまま設計を進めるため、その根拠と、あとで見直す条件を文書に残す</t>
    <phoneticPr fontId="2"/>
  </si>
  <si>
    <t>HA-22</t>
    <phoneticPr fontId="2"/>
  </si>
  <si>
    <t>G-5.8</t>
    <phoneticPr fontId="2"/>
  </si>
  <si>
    <t>運用設計：使用量の監視と増強の判断</t>
    <phoneticPr fontId="2"/>
  </si>
  <si>
    <t>ユーザ数・顧客IdP数・データ量の伸びを何で見て、どの値でいつ増強するかを決める</t>
    <phoneticPr fontId="2"/>
  </si>
  <si>
    <t>見積り（HA-22）はあるが、運用開始後に実測を追って増強を判断する仕組みが無い</t>
    <phoneticPr fontId="2"/>
  </si>
  <si>
    <t>E-4a</t>
    <phoneticPr fontId="2"/>
  </si>
  <si>
    <t>Keycloak-Brokerの本番向け設定のうち、詰め残していた 5 項目を確定する</t>
    <phoneticPr fontId="2"/>
  </si>
  <si>
    <t>E-4d</t>
    <phoneticPr fontId="2"/>
  </si>
  <si>
    <t>E-4e</t>
    <phoneticPr fontId="2"/>
  </si>
  <si>
    <t>E-2</t>
    <phoneticPr fontId="2"/>
  </si>
  <si>
    <t>D-18.1</t>
    <phoneticPr fontId="2"/>
  </si>
  <si>
    <t>地域全体の障害からの復旧を対象に含める。切替先を持つため、平時から動かす設備と手順が要る</t>
    <phoneticPr fontId="2"/>
  </si>
  <si>
    <t>D-18.2</t>
    <phoneticPr fontId="2"/>
  </si>
  <si>
    <t>D-18.3</t>
    <phoneticPr fontId="2"/>
  </si>
  <si>
    <t>D-18.4</t>
    <phoneticPr fontId="2"/>
  </si>
  <si>
    <t>G-1.8</t>
    <phoneticPr fontId="2"/>
  </si>
  <si>
    <t>G-1.9</t>
    <phoneticPr fontId="2"/>
  </si>
  <si>
    <t>G-1.11</t>
    <phoneticPr fontId="2"/>
  </si>
  <si>
    <t>G-1.10</t>
    <phoneticPr fontId="2"/>
  </si>
  <si>
    <t>HK-02</t>
    <phoneticPr fontId="2"/>
  </si>
  <si>
    <t>E-4b</t>
    <phoneticPr fontId="2"/>
  </si>
  <si>
    <t>HG-08</t>
    <phoneticPr fontId="2"/>
  </si>
  <si>
    <t>想定される攻撃の経路を洗い出し、それぞれの対策を対応づける。ログイン口への総当たり・過大な流量への対策は WAF 側で行う前提とし、本基盤側で実装しない範囲をここで明示する</t>
    <phoneticPr fontId="2"/>
  </si>
  <si>
    <t>E-4c</t>
    <phoneticPr fontId="2"/>
  </si>
  <si>
    <t>本番設定: クラスタ内通信の暗号化と 30 日ごとの入れ替え</t>
    <phoneticPr fontId="2"/>
  </si>
  <si>
    <t>HE-19a</t>
    <phoneticPr fontId="2"/>
  </si>
  <si>
    <t>HA-26</t>
    <phoneticPr fontId="2"/>
  </si>
  <si>
    <t>D-20</t>
    <phoneticPr fontId="2"/>
  </si>
  <si>
    <t>HH-01</t>
    <phoneticPr fontId="2"/>
  </si>
  <si>
    <t>HH-02</t>
    <phoneticPr fontId="2"/>
  </si>
  <si>
    <t>HH-03</t>
    <phoneticPr fontId="2"/>
  </si>
  <si>
    <t>G-3</t>
    <phoneticPr fontId="2"/>
  </si>
  <si>
    <t>G-1.3</t>
    <phoneticPr fontId="2"/>
  </si>
  <si>
    <t>不正アクセスや障害を検知したときに、誰が何を止め、何を保全し、どこへ報告するかの初動を定める</t>
    <phoneticPr fontId="2"/>
  </si>
  <si>
    <t>検知しても初動が決まっていないと、被害が広がり証跡も失われる。情報漏えい時の報告手順（G-1.4）の前段</t>
    <phoneticPr fontId="2"/>
  </si>
  <si>
    <t>G-1.4</t>
    <phoneticPr fontId="2"/>
  </si>
  <si>
    <t>G-1.6</t>
    <phoneticPr fontId="2"/>
  </si>
  <si>
    <t>E-5</t>
    <phoneticPr fontId="2"/>
  </si>
  <si>
    <t>Keycloak の更新・保守</t>
    <phoneticPr fontId="2"/>
  </si>
  <si>
    <t>Keycloak の更新の運用手順の精密化</t>
    <phoneticPr fontId="2"/>
  </si>
  <si>
    <t>HJ-06</t>
    <phoneticPr fontId="2"/>
  </si>
  <si>
    <t>HJ-22</t>
    <phoneticPr fontId="2"/>
  </si>
  <si>
    <t>自社拡張と実行イメージの供給網対策（依存の検査・署名・部品一覧）</t>
    <phoneticPr fontId="2"/>
  </si>
  <si>
    <t>自社拡張と実行イメージについて、依存の検査・イメージの署名・部品一覧（SBOM）の出し方を決める</t>
    <phoneticPr fontId="2"/>
  </si>
  <si>
    <t>設計書の章。検査の道具・署名の方式・部品一覧の形式が定まっている</t>
    <phoneticPr fontId="2"/>
  </si>
  <si>
    <t>ADR-046 Phase 1 = SLSA L2。テスト SEC-09 の根拠となる設計が無かった</t>
    <phoneticPr fontId="2"/>
  </si>
  <si>
    <t>G-5.1</t>
    <phoneticPr fontId="2"/>
  </si>
  <si>
    <t>運用プロセス（受付・変更・障害）</t>
    <phoneticPr fontId="2"/>
  </si>
  <si>
    <t>運用設計：問い合わせの受付と切り分け</t>
    <phoneticPr fontId="2"/>
  </si>
  <si>
    <t>顧客やアプリチームからの問い合わせをどこで受け、誰がどこまで切り分け、いつ誰に引き継ぐかを決める</t>
    <phoneticPr fontId="2"/>
  </si>
  <si>
    <t>窓口が決まっていないと問い合わせが個人に集まる。認証は止まると全アプリに波及するため、受付から解決までの時間が SLA に直結する</t>
    <phoneticPr fontId="2"/>
  </si>
  <si>
    <t>NF-OPS-08</t>
    <phoneticPr fontId="2"/>
  </si>
  <si>
    <t>G-5.2</t>
    <phoneticPr fontId="2"/>
  </si>
  <si>
    <t>運用設計：変更管理（申請・承認・適用・記録）</t>
    <phoneticPr fontId="2"/>
  </si>
  <si>
    <t>設定や構成を変えるときの申請・承認・適用・記録の進め方と、承認が要る変更の線引きを決める</t>
    <phoneticPr fontId="2"/>
  </si>
  <si>
    <t>認証の設定は 1 つの変更で全顧客が入れなくなる。誰の承認で何を変えてよいかが決まっていないと事故になる</t>
    <phoneticPr fontId="2"/>
  </si>
  <si>
    <t>G-5.3</t>
    <phoneticPr fontId="2"/>
  </si>
  <si>
    <t>運用設計：障害と問題の管理（記録・再発防止・報告）</t>
    <phoneticPr fontId="2"/>
  </si>
  <si>
    <t>障害を記録し、原因を追い、再発を防ぐまでの進め方と、顧客への報告の出し方を決める</t>
    <phoneticPr fontId="2"/>
  </si>
  <si>
    <t>事故発生時の初動（G-1.3）はあるが、その後の原因追及と再発防止の進め方が無い</t>
    <phoneticPr fontId="2"/>
  </si>
  <si>
    <t>G-5.6</t>
    <phoneticPr fontId="2"/>
  </si>
  <si>
    <t>運用設計：運用者のアカウントと権限の棚卸し</t>
    <phoneticPr fontId="2"/>
  </si>
  <si>
    <t>運用に使うアカウントを誰がいつ見直し、不要なものをどう止めるかを決める</t>
    <phoneticPr fontId="2"/>
  </si>
  <si>
    <t>本基盤の運用者は全顧客のデータに触れられる。棚卸しをしないと退職者の権限が残る</t>
    <phoneticPr fontId="2"/>
  </si>
  <si>
    <t>G-5.4</t>
    <phoneticPr fontId="2"/>
  </si>
  <si>
    <t>サービスレベルの測定と報告</t>
    <phoneticPr fontId="2"/>
  </si>
  <si>
    <t>運用設計：サービスレベルの測定と顧客への報告</t>
    <phoneticPr fontId="2"/>
  </si>
  <si>
    <t>約束した稼働率と応答時間を何でどう測り、どの頻度で誰に報告するかを決める</t>
    <phoneticPr fontId="2"/>
  </si>
  <si>
    <t>稼働率を約束する（HK-02）以上、測り方と報告の形が決まっていないと守れたかどうかを示せない</t>
    <phoneticPr fontId="2"/>
  </si>
  <si>
    <t>NF-OPS-09</t>
    <phoneticPr fontId="2"/>
  </si>
  <si>
    <t>G-5.5</t>
    <phoneticPr fontId="2"/>
  </si>
  <si>
    <t>定期作業の計画と引き継ぎ</t>
    <phoneticPr fontId="2"/>
  </si>
  <si>
    <t>運用設計：定期作業の一覧と運用の暦</t>
    <phoneticPr fontId="2"/>
  </si>
  <si>
    <t>日次・週次・月次・四半期・年次に行う作業を洗い出し、いつ誰が行うかの暦を作る</t>
    <phoneticPr fontId="2"/>
  </si>
  <si>
    <t>定期作業が個人の記憶に依存していると、担当が替わったときに抜ける。運用工数の見積りの根拠にもなる</t>
    <phoneticPr fontId="2"/>
  </si>
  <si>
    <t>NF-OPS-10</t>
    <phoneticPr fontId="2"/>
  </si>
  <si>
    <t>G-5.7</t>
    <phoneticPr fontId="2"/>
  </si>
  <si>
    <t>運用設計：運用の引き継ぎと教育の計画</t>
    <phoneticPr fontId="2"/>
  </si>
  <si>
    <t>構築したチームから運用するチームへ何をどう渡すか、運用開始前に何を訓練するかを決める</t>
    <phoneticPr fontId="2"/>
  </si>
  <si>
    <t>手順書があっても、動かせる人がいなければ運用は始められない。開始の可否を判定する条件が要る</t>
    <phoneticPr fontId="2"/>
  </si>
  <si>
    <t>HG-09</t>
    <phoneticPr fontId="2"/>
  </si>
  <si>
    <t>運用者アカウントと権限の保護</t>
    <phoneticPr fontId="2"/>
  </si>
  <si>
    <t>運用者アカウントの認証と権限モデル（WebAuthn 必須・常時全権の禁止・緊急時との関係）</t>
    <phoneticPr fontId="2"/>
  </si>
  <si>
    <t>本基盤運用者のローカル認証を WebAuthn 必須とし、常時の全権付与を禁止して必要時だけ昇格する権限モデルと、緊急時アクセス（G-1.6）との関係を決める</t>
    <phoneticPr fontId="2"/>
  </si>
  <si>
    <t>設計書の章。認証手段・権限の 2 状態・昇格の手順・記録が定まっている</t>
    <phoneticPr fontId="2"/>
  </si>
  <si>
    <t>ADR-040 Phase 1 α（P1-04 / P1-08 / P1-09）。運用者は Keycloak-Broker にローカルで残る唯一の人</t>
    <phoneticPr fontId="2"/>
  </si>
  <si>
    <t>NF-OPS-11</t>
    <phoneticPr fontId="2"/>
  </si>
  <si>
    <t>E-1.1</t>
    <phoneticPr fontId="2"/>
  </si>
  <si>
    <t>E-1.2</t>
    <phoneticPr fontId="2"/>
  </si>
  <si>
    <t>E-1.3</t>
    <phoneticPr fontId="2"/>
  </si>
  <si>
    <t>D-16.4</t>
    <phoneticPr fontId="2"/>
  </si>
  <si>
    <t>接続するアプリの切替計画（並行稼働・切り戻し）</t>
    <phoneticPr fontId="2"/>
  </si>
  <si>
    <t>既存の認証から本基盤へアプリを移すときの順序・並行稼働の期間・戻し方を決める</t>
    <phoneticPr fontId="2"/>
  </si>
  <si>
    <t>Keycloak-Broker 側にユーザデータの移行は無いが、アプリの切替は必ず起きる。無計画だと止まる</t>
    <phoneticPr fontId="2"/>
  </si>
  <si>
    <t>HA-11</t>
    <phoneticPr fontId="2"/>
  </si>
  <si>
    <t>HA-13</t>
    <phoneticPr fontId="2"/>
  </si>
  <si>
    <t>Keycloak-Brokerが持つ一時保持は全アプリ共通。アプリ内の一時保持はアプリが決めるが、製品側の設定は共同で決める</t>
    <phoneticPr fontId="2"/>
  </si>
  <si>
    <t>HE-22a</t>
    <phoneticPr fontId="2"/>
  </si>
  <si>
    <t>API エラーコード体系（Keycloak-Brokerの標準エラー）</t>
    <phoneticPr fontId="2"/>
  </si>
  <si>
    <t>HA-16</t>
    <phoneticPr fontId="2"/>
  </si>
  <si>
    <t>設備・顧客IdP・データの名前の付け方の決まり</t>
    <phoneticPr fontId="2"/>
  </si>
  <si>
    <t>HA-17</t>
    <phoneticPr fontId="2"/>
  </si>
  <si>
    <t>HA-01</t>
    <phoneticPr fontId="2"/>
  </si>
  <si>
    <t>HA-02</t>
    <phoneticPr fontId="2"/>
  </si>
  <si>
    <t>HA-03</t>
    <phoneticPr fontId="2"/>
  </si>
  <si>
    <t>HA-20</t>
    <phoneticPr fontId="2"/>
  </si>
  <si>
    <t>HA-24</t>
    <phoneticPr fontId="2"/>
  </si>
  <si>
    <t>HI-01</t>
    <phoneticPr fontId="2"/>
  </si>
  <si>
    <t>HI-02</t>
    <phoneticPr fontId="2"/>
  </si>
  <si>
    <t>HI-03</t>
    <phoneticPr fontId="2"/>
  </si>
  <si>
    <t>設計書どうしの矛盾を潰す作業で、作る範囲を減らしても回数は減らない</t>
    <phoneticPr fontId="2"/>
  </si>
  <si>
    <t>HI-04</t>
    <phoneticPr fontId="2"/>
  </si>
  <si>
    <t>HI-05</t>
    <phoneticPr fontId="2"/>
  </si>
  <si>
    <t>HI-06</t>
    <phoneticPr fontId="2"/>
  </si>
  <si>
    <t>HI-07</t>
    <phoneticPr fontId="2"/>
  </si>
  <si>
    <t>HI-08</t>
    <phoneticPr fontId="2"/>
  </si>
  <si>
    <t>HI-09</t>
    <phoneticPr fontId="2"/>
  </si>
  <si>
    <t>HI-10</t>
    <phoneticPr fontId="2"/>
  </si>
  <si>
    <t>HK-03</t>
    <phoneticPr fontId="2"/>
  </si>
  <si>
    <t>HK-01</t>
    <phoneticPr fontId="2"/>
  </si>
  <si>
    <t>HK-09</t>
    <phoneticPr fontId="2"/>
  </si>
  <si>
    <t>顧客が行う</t>
    <phoneticPr fontId="2"/>
  </si>
  <si>
    <t>A 結合</t>
    <phoneticPr fontId="2"/>
  </si>
  <si>
    <t>顧客IdPとのつなぎ目（OIDC）</t>
    <phoneticPr fontId="2"/>
  </si>
  <si>
    <t>接続情報の自動取得ができる／署名鍵を取得して検証に使える／要求できる範囲と返る項目が仕様どおり／相手側がエラーを返したときにユーザへ正しく伝わる／相手側の応答が遅いときに設計した時間で打ち切る／相手側の署名鍵が入れ替わったときに追随できる</t>
    <phoneticPr fontId="2"/>
  </si>
  <si>
    <t>FR-FED-001〜004 / FR-INT-001・002・003</t>
    <phoneticPr fontId="2"/>
  </si>
  <si>
    <t>検証用の顧客IdPが用意できていること</t>
    <phoneticPr fontId="2"/>
  </si>
  <si>
    <t>顧客IdPとのつなぎ目（SAML）</t>
    <phoneticPr fontId="2"/>
  </si>
  <si>
    <t>接続情報の交換ができる／正しい署名を受け入れる／署名が不正なものを拒否する／期限切れの主張を拒否する／暗号化された主張を復号できる／ユーザを指す値の形式が仕様どおり／時計のずれをどこまで許すかが設計どおり</t>
    <phoneticPr fontId="2"/>
  </si>
  <si>
    <t>FR-FED-005 / FR-INT-004</t>
    <phoneticPr fontId="2"/>
  </si>
  <si>
    <t>Keycloak-IdP 側の基盤の引き渡し状態の確認</t>
    <phoneticPr fontId="2"/>
  </si>
  <si>
    <t>既定の状態で起動する／アプリチームがKeycloak-Brokerを載せられる状態にある／引き渡す範囲が取り決めどおり／渡した後の責任範囲が文書で確認できる</t>
    <phoneticPr fontId="2"/>
  </si>
  <si>
    <t>NFR-OPS-012</t>
  </si>
  <si>
    <t>NFR-OPS-012</t>
    <phoneticPr fontId="2"/>
  </si>
  <si>
    <t>顧客システムからの受信窓口とKeycloak-Brokerのつなぎ目</t>
    <phoneticPr fontId="2"/>
  </si>
  <si>
    <t>登録・更新・削除・検索がKeycloak-Brokerに反映される／呼び出し元の確認に失敗したとき受け付けない／項目の対応づけが設計どおりに効く／一度に多くの件数が来たときの区切り方が仕様どおり／途中で失敗したときに中途半端な状態が残らない／同じ要求が二度来ても結果が変わらない</t>
    <phoneticPr fontId="2"/>
  </si>
  <si>
    <t>FR-USER-003 / FR-FED-009</t>
    <phoneticPr fontId="2"/>
  </si>
  <si>
    <t>識別子の採番と対応づけ</t>
    <phoneticPr fontId="2"/>
  </si>
  <si>
    <t>設計した形式の識別子が付く／重複しない／一度付いた値が変わらない／顧客側の番号と対応づく／アプリから一意に指せる</t>
    <phoneticPr fontId="2"/>
  </si>
  <si>
    <t>FR-AUTHZ-001</t>
    <phoneticPr fontId="2"/>
  </si>
  <si>
    <t>システム間 JWT の発行と失効</t>
    <phoneticPr fontId="2"/>
  </si>
  <si>
    <t>システムとして入口を呼べる資格が発行される／要求した範囲だけが許可される／範囲外の呼び出しが拒否される／有効期限が切れたら使えない／失効させたら直ちに使えない／顧客システム連携の呼び出し元がこの資格で確認できる</t>
    <phoneticPr fontId="2"/>
  </si>
  <si>
    <t>FR-AUTH-004 / FR-AUTHZ-005</t>
    <phoneticPr fontId="2"/>
  </si>
  <si>
    <t>アプリとのつなぎ目（接続情報・JWT）</t>
    <phoneticPr fontId="2"/>
  </si>
  <si>
    <t>ひな形からアプリを登録できる／接続情報の公開先が仕様どおりに読める／署名鍵の公開先が読める／アプリ側でJWT を検証できる／接続用パスワードを入れ替えてもアプリが追随できる</t>
    <phoneticPr fontId="2"/>
  </si>
  <si>
    <t>FR-INT-002・003・006 / FR-AUTH-002・003</t>
    <phoneticPr fontId="2"/>
  </si>
  <si>
    <t>業務システムとのつなぎ目</t>
    <phoneticPr fontId="2"/>
  </si>
  <si>
    <t>旧方式で情報を交換できる／渡した属性が相手側に反映される／相手側でユーザが自動作成される／ログアウトが相手側へ伝わる／Keycloak-Broker で止めたユーザが相手側で使えなくなる</t>
    <phoneticPr fontId="2"/>
  </si>
  <si>
    <t>FR-FED-006 / FR-INT-004</t>
    <phoneticPr fontId="2"/>
  </si>
  <si>
    <t>記録の出力と全体の共通基盤への集約</t>
    <phoneticPr fontId="2"/>
  </si>
  <si>
    <t>設計した項目が設計した形式で出る／欠落せずに共通基盤へ届く／個人情報が伏せられている／遅延したときに順序と重複がどうなるかが設計どおり／保持年数の設定が効いている／共通基盤側で必要な条件で引ける</t>
    <phoneticPr fontId="2"/>
  </si>
  <si>
    <t>FR-INT-008 / NFR-OPS-003・004 / NFR-COMP-007・010</t>
    <phoneticPr fontId="2"/>
  </si>
  <si>
    <t>構成図と実機の一致</t>
    <phoneticPr fontId="2"/>
  </si>
  <si>
    <t>図に描いた要素がすべて実機にある／実機にあって図に無いものが無い／経路が図のとおり／差分があれば図を直す</t>
    <phoneticPr fontId="2"/>
  </si>
  <si>
    <t>ネットワーク経路の疎通と遮断</t>
    <phoneticPr fontId="2"/>
  </si>
  <si>
    <t>外部の入口からKeycloak-Brokerまで通る／外向きの通信が許可した範囲だけ通る／名前解決が経路ごとに設計どおりに解決する／外部に出さない経路が塞がっている／管理用の経路が限定された元からだけ通る</t>
    <phoneticPr fontId="2"/>
  </si>
  <si>
    <t>NFR-SEC-011・016・017・018</t>
    <phoneticPr fontId="2"/>
  </si>
  <si>
    <t>区画の分離</t>
    <phoneticPr fontId="2"/>
  </si>
  <si>
    <t>区画をまたいでユーザが見えない／発行元の値が区画ごとに設計どおり／区画ごとの設定が独立している／一方の設定変更が他方に影響しない</t>
    <phoneticPr fontId="2"/>
  </si>
  <si>
    <t>FR-AUTHZ-008 / FR-ADMIN-009</t>
    <phoneticPr fontId="2"/>
  </si>
  <si>
    <t>環境ごとの差分の確認</t>
    <phoneticPr fontId="2"/>
  </si>
  <si>
    <t>環境で変わる値だけが変わっている／本番と検証で挙動が変わらない／検証環境に本番のデータが入っていない／環境の取り違えが起きない</t>
    <phoneticPr fontId="2"/>
  </si>
  <si>
    <t>NFR-OPS-013</t>
  </si>
  <si>
    <t>NFR-OPS-013</t>
    <phoneticPr fontId="2"/>
  </si>
  <si>
    <t>Keycloak-Brokerとデータベースのつなぎ目</t>
    <phoneticPr fontId="2"/>
  </si>
  <si>
    <t>設計した数まで接続を張れる／上限を超えた要求が待たされるか断られるかが設計どおり／接続が切れたあと自動でつなぎ直す／データベースの切替中にログインが継続する／止まる範囲が設計どおり／日本語・記号・絵文字が化けずに保存・取り出しできる／日時が意図した時間帯で保存・取り出しできる</t>
    <phoneticPr fontId="2"/>
  </si>
  <si>
    <t>NFR-PERF-008 / NFR-SCL-007</t>
    <phoneticPr fontId="2"/>
  </si>
  <si>
    <t>エラー応答の共通規約</t>
    <phoneticPr fontId="2"/>
  </si>
  <si>
    <t>エラーの種類と番号が一覧どおり／本文の形式が統一されている／内部の情報が漏れない／アプリ側が番号で分岐できる</t>
    <phoneticPr fontId="2"/>
  </si>
  <si>
    <t>FR-INT-006</t>
    <phoneticPr fontId="2"/>
  </si>
  <si>
    <t>IT-16</t>
    <phoneticPr fontId="2"/>
  </si>
  <si>
    <t>Keycloak-IdP とのつなぎ目</t>
    <phoneticPr fontId="2"/>
  </si>
  <si>
    <t>閉域経路で接続情報と署名鍵が取れる／識別子が引き継がれ再入力が要らない／追加認証の結果が写る／Keycloak-IdP 側がエラーを返したときの表示／2 回目以降は Keycloak-IdP を呼ばない</t>
    <phoneticPr fontId="2"/>
  </si>
  <si>
    <t>FR-FED-015</t>
  </si>
  <si>
    <t>FR-FED-015</t>
    <phoneticPr fontId="2"/>
  </si>
  <si>
    <t>アプリチームの Keycloak-IdP が検証環境で起動し、接続仕様（HE-23）が合意されていること</t>
    <phoneticPr fontId="2"/>
  </si>
  <si>
    <t>IT-17</t>
  </si>
  <si>
    <t>IT-17</t>
    <phoneticPr fontId="2"/>
  </si>
  <si>
    <t>管理 API の内部到達と権限範囲</t>
    <phoneticPr fontId="2"/>
  </si>
  <si>
    <t>内部経路から呼べる／外部から呼べない／許した操作だけ通る／範囲外の操作が拒否され記録される</t>
    <phoneticPr fontId="2"/>
  </si>
  <si>
    <t>FR-INT-006 / FR-SSO-010 / FR-USER-001</t>
    <phoneticPr fontId="2"/>
  </si>
  <si>
    <t>システム間 JWT の実装が完了していること</t>
    <phoneticPr fontId="2"/>
  </si>
  <si>
    <t>B 総合</t>
    <phoneticPr fontId="2"/>
  </si>
  <si>
    <t>顧客IdPの振り分けの一連</t>
    <phoneticPr fontId="2"/>
  </si>
  <si>
    <t>入力から顧客IdPが判定できる／判定できないときパスワード入力へ切り替わる／1 顧客に複数あるとき選択できる／存在しない入力でも実在の有無が分からない／大文字小文字・前後の空白の扱いが設計どおり／判定に使う値が変わったときの反映時間／判定の記録が残る</t>
    <phoneticPr fontId="2"/>
  </si>
  <si>
    <t>FR-FED-013 / NFR-SEC-010</t>
    <phoneticPr fontId="2"/>
  </si>
  <si>
    <t>振り分けできないときの切替</t>
    <phoneticPr fontId="2"/>
  </si>
  <si>
    <t>判定できないときパスワード入力へ切り替わる／切替後も最後までログインできる／切り替えたことが記録に残る</t>
    <phoneticPr fontId="2"/>
  </si>
  <si>
    <t>FR-FED-013</t>
    <phoneticPr fontId="2"/>
  </si>
  <si>
    <t>顧客IdPの選択</t>
    <phoneticPr fontId="2"/>
  </si>
  <si>
    <t>複数あるとき選択できる／並び順が設計どおり／選択した先へ正しく送られる</t>
    <phoneticPr fontId="2"/>
  </si>
  <si>
    <t>フェデレーションログインの一連（新方式）</t>
    <phoneticPr fontId="2"/>
  </si>
  <si>
    <t>初めての人がログインでき、ユーザが作られる／2 回目以降は作られず属性が更新される／顧客側で属性が変わったら次のログインで反映される／同じ人が別の顧客IdPから来たときの扱いが設計どおり／途中で中断したときに半端なユーザが残らない／相手側で拒否されたときの案内が出る／必須の項目が来なかったときの扱いが設計どおり</t>
    <phoneticPr fontId="2"/>
  </si>
  <si>
    <t>FR-FED-008・009 / FR-AUTH-002</t>
    <phoneticPr fontId="2"/>
  </si>
  <si>
    <t>フェデレーションログインの一連（旧方式）</t>
    <phoneticPr fontId="2"/>
  </si>
  <si>
    <t>初回・2 回目の動きが新方式と同じ結果になる／署名が不正なときに入れない／時計がずれた主張の扱いが設計どおり／属性名が顧客ごとに違っても正しく写る</t>
    <phoneticPr fontId="2"/>
  </si>
  <si>
    <t>FR-FED-005・008・009</t>
    <phoneticPr fontId="2"/>
  </si>
  <si>
    <t>初回登録と属性の更新</t>
    <phoneticPr fontId="2"/>
  </si>
  <si>
    <t>初めての人でユーザが作られる／2 回目以降は作られない／2 回目以降に属性が更新される／更新しない項目が上書きされない／同じ人と判断する条件が設計どおり／作成の途中で失敗したときに半端なユーザが残らない</t>
    <phoneticPr fontId="2"/>
  </si>
  <si>
    <t>FR-FED-008・009</t>
    <phoneticPr fontId="2"/>
  </si>
  <si>
    <t>ログインのたびの属性の追随</t>
    <phoneticPr fontId="2"/>
  </si>
  <si>
    <t>顧客側で変わった値が次のログインで反映される／削除された値の扱いが設計どおり／基盤側で足した値が上書きされない</t>
    <phoneticPr fontId="2"/>
  </si>
  <si>
    <t>FR-FED-009</t>
    <phoneticPr fontId="2"/>
  </si>
  <si>
    <t>ログイン状態の保持とログアウトの一連</t>
    <phoneticPr fontId="2"/>
  </si>
  <si>
    <t>無操作で設計どおりの時間に切れる／操作を続けている間は切れない／複数のアプリで入り直さずに使える／明示的なログアウトで状態が消える／更新の資格が設計どおりに回る／古い更新の資格が使えない／ブラウザを閉じて開き直したときの扱いが設計どおり</t>
    <phoneticPr fontId="2"/>
  </si>
  <si>
    <t>FR-SSO-001・003・004・008 / NFR-SEC-005・007・020</t>
    <phoneticPr fontId="2"/>
  </si>
  <si>
    <t>ログアウトの伝わり方</t>
    <phoneticPr fontId="2"/>
  </si>
  <si>
    <t>1 箇所のログアウトが他のアプリへ届く／届かなかったアプリがあるときの扱いが設計どおり／顧客IdP側のログアウトと連動するか／しないかが設計どおり／伝わらなかった場合に残る時間の上限が設計どおり</t>
    <phoneticPr fontId="2"/>
  </si>
  <si>
    <t>FR-SSO-005・006・007</t>
    <phoneticPr fontId="2"/>
  </si>
  <si>
    <t>識別子の入力画面</t>
    <phoneticPr fontId="2"/>
  </si>
  <si>
    <t>設計どおりの項目と文言が出る／入力の検証が効く／振り分けへ正しく進む／主要なブラウザと画面幅で崩れない／製品の版を上げても表示が壊れない</t>
    <phoneticPr fontId="2"/>
  </si>
  <si>
    <t>FR-ADMIN-012</t>
    <phoneticPr fontId="2"/>
  </si>
  <si>
    <t>エラー・案内画面</t>
    <phoneticPr fontId="2"/>
  </si>
  <si>
    <t>失敗の種類ごとに設計どおりの案内が出る／内部の情報が画面に出ない／実在する識別子と実在しない識別子で表示が変わらない／誘導先へ進める</t>
    <phoneticPr fontId="2"/>
  </si>
  <si>
    <t>FR-ADMIN-012 / NFR-SEC-010</t>
    <phoneticPr fontId="2"/>
  </si>
  <si>
    <t>顧客システム連携の一連（入社から退職まで）</t>
    <phoneticPr fontId="2"/>
  </si>
  <si>
    <t>入社（登録）が反映される／異動（更新）が反映される／退職（削除通知）で消さずに止まる／再雇用（再開）が条件どおりに戻る／初回ログインで作られた人と重複したときの扱いが設計どおり／登録された経路の区分が正しく付く／顧客側と Keycloak-Broker の食い違いが検出できる</t>
    <phoneticPr fontId="2"/>
  </si>
  <si>
    <t>FR-USER-003・006 / FR-FED-008</t>
    <phoneticPr fontId="2"/>
  </si>
  <si>
    <t>顧客側からの更新の反映</t>
    <phoneticPr fontId="2"/>
  </si>
  <si>
    <t>変更が反映される／競合したときの扱いが設計どおり／対象外の項目が上書きされない</t>
    <phoneticPr fontId="2"/>
  </si>
  <si>
    <t>FR-USER-003</t>
    <phoneticPr fontId="2"/>
  </si>
  <si>
    <t>削除通知の読み替え</t>
    <phoneticPr fontId="2"/>
  </si>
  <si>
    <t>削除の通知で消さずに止まる／記録が残る／止めた日時が入る／同じ通知が二度来ても結果が変わらない</t>
    <phoneticPr fontId="2"/>
  </si>
  <si>
    <t>FR-USER-003・006</t>
    <phoneticPr fontId="2"/>
  </si>
  <si>
    <t>顧客側からの検索</t>
    <phoneticPr fontId="2"/>
  </si>
  <si>
    <t>絞り込みが効く／件数の区切りが仕様どおり／他の顧客のユーザが見えない</t>
    <phoneticPr fontId="2"/>
  </si>
  <si>
    <t>FR-USER-003 / FR-AUTHZ-002</t>
    <phoneticPr fontId="2"/>
  </si>
  <si>
    <t>属性の写しと統一の確認</t>
    <phoneticPr fontId="2"/>
  </si>
  <si>
    <t>顧客ごとの項目名が統一名に変換される／変換の規則に無い項目の扱いが設計どおり／値が空・長すぎる・想定外の形式のときの扱い／変換表を追加したときに他の顧客へ影響しない</t>
    <phoneticPr fontId="2"/>
  </si>
  <si>
    <t>FR-FED-009 / FR-USER-002</t>
    <phoneticPr fontId="2"/>
  </si>
  <si>
    <t>登録された経路の区分</t>
    <phoneticPr fontId="2"/>
  </si>
  <si>
    <t>初回ログイン・顧客システム連携・運用者のそれぞれで正しい区分が付く／経路が変わったときの扱いが設計どおり／区分によって後の自動処理の対象が変わる</t>
    <phoneticPr fontId="2"/>
  </si>
  <si>
    <t>FR-USER-002</t>
    <phoneticPr fontId="2"/>
  </si>
  <si>
    <t>停止と再開の一連</t>
    <phoneticPr fontId="2"/>
  </si>
  <si>
    <t>止めたユーザがログインできない／止めた日時が記録に残る／止めても記録は消えない／再開してよい条件のときだけ戻る／除外条件に当たるときは戻らない／止めた時点で発行済みのJWTが使えなくなるまでの時間が設計どおり</t>
    <phoneticPr fontId="2"/>
  </si>
  <si>
    <t>FR-USER-006 / FR-SSO-009・010 / NFR-SEC-008</t>
    <phoneticPr fontId="2"/>
  </si>
  <si>
    <t>再開してよい条件のときだけ戻る／除外条件に当たるときは戻らない／再開が記録に残る／再開後にログインできる</t>
    <phoneticPr fontId="2"/>
  </si>
  <si>
    <t>FR-USER-006</t>
    <phoneticPr fontId="2"/>
  </si>
  <si>
    <t>保持期間と消去</t>
    <phoneticPr fontId="2"/>
  </si>
  <si>
    <t>期限を過ぎたデータが消える／期限内のデータが消えない／消したことが記録に残る／停止から消去までの段階が設計どおり／消し残しが検出できる</t>
    <phoneticPr fontId="2"/>
  </si>
  <si>
    <t>FR-USER-011 / NFR-COMP-007</t>
    <phoneticPr fontId="2"/>
  </si>
  <si>
    <t>顧客の追加から初回ログインまでの一連</t>
    <phoneticPr fontId="2"/>
  </si>
  <si>
    <t>顧客を登録できる／顧客IdPを登録して疎通が確認できる／その顧客のユーザが初回ログインできる／登録の途中で失敗したときに半端な状態が残らない／他の顧客に影響しない／登録から使えるようになるまでの所要時間が約束の範囲</t>
    <phoneticPr fontId="2"/>
  </si>
  <si>
    <t>FR-ADMIN-002・003 / FR-FED-011</t>
    <phoneticPr fontId="2"/>
  </si>
  <si>
    <t>顧客の解約の一連</t>
    <phoneticPr fontId="2"/>
  </si>
  <si>
    <t>解約でその顧客のユーザがログインできなくなる／データの持ち出しができる／猶予期間の扱いが設計どおり／消去したあと戻せないことの確認／他の顧客に影響しない</t>
    <phoneticPr fontId="2"/>
  </si>
  <si>
    <t>NFR-COMP-009 / FR-ADMIN-002</t>
    <phoneticPr fontId="2"/>
  </si>
  <si>
    <t>JWT の内容と検証</t>
    <phoneticPr fontId="2"/>
  </si>
  <si>
    <t>必須の項目が過不足なく入る／顧客を指す値が正しく入る／要求できる範囲ごとに入る項目が変わる／有効期限が設計どおり／署名鍵の入れ替え中も検証できる／改ざんしたJWT を拒否できる／発行元の値が設計どおり</t>
    <phoneticPr fontId="2"/>
  </si>
  <si>
    <t>FR-AUTHZ-001・002・006 / FR-INT-003 / NFR-SEC-003・004</t>
    <phoneticPr fontId="2"/>
  </si>
  <si>
    <t>顧客を越えて入れないことの確認</t>
    <phoneticPr fontId="2"/>
  </si>
  <si>
    <t>他の顧客の顧客IdPを使ってログインできない／弾いたことが記録に残る／同じメールの人が複数の顧客にいるときに取り違えない／顧客IdPを後から付け替えたときも越境しない</t>
    <phoneticPr fontId="2"/>
  </si>
  <si>
    <t>FR-AUTHZ-002 / FR-ADMIN-009</t>
    <phoneticPr fontId="2"/>
  </si>
  <si>
    <t>業務システム連携の一連</t>
    <phoneticPr fontId="2"/>
  </si>
  <si>
    <t>Keycloak-Broker 経由で業務システムにログインできる／相手側にユーザが自動で作られる／業務システムから他のアプリを呼べる／Keycloak-Broker で止めた人が業務システムでも使えなくなる／相手側に既にいる人と重複しない</t>
    <phoneticPr fontId="2"/>
  </si>
  <si>
    <t>初回ログインで相手側に作られる／渡した属性が反映される／既にいる人と重複しない</t>
    <phoneticPr fontId="2"/>
  </si>
  <si>
    <t>FR-FED-006</t>
    <phoneticPr fontId="2"/>
  </si>
  <si>
    <t>業務システムから他のアプリを呼べる／引き継ぐ情報が設計どおり</t>
    <phoneticPr fontId="2"/>
  </si>
  <si>
    <t>FR-INT-004</t>
    <phoneticPr fontId="2"/>
  </si>
  <si>
    <t>ST-28</t>
    <phoneticPr fontId="2"/>
  </si>
  <si>
    <t>顧客IdP を持たない顧客のログインの一連</t>
    <phoneticPr fontId="2"/>
  </si>
  <si>
    <t>初回ログインでユーザが作られる／2 回目は入り直さずに使える／ログアウトで Keycloak-IdP 側の状態も消える／上限時間（12 時間）で両方切れる／Keycloak-IdP 側で止めた人が次の認証で入れない</t>
    <phoneticPr fontId="2"/>
  </si>
  <si>
    <t>FR-FED-015 / FR-USER-006 / FR-SSO-005</t>
    <phoneticPr fontId="2"/>
  </si>
  <si>
    <t>A 結合（IT-16）が完了していること</t>
    <phoneticPr fontId="2"/>
  </si>
  <si>
    <t>ST-29</t>
  </si>
  <si>
    <t>ST-29</t>
    <phoneticPr fontId="2"/>
  </si>
  <si>
    <t>90 日ログインの無い対象ユーザが止まる／除外対象（Keycloak-IdP 収容・顧客システム連携）は止まらない／止めた記録が残る／再ログインで条件どおり再開する</t>
    <phoneticPr fontId="2"/>
  </si>
  <si>
    <t>FR-USER-013</t>
  </si>
  <si>
    <t>FR-USER-013</t>
    <phoneticPr fontId="2"/>
  </si>
  <si>
    <t>自動停止の実装が完了していること</t>
    <phoneticPr fontId="2"/>
  </si>
  <si>
    <t>C 実機</t>
    <phoneticPr fontId="2"/>
  </si>
  <si>
    <t>実機の顧客IdPとの突合（1 社目）</t>
    <phoneticPr fontId="2"/>
  </si>
  <si>
    <t>実際の接続情報で繋がる／属性名が想定と違う点の洗い出し／同意画面の有無と挙動／相手側で追加認証を行ったときに結果を受け取れる／エラーの返り方の差／設計への反映</t>
    <phoneticPr fontId="2"/>
  </si>
  <si>
    <t>FR-FED-002 / FR-FED-012</t>
    <phoneticPr fontId="2"/>
  </si>
  <si>
    <t>実機の顧客IdPとの突合（2 社目）</t>
    <phoneticPr fontId="2"/>
  </si>
  <si>
    <t>1 社目との差分の洗い出し／ひな形で吸収できるか／吸収できない差の設計反映</t>
    <phoneticPr fontId="2"/>
  </si>
  <si>
    <t>FR-FED-001・003・004</t>
    <phoneticPr fontId="2"/>
  </si>
  <si>
    <t>実機の顧客IdPとの突合（旧方式 1 社）</t>
    <phoneticPr fontId="2"/>
  </si>
  <si>
    <t>実際の接続情報で繋がる／署名と暗号化の設定差／ユーザを指す値の形式差／設計への反映</t>
    <phoneticPr fontId="2"/>
  </si>
  <si>
    <t>FR-FED-005</t>
    <phoneticPr fontId="2"/>
  </si>
  <si>
    <t>実機の顧客システムからの押し出し</t>
    <phoneticPr fontId="2"/>
  </si>
  <si>
    <t>相手側の送り方の差／項目の対応づけの差／大量投入時の挙動／相手側の再送の作法／設計への反映</t>
    <phoneticPr fontId="2"/>
  </si>
  <si>
    <t>業務システムの実機突合</t>
    <phoneticPr fontId="2"/>
  </si>
  <si>
    <t>実機での接続／相手側のユーザ自動作成の設定差／緊急時に使う相手側の管理者アカウントの扱い／停止の連鎖／設計への反映</t>
    <phoneticPr fontId="2"/>
  </si>
  <si>
    <t>D 性能</t>
    <phoneticPr fontId="2"/>
  </si>
  <si>
    <t>顧客システム連携の処理量</t>
    <phoneticPr fontId="2"/>
  </si>
  <si>
    <t>一括投入の所要時間／同時に複数の顧客から来たときの挙動／区切りごとの応答時間／投入中にログインの応答が悪化しないか</t>
    <phoneticPr fontId="2"/>
  </si>
  <si>
    <t>NFR-PERF-002</t>
    <phoneticPr fontId="2"/>
  </si>
  <si>
    <t>JWT の検証の処理量</t>
    <phoneticPr fontId="2"/>
  </si>
  <si>
    <t>アプリ側で検証したときの処理量／署名鍵の公開先への問い合わせ回数と一時保持の効き／署名鍵の入れ替え中の処理量の落ち込み</t>
    <phoneticPr fontId="2"/>
  </si>
  <si>
    <t>NFR-PERF-004・005</t>
    <phoneticPr fontId="2"/>
  </si>
  <si>
    <t>自動増減の追随</t>
    <phoneticPr fontId="2"/>
  </si>
  <si>
    <t>負荷が上がったときに増える／増える途中でログインが失敗しない／負荷が下がったときに減る／減るときに処理中の要求が落ちない</t>
    <phoneticPr fontId="2"/>
  </si>
  <si>
    <t>NFR-SCL-005 / NFR-AVL-004</t>
    <phoneticPr fontId="2"/>
  </si>
  <si>
    <t>データベースの負荷と接続数</t>
    <phoneticPr fontId="2"/>
  </si>
  <si>
    <t>接続数が上限に達したときの挙動／書き込みが集中したときの応答／大きくなった表の検索時間／索引が効いていることの確認</t>
    <phoneticPr fontId="2"/>
  </si>
  <si>
    <t>ログインの応答時間と処理量</t>
    <phoneticPr fontId="2"/>
  </si>
  <si>
    <t>目標とした応答時間（中央値・95%・99%）に収まる／毎秒の処理件数が目標に届く／フェデレーションと直接の比率を変えたときの差／時間帯の山を模した波形での挙動／目標に届かない場合の原因の切り分け</t>
    <phoneticPr fontId="2"/>
  </si>
  <si>
    <t>NFR-PERF-001・002・007 / NFR-SCL-002</t>
    <phoneticPr fontId="2"/>
  </si>
  <si>
    <t>顧客IdPの数を増やしたときのスケール</t>
    <phoneticPr fontId="2"/>
  </si>
  <si>
    <t>想定した数の顧客IdPで振り分けの時間が基準内に収まる／顧客IdPを倍にしたときの伸び方／一時保持の効き具合／顧客IdPを追加したときに反映されるまでの時間／見積った設備量で足りるかの確認</t>
    <phoneticPr fontId="2"/>
  </si>
  <si>
    <t>NFR-SCL-003・004 / NFR-PERF-005</t>
    <phoneticPr fontId="2"/>
  </si>
  <si>
    <t>上限を超えたときの振る舞い</t>
    <phoneticPr fontId="2"/>
  </si>
  <si>
    <t>設計した上限で受け付けが止まる／超過時に返す内容が設計どおり／負荷が引いたあと自動で戻る／上限に達しても記録が欠けない</t>
    <phoneticPr fontId="2"/>
  </si>
  <si>
    <t>NFR-PERF-006</t>
    <phoneticPr fontId="2"/>
  </si>
  <si>
    <t>E 可用性・災害復旧</t>
    <phoneticPr fontId="2"/>
  </si>
  <si>
    <t>別地域への切替訓練</t>
    <phoneticPr fontId="2"/>
  </si>
  <si>
    <t>切替の判断基準どおりに判断できる／手順どおりに切り替わる／目標時間内に切り替わる／切替時点でのデータの欠落が目標内／切り替えた先でログインできる／元の地域へ戻せる／手順書の不備の洗い出しと是正</t>
    <phoneticPr fontId="2"/>
  </si>
  <si>
    <t>NFR-DR-001・002・003・007</t>
    <phoneticPr fontId="2"/>
  </si>
  <si>
    <t>切替時のログイン状態とJWT</t>
    <phoneticPr fontId="2"/>
  </si>
  <si>
    <t>切替でログインし直しが要ることが設計どおり（別地域再構築のため状態は引き継がない）／発行済みのJWTが切替先で検証できる／署名鍵が切替先にも揃っている</t>
    <phoneticPr fontId="2"/>
  </si>
  <si>
    <t>NFR-DR-008</t>
    <phoneticPr fontId="2"/>
  </si>
  <si>
    <t>地域内の可用性</t>
    <phoneticPr fontId="2"/>
  </si>
  <si>
    <t>1 台止めてもログインが続く／データベースの切替が目標時間内に終わる／順に入れ替える更新でログインが止まらない／同時に複数台止めたときの限界の確認／止めた台が戻ったあと自動で組み込まれる</t>
    <phoneticPr fontId="2"/>
  </si>
  <si>
    <t>NFR-AVL-003・004・005・006</t>
    <phoneticPr fontId="2"/>
  </si>
  <si>
    <t>控えからの復元</t>
    <phoneticPr fontId="2"/>
  </si>
  <si>
    <t>時点を指定して戻せる／誤った操作で壊れたデータを戻せる／復元の所要時間が目標内／復元後にログインと記録が整合している／控えが変更できない設定になっている</t>
    <phoneticPr fontId="2"/>
  </si>
  <si>
    <t>NFR-DR-004・005</t>
    <phoneticPr fontId="2"/>
  </si>
  <si>
    <t>F セキュリティ</t>
    <phoneticPr fontId="2"/>
  </si>
  <si>
    <t>実在の推測と繰り返し試行への対策</t>
    <phoneticPr fontId="2"/>
  </si>
  <si>
    <t>実在する識別子と実在しない識別子で応答の内容が変わらない／応答までの時間にも差が出ない／短時間の繰り返しが制限される／送信元を分散させても制限が効く／制限にかかったときの表示が実在を示唆しない／正規のユーザが誤って止められない</t>
    <phoneticPr fontId="2"/>
  </si>
  <si>
    <t>NFR-SEC-010</t>
    <phoneticPr fontId="2"/>
  </si>
  <si>
    <t>署名鍵の入れ替え</t>
    <phoneticPr fontId="2"/>
  </si>
  <si>
    <t>入れ替え中もログインが止まらない／古い鍵で発行したJWTが並走期間中は検証できる／並走期間を過ぎた鍵で検証できない／入れ替えが記録に残る</t>
    <phoneticPr fontId="2"/>
  </si>
  <si>
    <t>NFR-COMP-011</t>
    <phoneticPr fontId="2"/>
  </si>
  <si>
    <t>接続用パスワードの入れ替え</t>
    <phoneticPr fontId="2"/>
  </si>
  <si>
    <t>入れ替えでアプリが止まらない／猶予期間の扱いが設計どおり／アプリへ通知が届く</t>
    <phoneticPr fontId="2"/>
  </si>
  <si>
    <t>NFR-SEC-015</t>
    <phoneticPr fontId="2"/>
  </si>
  <si>
    <t>疑似攻撃検査</t>
    <phoneticPr fontId="2"/>
  </si>
  <si>
    <t>攻撃経路対応表に挙げた経路をすべて試す／認可のすり抜けができない／顧客を越えられない／プロトコルの取り違えを突けない／入力値の細工で異常な動きをしない／見つかった弱点の是正と再確認</t>
    <phoneticPr fontId="2"/>
  </si>
  <si>
    <t>NFR-SEC-013</t>
    <phoneticPr fontId="2"/>
  </si>
  <si>
    <t>WAF 側で行う対策の受入確認</t>
    <phoneticPr fontId="2"/>
  </si>
  <si>
    <t>同じ元からの過大な要求が遮られる／外部に出さない経路が塞がれている／正規の利用が誤って止められない／遮った記録がKeycloak-Broker 側でも追える／🔴 WAF では代替できない範囲（特定のユーザへの連続失敗の締め出し・応答の同一化）の残存リスクの確認</t>
    <phoneticPr fontId="2"/>
  </si>
  <si>
    <t>NFR-SEC-010・011・012</t>
    <phoneticPr fontId="2"/>
  </si>
  <si>
    <t>通信と保管の暗号化</t>
    <phoneticPr fontId="2"/>
  </si>
  <si>
    <t>外部との通信が設計した方式で暗号化される／内部の通信も暗号化される／保管したデータが暗号化されている／弱い方式が使えない／認められた暗号の実装が使われている</t>
    <phoneticPr fontId="2"/>
  </si>
  <si>
    <t>NFR-SEC-001・002・003</t>
    <phoneticPr fontId="2"/>
  </si>
  <si>
    <t>鍵と秘密情報の取り扱い</t>
    <phoneticPr fontId="2"/>
  </si>
  <si>
    <t>鍵を扱える人と扱えない人が分かれている／署名鍵の入れ替え中もログインが止まらない／接続用パスワードの入れ替えでアプリが止まらない／秘密情報が記録や画面に出ない／緊急時に使う資格の利用が記録に残る</t>
    <phoneticPr fontId="2"/>
  </si>
  <si>
    <t>NFR-SEC-015 / NFR-COMP-011</t>
    <phoneticPr fontId="2"/>
  </si>
  <si>
    <t>記録の伏せ字と個人情報</t>
    <phoneticPr fontId="2"/>
  </si>
  <si>
    <t>記録に個人情報が残らない／運用を委託する相手から個人情報が見えない／共通基盤へ出す前に伏せられている／伏せ字の設定を外せないようになっている</t>
    <phoneticPr fontId="2"/>
  </si>
  <si>
    <t>NFR-COMP-001 / NFR-SEC-002</t>
    <phoneticPr fontId="2"/>
  </si>
  <si>
    <t>脆弱性の検査と部品の出所</t>
    <phoneticPr fontId="2"/>
  </si>
  <si>
    <t>既知の弱点が検出される／重大なものが残っていない／使っている部品の一覧が出せる／出所の確認できない部品が入らない</t>
    <phoneticPr fontId="2"/>
  </si>
  <si>
    <t>NFR-SEC-014・022 / NFR-OPS-006</t>
    <phoneticPr fontId="2"/>
  </si>
  <si>
    <t>SEC-10</t>
  </si>
  <si>
    <t>SEC-10</t>
    <phoneticPr fontId="2"/>
  </si>
  <si>
    <t>運用者アカウントの保護</t>
    <phoneticPr fontId="2"/>
  </si>
  <si>
    <t>パスワードだけでは入れない／常時の全権が付いていない／昇格が記録され期限で失効する／緊急時アクセスの使用が通知される／棚卸しで不要なアカウントが検出される</t>
    <phoneticPr fontId="2"/>
  </si>
  <si>
    <t>NFR-SEC-021</t>
  </si>
  <si>
    <t>NFR-SEC-021</t>
    <phoneticPr fontId="2"/>
  </si>
  <si>
    <t>運用者アカウントと権限モデルの構築が完了していること</t>
    <phoneticPr fontId="2"/>
  </si>
  <si>
    <t>G 運用</t>
    <phoneticPr fontId="2"/>
  </si>
  <si>
    <t>顧客の追加と証明書の入れ替え</t>
    <phoneticPr fontId="2"/>
  </si>
  <si>
    <t>顧客IdPの登録から初回ログインまで通しでできる／所要時間が約束した範囲に収まる／証明書を止めずに入れ替えられる／期限が近いときに通知が届く／入れ替えに失敗したときに戻せる</t>
    <phoneticPr fontId="2"/>
  </si>
  <si>
    <t>NFR-SCL-004 / NFR-OPS-011</t>
    <phoneticPr fontId="2"/>
  </si>
  <si>
    <t>相手側が証明書を入れ替えたあと自動で追随する／追随の間隔が設計どおり／取り直しに失敗したときに通知が届く／追随できないまま期限が来る前に気づける</t>
    <phoneticPr fontId="2"/>
  </si>
  <si>
    <t>FR-FED-011 / NFR-OPS-002</t>
    <phoneticPr fontId="2"/>
  </si>
  <si>
    <t>記録の照会と監査への提出</t>
    <phoneticPr fontId="2"/>
  </si>
  <si>
    <t>共通基盤で必要な記録が引ける／保持年数を過ぎた記録が消える／監査から求められる形式で出せる／誰がいつ何をしたかが追える</t>
    <phoneticPr fontId="2"/>
  </si>
  <si>
    <t>NFR-OPS-004 / NFR-COMP-010</t>
    <phoneticPr fontId="2"/>
  </si>
  <si>
    <t>本人を特定できる／保有しているデータを取り出せる／求めに応じて消せる／消したあと復元できないことを示せる／対応の記録が残る／期限内に回答できる</t>
    <phoneticPr fontId="2"/>
  </si>
  <si>
    <t>NFR-COMP-009</t>
    <phoneticPr fontId="2"/>
  </si>
  <si>
    <t>手順書が完成していること</t>
    <phoneticPr fontId="2"/>
  </si>
  <si>
    <t>証明書の期限監視</t>
    <phoneticPr fontId="2"/>
  </si>
  <si>
    <t>期限が近いものが検出される／通知が設計した宛先へ届く／検出漏れが無い</t>
    <phoneticPr fontId="2"/>
  </si>
  <si>
    <t>NFR-OPS-002</t>
    <phoneticPr fontId="2"/>
  </si>
  <si>
    <t>約束した稼働率と復旧目標の裏取り</t>
    <phoneticPr fontId="2"/>
  </si>
  <si>
    <t>測定した稼働率が約束の値を満たす／復旧の実測値が目標内／満たせない条件が契約に書かれている／測り方が顧客と合意されている</t>
    <phoneticPr fontId="2"/>
  </si>
  <si>
    <t>NFR-AVL-001 / NFR-DR-001・002</t>
    <phoneticPr fontId="2"/>
  </si>
  <si>
    <t>監視と通知</t>
    <phoneticPr fontId="2"/>
  </si>
  <si>
    <t>決めた値がすべて取れる／閾値を超えたときに通知が届く／通知先が当番表どおりに振り分けられる／止まったことに気づけるまでの時間／ダッシュボードで状況が読める／誤検知が多すぎない</t>
    <phoneticPr fontId="2"/>
  </si>
  <si>
    <t>NFR-OPS-001・002</t>
    <phoneticPr fontId="2"/>
  </si>
  <si>
    <t>手順書のリハーサル</t>
    <phoneticPr fontId="2"/>
  </si>
  <si>
    <t>事故発生時の初動が手順どおりに実施できる／情報漏えい時の報告が期限内に出せる／顧客の解約が手順どおりにできる／鍵の緊急入れ替えができる／控えからの復元ができる／災害時の切替判断・再構築・復帰ができる／手順書の不備の洗い出しと是正</t>
    <phoneticPr fontId="2"/>
  </si>
  <si>
    <t>NFR-OPS-008</t>
    <phoneticPr fontId="2"/>
  </si>
  <si>
    <t>通常の経路が使えないときに入れる／入った操作がすべて記録される／使い終わったあと資格が無効になる／使用したことが通知される</t>
    <phoneticPr fontId="2"/>
  </si>
  <si>
    <t>NFR-SEC-017</t>
    <phoneticPr fontId="2"/>
  </si>
  <si>
    <t>製品の更新</t>
    <phoneticPr fontId="2"/>
  </si>
  <si>
    <t>手順どおりに版を上げられる／上げている間にログインが止まらない／失敗したときに戻せる／自社拡張が新しい版でも動く／設定が引き継がれる</t>
    <phoneticPr fontId="2"/>
  </si>
  <si>
    <t>NFR-OPS-005・006</t>
    <phoneticPr fontId="2"/>
  </si>
  <si>
    <t>構成コードからの再現</t>
    <phoneticPr fontId="2"/>
  </si>
  <si>
    <t>コードから環境を作り直せる／手で変えた箇所が検出される／環境ごとの差分が設計どおりに切り替わる／戻したい版に戻せる</t>
    <phoneticPr fontId="2"/>
  </si>
  <si>
    <t>NFR-OPS-010 / FR-INT-010</t>
    <phoneticPr fontId="2"/>
  </si>
  <si>
    <t>OP-12</t>
  </si>
  <si>
    <t>OP-12</t>
    <phoneticPr fontId="2"/>
  </si>
  <si>
    <t>不正兆候の検知と通知</t>
    <phoneticPr fontId="2"/>
  </si>
  <si>
    <t>失敗の急増で通知が届く／同一送信元の連続試行で通知が届く／誤検知が運用に耐える頻度／通知から初動手順（G-1.3）につながる</t>
    <phoneticPr fontId="2"/>
  </si>
  <si>
    <t>NFR-SEC-023</t>
  </si>
  <si>
    <t>NFR-SEC-023</t>
    <phoneticPr fontId="2"/>
  </si>
  <si>
    <t>不正兆候の検知の構築が完了していること</t>
    <phoneticPr fontId="2"/>
  </si>
  <si>
    <t>H 受入</t>
    <phoneticPr fontId="2"/>
  </si>
  <si>
    <t>ユーザによる受入</t>
    <phoneticPr fontId="2"/>
  </si>
  <si>
    <t>代表的な業務の流れを最後まで通せる／画面の案内で迷わない／失敗したときに何をすればよいか分かる／複数のアプリを行き来できる</t>
    <phoneticPr fontId="2"/>
  </si>
  <si>
    <t>顧客 IT 部門による受入</t>
    <phoneticPr fontId="2"/>
  </si>
  <si>
    <t>接続ガイドどおりに繋げられる／必要な情報が事前に揃っている／繋がらないときの切り分けができる／証明書の入れ替えを自分たちで行える</t>
    <phoneticPr fontId="2"/>
  </si>
  <si>
    <t>FR-FED-011</t>
    <phoneticPr fontId="2"/>
  </si>
  <si>
    <t>顧客IdP 接続ガイドが完成していること</t>
    <phoneticPr fontId="2"/>
  </si>
  <si>
    <t>運用担当による受入</t>
    <phoneticPr fontId="2"/>
  </si>
  <si>
    <t>手順書だけで日々の運用が回せる／異常に監視で気づける／当番の引き継ぎができる／判断に迷う点の洗い出しと手順への反映</t>
    <phoneticPr fontId="2"/>
  </si>
  <si>
    <t>NFR-OPS-008・009</t>
    <phoneticPr fontId="2"/>
  </si>
  <si>
    <t>アプリ開発者による受入</t>
    <phoneticPr fontId="2"/>
  </si>
  <si>
    <t>ガイドとサンプルだけで組み込める／試用環境で確認できる／JWT の検証をガイドどおりに実装できる／躓いた点のガイドへの反映</t>
    <phoneticPr fontId="2"/>
  </si>
  <si>
    <t>I テスト共通</t>
    <phoneticPr fontId="2"/>
  </si>
  <si>
    <t>テスト環境の構築と維持</t>
    <phoneticPr fontId="2"/>
  </si>
  <si>
    <t>本番に近い構成で用意する／相手方の検証環境との接続を用意する／期間中の維持と復旧／使い終わったあとの片付け</t>
    <phoneticPr fontId="2"/>
  </si>
  <si>
    <t>テストデータの作成</t>
    <phoneticPr fontId="2"/>
  </si>
  <si>
    <t>性能試験に必要な量を作れる／個人情報を含まない／顧客ごとの違いを再現できる／何度でも同じ状態に戻せる</t>
    <phoneticPr fontId="2"/>
  </si>
  <si>
    <t>切替のリハーサル</t>
    <phoneticPr fontId="2"/>
  </si>
  <si>
    <t>既存の認証から本基盤へ 1 アプリ切り替えられる／並行稼働の間どちらでも入れる／戻す手順が動く／切替の判断基準が使える</t>
    <phoneticPr fontId="2"/>
  </si>
  <si>
    <t>NFR-MIG-005</t>
    <phoneticPr fontId="2"/>
  </si>
  <si>
    <t>回帰テストの自動化</t>
    <phoneticPr fontId="2"/>
  </si>
  <si>
    <t>主要な流れを自動で流せる／結果の判定が自動でつく／製品の更新後に流して差分が出る／実行結果が記録に残る</t>
    <phoneticPr fontId="2"/>
  </si>
  <si>
    <t>不具合の管理と是正の確認</t>
    <phoneticPr fontId="2"/>
  </si>
  <si>
    <t>不具合が記録され追える／是正後に再確認している／残った不具合の扱いが合意されている／要件から試験結果まで追える</t>
    <phoneticPr fontId="2"/>
  </si>
  <si>
    <t>テスト計画・仕様の作成とレビュー</t>
    <phoneticPr fontId="2"/>
  </si>
  <si>
    <t>基本設計の全機能に試験が対応している／要件との対応がとれている／合否の基準が数値で書かれている／関係者の承認が取れている</t>
    <phoneticPr fontId="2"/>
  </si>
  <si>
    <t>Keycloak-IdP 接続の詳細設計</t>
  </si>
  <si>
    <t>共有エントリの定義項目・属性の写し方（amr → 追加認証済みの印）・login_hint の渡し方・ログアウト連鎖の設定が実装できる粒度で書かれている</t>
  </si>
  <si>
    <t>DDE-11</t>
  </si>
  <si>
    <t>接続仕様の実装レベル定義（Keycloak-IdP 側へ渡す設定値）</t>
  </si>
  <si>
    <t>Keycloak-IdP 側の Client・返す項目・セッション上限（12 時間）・経路の設定値が一覧で確定し、アプリチームへ渡っている</t>
  </si>
  <si>
    <t>DDI-10</t>
  </si>
  <si>
    <t>単体試験仕様: Keycloak-IdP 接続</t>
  </si>
  <si>
    <t>初回・2 回目（Keycloak-IdP を呼ばない）・追加認証済みの印・ログアウト連鎖・上限時間の観点と期待結果が定義されている</t>
  </si>
  <si>
    <t>MKA-20</t>
  </si>
  <si>
    <t>Keycloak-IdP への閉域経路の構築（Keycloak-Broker 側）</t>
  </si>
  <si>
    <t>閉域接続（PrivateLink）の受け口と名前解決が作られ、Keycloak-IdP 側と疎通する</t>
  </si>
  <si>
    <t>経路2+名前解決1</t>
  </si>
  <si>
    <t>MKB-30</t>
  </si>
  <si>
    <t>Keycloak-IdP 接続の設定（共有エントリ・写し込み・ログアウト連鎖）</t>
  </si>
  <si>
    <t>共有エントリが登録され、識別子が引き継がれ、追加認証の結果が写り、ログアウトが連鎖する</t>
  </si>
  <si>
    <t>MKI-19</t>
  </si>
  <si>
    <t>単体試験: Keycloak-IdP 接続</t>
  </si>
  <si>
    <t>どこまで作って渡すか・渡した後の責任の持ち方（D-21 責任表）・初期状態に何を入れるかが確定し、引き渡し仕様書として 1 冊になっている</t>
  </si>
  <si>
    <t>DDF-05</t>
  </si>
  <si>
    <t>自動停止の実装仕様</t>
  </si>
  <si>
    <t>対象の抽出条件・除外条件・実行間隔・記録が確定している</t>
  </si>
  <si>
    <t>MKF-06</t>
  </si>
  <si>
    <t>自動停止の実装</t>
  </si>
  <si>
    <t>90 日ログインの無い対象ユーザだけが止まり、除外対象は止まらず、記録が残る</t>
  </si>
  <si>
    <t>DDE-12</t>
  </si>
  <si>
    <t>管理 API の内部公開の実装仕様</t>
  </si>
  <si>
    <t>経路・呼び出し元の資格・許す操作の範囲・記録の項目が実装できる粒度で書かれている</t>
  </si>
  <si>
    <t>MKB-32</t>
  </si>
  <si>
    <t>管理 API の内部公開の構築</t>
  </si>
  <si>
    <t>内部経路からだけ呼べ、許した操作だけが通り、記録が残る</t>
  </si>
  <si>
    <t>DDG-14</t>
  </si>
  <si>
    <t>不正兆候の検知の実装設計</t>
  </si>
  <si>
    <t>検知の条件・集計の単位・閾値・通知先が実装できる粒度で書かれている</t>
  </si>
  <si>
    <t>MKH-07</t>
  </si>
  <si>
    <t>不正兆候の検知の構築</t>
  </si>
  <si>
    <t>兆候が検出され、通知が届く</t>
  </si>
  <si>
    <t>控えの別地域への複製の設定</t>
  </si>
  <si>
    <t>本番の控え（スナップショット）が切替先の地域へ複製され、遅れが監視できる</t>
  </si>
  <si>
    <t>再構築手順のコード化（切替と切り戻し）</t>
  </si>
  <si>
    <t>作り直しの手順がコードから流れ、戻すこともできる</t>
  </si>
  <si>
    <t>MKA-21</t>
  </si>
  <si>
    <t>依存の検査・イメージ署名・部品一覧の組み込み</t>
  </si>
  <si>
    <t>検査と署名が自動で通り、署名の無いイメージは配置できず、部品一覧が出せる</t>
  </si>
  <si>
    <t>運用者認証と権限モデルの実装設計</t>
  </si>
  <si>
    <t>WebAuthn の必須化・権限の 2 状態・昇格と失効の手順・記録が実装できる粒度で書かれている</t>
  </si>
  <si>
    <t>MKB-31</t>
  </si>
  <si>
    <t>運用者アカウントと権限モデルの構築</t>
  </si>
  <si>
    <t>パスワードだけでは入れず、常時の全権が無く、昇格と失効が動き記録される</t>
  </si>
  <si>
    <t>担当の理由</t>
  </si>
  <si>
    <t>Keycloak-IdP 側</t>
  </si>
  <si>
    <t>FR-AUTH-001-a</t>
  </si>
  <si>
    <t>インフラ（本基盤）</t>
  </si>
  <si>
    <t>Keycloak-Broker にローカルで残るのは運用者だけ。認証は WebAuthn 必須（NFR-SEC-021）</t>
  </si>
  <si>
    <t>ID/PW 認証（ローカルユーザー）（本基盤運用者）</t>
  </si>
  <si>
    <t>ID とパスワードで直接ログインできること。顧客IdP を持たない顧客のユーザは Keycloak-IdP（アプリ責務）、本基盤の運用者は Keycloak-Broker（NFR-SEC-021）で満たす</t>
  </si>
  <si>
    <t>HB-F-AUTH-01 HG-09</t>
  </si>
  <si>
    <t>アプリ（主体）</t>
  </si>
  <si>
    <t>FR-AUTH-001-b</t>
  </si>
  <si>
    <t>アプリ（Keycloak-IdP）</t>
  </si>
  <si>
    <t>Keycloak-IdP に収容するユーザの話。本基盤は ROSA の引き渡しまで（NFR-OPS-012）</t>
  </si>
  <si>
    <t>ID/PW 認証（ローカルユーザー）（顧客IdP を持たない顧客のユーザ）</t>
  </si>
  <si>
    <t>アプリ側で実施（Keycloak-IdP 側。本基盤は ROSA の引き渡しまで＝NFR-OPS-012）</t>
  </si>
  <si>
    <t>パスワードのロックは Keycloak-IdP 側（アプリ）。Keycloak-Broker はパスワードを持たないため、本基盤側の対策は NFR-SEC-010（実在推測の防止・試行回数の制限）で扱う</t>
  </si>
  <si>
    <t>アプリ側で実施（Keycloak-IdP 側）</t>
  </si>
  <si>
    <t>FR-AUTH-016</t>
  </si>
  <si>
    <t>要否未確定。顧客回答待ち（D-22 で判断のみ計上）</t>
  </si>
  <si>
    <t>利用規約などへの同意を取り、いつ誰がどの版に同意したかを記録できること</t>
  </si>
  <si>
    <t>要件確認（判断のみ計上）</t>
  </si>
  <si>
    <t>Auth0 も Phase 1 の対象（2026-09-07 決定）。PoC で使った接続を実機突合（RI-02）に流用する</t>
  </si>
  <si>
    <t>Keycloak-Broker が旧方式（SAML）の提供元として、業務システムへログインを提供できること</t>
  </si>
  <si>
    <t>アプリ（Keycloak-IdP 側の同じ設定は接続仕様 HE-23 に従う）</t>
  </si>
  <si>
    <t>FR-FED-011-a</t>
  </si>
  <si>
    <t>登録の手順と疎通確認は本基盤</t>
  </si>
  <si>
    <t>顧客追加時のオンボーディングフロー（本基盤側の登録）</t>
  </si>
  <si>
    <t>FR-FED-011-b</t>
  </si>
  <si>
    <t>顧客（顧客IdP）</t>
  </si>
  <si>
    <t>自社 IdP 側の設定（接続先の登録・返す項目・証明書）は顧客が接続ガイドどおりに行う</t>
  </si>
  <si>
    <t>顧客追加時のオンボーディングフロー（顧客側の設定）</t>
  </si>
  <si>
    <t>FR-FED-012-a</t>
  </si>
  <si>
    <t>追加認証済みの印（amr）を取り込み、二重に求めない設定は Keycloak-Broker 側</t>
  </si>
  <si>
    <t>フェデレーション時の MFA 重複回避（取り込み側）</t>
  </si>
  <si>
    <t>顧客IdP 側で追加認証を済ませた人に、Keycloak-Broker で二重に追加認証を求めないこと</t>
  </si>
  <si>
    <t>HB-F-AUTH-05 HB-F-AUTH-09 HE-14 HE-23</t>
  </si>
  <si>
    <t>DDB-01 DDB-18</t>
  </si>
  <si>
    <t>MKB-02 MKB-30</t>
  </si>
  <si>
    <t>RI-01 ST-04 ST-28</t>
  </si>
  <si>
    <t>FR-FED-012-b</t>
  </si>
  <si>
    <t>追加認証そのものは顧客IdP（Keycloak-IdP 収容ユーザは Keycloak-IdP）が行い、結果を amr で返す。接続ガイドで求める</t>
  </si>
  <si>
    <t>フェデレーション時の MFA 重複回避（実施側）</t>
  </si>
  <si>
    <t>ログイン画面での顧客IdP への振り分け（HRD）</t>
  </si>
  <si>
    <t>ログイン画面で入力した識別子から顧客IdP を自動で判定して送ること。顧客IdP の一覧は見せない。1 顧客に複数ある場合のみ選ばせる</t>
  </si>
  <si>
    <t>顧客IdP を持たない顧客のユーザは全員ここを通る。Keycloak-IdP 側の Client・Realm 設定は要求仕様（HE-23）でアプリチームへ渡す</t>
  </si>
  <si>
    <t>Keycloak-Broker ⇄ Keycloak-IdP 連携</t>
  </si>
  <si>
    <t>顧客IdP を持たない顧客のユーザを Keycloak-Broker から Keycloak-IdP へ委譲してログインさせられること。識別子の引き継ぎ・追加認証結果の取り込み・ログアウト連鎖・セッション上限の同値（12 時間）・閉域の単方向接続を含む</t>
  </si>
  <si>
    <t>HB-F-AUTH-09 HE-23 HI-11</t>
  </si>
  <si>
    <t>DDB-18 DDE-11 DDI-10</t>
  </si>
  <si>
    <t>MKA-20 MKB-30 MKI-19</t>
  </si>
  <si>
    <t>IT-16 ST-28</t>
  </si>
  <si>
    <t>アプリ（要求仕様どおりに broker-rp Client と Realm 設定を作る）</t>
  </si>
  <si>
    <t>顧客の管理者分は Keycloak-IdP（アプリ）。本基盤運用者分は NFR-SEC-021 で本基盤が満たす</t>
  </si>
  <si>
    <t>FR-SSO-003-a</t>
  </si>
  <si>
    <t>アプリ（業務アプリ）</t>
  </si>
  <si>
    <t>業務アプリ側の実装。本基盤はガイドとサンプルで示す</t>
  </si>
  <si>
    <t>ローカルログアウト（アプリ Cookie 削除のみ）（アプリの実装）</t>
  </si>
  <si>
    <t>アプリ側だけでログアウトできること（Keycloak-Broker の状態は保つ）</t>
  </si>
  <si>
    <t>FR-SSO-003-b</t>
  </si>
  <si>
    <t>アプリ開発者向けガイドとサンプル実装・試用環境を本基盤が提供する</t>
  </si>
  <si>
    <t>ローカルログアウト（アプリ Cookie 削除のみ）（ガイド・サンプル）</t>
  </si>
  <si>
    <t>Keycloak-Broker のログイン状態を破棄できること</t>
  </si>
  <si>
    <t>Keycloak-Broker のログアウトを顧客IdP 側にも連動させられること</t>
  </si>
  <si>
    <t>ログイン状態が切れるまでの時間を設定できること。無操作 1 時間・上限 12 時間（2026-09-07 更新、旧 24 時間）</t>
  </si>
  <si>
    <t>発行済みの JWT を強制的に使えなくできること。セッションとリフレッシュトークンは即時失効、アクセストークンは署名のみで検証されるため最大 30 分は残る（契約説明に明記）</t>
  </si>
  <si>
    <t>FR-SSO-010-a</t>
  </si>
  <si>
    <t>アプリ（管理画面・idm-api）</t>
  </si>
  <si>
    <t>管理画面・idm-api 側の実装。Keycloak-Broker の管理 API を内部経路で呼ぶ</t>
  </si>
  <si>
    <t>強制全セッション破棄（管理者操作）（管理画面からの操作）</t>
  </si>
  <si>
    <t>FR-SSO-010-b</t>
  </si>
  <si>
    <t>管理 API の内部公開（F-INT-14）: 経路・呼び出し元の資格・許す操作の範囲</t>
  </si>
  <si>
    <t>強制全セッション破棄（管理者操作）（本基盤側の受け口）</t>
  </si>
  <si>
    <t>FR-AUTHZ-001-a</t>
  </si>
  <si>
    <t>JWT に載せる項目と要求できる範囲は本基盤が定義し発行する</t>
  </si>
  <si>
    <t>JWT クレームベース認可（JWT に載せる側）</t>
  </si>
  <si>
    <t>FR-AUTHZ-001-b</t>
  </si>
  <si>
    <t>載った情報で可否を判断するのは業務アプリ（認可・権限判定は本基盤ではやらない）</t>
  </si>
  <si>
    <t>JWT クレームベース認可（判定する側）</t>
  </si>
  <si>
    <t>FR-AUTHZ-002-a</t>
  </si>
  <si>
    <t>他顧客の顧客IdP で入れないことと、顧客を指す値を JWT に載せることは Keycloak-Broker 側（F-AZ-05）</t>
  </si>
  <si>
    <t>tenant_id によるテナント分離（認証側の越境防止と tenant_id）</t>
  </si>
  <si>
    <t>FR-AUTHZ-002-b</t>
  </si>
  <si>
    <t>権限データや業務データで他顧客に触れさせないのは管理画面・idm-api と業務アプリの責務</t>
  </si>
  <si>
    <t>tenant_id によるテナント分離（権限データ側の越境防止）</t>
  </si>
  <si>
    <t>FR-AUTHZ-007-a</t>
  </si>
  <si>
    <t>API 入口での JWT 検証（アプリ側の認可統合）（アプリの実装）</t>
  </si>
  <si>
    <t>API の入口でアプリが JWT を検証して可否を判断できること（ガイドで示す。Lambda Authorizer は PoC 時の実装名）</t>
  </si>
  <si>
    <t>FR-AUTHZ-007-b</t>
  </si>
  <si>
    <t>API 入口での JWT 検証（アプリ側の認可統合）（ガイド・サンプル）</t>
  </si>
  <si>
    <t>GD-16 GD-18</t>
  </si>
  <si>
    <t>FR-USER-001-a</t>
  </si>
  <si>
    <t>ユーザー作成 / 更新 / 削除（CRUD）（管理画面と API）</t>
  </si>
  <si>
    <t>FR-USER-001-b</t>
  </si>
  <si>
    <t>ユーザー作成 / 更新 / 削除（CRUD）（本基盤側の受け口）</t>
  </si>
  <si>
    <t>属性の宣言と変換は Keycloak-Broker</t>
  </si>
  <si>
    <t>FR-USER-003-a</t>
  </si>
  <si>
    <t>受信窓口は Keycloak-Broker の上に立てる</t>
  </si>
  <si>
    <t>SCIM 2.0 プロビジョニング（受信側）</t>
  </si>
  <si>
    <t>FR-USER-003-b</t>
  </si>
  <si>
    <t>顧客の人事システム・IdP 側の SCIM 送信設定と再送の作法は顧客が行う</t>
  </si>
  <si>
    <t>SCIM 2.0 プロビジョニング（送信側）</t>
  </si>
  <si>
    <t>FR-USER-006-a</t>
  </si>
  <si>
    <t>停止と再開は Keycloak-Broker。画面はアプリ</t>
  </si>
  <si>
    <t>ユーザー有効化 / 無効化（suspend）（Keycloak-Broker 側）</t>
  </si>
  <si>
    <t>ユーザを一時的に使えなくする／戻せること。Keycloak-IdP 側で止めたユーザの Keycloak-Broker 側の写しは伝播しない。残存は Keycloak-Broker のセッション上限（12 時間）で受容（2026-09-07 決定）</t>
  </si>
  <si>
    <t>FR-USER-006-b</t>
  </si>
  <si>
    <t>管理者が止める・戻す操作は管理画面から、管理 API の内部公開（F-INT-14）経由で行う</t>
  </si>
  <si>
    <t>ユーザー有効化 / 無効化（suspend）（操作画面）</t>
  </si>
  <si>
    <t>FR-USER-011-a</t>
  </si>
  <si>
    <t>保持と消去の方針は本基盤で決める。消去の対象は Keycloak-Broker・Keycloak-IdP（アプリ）・権限データ（アプリ）・共通ログ基盤にまたがるため、HK-07 は横断の手順とする</t>
  </si>
  <si>
    <t>ユーザー削除時の関連データ削除（GDPR 等）（本基盤の窓口と Keycloak-Broker 側）</t>
  </si>
  <si>
    <t>FR-USER-011-b</t>
  </si>
  <si>
    <t>権限データ・参照用データの消去は管理画面・idm-api 側。本基盤の手順（HK-07）から依頼する</t>
  </si>
  <si>
    <t>ユーザー削除時の関連データ削除（GDPR 等）（権限データ側）</t>
  </si>
  <si>
    <t>対象で計上（2026-09-07 決定）。顧客IdP 経由で自動作成したユーザだけが対象で、Keycloak-IdP 収容ユーザはアプリ側の判断</t>
  </si>
  <si>
    <t>長期未使用ユーザの自動停止</t>
  </si>
  <si>
    <t>90 日ログインの無いユーザを自動で止められること</t>
  </si>
  <si>
    <t>アプリ（Keycloak-IdP 収容ユーザ分は任意）</t>
  </si>
  <si>
    <t>FR-ADMIN-007-a</t>
  </si>
  <si>
    <t>何を記録し何年保つかは本基盤が決めて出力する</t>
  </si>
  <si>
    <t>監査ログ閲覧（出力・項目・保持年数の指定）</t>
  </si>
  <si>
    <t>監査の記録を閲覧できること。参照は全体の共通基盤側で行い、本基盤に照会画面は作らない（本基盤は出力と集約まで）</t>
  </si>
  <si>
    <t>FR-ADMIN-007-b</t>
  </si>
  <si>
    <t>他組織（境界・共通基盤）</t>
  </si>
  <si>
    <t>記録の閲覧は全体の共通基盤側。本基盤は指定した保持年数と形式で出すまで（OP-03 で確認）</t>
  </si>
  <si>
    <t>監査ログ閲覧（共通基盤側の閲覧）</t>
  </si>
  <si>
    <t>他組織で実施</t>
  </si>
  <si>
    <t>振り分けの識別子入力画面とエラー画面は Keycloak-Broker で作る</t>
  </si>
  <si>
    <t>Keycloak 標準の管理 API。内部経路・呼び出し元の資格・許す操作の範囲を本基盤が決める（F-INT-14）</t>
  </si>
  <si>
    <t>HE-22a HE-24 HJ-09</t>
  </si>
  <si>
    <t>DDB-14 DDE-10 DDE-12</t>
  </si>
  <si>
    <t>MKB-22 MKB-32 MKI-13</t>
  </si>
  <si>
    <t>IT-15 IT-17</t>
  </si>
  <si>
    <t>FR-INT-007-a</t>
  </si>
  <si>
    <t>API 入口での JWT 検証との統合（アプリの実装）</t>
  </si>
  <si>
    <t>API の入口で JWT を検証する仕組み（API Gateway 等）と組み合わせられること（ガイドで示す）</t>
  </si>
  <si>
    <t>FR-INT-007-b</t>
  </si>
  <si>
    <t>API 入口での JWT 検証との統合（ガイド・サンプル）</t>
  </si>
  <si>
    <t>顧客IdP を持たない顧客のログインは Keycloak-IdP（アプリ運用）の稼働にも依存する。約束する稼働率の範囲と除外条件を HK-02 で明示する</t>
  </si>
  <si>
    <t>アプリ（Keycloak-IdP 側でも同じ要件を満たす。本基盤は ROSA の引き渡しまで）</t>
  </si>
  <si>
    <t>NFR-PERF-003-a</t>
  </si>
  <si>
    <t>API 入口での JWT 検証の応答時間（アプリ側）（アプリの実装）</t>
  </si>
  <si>
    <t>API の入口での判定が目標時間に収まること。署名鍵の一時保持（GD-18）が前提</t>
  </si>
  <si>
    <t>NFR-PERF-003-b</t>
  </si>
  <si>
    <t>API 入口での JWT 検証の応答時間（アプリ側）（ガイド・サンプル）</t>
  </si>
  <si>
    <t>流量制限（同時受付数の上限）</t>
  </si>
  <si>
    <t>過大な要求を受けたときに Keycloak-Broker 側で流量を絞れること（API Gateway は使わない。境界側の流量制限は NFR-SEC-011）</t>
  </si>
  <si>
    <t>NFR-SCL-004-a</t>
  </si>
  <si>
    <t>登録から疎通確認までの所要時間は本基盤</t>
  </si>
  <si>
    <t>IdP 追加リードタイム（本基盤側の作業）</t>
  </si>
  <si>
    <t>顧客IdP を追加してから使えるまでの時間が目標に収まること。境界側の外向き許可の追加（他組織、当日〜翌日）を含む</t>
  </si>
  <si>
    <t>NFR-SCL-004-b</t>
  </si>
  <si>
    <t>顧客IdP 向けの外向き許可の追加は他組織（依頼から当日〜翌日）。約束する時間にこの分を含める</t>
  </si>
  <si>
    <t>IdP 追加リードタイム（境界側の外向き許可）</t>
  </si>
  <si>
    <t>更新用の資格の有効期限が定められていること。設定上限は 30 日だが、実効はセッションの上限（12 時間）に従属する</t>
  </si>
  <si>
    <t>発行済みの資格を失効させられること（アクセストークンの残存 30 分は FR-SSO-009 と同じ）</t>
  </si>
  <si>
    <t>NFR-SEC-011-a</t>
  </si>
  <si>
    <t>境界を管理する他組織が WAF・DDoS 対策を持つ</t>
  </si>
  <si>
    <t>WAF 適用（境界側の実装）</t>
  </si>
  <si>
    <t>NFR-SEC-011-b</t>
  </si>
  <si>
    <t>何を求めるかは本基盤の責務。要求仕様書（HK-10）を出し、受入確認を行う</t>
  </si>
  <si>
    <t>WAF 適用（要求仕様と受入確認）</t>
  </si>
  <si>
    <t>HG-08 HK-10</t>
  </si>
  <si>
    <t>IT-11 SEC-05</t>
  </si>
  <si>
    <t>NFR-SEC-012-a</t>
  </si>
  <si>
    <t>DDoS 対策（境界側の実装）</t>
  </si>
  <si>
    <t>NFR-SEC-012-b</t>
  </si>
  <si>
    <t>DDoS 対策（要求仕様と受入確認）</t>
  </si>
  <si>
    <t>署名鍵の公開先は公開のまま、流量制限は境界（他組織）に要求する</t>
  </si>
  <si>
    <t>E-4b HG-08 HK-10</t>
  </si>
  <si>
    <t>内部通信の認証（idm-api → 管理 API、Keycloak-Broker → Keycloak-IdP）</t>
  </si>
  <si>
    <t>内部の呼び出しでも相手を確認すること。管理 API は内部経路と資格で、Keycloak-IdP へは閉域の単方向接続で確認する</t>
  </si>
  <si>
    <t>G-4.2 HA-05 HE-23 HE-24</t>
  </si>
  <si>
    <t>IT-11 IT-16 IT-17</t>
  </si>
  <si>
    <t>パスワードを持つのは Keycloak-IdP 側</t>
  </si>
  <si>
    <t>侵害クレデンシャル検出</t>
  </si>
  <si>
    <t>流出したパスワードの使用を拒否できること</t>
  </si>
  <si>
    <t>Keycloak-Broker にローカルで残る唯一の人が運用者。ADR-040 Phase 1 α（P1-04 / P1-08 / P1-09）</t>
  </si>
  <si>
    <t>本基盤運用者の認証を WebAuthn 必須とし、常時の全権付与を禁止し、緊急時アクセスと定期棚卸しを定めること</t>
  </si>
  <si>
    <t>G-1.6 G-5.6 HG-09</t>
  </si>
  <si>
    <t>DDB-19 DDG-11</t>
  </si>
  <si>
    <t>MKA-17 MKB-31</t>
  </si>
  <si>
    <t>OP-09 SEC-10</t>
  </si>
  <si>
    <t>NFR-SEC-022</t>
  </si>
  <si>
    <t>ADR-046 Phase 1 = SLSA L2</t>
  </si>
  <si>
    <t>サプライチェーン対策（依存の検査・イメージ署名・部品一覧）</t>
  </si>
  <si>
    <t>自社拡張と実行イメージの依存を検査し、署名し、部品一覧（SBOM）を出せること</t>
  </si>
  <si>
    <t>HJ-06 HJ-22</t>
  </si>
  <si>
    <t>MKA-21 MKC-05</t>
  </si>
  <si>
    <t>アプリ（Keycloak-IdP 側の実行イメージも同様に）</t>
  </si>
  <si>
    <t>ADR-035 Phase 1a = 検知して通知するまで。自動遮断はしない</t>
  </si>
  <si>
    <t>ログイン失敗の急増などの不正兆候を検知して通知できること</t>
  </si>
  <si>
    <t>アプリ（パスワード側の兆候は Keycloak-IdP で検知）</t>
  </si>
  <si>
    <t>別地域へ切り替える方式が定まっていること。現行の方向は手動・大阪で作り直し（復旧方式の決定 D-18.2 待ち。顧客希望 RTO 1 日との差は D-18.1 で明示）</t>
  </si>
  <si>
    <t>別地域で作り直す方式ではログイン状態を引き継げない。再ログイン前提を DR-02 で確認する</t>
  </si>
  <si>
    <t>Phase 1 では作らない（再ログイン前提。DR-02 で確認）</t>
  </si>
  <si>
    <t>NFR-OPS-003-a</t>
  </si>
  <si>
    <t>ログ保存期間（出力・項目・保持年数の指定）</t>
  </si>
  <si>
    <t>NFR-OPS-003-b</t>
  </si>
  <si>
    <t>記録の保管は全体の共通基盤側。本基盤は指定した保持年数と形式で出すまで（OP-03 で確認）</t>
  </si>
  <si>
    <t>ログ保存期間（共通基盤側の保管）</t>
  </si>
  <si>
    <t>NFR-OPS-004-a</t>
  </si>
  <si>
    <t>ログ検索性（出力・項目・保持年数の指定）</t>
  </si>
  <si>
    <t>NFR-OPS-004-b</t>
  </si>
  <si>
    <t>記録の検索は全体の共通基盤側。本基盤は指定した保持年数と形式で出すまで（OP-03 で確認）</t>
  </si>
  <si>
    <t>ログ検索性（共通基盤側の検索）</t>
  </si>
  <si>
    <t>NFR-OPS-011-a</t>
  </si>
  <si>
    <t>テナント追加の運用 SLA（本基盤側の作業）</t>
  </si>
  <si>
    <t>顧客を追加してから使えるまでの時間を約束できること。境界側の外向き許可の追加（他組織、当日〜翌日）を含む</t>
  </si>
  <si>
    <t>NFR-OPS-011-b</t>
  </si>
  <si>
    <t>テナント追加の運用 SLA（境界側の外向き許可）</t>
  </si>
  <si>
    <t>ROSA の引き渡しまでが本基盤。以降の構築・運用はアプリ責務（D-21 責任表）</t>
  </si>
  <si>
    <t>Keycloak-IdP 側の構築・運用の責任分界</t>
  </si>
  <si>
    <t>Keycloak-IdP 用の基盤（ROSA）をどこまで作って渡すか、渡した後の非機能を誰が持つかが合意されていること</t>
  </si>
  <si>
    <t>D-21 HJ-20</t>
  </si>
  <si>
    <t>本基盤（ROSA 引き渡しまで）→ アプリ（引き渡し後の非機能すべて）</t>
  </si>
  <si>
    <t>環境構成（本番 / 検証 / 開発）</t>
  </si>
  <si>
    <t>環境ごとの構成差分と、検証環境に本番データを入れない規律が定まっていること</t>
  </si>
  <si>
    <t>MKA-07 MKA-08</t>
  </si>
  <si>
    <t>IT-13 TE-01 TE-02</t>
  </si>
  <si>
    <t>アプリ（Keycloak-IdP 側の環境はアプリが用意）</t>
  </si>
  <si>
    <t>NFR-COMP-007-a</t>
  </si>
  <si>
    <t>監査ログ保存期間（法令要件）（出力・項目・保持年数の指定）</t>
  </si>
  <si>
    <t>NFR-COMP-007-b</t>
  </si>
  <si>
    <t>監査ログ保存期間（法令要件）（共通基盤側の保管）</t>
  </si>
  <si>
    <t>NFR-COMP-009-a</t>
  </si>
  <si>
    <t>同上。本人からの請求は本基盤が窓口になり、Keycloak-IdP 側と権限データ側（アプリ）へ依頼する</t>
  </si>
  <si>
    <t>個人データ削除権（GDPR Right to Erasure）（本基盤の窓口と Keycloak-Broker 側）</t>
  </si>
  <si>
    <t>NFR-COMP-009-b</t>
  </si>
  <si>
    <t>個人データ削除権（GDPR Right to Erasure）（権限データ側）</t>
  </si>
  <si>
    <t>確定（RHBK は ROSA に内包され追加費用なし。P-01）</t>
  </si>
  <si>
    <t>本基盤は受け入れ口（SCIM 受信・管理 API・JIT）を提供するのみ。旧システムからの吸い上げと Keycloak-IdP への投入はアプリ側</t>
  </si>
  <si>
    <t>パスワードのハッシュを持つのは Keycloak-IdP。Keycloak 非対応のハッシュ方式なら Keycloak-IdP 側の拡張（アプリ責務）</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</si>
</sst>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77" formatCode="0.0"/>
    <numFmt numFmtId="179" formatCode="#,##0.0000"/>
    <numFmt numFmtId="180" formatCode="#,##0.###"/>
    <numFmt numFmtId="181" formatCode="\¥#,##0"/>
    <numFmt numFmtId="182" formatCode="\¥#,##0.00"/>
    <numFmt numFmtId="184" formatCode="0.0#"/>
    <numFmt numFmtId="194" formatCode="#,##0.##"/>
    <numFmt numFmtId="195" formatCode="0.##"/>
  </numFmts>
  <fonts count="37">
    <font>
      <sz val="12"/>
      <color theme="1"/>
      <name val="游ゴシック"/>
      <family val="2"/>
      <charset val="128"/>
      <scheme val="minor"/>
    </font>
    <font>
      <b/>
      <sz val="12"/>
      <color theme="1"/>
      <name val="游ゴシック"/>
      <family val="2"/>
      <charset val="128"/>
      <scheme val="minor"/>
    </font>
    <font>
      <sz val="6"/>
      <name val="游ゴシック"/>
      <family val="2"/>
      <charset val="128"/>
      <scheme val="minor"/>
    </font>
    <font>
      <sz val="9"/>
      <color theme="1"/>
      <name val="游ゴシック"/>
      <family val="2"/>
      <charset val="128"/>
      <scheme val="minor"/>
    </font>
    <font>
      <b/>
      <sz val="9"/>
      <color theme="1"/>
      <name val="游ゴシック"/>
      <family val="2"/>
      <charset val="128"/>
      <scheme val="minor"/>
    </font>
    <font>
      <sz val="9"/>
      <color rgb="FF008000"/>
      <name val="游ゴシック"/>
      <family val="2"/>
      <charset val="128"/>
      <scheme val="minor"/>
    </font>
    <font>
      <b/>
      <sz val="9"/>
      <color rgb="FFFFFFFF"/>
      <name val="游ゴシック"/>
      <family val="2"/>
      <charset val="128"/>
      <scheme val="minor"/>
    </font>
    <font>
      <sz val="8"/>
      <color rgb="FF008000"/>
      <name val="游ゴシック"/>
      <family val="2"/>
      <charset val="128"/>
      <scheme val="minor"/>
    </font>
    <font>
      <sz val="9"/>
      <color rgb="FF808080"/>
      <name val="游ゴシック"/>
      <family val="2"/>
      <charset val="128"/>
      <scheme val="minor"/>
    </font>
    <font>
      <sz val="12"/>
      <color theme="1"/>
      <name val="Meiryo UI"/>
      <family val="2"/>
      <charset val="128"/>
    </font>
    <font>
      <b/>
      <sz val="9"/>
      <color theme="1"/>
      <name val="Meiryo UI"/>
      <family val="2"/>
      <charset val="128"/>
    </font>
    <font>
      <b/>
      <sz val="10"/>
      <color rgb="FFFFFFFF"/>
      <name val="Meiryo UI"/>
      <family val="2"/>
      <charset val="128"/>
    </font>
    <font>
      <sz val="9"/>
      <color theme="1"/>
      <name val="Meiryo UI"/>
      <family val="2"/>
      <charset val="128"/>
    </font>
    <font>
      <sz val="8"/>
      <color rgb="FF008000"/>
      <name val="Meiryo UI"/>
      <family val="2"/>
      <charset val="128"/>
    </font>
    <font>
      <sz val="8"/>
      <color rgb="FF808080"/>
      <name val="Meiryo UI"/>
      <family val="2"/>
      <charset val="128"/>
    </font>
    <font>
      <b/>
      <sz val="15"/>
      <color theme="1"/>
      <name val="游ゴシック"/>
      <family val="2"/>
      <charset val="128"/>
      <scheme val="minor"/>
    </font>
    <font>
      <sz val="9"/>
      <color rgb="FF9C0006"/>
      <name val="游ゴシック"/>
      <family val="2"/>
      <charset val="128"/>
      <scheme val="minor"/>
    </font>
    <font>
      <sz val="12"/>
      <color rgb="FF000000"/>
      <name val="游ゴシック"/>
      <family val="2"/>
      <charset val="128"/>
      <scheme val="minor"/>
    </font>
    <font>
      <b/>
      <sz val="12"/>
      <color rgb="FFFFFFFF"/>
      <name val="Meiryo UI"/>
      <family val="2"/>
      <charset val="128"/>
    </font>
    <font>
      <b/>
      <sz val="12"/>
      <color theme="1"/>
      <name val="Meiryo UI"/>
      <family val="2"/>
      <charset val="128"/>
    </font>
    <font>
      <sz val="9"/>
      <color rgb="FF000000"/>
      <name val="Meiryo UI"/>
      <family val="2"/>
      <charset val="128"/>
    </font>
    <font>
      <b/>
      <sz val="10"/>
      <color theme="1"/>
      <name val="Meiryo UI"/>
      <family val="2"/>
      <charset val="128"/>
    </font>
    <font>
      <sz val="10"/>
      <color theme="1"/>
      <name val="Meiryo UI"/>
      <family val="2"/>
      <charset val="128"/>
    </font>
    <font>
      <sz val="10"/>
      <color rgb="FF008000"/>
      <name val="Meiryo UI"/>
      <family val="2"/>
      <charset val="128"/>
    </font>
    <font>
      <sz val="9"/>
      <color rgb="FF595959"/>
      <name val="游ゴシック"/>
      <family val="2"/>
      <charset val="128"/>
      <scheme val="minor"/>
    </font>
    <font>
      <b/>
      <sz val="10"/>
      <color rgb="FF000000"/>
      <name val="Meiryo UI"/>
      <family val="2"/>
      <charset val="128"/>
    </font>
    <font>
      <b/>
      <sz val="9"/>
      <color rgb="FF0B6B2F"/>
      <name val="游ゴシック"/>
      <family val="2"/>
      <charset val="128"/>
      <scheme val="minor"/>
    </font>
    <font>
      <b/>
      <sz val="11"/>
      <color rgb="FFFFFFFF"/>
      <name val="游ゴシック"/>
      <family val="2"/>
      <charset val="128"/>
      <scheme val="minor"/>
    </font>
    <font>
      <sz val="8"/>
      <color theme="1"/>
      <name val="游ゴシック"/>
      <family val="2"/>
      <charset val="128"/>
      <scheme val="minor"/>
    </font>
    <font>
      <sz val="8"/>
      <color rgb="FF595959"/>
      <name val="游ゴシック"/>
      <family val="2"/>
      <charset val="128"/>
      <scheme val="minor"/>
    </font>
    <font>
      <sz val="12"/>
      <color rgb="FF1F4E79"/>
      <name val="Meiryo UI"/>
      <family val="2"/>
      <charset val="128"/>
    </font>
    <font>
      <b/>
      <sz val="9"/>
      <color rgb="FF0000FF"/>
      <name val="游ゴシック"/>
      <family val="2"/>
      <charset val="128"/>
      <scheme val="minor"/>
    </font>
    <font>
      <sz val="12"/>
      <color rgb="FF000000"/>
      <name val="Meiryo UI"/>
      <family val="2"/>
      <charset val="128"/>
    </font>
    <font>
      <b/>
      <sz val="12"/>
      <color rgb="FF9C0006"/>
      <name val="Meiryo UI"/>
      <family val="2"/>
      <charset val="128"/>
    </font>
    <font>
      <sz val="12"/>
      <color rgb="FF7F6000"/>
      <name val="Meiryo UI"/>
      <family val="2"/>
      <charset val="128"/>
    </font>
    <font>
      <sz val="12"/>
      <color rgb="FF9C0006"/>
      <name val="Meiryo UI"/>
      <family val="2"/>
      <charset val="128"/>
    </font>
    <font>
      <b/>
      <sz val="12"/>
      <color rgb="FF000000"/>
      <name val="Meiryo UI"/>
      <family val="2"/>
      <charset val="128"/>
    </font>
  </fonts>
  <fills count="11">
    <fill>
      <patternFill patternType="none"/>
    </fill>
    <fill>
      <patternFill patternType="gray125"/>
    </fill>
    <fill>
      <patternFill patternType="solid">
        <fgColor rgb="FF1F3864"/>
        <bgColor indexed="64"/>
      </patternFill>
    </fill>
    <fill>
      <patternFill patternType="solid">
        <fgColor rgb="FFF2F2F2"/>
        <bgColor indexed="64"/>
      </patternFill>
    </fill>
    <fill>
      <patternFill patternType="solid">
        <fgColor rgb="FFFFF2CC"/>
        <bgColor indexed="64"/>
      </patternFill>
    </fill>
    <fill>
      <patternFill patternType="solid">
        <fgColor rgb="FFDDEBF7"/>
        <bgColor indexed="64"/>
      </patternFill>
    </fill>
    <fill>
      <patternFill patternType="solid">
        <fgColor rgb="FF375623"/>
        <bgColor indexed="64"/>
      </patternFill>
    </fill>
    <fill>
      <patternFill patternType="solid">
        <fgColor rgb="FFE2EFDA"/>
        <bgColor indexed="64"/>
      </patternFill>
    </fill>
    <fill>
      <patternFill patternType="solid">
        <fgColor rgb="FFE4DFEC"/>
        <bgColor indexed="64"/>
      </patternFill>
    </fill>
    <fill>
      <patternFill patternType="solid">
        <fgColor rgb="FFD9E1F2"/>
        <bgColor indexed="64"/>
      </patternFill>
    </fill>
    <fill>
      <patternFill patternType="solid">
        <fgColor theme="0" tint="-0.14999847407452621"/>
        <bgColor indexed="64"/>
      </patternFill>
    </fill>
  </fills>
  <borders count="15">
    <border>
      <left/>
      <right/>
      <top/>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top style="thin">
        <color rgb="FFD9D9D9"/>
      </top>
      <bottom style="thin">
        <color auto="1"/>
      </bottom>
      <diagonal/>
    </border>
    <border>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top style="thin">
        <color auto="1"/>
      </top>
      <bottom style="thin">
        <color rgb="FFD9D9D9"/>
      </bottom>
      <diagonal/>
    </border>
    <border>
      <left style="thin">
        <color auto="1"/>
      </left>
      <right/>
      <top style="thin">
        <color auto="1"/>
      </top>
      <bottom style="thin">
        <color auto="1"/>
      </bottom>
      <diagonal/>
    </border>
    <border>
      <left style="thin">
        <color auto="1"/>
      </left>
      <right style="thin">
        <color auto="1"/>
      </right>
      <top style="thin">
        <color auto="1"/>
      </top>
      <bottom style="thin">
        <color auto="1"/>
      </bottom>
      <diagonal/>
    </border>
    <border>
      <left style="thin">
        <color rgb="FFD9D9D9"/>
      </left>
      <right/>
      <top/>
      <bottom/>
      <diagonal/>
    </border>
    <border>
      <left style="thin">
        <color auto="1"/>
      </left>
      <right/>
      <top style="thin">
        <color auto="1"/>
      </top>
      <bottom/>
      <diagonal/>
    </border>
    <border>
      <left style="thin">
        <color auto="1"/>
      </left>
      <right style="thin">
        <color auto="1"/>
      </right>
      <top style="thin">
        <color auto="1"/>
      </top>
      <bottom/>
      <diagonal/>
    </border>
  </borders>
  <cellStyleXfs count="1">
    <xf numFmtId="0" fontId="0" fillId="0" borderId="0">
      <alignment vertical="center"/>
    </xf>
  </cellStyleXfs>
  <cellXfs count="159">
    <xf numFmtId="0" fontId="0" fillId="0" borderId="0" xfId="0">
      <alignment vertical="center"/>
    </xf>
    <xf numFmtId="0" fontId="5" fillId="0" borderId="0" xfId="0" applyFont="1">
      <alignment vertical="center"/>
    </xf>
    <xf numFmtId="0" fontId="1" fillId="0" borderId="0" xfId="0" applyFont="1">
      <alignment vertical="center"/>
    </xf>
    <xf numFmtId="0" fontId="3" fillId="0" borderId="2" xfId="0" applyFont="1" applyBorder="1" applyAlignment="1">
      <alignment vertical="top"/>
    </xf>
    <xf numFmtId="0" fontId="3" fillId="0" borderId="5" xfId="0" applyFont="1" applyBorder="1" applyAlignment="1">
      <alignment vertical="top"/>
    </xf>
    <xf numFmtId="0" fontId="6" fillId="2" borderId="7" xfId="0" applyFont="1" applyFill="1" applyBorder="1" applyAlignment="1">
      <alignment horizontal="center" vertical="top"/>
    </xf>
    <xf numFmtId="0" fontId="6" fillId="2" borderId="8" xfId="0" applyFont="1" applyFill="1" applyBorder="1" applyAlignment="1">
      <alignment horizontal="center" vertical="top"/>
    </xf>
    <xf numFmtId="0" fontId="6" fillId="2" borderId="9" xfId="0" applyFont="1" applyFill="1" applyBorder="1" applyAlignment="1">
      <alignment horizontal="center" vertical="top"/>
    </xf>
    <xf numFmtId="0" fontId="3" fillId="0" borderId="2" xfId="0" applyFont="1" applyBorder="1" applyAlignment="1">
      <alignment horizontal="center" vertical="top"/>
    </xf>
    <xf numFmtId="0" fontId="3" fillId="0" borderId="5" xfId="0" applyFont="1" applyBorder="1" applyAlignment="1">
      <alignment horizontal="center" vertical="top"/>
    </xf>
    <xf numFmtId="0" fontId="7" fillId="0" borderId="3" xfId="0" applyFont="1" applyBorder="1" applyAlignment="1">
      <alignment vertical="top"/>
    </xf>
    <xf numFmtId="0" fontId="6" fillId="2" borderId="7" xfId="0" applyFont="1" applyFill="1" applyBorder="1" applyAlignment="1">
      <alignment horizontal="center" vertical="center"/>
    </xf>
    <xf numFmtId="0" fontId="6" fillId="2" borderId="8" xfId="0" applyFont="1" applyFill="1" applyBorder="1" applyAlignment="1">
      <alignment horizontal="center" vertical="center"/>
    </xf>
    <xf numFmtId="0" fontId="6" fillId="2" borderId="9" xfId="0" applyFont="1" applyFill="1" applyBorder="1" applyAlignment="1">
      <alignment horizontal="center" vertical="center"/>
    </xf>
    <xf numFmtId="0" fontId="3" fillId="0" borderId="1" xfId="0" applyFont="1" applyBorder="1">
      <alignment vertical="center"/>
    </xf>
    <xf numFmtId="0" fontId="3" fillId="0" borderId="2" xfId="0" applyFont="1" applyBorder="1">
      <alignment vertical="center"/>
    </xf>
    <xf numFmtId="0" fontId="4" fillId="0" borderId="4" xfId="0" applyFont="1" applyBorder="1">
      <alignment vertical="center"/>
    </xf>
    <xf numFmtId="0" fontId="3" fillId="0" borderId="4" xfId="0" applyFont="1" applyBorder="1">
      <alignment vertical="center"/>
    </xf>
    <xf numFmtId="0" fontId="3" fillId="0" borderId="5" xfId="0" applyFont="1" applyBorder="1">
      <alignment vertical="center"/>
    </xf>
    <xf numFmtId="0" fontId="3" fillId="0" borderId="3" xfId="0" applyFont="1" applyBorder="1">
      <alignment vertical="center"/>
    </xf>
    <xf numFmtId="0" fontId="3" fillId="0" borderId="6" xfId="0" applyFont="1" applyBorder="1">
      <alignment vertical="center"/>
    </xf>
    <xf numFmtId="0" fontId="9" fillId="0" borderId="0" xfId="0" applyFont="1">
      <alignment vertical="center"/>
    </xf>
    <xf numFmtId="0" fontId="11" fillId="2" borderId="7" xfId="0" applyFont="1" applyFill="1" applyBorder="1" applyAlignment="1">
      <alignment horizontal="center" vertical="center"/>
    </xf>
    <xf numFmtId="0" fontId="11" fillId="2" borderId="8" xfId="0" applyFont="1" applyFill="1" applyBorder="1" applyAlignment="1">
      <alignment horizontal="center" vertical="center"/>
    </xf>
    <xf numFmtId="0" fontId="11" fillId="2" borderId="9" xfId="0" applyFont="1" applyFill="1" applyBorder="1" applyAlignment="1">
      <alignment horizontal="center" vertical="center"/>
    </xf>
    <xf numFmtId="0" fontId="13" fillId="0" borderId="3" xfId="0" applyFont="1" applyBorder="1" applyAlignment="1">
      <alignment vertical="top"/>
    </xf>
    <xf numFmtId="0" fontId="13" fillId="0" borderId="6" xfId="0" applyFont="1" applyBorder="1" applyAlignment="1">
      <alignment vertical="top"/>
    </xf>
    <xf numFmtId="0" fontId="15" fillId="0" borderId="0" xfId="0" applyFont="1">
      <alignment vertical="center"/>
    </xf>
    <xf numFmtId="0" fontId="8" fillId="0" borderId="0" xfId="0" applyFont="1">
      <alignment vertical="center"/>
    </xf>
    <xf numFmtId="0" fontId="4" fillId="0" borderId="1" xfId="0" applyFont="1" applyBorder="1" applyAlignment="1">
      <alignment vertical="top"/>
    </xf>
    <xf numFmtId="0" fontId="4" fillId="0" borderId="4" xfId="0" applyFont="1" applyBorder="1" applyAlignment="1">
      <alignment vertical="top"/>
    </xf>
    <xf numFmtId="0" fontId="16" fillId="0" borderId="0" xfId="0" applyFont="1">
      <alignment vertical="center"/>
    </xf>
    <xf numFmtId="0" fontId="21" fillId="0" borderId="0" xfId="0" applyFont="1">
      <alignment vertical="center"/>
    </xf>
    <xf numFmtId="0" fontId="22" fillId="0" borderId="0" xfId="0" applyFont="1">
      <alignment vertical="center"/>
    </xf>
    <xf numFmtId="0" fontId="23" fillId="0" borderId="0" xfId="0" applyFont="1">
      <alignment vertical="center"/>
    </xf>
    <xf numFmtId="0" fontId="22" fillId="0" borderId="2" xfId="0" applyFont="1" applyBorder="1" applyAlignment="1">
      <alignment vertical="top"/>
    </xf>
    <xf numFmtId="0" fontId="22" fillId="0" borderId="5" xfId="0" applyFont="1" applyBorder="1" applyAlignment="1">
      <alignment vertical="top"/>
    </xf>
    <xf numFmtId="0" fontId="19" fillId="0" borderId="0" xfId="0" applyFont="1">
      <alignment vertical="center"/>
    </xf>
    <xf numFmtId="0" fontId="12" fillId="0" borderId="0" xfId="0" applyFont="1">
      <alignment vertical="center"/>
    </xf>
    <xf numFmtId="0" fontId="24" fillId="0" borderId="0" xfId="0" applyFont="1">
      <alignment vertical="center"/>
    </xf>
    <xf numFmtId="0" fontId="25" fillId="0" borderId="1" xfId="0" applyFont="1" applyBorder="1" applyAlignment="1">
      <alignment vertical="top"/>
    </xf>
    <xf numFmtId="0" fontId="25" fillId="0" borderId="4" xfId="0" applyFont="1" applyBorder="1" applyAlignment="1">
      <alignment vertical="top"/>
    </xf>
    <xf numFmtId="0" fontId="25" fillId="0" borderId="0" xfId="0" applyFont="1">
      <alignment vertical="center"/>
    </xf>
    <xf numFmtId="0" fontId="14" fillId="0" borderId="2" xfId="0" applyFont="1" applyBorder="1" applyAlignment="1">
      <alignment horizontal="left" vertical="top"/>
    </xf>
    <xf numFmtId="0" fontId="14" fillId="0" borderId="5" xfId="0" applyFont="1" applyBorder="1" applyAlignment="1">
      <alignment horizontal="left" vertical="top"/>
    </xf>
    <xf numFmtId="0" fontId="14" fillId="0" borderId="0" xfId="0" applyFont="1" applyAlignment="1">
      <alignment horizontal="left" vertical="center"/>
    </xf>
    <xf numFmtId="0" fontId="13" fillId="0" borderId="0" xfId="0" applyFont="1">
      <alignment vertical="center"/>
    </xf>
    <xf numFmtId="0" fontId="12" fillId="0" borderId="0" xfId="0" applyFont="1" applyAlignment="1">
      <alignment horizontal="center" vertical="center"/>
    </xf>
    <xf numFmtId="0" fontId="27" fillId="2" borderId="0" xfId="0" applyFont="1" applyFill="1" applyAlignment="1">
      <alignment horizontal="center" vertical="top"/>
    </xf>
    <xf numFmtId="0" fontId="3" fillId="0" borderId="3" xfId="0" applyFont="1" applyBorder="1" applyAlignment="1">
      <alignment horizontal="center" vertical="center"/>
    </xf>
    <xf numFmtId="0" fontId="4" fillId="0" borderId="6" xfId="0" applyFont="1" applyBorder="1" applyAlignment="1">
      <alignment horizontal="center" vertical="center"/>
    </xf>
    <xf numFmtId="0" fontId="29" fillId="0" borderId="3" xfId="0" applyFont="1" applyBorder="1" applyAlignment="1">
      <alignment vertical="top"/>
    </xf>
    <xf numFmtId="0" fontId="29" fillId="0" borderId="6" xfId="0" applyFont="1" applyBorder="1" applyAlignment="1">
      <alignment vertical="top"/>
    </xf>
    <xf numFmtId="49" fontId="28" fillId="0" borderId="2" xfId="0" applyNumberFormat="1" applyFont="1" applyBorder="1" applyAlignment="1">
      <alignment horizontal="center" vertical="top"/>
    </xf>
    <xf numFmtId="49" fontId="28" fillId="0" borderId="5" xfId="0" applyNumberFormat="1" applyFont="1" applyBorder="1" applyAlignment="1">
      <alignment horizontal="center" vertical="top"/>
    </xf>
    <xf numFmtId="0" fontId="4" fillId="0" borderId="5" xfId="0" applyFont="1" applyBorder="1" applyAlignment="1">
      <alignment vertical="top"/>
    </xf>
    <xf numFmtId="0" fontId="29" fillId="0" borderId="2" xfId="0" applyFont="1" applyBorder="1" applyAlignment="1">
      <alignment vertical="top"/>
    </xf>
    <xf numFmtId="0" fontId="6" fillId="6" borderId="7" xfId="0" applyFont="1" applyFill="1" applyBorder="1" applyAlignment="1">
      <alignment horizontal="center" vertical="center"/>
    </xf>
    <xf numFmtId="0" fontId="6" fillId="6" borderId="8" xfId="0" applyFont="1" applyFill="1" applyBorder="1" applyAlignment="1">
      <alignment horizontal="center" vertical="center"/>
    </xf>
    <xf numFmtId="0" fontId="6" fillId="6" borderId="9" xfId="0" applyFont="1" applyFill="1" applyBorder="1" applyAlignment="1">
      <alignment horizontal="center" vertical="center"/>
    </xf>
    <xf numFmtId="0" fontId="4" fillId="0" borderId="6" xfId="0" applyFont="1" applyBorder="1" applyAlignment="1">
      <alignment vertical="top"/>
    </xf>
    <xf numFmtId="180" fontId="3" fillId="0" borderId="2" xfId="0" applyNumberFormat="1" applyFont="1" applyBorder="1" applyAlignment="1">
      <alignment horizontal="right" vertical="top"/>
    </xf>
    <xf numFmtId="0" fontId="4" fillId="0" borderId="5" xfId="0" applyFont="1" applyBorder="1" applyAlignment="1">
      <alignment horizontal="right" vertical="top"/>
    </xf>
    <xf numFmtId="179" fontId="31" fillId="0" borderId="2" xfId="0" applyNumberFormat="1" applyFont="1" applyBorder="1" applyAlignment="1">
      <alignment horizontal="right" vertical="top"/>
    </xf>
    <xf numFmtId="4" fontId="3" fillId="0" borderId="2" xfId="0" applyNumberFormat="1" applyFont="1" applyBorder="1" applyAlignment="1">
      <alignment horizontal="right" vertical="top"/>
    </xf>
    <xf numFmtId="4" fontId="4" fillId="0" borderId="5" xfId="0" applyNumberFormat="1" applyFont="1" applyBorder="1" applyAlignment="1">
      <alignment horizontal="right" vertical="top"/>
    </xf>
    <xf numFmtId="0" fontId="4" fillId="0" borderId="1" xfId="0" applyFont="1" applyBorder="1" applyAlignment="1">
      <alignment horizontal="center" vertical="top"/>
    </xf>
    <xf numFmtId="0" fontId="3" fillId="0" borderId="2" xfId="0" applyFont="1" applyBorder="1" applyAlignment="1">
      <alignment horizontal="right" vertical="center"/>
    </xf>
    <xf numFmtId="4" fontId="3" fillId="0" borderId="2" xfId="0" applyNumberFormat="1" applyFont="1" applyBorder="1" applyAlignment="1">
      <alignment horizontal="right" vertical="center"/>
    </xf>
    <xf numFmtId="4" fontId="3" fillId="0" borderId="3" xfId="0" applyNumberFormat="1" applyFont="1" applyBorder="1" applyAlignment="1">
      <alignment horizontal="right" vertical="center"/>
    </xf>
    <xf numFmtId="0" fontId="4" fillId="0" borderId="5" xfId="0" applyFont="1" applyBorder="1" applyAlignment="1">
      <alignment horizontal="right" vertical="center"/>
    </xf>
    <xf numFmtId="4" fontId="4" fillId="0" borderId="5" xfId="0" applyNumberFormat="1" applyFont="1" applyBorder="1" applyAlignment="1">
      <alignment horizontal="right" vertical="center"/>
    </xf>
    <xf numFmtId="4" fontId="4" fillId="0" borderId="6" xfId="0" applyNumberFormat="1" applyFont="1" applyBorder="1" applyAlignment="1">
      <alignment horizontal="right" vertical="center"/>
    </xf>
    <xf numFmtId="181" fontId="3" fillId="0" borderId="2" xfId="0" applyNumberFormat="1" applyFont="1" applyBorder="1" applyAlignment="1">
      <alignment horizontal="right" vertical="center"/>
    </xf>
    <xf numFmtId="3" fontId="3" fillId="0" borderId="2" xfId="0" applyNumberFormat="1" applyFont="1" applyBorder="1" applyAlignment="1">
      <alignment horizontal="right" vertical="center"/>
    </xf>
    <xf numFmtId="182" fontId="3" fillId="0" borderId="2" xfId="0" applyNumberFormat="1" applyFont="1" applyBorder="1" applyAlignment="1">
      <alignment horizontal="right" vertical="center"/>
    </xf>
    <xf numFmtId="3" fontId="3" fillId="0" borderId="5" xfId="0" applyNumberFormat="1" applyFont="1" applyBorder="1" applyAlignment="1">
      <alignment horizontal="right" vertical="center"/>
    </xf>
    <xf numFmtId="0" fontId="31" fillId="0" borderId="2" xfId="0" applyFont="1" applyBorder="1">
      <alignment vertical="center"/>
    </xf>
    <xf numFmtId="0" fontId="31" fillId="0" borderId="5" xfId="0" applyFont="1" applyBorder="1">
      <alignment vertical="center"/>
    </xf>
    <xf numFmtId="0" fontId="26" fillId="0" borderId="2" xfId="0" applyFont="1" applyBorder="1">
      <alignment vertical="center"/>
    </xf>
    <xf numFmtId="0" fontId="26" fillId="0" borderId="5" xfId="0" applyFont="1" applyBorder="1">
      <alignment vertical="center"/>
    </xf>
    <xf numFmtId="0" fontId="0" fillId="4" borderId="0" xfId="0" applyFill="1">
      <alignment vertical="center"/>
    </xf>
    <xf numFmtId="0" fontId="0" fillId="3" borderId="0" xfId="0" applyFill="1">
      <alignment vertical="center"/>
    </xf>
    <xf numFmtId="0" fontId="6" fillId="2" borderId="12" xfId="0" applyFont="1" applyFill="1" applyBorder="1" applyAlignment="1">
      <alignment horizontal="center" vertical="top"/>
    </xf>
    <xf numFmtId="0" fontId="10" fillId="0" borderId="0" xfId="0" applyFont="1">
      <alignment vertical="center"/>
    </xf>
    <xf numFmtId="0" fontId="4" fillId="4" borderId="1" xfId="0" applyFont="1" applyFill="1" applyBorder="1" applyAlignment="1">
      <alignment horizontal="center" vertical="top"/>
    </xf>
    <xf numFmtId="0" fontId="3" fillId="4" borderId="2" xfId="0" applyFont="1" applyFill="1" applyBorder="1" applyAlignment="1">
      <alignment vertical="top"/>
    </xf>
    <xf numFmtId="0" fontId="29" fillId="4" borderId="2" xfId="0" applyFont="1" applyFill="1" applyBorder="1" applyAlignment="1">
      <alignment vertical="top"/>
    </xf>
    <xf numFmtId="180" fontId="3" fillId="4" borderId="2" xfId="0" applyNumberFormat="1" applyFont="1" applyFill="1" applyBorder="1" applyAlignment="1">
      <alignment horizontal="right" vertical="top"/>
    </xf>
    <xf numFmtId="0" fontId="3" fillId="4" borderId="2" xfId="0" applyFont="1" applyFill="1" applyBorder="1" applyAlignment="1">
      <alignment horizontal="center" vertical="top"/>
    </xf>
    <xf numFmtId="179" fontId="31" fillId="4" borderId="2" xfId="0" applyNumberFormat="1" applyFont="1" applyFill="1" applyBorder="1" applyAlignment="1">
      <alignment horizontal="right" vertical="top"/>
    </xf>
    <xf numFmtId="4" fontId="3" fillId="4" borderId="2" xfId="0" applyNumberFormat="1" applyFont="1" applyFill="1" applyBorder="1" applyAlignment="1">
      <alignment horizontal="right" vertical="top"/>
    </xf>
    <xf numFmtId="0" fontId="7" fillId="4" borderId="3" xfId="0" applyFont="1" applyFill="1" applyBorder="1" applyAlignment="1">
      <alignment vertical="top"/>
    </xf>
    <xf numFmtId="0" fontId="4" fillId="3" borderId="1" xfId="0" applyFont="1" applyFill="1" applyBorder="1" applyAlignment="1">
      <alignment vertical="top"/>
    </xf>
    <xf numFmtId="0" fontId="3" fillId="3" borderId="2" xfId="0" applyFont="1" applyFill="1" applyBorder="1" applyAlignment="1">
      <alignment vertical="top"/>
    </xf>
    <xf numFmtId="0" fontId="3" fillId="3" borderId="2" xfId="0" applyFont="1" applyFill="1" applyBorder="1" applyAlignment="1">
      <alignment horizontal="center" vertical="top"/>
    </xf>
    <xf numFmtId="49" fontId="28" fillId="3" borderId="2" xfId="0" applyNumberFormat="1" applyFont="1" applyFill="1" applyBorder="1" applyAlignment="1">
      <alignment horizontal="center" vertical="top"/>
    </xf>
    <xf numFmtId="0" fontId="29" fillId="3" borderId="3" xfId="0" applyFont="1" applyFill="1" applyBorder="1" applyAlignment="1">
      <alignment vertical="top"/>
    </xf>
    <xf numFmtId="0" fontId="4" fillId="4" borderId="1" xfId="0" applyFont="1" applyFill="1" applyBorder="1" applyAlignment="1">
      <alignment vertical="top"/>
    </xf>
    <xf numFmtId="49" fontId="28" fillId="4" borderId="2" xfId="0" applyNumberFormat="1" applyFont="1" applyFill="1" applyBorder="1" applyAlignment="1">
      <alignment horizontal="center" vertical="top"/>
    </xf>
    <xf numFmtId="0" fontId="29" fillId="4" borderId="3" xfId="0" applyFont="1" applyFill="1" applyBorder="1" applyAlignment="1">
      <alignment vertical="top"/>
    </xf>
    <xf numFmtId="0" fontId="9" fillId="0" borderId="11" xfId="0" applyFont="1" applyBorder="1">
      <alignment vertical="center"/>
    </xf>
    <xf numFmtId="0" fontId="0" fillId="0" borderId="11" xfId="0" applyBorder="1">
      <alignment vertical="center"/>
    </xf>
    <xf numFmtId="0" fontId="20" fillId="0" borderId="11" xfId="0" applyFont="1" applyBorder="1" applyAlignment="1">
      <alignment horizontal="left" vertical="top"/>
    </xf>
    <xf numFmtId="0" fontId="20" fillId="0" borderId="0" xfId="0" applyFont="1" applyAlignment="1">
      <alignment vertical="top"/>
    </xf>
    <xf numFmtId="0" fontId="20" fillId="0" borderId="10" xfId="0" applyFont="1" applyBorder="1" applyAlignment="1">
      <alignment horizontal="left" vertical="top"/>
    </xf>
    <xf numFmtId="0" fontId="20" fillId="0" borderId="0" xfId="0" applyFont="1" applyAlignment="1">
      <alignment horizontal="left" vertical="top"/>
    </xf>
    <xf numFmtId="0" fontId="20" fillId="0" borderId="14" xfId="0" applyFont="1" applyBorder="1" applyAlignment="1">
      <alignment horizontal="left" vertical="top"/>
    </xf>
    <xf numFmtId="0" fontId="20" fillId="0" borderId="13" xfId="0" applyFont="1" applyBorder="1" applyAlignment="1">
      <alignment horizontal="left" vertical="top"/>
    </xf>
    <xf numFmtId="0" fontId="30" fillId="0" borderId="0" xfId="0" applyFont="1">
      <alignment vertical="center"/>
    </xf>
    <xf numFmtId="0" fontId="34" fillId="0" borderId="0" xfId="0" applyFont="1">
      <alignment vertical="center"/>
    </xf>
    <xf numFmtId="0" fontId="32" fillId="0" borderId="11" xfId="0" applyFont="1" applyBorder="1" applyAlignment="1">
      <alignment horizontal="left" vertical="top"/>
    </xf>
    <xf numFmtId="0" fontId="32" fillId="0" borderId="11" xfId="0" applyFont="1" applyBorder="1" applyAlignment="1">
      <alignment horizontal="left" vertical="top" wrapText="1"/>
    </xf>
    <xf numFmtId="184" fontId="32" fillId="0" borderId="11" xfId="0" applyNumberFormat="1" applyFont="1" applyBorder="1" applyAlignment="1">
      <alignment horizontal="left" vertical="top" wrapText="1"/>
    </xf>
    <xf numFmtId="0" fontId="35" fillId="0" borderId="0" xfId="0" applyFont="1">
      <alignment vertical="center"/>
    </xf>
    <xf numFmtId="0" fontId="33" fillId="0" borderId="0" xfId="0" applyFont="1">
      <alignment vertical="center"/>
    </xf>
    <xf numFmtId="0" fontId="36" fillId="0" borderId="0" xfId="0" applyFont="1">
      <alignment vertical="center"/>
    </xf>
    <xf numFmtId="0" fontId="32" fillId="0" borderId="0" xfId="0" applyFont="1">
      <alignment vertical="center"/>
    </xf>
    <xf numFmtId="0" fontId="0" fillId="0" borderId="0" xfId="0" applyAlignment="1">
      <alignment vertical="center" wrapText="1"/>
    </xf>
    <xf numFmtId="0" fontId="1" fillId="9" borderId="11" xfId="0" applyFont="1" applyFill="1" applyBorder="1">
      <alignment vertical="center"/>
    </xf>
    <xf numFmtId="0" fontId="0" fillId="10" borderId="0" xfId="0" applyFill="1">
      <alignment vertical="center"/>
    </xf>
    <xf numFmtId="194" fontId="0" fillId="0" borderId="0" xfId="0" applyNumberFormat="1">
      <alignment vertical="center"/>
    </xf>
    <xf numFmtId="0" fontId="9" fillId="0" borderId="0" xfId="0" applyFont="1" applyAlignment="1">
      <alignment horizontal="center" vertical="center"/>
    </xf>
    <xf numFmtId="0" fontId="9" fillId="0" borderId="11" xfId="0" applyFont="1" applyBorder="1" applyAlignment="1">
      <alignment horizontal="left" vertical="center"/>
    </xf>
    <xf numFmtId="0" fontId="17" fillId="0" borderId="11" xfId="0" applyFont="1" applyBorder="1" applyAlignment="1">
      <alignment horizontal="left" vertical="top"/>
    </xf>
    <xf numFmtId="184" fontId="32" fillId="0" borderId="11" xfId="0" applyNumberFormat="1" applyFont="1" applyBorder="1" applyAlignment="1">
      <alignment horizontal="left" vertical="top"/>
    </xf>
    <xf numFmtId="0" fontId="17" fillId="0" borderId="11" xfId="0" applyFont="1" applyBorder="1" applyAlignment="1">
      <alignment horizontal="left" vertical="top" wrapText="1"/>
    </xf>
    <xf numFmtId="0" fontId="1" fillId="5" borderId="0" xfId="0" applyFont="1" applyFill="1" applyAlignment="1">
      <alignment horizontal="center" vertical="center"/>
    </xf>
    <xf numFmtId="0" fontId="18" fillId="2" borderId="11" xfId="0" applyFont="1" applyFill="1" applyBorder="1" applyAlignment="1">
      <alignment horizontal="left" vertical="center"/>
    </xf>
    <xf numFmtId="177" fontId="32" fillId="0" borderId="11" xfId="0" applyNumberFormat="1" applyFont="1" applyBorder="1" applyAlignment="1">
      <alignment horizontal="left" vertical="top" wrapText="1"/>
    </xf>
    <xf numFmtId="1" fontId="0" fillId="0" borderId="0" xfId="0" applyNumberFormat="1">
      <alignment vertical="center"/>
    </xf>
    <xf numFmtId="0" fontId="36" fillId="0" borderId="0" xfId="0" applyFont="1" applyAlignment="1">
      <alignment horizontal="left" vertical="center"/>
    </xf>
    <xf numFmtId="0" fontId="32" fillId="0" borderId="0" xfId="0" applyFont="1" applyAlignment="1">
      <alignment horizontal="left" vertical="center"/>
    </xf>
    <xf numFmtId="0" fontId="9" fillId="0" borderId="0" xfId="0" applyFont="1" applyAlignment="1">
      <alignment horizontal="left" vertical="center"/>
    </xf>
    <xf numFmtId="0" fontId="34" fillId="0" borderId="0" xfId="0" applyFont="1" applyAlignment="1">
      <alignment horizontal="left" vertical="center"/>
    </xf>
    <xf numFmtId="0" fontId="35" fillId="0" borderId="0" xfId="0" applyFont="1" applyAlignment="1">
      <alignment horizontal="left" vertical="center"/>
    </xf>
    <xf numFmtId="0" fontId="30" fillId="0" borderId="0" xfId="0" applyFont="1" applyAlignment="1">
      <alignment horizontal="left" vertical="center"/>
    </xf>
    <xf numFmtId="0" fontId="18" fillId="2" borderId="11" xfId="0" applyFont="1" applyFill="1" applyBorder="1" applyAlignment="1">
      <alignment horizontal="left" vertical="top"/>
    </xf>
    <xf numFmtId="0" fontId="18" fillId="2" borderId="0" xfId="0" applyFont="1" applyFill="1" applyAlignment="1">
      <alignment horizontal="left" vertical="center"/>
    </xf>
    <xf numFmtId="0" fontId="32" fillId="0" borderId="11" xfId="0" applyFont="1" applyBorder="1" applyAlignment="1">
      <alignment horizontal="left" vertical="center"/>
    </xf>
    <xf numFmtId="0" fontId="32" fillId="8" borderId="11" xfId="0" applyFont="1" applyFill="1" applyBorder="1" applyAlignment="1">
      <alignment horizontal="left" vertical="top"/>
    </xf>
    <xf numFmtId="0" fontId="32" fillId="8" borderId="11" xfId="0" applyFont="1" applyFill="1" applyBorder="1" applyAlignment="1">
      <alignment horizontal="left" vertical="top" wrapText="1"/>
    </xf>
    <xf numFmtId="0" fontId="32" fillId="7" borderId="11" xfId="0" applyFont="1" applyFill="1" applyBorder="1" applyAlignment="1">
      <alignment horizontal="left" vertical="top"/>
    </xf>
    <xf numFmtId="0" fontId="32" fillId="7" borderId="11" xfId="0" applyFont="1" applyFill="1" applyBorder="1" applyAlignment="1">
      <alignment horizontal="left" vertical="top" wrapText="1"/>
    </xf>
    <xf numFmtId="0" fontId="36" fillId="5" borderId="11" xfId="0" applyFont="1" applyFill="1" applyBorder="1" applyAlignment="1">
      <alignment horizontal="left" vertical="center"/>
    </xf>
    <xf numFmtId="0" fontId="0" fillId="0" borderId="11" xfId="0" applyBorder="1" applyAlignment="1">
      <alignment horizontal="left" vertical="center"/>
    </xf>
    <xf numFmtId="194" fontId="0" fillId="0" borderId="11" xfId="0" applyNumberFormat="1" applyBorder="1">
      <alignment vertical="center"/>
    </xf>
    <xf numFmtId="0" fontId="19" fillId="5" borderId="11" xfId="0" applyFont="1" applyFill="1" applyBorder="1" applyAlignment="1">
      <alignment horizontal="center" vertical="center"/>
    </xf>
    <xf numFmtId="195" fontId="9" fillId="0" borderId="11" xfId="0" applyNumberFormat="1" applyFont="1" applyBorder="1">
      <alignment vertical="center"/>
    </xf>
    <xf numFmtId="1" fontId="9" fillId="0" borderId="11" xfId="0" applyNumberFormat="1" applyFont="1" applyBorder="1">
      <alignment vertical="center"/>
    </xf>
    <xf numFmtId="177" fontId="9" fillId="0" borderId="11" xfId="0" applyNumberFormat="1" applyFont="1" applyBorder="1">
      <alignment vertical="center"/>
    </xf>
    <xf numFmtId="0" fontId="19" fillId="0" borderId="11" xfId="0" applyFont="1" applyBorder="1">
      <alignment vertical="center"/>
    </xf>
    <xf numFmtId="177" fontId="19" fillId="0" borderId="11" xfId="0" applyNumberFormat="1" applyFont="1" applyBorder="1">
      <alignment vertical="center"/>
    </xf>
    <xf numFmtId="0" fontId="0" fillId="0" borderId="11" xfId="0" applyBorder="1" applyAlignment="1">
      <alignment horizontal="center" vertical="center"/>
    </xf>
    <xf numFmtId="0" fontId="0" fillId="0" borderId="0" xfId="0" applyAlignment="1">
      <alignment vertical="top"/>
    </xf>
    <xf numFmtId="0" fontId="1" fillId="5" borderId="0" xfId="0" applyFont="1" applyFill="1" applyAlignment="1">
      <alignment horizontal="center" vertical="center" wrapText="1"/>
    </xf>
    <xf numFmtId="0" fontId="0" fillId="0" borderId="0" xfId="0" applyAlignment="1">
      <alignment vertical="top" wrapText="1"/>
    </xf>
    <xf numFmtId="1" fontId="1" fillId="0" borderId="0" xfId="0" applyNumberFormat="1" applyFont="1">
      <alignment vertical="center"/>
    </xf>
    <xf numFmtId="194" fontId="1" fillId="0" borderId="0" xfId="0" applyNumberFormat="1" applyFont="1">
      <alignment vertical="center"/>
    </xf>
  </cellXfs>
  <cellStyles count="1">
    <cellStyle name="標準" xfId="0" builtinId="0"/>
  </cellStyles>
  <dxfs count="44">
    <dxf>
      <font>
        <color rgb="FF843C0C"/>
      </font>
      <fill>
        <patternFill patternType="solid">
          <fgColor indexed="64"/>
          <bgColor rgb="FFFCE4D6"/>
        </patternFill>
      </fill>
    </dxf>
    <dxf>
      <font>
        <color rgb="FF7F7F7F"/>
      </font>
    </dxf>
    <dxf>
      <font>
        <b/>
        <i val="0"/>
        <color rgb="FF1F4E79"/>
      </font>
    </dxf>
    <dxf>
      <fill>
        <patternFill patternType="solid">
          <fgColor indexed="64"/>
          <bgColor rgb="FFF2F7FB"/>
        </patternFill>
      </fill>
    </dxf>
    <dxf>
      <fill>
        <patternFill patternType="solid">
          <fgColor indexed="64"/>
          <bgColor rgb="FFFFF2CC"/>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color rgb="FF7F7F7F"/>
      </font>
    </dxf>
    <dxf>
      <font>
        <color rgb="FF833C0C"/>
      </font>
      <fill>
        <patternFill patternType="solid">
          <fgColor indexed="64"/>
          <bgColor rgb="FFFCE4D6"/>
        </patternFill>
      </fill>
    </dxf>
    <dxf>
      <font>
        <b/>
        <i val="0"/>
        <color rgb="FF375623"/>
      </font>
      <fill>
        <patternFill patternType="solid">
          <fgColor indexed="64"/>
          <bgColor rgb="FFE2EFDA"/>
        </patternFill>
      </fill>
    </dxf>
    <dxf>
      <font>
        <color rgb="FF375623"/>
      </font>
      <fill>
        <patternFill patternType="solid">
          <fgColor indexed="64"/>
          <bgColor rgb="FFE2EFDA"/>
        </patternFill>
      </fill>
    </dxf>
    <dxf>
      <font>
        <b/>
        <i val="0"/>
        <color rgb="FF9C0006"/>
      </font>
      <fill>
        <patternFill patternType="solid">
          <fgColor indexed="64"/>
          <bgColor rgb="FFFFC7CE"/>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color rgb="FF9C0006"/>
      </font>
      <fill>
        <patternFill patternType="solid">
          <fgColor indexed="64"/>
          <bgColor rgb="FFFFC7CE"/>
        </patternFill>
      </fill>
    </dxf>
    <dxf>
      <font>
        <color rgb="FF3F3F76"/>
      </font>
      <fill>
        <patternFill patternType="solid">
          <fgColor indexed="64"/>
          <bgColor rgb="FFEDEDF7"/>
        </patternFill>
      </fill>
    </dxf>
    <dxf>
      <font>
        <color rgb="FF833C0C"/>
      </font>
      <fill>
        <patternFill patternType="solid">
          <fgColor indexed="64"/>
          <bgColor rgb="FFFCE4D6"/>
        </patternFill>
      </fill>
    </dxf>
    <dxf>
      <font>
        <color rgb="FF7F6000"/>
      </font>
      <fill>
        <patternFill patternType="solid">
          <fgColor indexed="64"/>
          <bgColor rgb="FFFFF2CC"/>
        </patternFill>
      </fill>
    </dxf>
    <dxf>
      <font>
        <b/>
        <i val="0"/>
        <color rgb="FF375623"/>
      </font>
      <fill>
        <patternFill patternType="solid">
          <fgColor indexed="64"/>
          <bgColor rgb="FFE2EFDA"/>
        </patternFill>
      </fill>
    </dxf>
    <dxf>
      <font>
        <b/>
        <i val="0"/>
        <color rgb="FF1F4E79"/>
      </font>
      <fill>
        <patternFill patternType="solid">
          <fgColor indexed="64"/>
          <bgColor rgb="FFDDEBF7"/>
        </patternFill>
      </fill>
    </dxf>
    <dxf>
      <font>
        <color rgb="FF843C0C"/>
      </font>
      <fill>
        <patternFill patternType="solid">
          <fgColor indexed="64"/>
          <bgColor rgb="FFFCE4D6"/>
        </patternFill>
      </fill>
    </dxf>
    <dxf>
      <font>
        <color rgb="FF808080"/>
      </font>
      <fill>
        <patternFill patternType="solid">
          <fgColor indexed="64"/>
          <bgColor rgb="FFF2F2F2"/>
        </patternFill>
      </fill>
    </dxf>
    <dxf>
      <font>
        <color rgb="FF7F6000"/>
      </font>
      <fill>
        <patternFill patternType="solid">
          <fgColor indexed="64"/>
          <bgColor rgb="FFFFF2CC"/>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0B6B2F"/>
      </font>
      <fill>
        <patternFill patternType="solid">
          <fgColor indexed="64"/>
          <bgColor rgb="FFE2EFDA"/>
        </patternFill>
      </fill>
    </dxf>
    <dxf>
      <fill>
        <patternFill patternType="solid">
          <fgColor indexed="64"/>
          <bgColor rgb="FFEAF6F1"/>
        </patternFill>
      </fill>
    </dxf>
    <dxf>
      <fill>
        <patternFill patternType="solid">
          <fgColor indexed="64"/>
          <bgColor rgb="FFF7F7E8"/>
        </patternFill>
      </fill>
    </dxf>
    <dxf>
      <fill>
        <patternFill patternType="solid">
          <fgColor indexed="64"/>
          <bgColor rgb="FFF5F0FA"/>
        </patternFill>
      </fill>
    </dxf>
    <dxf>
      <fill>
        <patternFill patternType="solid">
          <fgColor indexed="64"/>
          <bgColor rgb="FFEEF6F8"/>
        </patternFill>
      </fill>
    </dxf>
    <dxf>
      <fill>
        <patternFill patternType="solid">
          <fgColor indexed="64"/>
          <bgColor rgb="FFFDECEA"/>
        </patternFill>
      </fill>
    </dxf>
    <dxf>
      <fill>
        <patternFill patternType="solid">
          <fgColor indexed="64"/>
          <bgColor rgb="FFFBEFF6"/>
        </patternFill>
      </fill>
    </dxf>
    <dxf>
      <fill>
        <patternFill patternType="solid">
          <fgColor indexed="64"/>
          <bgColor rgb="FFFDF3E7"/>
        </patternFill>
      </fill>
    </dxf>
    <dxf>
      <fill>
        <patternFill patternType="solid">
          <fgColor indexed="64"/>
          <bgColor rgb="FFF0F7EC"/>
        </patternFill>
      </fill>
    </dxf>
    <dxf>
      <fill>
        <patternFill patternType="solid">
          <fgColor indexed="64"/>
          <bgColor rgb="FFEAF1FB"/>
        </patternFill>
      </fill>
    </dxf>
    <dxf>
      <fill>
        <patternFill patternType="solid">
          <fgColor indexed="64"/>
          <b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2AE95B8-3E7C-2B4B-92E3-737870B89A92}">
  <we:reference id="wa200010725" version="1.0.0.1" store="en-US" storeType="OMEX"/>
  <we:alternateReferences>
    <we:reference id="wa200010725" version="1.0.0.1" store="" storeType="OMEX"/>
  </we:alternateReferences>
  <we:properties>
    <we:property name="claude.fileId" value="&quot;1408ed5e-f795-401a-80ba-45af577212e2&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11B8B0-C590-3C46-80D6-CB350769A192}">
  <dimension ref="A1:N88"/>
  <sheetViews>
    <sheetView workbookViewId="0">
      <pane ySplit="24" topLeftCell="A33" activePane="bottomLeft" state="frozen"/>
      <selection pane="bottomLeft" activeCell="B34" sqref="B34"/>
    </sheetView>
  </sheetViews>
  <sheetFormatPr baseColWidth="10" defaultRowHeight="20"/>
  <cols>
    <col min="1" max="1" width="17.140625" customWidth="1"/>
    <col min="2" max="2" width="47.140625" customWidth="1"/>
    <col min="3" max="4" width="48.5703125" customWidth="1"/>
    <col min="5" max="7" width="15.7109375" customWidth="1"/>
    <col min="8" max="8" width="18.5703125" customWidth="1"/>
    <col min="9" max="9" width="15.7109375" customWidth="1"/>
    <col min="10" max="12" width="17.140625" customWidth="1"/>
    <col min="13" max="13" width="47.140625" customWidth="1"/>
    <col min="14" max="14" width="32.85546875" customWidth="1"/>
  </cols>
  <sheetData>
    <row r="1" spans="1:6" ht="25">
      <c r="A1" s="27" t="s">
        <v>1167</v>
      </c>
    </row>
    <row r="2" spans="1:6">
      <c r="A2" s="1" t="s">
        <v>1168</v>
      </c>
    </row>
    <row r="3" spans="1:6">
      <c r="A3" s="31" t="s">
        <v>1169</v>
      </c>
    </row>
    <row r="5" spans="1:6">
      <c r="A5" s="2" t="s">
        <v>1170</v>
      </c>
    </row>
    <row r="6" spans="1:6">
      <c r="A6" s="11" t="s">
        <v>1171</v>
      </c>
      <c r="B6" s="12" t="s">
        <v>1172</v>
      </c>
      <c r="C6" s="12" t="s">
        <v>1173</v>
      </c>
      <c r="D6" s="13" t="s">
        <v>1174</v>
      </c>
    </row>
    <row r="7" spans="1:6">
      <c r="A7" s="14" t="s">
        <v>1175</v>
      </c>
      <c r="B7" s="77" t="s">
        <v>1176</v>
      </c>
      <c r="C7" s="15" t="s">
        <v>945</v>
      </c>
      <c r="D7" s="19" t="s">
        <v>1177</v>
      </c>
    </row>
    <row r="8" spans="1:6">
      <c r="A8" s="14" t="s">
        <v>1178</v>
      </c>
      <c r="B8" s="77">
        <v>730</v>
      </c>
      <c r="C8" s="15" t="s">
        <v>1179</v>
      </c>
      <c r="D8" s="19" t="s">
        <v>1180</v>
      </c>
    </row>
    <row r="9" spans="1:6">
      <c r="A9" s="14" t="s">
        <v>1181</v>
      </c>
      <c r="B9" s="77">
        <v>150</v>
      </c>
      <c r="C9" s="15" t="s">
        <v>1182</v>
      </c>
      <c r="D9" s="19" t="s">
        <v>1183</v>
      </c>
    </row>
    <row r="10" spans="1:6">
      <c r="A10" s="14" t="s">
        <v>1184</v>
      </c>
      <c r="B10" s="77">
        <v>1000000</v>
      </c>
      <c r="C10" s="15" t="s">
        <v>1185</v>
      </c>
      <c r="D10" s="19" t="s">
        <v>1186</v>
      </c>
    </row>
    <row r="11" spans="1:6">
      <c r="A11" s="14" t="s">
        <v>1187</v>
      </c>
      <c r="B11" s="77">
        <v>5000000</v>
      </c>
      <c r="C11" s="15" t="s">
        <v>1185</v>
      </c>
      <c r="D11" s="19" t="s">
        <v>1188</v>
      </c>
    </row>
    <row r="12" spans="1:6">
      <c r="A12" s="17" t="s">
        <v>1189</v>
      </c>
      <c r="B12" s="78">
        <v>10000000</v>
      </c>
      <c r="C12" s="18" t="s">
        <v>1185</v>
      </c>
      <c r="D12" s="20" t="s">
        <v>1190</v>
      </c>
    </row>
    <row r="14" spans="1:6">
      <c r="A14" s="2" t="s">
        <v>1191</v>
      </c>
    </row>
    <row r="15" spans="1:6">
      <c r="A15" s="57" t="s">
        <v>0</v>
      </c>
      <c r="B15" s="58" t="s">
        <v>1171</v>
      </c>
      <c r="C15" s="58" t="s">
        <v>1192</v>
      </c>
      <c r="D15" s="58" t="s">
        <v>1173</v>
      </c>
      <c r="E15" s="58" t="s">
        <v>5</v>
      </c>
      <c r="F15" s="59" t="s">
        <v>247</v>
      </c>
    </row>
    <row r="16" spans="1:6">
      <c r="A16" s="14" t="s">
        <v>1166</v>
      </c>
      <c r="B16" s="15" t="s">
        <v>1193</v>
      </c>
      <c r="C16" s="79">
        <v>0.25</v>
      </c>
      <c r="D16" s="15" t="s">
        <v>1194</v>
      </c>
      <c r="E16" s="15" t="s">
        <v>1195</v>
      </c>
      <c r="F16" s="19" t="s">
        <v>1196</v>
      </c>
    </row>
    <row r="17" spans="1:14">
      <c r="A17" s="14" t="s">
        <v>1166</v>
      </c>
      <c r="B17" s="15" t="s">
        <v>1197</v>
      </c>
      <c r="C17" s="79">
        <v>0.17100000000000001</v>
      </c>
      <c r="D17" s="15" t="s">
        <v>1198</v>
      </c>
      <c r="E17" s="15" t="s">
        <v>1195</v>
      </c>
      <c r="F17" s="19" t="s">
        <v>1196</v>
      </c>
    </row>
    <row r="18" spans="1:14">
      <c r="A18" s="14" t="s">
        <v>1166</v>
      </c>
      <c r="B18" s="15" t="s">
        <v>1199</v>
      </c>
      <c r="C18" s="79">
        <v>1500</v>
      </c>
      <c r="D18" s="15" t="s">
        <v>1200</v>
      </c>
      <c r="E18" s="15" t="s">
        <v>1195</v>
      </c>
      <c r="F18" s="19" t="s">
        <v>1196</v>
      </c>
    </row>
    <row r="19" spans="1:14">
      <c r="A19" s="14" t="s">
        <v>1166</v>
      </c>
      <c r="B19" s="15" t="s">
        <v>1201</v>
      </c>
      <c r="C19" s="79">
        <v>1000</v>
      </c>
      <c r="D19" s="15" t="s">
        <v>1200</v>
      </c>
      <c r="E19" s="15" t="s">
        <v>1195</v>
      </c>
      <c r="F19" s="19" t="s">
        <v>1196</v>
      </c>
    </row>
    <row r="20" spans="1:14">
      <c r="A20" s="17" t="s">
        <v>1166</v>
      </c>
      <c r="B20" s="18" t="s">
        <v>1202</v>
      </c>
      <c r="C20" s="80">
        <v>667</v>
      </c>
      <c r="D20" s="18" t="s">
        <v>1200</v>
      </c>
      <c r="E20" s="18" t="s">
        <v>1195</v>
      </c>
      <c r="F20" s="20" t="s">
        <v>1196</v>
      </c>
    </row>
    <row r="21" spans="1:14">
      <c r="A21" s="39" t="s">
        <v>1203</v>
      </c>
    </row>
    <row r="23" spans="1:14">
      <c r="A23" s="2" t="s">
        <v>1204</v>
      </c>
    </row>
    <row r="24" spans="1:14" ht="30" customHeight="1">
      <c r="A24" s="5" t="s">
        <v>0</v>
      </c>
      <c r="B24" s="6" t="s">
        <v>1205</v>
      </c>
      <c r="C24" s="6" t="s">
        <v>1206</v>
      </c>
      <c r="D24" s="6" t="s">
        <v>1207</v>
      </c>
      <c r="E24" s="6" t="s">
        <v>1208</v>
      </c>
      <c r="F24" s="6" t="s">
        <v>1209</v>
      </c>
      <c r="G24" s="6" t="s">
        <v>1210</v>
      </c>
      <c r="H24" s="6" t="s">
        <v>1173</v>
      </c>
      <c r="I24" s="6" t="s">
        <v>1211</v>
      </c>
      <c r="J24" s="6" t="s">
        <v>1212</v>
      </c>
      <c r="K24" s="6" t="s">
        <v>1213</v>
      </c>
      <c r="L24" s="6" t="s">
        <v>1214</v>
      </c>
      <c r="M24" s="7" t="s">
        <v>1215</v>
      </c>
      <c r="N24" s="83" t="s">
        <v>1174</v>
      </c>
    </row>
    <row r="25" spans="1:14">
      <c r="A25" s="66" t="s">
        <v>1216</v>
      </c>
      <c r="B25" s="3" t="s">
        <v>1217</v>
      </c>
      <c r="C25" s="56" t="s">
        <v>1218</v>
      </c>
      <c r="D25" s="56" t="s">
        <v>1219</v>
      </c>
      <c r="E25" s="61">
        <v>2190</v>
      </c>
      <c r="F25" s="61">
        <v>4380</v>
      </c>
      <c r="G25" s="61">
        <v>6570</v>
      </c>
      <c r="H25" s="8" t="s">
        <v>1220</v>
      </c>
      <c r="I25" s="63">
        <v>0.18190000000000001</v>
      </c>
      <c r="J25" s="64">
        <f t="shared" ref="J25:J59" si="0">E25*$I25</f>
        <v>398.36099999999999</v>
      </c>
      <c r="K25" s="64">
        <f t="shared" ref="K25:K59" si="1">F25*$I25</f>
        <v>796.72199999999998</v>
      </c>
      <c r="L25" s="64">
        <f t="shared" ref="L25:L59" si="2">G25*$I25</f>
        <v>1195.0830000000001</v>
      </c>
      <c r="M25" s="10" t="s">
        <v>1367</v>
      </c>
      <c r="N25" t="s">
        <v>1368</v>
      </c>
    </row>
    <row r="26" spans="1:14">
      <c r="A26" s="66" t="s">
        <v>1216</v>
      </c>
      <c r="B26" s="3" t="s">
        <v>1221</v>
      </c>
      <c r="C26" s="56" t="s">
        <v>1222</v>
      </c>
      <c r="D26" s="56" t="s">
        <v>1223</v>
      </c>
      <c r="E26" s="61">
        <v>2190</v>
      </c>
      <c r="F26" s="61">
        <v>6570</v>
      </c>
      <c r="G26" s="61">
        <v>13140</v>
      </c>
      <c r="H26" s="8" t="s">
        <v>1220</v>
      </c>
      <c r="I26" s="63">
        <v>0.18190000000000001</v>
      </c>
      <c r="J26" s="64">
        <f t="shared" si="0"/>
        <v>398.36099999999999</v>
      </c>
      <c r="K26" s="64">
        <f t="shared" si="1"/>
        <v>1195.0830000000001</v>
      </c>
      <c r="L26" s="64">
        <f t="shared" si="2"/>
        <v>2390.1660000000002</v>
      </c>
      <c r="M26" s="10" t="s">
        <v>1367</v>
      </c>
      <c r="N26" t="s">
        <v>1368</v>
      </c>
    </row>
    <row r="27" spans="1:14">
      <c r="A27" s="66" t="s">
        <v>1216</v>
      </c>
      <c r="B27" s="3" t="s">
        <v>1224</v>
      </c>
      <c r="C27" s="56" t="s">
        <v>1225</v>
      </c>
      <c r="D27" s="56" t="s">
        <v>1226</v>
      </c>
      <c r="E27" s="61">
        <v>4380</v>
      </c>
      <c r="F27" s="61">
        <v>4380</v>
      </c>
      <c r="G27" s="61">
        <v>4380</v>
      </c>
      <c r="H27" s="8" t="s">
        <v>1220</v>
      </c>
      <c r="I27" s="63">
        <v>9.0999999999999998E-2</v>
      </c>
      <c r="J27" s="64">
        <f t="shared" si="0"/>
        <v>398.58</v>
      </c>
      <c r="K27" s="64">
        <f t="shared" si="1"/>
        <v>398.58</v>
      </c>
      <c r="L27" s="64">
        <f t="shared" si="2"/>
        <v>398.58</v>
      </c>
      <c r="M27" s="10" t="s">
        <v>1367</v>
      </c>
      <c r="N27" t="s">
        <v>1369</v>
      </c>
    </row>
    <row r="28" spans="1:14">
      <c r="A28" s="66" t="s">
        <v>1216</v>
      </c>
      <c r="B28" s="3" t="s">
        <v>1227</v>
      </c>
      <c r="C28" s="56" t="s">
        <v>1228</v>
      </c>
      <c r="D28" s="56" t="s">
        <v>1229</v>
      </c>
      <c r="E28" s="61">
        <v>1460</v>
      </c>
      <c r="F28" s="61">
        <v>1460</v>
      </c>
      <c r="G28" s="61">
        <v>1460</v>
      </c>
      <c r="H28" s="8" t="s">
        <v>1230</v>
      </c>
      <c r="I28" s="63">
        <v>0.25</v>
      </c>
      <c r="J28" s="64">
        <f t="shared" si="0"/>
        <v>365</v>
      </c>
      <c r="K28" s="64">
        <f t="shared" si="1"/>
        <v>365</v>
      </c>
      <c r="L28" s="64">
        <f t="shared" si="2"/>
        <v>365</v>
      </c>
      <c r="M28" s="10" t="s">
        <v>1370</v>
      </c>
      <c r="N28" t="s">
        <v>1371</v>
      </c>
    </row>
    <row r="29" spans="1:14">
      <c r="A29" s="66" t="s">
        <v>1216</v>
      </c>
      <c r="B29" s="3" t="s">
        <v>1231</v>
      </c>
      <c r="C29" s="56" t="s">
        <v>1232</v>
      </c>
      <c r="D29" s="56" t="s">
        <v>1233</v>
      </c>
      <c r="E29" s="61">
        <v>1642</v>
      </c>
      <c r="F29" s="61">
        <v>3103</v>
      </c>
      <c r="G29" s="61">
        <v>5658</v>
      </c>
      <c r="H29" s="8" t="s">
        <v>1234</v>
      </c>
      <c r="I29" s="63">
        <v>0.17100000000000001</v>
      </c>
      <c r="J29" s="64">
        <f t="shared" si="0"/>
        <v>280.78200000000004</v>
      </c>
      <c r="K29" s="64">
        <f t="shared" si="1"/>
        <v>530.61300000000006</v>
      </c>
      <c r="L29" s="64">
        <f t="shared" si="2"/>
        <v>967.51800000000003</v>
      </c>
      <c r="M29" s="10" t="s">
        <v>1370</v>
      </c>
      <c r="N29" t="s">
        <v>1371</v>
      </c>
    </row>
    <row r="30" spans="1:14">
      <c r="A30" s="85" t="s">
        <v>1216</v>
      </c>
      <c r="B30" s="86" t="s">
        <v>1235</v>
      </c>
      <c r="C30" s="87" t="s">
        <v>1236</v>
      </c>
      <c r="D30" s="87" t="s">
        <v>1426</v>
      </c>
      <c r="E30" s="88">
        <v>1320</v>
      </c>
      <c r="F30" s="88">
        <v>2400</v>
      </c>
      <c r="G30" s="88">
        <v>3840</v>
      </c>
      <c r="H30" s="89" t="s">
        <v>1237</v>
      </c>
      <c r="I30" s="90">
        <v>9.6000000000000002E-2</v>
      </c>
      <c r="J30" s="91">
        <f t="shared" si="0"/>
        <v>126.72</v>
      </c>
      <c r="K30" s="91">
        <f t="shared" si="1"/>
        <v>230.4</v>
      </c>
      <c r="L30" s="91">
        <f t="shared" si="2"/>
        <v>368.64</v>
      </c>
      <c r="M30" s="92" t="s">
        <v>1372</v>
      </c>
      <c r="N30" s="81" t="s">
        <v>1427</v>
      </c>
    </row>
    <row r="31" spans="1:14">
      <c r="A31" s="66" t="s">
        <v>1238</v>
      </c>
      <c r="B31" s="3" t="s">
        <v>1239</v>
      </c>
      <c r="C31" s="56" t="s">
        <v>1240</v>
      </c>
      <c r="D31" s="56" t="s">
        <v>1241</v>
      </c>
      <c r="E31" s="61">
        <v>2190</v>
      </c>
      <c r="F31" s="61">
        <v>2190</v>
      </c>
      <c r="G31" s="61">
        <v>2190</v>
      </c>
      <c r="H31" s="8" t="s">
        <v>1220</v>
      </c>
      <c r="I31" s="63">
        <v>0.66500000000000004</v>
      </c>
      <c r="J31" s="64">
        <f t="shared" si="0"/>
        <v>1456.3500000000001</v>
      </c>
      <c r="K31" s="64">
        <f t="shared" si="1"/>
        <v>1456.3500000000001</v>
      </c>
      <c r="L31" s="64">
        <f t="shared" si="2"/>
        <v>1456.3500000000001</v>
      </c>
      <c r="M31" s="10" t="s">
        <v>1373</v>
      </c>
      <c r="N31" t="s">
        <v>1374</v>
      </c>
    </row>
    <row r="32" spans="1:14">
      <c r="A32" s="66" t="s">
        <v>1238</v>
      </c>
      <c r="B32" s="3" t="s">
        <v>1242</v>
      </c>
      <c r="C32" s="56" t="s">
        <v>1243</v>
      </c>
      <c r="D32" s="56" t="s">
        <v>1241</v>
      </c>
      <c r="E32" s="61">
        <v>2190</v>
      </c>
      <c r="F32" s="61">
        <v>2190</v>
      </c>
      <c r="G32" s="61">
        <v>2190</v>
      </c>
      <c r="H32" s="8" t="s">
        <v>1220</v>
      </c>
      <c r="I32" s="63">
        <v>0.66500000000000004</v>
      </c>
      <c r="J32" s="64">
        <f t="shared" si="0"/>
        <v>1456.3500000000001</v>
      </c>
      <c r="K32" s="64">
        <f t="shared" si="1"/>
        <v>1456.3500000000001</v>
      </c>
      <c r="L32" s="64">
        <f t="shared" si="2"/>
        <v>1456.3500000000001</v>
      </c>
      <c r="M32" s="10" t="s">
        <v>1373</v>
      </c>
      <c r="N32" t="s">
        <v>1374</v>
      </c>
    </row>
    <row r="33" spans="1:14">
      <c r="A33" s="66" t="s">
        <v>1238</v>
      </c>
      <c r="B33" s="3" t="s">
        <v>1244</v>
      </c>
      <c r="C33" s="56" t="s">
        <v>1245</v>
      </c>
      <c r="D33" s="56" t="s">
        <v>1246</v>
      </c>
      <c r="E33" s="61">
        <v>200</v>
      </c>
      <c r="F33" s="61">
        <v>1000</v>
      </c>
      <c r="G33" s="61">
        <v>2000</v>
      </c>
      <c r="H33" s="8" t="s">
        <v>1237</v>
      </c>
      <c r="I33" s="63">
        <v>0.12</v>
      </c>
      <c r="J33" s="64">
        <f t="shared" si="0"/>
        <v>24</v>
      </c>
      <c r="K33" s="64">
        <f t="shared" si="1"/>
        <v>120</v>
      </c>
      <c r="L33" s="64">
        <f t="shared" si="2"/>
        <v>240</v>
      </c>
      <c r="M33" s="10" t="s">
        <v>1373</v>
      </c>
      <c r="N33" t="s">
        <v>1375</v>
      </c>
    </row>
    <row r="34" spans="1:14">
      <c r="A34" s="85" t="s">
        <v>1238</v>
      </c>
      <c r="B34" s="86" t="s">
        <v>1247</v>
      </c>
      <c r="C34" s="87" t="s">
        <v>1248</v>
      </c>
      <c r="D34" s="87" t="s">
        <v>1249</v>
      </c>
      <c r="E34" s="88">
        <v>50000000</v>
      </c>
      <c r="F34" s="88">
        <v>250000000</v>
      </c>
      <c r="G34" s="88">
        <v>500000000</v>
      </c>
      <c r="H34" s="89" t="s">
        <v>1376</v>
      </c>
      <c r="I34" s="90">
        <v>2.3999999999999998E-7</v>
      </c>
      <c r="J34" s="91">
        <f t="shared" si="0"/>
        <v>11.999999999999998</v>
      </c>
      <c r="K34" s="91">
        <f t="shared" si="1"/>
        <v>59.999999999999993</v>
      </c>
      <c r="L34" s="91">
        <f t="shared" si="2"/>
        <v>119.99999999999999</v>
      </c>
      <c r="M34" s="92" t="s">
        <v>1373</v>
      </c>
      <c r="N34" s="81" t="s">
        <v>1377</v>
      </c>
    </row>
    <row r="35" spans="1:14">
      <c r="A35" s="66" t="s">
        <v>1238</v>
      </c>
      <c r="B35" s="3" t="s">
        <v>1251</v>
      </c>
      <c r="C35" s="56" t="s">
        <v>1252</v>
      </c>
      <c r="D35" s="56" t="s">
        <v>1253</v>
      </c>
      <c r="E35" s="61">
        <v>400</v>
      </c>
      <c r="F35" s="61">
        <v>2000</v>
      </c>
      <c r="G35" s="61">
        <v>4000</v>
      </c>
      <c r="H35" s="8" t="s">
        <v>1237</v>
      </c>
      <c r="I35" s="63">
        <v>2.3E-2</v>
      </c>
      <c r="J35" s="64">
        <f t="shared" si="0"/>
        <v>9.1999999999999993</v>
      </c>
      <c r="K35" s="64">
        <f t="shared" si="1"/>
        <v>46</v>
      </c>
      <c r="L35" s="64">
        <f t="shared" si="2"/>
        <v>92</v>
      </c>
      <c r="M35" s="10" t="s">
        <v>1373</v>
      </c>
    </row>
    <row r="36" spans="1:14">
      <c r="A36" s="66" t="s">
        <v>1238</v>
      </c>
      <c r="B36" s="3" t="s">
        <v>1254</v>
      </c>
      <c r="C36" s="56" t="s">
        <v>1255</v>
      </c>
      <c r="D36" s="56" t="s">
        <v>1256</v>
      </c>
      <c r="E36" s="61">
        <v>200</v>
      </c>
      <c r="F36" s="61">
        <v>1000</v>
      </c>
      <c r="G36" s="61">
        <v>2000</v>
      </c>
      <c r="H36" s="8" t="s">
        <v>1237</v>
      </c>
      <c r="I36" s="63">
        <v>0.12</v>
      </c>
      <c r="J36" s="64">
        <f t="shared" si="0"/>
        <v>24</v>
      </c>
      <c r="K36" s="64">
        <f t="shared" si="1"/>
        <v>120</v>
      </c>
      <c r="L36" s="64">
        <f t="shared" si="2"/>
        <v>240</v>
      </c>
      <c r="M36" s="10" t="s">
        <v>1373</v>
      </c>
      <c r="N36" t="s">
        <v>1378</v>
      </c>
    </row>
    <row r="37" spans="1:14">
      <c r="A37" s="66" t="s">
        <v>1257</v>
      </c>
      <c r="B37" s="3" t="s">
        <v>1258</v>
      </c>
      <c r="C37" s="56" t="s">
        <v>1259</v>
      </c>
      <c r="D37" s="56" t="s">
        <v>1260</v>
      </c>
      <c r="E37" s="61">
        <v>1460</v>
      </c>
      <c r="F37" s="61">
        <v>1460</v>
      </c>
      <c r="G37" s="61">
        <v>1460</v>
      </c>
      <c r="H37" s="8" t="s">
        <v>1261</v>
      </c>
      <c r="I37" s="63">
        <v>2.4299999999999999E-2</v>
      </c>
      <c r="J37" s="64">
        <f t="shared" si="0"/>
        <v>35.478000000000002</v>
      </c>
      <c r="K37" s="64">
        <f t="shared" si="1"/>
        <v>35.478000000000002</v>
      </c>
      <c r="L37" s="64">
        <f t="shared" si="2"/>
        <v>35.478000000000002</v>
      </c>
      <c r="M37" s="10" t="s">
        <v>1379</v>
      </c>
      <c r="N37" t="s">
        <v>1380</v>
      </c>
    </row>
    <row r="38" spans="1:14">
      <c r="A38" s="66" t="s">
        <v>1257</v>
      </c>
      <c r="B38" s="3" t="s">
        <v>1262</v>
      </c>
      <c r="C38" s="56" t="s">
        <v>1263</v>
      </c>
      <c r="D38" s="56" t="s">
        <v>1264</v>
      </c>
      <c r="E38" s="61">
        <v>730</v>
      </c>
      <c r="F38" s="61">
        <v>730</v>
      </c>
      <c r="G38" s="61">
        <v>730</v>
      </c>
      <c r="H38" s="8" t="s">
        <v>1265</v>
      </c>
      <c r="I38" s="63">
        <v>2.4299999999999999E-2</v>
      </c>
      <c r="J38" s="64">
        <f t="shared" si="0"/>
        <v>17.739000000000001</v>
      </c>
      <c r="K38" s="64">
        <f t="shared" si="1"/>
        <v>17.739000000000001</v>
      </c>
      <c r="L38" s="64">
        <f t="shared" si="2"/>
        <v>17.739000000000001</v>
      </c>
      <c r="M38" s="10" t="s">
        <v>1379</v>
      </c>
      <c r="N38" t="s">
        <v>1381</v>
      </c>
    </row>
    <row r="39" spans="1:14">
      <c r="A39" s="66" t="s">
        <v>1257</v>
      </c>
      <c r="B39" s="3" t="s">
        <v>1266</v>
      </c>
      <c r="C39" s="56" t="s">
        <v>1267</v>
      </c>
      <c r="D39" s="56" t="s">
        <v>1268</v>
      </c>
      <c r="E39" s="61">
        <v>500</v>
      </c>
      <c r="F39" s="61">
        <v>2500</v>
      </c>
      <c r="G39" s="61">
        <v>5000</v>
      </c>
      <c r="H39" s="8" t="s">
        <v>1269</v>
      </c>
      <c r="I39" s="63">
        <v>0.114</v>
      </c>
      <c r="J39" s="64">
        <f t="shared" si="0"/>
        <v>57</v>
      </c>
      <c r="K39" s="64">
        <f t="shared" si="1"/>
        <v>285</v>
      </c>
      <c r="L39" s="64">
        <f t="shared" si="2"/>
        <v>570</v>
      </c>
      <c r="M39" s="10" t="s">
        <v>1382</v>
      </c>
      <c r="N39" t="s">
        <v>1383</v>
      </c>
    </row>
    <row r="40" spans="1:14">
      <c r="A40" s="66" t="s">
        <v>1257</v>
      </c>
      <c r="B40" s="3" t="s">
        <v>1270</v>
      </c>
      <c r="C40" s="56" t="s">
        <v>1271</v>
      </c>
      <c r="D40" s="56" t="s">
        <v>1272</v>
      </c>
      <c r="E40" s="61">
        <v>10</v>
      </c>
      <c r="F40" s="61">
        <v>50</v>
      </c>
      <c r="G40" s="61">
        <v>100</v>
      </c>
      <c r="H40" s="8" t="s">
        <v>1250</v>
      </c>
      <c r="I40" s="63">
        <v>0.6</v>
      </c>
      <c r="J40" s="64">
        <f t="shared" si="0"/>
        <v>6</v>
      </c>
      <c r="K40" s="64">
        <f t="shared" si="1"/>
        <v>30</v>
      </c>
      <c r="L40" s="64">
        <f t="shared" si="2"/>
        <v>60</v>
      </c>
      <c r="M40" s="10" t="s">
        <v>1384</v>
      </c>
      <c r="N40" t="s">
        <v>1385</v>
      </c>
    </row>
    <row r="41" spans="1:14">
      <c r="A41" s="66" t="s">
        <v>1257</v>
      </c>
      <c r="B41" s="3" t="s">
        <v>1273</v>
      </c>
      <c r="C41" s="56" t="s">
        <v>1274</v>
      </c>
      <c r="D41" s="56" t="s">
        <v>1275</v>
      </c>
      <c r="E41" s="61">
        <v>1460</v>
      </c>
      <c r="F41" s="61">
        <v>1460</v>
      </c>
      <c r="G41" s="61">
        <v>1460</v>
      </c>
      <c r="H41" s="8" t="s">
        <v>1276</v>
      </c>
      <c r="I41" s="63">
        <v>1.4E-2</v>
      </c>
      <c r="J41" s="64">
        <f t="shared" si="0"/>
        <v>20.440000000000001</v>
      </c>
      <c r="K41" s="64">
        <f t="shared" si="1"/>
        <v>20.440000000000001</v>
      </c>
      <c r="L41" s="64">
        <f t="shared" si="2"/>
        <v>20.440000000000001</v>
      </c>
      <c r="M41" s="10" t="s">
        <v>1386</v>
      </c>
    </row>
    <row r="42" spans="1:14">
      <c r="A42" s="66" t="s">
        <v>1257</v>
      </c>
      <c r="B42" s="3" t="s">
        <v>1277</v>
      </c>
      <c r="C42" s="56" t="s">
        <v>1278</v>
      </c>
      <c r="D42" s="56" t="s">
        <v>1279</v>
      </c>
      <c r="E42" s="61">
        <v>7300</v>
      </c>
      <c r="F42" s="61">
        <v>7300</v>
      </c>
      <c r="G42" s="61">
        <v>7300</v>
      </c>
      <c r="H42" s="8" t="s">
        <v>1276</v>
      </c>
      <c r="I42" s="63">
        <v>1.4E-2</v>
      </c>
      <c r="J42" s="64">
        <f t="shared" si="0"/>
        <v>102.2</v>
      </c>
      <c r="K42" s="64">
        <f t="shared" si="1"/>
        <v>102.2</v>
      </c>
      <c r="L42" s="64">
        <f t="shared" si="2"/>
        <v>102.2</v>
      </c>
      <c r="M42" s="10" t="s">
        <v>1386</v>
      </c>
    </row>
    <row r="43" spans="1:14">
      <c r="A43" s="66" t="s">
        <v>1257</v>
      </c>
      <c r="B43" s="3" t="s">
        <v>1280</v>
      </c>
      <c r="C43" s="56" t="s">
        <v>1281</v>
      </c>
      <c r="D43" s="56" t="s">
        <v>1282</v>
      </c>
      <c r="E43" s="61">
        <v>10000000</v>
      </c>
      <c r="F43" s="61">
        <v>50000000</v>
      </c>
      <c r="G43" s="61">
        <v>100000000</v>
      </c>
      <c r="H43" s="8" t="s">
        <v>1387</v>
      </c>
      <c r="I43" s="63">
        <v>3.9999999999999998E-7</v>
      </c>
      <c r="J43" s="64">
        <f t="shared" si="0"/>
        <v>4</v>
      </c>
      <c r="K43" s="64">
        <f t="shared" si="1"/>
        <v>20</v>
      </c>
      <c r="L43" s="64">
        <f t="shared" si="2"/>
        <v>40</v>
      </c>
      <c r="M43" s="10" t="s">
        <v>1388</v>
      </c>
      <c r="N43" t="s">
        <v>1389</v>
      </c>
    </row>
    <row r="44" spans="1:14">
      <c r="A44" s="66" t="s">
        <v>1257</v>
      </c>
      <c r="B44" s="3" t="s">
        <v>1283</v>
      </c>
      <c r="C44" s="56" t="s">
        <v>1284</v>
      </c>
      <c r="D44" s="56" t="s">
        <v>1285</v>
      </c>
      <c r="E44" s="61">
        <v>100</v>
      </c>
      <c r="F44" s="61">
        <v>500</v>
      </c>
      <c r="G44" s="61">
        <v>1000</v>
      </c>
      <c r="H44" s="8" t="s">
        <v>1269</v>
      </c>
      <c r="I44" s="63">
        <v>0.09</v>
      </c>
      <c r="J44" s="64">
        <f t="shared" si="0"/>
        <v>9</v>
      </c>
      <c r="K44" s="64">
        <f t="shared" si="1"/>
        <v>45</v>
      </c>
      <c r="L44" s="64">
        <f t="shared" si="2"/>
        <v>90</v>
      </c>
      <c r="M44" s="10" t="s">
        <v>1367</v>
      </c>
      <c r="N44" t="s">
        <v>1390</v>
      </c>
    </row>
    <row r="45" spans="1:14">
      <c r="A45" s="66" t="s">
        <v>1257</v>
      </c>
      <c r="B45" s="3" t="s">
        <v>1286</v>
      </c>
      <c r="C45" s="56" t="s">
        <v>1287</v>
      </c>
      <c r="D45" s="56" t="s">
        <v>1288</v>
      </c>
      <c r="E45" s="61">
        <v>50</v>
      </c>
      <c r="F45" s="61">
        <v>250</v>
      </c>
      <c r="G45" s="61">
        <v>500</v>
      </c>
      <c r="H45" s="8" t="s">
        <v>1269</v>
      </c>
      <c r="I45" s="63">
        <v>0.114</v>
      </c>
      <c r="J45" s="64">
        <f t="shared" si="0"/>
        <v>5.7</v>
      </c>
      <c r="K45" s="64">
        <f t="shared" si="1"/>
        <v>28.5</v>
      </c>
      <c r="L45" s="64">
        <f t="shared" si="2"/>
        <v>57</v>
      </c>
      <c r="M45" s="10" t="s">
        <v>1367</v>
      </c>
      <c r="N45" t="s">
        <v>1391</v>
      </c>
    </row>
    <row r="46" spans="1:14">
      <c r="A46" s="66" t="s">
        <v>1289</v>
      </c>
      <c r="B46" s="3" t="s">
        <v>1290</v>
      </c>
      <c r="C46" s="56" t="s">
        <v>1291</v>
      </c>
      <c r="D46" s="56" t="s">
        <v>1292</v>
      </c>
      <c r="E46" s="61">
        <v>10000000</v>
      </c>
      <c r="F46" s="61">
        <v>30000000</v>
      </c>
      <c r="G46" s="61">
        <v>50000000</v>
      </c>
      <c r="H46" s="8" t="s">
        <v>1392</v>
      </c>
      <c r="I46" s="63">
        <v>1.9999999999999999E-7</v>
      </c>
      <c r="J46" s="64">
        <f t="shared" si="0"/>
        <v>2</v>
      </c>
      <c r="K46" s="64">
        <f t="shared" si="1"/>
        <v>6</v>
      </c>
      <c r="L46" s="64">
        <f t="shared" si="2"/>
        <v>10</v>
      </c>
      <c r="M46" s="10" t="s">
        <v>1393</v>
      </c>
      <c r="N46" t="s">
        <v>1394</v>
      </c>
    </row>
    <row r="47" spans="1:14">
      <c r="A47" s="66" t="s">
        <v>1289</v>
      </c>
      <c r="B47" s="3" t="s">
        <v>1293</v>
      </c>
      <c r="C47" s="56" t="s">
        <v>1294</v>
      </c>
      <c r="D47" s="56" t="s">
        <v>1295</v>
      </c>
      <c r="E47" s="61">
        <v>5000000</v>
      </c>
      <c r="F47" s="61">
        <v>15000000</v>
      </c>
      <c r="G47" s="61">
        <v>25000000</v>
      </c>
      <c r="H47" s="8" t="s">
        <v>1392</v>
      </c>
      <c r="I47" s="63">
        <v>1.9999999999999999E-7</v>
      </c>
      <c r="J47" s="64">
        <f t="shared" si="0"/>
        <v>1</v>
      </c>
      <c r="K47" s="64">
        <f t="shared" si="1"/>
        <v>3</v>
      </c>
      <c r="L47" s="64">
        <f t="shared" si="2"/>
        <v>5</v>
      </c>
      <c r="M47" s="10" t="s">
        <v>1393</v>
      </c>
      <c r="N47" t="s">
        <v>1395</v>
      </c>
    </row>
    <row r="48" spans="1:14">
      <c r="A48" s="66" t="s">
        <v>1289</v>
      </c>
      <c r="B48" s="3" t="s">
        <v>1296</v>
      </c>
      <c r="C48" s="56" t="s">
        <v>1297</v>
      </c>
      <c r="D48" s="56" t="s">
        <v>1298</v>
      </c>
      <c r="E48" s="61">
        <v>10000000</v>
      </c>
      <c r="F48" s="61">
        <v>30000000</v>
      </c>
      <c r="G48" s="61">
        <v>50000000</v>
      </c>
      <c r="H48" s="8" t="s">
        <v>1392</v>
      </c>
      <c r="I48" s="63">
        <v>1.2899999999999999E-6</v>
      </c>
      <c r="J48" s="64">
        <f t="shared" si="0"/>
        <v>12.899999999999999</v>
      </c>
      <c r="K48" s="64">
        <f t="shared" si="1"/>
        <v>38.699999999999996</v>
      </c>
      <c r="L48" s="64">
        <f t="shared" si="2"/>
        <v>64.5</v>
      </c>
      <c r="M48" s="10" t="s">
        <v>1396</v>
      </c>
      <c r="N48" t="s">
        <v>1397</v>
      </c>
    </row>
    <row r="49" spans="1:14">
      <c r="A49" s="66" t="s">
        <v>1289</v>
      </c>
      <c r="B49" s="3" t="s">
        <v>1299</v>
      </c>
      <c r="C49" s="56" t="s">
        <v>1300</v>
      </c>
      <c r="D49" s="56" t="s">
        <v>1301</v>
      </c>
      <c r="E49" s="61">
        <v>5000000</v>
      </c>
      <c r="F49" s="61">
        <v>15000000</v>
      </c>
      <c r="G49" s="61">
        <v>25000000</v>
      </c>
      <c r="H49" s="8" t="s">
        <v>1398</v>
      </c>
      <c r="I49" s="63">
        <v>9.9999999999999995E-8</v>
      </c>
      <c r="J49" s="64">
        <f t="shared" si="0"/>
        <v>0.5</v>
      </c>
      <c r="K49" s="64">
        <f t="shared" si="1"/>
        <v>1.5</v>
      </c>
      <c r="L49" s="64">
        <f t="shared" si="2"/>
        <v>2.5</v>
      </c>
      <c r="M49" s="10" t="s">
        <v>1399</v>
      </c>
      <c r="N49" t="s">
        <v>1400</v>
      </c>
    </row>
    <row r="50" spans="1:14">
      <c r="A50" s="66" t="s">
        <v>1289</v>
      </c>
      <c r="B50" s="3" t="s">
        <v>1302</v>
      </c>
      <c r="C50" s="56" t="s">
        <v>1303</v>
      </c>
      <c r="D50" s="56" t="s">
        <v>1304</v>
      </c>
      <c r="E50" s="61">
        <v>5000000</v>
      </c>
      <c r="F50" s="61">
        <v>25000000</v>
      </c>
      <c r="G50" s="61">
        <v>50000000</v>
      </c>
      <c r="H50" s="8" t="s">
        <v>1401</v>
      </c>
      <c r="I50" s="63">
        <v>8.8999999999999995E-7</v>
      </c>
      <c r="J50" s="64">
        <f t="shared" si="0"/>
        <v>4.45</v>
      </c>
      <c r="K50" s="64">
        <f t="shared" si="1"/>
        <v>22.25</v>
      </c>
      <c r="L50" s="64">
        <f t="shared" si="2"/>
        <v>44.5</v>
      </c>
      <c r="M50" s="10" t="s">
        <v>1402</v>
      </c>
      <c r="N50" t="s">
        <v>1403</v>
      </c>
    </row>
    <row r="51" spans="1:14">
      <c r="A51" s="66" t="s">
        <v>294</v>
      </c>
      <c r="B51" s="3" t="s">
        <v>1305</v>
      </c>
      <c r="C51" s="56" t="s">
        <v>1306</v>
      </c>
      <c r="D51" s="56" t="s">
        <v>1307</v>
      </c>
      <c r="E51" s="61">
        <v>10</v>
      </c>
      <c r="F51" s="61">
        <v>10</v>
      </c>
      <c r="G51" s="61">
        <v>10</v>
      </c>
      <c r="H51" s="8" t="s">
        <v>1308</v>
      </c>
      <c r="I51" s="63">
        <v>1</v>
      </c>
      <c r="J51" s="64">
        <f t="shared" si="0"/>
        <v>10</v>
      </c>
      <c r="K51" s="64">
        <f t="shared" si="1"/>
        <v>10</v>
      </c>
      <c r="L51" s="64">
        <f t="shared" si="2"/>
        <v>10</v>
      </c>
      <c r="M51" s="10" t="s">
        <v>1404</v>
      </c>
      <c r="N51" t="s">
        <v>1405</v>
      </c>
    </row>
    <row r="52" spans="1:14">
      <c r="A52" s="66" t="s">
        <v>294</v>
      </c>
      <c r="B52" s="3" t="s">
        <v>1309</v>
      </c>
      <c r="C52" s="56" t="s">
        <v>1310</v>
      </c>
      <c r="D52" s="56" t="s">
        <v>1311</v>
      </c>
      <c r="E52" s="61">
        <v>30</v>
      </c>
      <c r="F52" s="61">
        <v>30</v>
      </c>
      <c r="G52" s="61">
        <v>30</v>
      </c>
      <c r="H52" s="8" t="s">
        <v>1312</v>
      </c>
      <c r="I52" s="63">
        <v>0.4</v>
      </c>
      <c r="J52" s="64">
        <f t="shared" si="0"/>
        <v>12</v>
      </c>
      <c r="K52" s="64">
        <f t="shared" si="1"/>
        <v>12</v>
      </c>
      <c r="L52" s="64">
        <f t="shared" si="2"/>
        <v>12</v>
      </c>
      <c r="M52" s="10" t="s">
        <v>1406</v>
      </c>
    </row>
    <row r="53" spans="1:14">
      <c r="A53" s="85" t="s">
        <v>294</v>
      </c>
      <c r="B53" s="86" t="s">
        <v>1313</v>
      </c>
      <c r="C53" s="87" t="s">
        <v>1314</v>
      </c>
      <c r="D53" s="87" t="s">
        <v>1315</v>
      </c>
      <c r="E53" s="88">
        <v>1</v>
      </c>
      <c r="F53" s="88">
        <v>1</v>
      </c>
      <c r="G53" s="88">
        <v>1</v>
      </c>
      <c r="H53" s="89" t="s">
        <v>1316</v>
      </c>
      <c r="I53" s="90">
        <v>400</v>
      </c>
      <c r="J53" s="91">
        <f t="shared" si="0"/>
        <v>400</v>
      </c>
      <c r="K53" s="91">
        <f t="shared" si="1"/>
        <v>400</v>
      </c>
      <c r="L53" s="91">
        <f t="shared" si="2"/>
        <v>400</v>
      </c>
      <c r="M53" s="92" t="s">
        <v>1407</v>
      </c>
      <c r="N53" s="81" t="s">
        <v>1428</v>
      </c>
    </row>
    <row r="54" spans="1:14">
      <c r="A54" s="66" t="s">
        <v>294</v>
      </c>
      <c r="B54" s="3" t="s">
        <v>1317</v>
      </c>
      <c r="C54" s="56" t="s">
        <v>1318</v>
      </c>
      <c r="D54" s="56" t="s">
        <v>1319</v>
      </c>
      <c r="E54" s="61">
        <v>400</v>
      </c>
      <c r="F54" s="61">
        <v>2000</v>
      </c>
      <c r="G54" s="61">
        <v>4000</v>
      </c>
      <c r="H54" s="8" t="s">
        <v>1237</v>
      </c>
      <c r="I54" s="63">
        <v>0.09</v>
      </c>
      <c r="J54" s="64">
        <f t="shared" si="0"/>
        <v>36</v>
      </c>
      <c r="K54" s="64">
        <f t="shared" si="1"/>
        <v>180</v>
      </c>
      <c r="L54" s="64">
        <f t="shared" si="2"/>
        <v>360</v>
      </c>
      <c r="M54" s="10" t="s">
        <v>1408</v>
      </c>
    </row>
    <row r="55" spans="1:14">
      <c r="A55" s="66" t="s">
        <v>1320</v>
      </c>
      <c r="B55" s="3" t="s">
        <v>1321</v>
      </c>
      <c r="C55" s="56" t="s">
        <v>1322</v>
      </c>
      <c r="D55" s="56" t="s">
        <v>1323</v>
      </c>
      <c r="E55" s="61">
        <v>100</v>
      </c>
      <c r="F55" s="61">
        <v>500</v>
      </c>
      <c r="G55" s="61">
        <v>1000</v>
      </c>
      <c r="H55" s="8" t="s">
        <v>1269</v>
      </c>
      <c r="I55" s="63">
        <v>0.76</v>
      </c>
      <c r="J55" s="64">
        <f t="shared" si="0"/>
        <v>76</v>
      </c>
      <c r="K55" s="64">
        <f t="shared" si="1"/>
        <v>380</v>
      </c>
      <c r="L55" s="64">
        <f t="shared" si="2"/>
        <v>760</v>
      </c>
      <c r="M55" s="10" t="s">
        <v>1409</v>
      </c>
      <c r="N55" t="s">
        <v>1410</v>
      </c>
    </row>
    <row r="56" spans="1:14">
      <c r="A56" s="66" t="s">
        <v>1320</v>
      </c>
      <c r="B56" s="3" t="s">
        <v>1324</v>
      </c>
      <c r="C56" s="56" t="s">
        <v>1325</v>
      </c>
      <c r="D56" s="56" t="s">
        <v>1326</v>
      </c>
      <c r="E56" s="61">
        <v>1460</v>
      </c>
      <c r="F56" s="61">
        <v>2190</v>
      </c>
      <c r="G56" s="61">
        <v>2920</v>
      </c>
      <c r="H56" s="8" t="s">
        <v>1220</v>
      </c>
      <c r="I56" s="63">
        <v>0.16400000000000001</v>
      </c>
      <c r="J56" s="64">
        <f t="shared" si="0"/>
        <v>239.44</v>
      </c>
      <c r="K56" s="64">
        <f t="shared" si="1"/>
        <v>359.16</v>
      </c>
      <c r="L56" s="64">
        <f t="shared" si="2"/>
        <v>478.88</v>
      </c>
      <c r="M56" s="10" t="s">
        <v>1411</v>
      </c>
      <c r="N56" t="s">
        <v>1412</v>
      </c>
    </row>
    <row r="57" spans="1:14">
      <c r="A57" s="66" t="s">
        <v>1320</v>
      </c>
      <c r="B57" s="3" t="s">
        <v>1327</v>
      </c>
      <c r="C57" s="56" t="s">
        <v>1328</v>
      </c>
      <c r="D57" s="56" t="s">
        <v>1329</v>
      </c>
      <c r="E57" s="61">
        <v>5000</v>
      </c>
      <c r="F57" s="61">
        <v>25000</v>
      </c>
      <c r="G57" s="61">
        <v>50000</v>
      </c>
      <c r="H57" s="8" t="s">
        <v>1237</v>
      </c>
      <c r="I57" s="63">
        <v>2E-3</v>
      </c>
      <c r="J57" s="64">
        <f t="shared" si="0"/>
        <v>10</v>
      </c>
      <c r="K57" s="64">
        <f t="shared" si="1"/>
        <v>50</v>
      </c>
      <c r="L57" s="64">
        <f t="shared" si="2"/>
        <v>100</v>
      </c>
      <c r="M57" s="10" t="s">
        <v>1413</v>
      </c>
      <c r="N57" t="s">
        <v>1414</v>
      </c>
    </row>
    <row r="58" spans="1:14">
      <c r="A58" s="66" t="s">
        <v>1320</v>
      </c>
      <c r="B58" s="3" t="s">
        <v>1330</v>
      </c>
      <c r="C58" s="56" t="s">
        <v>1331</v>
      </c>
      <c r="D58" s="56" t="s">
        <v>1332</v>
      </c>
      <c r="E58" s="61">
        <v>100000</v>
      </c>
      <c r="F58" s="61">
        <v>500000</v>
      </c>
      <c r="G58" s="61">
        <v>1000000</v>
      </c>
      <c r="H58" s="8" t="s">
        <v>1415</v>
      </c>
      <c r="I58" s="63">
        <v>1E-4</v>
      </c>
      <c r="J58" s="64">
        <f t="shared" si="0"/>
        <v>10</v>
      </c>
      <c r="K58" s="64">
        <f t="shared" si="1"/>
        <v>50</v>
      </c>
      <c r="L58" s="64">
        <f t="shared" si="2"/>
        <v>100</v>
      </c>
      <c r="M58" s="10" t="s">
        <v>1416</v>
      </c>
      <c r="N58" t="s">
        <v>1417</v>
      </c>
    </row>
    <row r="59" spans="1:14">
      <c r="A59" s="66" t="s">
        <v>1320</v>
      </c>
      <c r="B59" s="3" t="s">
        <v>1333</v>
      </c>
      <c r="C59" s="56" t="s">
        <v>1334</v>
      </c>
      <c r="D59" s="56" t="s">
        <v>1335</v>
      </c>
      <c r="E59" s="61">
        <v>131400</v>
      </c>
      <c r="F59" s="61">
        <v>131400</v>
      </c>
      <c r="G59" s="61">
        <v>131400</v>
      </c>
      <c r="H59" s="8" t="s">
        <v>1336</v>
      </c>
      <c r="I59" s="63">
        <v>1.9E-3</v>
      </c>
      <c r="J59" s="64">
        <f t="shared" si="0"/>
        <v>249.66</v>
      </c>
      <c r="K59" s="64">
        <f t="shared" si="1"/>
        <v>249.66</v>
      </c>
      <c r="L59" s="64">
        <f t="shared" si="2"/>
        <v>249.66</v>
      </c>
      <c r="M59" s="10" t="s">
        <v>1409</v>
      </c>
      <c r="N59" t="s">
        <v>1418</v>
      </c>
    </row>
    <row r="60" spans="1:14">
      <c r="A60" s="30" t="s">
        <v>1337</v>
      </c>
      <c r="B60" s="55"/>
      <c r="C60" s="55"/>
      <c r="D60" s="55"/>
      <c r="E60" s="62"/>
      <c r="F60" s="62"/>
      <c r="G60" s="62"/>
      <c r="H60" s="62"/>
      <c r="I60" s="62"/>
      <c r="J60" s="65">
        <f>SUM(J25:J59)</f>
        <v>6271.2109999999975</v>
      </c>
      <c r="K60" s="65">
        <f>SUM(K25:K59)</f>
        <v>9121.7249999999985</v>
      </c>
      <c r="L60" s="65">
        <f>SUM(L25:L59)</f>
        <v>12879.583999999999</v>
      </c>
      <c r="M60" s="60"/>
      <c r="N60" t="str">
        <f>IF(COUNTBLANK($I$25:$I$59)&gt;0,"⚠ 単価未入力 "&amp;COUNTBLANK($I$25:$I$59)&amp;"件（青字セル）","✓ 全単価が入力済み")</f>
        <v>✓ 全単価が入力済み</v>
      </c>
    </row>
    <row r="62" spans="1:14">
      <c r="A62" s="2" t="s">
        <v>1338</v>
      </c>
    </row>
    <row r="63" spans="1:14">
      <c r="A63" s="11" t="s">
        <v>0</v>
      </c>
      <c r="B63" s="12" t="s">
        <v>1143</v>
      </c>
      <c r="C63" s="12" t="s">
        <v>1212</v>
      </c>
      <c r="D63" s="12" t="s">
        <v>1213</v>
      </c>
      <c r="E63" s="13" t="s">
        <v>1214</v>
      </c>
    </row>
    <row r="64" spans="1:14">
      <c r="A64" s="14" t="s">
        <v>1216</v>
      </c>
      <c r="B64" s="67">
        <f t="shared" ref="B64:B69" si="3">COUNTIF($A$25:$A$59,$A64)</f>
        <v>6</v>
      </c>
      <c r="C64" s="68">
        <f t="shared" ref="C64:C69" si="4">SUMIF($A$25:$A$59,$A64,$J$25:$J$59)</f>
        <v>1967.8039999999999</v>
      </c>
      <c r="D64" s="68">
        <f t="shared" ref="D64:D69" si="5">SUMIF($A$25:$A$59,$A64,$K$25:$K$59)</f>
        <v>3516.3980000000006</v>
      </c>
      <c r="E64" s="69">
        <f t="shared" ref="E64:E69" si="6">SUMIF($A$25:$A$59,$A64,$L$25:$L$59)</f>
        <v>5684.9870000000001</v>
      </c>
    </row>
    <row r="65" spans="1:6">
      <c r="A65" s="14" t="s">
        <v>1238</v>
      </c>
      <c r="B65" s="67">
        <f t="shared" si="3"/>
        <v>6</v>
      </c>
      <c r="C65" s="68">
        <f t="shared" si="4"/>
        <v>2981.9</v>
      </c>
      <c r="D65" s="68">
        <f t="shared" si="5"/>
        <v>3258.7000000000003</v>
      </c>
      <c r="E65" s="69">
        <f t="shared" si="6"/>
        <v>3604.7000000000003</v>
      </c>
    </row>
    <row r="66" spans="1:6">
      <c r="A66" s="14" t="s">
        <v>1257</v>
      </c>
      <c r="B66" s="67">
        <f t="shared" si="3"/>
        <v>9</v>
      </c>
      <c r="C66" s="68">
        <f t="shared" si="4"/>
        <v>257.55700000000002</v>
      </c>
      <c r="D66" s="68">
        <f t="shared" si="5"/>
        <v>584.35699999999997</v>
      </c>
      <c r="E66" s="69">
        <f t="shared" si="6"/>
        <v>992.85700000000008</v>
      </c>
    </row>
    <row r="67" spans="1:6">
      <c r="A67" s="14" t="s">
        <v>1289</v>
      </c>
      <c r="B67" s="67">
        <f t="shared" si="3"/>
        <v>5</v>
      </c>
      <c r="C67" s="68">
        <f t="shared" si="4"/>
        <v>20.849999999999998</v>
      </c>
      <c r="D67" s="68">
        <f t="shared" si="5"/>
        <v>71.449999999999989</v>
      </c>
      <c r="E67" s="69">
        <f t="shared" si="6"/>
        <v>126.5</v>
      </c>
    </row>
    <row r="68" spans="1:6">
      <c r="A68" s="14" t="s">
        <v>294</v>
      </c>
      <c r="B68" s="67">
        <f t="shared" si="3"/>
        <v>4</v>
      </c>
      <c r="C68" s="68">
        <f t="shared" si="4"/>
        <v>458</v>
      </c>
      <c r="D68" s="68">
        <f t="shared" si="5"/>
        <v>602</v>
      </c>
      <c r="E68" s="69">
        <f t="shared" si="6"/>
        <v>782</v>
      </c>
    </row>
    <row r="69" spans="1:6">
      <c r="A69" s="14" t="s">
        <v>1320</v>
      </c>
      <c r="B69" s="67">
        <f t="shared" si="3"/>
        <v>5</v>
      </c>
      <c r="C69" s="68">
        <f t="shared" si="4"/>
        <v>585.1</v>
      </c>
      <c r="D69" s="68">
        <f t="shared" si="5"/>
        <v>1088.8200000000002</v>
      </c>
      <c r="E69" s="69">
        <f t="shared" si="6"/>
        <v>1688.5400000000002</v>
      </c>
    </row>
    <row r="70" spans="1:6">
      <c r="A70" s="16" t="s">
        <v>3</v>
      </c>
      <c r="B70" s="70">
        <f>SUM(B64:B69)</f>
        <v>35</v>
      </c>
      <c r="C70" s="71">
        <f>SUM(C64:C69)</f>
        <v>6271.2110000000002</v>
      </c>
      <c r="D70" s="71">
        <f>SUM(D64:D69)</f>
        <v>9121.7250000000004</v>
      </c>
      <c r="E70" s="72">
        <f>SUM(E64:E69)</f>
        <v>12879.584000000001</v>
      </c>
      <c r="F70" s="2" t="str">
        <f>IF(B70=COUNTA($B$25:$B$59),"✓ 明細行数と一致","⚠ 不一致")</f>
        <v>✓ 明細行数と一致</v>
      </c>
    </row>
    <row r="72" spans="1:6">
      <c r="A72" s="2" t="s">
        <v>1339</v>
      </c>
    </row>
    <row r="73" spans="1:6">
      <c r="A73" s="11" t="s">
        <v>1171</v>
      </c>
      <c r="B73" s="12" t="s">
        <v>1340</v>
      </c>
      <c r="C73" s="12" t="s">
        <v>1341</v>
      </c>
      <c r="D73" s="12" t="s">
        <v>1342</v>
      </c>
      <c r="E73" s="13" t="s">
        <v>1174</v>
      </c>
    </row>
    <row r="74" spans="1:6">
      <c r="A74" s="14" t="s">
        <v>1343</v>
      </c>
      <c r="B74" s="68">
        <f>J60</f>
        <v>6271.2109999999975</v>
      </c>
      <c r="C74" s="68">
        <f>K60</f>
        <v>9121.7249999999985</v>
      </c>
      <c r="D74" s="68">
        <f>L60</f>
        <v>12879.583999999999</v>
      </c>
      <c r="E74" s="19" t="s">
        <v>1344</v>
      </c>
    </row>
    <row r="75" spans="1:6">
      <c r="A75" s="14" t="s">
        <v>1345</v>
      </c>
      <c r="B75" s="73">
        <f>B74*$B$9</f>
        <v>940681.64999999967</v>
      </c>
      <c r="C75" s="73">
        <f>C74*$B$9</f>
        <v>1368258.7499999998</v>
      </c>
      <c r="D75" s="73">
        <f>D74*$B$9</f>
        <v>1931937.5999999999</v>
      </c>
      <c r="E75" s="19" t="s">
        <v>1346</v>
      </c>
    </row>
    <row r="76" spans="1:6">
      <c r="A76" s="14" t="s">
        <v>1347</v>
      </c>
      <c r="B76" s="74">
        <f>B74*12</f>
        <v>75254.531999999977</v>
      </c>
      <c r="C76" s="74">
        <f>C74*12</f>
        <v>109460.69999999998</v>
      </c>
      <c r="D76" s="74">
        <f>D74*12</f>
        <v>154555.00799999997</v>
      </c>
      <c r="E76" s="19" t="s">
        <v>1348</v>
      </c>
    </row>
    <row r="77" spans="1:6">
      <c r="A77" s="14" t="s">
        <v>1349</v>
      </c>
      <c r="B77" s="74">
        <f>B76*3</f>
        <v>225763.59599999993</v>
      </c>
      <c r="C77" s="74">
        <f>C76*3</f>
        <v>328382.09999999998</v>
      </c>
      <c r="D77" s="74">
        <f>D76*3</f>
        <v>463665.02399999992</v>
      </c>
      <c r="E77" s="19" t="s">
        <v>1350</v>
      </c>
    </row>
    <row r="78" spans="1:6">
      <c r="A78" s="14" t="s">
        <v>1351</v>
      </c>
      <c r="B78" s="73">
        <f>B77*$B$9</f>
        <v>33864539.399999991</v>
      </c>
      <c r="C78" s="73">
        <f>C77*$B$9</f>
        <v>49257315</v>
      </c>
      <c r="D78" s="73">
        <f>D77*$B$9</f>
        <v>69549753.599999994</v>
      </c>
      <c r="E78" s="19"/>
    </row>
    <row r="79" spans="1:6">
      <c r="A79" s="14" t="s">
        <v>1352</v>
      </c>
      <c r="B79" s="75">
        <f>IFERROR(B75/$B$10,0)</f>
        <v>0.9406816499999997</v>
      </c>
      <c r="C79" s="75">
        <f>IFERROR(C75/$B$11,0)</f>
        <v>0.27365174999999997</v>
      </c>
      <c r="D79" s="75">
        <f>IFERROR(D75/$B$12,0)</f>
        <v>0.19319375999999999</v>
      </c>
      <c r="E79" s="19" t="s">
        <v>1353</v>
      </c>
    </row>
    <row r="80" spans="1:6">
      <c r="A80" s="17" t="s">
        <v>1354</v>
      </c>
      <c r="B80" s="76">
        <v>2032</v>
      </c>
      <c r="C80" s="76">
        <v>2032</v>
      </c>
      <c r="D80" s="76">
        <v>2032</v>
      </c>
      <c r="E80" s="20" t="s">
        <v>1355</v>
      </c>
    </row>
    <row r="82" spans="1:1">
      <c r="A82" s="84" t="s">
        <v>1420</v>
      </c>
    </row>
    <row r="83" spans="1:1">
      <c r="A83" s="38" t="s">
        <v>1421</v>
      </c>
    </row>
    <row r="84" spans="1:1">
      <c r="A84" s="38" t="s">
        <v>1422</v>
      </c>
    </row>
    <row r="85" spans="1:1">
      <c r="A85" s="38" t="str">
        <f>"③ 総括の開き: 設計書の概算 2,032 USD に対し、今回の積み上げは "&amp;TEXT(SUM(J25:J59),"#,##0")&amp;" USD（100万人）で約3倍。主因は Aurora インスタンス2系統×3台（"&amp;TEXT(J31+J32,"#,##0")&amp;" USD）。どちらが正か要精査"</f>
        <v>③ 総括の開き: 設計書の概算 2,032 USD に対し、今回の積み上げは 6,271 USD（100万人）で約3倍。主因は Aurora インスタンス2系統×3台（2,913 USD）。どちらが正か要精査</v>
      </c>
    </row>
    <row r="86" spans="1:1">
      <c r="A86" s="38" t="s">
        <v>1423</v>
      </c>
    </row>
    <row r="87" spans="1:1">
      <c r="A87" s="38" t="s">
        <v>1424</v>
      </c>
    </row>
    <row r="88" spans="1:1">
      <c r="A88" s="38" t="s">
        <v>1425</v>
      </c>
    </row>
  </sheetData>
  <autoFilter ref="A24:M59" xr:uid="{B411B8B0-C590-3C46-80D6-CB350769A192}"/>
  <phoneticPr fontId="2"/>
  <conditionalFormatting sqref="A25:M59">
    <cfRule type="expression" dxfId="43" priority="1">
      <formula>ISBLANK($I25)</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581F7-ECDF-C64A-A7B0-C540D55B3FA1}">
  <dimension ref="A1:E189"/>
  <sheetViews>
    <sheetView zoomScale="161" workbookViewId="0">
      <pane ySplit="4" topLeftCell="A5" activePane="bottomLeft" state="frozen"/>
      <selection pane="bottomLeft" activeCell="B31" sqref="B31"/>
    </sheetView>
  </sheetViews>
  <sheetFormatPr baseColWidth="10" defaultRowHeight="15"/>
  <cols>
    <col min="1" max="1" width="42.85546875" style="33" customWidth="1"/>
    <col min="2" max="2" width="24.28515625" style="33" customWidth="1"/>
    <col min="3" max="3" width="100" style="33" customWidth="1"/>
    <col min="4" max="4" width="18.5703125" style="33" customWidth="1"/>
    <col min="5" max="5" width="40" style="33" customWidth="1"/>
    <col min="6" max="16384" width="10.7109375" style="33"/>
  </cols>
  <sheetData>
    <row r="1" spans="1:5">
      <c r="A1" s="32" t="s">
        <v>248</v>
      </c>
    </row>
    <row r="2" spans="1:5">
      <c r="A2" s="34" t="s">
        <v>293</v>
      </c>
    </row>
    <row r="4" spans="1:5" ht="22" customHeight="1">
      <c r="A4" s="22" t="s">
        <v>296</v>
      </c>
      <c r="B4" s="23" t="s">
        <v>297</v>
      </c>
      <c r="C4" s="23" t="s">
        <v>298</v>
      </c>
      <c r="D4" s="23" t="s">
        <v>299</v>
      </c>
      <c r="E4" s="24" t="s">
        <v>300</v>
      </c>
    </row>
    <row r="5" spans="1:5">
      <c r="A5" s="40" t="s">
        <v>301</v>
      </c>
      <c r="B5" s="35" t="s">
        <v>302</v>
      </c>
      <c r="C5" s="35" t="s">
        <v>303</v>
      </c>
      <c r="D5" s="43" t="s">
        <v>304</v>
      </c>
      <c r="E5" s="25" t="s">
        <v>305</v>
      </c>
    </row>
    <row r="6" spans="1:5">
      <c r="A6" s="40" t="s">
        <v>306</v>
      </c>
      <c r="B6" s="35" t="s">
        <v>302</v>
      </c>
      <c r="C6" s="35" t="s">
        <v>307</v>
      </c>
      <c r="D6" s="43" t="s">
        <v>308</v>
      </c>
      <c r="E6" s="25" t="s">
        <v>305</v>
      </c>
    </row>
    <row r="7" spans="1:5">
      <c r="A7" s="40" t="s">
        <v>309</v>
      </c>
      <c r="B7" s="35" t="s">
        <v>302</v>
      </c>
      <c r="C7" s="35" t="s">
        <v>310</v>
      </c>
      <c r="D7" s="43" t="s">
        <v>311</v>
      </c>
      <c r="E7" s="25" t="s">
        <v>305</v>
      </c>
    </row>
    <row r="8" spans="1:5">
      <c r="A8" s="40" t="s">
        <v>312</v>
      </c>
      <c r="B8" s="35" t="s">
        <v>302</v>
      </c>
      <c r="C8" s="35" t="s">
        <v>313</v>
      </c>
      <c r="D8" s="43" t="s">
        <v>314</v>
      </c>
      <c r="E8" s="25" t="s">
        <v>305</v>
      </c>
    </row>
    <row r="9" spans="1:5">
      <c r="A9" s="40" t="s">
        <v>315</v>
      </c>
      <c r="B9" s="35" t="s">
        <v>302</v>
      </c>
      <c r="C9" s="35" t="s">
        <v>316</v>
      </c>
      <c r="D9" s="43" t="s">
        <v>317</v>
      </c>
      <c r="E9" s="25" t="s">
        <v>305</v>
      </c>
    </row>
    <row r="10" spans="1:5">
      <c r="A10" s="40" t="s">
        <v>318</v>
      </c>
      <c r="B10" s="35" t="s">
        <v>302</v>
      </c>
      <c r="C10" s="35" t="s">
        <v>319</v>
      </c>
      <c r="D10" s="43" t="s">
        <v>320</v>
      </c>
      <c r="E10" s="25" t="s">
        <v>305</v>
      </c>
    </row>
    <row r="11" spans="1:5">
      <c r="A11" s="40" t="s">
        <v>321</v>
      </c>
      <c r="B11" s="35" t="s">
        <v>302</v>
      </c>
      <c r="C11" s="35" t="s">
        <v>322</v>
      </c>
      <c r="D11" s="43" t="s">
        <v>323</v>
      </c>
      <c r="E11" s="25" t="s">
        <v>305</v>
      </c>
    </row>
    <row r="12" spans="1:5">
      <c r="A12" s="40" t="s">
        <v>324</v>
      </c>
      <c r="B12" s="35" t="s">
        <v>302</v>
      </c>
      <c r="C12" s="35" t="s">
        <v>325</v>
      </c>
      <c r="D12" s="43" t="s">
        <v>326</v>
      </c>
      <c r="E12" s="25" t="s">
        <v>305</v>
      </c>
    </row>
    <row r="13" spans="1:5">
      <c r="A13" s="40" t="s">
        <v>327</v>
      </c>
      <c r="B13" s="35" t="s">
        <v>302</v>
      </c>
      <c r="C13" s="35" t="s">
        <v>328</v>
      </c>
      <c r="D13" s="43" t="s">
        <v>329</v>
      </c>
      <c r="E13" s="25" t="s">
        <v>305</v>
      </c>
    </row>
    <row r="14" spans="1:5">
      <c r="A14" s="40" t="s">
        <v>330</v>
      </c>
      <c r="B14" s="35" t="s">
        <v>302</v>
      </c>
      <c r="C14" s="35" t="s">
        <v>331</v>
      </c>
      <c r="D14" s="43" t="s">
        <v>332</v>
      </c>
      <c r="E14" s="25" t="s">
        <v>305</v>
      </c>
    </row>
    <row r="15" spans="1:5">
      <c r="A15" s="40" t="s">
        <v>333</v>
      </c>
      <c r="B15" s="35" t="s">
        <v>302</v>
      </c>
      <c r="C15" s="35" t="s">
        <v>334</v>
      </c>
      <c r="D15" s="43" t="s">
        <v>335</v>
      </c>
      <c r="E15" s="25" t="s">
        <v>305</v>
      </c>
    </row>
    <row r="16" spans="1:5">
      <c r="A16" s="40" t="s">
        <v>336</v>
      </c>
      <c r="B16" s="35" t="s">
        <v>302</v>
      </c>
      <c r="C16" s="35" t="s">
        <v>337</v>
      </c>
      <c r="D16" s="43" t="s">
        <v>338</v>
      </c>
      <c r="E16" s="25" t="s">
        <v>305</v>
      </c>
    </row>
    <row r="17" spans="1:5">
      <c r="A17" s="40" t="s">
        <v>339</v>
      </c>
      <c r="B17" s="35" t="s">
        <v>302</v>
      </c>
      <c r="C17" s="35" t="s">
        <v>340</v>
      </c>
      <c r="D17" s="43" t="s">
        <v>341</v>
      </c>
      <c r="E17" s="25" t="s">
        <v>305</v>
      </c>
    </row>
    <row r="18" spans="1:5">
      <c r="A18" s="40" t="s">
        <v>342</v>
      </c>
      <c r="B18" s="35" t="s">
        <v>302</v>
      </c>
      <c r="C18" s="35" t="s">
        <v>343</v>
      </c>
      <c r="D18" s="43" t="s">
        <v>344</v>
      </c>
      <c r="E18" s="25" t="s">
        <v>305</v>
      </c>
    </row>
    <row r="19" spans="1:5">
      <c r="A19" s="40" t="s">
        <v>345</v>
      </c>
      <c r="B19" s="35" t="s">
        <v>302</v>
      </c>
      <c r="C19" s="35" t="s">
        <v>346</v>
      </c>
      <c r="D19" s="43" t="s">
        <v>347</v>
      </c>
      <c r="E19" s="25" t="s">
        <v>305</v>
      </c>
    </row>
    <row r="20" spans="1:5">
      <c r="A20" s="40" t="s">
        <v>348</v>
      </c>
      <c r="B20" s="35" t="s">
        <v>302</v>
      </c>
      <c r="C20" s="35" t="s">
        <v>349</v>
      </c>
      <c r="D20" s="43" t="s">
        <v>350</v>
      </c>
      <c r="E20" s="25" t="s">
        <v>305</v>
      </c>
    </row>
    <row r="21" spans="1:5">
      <c r="A21" s="40" t="s">
        <v>351</v>
      </c>
      <c r="B21" s="35" t="s">
        <v>302</v>
      </c>
      <c r="C21" s="35" t="s">
        <v>352</v>
      </c>
      <c r="D21" s="43" t="s">
        <v>353</v>
      </c>
      <c r="E21" s="25" t="s">
        <v>305</v>
      </c>
    </row>
    <row r="22" spans="1:5">
      <c r="A22" s="40" t="s">
        <v>354</v>
      </c>
      <c r="B22" s="35" t="s">
        <v>302</v>
      </c>
      <c r="C22" s="35" t="s">
        <v>355</v>
      </c>
      <c r="D22" s="43" t="s">
        <v>356</v>
      </c>
      <c r="E22" s="25" t="s">
        <v>305</v>
      </c>
    </row>
    <row r="23" spans="1:5">
      <c r="A23" s="40" t="s">
        <v>357</v>
      </c>
      <c r="B23" s="35" t="s">
        <v>302</v>
      </c>
      <c r="C23" s="35" t="s">
        <v>358</v>
      </c>
      <c r="D23" s="43" t="s">
        <v>359</v>
      </c>
      <c r="E23" s="25" t="s">
        <v>305</v>
      </c>
    </row>
    <row r="24" spans="1:5">
      <c r="A24" s="40" t="s">
        <v>360</v>
      </c>
      <c r="B24" s="35" t="s">
        <v>302</v>
      </c>
      <c r="C24" s="35" t="s">
        <v>361</v>
      </c>
      <c r="D24" s="43" t="s">
        <v>362</v>
      </c>
      <c r="E24" s="25" t="s">
        <v>305</v>
      </c>
    </row>
    <row r="25" spans="1:5">
      <c r="A25" s="40" t="s">
        <v>363</v>
      </c>
      <c r="B25" s="35" t="s">
        <v>302</v>
      </c>
      <c r="C25" s="35" t="s">
        <v>364</v>
      </c>
      <c r="D25" s="43" t="s">
        <v>365</v>
      </c>
      <c r="E25" s="25" t="s">
        <v>305</v>
      </c>
    </row>
    <row r="26" spans="1:5">
      <c r="A26" s="40" t="s">
        <v>366</v>
      </c>
      <c r="B26" s="35" t="s">
        <v>302</v>
      </c>
      <c r="C26" s="35" t="s">
        <v>367</v>
      </c>
      <c r="D26" s="43" t="s">
        <v>368</v>
      </c>
      <c r="E26" s="25" t="s">
        <v>305</v>
      </c>
    </row>
    <row r="27" spans="1:5">
      <c r="A27" s="40" t="s">
        <v>369</v>
      </c>
      <c r="B27" s="35" t="s">
        <v>302</v>
      </c>
      <c r="C27" s="35" t="s">
        <v>370</v>
      </c>
      <c r="D27" s="43" t="s">
        <v>371</v>
      </c>
      <c r="E27" s="25" t="s">
        <v>305</v>
      </c>
    </row>
    <row r="28" spans="1:5">
      <c r="A28" s="40" t="s">
        <v>372</v>
      </c>
      <c r="B28" s="35" t="s">
        <v>302</v>
      </c>
      <c r="C28" s="35" t="s">
        <v>373</v>
      </c>
      <c r="D28" s="43" t="s">
        <v>374</v>
      </c>
      <c r="E28" s="25" t="s">
        <v>305</v>
      </c>
    </row>
    <row r="29" spans="1:5">
      <c r="A29" s="40" t="s">
        <v>375</v>
      </c>
      <c r="B29" s="35" t="s">
        <v>302</v>
      </c>
      <c r="C29" s="35" t="s">
        <v>376</v>
      </c>
      <c r="D29" s="43" t="s">
        <v>377</v>
      </c>
      <c r="E29" s="25" t="s">
        <v>305</v>
      </c>
    </row>
    <row r="30" spans="1:5">
      <c r="A30" s="40" t="s">
        <v>378</v>
      </c>
      <c r="B30" s="35" t="s">
        <v>302</v>
      </c>
      <c r="C30" s="35" t="s">
        <v>379</v>
      </c>
      <c r="D30" s="43" t="s">
        <v>380</v>
      </c>
      <c r="E30" s="25" t="s">
        <v>305</v>
      </c>
    </row>
    <row r="31" spans="1:5">
      <c r="A31" s="40" t="s">
        <v>381</v>
      </c>
      <c r="B31" s="35" t="s">
        <v>302</v>
      </c>
      <c r="C31" s="35" t="s">
        <v>382</v>
      </c>
      <c r="D31" s="43" t="s">
        <v>383</v>
      </c>
      <c r="E31" s="25" t="s">
        <v>305</v>
      </c>
    </row>
    <row r="32" spans="1:5">
      <c r="A32" s="40" t="s">
        <v>384</v>
      </c>
      <c r="B32" s="35" t="s">
        <v>302</v>
      </c>
      <c r="C32" s="35" t="s">
        <v>385</v>
      </c>
      <c r="D32" s="43" t="s">
        <v>386</v>
      </c>
      <c r="E32" s="25" t="s">
        <v>305</v>
      </c>
    </row>
    <row r="33" spans="1:5">
      <c r="A33" s="40" t="s">
        <v>387</v>
      </c>
      <c r="B33" s="35" t="s">
        <v>302</v>
      </c>
      <c r="C33" s="35" t="s">
        <v>388</v>
      </c>
      <c r="D33" s="43" t="s">
        <v>389</v>
      </c>
      <c r="E33" s="25" t="s">
        <v>305</v>
      </c>
    </row>
    <row r="34" spans="1:5">
      <c r="A34" s="40" t="s">
        <v>390</v>
      </c>
      <c r="B34" s="35" t="s">
        <v>302</v>
      </c>
      <c r="C34" s="35" t="s">
        <v>391</v>
      </c>
      <c r="D34" s="43" t="s">
        <v>392</v>
      </c>
      <c r="E34" s="25" t="s">
        <v>305</v>
      </c>
    </row>
    <row r="35" spans="1:5">
      <c r="A35" s="40" t="s">
        <v>393</v>
      </c>
      <c r="B35" s="35" t="s">
        <v>302</v>
      </c>
      <c r="C35" s="35" t="s">
        <v>394</v>
      </c>
      <c r="D35" s="43" t="s">
        <v>395</v>
      </c>
      <c r="E35" s="25" t="s">
        <v>305</v>
      </c>
    </row>
    <row r="36" spans="1:5">
      <c r="A36" s="40" t="s">
        <v>396</v>
      </c>
      <c r="B36" s="35" t="s">
        <v>302</v>
      </c>
      <c r="C36" s="35" t="s">
        <v>397</v>
      </c>
      <c r="D36" s="43" t="s">
        <v>398</v>
      </c>
      <c r="E36" s="25" t="s">
        <v>305</v>
      </c>
    </row>
    <row r="37" spans="1:5">
      <c r="A37" s="40" t="s">
        <v>399</v>
      </c>
      <c r="B37" s="35" t="s">
        <v>302</v>
      </c>
      <c r="C37" s="35" t="s">
        <v>400</v>
      </c>
      <c r="D37" s="43" t="s">
        <v>401</v>
      </c>
      <c r="E37" s="25" t="s">
        <v>305</v>
      </c>
    </row>
    <row r="38" spans="1:5">
      <c r="A38" s="40" t="s">
        <v>402</v>
      </c>
      <c r="B38" s="35" t="s">
        <v>302</v>
      </c>
      <c r="C38" s="35" t="s">
        <v>403</v>
      </c>
      <c r="D38" s="43" t="s">
        <v>404</v>
      </c>
      <c r="E38" s="25" t="s">
        <v>305</v>
      </c>
    </row>
    <row r="39" spans="1:5">
      <c r="A39" s="40" t="s">
        <v>405</v>
      </c>
      <c r="B39" s="35" t="s">
        <v>302</v>
      </c>
      <c r="C39" s="35" t="s">
        <v>406</v>
      </c>
      <c r="D39" s="43" t="s">
        <v>407</v>
      </c>
      <c r="E39" s="25" t="s">
        <v>305</v>
      </c>
    </row>
    <row r="40" spans="1:5">
      <c r="A40" s="40" t="s">
        <v>408</v>
      </c>
      <c r="B40" s="35" t="s">
        <v>302</v>
      </c>
      <c r="C40" s="35" t="s">
        <v>409</v>
      </c>
      <c r="D40" s="43" t="s">
        <v>410</v>
      </c>
      <c r="E40" s="25" t="s">
        <v>305</v>
      </c>
    </row>
    <row r="41" spans="1:5">
      <c r="A41" s="40" t="s">
        <v>411</v>
      </c>
      <c r="B41" s="35" t="s">
        <v>302</v>
      </c>
      <c r="C41" s="35" t="s">
        <v>412</v>
      </c>
      <c r="D41" s="43" t="s">
        <v>413</v>
      </c>
      <c r="E41" s="25" t="s">
        <v>305</v>
      </c>
    </row>
    <row r="42" spans="1:5">
      <c r="A42" s="40" t="s">
        <v>414</v>
      </c>
      <c r="B42" s="35" t="s">
        <v>415</v>
      </c>
      <c r="C42" s="35" t="s">
        <v>416</v>
      </c>
      <c r="D42" s="43" t="s">
        <v>417</v>
      </c>
      <c r="E42" s="25" t="s">
        <v>418</v>
      </c>
    </row>
    <row r="43" spans="1:5">
      <c r="A43" s="40" t="s">
        <v>419</v>
      </c>
      <c r="B43" s="35" t="s">
        <v>415</v>
      </c>
      <c r="C43" s="35" t="s">
        <v>420</v>
      </c>
      <c r="D43" s="43" t="s">
        <v>421</v>
      </c>
      <c r="E43" s="25" t="s">
        <v>418</v>
      </c>
    </row>
    <row r="44" spans="1:5">
      <c r="A44" s="40" t="s">
        <v>422</v>
      </c>
      <c r="B44" s="35" t="s">
        <v>415</v>
      </c>
      <c r="C44" s="35" t="s">
        <v>423</v>
      </c>
      <c r="D44" s="43" t="s">
        <v>424</v>
      </c>
      <c r="E44" s="25" t="s">
        <v>418</v>
      </c>
    </row>
    <row r="45" spans="1:5">
      <c r="A45" s="40" t="s">
        <v>425</v>
      </c>
      <c r="B45" s="35" t="s">
        <v>415</v>
      </c>
      <c r="C45" s="35" t="s">
        <v>426</v>
      </c>
      <c r="D45" s="43" t="s">
        <v>427</v>
      </c>
      <c r="E45" s="25" t="s">
        <v>428</v>
      </c>
    </row>
    <row r="46" spans="1:5">
      <c r="A46" s="40" t="s">
        <v>429</v>
      </c>
      <c r="B46" s="35" t="s">
        <v>415</v>
      </c>
      <c r="C46" s="35" t="s">
        <v>430</v>
      </c>
      <c r="D46" s="43" t="s">
        <v>431</v>
      </c>
      <c r="E46" s="25" t="s">
        <v>428</v>
      </c>
    </row>
    <row r="47" spans="1:5">
      <c r="A47" s="40" t="s">
        <v>432</v>
      </c>
      <c r="B47" s="35" t="s">
        <v>415</v>
      </c>
      <c r="C47" s="35" t="s">
        <v>433</v>
      </c>
      <c r="D47" s="43" t="s">
        <v>434</v>
      </c>
      <c r="E47" s="25" t="s">
        <v>428</v>
      </c>
    </row>
    <row r="48" spans="1:5">
      <c r="A48" s="40" t="s">
        <v>435</v>
      </c>
      <c r="B48" s="35" t="s">
        <v>415</v>
      </c>
      <c r="C48" s="35" t="s">
        <v>436</v>
      </c>
      <c r="D48" s="43" t="s">
        <v>437</v>
      </c>
      <c r="E48" s="25" t="s">
        <v>438</v>
      </c>
    </row>
    <row r="49" spans="1:5">
      <c r="A49" s="40" t="s">
        <v>439</v>
      </c>
      <c r="B49" s="35" t="s">
        <v>415</v>
      </c>
      <c r="C49" s="35" t="s">
        <v>440</v>
      </c>
      <c r="D49" s="43" t="s">
        <v>441</v>
      </c>
      <c r="E49" s="25" t="s">
        <v>438</v>
      </c>
    </row>
    <row r="50" spans="1:5">
      <c r="A50" s="40" t="s">
        <v>442</v>
      </c>
      <c r="B50" s="35" t="s">
        <v>415</v>
      </c>
      <c r="C50" s="35" t="s">
        <v>443</v>
      </c>
      <c r="D50" s="43" t="s">
        <v>444</v>
      </c>
      <c r="E50" s="25" t="s">
        <v>445</v>
      </c>
    </row>
    <row r="51" spans="1:5">
      <c r="A51" s="40" t="s">
        <v>446</v>
      </c>
      <c r="B51" s="35" t="s">
        <v>415</v>
      </c>
      <c r="C51" s="35" t="s">
        <v>447</v>
      </c>
      <c r="D51" s="43" t="s">
        <v>448</v>
      </c>
      <c r="E51" s="25" t="s">
        <v>445</v>
      </c>
    </row>
    <row r="52" spans="1:5">
      <c r="A52" s="40" t="s">
        <v>449</v>
      </c>
      <c r="B52" s="35" t="s">
        <v>415</v>
      </c>
      <c r="C52" s="35" t="s">
        <v>450</v>
      </c>
      <c r="D52" s="43" t="s">
        <v>451</v>
      </c>
      <c r="E52" s="25" t="s">
        <v>452</v>
      </c>
    </row>
    <row r="53" spans="1:5">
      <c r="A53" s="40" t="s">
        <v>453</v>
      </c>
      <c r="B53" s="35" t="s">
        <v>415</v>
      </c>
      <c r="C53" s="35" t="s">
        <v>454</v>
      </c>
      <c r="D53" s="43" t="s">
        <v>455</v>
      </c>
      <c r="E53" s="25" t="s">
        <v>445</v>
      </c>
    </row>
    <row r="54" spans="1:5">
      <c r="A54" s="40" t="s">
        <v>456</v>
      </c>
      <c r="B54" s="35" t="s">
        <v>415</v>
      </c>
      <c r="C54" s="35" t="s">
        <v>457</v>
      </c>
      <c r="D54" s="43" t="s">
        <v>458</v>
      </c>
      <c r="E54" s="25" t="s">
        <v>459</v>
      </c>
    </row>
    <row r="55" spans="1:5">
      <c r="A55" s="40" t="s">
        <v>460</v>
      </c>
      <c r="B55" s="35" t="s">
        <v>415</v>
      </c>
      <c r="C55" s="35" t="s">
        <v>461</v>
      </c>
      <c r="D55" s="43" t="s">
        <v>462</v>
      </c>
      <c r="E55" s="25" t="s">
        <v>463</v>
      </c>
    </row>
    <row r="56" spans="1:5">
      <c r="A56" s="40" t="s">
        <v>464</v>
      </c>
      <c r="B56" s="35" t="s">
        <v>415</v>
      </c>
      <c r="C56" s="35" t="s">
        <v>465</v>
      </c>
      <c r="D56" s="43" t="s">
        <v>466</v>
      </c>
      <c r="E56" s="25" t="s">
        <v>463</v>
      </c>
    </row>
    <row r="57" spans="1:5">
      <c r="A57" s="40" t="s">
        <v>467</v>
      </c>
      <c r="B57" s="35" t="s">
        <v>415</v>
      </c>
      <c r="C57" s="35" t="s">
        <v>468</v>
      </c>
      <c r="D57" s="43" t="s">
        <v>469</v>
      </c>
      <c r="E57" s="25" t="s">
        <v>463</v>
      </c>
    </row>
    <row r="58" spans="1:5">
      <c r="A58" s="40" t="s">
        <v>470</v>
      </c>
      <c r="B58" s="35" t="s">
        <v>415</v>
      </c>
      <c r="C58" s="35" t="s">
        <v>471</v>
      </c>
      <c r="D58" s="43" t="s">
        <v>472</v>
      </c>
      <c r="E58" s="25" t="s">
        <v>463</v>
      </c>
    </row>
    <row r="59" spans="1:5">
      <c r="A59" s="40" t="s">
        <v>473</v>
      </c>
      <c r="B59" s="35" t="s">
        <v>474</v>
      </c>
      <c r="C59" s="35" t="s">
        <v>475</v>
      </c>
      <c r="D59" s="43" t="s">
        <v>476</v>
      </c>
      <c r="E59" s="25" t="s">
        <v>477</v>
      </c>
    </row>
    <row r="60" spans="1:5">
      <c r="A60" s="40" t="s">
        <v>478</v>
      </c>
      <c r="B60" s="35" t="s">
        <v>474</v>
      </c>
      <c r="C60" s="35" t="s">
        <v>479</v>
      </c>
      <c r="D60" s="43" t="s">
        <v>480</v>
      </c>
      <c r="E60" s="25" t="s">
        <v>477</v>
      </c>
    </row>
    <row r="61" spans="1:5">
      <c r="A61" s="40" t="s">
        <v>481</v>
      </c>
      <c r="B61" s="35" t="s">
        <v>474</v>
      </c>
      <c r="C61" s="35" t="s">
        <v>482</v>
      </c>
      <c r="D61" s="43" t="s">
        <v>483</v>
      </c>
      <c r="E61" s="25" t="s">
        <v>477</v>
      </c>
    </row>
    <row r="62" spans="1:5">
      <c r="A62" s="40" t="s">
        <v>484</v>
      </c>
      <c r="B62" s="35" t="s">
        <v>474</v>
      </c>
      <c r="C62" s="35" t="s">
        <v>485</v>
      </c>
      <c r="D62" s="43" t="s">
        <v>486</v>
      </c>
      <c r="E62" s="25" t="s">
        <v>477</v>
      </c>
    </row>
    <row r="63" spans="1:5">
      <c r="A63" s="40" t="s">
        <v>487</v>
      </c>
      <c r="B63" s="35" t="s">
        <v>474</v>
      </c>
      <c r="C63" s="35" t="s">
        <v>488</v>
      </c>
      <c r="D63" s="43" t="s">
        <v>489</v>
      </c>
      <c r="E63" s="25" t="s">
        <v>477</v>
      </c>
    </row>
    <row r="64" spans="1:5">
      <c r="A64" s="40" t="s">
        <v>490</v>
      </c>
      <c r="B64" s="35" t="s">
        <v>474</v>
      </c>
      <c r="C64" s="35" t="s">
        <v>491</v>
      </c>
      <c r="D64" s="43" t="s">
        <v>492</v>
      </c>
      <c r="E64" s="25" t="s">
        <v>477</v>
      </c>
    </row>
    <row r="65" spans="1:5">
      <c r="A65" s="40" t="s">
        <v>493</v>
      </c>
      <c r="B65" s="35" t="s">
        <v>474</v>
      </c>
      <c r="C65" s="35" t="s">
        <v>494</v>
      </c>
      <c r="D65" s="43" t="s">
        <v>495</v>
      </c>
      <c r="E65" s="25" t="s">
        <v>477</v>
      </c>
    </row>
    <row r="66" spans="1:5">
      <c r="A66" s="40" t="s">
        <v>496</v>
      </c>
      <c r="B66" s="35" t="s">
        <v>474</v>
      </c>
      <c r="C66" s="35" t="s">
        <v>497</v>
      </c>
      <c r="D66" s="43" t="s">
        <v>498</v>
      </c>
      <c r="E66" s="25" t="s">
        <v>477</v>
      </c>
    </row>
    <row r="67" spans="1:5">
      <c r="A67" s="40" t="s">
        <v>499</v>
      </c>
      <c r="B67" s="35" t="s">
        <v>474</v>
      </c>
      <c r="C67" s="35" t="s">
        <v>500</v>
      </c>
      <c r="D67" s="43" t="s">
        <v>501</v>
      </c>
      <c r="E67" s="25" t="s">
        <v>477</v>
      </c>
    </row>
    <row r="68" spans="1:5">
      <c r="A68" s="40" t="s">
        <v>502</v>
      </c>
      <c r="B68" s="35" t="s">
        <v>474</v>
      </c>
      <c r="C68" s="35" t="s">
        <v>503</v>
      </c>
      <c r="D68" s="43" t="s">
        <v>504</v>
      </c>
      <c r="E68" s="25" t="s">
        <v>477</v>
      </c>
    </row>
    <row r="69" spans="1:5">
      <c r="A69" s="40" t="s">
        <v>505</v>
      </c>
      <c r="B69" s="35" t="s">
        <v>474</v>
      </c>
      <c r="C69" s="35" t="s">
        <v>506</v>
      </c>
      <c r="D69" s="43" t="s">
        <v>507</v>
      </c>
      <c r="E69" s="25" t="s">
        <v>477</v>
      </c>
    </row>
    <row r="70" spans="1:5">
      <c r="A70" s="40" t="s">
        <v>508</v>
      </c>
      <c r="B70" s="35" t="s">
        <v>474</v>
      </c>
      <c r="C70" s="35" t="s">
        <v>509</v>
      </c>
      <c r="D70" s="43" t="s">
        <v>510</v>
      </c>
      <c r="E70" s="25" t="s">
        <v>477</v>
      </c>
    </row>
    <row r="71" spans="1:5">
      <c r="A71" s="40" t="s">
        <v>511</v>
      </c>
      <c r="B71" s="35" t="s">
        <v>474</v>
      </c>
      <c r="C71" s="35" t="s">
        <v>512</v>
      </c>
      <c r="D71" s="43" t="s">
        <v>513</v>
      </c>
      <c r="E71" s="25" t="s">
        <v>477</v>
      </c>
    </row>
    <row r="72" spans="1:5">
      <c r="A72" s="40" t="s">
        <v>514</v>
      </c>
      <c r="B72" s="35" t="s">
        <v>474</v>
      </c>
      <c r="C72" s="35" t="s">
        <v>515</v>
      </c>
      <c r="D72" s="43" t="s">
        <v>516</v>
      </c>
      <c r="E72" s="25" t="s">
        <v>477</v>
      </c>
    </row>
    <row r="73" spans="1:5">
      <c r="A73" s="40" t="s">
        <v>517</v>
      </c>
      <c r="B73" s="35" t="s">
        <v>474</v>
      </c>
      <c r="C73" s="35" t="s">
        <v>518</v>
      </c>
      <c r="D73" s="43" t="s">
        <v>519</v>
      </c>
      <c r="E73" s="25" t="s">
        <v>477</v>
      </c>
    </row>
    <row r="74" spans="1:5">
      <c r="A74" s="40" t="s">
        <v>520</v>
      </c>
      <c r="B74" s="35" t="s">
        <v>474</v>
      </c>
      <c r="C74" s="35" t="s">
        <v>521</v>
      </c>
      <c r="D74" s="43" t="s">
        <v>522</v>
      </c>
      <c r="E74" s="25" t="s">
        <v>477</v>
      </c>
    </row>
    <row r="75" spans="1:5">
      <c r="A75" s="40" t="s">
        <v>523</v>
      </c>
      <c r="B75" s="35" t="s">
        <v>474</v>
      </c>
      <c r="C75" s="35" t="s">
        <v>524</v>
      </c>
      <c r="D75" s="43" t="s">
        <v>525</v>
      </c>
      <c r="E75" s="25" t="s">
        <v>477</v>
      </c>
    </row>
    <row r="76" spans="1:5">
      <c r="A76" s="40" t="s">
        <v>526</v>
      </c>
      <c r="B76" s="35" t="s">
        <v>474</v>
      </c>
      <c r="C76" s="35" t="s">
        <v>527</v>
      </c>
      <c r="D76" s="43" t="s">
        <v>528</v>
      </c>
      <c r="E76" s="25" t="s">
        <v>477</v>
      </c>
    </row>
    <row r="77" spans="1:5">
      <c r="A77" s="40" t="s">
        <v>529</v>
      </c>
      <c r="B77" s="35" t="s">
        <v>474</v>
      </c>
      <c r="C77" s="35" t="s">
        <v>530</v>
      </c>
      <c r="D77" s="43" t="s">
        <v>531</v>
      </c>
      <c r="E77" s="25" t="s">
        <v>477</v>
      </c>
    </row>
    <row r="78" spans="1:5">
      <c r="A78" s="40" t="s">
        <v>532</v>
      </c>
      <c r="B78" s="35" t="s">
        <v>474</v>
      </c>
      <c r="C78" s="35" t="s">
        <v>533</v>
      </c>
      <c r="D78" s="43" t="s">
        <v>534</v>
      </c>
      <c r="E78" s="25" t="s">
        <v>477</v>
      </c>
    </row>
    <row r="79" spans="1:5">
      <c r="A79" s="40" t="s">
        <v>281</v>
      </c>
      <c r="B79" s="35" t="s">
        <v>474</v>
      </c>
      <c r="C79" s="35" t="s">
        <v>282</v>
      </c>
      <c r="D79" s="43" t="s">
        <v>535</v>
      </c>
      <c r="E79" s="25" t="s">
        <v>477</v>
      </c>
    </row>
    <row r="80" spans="1:5">
      <c r="A80" s="40" t="s">
        <v>536</v>
      </c>
      <c r="B80" s="35" t="s">
        <v>474</v>
      </c>
      <c r="C80" s="35" t="s">
        <v>537</v>
      </c>
      <c r="D80" s="43" t="s">
        <v>538</v>
      </c>
      <c r="E80" s="25" t="s">
        <v>477</v>
      </c>
    </row>
    <row r="81" spans="1:5">
      <c r="A81" s="40" t="s">
        <v>539</v>
      </c>
      <c r="B81" s="35" t="s">
        <v>474</v>
      </c>
      <c r="C81" s="35" t="s">
        <v>540</v>
      </c>
      <c r="D81" s="43" t="s">
        <v>541</v>
      </c>
      <c r="E81" s="25" t="s">
        <v>477</v>
      </c>
    </row>
    <row r="82" spans="1:5">
      <c r="A82" s="40" t="s">
        <v>542</v>
      </c>
      <c r="B82" s="35" t="s">
        <v>474</v>
      </c>
      <c r="C82" s="35" t="s">
        <v>543</v>
      </c>
      <c r="D82" s="43" t="s">
        <v>544</v>
      </c>
      <c r="E82" s="25" t="s">
        <v>477</v>
      </c>
    </row>
    <row r="83" spans="1:5">
      <c r="A83" s="40" t="s">
        <v>545</v>
      </c>
      <c r="B83" s="35" t="s">
        <v>474</v>
      </c>
      <c r="C83" s="35" t="s">
        <v>546</v>
      </c>
      <c r="D83" s="43" t="s">
        <v>547</v>
      </c>
      <c r="E83" s="25" t="s">
        <v>477</v>
      </c>
    </row>
    <row r="84" spans="1:5">
      <c r="A84" s="41" t="s">
        <v>548</v>
      </c>
      <c r="B84" s="36" t="s">
        <v>474</v>
      </c>
      <c r="C84" s="36" t="s">
        <v>549</v>
      </c>
      <c r="D84" s="44" t="s">
        <v>550</v>
      </c>
      <c r="E84" s="26" t="s">
        <v>477</v>
      </c>
    </row>
    <row r="85" spans="1:5">
      <c r="A85" s="42" t="s">
        <v>551</v>
      </c>
      <c r="B85" s="33" t="s">
        <v>552</v>
      </c>
      <c r="C85" s="33" t="s">
        <v>553</v>
      </c>
      <c r="D85" s="45" t="s">
        <v>554</v>
      </c>
      <c r="E85" s="46" t="s">
        <v>555</v>
      </c>
    </row>
    <row r="86" spans="1:5">
      <c r="A86" s="42" t="s">
        <v>556</v>
      </c>
      <c r="B86" s="33" t="s">
        <v>552</v>
      </c>
      <c r="C86" s="33" t="s">
        <v>557</v>
      </c>
      <c r="D86" s="45" t="s">
        <v>558</v>
      </c>
      <c r="E86" s="46" t="s">
        <v>559</v>
      </c>
    </row>
    <row r="87" spans="1:5">
      <c r="A87" s="42" t="s">
        <v>560</v>
      </c>
      <c r="B87" s="33" t="s">
        <v>552</v>
      </c>
      <c r="C87" s="33" t="s">
        <v>561</v>
      </c>
      <c r="D87" s="45" t="s">
        <v>253</v>
      </c>
      <c r="E87" s="46" t="s">
        <v>562</v>
      </c>
    </row>
    <row r="88" spans="1:5">
      <c r="A88" s="42" t="s">
        <v>563</v>
      </c>
      <c r="B88" s="33" t="s">
        <v>552</v>
      </c>
      <c r="C88" s="33" t="s">
        <v>564</v>
      </c>
      <c r="D88" s="45" t="s">
        <v>254</v>
      </c>
      <c r="E88" s="46" t="s">
        <v>565</v>
      </c>
    </row>
    <row r="89" spans="1:5">
      <c r="A89" s="42" t="s">
        <v>566</v>
      </c>
      <c r="B89" s="33" t="s">
        <v>552</v>
      </c>
      <c r="C89" s="33" t="s">
        <v>567</v>
      </c>
      <c r="D89" s="45" t="s">
        <v>568</v>
      </c>
      <c r="E89" s="46" t="s">
        <v>569</v>
      </c>
    </row>
    <row r="90" spans="1:5">
      <c r="A90" s="42" t="s">
        <v>570</v>
      </c>
      <c r="B90" s="33" t="s">
        <v>552</v>
      </c>
      <c r="C90" s="33" t="s">
        <v>571</v>
      </c>
      <c r="D90" s="45" t="s">
        <v>252</v>
      </c>
      <c r="E90" s="46" t="s">
        <v>572</v>
      </c>
    </row>
    <row r="91" spans="1:5">
      <c r="A91" s="42" t="s">
        <v>573</v>
      </c>
      <c r="B91" s="33" t="s">
        <v>552</v>
      </c>
      <c r="C91" s="33" t="s">
        <v>574</v>
      </c>
      <c r="D91" s="45" t="s">
        <v>575</v>
      </c>
      <c r="E91" s="46" t="s">
        <v>576</v>
      </c>
    </row>
    <row r="92" spans="1:5">
      <c r="A92" s="42" t="s">
        <v>577</v>
      </c>
      <c r="B92" s="33" t="s">
        <v>552</v>
      </c>
      <c r="C92" s="33" t="s">
        <v>578</v>
      </c>
      <c r="D92" s="45" t="s">
        <v>579</v>
      </c>
      <c r="E92" s="46" t="s">
        <v>580</v>
      </c>
    </row>
    <row r="93" spans="1:5">
      <c r="A93" s="42" t="s">
        <v>581</v>
      </c>
      <c r="B93" s="33" t="s">
        <v>552</v>
      </c>
      <c r="C93" s="33" t="s">
        <v>582</v>
      </c>
      <c r="D93" s="45" t="s">
        <v>583</v>
      </c>
      <c r="E93" s="46" t="s">
        <v>584</v>
      </c>
    </row>
    <row r="94" spans="1:5">
      <c r="A94" s="42" t="s">
        <v>585</v>
      </c>
      <c r="B94" s="33" t="s">
        <v>552</v>
      </c>
      <c r="C94" s="33" t="s">
        <v>586</v>
      </c>
      <c r="D94" s="45" t="s">
        <v>587</v>
      </c>
      <c r="E94" s="46" t="s">
        <v>588</v>
      </c>
    </row>
    <row r="95" spans="1:5">
      <c r="A95" s="42" t="s">
        <v>589</v>
      </c>
      <c r="B95" s="33" t="s">
        <v>552</v>
      </c>
      <c r="C95" s="33" t="s">
        <v>590</v>
      </c>
      <c r="D95" s="45" t="s">
        <v>256</v>
      </c>
      <c r="E95" s="46" t="s">
        <v>591</v>
      </c>
    </row>
    <row r="96" spans="1:5">
      <c r="A96" s="42" t="s">
        <v>592</v>
      </c>
      <c r="B96" s="33" t="s">
        <v>552</v>
      </c>
      <c r="C96" s="33" t="s">
        <v>593</v>
      </c>
      <c r="D96" s="45" t="s">
        <v>255</v>
      </c>
      <c r="E96" s="46" t="s">
        <v>594</v>
      </c>
    </row>
    <row r="97" spans="1:5">
      <c r="A97" s="42" t="s">
        <v>595</v>
      </c>
      <c r="B97" s="33" t="s">
        <v>596</v>
      </c>
      <c r="C97" s="33" t="s">
        <v>597</v>
      </c>
      <c r="D97" s="45" t="s">
        <v>598</v>
      </c>
      <c r="E97" s="46" t="s">
        <v>599</v>
      </c>
    </row>
    <row r="98" spans="1:5">
      <c r="A98" s="42" t="s">
        <v>600</v>
      </c>
      <c r="B98" s="33" t="s">
        <v>596</v>
      </c>
      <c r="C98" s="33" t="s">
        <v>601</v>
      </c>
      <c r="D98" s="45" t="s">
        <v>602</v>
      </c>
      <c r="E98" s="46" t="s">
        <v>603</v>
      </c>
    </row>
    <row r="99" spans="1:5">
      <c r="A99" s="42" t="s">
        <v>604</v>
      </c>
      <c r="B99" s="33" t="s">
        <v>596</v>
      </c>
      <c r="C99" s="33" t="s">
        <v>605</v>
      </c>
      <c r="D99" s="45" t="s">
        <v>606</v>
      </c>
      <c r="E99" s="46" t="s">
        <v>607</v>
      </c>
    </row>
    <row r="100" spans="1:5">
      <c r="A100" s="42" t="s">
        <v>608</v>
      </c>
      <c r="B100" s="33" t="s">
        <v>596</v>
      </c>
      <c r="C100" s="33" t="s">
        <v>609</v>
      </c>
      <c r="D100" s="45" t="s">
        <v>610</v>
      </c>
      <c r="E100" s="46" t="s">
        <v>611</v>
      </c>
    </row>
    <row r="101" spans="1:5">
      <c r="A101" s="42" t="s">
        <v>612</v>
      </c>
      <c r="B101" s="33" t="s">
        <v>596</v>
      </c>
      <c r="C101" s="33" t="s">
        <v>613</v>
      </c>
      <c r="D101" s="45" t="s">
        <v>262</v>
      </c>
      <c r="E101" s="46" t="s">
        <v>614</v>
      </c>
    </row>
    <row r="102" spans="1:5">
      <c r="A102" s="42" t="s">
        <v>615</v>
      </c>
      <c r="B102" s="33" t="s">
        <v>596</v>
      </c>
      <c r="C102" s="33" t="s">
        <v>616</v>
      </c>
      <c r="D102" s="45" t="s">
        <v>617</v>
      </c>
      <c r="E102" s="46" t="s">
        <v>618</v>
      </c>
    </row>
    <row r="103" spans="1:5">
      <c r="A103" s="42" t="s">
        <v>619</v>
      </c>
      <c r="B103" s="33" t="s">
        <v>596</v>
      </c>
      <c r="C103" s="33" t="s">
        <v>620</v>
      </c>
      <c r="D103" s="45" t="s">
        <v>621</v>
      </c>
      <c r="E103" s="46" t="s">
        <v>622</v>
      </c>
    </row>
    <row r="104" spans="1:5">
      <c r="A104" s="42" t="s">
        <v>623</v>
      </c>
      <c r="B104" s="33" t="s">
        <v>596</v>
      </c>
      <c r="C104" s="33" t="s">
        <v>624</v>
      </c>
      <c r="D104" s="45" t="s">
        <v>625</v>
      </c>
      <c r="E104" s="46" t="s">
        <v>626</v>
      </c>
    </row>
    <row r="105" spans="1:5">
      <c r="A105" s="42" t="s">
        <v>627</v>
      </c>
      <c r="B105" s="33" t="s">
        <v>596</v>
      </c>
      <c r="C105" s="33" t="s">
        <v>628</v>
      </c>
      <c r="D105" s="45" t="s">
        <v>629</v>
      </c>
      <c r="E105" s="46" t="s">
        <v>630</v>
      </c>
    </row>
    <row r="106" spans="1:5">
      <c r="A106" s="42" t="s">
        <v>631</v>
      </c>
      <c r="B106" s="33" t="s">
        <v>596</v>
      </c>
      <c r="C106" s="33" t="s">
        <v>632</v>
      </c>
      <c r="D106" s="45" t="s">
        <v>633</v>
      </c>
      <c r="E106" s="46" t="s">
        <v>634</v>
      </c>
    </row>
    <row r="107" spans="1:5">
      <c r="A107" s="42" t="s">
        <v>635</v>
      </c>
      <c r="B107" s="33" t="s">
        <v>596</v>
      </c>
      <c r="C107" s="33" t="s">
        <v>636</v>
      </c>
      <c r="D107" s="45" t="s">
        <v>637</v>
      </c>
      <c r="E107" s="46" t="s">
        <v>638</v>
      </c>
    </row>
    <row r="108" spans="1:5">
      <c r="A108" s="42" t="s">
        <v>639</v>
      </c>
      <c r="B108" s="33" t="s">
        <v>596</v>
      </c>
      <c r="C108" s="33" t="s">
        <v>640</v>
      </c>
      <c r="D108" s="45" t="s">
        <v>641</v>
      </c>
      <c r="E108" s="46" t="s">
        <v>642</v>
      </c>
    </row>
    <row r="109" spans="1:5">
      <c r="A109" s="42" t="s">
        <v>643</v>
      </c>
      <c r="B109" s="33" t="s">
        <v>596</v>
      </c>
      <c r="C109" s="33" t="s">
        <v>644</v>
      </c>
      <c r="D109" s="45" t="s">
        <v>645</v>
      </c>
      <c r="E109" s="46" t="s">
        <v>646</v>
      </c>
    </row>
    <row r="110" spans="1:5">
      <c r="A110" s="42" t="s">
        <v>647</v>
      </c>
      <c r="B110" s="33" t="s">
        <v>596</v>
      </c>
      <c r="C110" s="33" t="s">
        <v>648</v>
      </c>
      <c r="D110" s="45" t="s">
        <v>263</v>
      </c>
      <c r="E110" s="46" t="s">
        <v>649</v>
      </c>
    </row>
    <row r="111" spans="1:5">
      <c r="A111" s="42" t="s">
        <v>650</v>
      </c>
      <c r="B111" s="33" t="s">
        <v>596</v>
      </c>
      <c r="C111" s="33" t="s">
        <v>651</v>
      </c>
      <c r="D111" s="45" t="s">
        <v>259</v>
      </c>
      <c r="E111" s="46" t="s">
        <v>652</v>
      </c>
    </row>
    <row r="112" spans="1:5">
      <c r="A112" s="42" t="s">
        <v>653</v>
      </c>
      <c r="B112" s="33" t="s">
        <v>596</v>
      </c>
      <c r="C112" s="33" t="s">
        <v>654</v>
      </c>
      <c r="D112" s="45" t="s">
        <v>258</v>
      </c>
      <c r="E112" s="46" t="s">
        <v>655</v>
      </c>
    </row>
    <row r="113" spans="1:5">
      <c r="A113" s="42" t="s">
        <v>656</v>
      </c>
      <c r="B113" s="33" t="s">
        <v>596</v>
      </c>
      <c r="C113" s="33" t="s">
        <v>657</v>
      </c>
      <c r="D113" s="45" t="s">
        <v>658</v>
      </c>
      <c r="E113" s="46" t="s">
        <v>659</v>
      </c>
    </row>
    <row r="114" spans="1:5">
      <c r="A114" s="42" t="s">
        <v>660</v>
      </c>
      <c r="B114" s="33" t="s">
        <v>596</v>
      </c>
      <c r="C114" s="33" t="s">
        <v>661</v>
      </c>
      <c r="D114" s="45" t="s">
        <v>261</v>
      </c>
      <c r="E114" s="46" t="s">
        <v>662</v>
      </c>
    </row>
    <row r="115" spans="1:5">
      <c r="A115" s="42" t="s">
        <v>663</v>
      </c>
      <c r="B115" s="33" t="s">
        <v>596</v>
      </c>
      <c r="C115" s="33" t="s">
        <v>664</v>
      </c>
      <c r="D115" s="45" t="s">
        <v>260</v>
      </c>
      <c r="E115" s="46" t="s">
        <v>665</v>
      </c>
    </row>
    <row r="116" spans="1:5">
      <c r="A116" s="42" t="s">
        <v>666</v>
      </c>
      <c r="B116" s="33" t="s">
        <v>596</v>
      </c>
      <c r="C116" s="33" t="s">
        <v>667</v>
      </c>
      <c r="D116" s="45" t="s">
        <v>257</v>
      </c>
      <c r="E116" s="46" t="s">
        <v>668</v>
      </c>
    </row>
    <row r="117" spans="1:5">
      <c r="A117" s="42" t="s">
        <v>669</v>
      </c>
      <c r="B117" s="33" t="s">
        <v>670</v>
      </c>
      <c r="C117" s="33" t="s">
        <v>671</v>
      </c>
      <c r="D117" s="45" t="s">
        <v>264</v>
      </c>
      <c r="E117" s="46" t="s">
        <v>672</v>
      </c>
    </row>
    <row r="118" spans="1:5">
      <c r="A118" s="42" t="s">
        <v>673</v>
      </c>
      <c r="B118" s="33" t="s">
        <v>670</v>
      </c>
      <c r="C118" s="33" t="s">
        <v>674</v>
      </c>
      <c r="D118" s="45" t="s">
        <v>265</v>
      </c>
      <c r="E118" s="46" t="s">
        <v>675</v>
      </c>
    </row>
    <row r="119" spans="1:5">
      <c r="A119" s="42" t="s">
        <v>676</v>
      </c>
      <c r="B119" s="33" t="s">
        <v>670</v>
      </c>
      <c r="C119" s="33" t="s">
        <v>677</v>
      </c>
      <c r="D119" s="45" t="s">
        <v>678</v>
      </c>
      <c r="E119" s="46" t="s">
        <v>679</v>
      </c>
    </row>
    <row r="120" spans="1:5">
      <c r="A120" s="42" t="s">
        <v>680</v>
      </c>
      <c r="B120" s="33" t="s">
        <v>670</v>
      </c>
      <c r="C120" s="33" t="s">
        <v>681</v>
      </c>
      <c r="D120" s="45" t="s">
        <v>266</v>
      </c>
      <c r="E120" s="46" t="s">
        <v>682</v>
      </c>
    </row>
    <row r="121" spans="1:5">
      <c r="A121" s="42" t="s">
        <v>683</v>
      </c>
      <c r="B121" s="33" t="s">
        <v>670</v>
      </c>
      <c r="C121" s="33" t="s">
        <v>684</v>
      </c>
      <c r="D121" s="45" t="s">
        <v>685</v>
      </c>
      <c r="E121" s="46" t="s">
        <v>686</v>
      </c>
    </row>
    <row r="122" spans="1:5">
      <c r="A122" s="42" t="s">
        <v>687</v>
      </c>
      <c r="B122" s="33" t="s">
        <v>670</v>
      </c>
      <c r="C122" s="33" t="s">
        <v>688</v>
      </c>
      <c r="D122" s="45" t="s">
        <v>689</v>
      </c>
      <c r="E122" s="46" t="s">
        <v>690</v>
      </c>
    </row>
    <row r="123" spans="1:5">
      <c r="A123" s="42" t="s">
        <v>691</v>
      </c>
      <c r="B123" s="33" t="s">
        <v>670</v>
      </c>
      <c r="C123" s="33" t="s">
        <v>692</v>
      </c>
      <c r="D123" s="45" t="s">
        <v>267</v>
      </c>
      <c r="E123" s="46" t="s">
        <v>693</v>
      </c>
    </row>
    <row r="124" spans="1:5">
      <c r="A124" s="42" t="s">
        <v>694</v>
      </c>
      <c r="B124" s="33" t="s">
        <v>670</v>
      </c>
      <c r="C124" s="33" t="s">
        <v>695</v>
      </c>
      <c r="D124" s="45" t="s">
        <v>696</v>
      </c>
      <c r="E124" s="46" t="s">
        <v>693</v>
      </c>
    </row>
    <row r="125" spans="1:5">
      <c r="A125" s="42" t="s">
        <v>697</v>
      </c>
      <c r="B125" s="33" t="s">
        <v>670</v>
      </c>
      <c r="C125" s="33" t="s">
        <v>698</v>
      </c>
      <c r="D125" s="45" t="s">
        <v>699</v>
      </c>
      <c r="E125" s="46" t="s">
        <v>700</v>
      </c>
    </row>
    <row r="126" spans="1:5">
      <c r="A126" s="42" t="s">
        <v>701</v>
      </c>
      <c r="B126" s="33" t="s">
        <v>670</v>
      </c>
      <c r="C126" s="33" t="s">
        <v>702</v>
      </c>
      <c r="D126" s="45" t="s">
        <v>703</v>
      </c>
      <c r="E126" s="46" t="s">
        <v>704</v>
      </c>
    </row>
    <row r="127" spans="1:5">
      <c r="A127" s="42" t="s">
        <v>705</v>
      </c>
      <c r="B127" s="33" t="s">
        <v>670</v>
      </c>
      <c r="C127" s="33" t="s">
        <v>706</v>
      </c>
      <c r="D127" s="45" t="s">
        <v>269</v>
      </c>
      <c r="E127" s="46" t="s">
        <v>707</v>
      </c>
    </row>
    <row r="128" spans="1:5">
      <c r="A128" s="42" t="s">
        <v>708</v>
      </c>
      <c r="B128" s="33" t="s">
        <v>670</v>
      </c>
      <c r="C128" s="33" t="s">
        <v>709</v>
      </c>
      <c r="D128" s="45" t="s">
        <v>710</v>
      </c>
      <c r="E128" s="46" t="s">
        <v>711</v>
      </c>
    </row>
    <row r="129" spans="1:5">
      <c r="A129" s="42" t="s">
        <v>712</v>
      </c>
      <c r="B129" s="33" t="s">
        <v>670</v>
      </c>
      <c r="C129" s="33" t="s">
        <v>713</v>
      </c>
      <c r="D129" s="45" t="s">
        <v>268</v>
      </c>
      <c r="E129" s="46" t="s">
        <v>714</v>
      </c>
    </row>
    <row r="130" spans="1:5">
      <c r="A130" s="42" t="s">
        <v>715</v>
      </c>
      <c r="B130" s="33" t="s">
        <v>670</v>
      </c>
      <c r="C130" s="33" t="s">
        <v>716</v>
      </c>
      <c r="D130" s="45" t="s">
        <v>717</v>
      </c>
      <c r="E130" s="46" t="s">
        <v>718</v>
      </c>
    </row>
    <row r="131" spans="1:5">
      <c r="A131" s="42" t="s">
        <v>719</v>
      </c>
      <c r="B131" s="33" t="s">
        <v>720</v>
      </c>
      <c r="C131" s="33" t="s">
        <v>721</v>
      </c>
      <c r="D131" s="45" t="s">
        <v>722</v>
      </c>
      <c r="E131" s="46" t="s">
        <v>723</v>
      </c>
    </row>
    <row r="132" spans="1:5">
      <c r="A132" s="42" t="s">
        <v>724</v>
      </c>
      <c r="B132" s="33" t="s">
        <v>720</v>
      </c>
      <c r="C132" s="33" t="s">
        <v>725</v>
      </c>
      <c r="D132" s="45" t="s">
        <v>726</v>
      </c>
      <c r="E132" s="46" t="s">
        <v>727</v>
      </c>
    </row>
    <row r="133" spans="1:5">
      <c r="A133" s="42" t="s">
        <v>728</v>
      </c>
      <c r="B133" s="33" t="s">
        <v>720</v>
      </c>
      <c r="C133" s="33" t="s">
        <v>729</v>
      </c>
      <c r="D133" s="45" t="s">
        <v>730</v>
      </c>
      <c r="E133" s="46" t="s">
        <v>731</v>
      </c>
    </row>
    <row r="134" spans="1:5">
      <c r="A134" s="42" t="s">
        <v>732</v>
      </c>
      <c r="B134" s="33" t="s">
        <v>720</v>
      </c>
      <c r="C134" s="33" t="s">
        <v>733</v>
      </c>
      <c r="D134" s="45" t="s">
        <v>271</v>
      </c>
      <c r="E134" s="46" t="s">
        <v>734</v>
      </c>
    </row>
    <row r="135" spans="1:5">
      <c r="A135" s="42" t="s">
        <v>735</v>
      </c>
      <c r="B135" s="33" t="s">
        <v>720</v>
      </c>
      <c r="C135" s="33" t="s">
        <v>736</v>
      </c>
      <c r="D135" s="45" t="s">
        <v>273</v>
      </c>
      <c r="E135" s="46" t="s">
        <v>737</v>
      </c>
    </row>
    <row r="136" spans="1:5">
      <c r="A136" s="42" t="s">
        <v>738</v>
      </c>
      <c r="B136" s="33" t="s">
        <v>720</v>
      </c>
      <c r="C136" s="33" t="s">
        <v>739</v>
      </c>
      <c r="D136" s="45" t="s">
        <v>740</v>
      </c>
      <c r="E136" s="46" t="s">
        <v>741</v>
      </c>
    </row>
    <row r="137" spans="1:5">
      <c r="A137" s="42" t="s">
        <v>742</v>
      </c>
      <c r="B137" s="33" t="s">
        <v>720</v>
      </c>
      <c r="C137" s="33" t="s">
        <v>743</v>
      </c>
      <c r="D137" s="45" t="s">
        <v>744</v>
      </c>
      <c r="E137" s="46" t="s">
        <v>745</v>
      </c>
    </row>
    <row r="138" spans="1:5">
      <c r="A138" s="42" t="s">
        <v>746</v>
      </c>
      <c r="B138" s="33" t="s">
        <v>720</v>
      </c>
      <c r="C138" s="33" t="s">
        <v>747</v>
      </c>
      <c r="D138" s="45" t="s">
        <v>748</v>
      </c>
      <c r="E138" s="46" t="s">
        <v>749</v>
      </c>
    </row>
    <row r="139" spans="1:5">
      <c r="A139" s="42" t="s">
        <v>750</v>
      </c>
      <c r="B139" s="33" t="s">
        <v>720</v>
      </c>
      <c r="C139" s="33" t="s">
        <v>751</v>
      </c>
      <c r="D139" s="45" t="s">
        <v>752</v>
      </c>
      <c r="E139" s="46" t="s">
        <v>753</v>
      </c>
    </row>
    <row r="140" spans="1:5">
      <c r="A140" s="42" t="s">
        <v>754</v>
      </c>
      <c r="B140" s="33" t="s">
        <v>720</v>
      </c>
      <c r="C140" s="33" t="s">
        <v>755</v>
      </c>
      <c r="D140" s="45" t="s">
        <v>272</v>
      </c>
      <c r="E140" s="46" t="s">
        <v>756</v>
      </c>
    </row>
    <row r="141" spans="1:5">
      <c r="A141" s="42" t="s">
        <v>757</v>
      </c>
      <c r="B141" s="33" t="s">
        <v>720</v>
      </c>
      <c r="C141" s="33" t="s">
        <v>758</v>
      </c>
      <c r="D141" s="45" t="s">
        <v>759</v>
      </c>
      <c r="E141" s="46" t="s">
        <v>760</v>
      </c>
    </row>
    <row r="142" spans="1:5">
      <c r="A142" s="42" t="s">
        <v>761</v>
      </c>
      <c r="B142" s="33" t="s">
        <v>720</v>
      </c>
      <c r="C142" s="33" t="s">
        <v>762</v>
      </c>
      <c r="D142" s="45" t="s">
        <v>763</v>
      </c>
      <c r="E142" s="46" t="s">
        <v>764</v>
      </c>
    </row>
    <row r="143" spans="1:5">
      <c r="A143" s="42" t="s">
        <v>765</v>
      </c>
      <c r="B143" s="33" t="s">
        <v>720</v>
      </c>
      <c r="C143" s="33" t="s">
        <v>766</v>
      </c>
      <c r="D143" s="45" t="s">
        <v>270</v>
      </c>
      <c r="E143" s="46" t="s">
        <v>767</v>
      </c>
    </row>
    <row r="144" spans="1:5">
      <c r="A144" s="42" t="s">
        <v>768</v>
      </c>
      <c r="B144" s="33" t="s">
        <v>769</v>
      </c>
      <c r="C144" s="33" t="s">
        <v>770</v>
      </c>
      <c r="D144" s="45" t="s">
        <v>771</v>
      </c>
      <c r="E144" s="46" t="s">
        <v>772</v>
      </c>
    </row>
    <row r="145" spans="1:5">
      <c r="A145" s="42" t="s">
        <v>773</v>
      </c>
      <c r="B145" s="33" t="s">
        <v>769</v>
      </c>
      <c r="C145" s="33" t="s">
        <v>774</v>
      </c>
      <c r="D145" s="45" t="s">
        <v>775</v>
      </c>
      <c r="E145" s="46" t="s">
        <v>776</v>
      </c>
    </row>
    <row r="146" spans="1:5">
      <c r="A146" s="42" t="s">
        <v>777</v>
      </c>
      <c r="B146" s="33" t="s">
        <v>769</v>
      </c>
      <c r="C146" s="33" t="s">
        <v>778</v>
      </c>
      <c r="D146" s="45" t="s">
        <v>779</v>
      </c>
      <c r="E146" s="46" t="s">
        <v>780</v>
      </c>
    </row>
    <row r="147" spans="1:5">
      <c r="A147" s="42" t="s">
        <v>781</v>
      </c>
      <c r="B147" s="33" t="s">
        <v>769</v>
      </c>
      <c r="C147" s="33" t="s">
        <v>782</v>
      </c>
      <c r="D147" s="45" t="s">
        <v>279</v>
      </c>
      <c r="E147" s="46" t="s">
        <v>783</v>
      </c>
    </row>
    <row r="148" spans="1:5">
      <c r="A148" s="42" t="s">
        <v>784</v>
      </c>
      <c r="B148" s="33" t="s">
        <v>769</v>
      </c>
      <c r="C148" s="33" t="s">
        <v>785</v>
      </c>
      <c r="D148" s="45" t="s">
        <v>274</v>
      </c>
      <c r="E148" s="46" t="s">
        <v>786</v>
      </c>
    </row>
    <row r="149" spans="1:5">
      <c r="A149" s="42" t="s">
        <v>787</v>
      </c>
      <c r="B149" s="33" t="s">
        <v>769</v>
      </c>
      <c r="C149" s="33" t="s">
        <v>788</v>
      </c>
      <c r="D149" s="45" t="s">
        <v>275</v>
      </c>
      <c r="E149" s="46" t="s">
        <v>789</v>
      </c>
    </row>
    <row r="150" spans="1:5">
      <c r="A150" s="42" t="s">
        <v>790</v>
      </c>
      <c r="B150" s="33" t="s">
        <v>769</v>
      </c>
      <c r="C150" s="33" t="s">
        <v>791</v>
      </c>
      <c r="D150" s="45" t="s">
        <v>792</v>
      </c>
      <c r="E150" s="46" t="s">
        <v>793</v>
      </c>
    </row>
    <row r="151" spans="1:5">
      <c r="A151" s="42" t="s">
        <v>794</v>
      </c>
      <c r="B151" s="33" t="s">
        <v>769</v>
      </c>
      <c r="C151" s="33" t="s">
        <v>795</v>
      </c>
      <c r="D151" s="45" t="s">
        <v>796</v>
      </c>
      <c r="E151" s="46" t="s">
        <v>797</v>
      </c>
    </row>
    <row r="152" spans="1:5">
      <c r="A152" s="42" t="s">
        <v>798</v>
      </c>
      <c r="B152" s="33" t="s">
        <v>769</v>
      </c>
      <c r="C152" s="33" t="s">
        <v>799</v>
      </c>
      <c r="D152" s="45" t="s">
        <v>800</v>
      </c>
      <c r="E152" s="46" t="s">
        <v>801</v>
      </c>
    </row>
    <row r="153" spans="1:5">
      <c r="A153" s="42" t="s">
        <v>802</v>
      </c>
      <c r="B153" s="33" t="s">
        <v>769</v>
      </c>
      <c r="C153" s="33" t="s">
        <v>803</v>
      </c>
      <c r="D153" s="45" t="s">
        <v>804</v>
      </c>
      <c r="E153" s="46" t="s">
        <v>805</v>
      </c>
    </row>
    <row r="154" spans="1:5">
      <c r="A154" s="42" t="s">
        <v>806</v>
      </c>
      <c r="B154" s="33" t="s">
        <v>769</v>
      </c>
      <c r="C154" s="33" t="s">
        <v>807</v>
      </c>
      <c r="D154" s="45" t="s">
        <v>808</v>
      </c>
      <c r="E154" s="46" t="s">
        <v>809</v>
      </c>
    </row>
    <row r="155" spans="1:5">
      <c r="A155" s="42" t="s">
        <v>810</v>
      </c>
      <c r="B155" s="33" t="s">
        <v>769</v>
      </c>
      <c r="C155" s="33" t="s">
        <v>811</v>
      </c>
      <c r="D155" s="45" t="s">
        <v>812</v>
      </c>
      <c r="E155" s="46" t="s">
        <v>813</v>
      </c>
    </row>
    <row r="156" spans="1:5">
      <c r="A156" s="42" t="s">
        <v>814</v>
      </c>
      <c r="B156" s="33" t="s">
        <v>769</v>
      </c>
      <c r="C156" s="33" t="s">
        <v>815</v>
      </c>
      <c r="D156" s="45" t="s">
        <v>816</v>
      </c>
      <c r="E156" s="46" t="s">
        <v>817</v>
      </c>
    </row>
    <row r="157" spans="1:5">
      <c r="A157" s="42" t="s">
        <v>818</v>
      </c>
      <c r="B157" s="33" t="s">
        <v>769</v>
      </c>
      <c r="C157" s="33" t="s">
        <v>819</v>
      </c>
      <c r="D157" s="45" t="s">
        <v>820</v>
      </c>
      <c r="E157" s="46" t="s">
        <v>821</v>
      </c>
    </row>
    <row r="158" spans="1:5">
      <c r="A158" s="42" t="s">
        <v>822</v>
      </c>
      <c r="B158" s="33" t="s">
        <v>769</v>
      </c>
      <c r="C158" s="33" t="s">
        <v>823</v>
      </c>
      <c r="D158" s="45" t="s">
        <v>824</v>
      </c>
      <c r="E158" s="46" t="s">
        <v>825</v>
      </c>
    </row>
    <row r="159" spans="1:5">
      <c r="A159" s="42" t="s">
        <v>826</v>
      </c>
      <c r="B159" s="33" t="s">
        <v>769</v>
      </c>
      <c r="C159" s="33" t="s">
        <v>827</v>
      </c>
      <c r="D159" s="45" t="s">
        <v>828</v>
      </c>
      <c r="E159" s="46" t="s">
        <v>829</v>
      </c>
    </row>
    <row r="160" spans="1:5">
      <c r="A160" s="42" t="s">
        <v>830</v>
      </c>
      <c r="B160" s="33" t="s">
        <v>769</v>
      </c>
      <c r="C160" s="33" t="s">
        <v>831</v>
      </c>
      <c r="D160" s="45" t="s">
        <v>276</v>
      </c>
      <c r="E160" s="46" t="s">
        <v>832</v>
      </c>
    </row>
    <row r="161" spans="1:5">
      <c r="A161" s="42" t="s">
        <v>833</v>
      </c>
      <c r="B161" s="33" t="s">
        <v>769</v>
      </c>
      <c r="C161" s="33" t="s">
        <v>834</v>
      </c>
      <c r="D161" s="45" t="s">
        <v>835</v>
      </c>
      <c r="E161" s="46" t="s">
        <v>836</v>
      </c>
    </row>
    <row r="162" spans="1:5">
      <c r="A162" s="42" t="s">
        <v>837</v>
      </c>
      <c r="B162" s="33" t="s">
        <v>838</v>
      </c>
      <c r="C162" s="33" t="s">
        <v>839</v>
      </c>
      <c r="D162" s="45" t="s">
        <v>840</v>
      </c>
      <c r="E162" s="46" t="s">
        <v>841</v>
      </c>
    </row>
    <row r="163" spans="1:5">
      <c r="A163" s="42" t="s">
        <v>842</v>
      </c>
      <c r="B163" s="33" t="s">
        <v>838</v>
      </c>
      <c r="C163" s="33" t="s">
        <v>843</v>
      </c>
      <c r="D163" s="45" t="s">
        <v>277</v>
      </c>
      <c r="E163" s="46" t="s">
        <v>844</v>
      </c>
    </row>
    <row r="164" spans="1:5">
      <c r="A164" s="42" t="s">
        <v>845</v>
      </c>
      <c r="B164" s="33" t="s">
        <v>838</v>
      </c>
      <c r="C164" s="33" t="s">
        <v>846</v>
      </c>
      <c r="D164" s="45" t="s">
        <v>847</v>
      </c>
      <c r="E164" s="46" t="s">
        <v>848</v>
      </c>
    </row>
    <row r="165" spans="1:5">
      <c r="A165" s="42" t="s">
        <v>849</v>
      </c>
      <c r="B165" s="33" t="s">
        <v>838</v>
      </c>
      <c r="C165" s="33" t="s">
        <v>850</v>
      </c>
      <c r="D165" s="45" t="s">
        <v>851</v>
      </c>
      <c r="E165" s="46" t="s">
        <v>852</v>
      </c>
    </row>
    <row r="166" spans="1:5">
      <c r="A166" s="42" t="s">
        <v>853</v>
      </c>
      <c r="B166" s="33" t="s">
        <v>838</v>
      </c>
      <c r="C166" s="33" t="s">
        <v>854</v>
      </c>
      <c r="D166" s="45" t="s">
        <v>855</v>
      </c>
      <c r="E166" s="46" t="s">
        <v>856</v>
      </c>
    </row>
    <row r="167" spans="1:5">
      <c r="A167" s="42" t="s">
        <v>857</v>
      </c>
      <c r="B167" s="33" t="s">
        <v>838</v>
      </c>
      <c r="C167" s="33" t="s">
        <v>858</v>
      </c>
      <c r="D167" s="45" t="s">
        <v>859</v>
      </c>
      <c r="E167" s="46" t="s">
        <v>860</v>
      </c>
    </row>
    <row r="168" spans="1:5">
      <c r="A168" s="42" t="s">
        <v>861</v>
      </c>
      <c r="B168" s="33" t="s">
        <v>838</v>
      </c>
      <c r="C168" s="33" t="s">
        <v>862</v>
      </c>
      <c r="D168" s="45" t="s">
        <v>863</v>
      </c>
      <c r="E168" s="46" t="s">
        <v>864</v>
      </c>
    </row>
    <row r="169" spans="1:5">
      <c r="A169" s="42" t="s">
        <v>865</v>
      </c>
      <c r="B169" s="33" t="s">
        <v>838</v>
      </c>
      <c r="C169" s="33" t="s">
        <v>866</v>
      </c>
      <c r="D169" s="45" t="s">
        <v>867</v>
      </c>
      <c r="E169" s="46" t="s">
        <v>868</v>
      </c>
    </row>
    <row r="170" spans="1:5">
      <c r="A170" s="42" t="s">
        <v>869</v>
      </c>
      <c r="B170" s="33" t="s">
        <v>838</v>
      </c>
      <c r="C170" s="33" t="s">
        <v>870</v>
      </c>
      <c r="D170" s="45" t="s">
        <v>871</v>
      </c>
      <c r="E170" s="46" t="s">
        <v>872</v>
      </c>
    </row>
    <row r="171" spans="1:5">
      <c r="A171" s="42" t="s">
        <v>873</v>
      </c>
      <c r="B171" s="33" t="s">
        <v>838</v>
      </c>
      <c r="C171" s="33" t="s">
        <v>874</v>
      </c>
      <c r="D171" s="45" t="s">
        <v>875</v>
      </c>
      <c r="E171" s="46" t="s">
        <v>876</v>
      </c>
    </row>
    <row r="172" spans="1:5">
      <c r="A172" s="42" t="s">
        <v>877</v>
      </c>
      <c r="B172" s="33" t="s">
        <v>838</v>
      </c>
      <c r="C172" s="33" t="s">
        <v>878</v>
      </c>
      <c r="D172" s="45" t="s">
        <v>879</v>
      </c>
      <c r="E172" s="46" t="s">
        <v>880</v>
      </c>
    </row>
    <row r="173" spans="1:5">
      <c r="A173" s="42" t="s">
        <v>881</v>
      </c>
      <c r="B173" s="33" t="s">
        <v>838</v>
      </c>
      <c r="C173" s="33" t="s">
        <v>882</v>
      </c>
      <c r="D173" s="45" t="s">
        <v>278</v>
      </c>
      <c r="E173" s="46" t="s">
        <v>883</v>
      </c>
    </row>
    <row r="174" spans="1:5">
      <c r="A174" s="42" t="s">
        <v>884</v>
      </c>
      <c r="B174" s="33" t="s">
        <v>838</v>
      </c>
      <c r="C174" s="33" t="s">
        <v>885</v>
      </c>
      <c r="D174" s="45" t="s">
        <v>886</v>
      </c>
      <c r="E174" s="46" t="s">
        <v>887</v>
      </c>
    </row>
    <row r="175" spans="1:5">
      <c r="A175" s="42" t="s">
        <v>888</v>
      </c>
      <c r="B175" s="33" t="s">
        <v>474</v>
      </c>
      <c r="C175" s="33" t="s">
        <v>889</v>
      </c>
      <c r="D175" s="45" t="s">
        <v>890</v>
      </c>
      <c r="E175" s="46" t="s">
        <v>891</v>
      </c>
    </row>
    <row r="176" spans="1:5">
      <c r="A176" s="42" t="s">
        <v>892</v>
      </c>
      <c r="B176" s="33" t="s">
        <v>474</v>
      </c>
      <c r="C176" s="33" t="s">
        <v>893</v>
      </c>
      <c r="D176" s="45" t="s">
        <v>894</v>
      </c>
      <c r="E176" s="46" t="s">
        <v>895</v>
      </c>
    </row>
    <row r="177" spans="1:5">
      <c r="A177" s="42" t="s">
        <v>896</v>
      </c>
      <c r="B177" s="33" t="s">
        <v>474</v>
      </c>
      <c r="C177" s="33" t="s">
        <v>897</v>
      </c>
      <c r="D177" s="45" t="s">
        <v>898</v>
      </c>
      <c r="E177" s="46" t="s">
        <v>899</v>
      </c>
    </row>
    <row r="178" spans="1:5">
      <c r="A178" s="42" t="s">
        <v>900</v>
      </c>
      <c r="B178" s="33" t="s">
        <v>474</v>
      </c>
      <c r="C178" s="33" t="s">
        <v>901</v>
      </c>
      <c r="D178" s="45" t="s">
        <v>902</v>
      </c>
      <c r="E178" s="46" t="s">
        <v>903</v>
      </c>
    </row>
    <row r="179" spans="1:5">
      <c r="A179" s="42" t="s">
        <v>904</v>
      </c>
      <c r="B179" s="33" t="s">
        <v>474</v>
      </c>
      <c r="C179" s="33" t="s">
        <v>905</v>
      </c>
      <c r="D179" s="45" t="s">
        <v>906</v>
      </c>
      <c r="E179" s="46" t="s">
        <v>907</v>
      </c>
    </row>
    <row r="180" spans="1:5">
      <c r="A180" s="42" t="s">
        <v>908</v>
      </c>
      <c r="B180" s="33" t="s">
        <v>474</v>
      </c>
      <c r="C180" s="33" t="s">
        <v>909</v>
      </c>
      <c r="D180" s="45" t="s">
        <v>910</v>
      </c>
      <c r="E180" s="46" t="s">
        <v>911</v>
      </c>
    </row>
    <row r="181" spans="1:5">
      <c r="A181" s="42" t="s">
        <v>912</v>
      </c>
      <c r="B181" s="33" t="s">
        <v>552</v>
      </c>
      <c r="C181" s="33" t="s">
        <v>913</v>
      </c>
      <c r="D181" s="45" t="s">
        <v>914</v>
      </c>
      <c r="E181" s="46" t="s">
        <v>915</v>
      </c>
    </row>
    <row r="182" spans="1:5">
      <c r="A182" s="42" t="s">
        <v>916</v>
      </c>
      <c r="B182" s="33" t="s">
        <v>552</v>
      </c>
      <c r="C182" s="33" t="s">
        <v>917</v>
      </c>
      <c r="D182" s="45" t="s">
        <v>918</v>
      </c>
      <c r="E182" s="46" t="s">
        <v>569</v>
      </c>
    </row>
    <row r="183" spans="1:5">
      <c r="A183" s="42" t="s">
        <v>919</v>
      </c>
      <c r="B183" s="33" t="s">
        <v>552</v>
      </c>
      <c r="C183" s="33" t="s">
        <v>920</v>
      </c>
      <c r="D183" s="45" t="s">
        <v>921</v>
      </c>
      <c r="E183" s="46" t="s">
        <v>572</v>
      </c>
    </row>
    <row r="184" spans="1:5">
      <c r="A184" s="42" t="s">
        <v>922</v>
      </c>
      <c r="B184" s="33" t="s">
        <v>596</v>
      </c>
      <c r="C184" s="33" t="s">
        <v>923</v>
      </c>
      <c r="D184" s="45" t="s">
        <v>924</v>
      </c>
      <c r="E184" s="46" t="s">
        <v>925</v>
      </c>
    </row>
    <row r="185" spans="1:5">
      <c r="A185" s="42" t="s">
        <v>926</v>
      </c>
      <c r="B185" s="33" t="s">
        <v>596</v>
      </c>
      <c r="C185" s="33" t="s">
        <v>927</v>
      </c>
      <c r="D185" s="45" t="s">
        <v>928</v>
      </c>
      <c r="E185" s="46" t="s">
        <v>929</v>
      </c>
    </row>
    <row r="186" spans="1:5">
      <c r="A186" s="42" t="s">
        <v>930</v>
      </c>
      <c r="B186" s="33" t="s">
        <v>769</v>
      </c>
      <c r="C186" s="33" t="s">
        <v>931</v>
      </c>
      <c r="D186" s="45" t="s">
        <v>932</v>
      </c>
      <c r="E186" s="46" t="s">
        <v>933</v>
      </c>
    </row>
    <row r="187" spans="1:5">
      <c r="A187" s="42" t="s">
        <v>934</v>
      </c>
      <c r="B187" s="33" t="s">
        <v>769</v>
      </c>
      <c r="C187" s="33" t="s">
        <v>935</v>
      </c>
      <c r="D187" s="45" t="s">
        <v>936</v>
      </c>
      <c r="E187" s="46" t="s">
        <v>937</v>
      </c>
    </row>
    <row r="188" spans="1:5">
      <c r="A188" s="42" t="s">
        <v>938</v>
      </c>
      <c r="B188" s="33" t="s">
        <v>720</v>
      </c>
      <c r="C188" s="33" t="s">
        <v>939</v>
      </c>
      <c r="D188" s="45" t="s">
        <v>940</v>
      </c>
      <c r="E188" s="46" t="s">
        <v>941</v>
      </c>
    </row>
    <row r="189" spans="1:5">
      <c r="A189" s="42" t="s">
        <v>942</v>
      </c>
      <c r="B189" s="33" t="s">
        <v>838</v>
      </c>
      <c r="C189" s="33" t="s">
        <v>943</v>
      </c>
      <c r="D189" s="45" t="s">
        <v>944</v>
      </c>
      <c r="E189" s="46" t="s">
        <v>887</v>
      </c>
    </row>
  </sheetData>
  <autoFilter ref="A4:E189" xr:uid="{310581F7-ECDF-C64A-A7B0-C540D55B3FA1}"/>
  <phoneticPr fontId="2"/>
  <conditionalFormatting sqref="A5:E189">
    <cfRule type="expression" dxfId="42" priority="1">
      <formula>$B5="U2 Keycloak論理"</formula>
    </cfRule>
    <cfRule type="expression" dxfId="41" priority="2">
      <formula>$B5="U3 ID・プロビジョニング"</formula>
    </cfRule>
    <cfRule type="expression" dxfId="40" priority="3">
      <formula>$B5="U5 トークン・認可"</formula>
    </cfRule>
    <cfRule type="expression" dxfId="39" priority="4">
      <formula>$B5="U4 認証体験・UX"</formula>
    </cfRule>
    <cfRule type="expression" dxfId="38" priority="5">
      <formula>$B5="U7 セキュリティ"</formula>
    </cfRule>
    <cfRule type="expression" dxfId="37" priority="6">
      <formula>$B5="U8 可用性・DR"</formula>
    </cfRule>
    <cfRule type="expression" dxfId="36" priority="7">
      <formula>$B5="U6 インフラ・NW"</formula>
    </cfRule>
    <cfRule type="expression" dxfId="35" priority="8">
      <formula>$B5="U9 運用・監視・IaC"</formula>
    </cfRule>
    <cfRule type="expression" dxfId="34" priority="9">
      <formula>$B5="U10 連携・移行"</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DEADF9-EFAE-A14D-BC4F-3F04ADDCB1E4}">
  <dimension ref="A1:I72"/>
  <sheetViews>
    <sheetView workbookViewId="0">
      <pane ySplit="5" topLeftCell="A6" activePane="bottomLeft" state="frozen"/>
      <selection pane="bottomLeft" activeCell="F30" sqref="F30"/>
    </sheetView>
  </sheetViews>
  <sheetFormatPr baseColWidth="10" defaultRowHeight="20"/>
  <cols>
    <col min="1" max="1" width="13.5703125" customWidth="1"/>
    <col min="2" max="2" width="60" customWidth="1"/>
    <col min="3" max="3" width="21.42578125" customWidth="1"/>
    <col min="4" max="4" width="25.7109375" customWidth="1"/>
    <col min="5" max="5" width="88.5703125" customWidth="1"/>
    <col min="6" max="6" width="1.42578125" customWidth="1"/>
    <col min="7" max="7" width="27.140625" customWidth="1"/>
    <col min="8" max="8" width="10" customWidth="1"/>
    <col min="9" max="9" width="24.28515625" customWidth="1"/>
  </cols>
  <sheetData>
    <row r="1" spans="1:9" ht="25">
      <c r="A1" s="27" t="s">
        <v>952</v>
      </c>
    </row>
    <row r="2" spans="1:9">
      <c r="A2" s="1" t="s">
        <v>953</v>
      </c>
    </row>
    <row r="3" spans="1:9">
      <c r="A3" s="31" t="s">
        <v>1433</v>
      </c>
    </row>
    <row r="4" spans="1:9" ht="22" customHeight="1"/>
    <row r="5" spans="1:9" ht="22" customHeight="1">
      <c r="A5" s="5" t="s">
        <v>283</v>
      </c>
      <c r="B5" s="6" t="s">
        <v>284</v>
      </c>
      <c r="C5" s="6" t="s">
        <v>285</v>
      </c>
      <c r="D5" s="6" t="s">
        <v>954</v>
      </c>
      <c r="E5" s="7" t="s">
        <v>955</v>
      </c>
      <c r="G5" s="48" t="s">
        <v>1121</v>
      </c>
    </row>
    <row r="6" spans="1:9">
      <c r="A6" s="29" t="s">
        <v>956</v>
      </c>
      <c r="B6" s="3" t="s">
        <v>957</v>
      </c>
      <c r="C6" s="8" t="s">
        <v>958</v>
      </c>
      <c r="D6" s="53" t="s">
        <v>1122</v>
      </c>
      <c r="E6" s="51"/>
      <c r="G6" s="11" t="s">
        <v>285</v>
      </c>
      <c r="H6" s="13" t="s">
        <v>251</v>
      </c>
    </row>
    <row r="7" spans="1:9">
      <c r="A7" s="29" t="s">
        <v>959</v>
      </c>
      <c r="B7" s="3" t="s">
        <v>960</v>
      </c>
      <c r="C7" s="8" t="s">
        <v>958</v>
      </c>
      <c r="D7" s="53" t="s">
        <v>1122</v>
      </c>
      <c r="E7" s="51"/>
      <c r="G7" s="14" t="s">
        <v>969</v>
      </c>
      <c r="H7" s="49">
        <f t="shared" ref="H7:H12" si="0">COUNTIF($C$6:$C$72,$G7)</f>
        <v>48</v>
      </c>
    </row>
    <row r="8" spans="1:9">
      <c r="A8" s="29" t="s">
        <v>961</v>
      </c>
      <c r="B8" s="3" t="s">
        <v>962</v>
      </c>
      <c r="C8" s="8" t="s">
        <v>958</v>
      </c>
      <c r="D8" s="53" t="s">
        <v>1122</v>
      </c>
      <c r="E8" s="51"/>
      <c r="G8" s="14" t="s">
        <v>958</v>
      </c>
      <c r="H8" s="49">
        <f t="shared" si="0"/>
        <v>12</v>
      </c>
    </row>
    <row r="9" spans="1:9">
      <c r="A9" s="29" t="s">
        <v>963</v>
      </c>
      <c r="B9" s="3" t="s">
        <v>964</v>
      </c>
      <c r="C9" s="8" t="s">
        <v>958</v>
      </c>
      <c r="D9" s="53" t="s">
        <v>1122</v>
      </c>
      <c r="E9" s="51"/>
      <c r="G9" s="14" t="s">
        <v>1086</v>
      </c>
      <c r="H9" s="49">
        <f t="shared" si="0"/>
        <v>1</v>
      </c>
    </row>
    <row r="10" spans="1:9">
      <c r="A10" s="29" t="s">
        <v>965</v>
      </c>
      <c r="B10" s="3" t="s">
        <v>966</v>
      </c>
      <c r="C10" s="8" t="s">
        <v>958</v>
      </c>
      <c r="D10" s="53" t="s">
        <v>1122</v>
      </c>
      <c r="E10" s="51"/>
      <c r="G10" s="14" t="s">
        <v>1090</v>
      </c>
      <c r="H10" s="49">
        <f t="shared" si="0"/>
        <v>1</v>
      </c>
    </row>
    <row r="11" spans="1:9">
      <c r="A11" s="29" t="s">
        <v>967</v>
      </c>
      <c r="B11" s="3" t="s">
        <v>968</v>
      </c>
      <c r="C11" s="8" t="s">
        <v>969</v>
      </c>
      <c r="D11" s="53" t="s">
        <v>1122</v>
      </c>
      <c r="E11" s="51"/>
      <c r="G11" s="14" t="s">
        <v>1038</v>
      </c>
      <c r="H11" s="49">
        <f t="shared" si="0"/>
        <v>2</v>
      </c>
    </row>
    <row r="12" spans="1:9">
      <c r="A12" s="29" t="s">
        <v>970</v>
      </c>
      <c r="B12" s="3" t="s">
        <v>971</v>
      </c>
      <c r="C12" s="8" t="s">
        <v>958</v>
      </c>
      <c r="D12" s="53" t="s">
        <v>1123</v>
      </c>
      <c r="E12" s="51"/>
      <c r="G12" s="14" t="s">
        <v>1050</v>
      </c>
      <c r="H12" s="49">
        <f t="shared" si="0"/>
        <v>1</v>
      </c>
    </row>
    <row r="13" spans="1:9">
      <c r="A13" s="29" t="s">
        <v>972</v>
      </c>
      <c r="B13" s="3" t="s">
        <v>973</v>
      </c>
      <c r="C13" s="8" t="s">
        <v>958</v>
      </c>
      <c r="D13" s="53" t="s">
        <v>1124</v>
      </c>
      <c r="E13" s="51"/>
      <c r="G13" s="16" t="s">
        <v>3</v>
      </c>
      <c r="H13" s="50">
        <f>SUM(H7:H12)</f>
        <v>65</v>
      </c>
      <c r="I13" s="28" t="str">
        <f>IF(H13=COUNTA($A$6:$A$72),"✓ 明細行数と一致","⚠ 不一致")</f>
        <v>⚠ 不一致</v>
      </c>
    </row>
    <row r="14" spans="1:9">
      <c r="A14" s="29" t="s">
        <v>974</v>
      </c>
      <c r="B14" s="3" t="s">
        <v>975</v>
      </c>
      <c r="C14" s="8" t="s">
        <v>958</v>
      </c>
      <c r="D14" s="53" t="s">
        <v>1125</v>
      </c>
      <c r="E14" s="51"/>
    </row>
    <row r="15" spans="1:9">
      <c r="A15" s="29" t="s">
        <v>976</v>
      </c>
      <c r="B15" s="3" t="s">
        <v>977</v>
      </c>
      <c r="C15" s="8" t="s">
        <v>958</v>
      </c>
      <c r="D15" s="53" t="s">
        <v>1126</v>
      </c>
      <c r="E15" s="51"/>
    </row>
    <row r="16" spans="1:9">
      <c r="A16" s="29" t="s">
        <v>978</v>
      </c>
      <c r="B16" s="3" t="s">
        <v>979</v>
      </c>
      <c r="C16" s="8" t="s">
        <v>969</v>
      </c>
      <c r="D16" s="53" t="s">
        <v>1126</v>
      </c>
      <c r="E16" s="51" t="s">
        <v>980</v>
      </c>
    </row>
    <row r="17" spans="1:5">
      <c r="A17" s="29" t="s">
        <v>981</v>
      </c>
      <c r="B17" s="3" t="s">
        <v>982</v>
      </c>
      <c r="C17" s="8" t="s">
        <v>958</v>
      </c>
      <c r="D17" s="53" t="s">
        <v>1127</v>
      </c>
      <c r="E17" s="51"/>
    </row>
    <row r="18" spans="1:5">
      <c r="A18" s="29" t="s">
        <v>983</v>
      </c>
      <c r="B18" s="3" t="s">
        <v>984</v>
      </c>
      <c r="C18" s="8" t="s">
        <v>969</v>
      </c>
      <c r="D18" s="53" t="s">
        <v>1128</v>
      </c>
      <c r="E18" s="51"/>
    </row>
    <row r="19" spans="1:5">
      <c r="A19" s="29" t="s">
        <v>985</v>
      </c>
      <c r="B19" s="3" t="s">
        <v>986</v>
      </c>
      <c r="C19" s="8" t="s">
        <v>969</v>
      </c>
      <c r="D19" s="53" t="s">
        <v>1128</v>
      </c>
      <c r="E19" s="51"/>
    </row>
    <row r="20" spans="1:5">
      <c r="A20" s="29" t="s">
        <v>987</v>
      </c>
      <c r="B20" s="3" t="s">
        <v>988</v>
      </c>
      <c r="C20" s="8" t="s">
        <v>969</v>
      </c>
      <c r="D20" s="53" t="s">
        <v>1128</v>
      </c>
      <c r="E20" s="51"/>
    </row>
    <row r="21" spans="1:5">
      <c r="A21" s="29" t="s">
        <v>989</v>
      </c>
      <c r="B21" s="3" t="s">
        <v>990</v>
      </c>
      <c r="C21" s="8" t="s">
        <v>969</v>
      </c>
      <c r="D21" s="53" t="s">
        <v>1129</v>
      </c>
      <c r="E21" s="51" t="s">
        <v>991</v>
      </c>
    </row>
    <row r="22" spans="1:5">
      <c r="A22" s="29" t="s">
        <v>992</v>
      </c>
      <c r="B22" s="3" t="s">
        <v>993</v>
      </c>
      <c r="C22" s="8" t="s">
        <v>969</v>
      </c>
      <c r="D22" s="53" t="s">
        <v>994</v>
      </c>
      <c r="E22" s="51" t="s">
        <v>995</v>
      </c>
    </row>
    <row r="23" spans="1:5">
      <c r="A23" s="29" t="s">
        <v>996</v>
      </c>
      <c r="B23" s="3" t="s">
        <v>997</v>
      </c>
      <c r="C23" s="8" t="s">
        <v>969</v>
      </c>
      <c r="D23" s="53" t="s">
        <v>1130</v>
      </c>
      <c r="E23" s="51"/>
    </row>
    <row r="24" spans="1:5">
      <c r="A24" s="29" t="s">
        <v>998</v>
      </c>
      <c r="B24" s="3" t="s">
        <v>999</v>
      </c>
      <c r="C24" s="8" t="s">
        <v>969</v>
      </c>
      <c r="D24" s="53" t="s">
        <v>1130</v>
      </c>
      <c r="E24" s="51"/>
    </row>
    <row r="25" spans="1:5">
      <c r="A25" s="29" t="s">
        <v>1000</v>
      </c>
      <c r="B25" s="3" t="s">
        <v>1001</v>
      </c>
      <c r="C25" s="8" t="s">
        <v>969</v>
      </c>
      <c r="D25" s="53" t="s">
        <v>1130</v>
      </c>
      <c r="E25" s="51"/>
    </row>
    <row r="26" spans="1:5">
      <c r="A26" s="29" t="s">
        <v>1002</v>
      </c>
      <c r="B26" s="3" t="s">
        <v>1003</v>
      </c>
      <c r="C26" s="8" t="s">
        <v>969</v>
      </c>
      <c r="D26" s="53" t="s">
        <v>1130</v>
      </c>
      <c r="E26" s="51"/>
    </row>
    <row r="27" spans="1:5">
      <c r="A27" s="29" t="s">
        <v>1004</v>
      </c>
      <c r="B27" s="3" t="s">
        <v>1005</v>
      </c>
      <c r="C27" s="8" t="s">
        <v>969</v>
      </c>
      <c r="D27" s="53" t="s">
        <v>1130</v>
      </c>
      <c r="E27" s="51"/>
    </row>
    <row r="28" spans="1:5">
      <c r="A28" s="29" t="s">
        <v>1006</v>
      </c>
      <c r="B28" s="3" t="s">
        <v>1007</v>
      </c>
      <c r="C28" s="8" t="s">
        <v>969</v>
      </c>
      <c r="D28" s="53" t="s">
        <v>1131</v>
      </c>
      <c r="E28" s="51" t="s">
        <v>1008</v>
      </c>
    </row>
    <row r="29" spans="1:5">
      <c r="A29" s="29" t="s">
        <v>1009</v>
      </c>
      <c r="B29" s="3" t="s">
        <v>1010</v>
      </c>
      <c r="C29" s="8" t="s">
        <v>969</v>
      </c>
      <c r="D29" s="53" t="s">
        <v>1131</v>
      </c>
      <c r="E29" s="51"/>
    </row>
    <row r="30" spans="1:5">
      <c r="A30" s="29" t="s">
        <v>1011</v>
      </c>
      <c r="B30" s="3" t="s">
        <v>1012</v>
      </c>
      <c r="C30" s="8" t="s">
        <v>969</v>
      </c>
      <c r="D30" s="53" t="s">
        <v>1131</v>
      </c>
      <c r="E30" s="51" t="s">
        <v>1013</v>
      </c>
    </row>
    <row r="31" spans="1:5">
      <c r="A31" s="29" t="s">
        <v>1014</v>
      </c>
      <c r="B31" s="3" t="s">
        <v>1015</v>
      </c>
      <c r="C31" s="8" t="s">
        <v>969</v>
      </c>
      <c r="D31" s="53" t="s">
        <v>1131</v>
      </c>
      <c r="E31" s="51"/>
    </row>
    <row r="32" spans="1:5">
      <c r="A32" s="29" t="s">
        <v>1016</v>
      </c>
      <c r="B32" s="3" t="s">
        <v>1017</v>
      </c>
      <c r="C32" s="8" t="s">
        <v>969</v>
      </c>
      <c r="D32" s="53" t="s">
        <v>1131</v>
      </c>
      <c r="E32" s="51"/>
    </row>
    <row r="33" spans="1:9">
      <c r="A33" s="93" t="s">
        <v>1018</v>
      </c>
      <c r="B33" s="94" t="s">
        <v>1019</v>
      </c>
      <c r="C33" s="95" t="s">
        <v>1429</v>
      </c>
      <c r="D33" s="96" t="s">
        <v>1131</v>
      </c>
      <c r="E33" s="97" t="s">
        <v>1430</v>
      </c>
      <c r="F33" s="82"/>
      <c r="G33" s="82"/>
      <c r="H33" s="82"/>
      <c r="I33" s="82"/>
    </row>
    <row r="34" spans="1:9">
      <c r="A34" s="93" t="s">
        <v>1020</v>
      </c>
      <c r="B34" s="94" t="s">
        <v>1021</v>
      </c>
      <c r="C34" s="95" t="s">
        <v>1429</v>
      </c>
      <c r="D34" s="96" t="s">
        <v>1131</v>
      </c>
      <c r="E34" s="97" t="s">
        <v>1431</v>
      </c>
      <c r="F34" s="82"/>
      <c r="G34" s="82"/>
      <c r="H34" s="82"/>
      <c r="I34" s="82"/>
    </row>
    <row r="35" spans="1:9">
      <c r="A35" s="29" t="s">
        <v>1022</v>
      </c>
      <c r="B35" s="3" t="s">
        <v>1023</v>
      </c>
      <c r="C35" s="8" t="s">
        <v>969</v>
      </c>
      <c r="D35" s="53" t="s">
        <v>1131</v>
      </c>
      <c r="E35" s="51"/>
    </row>
    <row r="36" spans="1:9">
      <c r="A36" s="29" t="s">
        <v>1024</v>
      </c>
      <c r="B36" s="3" t="s">
        <v>1025</v>
      </c>
      <c r="C36" s="8" t="s">
        <v>969</v>
      </c>
      <c r="D36" s="53" t="s">
        <v>1131</v>
      </c>
      <c r="E36" s="51"/>
    </row>
    <row r="37" spans="1:9">
      <c r="A37" s="29" t="s">
        <v>1026</v>
      </c>
      <c r="B37" s="3" t="s">
        <v>1027</v>
      </c>
      <c r="C37" s="8" t="s">
        <v>969</v>
      </c>
      <c r="D37" s="53" t="s">
        <v>1130</v>
      </c>
      <c r="E37" s="51"/>
    </row>
    <row r="38" spans="1:9">
      <c r="A38" s="29" t="s">
        <v>1028</v>
      </c>
      <c r="B38" s="3" t="s">
        <v>1029</v>
      </c>
      <c r="C38" s="8" t="s">
        <v>969</v>
      </c>
      <c r="D38" s="53" t="s">
        <v>1030</v>
      </c>
      <c r="E38" s="51" t="s">
        <v>1031</v>
      </c>
    </row>
    <row r="39" spans="1:9">
      <c r="A39" s="29" t="s">
        <v>1032</v>
      </c>
      <c r="B39" s="3" t="s">
        <v>1033</v>
      </c>
      <c r="C39" s="8" t="s">
        <v>969</v>
      </c>
      <c r="D39" s="53" t="s">
        <v>1132</v>
      </c>
      <c r="E39" s="51"/>
    </row>
    <row r="40" spans="1:9">
      <c r="A40" s="29" t="s">
        <v>1034</v>
      </c>
      <c r="B40" s="3" t="s">
        <v>1035</v>
      </c>
      <c r="C40" s="8" t="s">
        <v>969</v>
      </c>
      <c r="D40" s="53" t="s">
        <v>1132</v>
      </c>
      <c r="E40" s="51"/>
    </row>
    <row r="41" spans="1:9">
      <c r="A41" s="29" t="s">
        <v>1036</v>
      </c>
      <c r="B41" s="3" t="s">
        <v>1037</v>
      </c>
      <c r="C41" s="8" t="s">
        <v>1038</v>
      </c>
      <c r="D41" s="53" t="s">
        <v>1132</v>
      </c>
      <c r="E41" s="51" t="s">
        <v>1039</v>
      </c>
    </row>
    <row r="42" spans="1:9">
      <c r="A42" s="29" t="s">
        <v>1040</v>
      </c>
      <c r="B42" s="3" t="s">
        <v>1041</v>
      </c>
      <c r="C42" s="8" t="s">
        <v>969</v>
      </c>
      <c r="D42" s="53" t="s">
        <v>1132</v>
      </c>
      <c r="E42" s="51"/>
    </row>
    <row r="43" spans="1:9">
      <c r="A43" s="29" t="s">
        <v>1042</v>
      </c>
      <c r="B43" s="3" t="s">
        <v>1043</v>
      </c>
      <c r="C43" s="8" t="s">
        <v>969</v>
      </c>
      <c r="D43" s="53" t="s">
        <v>1132</v>
      </c>
      <c r="E43" s="51"/>
    </row>
    <row r="44" spans="1:9">
      <c r="A44" s="29" t="s">
        <v>1044</v>
      </c>
      <c r="B44" s="3" t="s">
        <v>1045</v>
      </c>
      <c r="C44" s="8" t="s">
        <v>969</v>
      </c>
      <c r="D44" s="53" t="s">
        <v>1046</v>
      </c>
      <c r="E44" s="51" t="s">
        <v>1047</v>
      </c>
    </row>
    <row r="45" spans="1:9">
      <c r="A45" s="29" t="s">
        <v>1048</v>
      </c>
      <c r="B45" s="3" t="s">
        <v>1049</v>
      </c>
      <c r="C45" s="8" t="s">
        <v>1050</v>
      </c>
      <c r="D45" s="53" t="s">
        <v>1133</v>
      </c>
      <c r="E45" s="51" t="s">
        <v>1051</v>
      </c>
    </row>
    <row r="46" spans="1:9">
      <c r="A46" s="29" t="s">
        <v>1052</v>
      </c>
      <c r="B46" s="3" t="s">
        <v>1053</v>
      </c>
      <c r="C46" s="8" t="s">
        <v>969</v>
      </c>
      <c r="D46" s="53" t="s">
        <v>1046</v>
      </c>
      <c r="E46" s="51" t="s">
        <v>1054</v>
      </c>
    </row>
    <row r="47" spans="1:9">
      <c r="A47" s="29" t="s">
        <v>1055</v>
      </c>
      <c r="B47" s="3" t="s">
        <v>1056</v>
      </c>
      <c r="C47" s="8" t="s">
        <v>969</v>
      </c>
      <c r="D47" s="53" t="s">
        <v>1133</v>
      </c>
      <c r="E47" s="51"/>
    </row>
    <row r="48" spans="1:9">
      <c r="A48" s="29" t="s">
        <v>1057</v>
      </c>
      <c r="B48" s="3" t="s">
        <v>1058</v>
      </c>
      <c r="C48" s="8" t="s">
        <v>969</v>
      </c>
      <c r="D48" s="53" t="s">
        <v>1133</v>
      </c>
      <c r="E48" s="51" t="s">
        <v>1059</v>
      </c>
    </row>
    <row r="49" spans="1:9">
      <c r="A49" s="29" t="s">
        <v>1060</v>
      </c>
      <c r="B49" s="3" t="s">
        <v>1061</v>
      </c>
      <c r="C49" s="8" t="s">
        <v>969</v>
      </c>
      <c r="D49" s="53" t="s">
        <v>1133</v>
      </c>
      <c r="E49" s="51"/>
    </row>
    <row r="50" spans="1:9">
      <c r="A50" s="29" t="s">
        <v>1062</v>
      </c>
      <c r="B50" s="3" t="s">
        <v>1063</v>
      </c>
      <c r="C50" s="8" t="s">
        <v>969</v>
      </c>
      <c r="D50" s="53" t="s">
        <v>1133</v>
      </c>
      <c r="E50" s="51"/>
    </row>
    <row r="51" spans="1:9">
      <c r="A51" s="29" t="s">
        <v>1064</v>
      </c>
      <c r="B51" s="3" t="s">
        <v>1065</v>
      </c>
      <c r="C51" s="8" t="s">
        <v>969</v>
      </c>
      <c r="D51" s="53" t="s">
        <v>1133</v>
      </c>
      <c r="E51" s="51"/>
    </row>
    <row r="52" spans="1:9">
      <c r="A52" s="29" t="s">
        <v>1066</v>
      </c>
      <c r="B52" s="3" t="s">
        <v>1067</v>
      </c>
      <c r="C52" s="8" t="s">
        <v>969</v>
      </c>
      <c r="D52" s="53" t="s">
        <v>1133</v>
      </c>
      <c r="E52" s="51"/>
    </row>
    <row r="53" spans="1:9">
      <c r="A53" s="29" t="s">
        <v>1068</v>
      </c>
      <c r="B53" s="3" t="s">
        <v>1069</v>
      </c>
      <c r="C53" s="8" t="s">
        <v>969</v>
      </c>
      <c r="D53" s="53" t="s">
        <v>1133</v>
      </c>
      <c r="E53" s="51"/>
    </row>
    <row r="54" spans="1:9">
      <c r="A54" s="29" t="s">
        <v>1070</v>
      </c>
      <c r="B54" s="3" t="s">
        <v>1071</v>
      </c>
      <c r="C54" s="8" t="s">
        <v>969</v>
      </c>
      <c r="D54" s="53" t="s">
        <v>1133</v>
      </c>
      <c r="E54" s="51"/>
    </row>
    <row r="55" spans="1:9">
      <c r="A55" s="29" t="s">
        <v>1072</v>
      </c>
      <c r="B55" s="3" t="s">
        <v>1073</v>
      </c>
      <c r="C55" s="8" t="s">
        <v>969</v>
      </c>
      <c r="D55" s="53" t="s">
        <v>1133</v>
      </c>
      <c r="E55" s="51"/>
    </row>
    <row r="56" spans="1:9">
      <c r="A56" s="29" t="s">
        <v>1074</v>
      </c>
      <c r="B56" s="3" t="s">
        <v>1075</v>
      </c>
      <c r="C56" s="8" t="s">
        <v>969</v>
      </c>
      <c r="D56" s="53" t="s">
        <v>1046</v>
      </c>
      <c r="E56" s="51" t="s">
        <v>1076</v>
      </c>
    </row>
    <row r="57" spans="1:9">
      <c r="A57" s="98" t="s">
        <v>1077</v>
      </c>
      <c r="B57" s="86" t="s">
        <v>1078</v>
      </c>
      <c r="C57" s="89" t="s">
        <v>1038</v>
      </c>
      <c r="D57" s="99" t="s">
        <v>1133</v>
      </c>
      <c r="E57" s="100" t="s">
        <v>1432</v>
      </c>
      <c r="F57" s="81"/>
      <c r="G57" s="81"/>
      <c r="H57" s="81"/>
      <c r="I57" s="81"/>
    </row>
    <row r="58" spans="1:9">
      <c r="A58" s="29" t="s">
        <v>1079</v>
      </c>
      <c r="B58" s="3" t="s">
        <v>1080</v>
      </c>
      <c r="C58" s="8" t="s">
        <v>969</v>
      </c>
      <c r="D58" s="53" t="s">
        <v>1133</v>
      </c>
      <c r="E58" s="51"/>
    </row>
    <row r="59" spans="1:9">
      <c r="A59" s="29" t="s">
        <v>1081</v>
      </c>
      <c r="B59" s="3" t="s">
        <v>1082</v>
      </c>
      <c r="C59" s="8" t="s">
        <v>969</v>
      </c>
      <c r="D59" s="53" t="s">
        <v>1134</v>
      </c>
      <c r="E59" s="51" t="s">
        <v>1083</v>
      </c>
    </row>
    <row r="60" spans="1:9">
      <c r="A60" s="29" t="s">
        <v>1084</v>
      </c>
      <c r="B60" s="3" t="s">
        <v>1085</v>
      </c>
      <c r="C60" s="8" t="s">
        <v>1086</v>
      </c>
      <c r="D60" s="53" t="s">
        <v>1135</v>
      </c>
      <c r="E60" s="51" t="s">
        <v>1087</v>
      </c>
    </row>
    <row r="61" spans="1:9">
      <c r="A61" s="29" t="s">
        <v>1088</v>
      </c>
      <c r="B61" s="3" t="s">
        <v>1089</v>
      </c>
      <c r="C61" s="8" t="s">
        <v>1090</v>
      </c>
      <c r="D61" s="53" t="s">
        <v>1091</v>
      </c>
      <c r="E61" s="51" t="s">
        <v>1092</v>
      </c>
    </row>
    <row r="62" spans="1:9">
      <c r="A62" s="29" t="s">
        <v>1093</v>
      </c>
      <c r="B62" s="3" t="s">
        <v>1094</v>
      </c>
      <c r="C62" s="8" t="s">
        <v>969</v>
      </c>
      <c r="D62" s="53" t="s">
        <v>1136</v>
      </c>
      <c r="E62" s="51" t="s">
        <v>1095</v>
      </c>
    </row>
    <row r="63" spans="1:9">
      <c r="A63" s="29" t="s">
        <v>1096</v>
      </c>
      <c r="B63" s="3" t="s">
        <v>1097</v>
      </c>
      <c r="C63" s="8" t="s">
        <v>958</v>
      </c>
      <c r="D63" s="53" t="s">
        <v>1137</v>
      </c>
      <c r="E63" s="51" t="s">
        <v>1098</v>
      </c>
    </row>
    <row r="64" spans="1:9">
      <c r="A64" s="29" t="s">
        <v>1099</v>
      </c>
      <c r="B64" s="3" t="s">
        <v>1100</v>
      </c>
      <c r="C64" s="8" t="s">
        <v>969</v>
      </c>
      <c r="D64" s="53" t="s">
        <v>1136</v>
      </c>
      <c r="E64" s="51" t="s">
        <v>1101</v>
      </c>
    </row>
    <row r="65" spans="1:5">
      <c r="A65" s="29" t="s">
        <v>1102</v>
      </c>
      <c r="B65" s="3" t="s">
        <v>1103</v>
      </c>
      <c r="C65" s="8" t="s">
        <v>969</v>
      </c>
      <c r="D65" s="53" t="s">
        <v>1138</v>
      </c>
      <c r="E65" s="51" t="s">
        <v>1104</v>
      </c>
    </row>
    <row r="66" spans="1:5">
      <c r="A66" s="29" t="s">
        <v>1105</v>
      </c>
      <c r="B66" s="3" t="s">
        <v>1106</v>
      </c>
      <c r="C66" s="8" t="s">
        <v>958</v>
      </c>
      <c r="D66" s="53" t="s">
        <v>1107</v>
      </c>
      <c r="E66" s="51" t="s">
        <v>1108</v>
      </c>
    </row>
    <row r="67" spans="1:5">
      <c r="A67" s="29" t="s">
        <v>1109</v>
      </c>
      <c r="B67" s="3" t="s">
        <v>1110</v>
      </c>
      <c r="C67" s="8" t="s">
        <v>969</v>
      </c>
      <c r="D67" s="53" t="s">
        <v>1111</v>
      </c>
      <c r="E67" s="51" t="s">
        <v>1112</v>
      </c>
    </row>
    <row r="68" spans="1:5">
      <c r="A68" s="29" t="s">
        <v>1113</v>
      </c>
      <c r="B68" s="3" t="s">
        <v>1114</v>
      </c>
      <c r="C68" s="8" t="s">
        <v>969</v>
      </c>
      <c r="D68" s="53" t="s">
        <v>1139</v>
      </c>
      <c r="E68" s="51" t="s">
        <v>1115</v>
      </c>
    </row>
    <row r="69" spans="1:5">
      <c r="A69" s="29" t="s">
        <v>949</v>
      </c>
      <c r="B69" s="3" t="s">
        <v>1116</v>
      </c>
      <c r="C69" s="8" t="s">
        <v>969</v>
      </c>
      <c r="D69" s="53" t="s">
        <v>1140</v>
      </c>
      <c r="E69" s="51" t="s">
        <v>1117</v>
      </c>
    </row>
    <row r="70" spans="1:5">
      <c r="A70" s="29" t="s">
        <v>286</v>
      </c>
      <c r="B70" s="3" t="s">
        <v>291</v>
      </c>
      <c r="C70" s="8" t="s">
        <v>969</v>
      </c>
      <c r="D70" s="53" t="s">
        <v>1141</v>
      </c>
      <c r="E70" s="51" t="s">
        <v>1118</v>
      </c>
    </row>
    <row r="71" spans="1:5">
      <c r="A71" s="29" t="s">
        <v>287</v>
      </c>
      <c r="B71" s="3" t="s">
        <v>288</v>
      </c>
      <c r="C71" s="8" t="s">
        <v>969</v>
      </c>
      <c r="D71" s="53" t="s">
        <v>1141</v>
      </c>
      <c r="E71" s="51" t="s">
        <v>1119</v>
      </c>
    </row>
    <row r="72" spans="1:5">
      <c r="A72" s="30" t="s">
        <v>289</v>
      </c>
      <c r="B72" s="4" t="s">
        <v>290</v>
      </c>
      <c r="C72" s="9" t="s">
        <v>969</v>
      </c>
      <c r="D72" s="54" t="s">
        <v>1141</v>
      </c>
      <c r="E72" s="52" t="s">
        <v>1120</v>
      </c>
    </row>
  </sheetData>
  <autoFilter ref="A5:E72" xr:uid="{A4DEADF9-EFAE-A14D-BC4F-3F04ADDCB1E4}"/>
  <phoneticPr fontId="2"/>
  <conditionalFormatting sqref="A6:E72">
    <cfRule type="expression" dxfId="33" priority="1">
      <formula>$C6="Accepted"</formula>
    </cfRule>
    <cfRule type="expression" dxfId="32" priority="2">
      <formula>$C6="Accepted (Phase 1)"</formula>
    </cfRule>
    <cfRule type="expression" dxfId="31" priority="3">
      <formula>$C6="Accepted（条件付き）"</formula>
    </cfRule>
    <cfRule type="expression" dxfId="30" priority="4">
      <formula>$C6="Scope Reduced"</formula>
    </cfRule>
    <cfRule type="expression" dxfId="29" priority="5">
      <formula>$C6="Out of Scope"</formula>
    </cfRule>
    <cfRule type="expression" dxfId="28" priority="6">
      <formula>$A6="ADR-061"</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98360B-467A-9A40-9C12-19F5CA7BB25A}">
  <dimension ref="A1:O210"/>
  <sheetViews>
    <sheetView workbookViewId="0">
      <pane ySplit="1" topLeftCell="A2" activePane="bottomLeft" state="frozen"/>
      <selection pane="bottomLeft" activeCell="G29" sqref="G29"/>
    </sheetView>
  </sheetViews>
  <sheetFormatPr baseColWidth="10" defaultRowHeight="20"/>
  <cols>
    <col min="1" max="1" width="13.5703125" customWidth="1"/>
    <col min="2" max="2" width="11.42578125" customWidth="1"/>
    <col min="3" max="3" width="10.7109375" customWidth="1"/>
    <col min="4" max="4" width="11.42578125" customWidth="1"/>
    <col min="5" max="5" width="15.7109375" customWidth="1"/>
    <col min="6" max="6" width="21.42578125" customWidth="1"/>
    <col min="7" max="7" width="37.140625" style="118" customWidth="1"/>
    <col min="8" max="8" width="32.85546875" style="118" customWidth="1"/>
    <col min="9" max="9" width="42.85546875" style="118" customWidth="1"/>
    <col min="10" max="10" width="31.42578125" customWidth="1"/>
    <col min="11" max="13" width="25.7109375" customWidth="1"/>
    <col min="14" max="14" width="28.5703125" style="118" customWidth="1"/>
    <col min="15" max="15" width="34.28515625" style="118" customWidth="1"/>
  </cols>
  <sheetData>
    <row r="1" spans="1:15" ht="21">
      <c r="A1" s="127" t="s">
        <v>249</v>
      </c>
      <c r="B1" s="127" t="s">
        <v>295</v>
      </c>
      <c r="C1" s="127" t="s">
        <v>1434</v>
      </c>
      <c r="D1" s="127" t="s">
        <v>3720</v>
      </c>
      <c r="E1" s="127" t="s">
        <v>3721</v>
      </c>
      <c r="F1" s="127" t="s">
        <v>1690</v>
      </c>
      <c r="G1" s="155" t="s">
        <v>4541</v>
      </c>
      <c r="H1" s="155" t="s">
        <v>1171</v>
      </c>
      <c r="I1" s="155" t="s">
        <v>4</v>
      </c>
      <c r="J1" s="127" t="s">
        <v>1685</v>
      </c>
      <c r="K1" s="127" t="s">
        <v>950</v>
      </c>
      <c r="L1" s="127" t="s">
        <v>2413</v>
      </c>
      <c r="M1" s="127" t="s">
        <v>951</v>
      </c>
      <c r="N1" s="155" t="s">
        <v>1142</v>
      </c>
      <c r="O1" s="155" t="s">
        <v>4542</v>
      </c>
    </row>
    <row r="2" spans="1:15" ht="84">
      <c r="A2" s="154" t="s">
        <v>4543</v>
      </c>
      <c r="B2" s="154" t="s">
        <v>1</v>
      </c>
      <c r="C2" s="154" t="s">
        <v>3285</v>
      </c>
      <c r="D2" s="154" t="s">
        <v>1688</v>
      </c>
      <c r="E2" s="154" t="s">
        <v>3289</v>
      </c>
      <c r="F2" s="154" t="s">
        <v>4544</v>
      </c>
      <c r="G2" s="156" t="s">
        <v>4545</v>
      </c>
      <c r="H2" s="156" t="s">
        <v>4546</v>
      </c>
      <c r="I2" s="156" t="s">
        <v>4547</v>
      </c>
      <c r="J2" s="154" t="s">
        <v>4548</v>
      </c>
      <c r="K2" s="154" t="s">
        <v>1674</v>
      </c>
      <c r="L2" s="154" t="s">
        <v>4538</v>
      </c>
      <c r="M2" s="154" t="s">
        <v>4421</v>
      </c>
      <c r="N2" s="156" t="s">
        <v>3547</v>
      </c>
      <c r="O2" s="156" t="s">
        <v>4549</v>
      </c>
    </row>
    <row r="3" spans="1:15" ht="84">
      <c r="A3" s="154" t="s">
        <v>4550</v>
      </c>
      <c r="B3" s="154" t="s">
        <v>1</v>
      </c>
      <c r="C3" s="154" t="s">
        <v>3285</v>
      </c>
      <c r="D3" s="154" t="s">
        <v>1688</v>
      </c>
      <c r="E3" s="154" t="s">
        <v>3286</v>
      </c>
      <c r="F3" s="154" t="s">
        <v>4551</v>
      </c>
      <c r="G3" s="156" t="s">
        <v>4552</v>
      </c>
      <c r="H3" s="156" t="s">
        <v>4553</v>
      </c>
      <c r="I3" s="156" t="s">
        <v>4547</v>
      </c>
      <c r="J3" s="154"/>
      <c r="K3" s="154"/>
      <c r="L3" s="154"/>
      <c r="M3" s="154"/>
      <c r="N3" s="156" t="s">
        <v>4554</v>
      </c>
      <c r="O3" s="156" t="s">
        <v>4549</v>
      </c>
    </row>
    <row r="4" spans="1:15" ht="42">
      <c r="A4" s="154" t="s">
        <v>6</v>
      </c>
      <c r="B4" s="154" t="s">
        <v>1</v>
      </c>
      <c r="C4" s="154" t="s">
        <v>3285</v>
      </c>
      <c r="D4" s="154" t="s">
        <v>1688</v>
      </c>
      <c r="E4" s="154" t="s">
        <v>3289</v>
      </c>
      <c r="F4" s="154" t="s">
        <v>4544</v>
      </c>
      <c r="G4" s="156" t="s">
        <v>945</v>
      </c>
      <c r="H4" s="156" t="s">
        <v>3287</v>
      </c>
      <c r="I4" s="156" t="s">
        <v>3288</v>
      </c>
      <c r="J4" s="154" t="s">
        <v>3543</v>
      </c>
      <c r="K4" s="154" t="s">
        <v>3544</v>
      </c>
      <c r="L4" s="154" t="s">
        <v>3545</v>
      </c>
      <c r="M4" s="154" t="s">
        <v>3546</v>
      </c>
      <c r="N4" s="156" t="s">
        <v>3547</v>
      </c>
      <c r="O4" s="156" t="s">
        <v>945</v>
      </c>
    </row>
    <row r="5" spans="1:15" ht="42">
      <c r="A5" s="154" t="s">
        <v>7</v>
      </c>
      <c r="B5" s="154" t="s">
        <v>1</v>
      </c>
      <c r="C5" s="154" t="s">
        <v>3285</v>
      </c>
      <c r="D5" s="154" t="s">
        <v>1688</v>
      </c>
      <c r="E5" s="154" t="s">
        <v>3289</v>
      </c>
      <c r="F5" s="154" t="s">
        <v>4544</v>
      </c>
      <c r="G5" s="156" t="s">
        <v>945</v>
      </c>
      <c r="H5" s="156" t="s">
        <v>8</v>
      </c>
      <c r="I5" s="156" t="s">
        <v>3290</v>
      </c>
      <c r="J5" s="154" t="s">
        <v>3543</v>
      </c>
      <c r="K5" s="154" t="s">
        <v>3544</v>
      </c>
      <c r="L5" s="154" t="s">
        <v>3545</v>
      </c>
      <c r="M5" s="154" t="s">
        <v>3548</v>
      </c>
      <c r="N5" s="156" t="s">
        <v>3547</v>
      </c>
      <c r="O5" s="156" t="s">
        <v>945</v>
      </c>
    </row>
    <row r="6" spans="1:15" ht="42">
      <c r="A6" s="154" t="s">
        <v>9</v>
      </c>
      <c r="B6" s="154" t="s">
        <v>1</v>
      </c>
      <c r="C6" s="154" t="s">
        <v>3285</v>
      </c>
      <c r="D6" s="154" t="s">
        <v>1688</v>
      </c>
      <c r="E6" s="154" t="s">
        <v>3289</v>
      </c>
      <c r="F6" s="154" t="s">
        <v>4544</v>
      </c>
      <c r="G6" s="156" t="s">
        <v>945</v>
      </c>
      <c r="H6" s="156" t="s">
        <v>10</v>
      </c>
      <c r="I6" s="156" t="s">
        <v>3291</v>
      </c>
      <c r="J6" s="154" t="s">
        <v>1594</v>
      </c>
      <c r="K6" s="154" t="s">
        <v>1668</v>
      </c>
      <c r="L6" s="154" t="s">
        <v>3549</v>
      </c>
      <c r="M6" s="154" t="s">
        <v>1146</v>
      </c>
      <c r="N6" s="156" t="s">
        <v>3547</v>
      </c>
      <c r="O6" s="156" t="s">
        <v>945</v>
      </c>
    </row>
    <row r="7" spans="1:15" ht="42">
      <c r="A7" s="154" t="s">
        <v>11</v>
      </c>
      <c r="B7" s="154" t="s">
        <v>1</v>
      </c>
      <c r="C7" s="154" t="s">
        <v>3293</v>
      </c>
      <c r="D7" s="154" t="s">
        <v>250</v>
      </c>
      <c r="E7" s="154" t="s">
        <v>945</v>
      </c>
      <c r="F7" s="154" t="s">
        <v>945</v>
      </c>
      <c r="G7" s="156" t="s">
        <v>3294</v>
      </c>
      <c r="H7" s="156" t="s">
        <v>12</v>
      </c>
      <c r="I7" s="156" t="s">
        <v>3292</v>
      </c>
      <c r="J7" s="154"/>
      <c r="K7" s="154"/>
      <c r="L7" s="154"/>
      <c r="M7" s="154"/>
      <c r="N7" s="156" t="s">
        <v>3334</v>
      </c>
      <c r="O7" s="156" t="s">
        <v>945</v>
      </c>
    </row>
    <row r="8" spans="1:15" ht="42">
      <c r="A8" s="154" t="s">
        <v>13</v>
      </c>
      <c r="B8" s="154" t="s">
        <v>1</v>
      </c>
      <c r="C8" s="154" t="s">
        <v>246</v>
      </c>
      <c r="D8" s="154" t="s">
        <v>250</v>
      </c>
      <c r="E8" s="154" t="s">
        <v>945</v>
      </c>
      <c r="F8" s="154" t="s">
        <v>945</v>
      </c>
      <c r="G8" s="156" t="s">
        <v>3297</v>
      </c>
      <c r="H8" s="156" t="s">
        <v>3295</v>
      </c>
      <c r="I8" s="156" t="s">
        <v>3296</v>
      </c>
      <c r="J8" s="154"/>
      <c r="K8" s="154"/>
      <c r="L8" s="154"/>
      <c r="M8" s="154"/>
      <c r="N8" s="156" t="s">
        <v>3334</v>
      </c>
      <c r="O8" s="156" t="s">
        <v>945</v>
      </c>
    </row>
    <row r="9" spans="1:15" ht="42">
      <c r="A9" s="154" t="s">
        <v>14</v>
      </c>
      <c r="B9" s="154" t="s">
        <v>1</v>
      </c>
      <c r="C9" s="154" t="s">
        <v>246</v>
      </c>
      <c r="D9" s="154" t="s">
        <v>250</v>
      </c>
      <c r="E9" s="154" t="s">
        <v>945</v>
      </c>
      <c r="F9" s="154" t="s">
        <v>945</v>
      </c>
      <c r="G9" s="156" t="s">
        <v>3300</v>
      </c>
      <c r="H9" s="156" t="s">
        <v>3298</v>
      </c>
      <c r="I9" s="156" t="s">
        <v>3299</v>
      </c>
      <c r="J9" s="154"/>
      <c r="K9" s="154"/>
      <c r="L9" s="154"/>
      <c r="M9" s="154"/>
      <c r="N9" s="156" t="s">
        <v>3334</v>
      </c>
      <c r="O9" s="156" t="s">
        <v>945</v>
      </c>
    </row>
    <row r="10" spans="1:15" ht="42">
      <c r="A10" s="154" t="s">
        <v>15</v>
      </c>
      <c r="B10" s="154" t="s">
        <v>1</v>
      </c>
      <c r="C10" s="154" t="s">
        <v>3302</v>
      </c>
      <c r="D10" s="154" t="s">
        <v>250</v>
      </c>
      <c r="E10" s="154" t="s">
        <v>945</v>
      </c>
      <c r="F10" s="154" t="s">
        <v>945</v>
      </c>
      <c r="G10" s="156" t="s">
        <v>3303</v>
      </c>
      <c r="H10" s="156" t="s">
        <v>16</v>
      </c>
      <c r="I10" s="156" t="s">
        <v>3301</v>
      </c>
      <c r="J10" s="154"/>
      <c r="K10" s="154"/>
      <c r="L10" s="154"/>
      <c r="M10" s="154"/>
      <c r="N10" s="156" t="s">
        <v>3334</v>
      </c>
      <c r="O10" s="156" t="s">
        <v>945</v>
      </c>
    </row>
    <row r="11" spans="1:15" ht="63">
      <c r="A11" s="154" t="s">
        <v>17</v>
      </c>
      <c r="B11" s="154" t="s">
        <v>1</v>
      </c>
      <c r="C11" s="154" t="s">
        <v>3285</v>
      </c>
      <c r="D11" s="154" t="s">
        <v>1688</v>
      </c>
      <c r="E11" s="154" t="s">
        <v>3286</v>
      </c>
      <c r="F11" s="154" t="s">
        <v>4551</v>
      </c>
      <c r="G11" s="156" t="s">
        <v>3305</v>
      </c>
      <c r="H11" s="156" t="s">
        <v>18</v>
      </c>
      <c r="I11" s="156" t="s">
        <v>3304</v>
      </c>
      <c r="J11" s="154"/>
      <c r="K11" s="154"/>
      <c r="L11" s="154"/>
      <c r="M11" s="154"/>
      <c r="N11" s="156" t="s">
        <v>4554</v>
      </c>
      <c r="O11" s="156" t="s">
        <v>4549</v>
      </c>
    </row>
    <row r="12" spans="1:15" ht="63">
      <c r="A12" s="154" t="s">
        <v>19</v>
      </c>
      <c r="B12" s="154" t="s">
        <v>1</v>
      </c>
      <c r="C12" s="154" t="s">
        <v>3308</v>
      </c>
      <c r="D12" s="154" t="s">
        <v>1688</v>
      </c>
      <c r="E12" s="154" t="s">
        <v>3286</v>
      </c>
      <c r="F12" s="154" t="s">
        <v>4551</v>
      </c>
      <c r="G12" s="156" t="s">
        <v>2405</v>
      </c>
      <c r="H12" s="156" t="s">
        <v>3306</v>
      </c>
      <c r="I12" s="156" t="s">
        <v>3307</v>
      </c>
      <c r="J12" s="154"/>
      <c r="K12" s="154"/>
      <c r="L12" s="154"/>
      <c r="M12" s="154"/>
      <c r="N12" s="156" t="s">
        <v>4554</v>
      </c>
      <c r="O12" s="156" t="s">
        <v>4549</v>
      </c>
    </row>
    <row r="13" spans="1:15" ht="84">
      <c r="A13" s="154" t="s">
        <v>20</v>
      </c>
      <c r="B13" s="154" t="s">
        <v>1</v>
      </c>
      <c r="C13" s="154" t="s">
        <v>3285</v>
      </c>
      <c r="D13" s="154" t="s">
        <v>1688</v>
      </c>
      <c r="E13" s="154" t="s">
        <v>3286</v>
      </c>
      <c r="F13" s="154" t="s">
        <v>4551</v>
      </c>
      <c r="G13" s="156" t="s">
        <v>4555</v>
      </c>
      <c r="H13" s="156" t="s">
        <v>3309</v>
      </c>
      <c r="I13" s="156" t="s">
        <v>3310</v>
      </c>
      <c r="J13" s="154"/>
      <c r="K13" s="154"/>
      <c r="L13" s="154"/>
      <c r="M13" s="154"/>
      <c r="N13" s="156" t="s">
        <v>4556</v>
      </c>
      <c r="O13" s="156" t="s">
        <v>4549</v>
      </c>
    </row>
    <row r="14" spans="1:15" ht="63">
      <c r="A14" s="154" t="s">
        <v>21</v>
      </c>
      <c r="B14" s="154" t="s">
        <v>1</v>
      </c>
      <c r="C14" s="154" t="s">
        <v>3308</v>
      </c>
      <c r="D14" s="154" t="s">
        <v>1688</v>
      </c>
      <c r="E14" s="154" t="s">
        <v>3286</v>
      </c>
      <c r="F14" s="154" t="s">
        <v>4551</v>
      </c>
      <c r="G14" s="156" t="s">
        <v>2405</v>
      </c>
      <c r="H14" s="156" t="s">
        <v>22</v>
      </c>
      <c r="I14" s="156" t="s">
        <v>3311</v>
      </c>
      <c r="J14" s="154"/>
      <c r="K14" s="154"/>
      <c r="L14" s="154"/>
      <c r="M14" s="154"/>
      <c r="N14" s="156" t="s">
        <v>4554</v>
      </c>
      <c r="O14" s="156" t="s">
        <v>4549</v>
      </c>
    </row>
    <row r="15" spans="1:15" ht="21">
      <c r="A15" s="154" t="s">
        <v>23</v>
      </c>
      <c r="B15" s="154" t="s">
        <v>1</v>
      </c>
      <c r="C15" s="154" t="s">
        <v>3285</v>
      </c>
      <c r="D15" s="154" t="s">
        <v>1688</v>
      </c>
      <c r="E15" s="154" t="s">
        <v>3286</v>
      </c>
      <c r="F15" s="154" t="s">
        <v>4551</v>
      </c>
      <c r="G15" s="156" t="s">
        <v>2405</v>
      </c>
      <c r="H15" s="156" t="s">
        <v>3312</v>
      </c>
      <c r="I15" s="156" t="s">
        <v>3313</v>
      </c>
      <c r="J15" s="154"/>
      <c r="K15" s="154"/>
      <c r="L15" s="154"/>
      <c r="M15" s="154"/>
      <c r="N15" s="156" t="s">
        <v>3722</v>
      </c>
      <c r="O15" s="156" t="s">
        <v>4549</v>
      </c>
    </row>
    <row r="16" spans="1:15" ht="21">
      <c r="A16" s="154" t="s">
        <v>24</v>
      </c>
      <c r="B16" s="154" t="s">
        <v>1</v>
      </c>
      <c r="C16" s="154" t="s">
        <v>3308</v>
      </c>
      <c r="D16" s="154" t="s">
        <v>1688</v>
      </c>
      <c r="E16" s="154" t="s">
        <v>3286</v>
      </c>
      <c r="F16" s="154" t="s">
        <v>4551</v>
      </c>
      <c r="G16" s="156" t="s">
        <v>2405</v>
      </c>
      <c r="H16" s="156" t="s">
        <v>25</v>
      </c>
      <c r="I16" s="156" t="s">
        <v>3314</v>
      </c>
      <c r="J16" s="154"/>
      <c r="K16" s="154"/>
      <c r="L16" s="154"/>
      <c r="M16" s="154"/>
      <c r="N16" s="156" t="s">
        <v>3722</v>
      </c>
      <c r="O16" s="156" t="s">
        <v>4549</v>
      </c>
    </row>
    <row r="17" spans="1:15" ht="42">
      <c r="A17" s="154" t="s">
        <v>3315</v>
      </c>
      <c r="B17" s="154" t="s">
        <v>1</v>
      </c>
      <c r="C17" s="154" t="s">
        <v>3293</v>
      </c>
      <c r="D17" s="154" t="s">
        <v>250</v>
      </c>
      <c r="E17" s="154" t="s">
        <v>945</v>
      </c>
      <c r="F17" s="154" t="s">
        <v>945</v>
      </c>
      <c r="G17" s="156" t="s">
        <v>3318</v>
      </c>
      <c r="H17" s="156" t="s">
        <v>3316</v>
      </c>
      <c r="I17" s="156" t="s">
        <v>3317</v>
      </c>
      <c r="J17" s="154"/>
      <c r="K17" s="154"/>
      <c r="L17" s="154"/>
      <c r="M17" s="154"/>
      <c r="N17" s="156" t="s">
        <v>3334</v>
      </c>
      <c r="O17" s="156" t="s">
        <v>945</v>
      </c>
    </row>
    <row r="18" spans="1:15" ht="42">
      <c r="A18" s="154" t="s">
        <v>4557</v>
      </c>
      <c r="B18" s="154" t="s">
        <v>1</v>
      </c>
      <c r="C18" s="154" t="s">
        <v>3293</v>
      </c>
      <c r="D18" s="154" t="s">
        <v>1688</v>
      </c>
      <c r="E18" s="154" t="s">
        <v>3289</v>
      </c>
      <c r="F18" s="154" t="s">
        <v>4544</v>
      </c>
      <c r="G18" s="156" t="s">
        <v>4558</v>
      </c>
      <c r="H18" s="156" t="s">
        <v>2169</v>
      </c>
      <c r="I18" s="156" t="s">
        <v>4559</v>
      </c>
      <c r="J18" s="154" t="s">
        <v>3882</v>
      </c>
      <c r="K18" s="154"/>
      <c r="L18" s="154"/>
      <c r="M18" s="154"/>
      <c r="N18" s="156" t="s">
        <v>4560</v>
      </c>
      <c r="O18" s="156" t="s">
        <v>945</v>
      </c>
    </row>
    <row r="19" spans="1:15" ht="63">
      <c r="A19" s="154" t="s">
        <v>26</v>
      </c>
      <c r="B19" s="154" t="s">
        <v>1</v>
      </c>
      <c r="C19" s="154" t="s">
        <v>3321</v>
      </c>
      <c r="D19" s="154" t="s">
        <v>1688</v>
      </c>
      <c r="E19" s="154" t="s">
        <v>3289</v>
      </c>
      <c r="F19" s="154" t="s">
        <v>4544</v>
      </c>
      <c r="G19" s="156" t="s">
        <v>4561</v>
      </c>
      <c r="H19" s="156" t="s">
        <v>3319</v>
      </c>
      <c r="I19" s="156" t="s">
        <v>3320</v>
      </c>
      <c r="J19" s="154" t="s">
        <v>3551</v>
      </c>
      <c r="K19" s="154" t="s">
        <v>3552</v>
      </c>
      <c r="L19" s="154" t="s">
        <v>3553</v>
      </c>
      <c r="M19" s="154" t="s">
        <v>3554</v>
      </c>
      <c r="N19" s="156" t="s">
        <v>3547</v>
      </c>
      <c r="O19" s="156" t="s">
        <v>945</v>
      </c>
    </row>
    <row r="20" spans="1:15" ht="42">
      <c r="A20" s="154" t="s">
        <v>27</v>
      </c>
      <c r="B20" s="154" t="s">
        <v>1</v>
      </c>
      <c r="C20" s="154" t="s">
        <v>3285</v>
      </c>
      <c r="D20" s="154" t="s">
        <v>1688</v>
      </c>
      <c r="E20" s="154" t="s">
        <v>3289</v>
      </c>
      <c r="F20" s="154" t="s">
        <v>4544</v>
      </c>
      <c r="G20" s="156" t="s">
        <v>945</v>
      </c>
      <c r="H20" s="156" t="s">
        <v>3322</v>
      </c>
      <c r="I20" s="156" t="s">
        <v>3323</v>
      </c>
      <c r="J20" s="154" t="s">
        <v>3551</v>
      </c>
      <c r="K20" s="154" t="s">
        <v>3552</v>
      </c>
      <c r="L20" s="154" t="s">
        <v>3553</v>
      </c>
      <c r="M20" s="154" t="s">
        <v>1150</v>
      </c>
      <c r="N20" s="156" t="s">
        <v>3547</v>
      </c>
      <c r="O20" s="156" t="s">
        <v>945</v>
      </c>
    </row>
    <row r="21" spans="1:15" ht="21">
      <c r="A21" s="154" t="s">
        <v>28</v>
      </c>
      <c r="B21" s="154" t="s">
        <v>1</v>
      </c>
      <c r="C21" s="154" t="s">
        <v>3308</v>
      </c>
      <c r="D21" s="154" t="s">
        <v>1688</v>
      </c>
      <c r="E21" s="154" t="s">
        <v>3289</v>
      </c>
      <c r="F21" s="154" t="s">
        <v>4544</v>
      </c>
      <c r="G21" s="156" t="s">
        <v>945</v>
      </c>
      <c r="H21" s="156" t="s">
        <v>3324</v>
      </c>
      <c r="I21" s="156" t="s">
        <v>3325</v>
      </c>
      <c r="J21" s="154" t="s">
        <v>3551</v>
      </c>
      <c r="K21" s="154" t="s">
        <v>3552</v>
      </c>
      <c r="L21" s="154" t="s">
        <v>3553</v>
      </c>
      <c r="M21" s="154" t="s">
        <v>3555</v>
      </c>
      <c r="N21" s="156" t="s">
        <v>3547</v>
      </c>
      <c r="O21" s="156" t="s">
        <v>945</v>
      </c>
    </row>
    <row r="22" spans="1:15" ht="21">
      <c r="A22" s="154" t="s">
        <v>29</v>
      </c>
      <c r="B22" s="154" t="s">
        <v>1</v>
      </c>
      <c r="C22" s="154" t="s">
        <v>3328</v>
      </c>
      <c r="D22" s="154" t="s">
        <v>1688</v>
      </c>
      <c r="E22" s="154" t="s">
        <v>3289</v>
      </c>
      <c r="F22" s="154" t="s">
        <v>4544</v>
      </c>
      <c r="G22" s="156" t="s">
        <v>945</v>
      </c>
      <c r="H22" s="156" t="s">
        <v>3326</v>
      </c>
      <c r="I22" s="156" t="s">
        <v>3327</v>
      </c>
      <c r="J22" s="154" t="s">
        <v>3551</v>
      </c>
      <c r="K22" s="154" t="s">
        <v>3552</v>
      </c>
      <c r="L22" s="154" t="s">
        <v>3553</v>
      </c>
      <c r="M22" s="154" t="s">
        <v>3555</v>
      </c>
      <c r="N22" s="156" t="s">
        <v>3547</v>
      </c>
      <c r="O22" s="156" t="s">
        <v>945</v>
      </c>
    </row>
    <row r="23" spans="1:15" ht="42">
      <c r="A23" s="154" t="s">
        <v>30</v>
      </c>
      <c r="B23" s="154" t="s">
        <v>1</v>
      </c>
      <c r="C23" s="154" t="s">
        <v>3308</v>
      </c>
      <c r="D23" s="154" t="s">
        <v>1688</v>
      </c>
      <c r="E23" s="154" t="s">
        <v>3289</v>
      </c>
      <c r="F23" s="154" t="s">
        <v>4544</v>
      </c>
      <c r="G23" s="156" t="s">
        <v>945</v>
      </c>
      <c r="H23" s="156" t="s">
        <v>3329</v>
      </c>
      <c r="I23" s="156" t="s">
        <v>3330</v>
      </c>
      <c r="J23" s="154" t="s">
        <v>3556</v>
      </c>
      <c r="K23" s="154" t="s">
        <v>3557</v>
      </c>
      <c r="L23" s="154" t="s">
        <v>3558</v>
      </c>
      <c r="M23" s="154" t="s">
        <v>3559</v>
      </c>
      <c r="N23" s="156" t="s">
        <v>3547</v>
      </c>
      <c r="O23" s="156" t="s">
        <v>945</v>
      </c>
    </row>
    <row r="24" spans="1:15" ht="42">
      <c r="A24" s="154" t="s">
        <v>31</v>
      </c>
      <c r="B24" s="154" t="s">
        <v>1</v>
      </c>
      <c r="C24" s="154" t="s">
        <v>3293</v>
      </c>
      <c r="D24" s="154" t="s">
        <v>1688</v>
      </c>
      <c r="E24" s="154" t="s">
        <v>3289</v>
      </c>
      <c r="F24" s="154" t="s">
        <v>4544</v>
      </c>
      <c r="G24" s="156" t="s">
        <v>3332</v>
      </c>
      <c r="H24" s="156" t="s">
        <v>3331</v>
      </c>
      <c r="I24" s="156" t="s">
        <v>4562</v>
      </c>
      <c r="J24" s="154" t="s">
        <v>3560</v>
      </c>
      <c r="K24" s="154" t="s">
        <v>3561</v>
      </c>
      <c r="L24" s="154" t="s">
        <v>3562</v>
      </c>
      <c r="M24" s="154" t="s">
        <v>3563</v>
      </c>
      <c r="N24" s="156" t="s">
        <v>3547</v>
      </c>
      <c r="O24" s="156" t="s">
        <v>945</v>
      </c>
    </row>
    <row r="25" spans="1:15" ht="21">
      <c r="A25" s="154" t="s">
        <v>32</v>
      </c>
      <c r="B25" s="154" t="s">
        <v>1</v>
      </c>
      <c r="C25" s="154" t="s">
        <v>3293</v>
      </c>
      <c r="D25" s="154" t="s">
        <v>250</v>
      </c>
      <c r="E25" s="154" t="s">
        <v>945</v>
      </c>
      <c r="F25" s="154" t="s">
        <v>945</v>
      </c>
      <c r="G25" s="156" t="s">
        <v>3334</v>
      </c>
      <c r="H25" s="156" t="s">
        <v>33</v>
      </c>
      <c r="I25" s="156" t="s">
        <v>3333</v>
      </c>
      <c r="J25" s="154"/>
      <c r="K25" s="154"/>
      <c r="L25" s="154"/>
      <c r="M25" s="154"/>
      <c r="N25" s="156" t="s">
        <v>3334</v>
      </c>
      <c r="O25" s="156" t="s">
        <v>945</v>
      </c>
    </row>
    <row r="26" spans="1:15" ht="42">
      <c r="A26" s="154" t="s">
        <v>35</v>
      </c>
      <c r="B26" s="154" t="s">
        <v>1</v>
      </c>
      <c r="C26" s="154" t="s">
        <v>3285</v>
      </c>
      <c r="D26" s="154" t="s">
        <v>1688</v>
      </c>
      <c r="E26" s="154" t="s">
        <v>3289</v>
      </c>
      <c r="F26" s="154" t="s">
        <v>4544</v>
      </c>
      <c r="G26" s="156" t="s">
        <v>945</v>
      </c>
      <c r="H26" s="156" t="s">
        <v>3335</v>
      </c>
      <c r="I26" s="156" t="s">
        <v>3336</v>
      </c>
      <c r="J26" s="154" t="s">
        <v>1590</v>
      </c>
      <c r="K26" s="154" t="s">
        <v>3564</v>
      </c>
      <c r="L26" s="154" t="s">
        <v>3565</v>
      </c>
      <c r="M26" s="154" t="s">
        <v>3566</v>
      </c>
      <c r="N26" s="156" t="s">
        <v>3547</v>
      </c>
      <c r="O26" s="156" t="s">
        <v>4563</v>
      </c>
    </row>
    <row r="27" spans="1:15" ht="42">
      <c r="A27" s="154" t="s">
        <v>36</v>
      </c>
      <c r="B27" s="154" t="s">
        <v>1</v>
      </c>
      <c r="C27" s="154" t="s">
        <v>3285</v>
      </c>
      <c r="D27" s="154" t="s">
        <v>1688</v>
      </c>
      <c r="E27" s="154" t="s">
        <v>3289</v>
      </c>
      <c r="F27" s="154" t="s">
        <v>4544</v>
      </c>
      <c r="G27" s="156" t="s">
        <v>945</v>
      </c>
      <c r="H27" s="156" t="s">
        <v>3337</v>
      </c>
      <c r="I27" s="156" t="s">
        <v>3338</v>
      </c>
      <c r="J27" s="154" t="s">
        <v>3567</v>
      </c>
      <c r="K27" s="154" t="s">
        <v>3568</v>
      </c>
      <c r="L27" s="154" t="s">
        <v>3569</v>
      </c>
      <c r="M27" s="154" t="s">
        <v>3570</v>
      </c>
      <c r="N27" s="156" t="s">
        <v>3547</v>
      </c>
      <c r="O27" s="156" t="s">
        <v>4563</v>
      </c>
    </row>
    <row r="28" spans="1:15" ht="42">
      <c r="A28" s="154" t="s">
        <v>37</v>
      </c>
      <c r="B28" s="154" t="s">
        <v>1</v>
      </c>
      <c r="C28" s="154" t="s">
        <v>3285</v>
      </c>
      <c r="D28" s="154" t="s">
        <v>1688</v>
      </c>
      <c r="E28" s="154" t="s">
        <v>3289</v>
      </c>
      <c r="F28" s="154" t="s">
        <v>4544</v>
      </c>
      <c r="G28" s="156" t="s">
        <v>945</v>
      </c>
      <c r="H28" s="156" t="s">
        <v>3339</v>
      </c>
      <c r="I28" s="156" t="s">
        <v>3340</v>
      </c>
      <c r="J28" s="154" t="s">
        <v>3571</v>
      </c>
      <c r="K28" s="154" t="s">
        <v>3572</v>
      </c>
      <c r="L28" s="154" t="s">
        <v>3573</v>
      </c>
      <c r="M28" s="154" t="s">
        <v>3574</v>
      </c>
      <c r="N28" s="156" t="s">
        <v>3547</v>
      </c>
      <c r="O28" s="156" t="s">
        <v>945</v>
      </c>
    </row>
    <row r="29" spans="1:15" ht="42">
      <c r="A29" s="154" t="s">
        <v>4564</v>
      </c>
      <c r="B29" s="154" t="s">
        <v>1</v>
      </c>
      <c r="C29" s="154" t="s">
        <v>3285</v>
      </c>
      <c r="D29" s="154" t="s">
        <v>1688</v>
      </c>
      <c r="E29" s="154" t="s">
        <v>3289</v>
      </c>
      <c r="F29" s="154" t="s">
        <v>4544</v>
      </c>
      <c r="G29" s="156" t="s">
        <v>4565</v>
      </c>
      <c r="H29" s="156" t="s">
        <v>4566</v>
      </c>
      <c r="I29" s="156" t="s">
        <v>3341</v>
      </c>
      <c r="J29" s="154" t="s">
        <v>3575</v>
      </c>
      <c r="K29" s="154" t="s">
        <v>1463</v>
      </c>
      <c r="L29" s="154" t="s">
        <v>3576</v>
      </c>
      <c r="M29" s="154" t="s">
        <v>3577</v>
      </c>
      <c r="N29" s="156" t="s">
        <v>3547</v>
      </c>
      <c r="O29" s="156" t="s">
        <v>945</v>
      </c>
    </row>
    <row r="30" spans="1:15" ht="42">
      <c r="A30" s="154" t="s">
        <v>4567</v>
      </c>
      <c r="B30" s="154" t="s">
        <v>1</v>
      </c>
      <c r="C30" s="154" t="s">
        <v>3285</v>
      </c>
      <c r="D30" s="154" t="s">
        <v>1688</v>
      </c>
      <c r="E30" s="154" t="s">
        <v>3723</v>
      </c>
      <c r="F30" s="154" t="s">
        <v>4568</v>
      </c>
      <c r="G30" s="156" t="s">
        <v>4569</v>
      </c>
      <c r="H30" s="156" t="s">
        <v>4570</v>
      </c>
      <c r="I30" s="156" t="s">
        <v>3341</v>
      </c>
      <c r="J30" s="154"/>
      <c r="K30" s="154"/>
      <c r="L30" s="154"/>
      <c r="M30" s="154" t="s">
        <v>1165</v>
      </c>
      <c r="N30" s="156" t="s">
        <v>3724</v>
      </c>
      <c r="O30" s="156" t="s">
        <v>945</v>
      </c>
    </row>
    <row r="31" spans="1:15" ht="42">
      <c r="A31" s="154" t="s">
        <v>4571</v>
      </c>
      <c r="B31" s="154" t="s">
        <v>1</v>
      </c>
      <c r="C31" s="154" t="s">
        <v>3285</v>
      </c>
      <c r="D31" s="154" t="s">
        <v>1688</v>
      </c>
      <c r="E31" s="154" t="s">
        <v>3289</v>
      </c>
      <c r="F31" s="154" t="s">
        <v>4544</v>
      </c>
      <c r="G31" s="156" t="s">
        <v>4572</v>
      </c>
      <c r="H31" s="156" t="s">
        <v>4573</v>
      </c>
      <c r="I31" s="156" t="s">
        <v>4574</v>
      </c>
      <c r="J31" s="154" t="s">
        <v>4575</v>
      </c>
      <c r="K31" s="154" t="s">
        <v>4576</v>
      </c>
      <c r="L31" s="154" t="s">
        <v>4577</v>
      </c>
      <c r="M31" s="154" t="s">
        <v>4578</v>
      </c>
      <c r="N31" s="156" t="s">
        <v>3547</v>
      </c>
      <c r="O31" s="156" t="s">
        <v>945</v>
      </c>
    </row>
    <row r="32" spans="1:15" ht="63">
      <c r="A32" s="154" t="s">
        <v>4579</v>
      </c>
      <c r="B32" s="154" t="s">
        <v>1</v>
      </c>
      <c r="C32" s="154" t="s">
        <v>3285</v>
      </c>
      <c r="D32" s="154" t="s">
        <v>1688</v>
      </c>
      <c r="E32" s="154" t="s">
        <v>3723</v>
      </c>
      <c r="F32" s="154" t="s">
        <v>4568</v>
      </c>
      <c r="G32" s="156" t="s">
        <v>4580</v>
      </c>
      <c r="H32" s="156" t="s">
        <v>4581</v>
      </c>
      <c r="I32" s="156" t="s">
        <v>4574</v>
      </c>
      <c r="J32" s="154"/>
      <c r="K32" s="154"/>
      <c r="L32" s="154"/>
      <c r="M32" s="154" t="s">
        <v>1150</v>
      </c>
      <c r="N32" s="156" t="s">
        <v>3724</v>
      </c>
      <c r="O32" s="156" t="s">
        <v>945</v>
      </c>
    </row>
    <row r="33" spans="1:15" ht="63">
      <c r="A33" s="154" t="s">
        <v>38</v>
      </c>
      <c r="B33" s="154" t="s">
        <v>1</v>
      </c>
      <c r="C33" s="154" t="s">
        <v>3308</v>
      </c>
      <c r="D33" s="154" t="s">
        <v>1688</v>
      </c>
      <c r="E33" s="154" t="s">
        <v>3289</v>
      </c>
      <c r="F33" s="154" t="s">
        <v>4544</v>
      </c>
      <c r="G33" s="156" t="s">
        <v>945</v>
      </c>
      <c r="H33" s="156" t="s">
        <v>4582</v>
      </c>
      <c r="I33" s="156" t="s">
        <v>4583</v>
      </c>
      <c r="J33" s="154" t="s">
        <v>3578</v>
      </c>
      <c r="K33" s="154" t="s">
        <v>3579</v>
      </c>
      <c r="L33" s="154" t="s">
        <v>3580</v>
      </c>
      <c r="M33" s="154" t="s">
        <v>3581</v>
      </c>
      <c r="N33" s="156" t="s">
        <v>3547</v>
      </c>
      <c r="O33" s="156" t="s">
        <v>945</v>
      </c>
    </row>
    <row r="34" spans="1:15" ht="42">
      <c r="A34" s="154" t="s">
        <v>34</v>
      </c>
      <c r="B34" s="154" t="s">
        <v>1</v>
      </c>
      <c r="C34" s="154" t="s">
        <v>3308</v>
      </c>
      <c r="D34" s="154" t="s">
        <v>250</v>
      </c>
      <c r="E34" s="154" t="s">
        <v>945</v>
      </c>
      <c r="F34" s="154" t="s">
        <v>945</v>
      </c>
      <c r="G34" s="156" t="s">
        <v>3334</v>
      </c>
      <c r="H34" s="156" t="s">
        <v>3342</v>
      </c>
      <c r="I34" s="156" t="s">
        <v>3343</v>
      </c>
      <c r="J34" s="154"/>
      <c r="K34" s="154"/>
      <c r="L34" s="154"/>
      <c r="M34" s="154"/>
      <c r="N34" s="156" t="s">
        <v>3334</v>
      </c>
      <c r="O34" s="156" t="s">
        <v>945</v>
      </c>
    </row>
    <row r="35" spans="1:15" ht="105">
      <c r="A35" s="154" t="s">
        <v>4248</v>
      </c>
      <c r="B35" s="154" t="s">
        <v>1</v>
      </c>
      <c r="C35" s="154" t="s">
        <v>3285</v>
      </c>
      <c r="D35" s="154" t="s">
        <v>1688</v>
      </c>
      <c r="E35" s="154" t="s">
        <v>3289</v>
      </c>
      <c r="F35" s="154" t="s">
        <v>4544</v>
      </c>
      <c r="G35" s="156" t="s">
        <v>4584</v>
      </c>
      <c r="H35" s="156" t="s">
        <v>4585</v>
      </c>
      <c r="I35" s="156" t="s">
        <v>4586</v>
      </c>
      <c r="J35" s="154" t="s">
        <v>4587</v>
      </c>
      <c r="K35" s="154" t="s">
        <v>4588</v>
      </c>
      <c r="L35" s="154" t="s">
        <v>4589</v>
      </c>
      <c r="M35" s="154" t="s">
        <v>4590</v>
      </c>
      <c r="N35" s="156" t="s">
        <v>3547</v>
      </c>
      <c r="O35" s="156" t="s">
        <v>4591</v>
      </c>
    </row>
    <row r="36" spans="1:15" ht="42">
      <c r="A36" s="154" t="s">
        <v>39</v>
      </c>
      <c r="B36" s="154" t="s">
        <v>1</v>
      </c>
      <c r="C36" s="154" t="s">
        <v>3285</v>
      </c>
      <c r="D36" s="154" t="s">
        <v>1688</v>
      </c>
      <c r="E36" s="154" t="s">
        <v>3286</v>
      </c>
      <c r="F36" s="154" t="s">
        <v>4551</v>
      </c>
      <c r="G36" s="156" t="s">
        <v>3346</v>
      </c>
      <c r="H36" s="156" t="s">
        <v>3344</v>
      </c>
      <c r="I36" s="156" t="s">
        <v>3345</v>
      </c>
      <c r="J36" s="154"/>
      <c r="K36" s="154"/>
      <c r="L36" s="154"/>
      <c r="M36" s="154"/>
      <c r="N36" s="156" t="s">
        <v>3722</v>
      </c>
      <c r="O36" s="156" t="s">
        <v>4549</v>
      </c>
    </row>
    <row r="37" spans="1:15" ht="21">
      <c r="A37" s="154" t="s">
        <v>40</v>
      </c>
      <c r="B37" s="154" t="s">
        <v>1</v>
      </c>
      <c r="C37" s="154" t="s">
        <v>3308</v>
      </c>
      <c r="D37" s="154" t="s">
        <v>1688</v>
      </c>
      <c r="E37" s="154" t="s">
        <v>3286</v>
      </c>
      <c r="F37" s="154" t="s">
        <v>4551</v>
      </c>
      <c r="G37" s="156" t="s">
        <v>2405</v>
      </c>
      <c r="H37" s="156" t="s">
        <v>41</v>
      </c>
      <c r="I37" s="156" t="s">
        <v>3347</v>
      </c>
      <c r="J37" s="154"/>
      <c r="K37" s="154"/>
      <c r="L37" s="154"/>
      <c r="M37" s="154"/>
      <c r="N37" s="156" t="s">
        <v>3722</v>
      </c>
      <c r="O37" s="156" t="s">
        <v>4549</v>
      </c>
    </row>
    <row r="38" spans="1:15" ht="21">
      <c r="A38" s="154" t="s">
        <v>42</v>
      </c>
      <c r="B38" s="154" t="s">
        <v>1</v>
      </c>
      <c r="C38" s="154" t="s">
        <v>3328</v>
      </c>
      <c r="D38" s="154" t="s">
        <v>250</v>
      </c>
      <c r="E38" s="154" t="s">
        <v>945</v>
      </c>
      <c r="F38" s="154" t="s">
        <v>945</v>
      </c>
      <c r="G38" s="156" t="s">
        <v>3334</v>
      </c>
      <c r="H38" s="156" t="s">
        <v>43</v>
      </c>
      <c r="I38" s="156" t="s">
        <v>3348</v>
      </c>
      <c r="J38" s="154"/>
      <c r="K38" s="154"/>
      <c r="L38" s="154"/>
      <c r="M38" s="154"/>
      <c r="N38" s="156" t="s">
        <v>3334</v>
      </c>
      <c r="O38" s="156" t="s">
        <v>945</v>
      </c>
    </row>
    <row r="39" spans="1:15" ht="21">
      <c r="A39" s="154" t="s">
        <v>44</v>
      </c>
      <c r="B39" s="154" t="s">
        <v>1</v>
      </c>
      <c r="C39" s="154" t="s">
        <v>3328</v>
      </c>
      <c r="D39" s="154" t="s">
        <v>250</v>
      </c>
      <c r="E39" s="154" t="s">
        <v>945</v>
      </c>
      <c r="F39" s="154" t="s">
        <v>945</v>
      </c>
      <c r="G39" s="156" t="s">
        <v>3334</v>
      </c>
      <c r="H39" s="156" t="s">
        <v>3349</v>
      </c>
      <c r="I39" s="156" t="s">
        <v>3350</v>
      </c>
      <c r="J39" s="154"/>
      <c r="K39" s="154"/>
      <c r="L39" s="154"/>
      <c r="M39" s="154"/>
      <c r="N39" s="156" t="s">
        <v>3334</v>
      </c>
      <c r="O39" s="156" t="s">
        <v>945</v>
      </c>
    </row>
    <row r="40" spans="1:15" ht="42">
      <c r="A40" s="154" t="s">
        <v>45</v>
      </c>
      <c r="B40" s="154" t="s">
        <v>1</v>
      </c>
      <c r="C40" s="154" t="s">
        <v>3308</v>
      </c>
      <c r="D40" s="154" t="s">
        <v>1688</v>
      </c>
      <c r="E40" s="154" t="s">
        <v>3286</v>
      </c>
      <c r="F40" s="154" t="s">
        <v>4551</v>
      </c>
      <c r="G40" s="156" t="s">
        <v>2405</v>
      </c>
      <c r="H40" s="156" t="s">
        <v>3351</v>
      </c>
      <c r="I40" s="156" t="s">
        <v>3352</v>
      </c>
      <c r="J40" s="154"/>
      <c r="K40" s="154"/>
      <c r="L40" s="154"/>
      <c r="M40" s="154"/>
      <c r="N40" s="156" t="s">
        <v>3722</v>
      </c>
      <c r="O40" s="156" t="s">
        <v>4549</v>
      </c>
    </row>
    <row r="41" spans="1:15" ht="42">
      <c r="A41" s="154" t="s">
        <v>46</v>
      </c>
      <c r="B41" s="154" t="s">
        <v>1</v>
      </c>
      <c r="C41" s="154" t="s">
        <v>3308</v>
      </c>
      <c r="D41" s="154" t="s">
        <v>250</v>
      </c>
      <c r="E41" s="154" t="s">
        <v>945</v>
      </c>
      <c r="F41" s="154" t="s">
        <v>945</v>
      </c>
      <c r="G41" s="156" t="s">
        <v>3334</v>
      </c>
      <c r="H41" s="156" t="s">
        <v>3353</v>
      </c>
      <c r="I41" s="156" t="s">
        <v>3354</v>
      </c>
      <c r="J41" s="154"/>
      <c r="K41" s="154"/>
      <c r="L41" s="154"/>
      <c r="M41" s="154"/>
      <c r="N41" s="156" t="s">
        <v>3334</v>
      </c>
      <c r="O41" s="156" t="s">
        <v>945</v>
      </c>
    </row>
    <row r="42" spans="1:15" ht="42">
      <c r="A42" s="154" t="s">
        <v>47</v>
      </c>
      <c r="B42" s="154" t="s">
        <v>1</v>
      </c>
      <c r="C42" s="154" t="s">
        <v>3285</v>
      </c>
      <c r="D42" s="154" t="s">
        <v>1688</v>
      </c>
      <c r="E42" s="154" t="s">
        <v>3286</v>
      </c>
      <c r="F42" s="154" t="s">
        <v>4551</v>
      </c>
      <c r="G42" s="156" t="s">
        <v>2405</v>
      </c>
      <c r="H42" s="156" t="s">
        <v>3355</v>
      </c>
      <c r="I42" s="156" t="s">
        <v>3356</v>
      </c>
      <c r="J42" s="154"/>
      <c r="K42" s="154"/>
      <c r="L42" s="154"/>
      <c r="M42" s="154"/>
      <c r="N42" s="156" t="s">
        <v>3722</v>
      </c>
      <c r="O42" s="156" t="s">
        <v>4549</v>
      </c>
    </row>
    <row r="43" spans="1:15" ht="42">
      <c r="A43" s="154" t="s">
        <v>48</v>
      </c>
      <c r="B43" s="154" t="s">
        <v>1</v>
      </c>
      <c r="C43" s="154" t="s">
        <v>3328</v>
      </c>
      <c r="D43" s="154" t="s">
        <v>250</v>
      </c>
      <c r="E43" s="154" t="s">
        <v>945</v>
      </c>
      <c r="F43" s="154" t="s">
        <v>945</v>
      </c>
      <c r="G43" s="156" t="s">
        <v>3334</v>
      </c>
      <c r="H43" s="156" t="s">
        <v>3357</v>
      </c>
      <c r="I43" s="156" t="s">
        <v>3358</v>
      </c>
      <c r="J43" s="154"/>
      <c r="K43" s="154"/>
      <c r="L43" s="154"/>
      <c r="M43" s="154"/>
      <c r="N43" s="156" t="s">
        <v>3334</v>
      </c>
      <c r="O43" s="156" t="s">
        <v>945</v>
      </c>
    </row>
    <row r="44" spans="1:15" ht="63">
      <c r="A44" s="154" t="s">
        <v>49</v>
      </c>
      <c r="B44" s="154" t="s">
        <v>1</v>
      </c>
      <c r="C44" s="154" t="s">
        <v>3285</v>
      </c>
      <c r="D44" s="154" t="s">
        <v>1688</v>
      </c>
      <c r="E44" s="154" t="s">
        <v>3286</v>
      </c>
      <c r="F44" s="154" t="s">
        <v>4551</v>
      </c>
      <c r="G44" s="156" t="s">
        <v>4592</v>
      </c>
      <c r="H44" s="156" t="s">
        <v>3359</v>
      </c>
      <c r="I44" s="156" t="s">
        <v>3360</v>
      </c>
      <c r="J44" s="154"/>
      <c r="K44" s="154"/>
      <c r="L44" s="154"/>
      <c r="M44" s="154"/>
      <c r="N44" s="156" t="s">
        <v>3722</v>
      </c>
      <c r="O44" s="156" t="s">
        <v>4549</v>
      </c>
    </row>
    <row r="45" spans="1:15" ht="42">
      <c r="A45" s="154" t="s">
        <v>50</v>
      </c>
      <c r="B45" s="154" t="s">
        <v>1</v>
      </c>
      <c r="C45" s="154" t="s">
        <v>3285</v>
      </c>
      <c r="D45" s="154" t="s">
        <v>1688</v>
      </c>
      <c r="E45" s="154" t="s">
        <v>3289</v>
      </c>
      <c r="F45" s="154" t="s">
        <v>4544</v>
      </c>
      <c r="G45" s="156" t="s">
        <v>945</v>
      </c>
      <c r="H45" s="156" t="s">
        <v>3361</v>
      </c>
      <c r="I45" s="156" t="s">
        <v>3362</v>
      </c>
      <c r="J45" s="154" t="s">
        <v>3582</v>
      </c>
      <c r="K45" s="154" t="s">
        <v>3583</v>
      </c>
      <c r="L45" s="154" t="s">
        <v>3584</v>
      </c>
      <c r="M45" s="154" t="s">
        <v>1148</v>
      </c>
      <c r="N45" s="156" t="s">
        <v>3547</v>
      </c>
      <c r="O45" s="156" t="s">
        <v>945</v>
      </c>
    </row>
    <row r="46" spans="1:15" ht="42">
      <c r="A46" s="154" t="s">
        <v>51</v>
      </c>
      <c r="B46" s="154" t="s">
        <v>1</v>
      </c>
      <c r="C46" s="154" t="s">
        <v>3285</v>
      </c>
      <c r="D46" s="154" t="s">
        <v>1688</v>
      </c>
      <c r="E46" s="154" t="s">
        <v>3289</v>
      </c>
      <c r="F46" s="154" t="s">
        <v>4544</v>
      </c>
      <c r="G46" s="156" t="s">
        <v>945</v>
      </c>
      <c r="H46" s="156" t="s">
        <v>3363</v>
      </c>
      <c r="I46" s="156" t="s">
        <v>3364</v>
      </c>
      <c r="J46" s="154" t="s">
        <v>3585</v>
      </c>
      <c r="K46" s="154" t="s">
        <v>3586</v>
      </c>
      <c r="L46" s="154" t="s">
        <v>3587</v>
      </c>
      <c r="M46" s="154" t="s">
        <v>3588</v>
      </c>
      <c r="N46" s="156" t="s">
        <v>3547</v>
      </c>
      <c r="O46" s="156" t="s">
        <v>945</v>
      </c>
    </row>
    <row r="47" spans="1:15" ht="42">
      <c r="A47" s="154" t="s">
        <v>4593</v>
      </c>
      <c r="B47" s="154" t="s">
        <v>1</v>
      </c>
      <c r="C47" s="154" t="s">
        <v>3285</v>
      </c>
      <c r="D47" s="154" t="s">
        <v>1688</v>
      </c>
      <c r="E47" s="154" t="s">
        <v>3723</v>
      </c>
      <c r="F47" s="154" t="s">
        <v>4594</v>
      </c>
      <c r="G47" s="156" t="s">
        <v>4595</v>
      </c>
      <c r="H47" s="156" t="s">
        <v>4596</v>
      </c>
      <c r="I47" s="156" t="s">
        <v>4597</v>
      </c>
      <c r="J47" s="154"/>
      <c r="K47" s="154"/>
      <c r="L47" s="154"/>
      <c r="M47" s="154"/>
      <c r="N47" s="156" t="s">
        <v>3722</v>
      </c>
      <c r="O47" s="156" t="s">
        <v>945</v>
      </c>
    </row>
    <row r="48" spans="1:15" ht="42">
      <c r="A48" s="154" t="s">
        <v>4598</v>
      </c>
      <c r="B48" s="154" t="s">
        <v>1</v>
      </c>
      <c r="C48" s="154" t="s">
        <v>3285</v>
      </c>
      <c r="D48" s="154" t="s">
        <v>1688</v>
      </c>
      <c r="E48" s="154" t="s">
        <v>3289</v>
      </c>
      <c r="F48" s="154" t="s">
        <v>4544</v>
      </c>
      <c r="G48" s="156" t="s">
        <v>4599</v>
      </c>
      <c r="H48" s="156" t="s">
        <v>4600</v>
      </c>
      <c r="I48" s="156" t="s">
        <v>4597</v>
      </c>
      <c r="J48" s="154" t="s">
        <v>1504</v>
      </c>
      <c r="K48" s="154" t="s">
        <v>1501</v>
      </c>
      <c r="L48" s="154" t="s">
        <v>2772</v>
      </c>
      <c r="M48" s="154" t="s">
        <v>2829</v>
      </c>
      <c r="N48" s="156" t="s">
        <v>3547</v>
      </c>
      <c r="O48" s="156" t="s">
        <v>945</v>
      </c>
    </row>
    <row r="49" spans="1:15" ht="42">
      <c r="A49" s="154" t="s">
        <v>52</v>
      </c>
      <c r="B49" s="154" t="s">
        <v>1</v>
      </c>
      <c r="C49" s="154" t="s">
        <v>3285</v>
      </c>
      <c r="D49" s="154" t="s">
        <v>1688</v>
      </c>
      <c r="E49" s="154" t="s">
        <v>3289</v>
      </c>
      <c r="F49" s="154" t="s">
        <v>4544</v>
      </c>
      <c r="G49" s="156" t="s">
        <v>945</v>
      </c>
      <c r="H49" s="156" t="s">
        <v>3365</v>
      </c>
      <c r="I49" s="156" t="s">
        <v>4601</v>
      </c>
      <c r="J49" s="154" t="s">
        <v>3589</v>
      </c>
      <c r="K49" s="154" t="s">
        <v>1475</v>
      </c>
      <c r="L49" s="154" t="s">
        <v>3590</v>
      </c>
      <c r="M49" s="154" t="s">
        <v>1149</v>
      </c>
      <c r="N49" s="156" t="s">
        <v>3547</v>
      </c>
      <c r="O49" s="156" t="s">
        <v>945</v>
      </c>
    </row>
    <row r="50" spans="1:15" ht="42">
      <c r="A50" s="154" t="s">
        <v>53</v>
      </c>
      <c r="B50" s="154" t="s">
        <v>1</v>
      </c>
      <c r="C50" s="154" t="s">
        <v>3308</v>
      </c>
      <c r="D50" s="154" t="s">
        <v>1688</v>
      </c>
      <c r="E50" s="154" t="s">
        <v>3289</v>
      </c>
      <c r="F50" s="154" t="s">
        <v>4544</v>
      </c>
      <c r="G50" s="156" t="s">
        <v>945</v>
      </c>
      <c r="H50" s="156" t="s">
        <v>3366</v>
      </c>
      <c r="I50" s="156" t="s">
        <v>4602</v>
      </c>
      <c r="J50" s="154" t="s">
        <v>3589</v>
      </c>
      <c r="K50" s="154" t="s">
        <v>1475</v>
      </c>
      <c r="L50" s="154" t="s">
        <v>3590</v>
      </c>
      <c r="M50" s="154" t="s">
        <v>1149</v>
      </c>
      <c r="N50" s="156" t="s">
        <v>3547</v>
      </c>
      <c r="O50" s="156" t="s">
        <v>4563</v>
      </c>
    </row>
    <row r="51" spans="1:15" ht="21">
      <c r="A51" s="154" t="s">
        <v>54</v>
      </c>
      <c r="B51" s="154" t="s">
        <v>1</v>
      </c>
      <c r="C51" s="154" t="s">
        <v>3308</v>
      </c>
      <c r="D51" s="154" t="s">
        <v>250</v>
      </c>
      <c r="E51" s="154" t="s">
        <v>945</v>
      </c>
      <c r="F51" s="154" t="s">
        <v>945</v>
      </c>
      <c r="G51" s="156" t="s">
        <v>3368</v>
      </c>
      <c r="H51" s="156" t="s">
        <v>55</v>
      </c>
      <c r="I51" s="156" t="s">
        <v>3367</v>
      </c>
      <c r="J51" s="154"/>
      <c r="K51" s="154"/>
      <c r="L51" s="154"/>
      <c r="M51" s="154"/>
      <c r="N51" s="156" t="s">
        <v>3334</v>
      </c>
      <c r="O51" s="156" t="s">
        <v>945</v>
      </c>
    </row>
    <row r="52" spans="1:15" ht="42">
      <c r="A52" s="154" t="s">
        <v>56</v>
      </c>
      <c r="B52" s="154" t="s">
        <v>1</v>
      </c>
      <c r="C52" s="154" t="s">
        <v>3308</v>
      </c>
      <c r="D52" s="154" t="s">
        <v>1688</v>
      </c>
      <c r="E52" s="154" t="s">
        <v>3289</v>
      </c>
      <c r="F52" s="154" t="s">
        <v>4544</v>
      </c>
      <c r="G52" s="156" t="s">
        <v>945</v>
      </c>
      <c r="H52" s="156" t="s">
        <v>57</v>
      </c>
      <c r="I52" s="156" t="s">
        <v>3369</v>
      </c>
      <c r="J52" s="154" t="s">
        <v>3589</v>
      </c>
      <c r="K52" s="154" t="s">
        <v>1475</v>
      </c>
      <c r="L52" s="154" t="s">
        <v>3590</v>
      </c>
      <c r="M52" s="154" t="s">
        <v>1149</v>
      </c>
      <c r="N52" s="156" t="s">
        <v>3547</v>
      </c>
      <c r="O52" s="156" t="s">
        <v>945</v>
      </c>
    </row>
    <row r="53" spans="1:15" ht="63">
      <c r="A53" s="154" t="s">
        <v>58</v>
      </c>
      <c r="B53" s="154" t="s">
        <v>1</v>
      </c>
      <c r="C53" s="154" t="s">
        <v>3285</v>
      </c>
      <c r="D53" s="154" t="s">
        <v>1688</v>
      </c>
      <c r="E53" s="154" t="s">
        <v>3289</v>
      </c>
      <c r="F53" s="154" t="s">
        <v>4544</v>
      </c>
      <c r="G53" s="156" t="s">
        <v>945</v>
      </c>
      <c r="H53" s="156" t="s">
        <v>59</v>
      </c>
      <c r="I53" s="156" t="s">
        <v>4603</v>
      </c>
      <c r="J53" s="154" t="s">
        <v>3582</v>
      </c>
      <c r="K53" s="154" t="s">
        <v>3583</v>
      </c>
      <c r="L53" s="154" t="s">
        <v>3584</v>
      </c>
      <c r="M53" s="154" t="s">
        <v>1148</v>
      </c>
      <c r="N53" s="156" t="s">
        <v>3547</v>
      </c>
      <c r="O53" s="156" t="s">
        <v>4563</v>
      </c>
    </row>
    <row r="54" spans="1:15" ht="84">
      <c r="A54" s="154" t="s">
        <v>60</v>
      </c>
      <c r="B54" s="154" t="s">
        <v>1</v>
      </c>
      <c r="C54" s="154" t="s">
        <v>3308</v>
      </c>
      <c r="D54" s="154" t="s">
        <v>1688</v>
      </c>
      <c r="E54" s="154" t="s">
        <v>3289</v>
      </c>
      <c r="F54" s="154" t="s">
        <v>4544</v>
      </c>
      <c r="G54" s="156" t="s">
        <v>945</v>
      </c>
      <c r="H54" s="156" t="s">
        <v>61</v>
      </c>
      <c r="I54" s="156" t="s">
        <v>4604</v>
      </c>
      <c r="J54" s="154" t="s">
        <v>3591</v>
      </c>
      <c r="K54" s="154" t="s">
        <v>3592</v>
      </c>
      <c r="L54" s="154" t="s">
        <v>3593</v>
      </c>
      <c r="M54" s="154" t="s">
        <v>2818</v>
      </c>
      <c r="N54" s="156" t="s">
        <v>3547</v>
      </c>
      <c r="O54" s="156" t="s">
        <v>945</v>
      </c>
    </row>
    <row r="55" spans="1:15" ht="42">
      <c r="A55" s="154" t="s">
        <v>4605</v>
      </c>
      <c r="B55" s="154" t="s">
        <v>1</v>
      </c>
      <c r="C55" s="154" t="s">
        <v>3285</v>
      </c>
      <c r="D55" s="154" t="s">
        <v>1688</v>
      </c>
      <c r="E55" s="154" t="s">
        <v>3723</v>
      </c>
      <c r="F55" s="154" t="s">
        <v>4606</v>
      </c>
      <c r="G55" s="156" t="s">
        <v>4607</v>
      </c>
      <c r="H55" s="156" t="s">
        <v>4608</v>
      </c>
      <c r="I55" s="156" t="s">
        <v>3370</v>
      </c>
      <c r="J55" s="154"/>
      <c r="K55" s="154"/>
      <c r="L55" s="154"/>
      <c r="M55" s="154"/>
      <c r="N55" s="156" t="s">
        <v>3722</v>
      </c>
      <c r="O55" s="156" t="s">
        <v>945</v>
      </c>
    </row>
    <row r="56" spans="1:15" ht="42">
      <c r="A56" s="154" t="s">
        <v>4609</v>
      </c>
      <c r="B56" s="154" t="s">
        <v>1</v>
      </c>
      <c r="C56" s="154" t="s">
        <v>3285</v>
      </c>
      <c r="D56" s="154" t="s">
        <v>1688</v>
      </c>
      <c r="E56" s="154" t="s">
        <v>3289</v>
      </c>
      <c r="F56" s="154" t="s">
        <v>4544</v>
      </c>
      <c r="G56" s="156" t="s">
        <v>4610</v>
      </c>
      <c r="H56" s="156" t="s">
        <v>4611</v>
      </c>
      <c r="I56" s="156" t="s">
        <v>3370</v>
      </c>
      <c r="J56" s="154" t="s">
        <v>3761</v>
      </c>
      <c r="K56" s="154" t="s">
        <v>4517</v>
      </c>
      <c r="L56" s="154" t="s">
        <v>4520</v>
      </c>
      <c r="M56" s="154" t="s">
        <v>4251</v>
      </c>
      <c r="N56" s="156" t="s">
        <v>3547</v>
      </c>
      <c r="O56" s="156" t="s">
        <v>945</v>
      </c>
    </row>
    <row r="57" spans="1:15" ht="42">
      <c r="A57" s="154" t="s">
        <v>4612</v>
      </c>
      <c r="B57" s="154" t="s">
        <v>1</v>
      </c>
      <c r="C57" s="154" t="s">
        <v>3285</v>
      </c>
      <c r="D57" s="154" t="s">
        <v>1688</v>
      </c>
      <c r="E57" s="154" t="s">
        <v>3289</v>
      </c>
      <c r="F57" s="154" t="s">
        <v>4544</v>
      </c>
      <c r="G57" s="156" t="s">
        <v>4613</v>
      </c>
      <c r="H57" s="156" t="s">
        <v>4614</v>
      </c>
      <c r="I57" s="156" t="s">
        <v>3371</v>
      </c>
      <c r="J57" s="154" t="s">
        <v>3594</v>
      </c>
      <c r="K57" s="154" t="s">
        <v>3595</v>
      </c>
      <c r="L57" s="154" t="s">
        <v>3596</v>
      </c>
      <c r="M57" s="154" t="s">
        <v>3597</v>
      </c>
      <c r="N57" s="156" t="s">
        <v>3547</v>
      </c>
      <c r="O57" s="156" t="s">
        <v>945</v>
      </c>
    </row>
    <row r="58" spans="1:15" ht="42">
      <c r="A58" s="154" t="s">
        <v>4615</v>
      </c>
      <c r="B58" s="154" t="s">
        <v>1</v>
      </c>
      <c r="C58" s="154" t="s">
        <v>3285</v>
      </c>
      <c r="D58" s="154" t="s">
        <v>1688</v>
      </c>
      <c r="E58" s="154" t="s">
        <v>3723</v>
      </c>
      <c r="F58" s="154" t="s">
        <v>4594</v>
      </c>
      <c r="G58" s="156" t="s">
        <v>4616</v>
      </c>
      <c r="H58" s="156" t="s">
        <v>4617</v>
      </c>
      <c r="I58" s="156" t="s">
        <v>3371</v>
      </c>
      <c r="J58" s="154"/>
      <c r="K58" s="154"/>
      <c r="L58" s="154"/>
      <c r="M58" s="154"/>
      <c r="N58" s="156" t="s">
        <v>3722</v>
      </c>
      <c r="O58" s="156" t="s">
        <v>945</v>
      </c>
    </row>
    <row r="59" spans="1:15" ht="63">
      <c r="A59" s="154" t="s">
        <v>4618</v>
      </c>
      <c r="B59" s="154" t="s">
        <v>1</v>
      </c>
      <c r="C59" s="154" t="s">
        <v>3285</v>
      </c>
      <c r="D59" s="154" t="s">
        <v>1688</v>
      </c>
      <c r="E59" s="154" t="s">
        <v>3289</v>
      </c>
      <c r="F59" s="154" t="s">
        <v>4544</v>
      </c>
      <c r="G59" s="156" t="s">
        <v>4619</v>
      </c>
      <c r="H59" s="156" t="s">
        <v>4620</v>
      </c>
      <c r="I59" s="156" t="s">
        <v>3372</v>
      </c>
      <c r="J59" s="154" t="s">
        <v>1714</v>
      </c>
      <c r="K59" s="154" t="s">
        <v>1667</v>
      </c>
      <c r="L59" s="154" t="s">
        <v>3598</v>
      </c>
      <c r="M59" s="154" t="s">
        <v>3599</v>
      </c>
      <c r="N59" s="156" t="s">
        <v>3547</v>
      </c>
      <c r="O59" s="156" t="s">
        <v>945</v>
      </c>
    </row>
    <row r="60" spans="1:15" ht="42">
      <c r="A60" s="154" t="s">
        <v>4621</v>
      </c>
      <c r="B60" s="154" t="s">
        <v>1</v>
      </c>
      <c r="C60" s="154" t="s">
        <v>3285</v>
      </c>
      <c r="D60" s="154" t="s">
        <v>1688</v>
      </c>
      <c r="E60" s="154" t="s">
        <v>3723</v>
      </c>
      <c r="F60" s="154" t="s">
        <v>4606</v>
      </c>
      <c r="G60" s="156" t="s">
        <v>4622</v>
      </c>
      <c r="H60" s="156" t="s">
        <v>4623</v>
      </c>
      <c r="I60" s="156" t="s">
        <v>3372</v>
      </c>
      <c r="J60" s="154"/>
      <c r="K60" s="154"/>
      <c r="L60" s="154"/>
      <c r="M60" s="154"/>
      <c r="N60" s="156" t="s">
        <v>3722</v>
      </c>
      <c r="O60" s="156" t="s">
        <v>945</v>
      </c>
    </row>
    <row r="61" spans="1:15" ht="21">
      <c r="A61" s="154" t="s">
        <v>62</v>
      </c>
      <c r="B61" s="154" t="s">
        <v>1</v>
      </c>
      <c r="C61" s="154" t="s">
        <v>3285</v>
      </c>
      <c r="D61" s="154" t="s">
        <v>1688</v>
      </c>
      <c r="E61" s="154" t="s">
        <v>3723</v>
      </c>
      <c r="F61" s="154" t="s">
        <v>4594</v>
      </c>
      <c r="G61" s="156" t="s">
        <v>3375</v>
      </c>
      <c r="H61" s="156" t="s">
        <v>3373</v>
      </c>
      <c r="I61" s="156" t="s">
        <v>3374</v>
      </c>
      <c r="J61" s="154"/>
      <c r="K61" s="154"/>
      <c r="L61" s="154"/>
      <c r="M61" s="154"/>
      <c r="N61" s="156" t="s">
        <v>3722</v>
      </c>
      <c r="O61" s="156" t="s">
        <v>945</v>
      </c>
    </row>
    <row r="62" spans="1:15" ht="21">
      <c r="A62" s="154" t="s">
        <v>63</v>
      </c>
      <c r="B62" s="154" t="s">
        <v>1</v>
      </c>
      <c r="C62" s="154" t="s">
        <v>3308</v>
      </c>
      <c r="D62" s="154" t="s">
        <v>1688</v>
      </c>
      <c r="E62" s="154" t="s">
        <v>3723</v>
      </c>
      <c r="F62" s="154" t="s">
        <v>4606</v>
      </c>
      <c r="G62" s="156" t="s">
        <v>2405</v>
      </c>
      <c r="H62" s="156" t="s">
        <v>64</v>
      </c>
      <c r="I62" s="156" t="s">
        <v>3376</v>
      </c>
      <c r="J62" s="154"/>
      <c r="K62" s="154"/>
      <c r="L62" s="154"/>
      <c r="M62" s="154"/>
      <c r="N62" s="156" t="s">
        <v>3722</v>
      </c>
      <c r="O62" s="156" t="s">
        <v>945</v>
      </c>
    </row>
    <row r="63" spans="1:15" ht="21">
      <c r="A63" s="154" t="s">
        <v>65</v>
      </c>
      <c r="B63" s="154" t="s">
        <v>1</v>
      </c>
      <c r="C63" s="154" t="s">
        <v>3285</v>
      </c>
      <c r="D63" s="154" t="s">
        <v>1688</v>
      </c>
      <c r="E63" s="154" t="s">
        <v>3289</v>
      </c>
      <c r="F63" s="154" t="s">
        <v>4544</v>
      </c>
      <c r="G63" s="156" t="s">
        <v>945</v>
      </c>
      <c r="H63" s="156" t="s">
        <v>3377</v>
      </c>
      <c r="I63" s="156" t="s">
        <v>3378</v>
      </c>
      <c r="J63" s="154" t="s">
        <v>1594</v>
      </c>
      <c r="K63" s="154" t="s">
        <v>1668</v>
      </c>
      <c r="L63" s="154" t="s">
        <v>3549</v>
      </c>
      <c r="M63" s="154" t="s">
        <v>1146</v>
      </c>
      <c r="N63" s="156" t="s">
        <v>3547</v>
      </c>
      <c r="O63" s="156" t="s">
        <v>945</v>
      </c>
    </row>
    <row r="64" spans="1:15" ht="42">
      <c r="A64" s="154" t="s">
        <v>66</v>
      </c>
      <c r="B64" s="154" t="s">
        <v>1</v>
      </c>
      <c r="C64" s="154" t="s">
        <v>3285</v>
      </c>
      <c r="D64" s="154" t="s">
        <v>1688</v>
      </c>
      <c r="E64" s="154" t="s">
        <v>3289</v>
      </c>
      <c r="F64" s="154" t="s">
        <v>4544</v>
      </c>
      <c r="G64" s="156" t="s">
        <v>945</v>
      </c>
      <c r="H64" s="156" t="s">
        <v>67</v>
      </c>
      <c r="I64" s="156" t="s">
        <v>3379</v>
      </c>
      <c r="J64" s="154" t="s">
        <v>3600</v>
      </c>
      <c r="K64" s="154" t="s">
        <v>3601</v>
      </c>
      <c r="L64" s="154" t="s">
        <v>3602</v>
      </c>
      <c r="M64" s="154" t="s">
        <v>3603</v>
      </c>
      <c r="N64" s="156" t="s">
        <v>3547</v>
      </c>
      <c r="O64" s="156" t="s">
        <v>4563</v>
      </c>
    </row>
    <row r="65" spans="1:15" ht="63">
      <c r="A65" s="154" t="s">
        <v>4624</v>
      </c>
      <c r="B65" s="154" t="s">
        <v>1</v>
      </c>
      <c r="C65" s="154" t="s">
        <v>3285</v>
      </c>
      <c r="D65" s="154" t="s">
        <v>1688</v>
      </c>
      <c r="E65" s="154" t="s">
        <v>3723</v>
      </c>
      <c r="F65" s="154" t="s">
        <v>4594</v>
      </c>
      <c r="G65" s="156" t="s">
        <v>4595</v>
      </c>
      <c r="H65" s="156" t="s">
        <v>4625</v>
      </c>
      <c r="I65" s="156" t="s">
        <v>4626</v>
      </c>
      <c r="J65" s="154"/>
      <c r="K65" s="154"/>
      <c r="L65" s="154"/>
      <c r="M65" s="154"/>
      <c r="N65" s="156" t="s">
        <v>3722</v>
      </c>
      <c r="O65" s="156" t="s">
        <v>945</v>
      </c>
    </row>
    <row r="66" spans="1:15" ht="63">
      <c r="A66" s="154" t="s">
        <v>4627</v>
      </c>
      <c r="B66" s="154" t="s">
        <v>1</v>
      </c>
      <c r="C66" s="154" t="s">
        <v>3285</v>
      </c>
      <c r="D66" s="154" t="s">
        <v>1688</v>
      </c>
      <c r="E66" s="154" t="s">
        <v>3289</v>
      </c>
      <c r="F66" s="154" t="s">
        <v>4544</v>
      </c>
      <c r="G66" s="156" t="s">
        <v>4599</v>
      </c>
      <c r="H66" s="156" t="s">
        <v>4628</v>
      </c>
      <c r="I66" s="156" t="s">
        <v>4626</v>
      </c>
      <c r="J66" s="154" t="s">
        <v>4629</v>
      </c>
      <c r="K66" s="154" t="s">
        <v>1501</v>
      </c>
      <c r="L66" s="154" t="s">
        <v>2772</v>
      </c>
      <c r="M66" s="154" t="s">
        <v>2829</v>
      </c>
      <c r="N66" s="156" t="s">
        <v>3547</v>
      </c>
      <c r="O66" s="156" t="s">
        <v>945</v>
      </c>
    </row>
    <row r="67" spans="1:15" ht="42">
      <c r="A67" s="154" t="s">
        <v>68</v>
      </c>
      <c r="B67" s="154" t="s">
        <v>1</v>
      </c>
      <c r="C67" s="154" t="s">
        <v>3285</v>
      </c>
      <c r="D67" s="154" t="s">
        <v>1688</v>
      </c>
      <c r="E67" s="154" t="s">
        <v>3289</v>
      </c>
      <c r="F67" s="154" t="s">
        <v>4544</v>
      </c>
      <c r="G67" s="156" t="s">
        <v>945</v>
      </c>
      <c r="H67" s="156" t="s">
        <v>3380</v>
      </c>
      <c r="I67" s="156" t="s">
        <v>3381</v>
      </c>
      <c r="J67" s="154" t="s">
        <v>3604</v>
      </c>
      <c r="K67" s="154" t="s">
        <v>3605</v>
      </c>
      <c r="L67" s="154" t="s">
        <v>3606</v>
      </c>
      <c r="M67" s="154" t="s">
        <v>2815</v>
      </c>
      <c r="N67" s="156" t="s">
        <v>3547</v>
      </c>
      <c r="O67" s="156" t="s">
        <v>945</v>
      </c>
    </row>
    <row r="68" spans="1:15" ht="42">
      <c r="A68" s="154" t="s">
        <v>69</v>
      </c>
      <c r="B68" s="154" t="s">
        <v>1</v>
      </c>
      <c r="C68" s="154" t="s">
        <v>3328</v>
      </c>
      <c r="D68" s="154" t="s">
        <v>1688</v>
      </c>
      <c r="E68" s="154" t="s">
        <v>3723</v>
      </c>
      <c r="F68" s="154" t="s">
        <v>4594</v>
      </c>
      <c r="G68" s="156" t="s">
        <v>3375</v>
      </c>
      <c r="H68" s="156" t="s">
        <v>70</v>
      </c>
      <c r="I68" s="156" t="s">
        <v>3382</v>
      </c>
      <c r="J68" s="154"/>
      <c r="K68" s="154"/>
      <c r="L68" s="154"/>
      <c r="M68" s="154"/>
      <c r="N68" s="156" t="s">
        <v>3722</v>
      </c>
      <c r="O68" s="156" t="s">
        <v>945</v>
      </c>
    </row>
    <row r="69" spans="1:15" ht="21">
      <c r="A69" s="154" t="s">
        <v>71</v>
      </c>
      <c r="B69" s="154" t="s">
        <v>1</v>
      </c>
      <c r="C69" s="154" t="s">
        <v>3328</v>
      </c>
      <c r="D69" s="154" t="s">
        <v>1688</v>
      </c>
      <c r="E69" s="154" t="s">
        <v>3723</v>
      </c>
      <c r="F69" s="154" t="s">
        <v>4594</v>
      </c>
      <c r="G69" s="156" t="s">
        <v>2405</v>
      </c>
      <c r="H69" s="156" t="s">
        <v>72</v>
      </c>
      <c r="I69" s="156" t="s">
        <v>3383</v>
      </c>
      <c r="J69" s="154"/>
      <c r="K69" s="154"/>
      <c r="L69" s="154"/>
      <c r="M69" s="154"/>
      <c r="N69" s="156" t="s">
        <v>3722</v>
      </c>
      <c r="O69" s="156" t="s">
        <v>945</v>
      </c>
    </row>
    <row r="70" spans="1:15" ht="42">
      <c r="A70" s="154" t="s">
        <v>4630</v>
      </c>
      <c r="B70" s="154" t="s">
        <v>1</v>
      </c>
      <c r="C70" s="154" t="s">
        <v>3285</v>
      </c>
      <c r="D70" s="154" t="s">
        <v>1688</v>
      </c>
      <c r="E70" s="154" t="s">
        <v>3723</v>
      </c>
      <c r="F70" s="154" t="s">
        <v>4606</v>
      </c>
      <c r="G70" s="156" t="s">
        <v>4607</v>
      </c>
      <c r="H70" s="156" t="s">
        <v>4631</v>
      </c>
      <c r="I70" s="156" t="s">
        <v>3384</v>
      </c>
      <c r="J70" s="154"/>
      <c r="K70" s="154"/>
      <c r="L70" s="154"/>
      <c r="M70" s="154"/>
      <c r="N70" s="156" t="s">
        <v>3722</v>
      </c>
      <c r="O70" s="156" t="s">
        <v>945</v>
      </c>
    </row>
    <row r="71" spans="1:15" ht="42">
      <c r="A71" s="154" t="s">
        <v>4632</v>
      </c>
      <c r="B71" s="154" t="s">
        <v>1</v>
      </c>
      <c r="C71" s="154" t="s">
        <v>3285</v>
      </c>
      <c r="D71" s="154" t="s">
        <v>1688</v>
      </c>
      <c r="E71" s="154" t="s">
        <v>3289</v>
      </c>
      <c r="F71" s="154" t="s">
        <v>4544</v>
      </c>
      <c r="G71" s="156" t="s">
        <v>4610</v>
      </c>
      <c r="H71" s="156" t="s">
        <v>4633</v>
      </c>
      <c r="I71" s="156" t="s">
        <v>3384</v>
      </c>
      <c r="J71" s="154" t="s">
        <v>3761</v>
      </c>
      <c r="K71" s="154" t="s">
        <v>4517</v>
      </c>
      <c r="L71" s="154" t="s">
        <v>4520</v>
      </c>
      <c r="M71" s="154" t="s">
        <v>4251</v>
      </c>
      <c r="N71" s="156" t="s">
        <v>3547</v>
      </c>
      <c r="O71" s="156" t="s">
        <v>945</v>
      </c>
    </row>
    <row r="72" spans="1:15" ht="42">
      <c r="A72" s="154" t="s">
        <v>75</v>
      </c>
      <c r="B72" s="154" t="s">
        <v>1</v>
      </c>
      <c r="C72" s="154" t="s">
        <v>3285</v>
      </c>
      <c r="D72" s="154" t="s">
        <v>1688</v>
      </c>
      <c r="E72" s="154" t="s">
        <v>3289</v>
      </c>
      <c r="F72" s="154" t="s">
        <v>4544</v>
      </c>
      <c r="G72" s="156" t="s">
        <v>4634</v>
      </c>
      <c r="H72" s="156" t="s">
        <v>76</v>
      </c>
      <c r="I72" s="156" t="s">
        <v>3385</v>
      </c>
      <c r="J72" s="154" t="s">
        <v>3607</v>
      </c>
      <c r="K72" s="154" t="s">
        <v>1466</v>
      </c>
      <c r="L72" s="154" t="s">
        <v>2514</v>
      </c>
      <c r="M72" s="154" t="s">
        <v>3608</v>
      </c>
      <c r="N72" s="156" t="s">
        <v>3547</v>
      </c>
      <c r="O72" s="156" t="s">
        <v>4563</v>
      </c>
    </row>
    <row r="73" spans="1:15" ht="42">
      <c r="A73" s="154" t="s">
        <v>4635</v>
      </c>
      <c r="B73" s="154" t="s">
        <v>1</v>
      </c>
      <c r="C73" s="154" t="s">
        <v>3293</v>
      </c>
      <c r="D73" s="154" t="s">
        <v>1688</v>
      </c>
      <c r="E73" s="154" t="s">
        <v>3289</v>
      </c>
      <c r="F73" s="154" t="s">
        <v>4544</v>
      </c>
      <c r="G73" s="156" t="s">
        <v>4636</v>
      </c>
      <c r="H73" s="156" t="s">
        <v>4637</v>
      </c>
      <c r="I73" s="156" t="s">
        <v>3386</v>
      </c>
      <c r="J73" s="154" t="s">
        <v>3609</v>
      </c>
      <c r="K73" s="154" t="s">
        <v>3610</v>
      </c>
      <c r="L73" s="154" t="s">
        <v>3611</v>
      </c>
      <c r="M73" s="154" t="s">
        <v>3612</v>
      </c>
      <c r="N73" s="156" t="s">
        <v>3547</v>
      </c>
      <c r="O73" s="156" t="s">
        <v>945</v>
      </c>
    </row>
    <row r="74" spans="1:15" ht="42">
      <c r="A74" s="154" t="s">
        <v>4638</v>
      </c>
      <c r="B74" s="154" t="s">
        <v>1</v>
      </c>
      <c r="C74" s="154" t="s">
        <v>3293</v>
      </c>
      <c r="D74" s="154" t="s">
        <v>1688</v>
      </c>
      <c r="E74" s="154" t="s">
        <v>3723</v>
      </c>
      <c r="F74" s="154" t="s">
        <v>4568</v>
      </c>
      <c r="G74" s="156" t="s">
        <v>4639</v>
      </c>
      <c r="H74" s="156" t="s">
        <v>4640</v>
      </c>
      <c r="I74" s="156" t="s">
        <v>3386</v>
      </c>
      <c r="J74" s="154"/>
      <c r="K74" s="154"/>
      <c r="L74" s="154"/>
      <c r="M74" s="154" t="s">
        <v>1151</v>
      </c>
      <c r="N74" s="156" t="s">
        <v>3724</v>
      </c>
      <c r="O74" s="156" t="s">
        <v>945</v>
      </c>
    </row>
    <row r="75" spans="1:15" ht="63">
      <c r="A75" s="154" t="s">
        <v>81</v>
      </c>
      <c r="B75" s="154" t="s">
        <v>1</v>
      </c>
      <c r="C75" s="154" t="s">
        <v>3285</v>
      </c>
      <c r="D75" s="154" t="s">
        <v>1688</v>
      </c>
      <c r="E75" s="154" t="s">
        <v>3286</v>
      </c>
      <c r="F75" s="154" t="s">
        <v>4551</v>
      </c>
      <c r="G75" s="156" t="s">
        <v>3388</v>
      </c>
      <c r="H75" s="156" t="s">
        <v>82</v>
      </c>
      <c r="I75" s="156" t="s">
        <v>3387</v>
      </c>
      <c r="J75" s="154"/>
      <c r="K75" s="154"/>
      <c r="L75" s="154"/>
      <c r="M75" s="154"/>
      <c r="N75" s="156" t="s">
        <v>4554</v>
      </c>
      <c r="O75" s="156" t="s">
        <v>4549</v>
      </c>
    </row>
    <row r="76" spans="1:15" ht="21">
      <c r="A76" s="154" t="s">
        <v>73</v>
      </c>
      <c r="B76" s="154" t="s">
        <v>1</v>
      </c>
      <c r="C76" s="154" t="s">
        <v>3285</v>
      </c>
      <c r="D76" s="154" t="s">
        <v>1688</v>
      </c>
      <c r="E76" s="154" t="s">
        <v>3723</v>
      </c>
      <c r="F76" s="154" t="s">
        <v>4606</v>
      </c>
      <c r="G76" s="156" t="s">
        <v>3390</v>
      </c>
      <c r="H76" s="156" t="s">
        <v>74</v>
      </c>
      <c r="I76" s="156" t="s">
        <v>3389</v>
      </c>
      <c r="J76" s="154"/>
      <c r="K76" s="154"/>
      <c r="L76" s="154"/>
      <c r="M76" s="154"/>
      <c r="N76" s="156" t="s">
        <v>3722</v>
      </c>
      <c r="O76" s="156" t="s">
        <v>945</v>
      </c>
    </row>
    <row r="77" spans="1:15" ht="84">
      <c r="A77" s="154" t="s">
        <v>4641</v>
      </c>
      <c r="B77" s="154" t="s">
        <v>1</v>
      </c>
      <c r="C77" s="154" t="s">
        <v>3285</v>
      </c>
      <c r="D77" s="154" t="s">
        <v>1688</v>
      </c>
      <c r="E77" s="154" t="s">
        <v>3289</v>
      </c>
      <c r="F77" s="154" t="s">
        <v>4544</v>
      </c>
      <c r="G77" s="156" t="s">
        <v>4642</v>
      </c>
      <c r="H77" s="156" t="s">
        <v>4643</v>
      </c>
      <c r="I77" s="156" t="s">
        <v>4644</v>
      </c>
      <c r="J77" s="154" t="s">
        <v>3613</v>
      </c>
      <c r="K77" s="154" t="s">
        <v>3614</v>
      </c>
      <c r="L77" s="154" t="s">
        <v>3615</v>
      </c>
      <c r="M77" s="154" t="s">
        <v>3616</v>
      </c>
      <c r="N77" s="156" t="s">
        <v>3547</v>
      </c>
      <c r="O77" s="156" t="s">
        <v>4563</v>
      </c>
    </row>
    <row r="78" spans="1:15" ht="84">
      <c r="A78" s="154" t="s">
        <v>4645</v>
      </c>
      <c r="B78" s="154" t="s">
        <v>1</v>
      </c>
      <c r="C78" s="154" t="s">
        <v>3285</v>
      </c>
      <c r="D78" s="154" t="s">
        <v>1688</v>
      </c>
      <c r="E78" s="154" t="s">
        <v>3723</v>
      </c>
      <c r="F78" s="154" t="s">
        <v>4606</v>
      </c>
      <c r="G78" s="156" t="s">
        <v>4646</v>
      </c>
      <c r="H78" s="156" t="s">
        <v>4647</v>
      </c>
      <c r="I78" s="156" t="s">
        <v>4644</v>
      </c>
      <c r="J78" s="154"/>
      <c r="K78" s="154"/>
      <c r="L78" s="154"/>
      <c r="M78" s="154" t="s">
        <v>4251</v>
      </c>
      <c r="N78" s="156" t="s">
        <v>3722</v>
      </c>
      <c r="O78" s="156" t="s">
        <v>4563</v>
      </c>
    </row>
    <row r="79" spans="1:15" ht="42">
      <c r="A79" s="154" t="s">
        <v>77</v>
      </c>
      <c r="B79" s="154" t="s">
        <v>1</v>
      </c>
      <c r="C79" s="154" t="s">
        <v>3308</v>
      </c>
      <c r="D79" s="154" t="s">
        <v>250</v>
      </c>
      <c r="E79" s="154" t="s">
        <v>945</v>
      </c>
      <c r="F79" s="154" t="s">
        <v>945</v>
      </c>
      <c r="G79" s="156" t="s">
        <v>3392</v>
      </c>
      <c r="H79" s="156" t="s">
        <v>78</v>
      </c>
      <c r="I79" s="156" t="s">
        <v>3391</v>
      </c>
      <c r="J79" s="154"/>
      <c r="K79" s="154"/>
      <c r="L79" s="154"/>
      <c r="M79" s="154"/>
      <c r="N79" s="156" t="s">
        <v>3334</v>
      </c>
      <c r="O79" s="156" t="s">
        <v>945</v>
      </c>
    </row>
    <row r="80" spans="1:15" ht="21">
      <c r="A80" s="154" t="s">
        <v>79</v>
      </c>
      <c r="B80" s="154" t="s">
        <v>1</v>
      </c>
      <c r="C80" s="154" t="s">
        <v>3285</v>
      </c>
      <c r="D80" s="154" t="s">
        <v>1688</v>
      </c>
      <c r="E80" s="154" t="s">
        <v>3723</v>
      </c>
      <c r="F80" s="154" t="s">
        <v>4606</v>
      </c>
      <c r="G80" s="156" t="s">
        <v>3394</v>
      </c>
      <c r="H80" s="156" t="s">
        <v>80</v>
      </c>
      <c r="I80" s="156" t="s">
        <v>3393</v>
      </c>
      <c r="J80" s="154"/>
      <c r="K80" s="154"/>
      <c r="L80" s="154"/>
      <c r="M80" s="154"/>
      <c r="N80" s="156" t="s">
        <v>3722</v>
      </c>
      <c r="O80" s="156" t="s">
        <v>945</v>
      </c>
    </row>
    <row r="81" spans="1:15" ht="21">
      <c r="A81" s="154" t="s">
        <v>85</v>
      </c>
      <c r="B81" s="154" t="s">
        <v>1</v>
      </c>
      <c r="C81" s="154" t="s">
        <v>3308</v>
      </c>
      <c r="D81" s="154" t="s">
        <v>1688</v>
      </c>
      <c r="E81" s="154" t="s">
        <v>3723</v>
      </c>
      <c r="F81" s="154" t="s">
        <v>4606</v>
      </c>
      <c r="G81" s="156" t="s">
        <v>3390</v>
      </c>
      <c r="H81" s="156" t="s">
        <v>86</v>
      </c>
      <c r="I81" s="156" t="s">
        <v>3395</v>
      </c>
      <c r="J81" s="154"/>
      <c r="K81" s="154"/>
      <c r="L81" s="154"/>
      <c r="M81" s="154"/>
      <c r="N81" s="156" t="s">
        <v>3722</v>
      </c>
      <c r="O81" s="156" t="s">
        <v>945</v>
      </c>
    </row>
    <row r="82" spans="1:15" ht="42">
      <c r="A82" s="154" t="s">
        <v>87</v>
      </c>
      <c r="B82" s="154" t="s">
        <v>1</v>
      </c>
      <c r="C82" s="154" t="s">
        <v>3285</v>
      </c>
      <c r="D82" s="154" t="s">
        <v>1688</v>
      </c>
      <c r="E82" s="154" t="s">
        <v>3286</v>
      </c>
      <c r="F82" s="154" t="s">
        <v>4551</v>
      </c>
      <c r="G82" s="156" t="s">
        <v>3388</v>
      </c>
      <c r="H82" s="156" t="s">
        <v>88</v>
      </c>
      <c r="I82" s="156" t="s">
        <v>3396</v>
      </c>
      <c r="J82" s="154"/>
      <c r="K82" s="154"/>
      <c r="L82" s="154"/>
      <c r="M82" s="154"/>
      <c r="N82" s="156" t="s">
        <v>3722</v>
      </c>
      <c r="O82" s="156" t="s">
        <v>4549</v>
      </c>
    </row>
    <row r="83" spans="1:15" ht="84">
      <c r="A83" s="154" t="s">
        <v>4648</v>
      </c>
      <c r="B83" s="154" t="s">
        <v>1</v>
      </c>
      <c r="C83" s="154" t="s">
        <v>3308</v>
      </c>
      <c r="D83" s="154" t="s">
        <v>1688</v>
      </c>
      <c r="E83" s="154" t="s">
        <v>3289</v>
      </c>
      <c r="F83" s="154" t="s">
        <v>4544</v>
      </c>
      <c r="G83" s="156" t="s">
        <v>4649</v>
      </c>
      <c r="H83" s="156" t="s">
        <v>4650</v>
      </c>
      <c r="I83" s="156" t="s">
        <v>3397</v>
      </c>
      <c r="J83" s="154" t="s">
        <v>3617</v>
      </c>
      <c r="K83" s="154" t="s">
        <v>3618</v>
      </c>
      <c r="L83" s="154" t="s">
        <v>3619</v>
      </c>
      <c r="M83" s="154" t="s">
        <v>2819</v>
      </c>
      <c r="N83" s="156" t="s">
        <v>3547</v>
      </c>
      <c r="O83" s="156" t="s">
        <v>945</v>
      </c>
    </row>
    <row r="84" spans="1:15" ht="63">
      <c r="A84" s="154" t="s">
        <v>4651</v>
      </c>
      <c r="B84" s="154" t="s">
        <v>1</v>
      </c>
      <c r="C84" s="154" t="s">
        <v>3308</v>
      </c>
      <c r="D84" s="154" t="s">
        <v>1688</v>
      </c>
      <c r="E84" s="154" t="s">
        <v>3723</v>
      </c>
      <c r="F84" s="154" t="s">
        <v>4606</v>
      </c>
      <c r="G84" s="156" t="s">
        <v>4652</v>
      </c>
      <c r="H84" s="156" t="s">
        <v>4653</v>
      </c>
      <c r="I84" s="156" t="s">
        <v>3397</v>
      </c>
      <c r="J84" s="154"/>
      <c r="K84" s="154"/>
      <c r="L84" s="154"/>
      <c r="M84" s="154" t="s">
        <v>1164</v>
      </c>
      <c r="N84" s="156" t="s">
        <v>3722</v>
      </c>
      <c r="O84" s="156" t="s">
        <v>945</v>
      </c>
    </row>
    <row r="85" spans="1:15" ht="21">
      <c r="A85" s="154" t="s">
        <v>83</v>
      </c>
      <c r="B85" s="154" t="s">
        <v>1</v>
      </c>
      <c r="C85" s="154" t="s">
        <v>3308</v>
      </c>
      <c r="D85" s="154" t="s">
        <v>1688</v>
      </c>
      <c r="E85" s="154" t="s">
        <v>3723</v>
      </c>
      <c r="F85" s="154" t="s">
        <v>4606</v>
      </c>
      <c r="G85" s="156" t="s">
        <v>3390</v>
      </c>
      <c r="H85" s="156" t="s">
        <v>84</v>
      </c>
      <c r="I85" s="156" t="s">
        <v>3398</v>
      </c>
      <c r="J85" s="154"/>
      <c r="K85" s="154"/>
      <c r="L85" s="154"/>
      <c r="M85" s="154"/>
      <c r="N85" s="156" t="s">
        <v>3722</v>
      </c>
      <c r="O85" s="156" t="s">
        <v>945</v>
      </c>
    </row>
    <row r="86" spans="1:15" ht="63">
      <c r="A86" s="154" t="s">
        <v>4342</v>
      </c>
      <c r="B86" s="154" t="s">
        <v>1</v>
      </c>
      <c r="C86" s="154" t="s">
        <v>3308</v>
      </c>
      <c r="D86" s="154" t="s">
        <v>1688</v>
      </c>
      <c r="E86" s="154" t="s">
        <v>3289</v>
      </c>
      <c r="F86" s="154" t="s">
        <v>4544</v>
      </c>
      <c r="G86" s="156" t="s">
        <v>4654</v>
      </c>
      <c r="H86" s="156" t="s">
        <v>4655</v>
      </c>
      <c r="I86" s="156" t="s">
        <v>4656</v>
      </c>
      <c r="J86" s="154" t="s">
        <v>1595</v>
      </c>
      <c r="K86" s="154" t="s">
        <v>4511</v>
      </c>
      <c r="L86" s="154" t="s">
        <v>4514</v>
      </c>
      <c r="M86" s="154" t="s">
        <v>4339</v>
      </c>
      <c r="N86" s="156" t="s">
        <v>3547</v>
      </c>
      <c r="O86" s="156" t="s">
        <v>4657</v>
      </c>
    </row>
    <row r="87" spans="1:15" ht="21">
      <c r="A87" s="154" t="s">
        <v>89</v>
      </c>
      <c r="B87" s="154" t="s">
        <v>1</v>
      </c>
      <c r="C87" s="154" t="s">
        <v>3285</v>
      </c>
      <c r="D87" s="154" t="s">
        <v>1688</v>
      </c>
      <c r="E87" s="154" t="s">
        <v>3723</v>
      </c>
      <c r="F87" s="154" t="s">
        <v>4606</v>
      </c>
      <c r="G87" s="156" t="s">
        <v>3401</v>
      </c>
      <c r="H87" s="156" t="s">
        <v>3399</v>
      </c>
      <c r="I87" s="156" t="s">
        <v>3400</v>
      </c>
      <c r="J87" s="154"/>
      <c r="K87" s="154"/>
      <c r="L87" s="154"/>
      <c r="M87" s="154"/>
      <c r="N87" s="156" t="s">
        <v>3722</v>
      </c>
      <c r="O87" s="156" t="s">
        <v>945</v>
      </c>
    </row>
    <row r="88" spans="1:15" ht="21">
      <c r="A88" s="154" t="s">
        <v>90</v>
      </c>
      <c r="B88" s="154" t="s">
        <v>1</v>
      </c>
      <c r="C88" s="154" t="s">
        <v>3285</v>
      </c>
      <c r="D88" s="154" t="s">
        <v>1688</v>
      </c>
      <c r="E88" s="154" t="s">
        <v>3289</v>
      </c>
      <c r="F88" s="154" t="s">
        <v>4544</v>
      </c>
      <c r="G88" s="156" t="s">
        <v>3403</v>
      </c>
      <c r="H88" s="156" t="s">
        <v>91</v>
      </c>
      <c r="I88" s="156" t="s">
        <v>3402</v>
      </c>
      <c r="J88" s="154" t="s">
        <v>3620</v>
      </c>
      <c r="K88" s="154" t="s">
        <v>3621</v>
      </c>
      <c r="L88" s="154" t="s">
        <v>3622</v>
      </c>
      <c r="M88" s="154" t="s">
        <v>3623</v>
      </c>
      <c r="N88" s="156" t="s">
        <v>3547</v>
      </c>
      <c r="O88" s="156" t="s">
        <v>945</v>
      </c>
    </row>
    <row r="89" spans="1:15" ht="21">
      <c r="A89" s="154" t="s">
        <v>92</v>
      </c>
      <c r="B89" s="154" t="s">
        <v>1</v>
      </c>
      <c r="C89" s="154" t="s">
        <v>3285</v>
      </c>
      <c r="D89" s="154" t="s">
        <v>1688</v>
      </c>
      <c r="E89" s="154" t="s">
        <v>3289</v>
      </c>
      <c r="F89" s="154" t="s">
        <v>4544</v>
      </c>
      <c r="G89" s="156" t="s">
        <v>945</v>
      </c>
      <c r="H89" s="156" t="s">
        <v>3404</v>
      </c>
      <c r="I89" s="156" t="s">
        <v>3405</v>
      </c>
      <c r="J89" s="154" t="s">
        <v>3624</v>
      </c>
      <c r="K89" s="154" t="s">
        <v>1666</v>
      </c>
      <c r="L89" s="154" t="s">
        <v>3625</v>
      </c>
      <c r="M89" s="154" t="s">
        <v>3626</v>
      </c>
      <c r="N89" s="156" t="s">
        <v>3547</v>
      </c>
      <c r="O89" s="156" t="s">
        <v>945</v>
      </c>
    </row>
    <row r="90" spans="1:15" ht="21">
      <c r="A90" s="154" t="s">
        <v>93</v>
      </c>
      <c r="B90" s="154" t="s">
        <v>1</v>
      </c>
      <c r="C90" s="154" t="s">
        <v>3285</v>
      </c>
      <c r="D90" s="154" t="s">
        <v>1688</v>
      </c>
      <c r="E90" s="154" t="s">
        <v>3289</v>
      </c>
      <c r="F90" s="154" t="s">
        <v>4544</v>
      </c>
      <c r="G90" s="156" t="s">
        <v>945</v>
      </c>
      <c r="H90" s="156" t="s">
        <v>94</v>
      </c>
      <c r="I90" s="156" t="s">
        <v>3406</v>
      </c>
      <c r="J90" s="154" t="s">
        <v>1445</v>
      </c>
      <c r="K90" s="154" t="s">
        <v>1669</v>
      </c>
      <c r="L90" s="154" t="s">
        <v>3627</v>
      </c>
      <c r="M90" s="154" t="s">
        <v>1147</v>
      </c>
      <c r="N90" s="156" t="s">
        <v>3547</v>
      </c>
      <c r="O90" s="156" t="s">
        <v>945</v>
      </c>
    </row>
    <row r="91" spans="1:15" ht="21">
      <c r="A91" s="154" t="s">
        <v>95</v>
      </c>
      <c r="B91" s="154" t="s">
        <v>1</v>
      </c>
      <c r="C91" s="154" t="s">
        <v>3285</v>
      </c>
      <c r="D91" s="154" t="s">
        <v>1688</v>
      </c>
      <c r="E91" s="154" t="s">
        <v>3723</v>
      </c>
      <c r="F91" s="154" t="s">
        <v>4606</v>
      </c>
      <c r="G91" s="156" t="s">
        <v>3394</v>
      </c>
      <c r="H91" s="156" t="s">
        <v>96</v>
      </c>
      <c r="I91" s="156" t="s">
        <v>3407</v>
      </c>
      <c r="J91" s="154"/>
      <c r="K91" s="154"/>
      <c r="L91" s="154"/>
      <c r="M91" s="154"/>
      <c r="N91" s="156" t="s">
        <v>3722</v>
      </c>
      <c r="O91" s="156" t="s">
        <v>945</v>
      </c>
    </row>
    <row r="92" spans="1:15" ht="21">
      <c r="A92" s="154" t="s">
        <v>101</v>
      </c>
      <c r="B92" s="154" t="s">
        <v>1</v>
      </c>
      <c r="C92" s="154" t="s">
        <v>3328</v>
      </c>
      <c r="D92" s="154" t="s">
        <v>1688</v>
      </c>
      <c r="E92" s="154" t="s">
        <v>3723</v>
      </c>
      <c r="F92" s="154" t="s">
        <v>4606</v>
      </c>
      <c r="G92" s="156" t="s">
        <v>2405</v>
      </c>
      <c r="H92" s="156" t="s">
        <v>102</v>
      </c>
      <c r="I92" s="156" t="s">
        <v>3408</v>
      </c>
      <c r="J92" s="154"/>
      <c r="K92" s="154"/>
      <c r="L92" s="154"/>
      <c r="M92" s="154"/>
      <c r="N92" s="156" t="s">
        <v>3722</v>
      </c>
      <c r="O92" s="156" t="s">
        <v>945</v>
      </c>
    </row>
    <row r="93" spans="1:15" ht="63">
      <c r="A93" s="154" t="s">
        <v>4658</v>
      </c>
      <c r="B93" s="154" t="s">
        <v>1</v>
      </c>
      <c r="C93" s="154" t="s">
        <v>3285</v>
      </c>
      <c r="D93" s="154" t="s">
        <v>1688</v>
      </c>
      <c r="E93" s="154" t="s">
        <v>3289</v>
      </c>
      <c r="F93" s="154" t="s">
        <v>4544</v>
      </c>
      <c r="G93" s="156" t="s">
        <v>4659</v>
      </c>
      <c r="H93" s="156" t="s">
        <v>4660</v>
      </c>
      <c r="I93" s="156" t="s">
        <v>4661</v>
      </c>
      <c r="J93" s="154" t="s">
        <v>3628</v>
      </c>
      <c r="K93" s="154" t="s">
        <v>3629</v>
      </c>
      <c r="L93" s="154" t="s">
        <v>3630</v>
      </c>
      <c r="M93" s="154" t="s">
        <v>3631</v>
      </c>
      <c r="N93" s="156" t="s">
        <v>3547</v>
      </c>
      <c r="O93" s="156" t="s">
        <v>945</v>
      </c>
    </row>
    <row r="94" spans="1:15" ht="63">
      <c r="A94" s="154" t="s">
        <v>4662</v>
      </c>
      <c r="B94" s="154" t="s">
        <v>1</v>
      </c>
      <c r="C94" s="154" t="s">
        <v>3285</v>
      </c>
      <c r="D94" s="154" t="s">
        <v>1688</v>
      </c>
      <c r="E94" s="154" t="s">
        <v>3723</v>
      </c>
      <c r="F94" s="154" t="s">
        <v>4663</v>
      </c>
      <c r="G94" s="156" t="s">
        <v>4664</v>
      </c>
      <c r="H94" s="156" t="s">
        <v>4665</v>
      </c>
      <c r="I94" s="156" t="s">
        <v>4661</v>
      </c>
      <c r="J94" s="154"/>
      <c r="K94" s="154"/>
      <c r="L94" s="154"/>
      <c r="M94" s="154" t="s">
        <v>1163</v>
      </c>
      <c r="N94" s="156" t="s">
        <v>4666</v>
      </c>
      <c r="O94" s="156" t="s">
        <v>945</v>
      </c>
    </row>
    <row r="95" spans="1:15" ht="21">
      <c r="A95" s="154" t="s">
        <v>99</v>
      </c>
      <c r="B95" s="154" t="s">
        <v>1</v>
      </c>
      <c r="C95" s="154" t="s">
        <v>3308</v>
      </c>
      <c r="D95" s="154" t="s">
        <v>1688</v>
      </c>
      <c r="E95" s="154" t="s">
        <v>3289</v>
      </c>
      <c r="F95" s="154" t="s">
        <v>4544</v>
      </c>
      <c r="G95" s="156" t="s">
        <v>945</v>
      </c>
      <c r="H95" s="156" t="s">
        <v>100</v>
      </c>
      <c r="I95" s="156" t="s">
        <v>3409</v>
      </c>
      <c r="J95" s="154" t="s">
        <v>3628</v>
      </c>
      <c r="K95" s="154" t="s">
        <v>3629</v>
      </c>
      <c r="L95" s="154" t="s">
        <v>3630</v>
      </c>
      <c r="M95" s="154" t="s">
        <v>3631</v>
      </c>
      <c r="N95" s="156" t="s">
        <v>3547</v>
      </c>
      <c r="O95" s="156" t="s">
        <v>945</v>
      </c>
    </row>
    <row r="96" spans="1:15" ht="21">
      <c r="A96" s="154" t="s">
        <v>97</v>
      </c>
      <c r="B96" s="154" t="s">
        <v>1</v>
      </c>
      <c r="C96" s="154" t="s">
        <v>3285</v>
      </c>
      <c r="D96" s="154" t="s">
        <v>1688</v>
      </c>
      <c r="E96" s="154" t="s">
        <v>3289</v>
      </c>
      <c r="F96" s="154" t="s">
        <v>4544</v>
      </c>
      <c r="G96" s="156" t="s">
        <v>945</v>
      </c>
      <c r="H96" s="156" t="s">
        <v>98</v>
      </c>
      <c r="I96" s="156" t="s">
        <v>3410</v>
      </c>
      <c r="J96" s="154" t="s">
        <v>1714</v>
      </c>
      <c r="K96" s="154" t="s">
        <v>1667</v>
      </c>
      <c r="L96" s="154" t="s">
        <v>3598</v>
      </c>
      <c r="M96" s="154" t="s">
        <v>3574</v>
      </c>
      <c r="N96" s="156" t="s">
        <v>3547</v>
      </c>
      <c r="O96" s="156" t="s">
        <v>945</v>
      </c>
    </row>
    <row r="97" spans="1:15" ht="21">
      <c r="A97" s="154" t="s">
        <v>103</v>
      </c>
      <c r="B97" s="154" t="s">
        <v>1</v>
      </c>
      <c r="C97" s="154" t="s">
        <v>3285</v>
      </c>
      <c r="D97" s="154" t="s">
        <v>1688</v>
      </c>
      <c r="E97" s="154" t="s">
        <v>3723</v>
      </c>
      <c r="F97" s="154" t="s">
        <v>4606</v>
      </c>
      <c r="G97" s="156" t="s">
        <v>3412</v>
      </c>
      <c r="H97" s="156" t="s">
        <v>104</v>
      </c>
      <c r="I97" s="156" t="s">
        <v>3411</v>
      </c>
      <c r="J97" s="154"/>
      <c r="K97" s="154"/>
      <c r="L97" s="154"/>
      <c r="M97" s="154"/>
      <c r="N97" s="156" t="s">
        <v>3722</v>
      </c>
      <c r="O97" s="156" t="s">
        <v>945</v>
      </c>
    </row>
    <row r="98" spans="1:15" ht="42">
      <c r="A98" s="154" t="s">
        <v>105</v>
      </c>
      <c r="B98" s="154" t="s">
        <v>1</v>
      </c>
      <c r="C98" s="154" t="s">
        <v>3308</v>
      </c>
      <c r="D98" s="154" t="s">
        <v>1688</v>
      </c>
      <c r="E98" s="154" t="s">
        <v>3723</v>
      </c>
      <c r="F98" s="154" t="s">
        <v>4606</v>
      </c>
      <c r="G98" s="156" t="s">
        <v>2405</v>
      </c>
      <c r="H98" s="156" t="s">
        <v>106</v>
      </c>
      <c r="I98" s="156" t="s">
        <v>3413</v>
      </c>
      <c r="J98" s="154"/>
      <c r="K98" s="154"/>
      <c r="L98" s="154"/>
      <c r="M98" s="154"/>
      <c r="N98" s="156" t="s">
        <v>3722</v>
      </c>
      <c r="O98" s="156" t="s">
        <v>945</v>
      </c>
    </row>
    <row r="99" spans="1:15" ht="42">
      <c r="A99" s="154" t="s">
        <v>107</v>
      </c>
      <c r="B99" s="154" t="s">
        <v>1</v>
      </c>
      <c r="C99" s="154" t="s">
        <v>3308</v>
      </c>
      <c r="D99" s="154" t="s">
        <v>1688</v>
      </c>
      <c r="E99" s="154" t="s">
        <v>3289</v>
      </c>
      <c r="F99" s="154" t="s">
        <v>4544</v>
      </c>
      <c r="G99" s="156" t="s">
        <v>4667</v>
      </c>
      <c r="H99" s="156" t="s">
        <v>3414</v>
      </c>
      <c r="I99" s="156" t="s">
        <v>3415</v>
      </c>
      <c r="J99" s="154" t="s">
        <v>3632</v>
      </c>
      <c r="K99" s="154" t="s">
        <v>3633</v>
      </c>
      <c r="L99" s="154" t="s">
        <v>3634</v>
      </c>
      <c r="M99" s="154" t="s">
        <v>3635</v>
      </c>
      <c r="N99" s="156" t="s">
        <v>3547</v>
      </c>
      <c r="O99" s="156" t="s">
        <v>945</v>
      </c>
    </row>
    <row r="100" spans="1:15" ht="21">
      <c r="A100" s="154" t="s">
        <v>108</v>
      </c>
      <c r="B100" s="154" t="s">
        <v>1</v>
      </c>
      <c r="C100" s="154" t="s">
        <v>3285</v>
      </c>
      <c r="D100" s="154" t="s">
        <v>1688</v>
      </c>
      <c r="E100" s="154" t="s">
        <v>3289</v>
      </c>
      <c r="F100" s="154" t="s">
        <v>4544</v>
      </c>
      <c r="G100" s="156" t="s">
        <v>945</v>
      </c>
      <c r="H100" s="156" t="s">
        <v>109</v>
      </c>
      <c r="I100" s="156" t="s">
        <v>3416</v>
      </c>
      <c r="J100" s="154" t="s">
        <v>3636</v>
      </c>
      <c r="K100" s="154" t="s">
        <v>3637</v>
      </c>
      <c r="L100" s="154" t="s">
        <v>3638</v>
      </c>
      <c r="M100" s="154" t="s">
        <v>1144</v>
      </c>
      <c r="N100" s="156" t="s">
        <v>3547</v>
      </c>
      <c r="O100" s="156" t="s">
        <v>945</v>
      </c>
    </row>
    <row r="101" spans="1:15" ht="21">
      <c r="A101" s="154" t="s">
        <v>110</v>
      </c>
      <c r="B101" s="154" t="s">
        <v>1</v>
      </c>
      <c r="C101" s="154" t="s">
        <v>3285</v>
      </c>
      <c r="D101" s="154" t="s">
        <v>1688</v>
      </c>
      <c r="E101" s="154" t="s">
        <v>3289</v>
      </c>
      <c r="F101" s="154" t="s">
        <v>4544</v>
      </c>
      <c r="G101" s="156" t="s">
        <v>945</v>
      </c>
      <c r="H101" s="156" t="s">
        <v>3417</v>
      </c>
      <c r="I101" s="156" t="s">
        <v>3418</v>
      </c>
      <c r="J101" s="154" t="s">
        <v>1445</v>
      </c>
      <c r="K101" s="154" t="s">
        <v>1669</v>
      </c>
      <c r="L101" s="154" t="s">
        <v>3627</v>
      </c>
      <c r="M101" s="154" t="s">
        <v>1147</v>
      </c>
      <c r="N101" s="156" t="s">
        <v>3547</v>
      </c>
      <c r="O101" s="156" t="s">
        <v>945</v>
      </c>
    </row>
    <row r="102" spans="1:15" ht="21">
      <c r="A102" s="154" t="s">
        <v>111</v>
      </c>
      <c r="B102" s="154" t="s">
        <v>1</v>
      </c>
      <c r="C102" s="154" t="s">
        <v>3285</v>
      </c>
      <c r="D102" s="154" t="s">
        <v>1688</v>
      </c>
      <c r="E102" s="154" t="s">
        <v>3289</v>
      </c>
      <c r="F102" s="154" t="s">
        <v>4544</v>
      </c>
      <c r="G102" s="156" t="s">
        <v>945</v>
      </c>
      <c r="H102" s="156" t="s">
        <v>3419</v>
      </c>
      <c r="I102" s="156" t="s">
        <v>3420</v>
      </c>
      <c r="J102" s="154" t="s">
        <v>3639</v>
      </c>
      <c r="K102" s="154" t="s">
        <v>3640</v>
      </c>
      <c r="L102" s="154" t="s">
        <v>3641</v>
      </c>
      <c r="M102" s="154" t="s">
        <v>2821</v>
      </c>
      <c r="N102" s="156" t="s">
        <v>3547</v>
      </c>
      <c r="O102" s="156" t="s">
        <v>945</v>
      </c>
    </row>
    <row r="103" spans="1:15" ht="21">
      <c r="A103" s="154" t="s">
        <v>112</v>
      </c>
      <c r="B103" s="154" t="s">
        <v>1</v>
      </c>
      <c r="C103" s="154" t="s">
        <v>3308</v>
      </c>
      <c r="D103" s="154" t="s">
        <v>1688</v>
      </c>
      <c r="E103" s="154" t="s">
        <v>3289</v>
      </c>
      <c r="F103" s="154" t="s">
        <v>4544</v>
      </c>
      <c r="G103" s="156" t="s">
        <v>945</v>
      </c>
      <c r="H103" s="156" t="s">
        <v>113</v>
      </c>
      <c r="I103" s="156" t="s">
        <v>3421</v>
      </c>
      <c r="J103" s="154" t="s">
        <v>3642</v>
      </c>
      <c r="K103" s="154" t="s">
        <v>3643</v>
      </c>
      <c r="L103" s="154" t="s">
        <v>3644</v>
      </c>
      <c r="M103" s="154" t="s">
        <v>3645</v>
      </c>
      <c r="N103" s="156" t="s">
        <v>3547</v>
      </c>
      <c r="O103" s="156" t="s">
        <v>945</v>
      </c>
    </row>
    <row r="104" spans="1:15" ht="42">
      <c r="A104" s="154" t="s">
        <v>117</v>
      </c>
      <c r="B104" s="154" t="s">
        <v>1</v>
      </c>
      <c r="C104" s="154" t="s">
        <v>3308</v>
      </c>
      <c r="D104" s="154" t="s">
        <v>250</v>
      </c>
      <c r="E104" s="154" t="s">
        <v>945</v>
      </c>
      <c r="F104" s="154" t="s">
        <v>945</v>
      </c>
      <c r="G104" s="156" t="s">
        <v>3334</v>
      </c>
      <c r="H104" s="156" t="s">
        <v>3422</v>
      </c>
      <c r="I104" s="156" t="s">
        <v>3423</v>
      </c>
      <c r="J104" s="154"/>
      <c r="K104" s="154"/>
      <c r="L104" s="154"/>
      <c r="M104" s="154"/>
      <c r="N104" s="156" t="s">
        <v>3334</v>
      </c>
      <c r="O104" s="156" t="s">
        <v>945</v>
      </c>
    </row>
    <row r="105" spans="1:15" ht="63">
      <c r="A105" s="154" t="s">
        <v>118</v>
      </c>
      <c r="B105" s="154" t="s">
        <v>1</v>
      </c>
      <c r="C105" s="154" t="s">
        <v>3285</v>
      </c>
      <c r="D105" s="154" t="s">
        <v>1688</v>
      </c>
      <c r="E105" s="154" t="s">
        <v>3289</v>
      </c>
      <c r="F105" s="154" t="s">
        <v>4544</v>
      </c>
      <c r="G105" s="156" t="s">
        <v>4668</v>
      </c>
      <c r="H105" s="156" t="s">
        <v>3424</v>
      </c>
      <c r="I105" s="156" t="s">
        <v>3425</v>
      </c>
      <c r="J105" s="154" t="s">
        <v>4669</v>
      </c>
      <c r="K105" s="154" t="s">
        <v>4670</v>
      </c>
      <c r="L105" s="154" t="s">
        <v>4671</v>
      </c>
      <c r="M105" s="154" t="s">
        <v>4672</v>
      </c>
      <c r="N105" s="156" t="s">
        <v>3547</v>
      </c>
      <c r="O105" s="156" t="s">
        <v>945</v>
      </c>
    </row>
    <row r="106" spans="1:15" ht="42">
      <c r="A106" s="154" t="s">
        <v>4673</v>
      </c>
      <c r="B106" s="154" t="s">
        <v>1</v>
      </c>
      <c r="C106" s="154" t="s">
        <v>3285</v>
      </c>
      <c r="D106" s="154" t="s">
        <v>1688</v>
      </c>
      <c r="E106" s="154" t="s">
        <v>3723</v>
      </c>
      <c r="F106" s="154" t="s">
        <v>4594</v>
      </c>
      <c r="G106" s="156" t="s">
        <v>4595</v>
      </c>
      <c r="H106" s="156" t="s">
        <v>4674</v>
      </c>
      <c r="I106" s="156" t="s">
        <v>4675</v>
      </c>
      <c r="J106" s="154"/>
      <c r="K106" s="154"/>
      <c r="L106" s="154"/>
      <c r="M106" s="154"/>
      <c r="N106" s="156" t="s">
        <v>3722</v>
      </c>
      <c r="O106" s="156" t="s">
        <v>945</v>
      </c>
    </row>
    <row r="107" spans="1:15" ht="42">
      <c r="A107" s="154" t="s">
        <v>4676</v>
      </c>
      <c r="B107" s="154" t="s">
        <v>1</v>
      </c>
      <c r="C107" s="154" t="s">
        <v>3285</v>
      </c>
      <c r="D107" s="154" t="s">
        <v>1688</v>
      </c>
      <c r="E107" s="154" t="s">
        <v>3289</v>
      </c>
      <c r="F107" s="154" t="s">
        <v>4544</v>
      </c>
      <c r="G107" s="156" t="s">
        <v>4599</v>
      </c>
      <c r="H107" s="156" t="s">
        <v>4677</v>
      </c>
      <c r="I107" s="156" t="s">
        <v>4675</v>
      </c>
      <c r="J107" s="154" t="s">
        <v>4629</v>
      </c>
      <c r="K107" s="154" t="s">
        <v>1501</v>
      </c>
      <c r="L107" s="154" t="s">
        <v>2772</v>
      </c>
      <c r="M107" s="154" t="s">
        <v>2829</v>
      </c>
      <c r="N107" s="156" t="s">
        <v>3547</v>
      </c>
      <c r="O107" s="156" t="s">
        <v>945</v>
      </c>
    </row>
    <row r="108" spans="1:15" ht="42">
      <c r="A108" s="154" t="s">
        <v>114</v>
      </c>
      <c r="B108" s="154" t="s">
        <v>1</v>
      </c>
      <c r="C108" s="154" t="s">
        <v>3285</v>
      </c>
      <c r="D108" s="154" t="s">
        <v>1688</v>
      </c>
      <c r="E108" s="154" t="s">
        <v>3289</v>
      </c>
      <c r="F108" s="154" t="s">
        <v>4544</v>
      </c>
      <c r="G108" s="156" t="s">
        <v>3427</v>
      </c>
      <c r="H108" s="156" t="s">
        <v>115</v>
      </c>
      <c r="I108" s="156" t="s">
        <v>3426</v>
      </c>
      <c r="J108" s="154" t="s">
        <v>3628</v>
      </c>
      <c r="K108" s="154" t="s">
        <v>3629</v>
      </c>
      <c r="L108" s="154" t="s">
        <v>3630</v>
      </c>
      <c r="M108" s="154" t="s">
        <v>1438</v>
      </c>
      <c r="N108" s="156" t="s">
        <v>3547</v>
      </c>
      <c r="O108" s="156" t="s">
        <v>945</v>
      </c>
    </row>
    <row r="109" spans="1:15" ht="42">
      <c r="A109" s="154" t="s">
        <v>116</v>
      </c>
      <c r="B109" s="154" t="s">
        <v>1</v>
      </c>
      <c r="C109" s="154" t="s">
        <v>3328</v>
      </c>
      <c r="D109" s="154" t="s">
        <v>250</v>
      </c>
      <c r="E109" s="154" t="s">
        <v>945</v>
      </c>
      <c r="F109" s="154" t="s">
        <v>945</v>
      </c>
      <c r="G109" s="156" t="s">
        <v>3430</v>
      </c>
      <c r="H109" s="156" t="s">
        <v>3428</v>
      </c>
      <c r="I109" s="156" t="s">
        <v>3429</v>
      </c>
      <c r="J109" s="154"/>
      <c r="K109" s="154"/>
      <c r="L109" s="154"/>
      <c r="M109" s="154"/>
      <c r="N109" s="156" t="s">
        <v>3334</v>
      </c>
      <c r="O109" s="156" t="s">
        <v>945</v>
      </c>
    </row>
    <row r="110" spans="1:15" ht="21">
      <c r="A110" s="154" t="s">
        <v>119</v>
      </c>
      <c r="B110" s="154" t="s">
        <v>1</v>
      </c>
      <c r="C110" s="154" t="s">
        <v>3285</v>
      </c>
      <c r="D110" s="154" t="s">
        <v>1688</v>
      </c>
      <c r="E110" s="154" t="s">
        <v>3289</v>
      </c>
      <c r="F110" s="154" t="s">
        <v>4544</v>
      </c>
      <c r="G110" s="156" t="s">
        <v>945</v>
      </c>
      <c r="H110" s="156" t="s">
        <v>3431</v>
      </c>
      <c r="I110" s="156" t="s">
        <v>3432</v>
      </c>
      <c r="J110" s="154" t="s">
        <v>3646</v>
      </c>
      <c r="K110" s="154" t="s">
        <v>2750</v>
      </c>
      <c r="L110" s="154" t="s">
        <v>2753</v>
      </c>
      <c r="M110" s="154" t="s">
        <v>3647</v>
      </c>
      <c r="N110" s="156" t="s">
        <v>3547</v>
      </c>
      <c r="O110" s="156" t="s">
        <v>945</v>
      </c>
    </row>
    <row r="111" spans="1:15" ht="84">
      <c r="A111" s="154" t="s">
        <v>120</v>
      </c>
      <c r="B111" s="154" t="s">
        <v>2</v>
      </c>
      <c r="C111" s="154" t="s">
        <v>3293</v>
      </c>
      <c r="D111" s="154" t="s">
        <v>1688</v>
      </c>
      <c r="E111" s="154" t="s">
        <v>3289</v>
      </c>
      <c r="F111" s="154" t="s">
        <v>4544</v>
      </c>
      <c r="G111" s="156" t="s">
        <v>4678</v>
      </c>
      <c r="H111" s="156" t="s">
        <v>3433</v>
      </c>
      <c r="I111" s="156" t="s">
        <v>3434</v>
      </c>
      <c r="J111" s="154" t="s">
        <v>1446</v>
      </c>
      <c r="K111" s="154"/>
      <c r="L111" s="154"/>
      <c r="M111" s="154" t="s">
        <v>2826</v>
      </c>
      <c r="N111" s="156" t="s">
        <v>3725</v>
      </c>
      <c r="O111" s="156" t="s">
        <v>4679</v>
      </c>
    </row>
    <row r="112" spans="1:15" ht="42">
      <c r="A112" s="154" t="s">
        <v>121</v>
      </c>
      <c r="B112" s="154" t="s">
        <v>2</v>
      </c>
      <c r="C112" s="154" t="s">
        <v>3293</v>
      </c>
      <c r="D112" s="154" t="s">
        <v>1688</v>
      </c>
      <c r="E112" s="154" t="s">
        <v>3289</v>
      </c>
      <c r="F112" s="154" t="s">
        <v>4544</v>
      </c>
      <c r="G112" s="156" t="s">
        <v>945</v>
      </c>
      <c r="H112" s="156" t="s">
        <v>3435</v>
      </c>
      <c r="I112" s="156" t="s">
        <v>3436</v>
      </c>
      <c r="J112" s="154" t="s">
        <v>3648</v>
      </c>
      <c r="K112" s="154" t="s">
        <v>3649</v>
      </c>
      <c r="L112" s="154" t="s">
        <v>3650</v>
      </c>
      <c r="M112" s="154" t="s">
        <v>3651</v>
      </c>
      <c r="N112" s="156" t="s">
        <v>3547</v>
      </c>
      <c r="O112" s="156" t="s">
        <v>4679</v>
      </c>
    </row>
    <row r="113" spans="1:15" ht="42">
      <c r="A113" s="154" t="s">
        <v>122</v>
      </c>
      <c r="B113" s="154" t="s">
        <v>2</v>
      </c>
      <c r="C113" s="154" t="s">
        <v>3321</v>
      </c>
      <c r="D113" s="154" t="s">
        <v>1688</v>
      </c>
      <c r="E113" s="154" t="s">
        <v>3289</v>
      </c>
      <c r="F113" s="154" t="s">
        <v>4544</v>
      </c>
      <c r="G113" s="156" t="s">
        <v>945</v>
      </c>
      <c r="H113" s="156" t="s">
        <v>3437</v>
      </c>
      <c r="I113" s="156" t="s">
        <v>3438</v>
      </c>
      <c r="J113" s="154" t="s">
        <v>3652</v>
      </c>
      <c r="K113" s="154" t="s">
        <v>1485</v>
      </c>
      <c r="L113" s="154" t="s">
        <v>3653</v>
      </c>
      <c r="M113" s="154" t="s">
        <v>1158</v>
      </c>
      <c r="N113" s="156" t="s">
        <v>3547</v>
      </c>
      <c r="O113" s="156" t="s">
        <v>4679</v>
      </c>
    </row>
    <row r="114" spans="1:15" ht="42">
      <c r="A114" s="154" t="s">
        <v>123</v>
      </c>
      <c r="B114" s="154" t="s">
        <v>2</v>
      </c>
      <c r="C114" s="154" t="s">
        <v>3321</v>
      </c>
      <c r="D114" s="154" t="s">
        <v>1688</v>
      </c>
      <c r="E114" s="154" t="s">
        <v>3289</v>
      </c>
      <c r="F114" s="154" t="s">
        <v>4544</v>
      </c>
      <c r="G114" s="156" t="s">
        <v>945</v>
      </c>
      <c r="H114" s="156" t="s">
        <v>124</v>
      </c>
      <c r="I114" s="156" t="s">
        <v>3439</v>
      </c>
      <c r="J114" s="154" t="s">
        <v>3652</v>
      </c>
      <c r="K114" s="154" t="s">
        <v>1485</v>
      </c>
      <c r="L114" s="154" t="s">
        <v>3653</v>
      </c>
      <c r="M114" s="154" t="s">
        <v>1154</v>
      </c>
      <c r="N114" s="156" t="s">
        <v>3547</v>
      </c>
      <c r="O114" s="156" t="s">
        <v>4679</v>
      </c>
    </row>
    <row r="115" spans="1:15" ht="42">
      <c r="A115" s="154" t="s">
        <v>125</v>
      </c>
      <c r="B115" s="154" t="s">
        <v>2</v>
      </c>
      <c r="C115" s="154" t="s">
        <v>3321</v>
      </c>
      <c r="D115" s="154" t="s">
        <v>1688</v>
      </c>
      <c r="E115" s="154" t="s">
        <v>3289</v>
      </c>
      <c r="F115" s="154" t="s">
        <v>4544</v>
      </c>
      <c r="G115" s="156" t="s">
        <v>945</v>
      </c>
      <c r="H115" s="156" t="s">
        <v>126</v>
      </c>
      <c r="I115" s="156" t="s">
        <v>3440</v>
      </c>
      <c r="J115" s="154" t="s">
        <v>3654</v>
      </c>
      <c r="K115" s="154" t="s">
        <v>3655</v>
      </c>
      <c r="L115" s="154" t="s">
        <v>3653</v>
      </c>
      <c r="M115" s="154" t="s">
        <v>3656</v>
      </c>
      <c r="N115" s="156" t="s">
        <v>3547</v>
      </c>
      <c r="O115" s="156" t="s">
        <v>4679</v>
      </c>
    </row>
    <row r="116" spans="1:15" ht="42">
      <c r="A116" s="154" t="s">
        <v>127</v>
      </c>
      <c r="B116" s="154" t="s">
        <v>2</v>
      </c>
      <c r="C116" s="154" t="s">
        <v>3321</v>
      </c>
      <c r="D116" s="154" t="s">
        <v>1688</v>
      </c>
      <c r="E116" s="154" t="s">
        <v>3289</v>
      </c>
      <c r="F116" s="154" t="s">
        <v>4544</v>
      </c>
      <c r="G116" s="156" t="s">
        <v>945</v>
      </c>
      <c r="H116" s="156" t="s">
        <v>128</v>
      </c>
      <c r="I116" s="156" t="s">
        <v>3441</v>
      </c>
      <c r="J116" s="154" t="s">
        <v>3648</v>
      </c>
      <c r="K116" s="154" t="s">
        <v>3649</v>
      </c>
      <c r="L116" s="154" t="s">
        <v>3650</v>
      </c>
      <c r="M116" s="154" t="s">
        <v>3651</v>
      </c>
      <c r="N116" s="156" t="s">
        <v>3547</v>
      </c>
      <c r="O116" s="156" t="s">
        <v>4679</v>
      </c>
    </row>
    <row r="117" spans="1:15" ht="42">
      <c r="A117" s="154" t="s">
        <v>129</v>
      </c>
      <c r="B117" s="154" t="s">
        <v>2</v>
      </c>
      <c r="C117" s="154" t="s">
        <v>3321</v>
      </c>
      <c r="D117" s="154" t="s">
        <v>1688</v>
      </c>
      <c r="E117" s="154" t="s">
        <v>3289</v>
      </c>
      <c r="F117" s="154" t="s">
        <v>4544</v>
      </c>
      <c r="G117" s="156" t="s">
        <v>945</v>
      </c>
      <c r="H117" s="156" t="s">
        <v>3442</v>
      </c>
      <c r="I117" s="156" t="s">
        <v>3443</v>
      </c>
      <c r="J117" s="154" t="s">
        <v>1443</v>
      </c>
      <c r="K117" s="154" t="s">
        <v>1449</v>
      </c>
      <c r="L117" s="154" t="s">
        <v>2651</v>
      </c>
      <c r="M117" s="154" t="s">
        <v>1155</v>
      </c>
      <c r="N117" s="156" t="s">
        <v>3547</v>
      </c>
      <c r="O117" s="156" t="s">
        <v>4679</v>
      </c>
    </row>
    <row r="118" spans="1:15" ht="42">
      <c r="A118" s="154" t="s">
        <v>133</v>
      </c>
      <c r="B118" s="154" t="s">
        <v>2</v>
      </c>
      <c r="C118" s="154" t="s">
        <v>3293</v>
      </c>
      <c r="D118" s="154" t="s">
        <v>1688</v>
      </c>
      <c r="E118" s="154" t="s">
        <v>3289</v>
      </c>
      <c r="F118" s="154" t="s">
        <v>4544</v>
      </c>
      <c r="G118" s="156" t="s">
        <v>945</v>
      </c>
      <c r="H118" s="156" t="s">
        <v>134</v>
      </c>
      <c r="I118" s="156" t="s">
        <v>3444</v>
      </c>
      <c r="J118" s="154" t="s">
        <v>3657</v>
      </c>
      <c r="K118" s="154" t="s">
        <v>3658</v>
      </c>
      <c r="L118" s="154" t="s">
        <v>3659</v>
      </c>
      <c r="M118" s="154" t="s">
        <v>1152</v>
      </c>
      <c r="N118" s="156" t="s">
        <v>3547</v>
      </c>
      <c r="O118" s="156" t="s">
        <v>4679</v>
      </c>
    </row>
    <row r="119" spans="1:15" ht="42">
      <c r="A119" s="154" t="s">
        <v>4680</v>
      </c>
      <c r="B119" s="154" t="s">
        <v>2</v>
      </c>
      <c r="C119" s="154" t="s">
        <v>3321</v>
      </c>
      <c r="D119" s="154" t="s">
        <v>1688</v>
      </c>
      <c r="E119" s="154" t="s">
        <v>3723</v>
      </c>
      <c r="F119" s="154" t="s">
        <v>4594</v>
      </c>
      <c r="G119" s="156" t="s">
        <v>4595</v>
      </c>
      <c r="H119" s="156" t="s">
        <v>4681</v>
      </c>
      <c r="I119" s="156" t="s">
        <v>4682</v>
      </c>
      <c r="J119" s="154"/>
      <c r="K119" s="154"/>
      <c r="L119" s="154"/>
      <c r="M119" s="154"/>
      <c r="N119" s="156" t="s">
        <v>3722</v>
      </c>
      <c r="O119" s="156" t="s">
        <v>945</v>
      </c>
    </row>
    <row r="120" spans="1:15" ht="42">
      <c r="A120" s="154" t="s">
        <v>4683</v>
      </c>
      <c r="B120" s="154" t="s">
        <v>2</v>
      </c>
      <c r="C120" s="154" t="s">
        <v>3321</v>
      </c>
      <c r="D120" s="154" t="s">
        <v>1688</v>
      </c>
      <c r="E120" s="154" t="s">
        <v>3289</v>
      </c>
      <c r="F120" s="154" t="s">
        <v>4544</v>
      </c>
      <c r="G120" s="156" t="s">
        <v>4599</v>
      </c>
      <c r="H120" s="156" t="s">
        <v>4684</v>
      </c>
      <c r="I120" s="156" t="s">
        <v>4682</v>
      </c>
      <c r="J120" s="154" t="s">
        <v>4629</v>
      </c>
      <c r="K120" s="154" t="s">
        <v>1501</v>
      </c>
      <c r="L120" s="154" t="s">
        <v>2772</v>
      </c>
      <c r="M120" s="154" t="s">
        <v>2829</v>
      </c>
      <c r="N120" s="156" t="s">
        <v>3547</v>
      </c>
      <c r="O120" s="156" t="s">
        <v>945</v>
      </c>
    </row>
    <row r="121" spans="1:15" ht="42">
      <c r="A121" s="154" t="s">
        <v>130</v>
      </c>
      <c r="B121" s="154" t="s">
        <v>2</v>
      </c>
      <c r="C121" s="154" t="s">
        <v>3321</v>
      </c>
      <c r="D121" s="154" t="s">
        <v>1688</v>
      </c>
      <c r="E121" s="154" t="s">
        <v>3289</v>
      </c>
      <c r="F121" s="154" t="s">
        <v>4544</v>
      </c>
      <c r="G121" s="156" t="s">
        <v>945</v>
      </c>
      <c r="H121" s="156" t="s">
        <v>3445</v>
      </c>
      <c r="I121" s="156" t="s">
        <v>3446</v>
      </c>
      <c r="J121" s="154" t="s">
        <v>1443</v>
      </c>
      <c r="K121" s="154" t="s">
        <v>1449</v>
      </c>
      <c r="L121" s="154" t="s">
        <v>2651</v>
      </c>
      <c r="M121" s="154" t="s">
        <v>1153</v>
      </c>
      <c r="N121" s="156" t="s">
        <v>3547</v>
      </c>
      <c r="O121" s="156" t="s">
        <v>4679</v>
      </c>
    </row>
    <row r="122" spans="1:15" ht="42">
      <c r="A122" s="154" t="s">
        <v>131</v>
      </c>
      <c r="B122" s="154" t="s">
        <v>2</v>
      </c>
      <c r="C122" s="154" t="s">
        <v>3321</v>
      </c>
      <c r="D122" s="154" t="s">
        <v>1688</v>
      </c>
      <c r="E122" s="154" t="s">
        <v>3289</v>
      </c>
      <c r="F122" s="154" t="s">
        <v>4544</v>
      </c>
      <c r="G122" s="156" t="s">
        <v>945</v>
      </c>
      <c r="H122" s="156" t="s">
        <v>3447</v>
      </c>
      <c r="I122" s="156" t="s">
        <v>3448</v>
      </c>
      <c r="J122" s="154" t="s">
        <v>3660</v>
      </c>
      <c r="K122" s="154" t="s">
        <v>1454</v>
      </c>
      <c r="L122" s="154" t="s">
        <v>3661</v>
      </c>
      <c r="M122" s="154" t="s">
        <v>1156</v>
      </c>
      <c r="N122" s="156" t="s">
        <v>3547</v>
      </c>
      <c r="O122" s="156" t="s">
        <v>4679</v>
      </c>
    </row>
    <row r="123" spans="1:15" ht="63">
      <c r="A123" s="154" t="s">
        <v>135</v>
      </c>
      <c r="B123" s="154" t="s">
        <v>2</v>
      </c>
      <c r="C123" s="154" t="s">
        <v>3293</v>
      </c>
      <c r="D123" s="154" t="s">
        <v>1688</v>
      </c>
      <c r="E123" s="154" t="s">
        <v>3289</v>
      </c>
      <c r="F123" s="154" t="s">
        <v>4544</v>
      </c>
      <c r="G123" s="156" t="s">
        <v>945</v>
      </c>
      <c r="H123" s="156" t="s">
        <v>4685</v>
      </c>
      <c r="I123" s="156" t="s">
        <v>4686</v>
      </c>
      <c r="J123" s="154" t="s">
        <v>3662</v>
      </c>
      <c r="K123" s="154" t="s">
        <v>1450</v>
      </c>
      <c r="L123" s="154" t="s">
        <v>2809</v>
      </c>
      <c r="M123" s="154" t="s">
        <v>2822</v>
      </c>
      <c r="N123" s="156" t="s">
        <v>3547</v>
      </c>
      <c r="O123" s="156" t="s">
        <v>4679</v>
      </c>
    </row>
    <row r="124" spans="1:15" ht="42">
      <c r="A124" s="154" t="s">
        <v>136</v>
      </c>
      <c r="B124" s="154" t="s">
        <v>2</v>
      </c>
      <c r="C124" s="154" t="s">
        <v>3321</v>
      </c>
      <c r="D124" s="154" t="s">
        <v>1688</v>
      </c>
      <c r="E124" s="154" t="s">
        <v>3289</v>
      </c>
      <c r="F124" s="154" t="s">
        <v>4544</v>
      </c>
      <c r="G124" s="156" t="s">
        <v>945</v>
      </c>
      <c r="H124" s="156" t="s">
        <v>137</v>
      </c>
      <c r="I124" s="156" t="s">
        <v>3449</v>
      </c>
      <c r="J124" s="154" t="s">
        <v>3663</v>
      </c>
      <c r="K124" s="154" t="s">
        <v>3664</v>
      </c>
      <c r="L124" s="154" t="s">
        <v>3665</v>
      </c>
      <c r="M124" s="154" t="s">
        <v>1155</v>
      </c>
      <c r="N124" s="156" t="s">
        <v>3547</v>
      </c>
      <c r="O124" s="156" t="s">
        <v>4679</v>
      </c>
    </row>
    <row r="125" spans="1:15" ht="42">
      <c r="A125" s="154" t="s">
        <v>132</v>
      </c>
      <c r="B125" s="154" t="s">
        <v>2</v>
      </c>
      <c r="C125" s="154" t="s">
        <v>3321</v>
      </c>
      <c r="D125" s="154" t="s">
        <v>1688</v>
      </c>
      <c r="E125" s="154" t="s">
        <v>3289</v>
      </c>
      <c r="F125" s="154" t="s">
        <v>4544</v>
      </c>
      <c r="G125" s="156" t="s">
        <v>945</v>
      </c>
      <c r="H125" s="156" t="s">
        <v>3450</v>
      </c>
      <c r="I125" s="156" t="s">
        <v>3451</v>
      </c>
      <c r="J125" s="154" t="s">
        <v>3666</v>
      </c>
      <c r="K125" s="154" t="s">
        <v>3667</v>
      </c>
      <c r="L125" s="154"/>
      <c r="M125" s="154" t="s">
        <v>3668</v>
      </c>
      <c r="N125" s="156" t="s">
        <v>3725</v>
      </c>
      <c r="O125" s="156" t="s">
        <v>4679</v>
      </c>
    </row>
    <row r="126" spans="1:15" ht="42">
      <c r="A126" s="154" t="s">
        <v>138</v>
      </c>
      <c r="B126" s="154" t="s">
        <v>2</v>
      </c>
      <c r="C126" s="154" t="s">
        <v>3293</v>
      </c>
      <c r="D126" s="154" t="s">
        <v>1688</v>
      </c>
      <c r="E126" s="154" t="s">
        <v>3289</v>
      </c>
      <c r="F126" s="154" t="s">
        <v>4544</v>
      </c>
      <c r="G126" s="156" t="s">
        <v>945</v>
      </c>
      <c r="H126" s="156" t="s">
        <v>3452</v>
      </c>
      <c r="I126" s="156" t="s">
        <v>3453</v>
      </c>
      <c r="J126" s="154" t="s">
        <v>3669</v>
      </c>
      <c r="K126" s="154" t="s">
        <v>1472</v>
      </c>
      <c r="L126" s="154" t="s">
        <v>2656</v>
      </c>
      <c r="M126" s="154" t="s">
        <v>1156</v>
      </c>
      <c r="N126" s="156" t="s">
        <v>3547</v>
      </c>
      <c r="O126" s="156" t="s">
        <v>4679</v>
      </c>
    </row>
    <row r="127" spans="1:15" ht="42">
      <c r="A127" s="154" t="s">
        <v>139</v>
      </c>
      <c r="B127" s="154" t="s">
        <v>2</v>
      </c>
      <c r="C127" s="154" t="s">
        <v>3293</v>
      </c>
      <c r="D127" s="154" t="s">
        <v>1688</v>
      </c>
      <c r="E127" s="154" t="s">
        <v>3289</v>
      </c>
      <c r="F127" s="154" t="s">
        <v>4544</v>
      </c>
      <c r="G127" s="156" t="s">
        <v>945</v>
      </c>
      <c r="H127" s="156" t="s">
        <v>140</v>
      </c>
      <c r="I127" s="156" t="s">
        <v>3454</v>
      </c>
      <c r="J127" s="154" t="s">
        <v>3669</v>
      </c>
      <c r="K127" s="154" t="s">
        <v>1472</v>
      </c>
      <c r="L127" s="154" t="s">
        <v>2656</v>
      </c>
      <c r="M127" s="154" t="s">
        <v>1155</v>
      </c>
      <c r="N127" s="156" t="s">
        <v>3547</v>
      </c>
      <c r="O127" s="156" t="s">
        <v>4679</v>
      </c>
    </row>
    <row r="128" spans="1:15" ht="42">
      <c r="A128" s="154" t="s">
        <v>141</v>
      </c>
      <c r="B128" s="154" t="s">
        <v>2</v>
      </c>
      <c r="C128" s="154" t="s">
        <v>3293</v>
      </c>
      <c r="D128" s="154" t="s">
        <v>1688</v>
      </c>
      <c r="E128" s="154" t="s">
        <v>3289</v>
      </c>
      <c r="F128" s="154" t="s">
        <v>4544</v>
      </c>
      <c r="G128" s="156" t="s">
        <v>945</v>
      </c>
      <c r="H128" s="156" t="s">
        <v>3455</v>
      </c>
      <c r="I128" s="156" t="s">
        <v>3456</v>
      </c>
      <c r="J128" s="154" t="s">
        <v>3670</v>
      </c>
      <c r="K128" s="154" t="s">
        <v>1472</v>
      </c>
      <c r="L128" s="154" t="s">
        <v>3671</v>
      </c>
      <c r="M128" s="154" t="s">
        <v>1156</v>
      </c>
      <c r="N128" s="156" t="s">
        <v>3547</v>
      </c>
      <c r="O128" s="156" t="s">
        <v>4679</v>
      </c>
    </row>
    <row r="129" spans="1:15" ht="63">
      <c r="A129" s="154" t="s">
        <v>4687</v>
      </c>
      <c r="B129" s="154" t="s">
        <v>2</v>
      </c>
      <c r="C129" s="154" t="s">
        <v>3321</v>
      </c>
      <c r="D129" s="154" t="s">
        <v>1688</v>
      </c>
      <c r="E129" s="154" t="s">
        <v>3289</v>
      </c>
      <c r="F129" s="154" t="s">
        <v>4544</v>
      </c>
      <c r="G129" s="156" t="s">
        <v>4688</v>
      </c>
      <c r="H129" s="156" t="s">
        <v>4689</v>
      </c>
      <c r="I129" s="156" t="s">
        <v>4690</v>
      </c>
      <c r="J129" s="154" t="s">
        <v>1593</v>
      </c>
      <c r="K129" s="154"/>
      <c r="L129" s="154" t="s">
        <v>2546</v>
      </c>
      <c r="M129" s="154" t="s">
        <v>1162</v>
      </c>
      <c r="N129" s="156" t="s">
        <v>3725</v>
      </c>
      <c r="O129" s="156" t="s">
        <v>4679</v>
      </c>
    </row>
    <row r="130" spans="1:15" ht="63">
      <c r="A130" s="154" t="s">
        <v>4691</v>
      </c>
      <c r="B130" s="154" t="s">
        <v>2</v>
      </c>
      <c r="C130" s="154" t="s">
        <v>3321</v>
      </c>
      <c r="D130" s="154" t="s">
        <v>1688</v>
      </c>
      <c r="E130" s="154" t="s">
        <v>3723</v>
      </c>
      <c r="F130" s="154" t="s">
        <v>4663</v>
      </c>
      <c r="G130" s="156" t="s">
        <v>4692</v>
      </c>
      <c r="H130" s="156" t="s">
        <v>4693</v>
      </c>
      <c r="I130" s="156" t="s">
        <v>4690</v>
      </c>
      <c r="J130" s="154"/>
      <c r="K130" s="154"/>
      <c r="L130" s="154"/>
      <c r="M130" s="154"/>
      <c r="N130" s="156" t="s">
        <v>4666</v>
      </c>
      <c r="O130" s="156" t="s">
        <v>4679</v>
      </c>
    </row>
    <row r="131" spans="1:15" ht="42">
      <c r="A131" s="154" t="s">
        <v>142</v>
      </c>
      <c r="B131" s="154" t="s">
        <v>2</v>
      </c>
      <c r="C131" s="154" t="s">
        <v>3321</v>
      </c>
      <c r="D131" s="154" t="s">
        <v>1688</v>
      </c>
      <c r="E131" s="154" t="s">
        <v>3289</v>
      </c>
      <c r="F131" s="154" t="s">
        <v>4544</v>
      </c>
      <c r="G131" s="156" t="s">
        <v>945</v>
      </c>
      <c r="H131" s="156" t="s">
        <v>143</v>
      </c>
      <c r="I131" s="156" t="s">
        <v>3457</v>
      </c>
      <c r="J131" s="154" t="s">
        <v>3652</v>
      </c>
      <c r="K131" s="154" t="s">
        <v>1485</v>
      </c>
      <c r="L131" s="154" t="s">
        <v>3653</v>
      </c>
      <c r="M131" s="154" t="s">
        <v>1154</v>
      </c>
      <c r="N131" s="156" t="s">
        <v>3547</v>
      </c>
      <c r="O131" s="156" t="s">
        <v>4679</v>
      </c>
    </row>
    <row r="132" spans="1:15" ht="42">
      <c r="A132" s="154" t="s">
        <v>144</v>
      </c>
      <c r="B132" s="154" t="s">
        <v>2</v>
      </c>
      <c r="C132" s="154" t="s">
        <v>246</v>
      </c>
      <c r="D132" s="154" t="s">
        <v>250</v>
      </c>
      <c r="E132" s="154" t="s">
        <v>945</v>
      </c>
      <c r="F132" s="154" t="s">
        <v>945</v>
      </c>
      <c r="G132" s="156" t="s">
        <v>3460</v>
      </c>
      <c r="H132" s="156" t="s">
        <v>3458</v>
      </c>
      <c r="I132" s="156" t="s">
        <v>3459</v>
      </c>
      <c r="J132" s="154"/>
      <c r="K132" s="154"/>
      <c r="L132" s="154"/>
      <c r="M132" s="154"/>
      <c r="N132" s="156" t="s">
        <v>3334</v>
      </c>
      <c r="O132" s="156" t="s">
        <v>945</v>
      </c>
    </row>
    <row r="133" spans="1:15" ht="42">
      <c r="A133" s="154" t="s">
        <v>145</v>
      </c>
      <c r="B133" s="154" t="s">
        <v>2</v>
      </c>
      <c r="C133" s="154" t="s">
        <v>3321</v>
      </c>
      <c r="D133" s="154" t="s">
        <v>1688</v>
      </c>
      <c r="E133" s="154" t="s">
        <v>3289</v>
      </c>
      <c r="F133" s="154" t="s">
        <v>4544</v>
      </c>
      <c r="G133" s="156" t="s">
        <v>945</v>
      </c>
      <c r="H133" s="156" t="s">
        <v>146</v>
      </c>
      <c r="I133" s="156" t="s">
        <v>3461</v>
      </c>
      <c r="J133" s="154" t="s">
        <v>3666</v>
      </c>
      <c r="K133" s="154" t="s">
        <v>3667</v>
      </c>
      <c r="L133" s="154"/>
      <c r="M133" s="154" t="s">
        <v>3668</v>
      </c>
      <c r="N133" s="156" t="s">
        <v>3725</v>
      </c>
      <c r="O133" s="156" t="s">
        <v>4679</v>
      </c>
    </row>
    <row r="134" spans="1:15" ht="42">
      <c r="A134" s="154" t="s">
        <v>147</v>
      </c>
      <c r="B134" s="154" t="s">
        <v>2</v>
      </c>
      <c r="C134" s="154" t="s">
        <v>3321</v>
      </c>
      <c r="D134" s="154" t="s">
        <v>1688</v>
      </c>
      <c r="E134" s="154" t="s">
        <v>3289</v>
      </c>
      <c r="F134" s="154" t="s">
        <v>4544</v>
      </c>
      <c r="G134" s="156" t="s">
        <v>945</v>
      </c>
      <c r="H134" s="156" t="s">
        <v>148</v>
      </c>
      <c r="I134" s="156" t="s">
        <v>3462</v>
      </c>
      <c r="J134" s="154" t="s">
        <v>3672</v>
      </c>
      <c r="K134" s="154" t="s">
        <v>3673</v>
      </c>
      <c r="L134" s="154" t="s">
        <v>3674</v>
      </c>
      <c r="M134" s="154" t="s">
        <v>1439</v>
      </c>
      <c r="N134" s="156" t="s">
        <v>3547</v>
      </c>
      <c r="O134" s="156" t="s">
        <v>4679</v>
      </c>
    </row>
    <row r="135" spans="1:15" ht="42">
      <c r="A135" s="154" t="s">
        <v>149</v>
      </c>
      <c r="B135" s="154" t="s">
        <v>2</v>
      </c>
      <c r="C135" s="154" t="s">
        <v>3321</v>
      </c>
      <c r="D135" s="154" t="s">
        <v>1688</v>
      </c>
      <c r="E135" s="154" t="s">
        <v>3289</v>
      </c>
      <c r="F135" s="154" t="s">
        <v>4544</v>
      </c>
      <c r="G135" s="156" t="s">
        <v>945</v>
      </c>
      <c r="H135" s="156" t="s">
        <v>150</v>
      </c>
      <c r="I135" s="156" t="s">
        <v>3463</v>
      </c>
      <c r="J135" s="154" t="s">
        <v>3675</v>
      </c>
      <c r="K135" s="154" t="s">
        <v>1452</v>
      </c>
      <c r="L135" s="154" t="s">
        <v>2701</v>
      </c>
      <c r="M135" s="154" t="s">
        <v>2824</v>
      </c>
      <c r="N135" s="156" t="s">
        <v>3547</v>
      </c>
      <c r="O135" s="156" t="s">
        <v>4679</v>
      </c>
    </row>
    <row r="136" spans="1:15" ht="42">
      <c r="A136" s="154" t="s">
        <v>151</v>
      </c>
      <c r="B136" s="154" t="s">
        <v>2</v>
      </c>
      <c r="C136" s="154" t="s">
        <v>3321</v>
      </c>
      <c r="D136" s="154" t="s">
        <v>1688</v>
      </c>
      <c r="E136" s="154" t="s">
        <v>3289</v>
      </c>
      <c r="F136" s="154" t="s">
        <v>4544</v>
      </c>
      <c r="G136" s="156" t="s">
        <v>945</v>
      </c>
      <c r="H136" s="156" t="s">
        <v>152</v>
      </c>
      <c r="I136" s="156" t="s">
        <v>3464</v>
      </c>
      <c r="J136" s="154" t="s">
        <v>3676</v>
      </c>
      <c r="K136" s="154" t="s">
        <v>3677</v>
      </c>
      <c r="L136" s="154" t="s">
        <v>3678</v>
      </c>
      <c r="M136" s="154" t="s">
        <v>2821</v>
      </c>
      <c r="N136" s="156" t="s">
        <v>3547</v>
      </c>
      <c r="O136" s="156" t="s">
        <v>4679</v>
      </c>
    </row>
    <row r="137" spans="1:15" ht="42">
      <c r="A137" s="154" t="s">
        <v>157</v>
      </c>
      <c r="B137" s="154" t="s">
        <v>2</v>
      </c>
      <c r="C137" s="154" t="s">
        <v>3321</v>
      </c>
      <c r="D137" s="154" t="s">
        <v>1688</v>
      </c>
      <c r="E137" s="154" t="s">
        <v>3289</v>
      </c>
      <c r="F137" s="154" t="s">
        <v>4544</v>
      </c>
      <c r="G137" s="156" t="s">
        <v>945</v>
      </c>
      <c r="H137" s="156" t="s">
        <v>158</v>
      </c>
      <c r="I137" s="156" t="s">
        <v>3465</v>
      </c>
      <c r="J137" s="154" t="s">
        <v>3594</v>
      </c>
      <c r="K137" s="154" t="s">
        <v>3595</v>
      </c>
      <c r="L137" s="154" t="s">
        <v>3596</v>
      </c>
      <c r="M137" s="154" t="s">
        <v>3679</v>
      </c>
      <c r="N137" s="156" t="s">
        <v>3547</v>
      </c>
      <c r="O137" s="156" t="s">
        <v>4679</v>
      </c>
    </row>
    <row r="138" spans="1:15" ht="63">
      <c r="A138" s="154" t="s">
        <v>159</v>
      </c>
      <c r="B138" s="154" t="s">
        <v>2</v>
      </c>
      <c r="C138" s="154" t="s">
        <v>3321</v>
      </c>
      <c r="D138" s="154" t="s">
        <v>1688</v>
      </c>
      <c r="E138" s="154" t="s">
        <v>3289</v>
      </c>
      <c r="F138" s="154" t="s">
        <v>4544</v>
      </c>
      <c r="G138" s="156" t="s">
        <v>945</v>
      </c>
      <c r="H138" s="156" t="s">
        <v>160</v>
      </c>
      <c r="I138" s="156" t="s">
        <v>4694</v>
      </c>
      <c r="J138" s="154" t="s">
        <v>3582</v>
      </c>
      <c r="K138" s="154" t="s">
        <v>3583</v>
      </c>
      <c r="L138" s="154" t="s">
        <v>3584</v>
      </c>
      <c r="M138" s="154" t="s">
        <v>1148</v>
      </c>
      <c r="N138" s="156" t="s">
        <v>3547</v>
      </c>
      <c r="O138" s="156" t="s">
        <v>4679</v>
      </c>
    </row>
    <row r="139" spans="1:15" ht="42">
      <c r="A139" s="154" t="s">
        <v>161</v>
      </c>
      <c r="B139" s="154" t="s">
        <v>2</v>
      </c>
      <c r="C139" s="154" t="s">
        <v>3321</v>
      </c>
      <c r="D139" s="154" t="s">
        <v>1688</v>
      </c>
      <c r="E139" s="154" t="s">
        <v>3289</v>
      </c>
      <c r="F139" s="154" t="s">
        <v>4544</v>
      </c>
      <c r="G139" s="156" t="s">
        <v>945</v>
      </c>
      <c r="H139" s="156" t="s">
        <v>162</v>
      </c>
      <c r="I139" s="156" t="s">
        <v>3466</v>
      </c>
      <c r="J139" s="154" t="s">
        <v>3594</v>
      </c>
      <c r="K139" s="154" t="s">
        <v>3595</v>
      </c>
      <c r="L139" s="154" t="s">
        <v>3596</v>
      </c>
      <c r="M139" s="154" t="s">
        <v>3679</v>
      </c>
      <c r="N139" s="156" t="s">
        <v>3547</v>
      </c>
      <c r="O139" s="156" t="s">
        <v>4679</v>
      </c>
    </row>
    <row r="140" spans="1:15" ht="42">
      <c r="A140" s="154" t="s">
        <v>163</v>
      </c>
      <c r="B140" s="154" t="s">
        <v>2</v>
      </c>
      <c r="C140" s="154" t="s">
        <v>3321</v>
      </c>
      <c r="D140" s="154" t="s">
        <v>1688</v>
      </c>
      <c r="E140" s="154" t="s">
        <v>3289</v>
      </c>
      <c r="F140" s="154" t="s">
        <v>4544</v>
      </c>
      <c r="G140" s="156" t="s">
        <v>945</v>
      </c>
      <c r="H140" s="156" t="s">
        <v>164</v>
      </c>
      <c r="I140" s="156" t="s">
        <v>3467</v>
      </c>
      <c r="J140" s="154" t="s">
        <v>3582</v>
      </c>
      <c r="K140" s="154" t="s">
        <v>3583</v>
      </c>
      <c r="L140" s="154" t="s">
        <v>3584</v>
      </c>
      <c r="M140" s="154" t="s">
        <v>1148</v>
      </c>
      <c r="N140" s="156" t="s">
        <v>3547</v>
      </c>
      <c r="O140" s="156" t="s">
        <v>4679</v>
      </c>
    </row>
    <row r="141" spans="1:15" ht="42">
      <c r="A141" s="154" t="s">
        <v>165</v>
      </c>
      <c r="B141" s="154" t="s">
        <v>2</v>
      </c>
      <c r="C141" s="154" t="s">
        <v>3321</v>
      </c>
      <c r="D141" s="154" t="s">
        <v>1688</v>
      </c>
      <c r="E141" s="154" t="s">
        <v>3289</v>
      </c>
      <c r="F141" s="154" t="s">
        <v>4544</v>
      </c>
      <c r="G141" s="156" t="s">
        <v>945</v>
      </c>
      <c r="H141" s="156" t="s">
        <v>166</v>
      </c>
      <c r="I141" s="156" t="s">
        <v>4695</v>
      </c>
      <c r="J141" s="154" t="s">
        <v>1592</v>
      </c>
      <c r="K141" s="154" t="s">
        <v>1461</v>
      </c>
      <c r="L141" s="154" t="s">
        <v>2524</v>
      </c>
      <c r="M141" s="154" t="s">
        <v>2818</v>
      </c>
      <c r="N141" s="156" t="s">
        <v>3547</v>
      </c>
      <c r="O141" s="156" t="s">
        <v>4679</v>
      </c>
    </row>
    <row r="142" spans="1:15" ht="63">
      <c r="A142" s="154" t="s">
        <v>153</v>
      </c>
      <c r="B142" s="154" t="s">
        <v>2</v>
      </c>
      <c r="C142" s="154" t="s">
        <v>3321</v>
      </c>
      <c r="D142" s="154" t="s">
        <v>1688</v>
      </c>
      <c r="E142" s="154" t="s">
        <v>3286</v>
      </c>
      <c r="F142" s="154" t="s">
        <v>4551</v>
      </c>
      <c r="G142" s="156" t="s">
        <v>3388</v>
      </c>
      <c r="H142" s="156" t="s">
        <v>154</v>
      </c>
      <c r="I142" s="156" t="s">
        <v>3468</v>
      </c>
      <c r="J142" s="154"/>
      <c r="K142" s="154"/>
      <c r="L142" s="154"/>
      <c r="M142" s="154"/>
      <c r="N142" s="156" t="s">
        <v>4554</v>
      </c>
      <c r="O142" s="156" t="s">
        <v>4549</v>
      </c>
    </row>
    <row r="143" spans="1:15" ht="63">
      <c r="A143" s="154" t="s">
        <v>169</v>
      </c>
      <c r="B143" s="154" t="s">
        <v>2</v>
      </c>
      <c r="C143" s="154" t="s">
        <v>3321</v>
      </c>
      <c r="D143" s="154" t="s">
        <v>1688</v>
      </c>
      <c r="E143" s="154" t="s">
        <v>3289</v>
      </c>
      <c r="F143" s="154" t="s">
        <v>4544</v>
      </c>
      <c r="G143" s="156" t="s">
        <v>3470</v>
      </c>
      <c r="H143" s="156" t="s">
        <v>170</v>
      </c>
      <c r="I143" s="156" t="s">
        <v>3469</v>
      </c>
      <c r="J143" s="154" t="s">
        <v>1591</v>
      </c>
      <c r="K143" s="154" t="s">
        <v>1459</v>
      </c>
      <c r="L143" s="154" t="s">
        <v>3550</v>
      </c>
      <c r="M143" s="154" t="s">
        <v>3680</v>
      </c>
      <c r="N143" s="156" t="s">
        <v>3547</v>
      </c>
      <c r="O143" s="156" t="s">
        <v>4679</v>
      </c>
    </row>
    <row r="144" spans="1:15" ht="42">
      <c r="A144" s="154" t="s">
        <v>4696</v>
      </c>
      <c r="B144" s="154" t="s">
        <v>2</v>
      </c>
      <c r="C144" s="154" t="s">
        <v>3321</v>
      </c>
      <c r="D144" s="154" t="s">
        <v>1688</v>
      </c>
      <c r="E144" s="154" t="s">
        <v>3723</v>
      </c>
      <c r="F144" s="154" t="s">
        <v>4663</v>
      </c>
      <c r="G144" s="156" t="s">
        <v>4697</v>
      </c>
      <c r="H144" s="156" t="s">
        <v>4698</v>
      </c>
      <c r="I144" s="156" t="s">
        <v>3471</v>
      </c>
      <c r="J144" s="154"/>
      <c r="K144" s="154"/>
      <c r="L144" s="154" t="s">
        <v>2619</v>
      </c>
      <c r="M144" s="154" t="s">
        <v>1161</v>
      </c>
      <c r="N144" s="156" t="s">
        <v>4666</v>
      </c>
      <c r="O144" s="156" t="s">
        <v>945</v>
      </c>
    </row>
    <row r="145" spans="1:15" ht="42">
      <c r="A145" s="154" t="s">
        <v>4699</v>
      </c>
      <c r="B145" s="154" t="s">
        <v>2</v>
      </c>
      <c r="C145" s="154" t="s">
        <v>3321</v>
      </c>
      <c r="D145" s="154" t="s">
        <v>1688</v>
      </c>
      <c r="E145" s="154" t="s">
        <v>3289</v>
      </c>
      <c r="F145" s="154" t="s">
        <v>4544</v>
      </c>
      <c r="G145" s="156" t="s">
        <v>4700</v>
      </c>
      <c r="H145" s="156" t="s">
        <v>4701</v>
      </c>
      <c r="I145" s="156" t="s">
        <v>3471</v>
      </c>
      <c r="J145" s="154" t="s">
        <v>4702</v>
      </c>
      <c r="K145" s="154"/>
      <c r="L145" s="154"/>
      <c r="M145" s="154" t="s">
        <v>4703</v>
      </c>
      <c r="N145" s="156" t="s">
        <v>3725</v>
      </c>
      <c r="O145" s="156" t="s">
        <v>945</v>
      </c>
    </row>
    <row r="146" spans="1:15" ht="42">
      <c r="A146" s="154" t="s">
        <v>4704</v>
      </c>
      <c r="B146" s="154" t="s">
        <v>2</v>
      </c>
      <c r="C146" s="154" t="s">
        <v>3321</v>
      </c>
      <c r="D146" s="154" t="s">
        <v>1688</v>
      </c>
      <c r="E146" s="154" t="s">
        <v>3723</v>
      </c>
      <c r="F146" s="154" t="s">
        <v>4663</v>
      </c>
      <c r="G146" s="156" t="s">
        <v>4697</v>
      </c>
      <c r="H146" s="156" t="s">
        <v>4705</v>
      </c>
      <c r="I146" s="156" t="s">
        <v>3472</v>
      </c>
      <c r="J146" s="154"/>
      <c r="K146" s="154"/>
      <c r="L146" s="154" t="s">
        <v>2619</v>
      </c>
      <c r="M146" s="154" t="s">
        <v>1161</v>
      </c>
      <c r="N146" s="156" t="s">
        <v>4666</v>
      </c>
      <c r="O146" s="156" t="s">
        <v>945</v>
      </c>
    </row>
    <row r="147" spans="1:15" ht="42">
      <c r="A147" s="154" t="s">
        <v>4706</v>
      </c>
      <c r="B147" s="154" t="s">
        <v>2</v>
      </c>
      <c r="C147" s="154" t="s">
        <v>3321</v>
      </c>
      <c r="D147" s="154" t="s">
        <v>1688</v>
      </c>
      <c r="E147" s="154" t="s">
        <v>3289</v>
      </c>
      <c r="F147" s="154" t="s">
        <v>4544</v>
      </c>
      <c r="G147" s="156" t="s">
        <v>4700</v>
      </c>
      <c r="H147" s="156" t="s">
        <v>4707</v>
      </c>
      <c r="I147" s="156" t="s">
        <v>3472</v>
      </c>
      <c r="J147" s="154" t="s">
        <v>4702</v>
      </c>
      <c r="K147" s="154"/>
      <c r="L147" s="154"/>
      <c r="M147" s="154" t="s">
        <v>1161</v>
      </c>
      <c r="N147" s="156" t="s">
        <v>3725</v>
      </c>
      <c r="O147" s="156" t="s">
        <v>945</v>
      </c>
    </row>
    <row r="148" spans="1:15" ht="42">
      <c r="A148" s="154" t="s">
        <v>172</v>
      </c>
      <c r="B148" s="154" t="s">
        <v>2</v>
      </c>
      <c r="C148" s="154" t="s">
        <v>3293</v>
      </c>
      <c r="D148" s="154" t="s">
        <v>1688</v>
      </c>
      <c r="E148" s="154" t="s">
        <v>3289</v>
      </c>
      <c r="F148" s="154" t="s">
        <v>4544</v>
      </c>
      <c r="G148" s="156" t="s">
        <v>945</v>
      </c>
      <c r="H148" s="156" t="s">
        <v>173</v>
      </c>
      <c r="I148" s="156" t="s">
        <v>3473</v>
      </c>
      <c r="J148" s="154" t="s">
        <v>3681</v>
      </c>
      <c r="K148" s="154" t="s">
        <v>1451</v>
      </c>
      <c r="L148" s="154" t="s">
        <v>3682</v>
      </c>
      <c r="M148" s="154" t="s">
        <v>1160</v>
      </c>
      <c r="N148" s="156" t="s">
        <v>3547</v>
      </c>
      <c r="O148" s="156" t="s">
        <v>4679</v>
      </c>
    </row>
    <row r="149" spans="1:15" ht="42">
      <c r="A149" s="154" t="s">
        <v>174</v>
      </c>
      <c r="B149" s="154" t="s">
        <v>2</v>
      </c>
      <c r="C149" s="154" t="s">
        <v>3321</v>
      </c>
      <c r="D149" s="154" t="s">
        <v>1688</v>
      </c>
      <c r="E149" s="154" t="s">
        <v>3289</v>
      </c>
      <c r="F149" s="154" t="s">
        <v>4544</v>
      </c>
      <c r="G149" s="156" t="s">
        <v>945</v>
      </c>
      <c r="H149" s="156" t="s">
        <v>175</v>
      </c>
      <c r="I149" s="156" t="s">
        <v>3474</v>
      </c>
      <c r="J149" s="154" t="s">
        <v>3648</v>
      </c>
      <c r="K149" s="154" t="s">
        <v>3649</v>
      </c>
      <c r="L149" s="154" t="s">
        <v>3650</v>
      </c>
      <c r="M149" s="154" t="s">
        <v>2823</v>
      </c>
      <c r="N149" s="156" t="s">
        <v>3547</v>
      </c>
      <c r="O149" s="156" t="s">
        <v>4679</v>
      </c>
    </row>
    <row r="150" spans="1:15" ht="42">
      <c r="A150" s="154" t="s">
        <v>155</v>
      </c>
      <c r="B150" s="154" t="s">
        <v>2</v>
      </c>
      <c r="C150" s="154" t="s">
        <v>3321</v>
      </c>
      <c r="D150" s="154" t="s">
        <v>1688</v>
      </c>
      <c r="E150" s="154" t="s">
        <v>3289</v>
      </c>
      <c r="F150" s="154" t="s">
        <v>4544</v>
      </c>
      <c r="G150" s="156" t="s">
        <v>945</v>
      </c>
      <c r="H150" s="156" t="s">
        <v>156</v>
      </c>
      <c r="I150" s="156" t="s">
        <v>3475</v>
      </c>
      <c r="J150" s="154" t="s">
        <v>3683</v>
      </c>
      <c r="K150" s="154" t="s">
        <v>3684</v>
      </c>
      <c r="L150" s="154" t="s">
        <v>3685</v>
      </c>
      <c r="M150" s="154" t="s">
        <v>3686</v>
      </c>
      <c r="N150" s="156" t="s">
        <v>3547</v>
      </c>
      <c r="O150" s="156" t="s">
        <v>4679</v>
      </c>
    </row>
    <row r="151" spans="1:15" ht="42">
      <c r="A151" s="154" t="s">
        <v>176</v>
      </c>
      <c r="B151" s="154" t="s">
        <v>2</v>
      </c>
      <c r="C151" s="154" t="s">
        <v>3321</v>
      </c>
      <c r="D151" s="154" t="s">
        <v>1688</v>
      </c>
      <c r="E151" s="154" t="s">
        <v>3289</v>
      </c>
      <c r="F151" s="154" t="s">
        <v>4544</v>
      </c>
      <c r="G151" s="156" t="s">
        <v>945</v>
      </c>
      <c r="H151" s="156" t="s">
        <v>177</v>
      </c>
      <c r="I151" s="156" t="s">
        <v>3476</v>
      </c>
      <c r="J151" s="154" t="s">
        <v>3687</v>
      </c>
      <c r="K151" s="154" t="s">
        <v>1484</v>
      </c>
      <c r="L151" s="154" t="s">
        <v>3688</v>
      </c>
      <c r="M151" s="154" t="s">
        <v>2816</v>
      </c>
      <c r="N151" s="156" t="s">
        <v>3547</v>
      </c>
      <c r="O151" s="156" t="s">
        <v>4679</v>
      </c>
    </row>
    <row r="152" spans="1:15" ht="42">
      <c r="A152" s="154" t="s">
        <v>178</v>
      </c>
      <c r="B152" s="154" t="s">
        <v>2</v>
      </c>
      <c r="C152" s="154" t="s">
        <v>3321</v>
      </c>
      <c r="D152" s="154" t="s">
        <v>1688</v>
      </c>
      <c r="E152" s="154" t="s">
        <v>3289</v>
      </c>
      <c r="F152" s="154" t="s">
        <v>4544</v>
      </c>
      <c r="G152" s="156" t="s">
        <v>945</v>
      </c>
      <c r="H152" s="156" t="s">
        <v>179</v>
      </c>
      <c r="I152" s="156" t="s">
        <v>3477</v>
      </c>
      <c r="J152" s="154" t="s">
        <v>3689</v>
      </c>
      <c r="K152" s="154" t="s">
        <v>3690</v>
      </c>
      <c r="L152" s="154" t="s">
        <v>3691</v>
      </c>
      <c r="M152" s="154" t="s">
        <v>2828</v>
      </c>
      <c r="N152" s="156" t="s">
        <v>3547</v>
      </c>
      <c r="O152" s="156" t="s">
        <v>4679</v>
      </c>
    </row>
    <row r="153" spans="1:15" ht="42">
      <c r="A153" s="154" t="s">
        <v>180</v>
      </c>
      <c r="B153" s="154" t="s">
        <v>2</v>
      </c>
      <c r="C153" s="154" t="s">
        <v>3321</v>
      </c>
      <c r="D153" s="154" t="s">
        <v>1688</v>
      </c>
      <c r="E153" s="154" t="s">
        <v>3289</v>
      </c>
      <c r="F153" s="154" t="s">
        <v>4544</v>
      </c>
      <c r="G153" s="156" t="s">
        <v>4708</v>
      </c>
      <c r="H153" s="156" t="s">
        <v>3478</v>
      </c>
      <c r="I153" s="156" t="s">
        <v>3479</v>
      </c>
      <c r="J153" s="154" t="s">
        <v>4709</v>
      </c>
      <c r="K153" s="154" t="s">
        <v>1451</v>
      </c>
      <c r="L153" s="154" t="s">
        <v>3682</v>
      </c>
      <c r="M153" s="154" t="s">
        <v>3692</v>
      </c>
      <c r="N153" s="156" t="s">
        <v>3547</v>
      </c>
      <c r="O153" s="156" t="s">
        <v>4679</v>
      </c>
    </row>
    <row r="154" spans="1:15" ht="63">
      <c r="A154" s="154" t="s">
        <v>181</v>
      </c>
      <c r="B154" s="154" t="s">
        <v>2</v>
      </c>
      <c r="C154" s="154" t="s">
        <v>3321</v>
      </c>
      <c r="D154" s="154" t="s">
        <v>1688</v>
      </c>
      <c r="E154" s="154" t="s">
        <v>3289</v>
      </c>
      <c r="F154" s="154" t="s">
        <v>4544</v>
      </c>
      <c r="G154" s="156" t="s">
        <v>945</v>
      </c>
      <c r="H154" s="156" t="s">
        <v>4710</v>
      </c>
      <c r="I154" s="156" t="s">
        <v>4711</v>
      </c>
      <c r="J154" s="154" t="s">
        <v>4712</v>
      </c>
      <c r="K154" s="154" t="s">
        <v>1484</v>
      </c>
      <c r="L154" s="154" t="s">
        <v>3688</v>
      </c>
      <c r="M154" s="154" t="s">
        <v>4713</v>
      </c>
      <c r="N154" s="156" t="s">
        <v>3547</v>
      </c>
      <c r="O154" s="156" t="s">
        <v>4679</v>
      </c>
    </row>
    <row r="155" spans="1:15" ht="42">
      <c r="A155" s="154" t="s">
        <v>167</v>
      </c>
      <c r="B155" s="154" t="s">
        <v>2</v>
      </c>
      <c r="C155" s="154" t="s">
        <v>3321</v>
      </c>
      <c r="D155" s="154" t="s">
        <v>1688</v>
      </c>
      <c r="E155" s="154" t="s">
        <v>3289</v>
      </c>
      <c r="F155" s="154" t="s">
        <v>4544</v>
      </c>
      <c r="G155" s="156" t="s">
        <v>945</v>
      </c>
      <c r="H155" s="156" t="s">
        <v>168</v>
      </c>
      <c r="I155" s="156" t="s">
        <v>3480</v>
      </c>
      <c r="J155" s="154" t="s">
        <v>3582</v>
      </c>
      <c r="K155" s="154" t="s">
        <v>3583</v>
      </c>
      <c r="L155" s="154" t="s">
        <v>3584</v>
      </c>
      <c r="M155" s="154" t="s">
        <v>1148</v>
      </c>
      <c r="N155" s="156" t="s">
        <v>3547</v>
      </c>
      <c r="O155" s="156" t="s">
        <v>4679</v>
      </c>
    </row>
    <row r="156" spans="1:15" ht="42">
      <c r="A156" s="154" t="s">
        <v>171</v>
      </c>
      <c r="B156" s="154" t="s">
        <v>2</v>
      </c>
      <c r="C156" s="154" t="s">
        <v>3293</v>
      </c>
      <c r="D156" s="154" t="s">
        <v>1688</v>
      </c>
      <c r="E156" s="154" t="s">
        <v>3286</v>
      </c>
      <c r="F156" s="154" t="s">
        <v>4551</v>
      </c>
      <c r="G156" s="156" t="s">
        <v>4714</v>
      </c>
      <c r="H156" s="156" t="s">
        <v>4715</v>
      </c>
      <c r="I156" s="156" t="s">
        <v>4716</v>
      </c>
      <c r="J156" s="154"/>
      <c r="K156" s="154"/>
      <c r="L156" s="154"/>
      <c r="M156" s="154"/>
      <c r="N156" s="156" t="s">
        <v>4556</v>
      </c>
      <c r="O156" s="156" t="s">
        <v>4549</v>
      </c>
    </row>
    <row r="157" spans="1:15" ht="63">
      <c r="A157" s="154" t="s">
        <v>4425</v>
      </c>
      <c r="B157" s="154" t="s">
        <v>2</v>
      </c>
      <c r="C157" s="154" t="s">
        <v>3285</v>
      </c>
      <c r="D157" s="154" t="s">
        <v>1688</v>
      </c>
      <c r="E157" s="154" t="s">
        <v>3289</v>
      </c>
      <c r="F157" s="154" t="s">
        <v>4544</v>
      </c>
      <c r="G157" s="156" t="s">
        <v>4717</v>
      </c>
      <c r="H157" s="156" t="s">
        <v>3758</v>
      </c>
      <c r="I157" s="156" t="s">
        <v>4718</v>
      </c>
      <c r="J157" s="154" t="s">
        <v>4719</v>
      </c>
      <c r="K157" s="154" t="s">
        <v>4720</v>
      </c>
      <c r="L157" s="154" t="s">
        <v>4721</v>
      </c>
      <c r="M157" s="154" t="s">
        <v>4722</v>
      </c>
      <c r="N157" s="156" t="s">
        <v>3547</v>
      </c>
      <c r="O157" s="156" t="s">
        <v>945</v>
      </c>
    </row>
    <row r="158" spans="1:15" ht="42">
      <c r="A158" s="154" t="s">
        <v>4723</v>
      </c>
      <c r="B158" s="154" t="s">
        <v>2</v>
      </c>
      <c r="C158" s="154" t="s">
        <v>3321</v>
      </c>
      <c r="D158" s="154" t="s">
        <v>1688</v>
      </c>
      <c r="E158" s="154" t="s">
        <v>3289</v>
      </c>
      <c r="F158" s="154" t="s">
        <v>4544</v>
      </c>
      <c r="G158" s="156" t="s">
        <v>4724</v>
      </c>
      <c r="H158" s="156" t="s">
        <v>4725</v>
      </c>
      <c r="I158" s="156" t="s">
        <v>4726</v>
      </c>
      <c r="J158" s="154" t="s">
        <v>4727</v>
      </c>
      <c r="K158" s="154" t="s">
        <v>1489</v>
      </c>
      <c r="L158" s="154" t="s">
        <v>4728</v>
      </c>
      <c r="M158" s="154" t="s">
        <v>2823</v>
      </c>
      <c r="N158" s="156" t="s">
        <v>3547</v>
      </c>
      <c r="O158" s="156" t="s">
        <v>4729</v>
      </c>
    </row>
    <row r="159" spans="1:15" ht="42">
      <c r="A159" s="154" t="s">
        <v>4464</v>
      </c>
      <c r="B159" s="154" t="s">
        <v>2</v>
      </c>
      <c r="C159" s="154" t="s">
        <v>3321</v>
      </c>
      <c r="D159" s="154" t="s">
        <v>1688</v>
      </c>
      <c r="E159" s="154" t="s">
        <v>3289</v>
      </c>
      <c r="F159" s="154" t="s">
        <v>4544</v>
      </c>
      <c r="G159" s="156" t="s">
        <v>4730</v>
      </c>
      <c r="H159" s="156" t="s">
        <v>1633</v>
      </c>
      <c r="I159" s="156" t="s">
        <v>4731</v>
      </c>
      <c r="J159" s="154" t="s">
        <v>4037</v>
      </c>
      <c r="K159" s="154" t="s">
        <v>4523</v>
      </c>
      <c r="L159" s="154" t="s">
        <v>4526</v>
      </c>
      <c r="M159" s="154" t="s">
        <v>4460</v>
      </c>
      <c r="N159" s="156" t="s">
        <v>3547</v>
      </c>
      <c r="O159" s="156" t="s">
        <v>4732</v>
      </c>
    </row>
    <row r="160" spans="1:15" ht="42">
      <c r="A160" s="154" t="s">
        <v>182</v>
      </c>
      <c r="B160" s="154" t="s">
        <v>2</v>
      </c>
      <c r="C160" s="154" t="s">
        <v>3293</v>
      </c>
      <c r="D160" s="154" t="s">
        <v>1688</v>
      </c>
      <c r="E160" s="154" t="s">
        <v>3289</v>
      </c>
      <c r="F160" s="154" t="s">
        <v>4544</v>
      </c>
      <c r="G160" s="156" t="s">
        <v>945</v>
      </c>
      <c r="H160" s="156" t="s">
        <v>183</v>
      </c>
      <c r="I160" s="156" t="s">
        <v>3481</v>
      </c>
      <c r="J160" s="154" t="s">
        <v>3693</v>
      </c>
      <c r="K160" s="154" t="s">
        <v>3694</v>
      </c>
      <c r="L160" s="154" t="s">
        <v>3695</v>
      </c>
      <c r="M160" s="154" t="s">
        <v>3696</v>
      </c>
      <c r="N160" s="156" t="s">
        <v>3547</v>
      </c>
      <c r="O160" s="156" t="s">
        <v>4679</v>
      </c>
    </row>
    <row r="161" spans="1:15" ht="42">
      <c r="A161" s="154" t="s">
        <v>184</v>
      </c>
      <c r="B161" s="154" t="s">
        <v>2</v>
      </c>
      <c r="C161" s="154" t="s">
        <v>3293</v>
      </c>
      <c r="D161" s="154" t="s">
        <v>1688</v>
      </c>
      <c r="E161" s="154" t="s">
        <v>3289</v>
      </c>
      <c r="F161" s="154" t="s">
        <v>4544</v>
      </c>
      <c r="G161" s="156" t="s">
        <v>945</v>
      </c>
      <c r="H161" s="156" t="s">
        <v>185</v>
      </c>
      <c r="I161" s="156" t="s">
        <v>3482</v>
      </c>
      <c r="J161" s="154" t="s">
        <v>3693</v>
      </c>
      <c r="K161" s="154" t="s">
        <v>3694</v>
      </c>
      <c r="L161" s="154" t="s">
        <v>3695</v>
      </c>
      <c r="M161" s="154" t="s">
        <v>3697</v>
      </c>
      <c r="N161" s="156" t="s">
        <v>3547</v>
      </c>
      <c r="O161" s="156" t="s">
        <v>4679</v>
      </c>
    </row>
    <row r="162" spans="1:15" ht="63">
      <c r="A162" s="154" t="s">
        <v>186</v>
      </c>
      <c r="B162" s="154" t="s">
        <v>2</v>
      </c>
      <c r="C162" s="154" t="s">
        <v>3293</v>
      </c>
      <c r="D162" s="154" t="s">
        <v>1688</v>
      </c>
      <c r="E162" s="154" t="s">
        <v>3289</v>
      </c>
      <c r="F162" s="154" t="s">
        <v>4544</v>
      </c>
      <c r="G162" s="156" t="s">
        <v>945</v>
      </c>
      <c r="H162" s="156" t="s">
        <v>187</v>
      </c>
      <c r="I162" s="156" t="s">
        <v>4733</v>
      </c>
      <c r="J162" s="154" t="s">
        <v>3698</v>
      </c>
      <c r="K162" s="154" t="s">
        <v>3694</v>
      </c>
      <c r="L162" s="154" t="s">
        <v>3695</v>
      </c>
      <c r="M162" s="154" t="s">
        <v>3699</v>
      </c>
      <c r="N162" s="156" t="s">
        <v>3547</v>
      </c>
      <c r="O162" s="156" t="s">
        <v>4679</v>
      </c>
    </row>
    <row r="163" spans="1:15" ht="42">
      <c r="A163" s="154" t="s">
        <v>188</v>
      </c>
      <c r="B163" s="154" t="s">
        <v>2</v>
      </c>
      <c r="C163" s="154" t="s">
        <v>3321</v>
      </c>
      <c r="D163" s="154" t="s">
        <v>1688</v>
      </c>
      <c r="E163" s="154" t="s">
        <v>3289</v>
      </c>
      <c r="F163" s="154" t="s">
        <v>4544</v>
      </c>
      <c r="G163" s="156" t="s">
        <v>945</v>
      </c>
      <c r="H163" s="156" t="s">
        <v>189</v>
      </c>
      <c r="I163" s="156" t="s">
        <v>3483</v>
      </c>
      <c r="J163" s="154" t="s">
        <v>1437</v>
      </c>
      <c r="K163" s="154" t="s">
        <v>2685</v>
      </c>
      <c r="L163" s="154" t="s">
        <v>2688</v>
      </c>
      <c r="M163" s="154" t="s">
        <v>1159</v>
      </c>
      <c r="N163" s="156" t="s">
        <v>3547</v>
      </c>
      <c r="O163" s="156" t="s">
        <v>4679</v>
      </c>
    </row>
    <row r="164" spans="1:15" ht="42">
      <c r="A164" s="154" t="s">
        <v>190</v>
      </c>
      <c r="B164" s="154" t="s">
        <v>2</v>
      </c>
      <c r="C164" s="154" t="s">
        <v>3321</v>
      </c>
      <c r="D164" s="154" t="s">
        <v>1688</v>
      </c>
      <c r="E164" s="154" t="s">
        <v>3289</v>
      </c>
      <c r="F164" s="154" t="s">
        <v>4544</v>
      </c>
      <c r="G164" s="156" t="s">
        <v>945</v>
      </c>
      <c r="H164" s="156" t="s">
        <v>191</v>
      </c>
      <c r="I164" s="156" t="s">
        <v>3484</v>
      </c>
      <c r="J164" s="154" t="s">
        <v>1437</v>
      </c>
      <c r="K164" s="154" t="s">
        <v>2685</v>
      </c>
      <c r="L164" s="154" t="s">
        <v>2688</v>
      </c>
      <c r="M164" s="154" t="s">
        <v>3700</v>
      </c>
      <c r="N164" s="156" t="s">
        <v>3547</v>
      </c>
      <c r="O164" s="156" t="s">
        <v>4679</v>
      </c>
    </row>
    <row r="165" spans="1:15" ht="42">
      <c r="A165" s="154" t="s">
        <v>192</v>
      </c>
      <c r="B165" s="154" t="s">
        <v>2</v>
      </c>
      <c r="C165" s="154" t="s">
        <v>3321</v>
      </c>
      <c r="D165" s="154" t="s">
        <v>1688</v>
      </c>
      <c r="E165" s="154" t="s">
        <v>3289</v>
      </c>
      <c r="F165" s="154" t="s">
        <v>4544</v>
      </c>
      <c r="G165" s="156" t="s">
        <v>945</v>
      </c>
      <c r="H165" s="156" t="s">
        <v>193</v>
      </c>
      <c r="I165" s="156" t="s">
        <v>3485</v>
      </c>
      <c r="J165" s="154" t="s">
        <v>3698</v>
      </c>
      <c r="K165" s="154" t="s">
        <v>3694</v>
      </c>
      <c r="L165" s="154" t="s">
        <v>3695</v>
      </c>
      <c r="M165" s="154" t="s">
        <v>3699</v>
      </c>
      <c r="N165" s="156" t="s">
        <v>3547</v>
      </c>
      <c r="O165" s="156" t="s">
        <v>4679</v>
      </c>
    </row>
    <row r="166" spans="1:15" ht="42">
      <c r="A166" s="154" t="s">
        <v>194</v>
      </c>
      <c r="B166" s="154" t="s">
        <v>2</v>
      </c>
      <c r="C166" s="154" t="s">
        <v>3293</v>
      </c>
      <c r="D166" s="154" t="s">
        <v>1688</v>
      </c>
      <c r="E166" s="154" t="s">
        <v>3289</v>
      </c>
      <c r="F166" s="154" t="s">
        <v>4544</v>
      </c>
      <c r="G166" s="156" t="s">
        <v>945</v>
      </c>
      <c r="H166" s="156" t="s">
        <v>3486</v>
      </c>
      <c r="I166" s="156" t="s">
        <v>3487</v>
      </c>
      <c r="J166" s="154" t="s">
        <v>3698</v>
      </c>
      <c r="K166" s="154" t="s">
        <v>3694</v>
      </c>
      <c r="L166" s="154" t="s">
        <v>3695</v>
      </c>
      <c r="M166" s="154" t="s">
        <v>3699</v>
      </c>
      <c r="N166" s="156" t="s">
        <v>3547</v>
      </c>
      <c r="O166" s="156" t="s">
        <v>4679</v>
      </c>
    </row>
    <row r="167" spans="1:15" ht="63">
      <c r="A167" s="154" t="s">
        <v>195</v>
      </c>
      <c r="B167" s="154" t="s">
        <v>2</v>
      </c>
      <c r="C167" s="154" t="s">
        <v>3321</v>
      </c>
      <c r="D167" s="154" t="s">
        <v>250</v>
      </c>
      <c r="E167" s="154" t="s">
        <v>945</v>
      </c>
      <c r="F167" s="154" t="s">
        <v>945</v>
      </c>
      <c r="G167" s="156" t="s">
        <v>4734</v>
      </c>
      <c r="H167" s="156" t="s">
        <v>3488</v>
      </c>
      <c r="I167" s="156" t="s">
        <v>3489</v>
      </c>
      <c r="J167" s="154"/>
      <c r="K167" s="154"/>
      <c r="L167" s="154"/>
      <c r="M167" s="154" t="s">
        <v>1157</v>
      </c>
      <c r="N167" s="156" t="s">
        <v>4735</v>
      </c>
      <c r="O167" s="156" t="s">
        <v>945</v>
      </c>
    </row>
    <row r="168" spans="1:15" ht="42">
      <c r="A168" s="154" t="s">
        <v>196</v>
      </c>
      <c r="B168" s="154" t="s">
        <v>2</v>
      </c>
      <c r="C168" s="154" t="s">
        <v>3321</v>
      </c>
      <c r="D168" s="154" t="s">
        <v>1688</v>
      </c>
      <c r="E168" s="154" t="s">
        <v>3289</v>
      </c>
      <c r="F168" s="154" t="s">
        <v>4544</v>
      </c>
      <c r="G168" s="156" t="s">
        <v>945</v>
      </c>
      <c r="H168" s="156" t="s">
        <v>197</v>
      </c>
      <c r="I168" s="156" t="s">
        <v>3490</v>
      </c>
      <c r="J168" s="154" t="s">
        <v>3701</v>
      </c>
      <c r="K168" s="154" t="s">
        <v>2709</v>
      </c>
      <c r="L168" s="154" t="s">
        <v>2712</v>
      </c>
      <c r="M168" s="154" t="s">
        <v>2827</v>
      </c>
      <c r="N168" s="156" t="s">
        <v>3547</v>
      </c>
      <c r="O168" s="156" t="s">
        <v>4679</v>
      </c>
    </row>
    <row r="169" spans="1:15" ht="42">
      <c r="A169" s="154" t="s">
        <v>198</v>
      </c>
      <c r="B169" s="154" t="s">
        <v>2</v>
      </c>
      <c r="C169" s="154" t="s">
        <v>3321</v>
      </c>
      <c r="D169" s="154" t="s">
        <v>1688</v>
      </c>
      <c r="E169" s="154" t="s">
        <v>3289</v>
      </c>
      <c r="F169" s="154" t="s">
        <v>4544</v>
      </c>
      <c r="G169" s="156" t="s">
        <v>945</v>
      </c>
      <c r="H169" s="156" t="s">
        <v>199</v>
      </c>
      <c r="I169" s="156" t="s">
        <v>3491</v>
      </c>
      <c r="J169" s="154" t="s">
        <v>3701</v>
      </c>
      <c r="K169" s="154" t="s">
        <v>2709</v>
      </c>
      <c r="L169" s="154" t="s">
        <v>2712</v>
      </c>
      <c r="M169" s="154" t="s">
        <v>3702</v>
      </c>
      <c r="N169" s="156" t="s">
        <v>3547</v>
      </c>
      <c r="O169" s="156" t="s">
        <v>4679</v>
      </c>
    </row>
    <row r="170" spans="1:15" ht="42">
      <c r="A170" s="154" t="s">
        <v>4736</v>
      </c>
      <c r="B170" s="154" t="s">
        <v>2</v>
      </c>
      <c r="C170" s="154" t="s">
        <v>3293</v>
      </c>
      <c r="D170" s="154" t="s">
        <v>1688</v>
      </c>
      <c r="E170" s="154" t="s">
        <v>3289</v>
      </c>
      <c r="F170" s="154" t="s">
        <v>4544</v>
      </c>
      <c r="G170" s="156" t="s">
        <v>4659</v>
      </c>
      <c r="H170" s="156" t="s">
        <v>4737</v>
      </c>
      <c r="I170" s="156" t="s">
        <v>3492</v>
      </c>
      <c r="J170" s="154" t="s">
        <v>3628</v>
      </c>
      <c r="K170" s="154" t="s">
        <v>3629</v>
      </c>
      <c r="L170" s="154" t="s">
        <v>3630</v>
      </c>
      <c r="M170" s="154" t="s">
        <v>1438</v>
      </c>
      <c r="N170" s="156" t="s">
        <v>3547</v>
      </c>
      <c r="O170" s="156" t="s">
        <v>4679</v>
      </c>
    </row>
    <row r="171" spans="1:15" ht="63">
      <c r="A171" s="154" t="s">
        <v>4738</v>
      </c>
      <c r="B171" s="154" t="s">
        <v>2</v>
      </c>
      <c r="C171" s="154" t="s">
        <v>3293</v>
      </c>
      <c r="D171" s="154" t="s">
        <v>1688</v>
      </c>
      <c r="E171" s="154" t="s">
        <v>3723</v>
      </c>
      <c r="F171" s="154" t="s">
        <v>4663</v>
      </c>
      <c r="G171" s="156" t="s">
        <v>4739</v>
      </c>
      <c r="H171" s="156" t="s">
        <v>4740</v>
      </c>
      <c r="I171" s="156" t="s">
        <v>3492</v>
      </c>
      <c r="J171" s="154"/>
      <c r="K171" s="154"/>
      <c r="L171" s="154"/>
      <c r="M171" s="154" t="s">
        <v>1163</v>
      </c>
      <c r="N171" s="156" t="s">
        <v>4666</v>
      </c>
      <c r="O171" s="156" t="s">
        <v>4679</v>
      </c>
    </row>
    <row r="172" spans="1:15" ht="42">
      <c r="A172" s="154" t="s">
        <v>4741</v>
      </c>
      <c r="B172" s="154" t="s">
        <v>2</v>
      </c>
      <c r="C172" s="154" t="s">
        <v>3321</v>
      </c>
      <c r="D172" s="154" t="s">
        <v>1688</v>
      </c>
      <c r="E172" s="154" t="s">
        <v>3289</v>
      </c>
      <c r="F172" s="154" t="s">
        <v>4544</v>
      </c>
      <c r="G172" s="156" t="s">
        <v>4659</v>
      </c>
      <c r="H172" s="156" t="s">
        <v>4742</v>
      </c>
      <c r="I172" s="156" t="s">
        <v>3493</v>
      </c>
      <c r="J172" s="154" t="s">
        <v>3628</v>
      </c>
      <c r="K172" s="154" t="s">
        <v>3629</v>
      </c>
      <c r="L172" s="154" t="s">
        <v>3630</v>
      </c>
      <c r="M172" s="154" t="s">
        <v>1163</v>
      </c>
      <c r="N172" s="156" t="s">
        <v>3547</v>
      </c>
      <c r="O172" s="156" t="s">
        <v>4679</v>
      </c>
    </row>
    <row r="173" spans="1:15" ht="63">
      <c r="A173" s="154" t="s">
        <v>4743</v>
      </c>
      <c r="B173" s="154" t="s">
        <v>2</v>
      </c>
      <c r="C173" s="154" t="s">
        <v>3321</v>
      </c>
      <c r="D173" s="154" t="s">
        <v>1688</v>
      </c>
      <c r="E173" s="154" t="s">
        <v>3723</v>
      </c>
      <c r="F173" s="154" t="s">
        <v>4663</v>
      </c>
      <c r="G173" s="156" t="s">
        <v>4744</v>
      </c>
      <c r="H173" s="156" t="s">
        <v>4745</v>
      </c>
      <c r="I173" s="156" t="s">
        <v>3493</v>
      </c>
      <c r="J173" s="154"/>
      <c r="K173" s="154"/>
      <c r="L173" s="154"/>
      <c r="M173" s="154" t="s">
        <v>1163</v>
      </c>
      <c r="N173" s="156" t="s">
        <v>4666</v>
      </c>
      <c r="O173" s="156" t="s">
        <v>4679</v>
      </c>
    </row>
    <row r="174" spans="1:15" ht="42">
      <c r="A174" s="154" t="s">
        <v>200</v>
      </c>
      <c r="B174" s="154" t="s">
        <v>2</v>
      </c>
      <c r="C174" s="154" t="s">
        <v>3293</v>
      </c>
      <c r="D174" s="154" t="s">
        <v>1688</v>
      </c>
      <c r="E174" s="154" t="s">
        <v>3289</v>
      </c>
      <c r="F174" s="154" t="s">
        <v>4544</v>
      </c>
      <c r="G174" s="156" t="s">
        <v>945</v>
      </c>
      <c r="H174" s="156" t="s">
        <v>201</v>
      </c>
      <c r="I174" s="156" t="s">
        <v>3494</v>
      </c>
      <c r="J174" s="154" t="s">
        <v>3648</v>
      </c>
      <c r="K174" s="154" t="s">
        <v>3649</v>
      </c>
      <c r="L174" s="154" t="s">
        <v>3650</v>
      </c>
      <c r="M174" s="154" t="s">
        <v>2825</v>
      </c>
      <c r="N174" s="156" t="s">
        <v>3547</v>
      </c>
      <c r="O174" s="156" t="s">
        <v>4679</v>
      </c>
    </row>
    <row r="175" spans="1:15" ht="42">
      <c r="A175" s="154" t="s">
        <v>202</v>
      </c>
      <c r="B175" s="154" t="s">
        <v>2</v>
      </c>
      <c r="C175" s="154" t="s">
        <v>3321</v>
      </c>
      <c r="D175" s="154" t="s">
        <v>1688</v>
      </c>
      <c r="E175" s="154" t="s">
        <v>3289</v>
      </c>
      <c r="F175" s="154" t="s">
        <v>4544</v>
      </c>
      <c r="G175" s="156" t="s">
        <v>945</v>
      </c>
      <c r="H175" s="156" t="s">
        <v>3495</v>
      </c>
      <c r="I175" s="156" t="s">
        <v>3496</v>
      </c>
      <c r="J175" s="154" t="s">
        <v>3648</v>
      </c>
      <c r="K175" s="154" t="s">
        <v>3649</v>
      </c>
      <c r="L175" s="154" t="s">
        <v>3650</v>
      </c>
      <c r="M175" s="154" t="s">
        <v>2823</v>
      </c>
      <c r="N175" s="156" t="s">
        <v>3547</v>
      </c>
      <c r="O175" s="156" t="s">
        <v>4679</v>
      </c>
    </row>
    <row r="176" spans="1:15" ht="42">
      <c r="A176" s="154" t="s">
        <v>203</v>
      </c>
      <c r="B176" s="154" t="s">
        <v>2</v>
      </c>
      <c r="C176" s="154" t="s">
        <v>3321</v>
      </c>
      <c r="D176" s="154" t="s">
        <v>1688</v>
      </c>
      <c r="E176" s="154" t="s">
        <v>3289</v>
      </c>
      <c r="F176" s="154" t="s">
        <v>4544</v>
      </c>
      <c r="G176" s="156" t="s">
        <v>945</v>
      </c>
      <c r="H176" s="156" t="s">
        <v>3497</v>
      </c>
      <c r="I176" s="156" t="s">
        <v>3498</v>
      </c>
      <c r="J176" s="154" t="s">
        <v>3703</v>
      </c>
      <c r="K176" s="154"/>
      <c r="L176" s="154"/>
      <c r="M176" s="154"/>
      <c r="N176" s="156" t="s">
        <v>3725</v>
      </c>
      <c r="O176" s="156" t="s">
        <v>4679</v>
      </c>
    </row>
    <row r="177" spans="1:15" ht="42">
      <c r="A177" s="154" t="s">
        <v>206</v>
      </c>
      <c r="B177" s="154" t="s">
        <v>2</v>
      </c>
      <c r="C177" s="154" t="s">
        <v>3293</v>
      </c>
      <c r="D177" s="154" t="s">
        <v>1688</v>
      </c>
      <c r="E177" s="154" t="s">
        <v>3289</v>
      </c>
      <c r="F177" s="154" t="s">
        <v>4544</v>
      </c>
      <c r="G177" s="156" t="s">
        <v>945</v>
      </c>
      <c r="H177" s="156" t="s">
        <v>3499</v>
      </c>
      <c r="I177" s="156" t="s">
        <v>3500</v>
      </c>
      <c r="J177" s="154" t="s">
        <v>3704</v>
      </c>
      <c r="K177" s="154"/>
      <c r="L177" s="154" t="s">
        <v>2719</v>
      </c>
      <c r="M177" s="154" t="s">
        <v>3705</v>
      </c>
      <c r="N177" s="156" t="s">
        <v>3725</v>
      </c>
      <c r="O177" s="156" t="s">
        <v>4679</v>
      </c>
    </row>
    <row r="178" spans="1:15" ht="42">
      <c r="A178" s="154" t="s">
        <v>207</v>
      </c>
      <c r="B178" s="154" t="s">
        <v>2</v>
      </c>
      <c r="C178" s="154" t="s">
        <v>3321</v>
      </c>
      <c r="D178" s="154" t="s">
        <v>1688</v>
      </c>
      <c r="E178" s="154" t="s">
        <v>3289</v>
      </c>
      <c r="F178" s="154" t="s">
        <v>4544</v>
      </c>
      <c r="G178" s="156" t="s">
        <v>945</v>
      </c>
      <c r="H178" s="156" t="s">
        <v>208</v>
      </c>
      <c r="I178" s="156" t="s">
        <v>3501</v>
      </c>
      <c r="J178" s="154" t="s">
        <v>3706</v>
      </c>
      <c r="K178" s="154"/>
      <c r="L178" s="154"/>
      <c r="M178" s="154"/>
      <c r="N178" s="156" t="s">
        <v>3725</v>
      </c>
      <c r="O178" s="156" t="s">
        <v>4679</v>
      </c>
    </row>
    <row r="179" spans="1:15" ht="42">
      <c r="A179" s="154" t="s">
        <v>204</v>
      </c>
      <c r="B179" s="154" t="s">
        <v>2</v>
      </c>
      <c r="C179" s="154" t="s">
        <v>3321</v>
      </c>
      <c r="D179" s="154" t="s">
        <v>1688</v>
      </c>
      <c r="E179" s="154" t="s">
        <v>3289</v>
      </c>
      <c r="F179" s="154" t="s">
        <v>4544</v>
      </c>
      <c r="G179" s="156" t="s">
        <v>945</v>
      </c>
      <c r="H179" s="156" t="s">
        <v>205</v>
      </c>
      <c r="I179" s="156" t="s">
        <v>3502</v>
      </c>
      <c r="J179" s="154" t="s">
        <v>3646</v>
      </c>
      <c r="K179" s="154" t="s">
        <v>2750</v>
      </c>
      <c r="L179" s="154" t="s">
        <v>2753</v>
      </c>
      <c r="M179" s="154" t="s">
        <v>3647</v>
      </c>
      <c r="N179" s="156" t="s">
        <v>3547</v>
      </c>
      <c r="O179" s="156" t="s">
        <v>4679</v>
      </c>
    </row>
    <row r="180" spans="1:15" ht="63">
      <c r="A180" s="154" t="s">
        <v>4746</v>
      </c>
      <c r="B180" s="154" t="s">
        <v>2</v>
      </c>
      <c r="C180" s="154" t="s">
        <v>3293</v>
      </c>
      <c r="D180" s="154" t="s">
        <v>1688</v>
      </c>
      <c r="E180" s="154" t="s">
        <v>3289</v>
      </c>
      <c r="F180" s="154" t="s">
        <v>4544</v>
      </c>
      <c r="G180" s="156" t="s">
        <v>4688</v>
      </c>
      <c r="H180" s="156" t="s">
        <v>4747</v>
      </c>
      <c r="I180" s="156" t="s">
        <v>4748</v>
      </c>
      <c r="J180" s="154" t="s">
        <v>3707</v>
      </c>
      <c r="K180" s="154"/>
      <c r="L180" s="154" t="s">
        <v>2546</v>
      </c>
      <c r="M180" s="154" t="s">
        <v>1162</v>
      </c>
      <c r="N180" s="156" t="s">
        <v>3725</v>
      </c>
      <c r="O180" s="156" t="s">
        <v>4679</v>
      </c>
    </row>
    <row r="181" spans="1:15" ht="63">
      <c r="A181" s="154" t="s">
        <v>4749</v>
      </c>
      <c r="B181" s="154" t="s">
        <v>2</v>
      </c>
      <c r="C181" s="154" t="s">
        <v>3293</v>
      </c>
      <c r="D181" s="154" t="s">
        <v>1688</v>
      </c>
      <c r="E181" s="154" t="s">
        <v>3723</v>
      </c>
      <c r="F181" s="154" t="s">
        <v>4663</v>
      </c>
      <c r="G181" s="156" t="s">
        <v>4692</v>
      </c>
      <c r="H181" s="156" t="s">
        <v>4750</v>
      </c>
      <c r="I181" s="156" t="s">
        <v>4748</v>
      </c>
      <c r="J181" s="154"/>
      <c r="K181" s="154"/>
      <c r="L181" s="154"/>
      <c r="M181" s="154"/>
      <c r="N181" s="156" t="s">
        <v>4666</v>
      </c>
      <c r="O181" s="156" t="s">
        <v>4679</v>
      </c>
    </row>
    <row r="182" spans="1:15" ht="63">
      <c r="A182" s="154" t="s">
        <v>4207</v>
      </c>
      <c r="B182" s="154" t="s">
        <v>2</v>
      </c>
      <c r="C182" s="154" t="s">
        <v>3285</v>
      </c>
      <c r="D182" s="154" t="s">
        <v>1688</v>
      </c>
      <c r="E182" s="154" t="s">
        <v>3286</v>
      </c>
      <c r="F182" s="154" t="s">
        <v>4544</v>
      </c>
      <c r="G182" s="156" t="s">
        <v>4751</v>
      </c>
      <c r="H182" s="156" t="s">
        <v>4752</v>
      </c>
      <c r="I182" s="156" t="s">
        <v>4753</v>
      </c>
      <c r="J182" s="154" t="s">
        <v>4754</v>
      </c>
      <c r="K182" s="154" t="s">
        <v>1482</v>
      </c>
      <c r="L182" s="154" t="s">
        <v>3542</v>
      </c>
      <c r="M182" s="154" t="s">
        <v>1145</v>
      </c>
      <c r="N182" s="156" t="s">
        <v>3547</v>
      </c>
      <c r="O182" s="156" t="s">
        <v>4755</v>
      </c>
    </row>
    <row r="183" spans="1:15" ht="42">
      <c r="A183" s="154" t="s">
        <v>4237</v>
      </c>
      <c r="B183" s="154" t="s">
        <v>2</v>
      </c>
      <c r="C183" s="154" t="s">
        <v>3321</v>
      </c>
      <c r="D183" s="154" t="s">
        <v>1688</v>
      </c>
      <c r="E183" s="154" t="s">
        <v>3289</v>
      </c>
      <c r="F183" s="154" t="s">
        <v>4544</v>
      </c>
      <c r="G183" s="156" t="s">
        <v>945</v>
      </c>
      <c r="H183" s="156" t="s">
        <v>4756</v>
      </c>
      <c r="I183" s="156" t="s">
        <v>4757</v>
      </c>
      <c r="J183" s="154" t="s">
        <v>1444</v>
      </c>
      <c r="K183" s="154" t="s">
        <v>1486</v>
      </c>
      <c r="L183" s="154" t="s">
        <v>4758</v>
      </c>
      <c r="M183" s="154" t="s">
        <v>4759</v>
      </c>
      <c r="N183" s="156" t="s">
        <v>3547</v>
      </c>
      <c r="O183" s="156" t="s">
        <v>4760</v>
      </c>
    </row>
    <row r="184" spans="1:15" ht="42">
      <c r="A184" s="154" t="s">
        <v>209</v>
      </c>
      <c r="B184" s="154" t="s">
        <v>2</v>
      </c>
      <c r="C184" s="154" t="s">
        <v>3321</v>
      </c>
      <c r="D184" s="154" t="s">
        <v>1688</v>
      </c>
      <c r="E184" s="154" t="s">
        <v>3289</v>
      </c>
      <c r="F184" s="154" t="s">
        <v>4544</v>
      </c>
      <c r="G184" s="156" t="s">
        <v>945</v>
      </c>
      <c r="H184" s="156" t="s">
        <v>210</v>
      </c>
      <c r="I184" s="156" t="s">
        <v>3503</v>
      </c>
      <c r="J184" s="154" t="s">
        <v>1435</v>
      </c>
      <c r="K184" s="154" t="s">
        <v>1453</v>
      </c>
      <c r="L184" s="154" t="s">
        <v>2706</v>
      </c>
      <c r="M184" s="154" t="s">
        <v>2824</v>
      </c>
      <c r="N184" s="156" t="s">
        <v>3547</v>
      </c>
      <c r="O184" s="156" t="s">
        <v>4679</v>
      </c>
    </row>
    <row r="185" spans="1:15" ht="21">
      <c r="A185" s="154" t="s">
        <v>211</v>
      </c>
      <c r="B185" s="154" t="s">
        <v>2</v>
      </c>
      <c r="C185" s="154" t="s">
        <v>3293</v>
      </c>
      <c r="D185" s="154" t="s">
        <v>250</v>
      </c>
      <c r="E185" s="154" t="s">
        <v>945</v>
      </c>
      <c r="F185" s="154" t="s">
        <v>945</v>
      </c>
      <c r="G185" s="156" t="s">
        <v>3505</v>
      </c>
      <c r="H185" s="156" t="s">
        <v>212</v>
      </c>
      <c r="I185" s="156" t="s">
        <v>3504</v>
      </c>
      <c r="J185" s="154"/>
      <c r="K185" s="154"/>
      <c r="L185" s="154"/>
      <c r="M185" s="154"/>
      <c r="N185" s="156" t="s">
        <v>3334</v>
      </c>
      <c r="O185" s="156" t="s">
        <v>945</v>
      </c>
    </row>
    <row r="186" spans="1:15" ht="21">
      <c r="A186" s="154" t="s">
        <v>215</v>
      </c>
      <c r="B186" s="154" t="s">
        <v>2</v>
      </c>
      <c r="C186" s="154" t="s">
        <v>3293</v>
      </c>
      <c r="D186" s="154" t="s">
        <v>250</v>
      </c>
      <c r="E186" s="154" t="s">
        <v>945</v>
      </c>
      <c r="F186" s="154" t="s">
        <v>945</v>
      </c>
      <c r="G186" s="156" t="s">
        <v>3507</v>
      </c>
      <c r="H186" s="156" t="s">
        <v>216</v>
      </c>
      <c r="I186" s="156" t="s">
        <v>3506</v>
      </c>
      <c r="J186" s="154"/>
      <c r="K186" s="154"/>
      <c r="L186" s="154"/>
      <c r="M186" s="154"/>
      <c r="N186" s="156" t="s">
        <v>3334</v>
      </c>
      <c r="O186" s="156" t="s">
        <v>945</v>
      </c>
    </row>
    <row r="187" spans="1:15" ht="21">
      <c r="A187" s="154" t="s">
        <v>217</v>
      </c>
      <c r="B187" s="154" t="s">
        <v>2</v>
      </c>
      <c r="C187" s="154" t="s">
        <v>3293</v>
      </c>
      <c r="D187" s="154" t="s">
        <v>250</v>
      </c>
      <c r="E187" s="154" t="s">
        <v>945</v>
      </c>
      <c r="F187" s="154" t="s">
        <v>945</v>
      </c>
      <c r="G187" s="156" t="s">
        <v>2405</v>
      </c>
      <c r="H187" s="156" t="s">
        <v>218</v>
      </c>
      <c r="I187" s="156" t="s">
        <v>3508</v>
      </c>
      <c r="J187" s="154"/>
      <c r="K187" s="154"/>
      <c r="L187" s="154"/>
      <c r="M187" s="154"/>
      <c r="N187" s="156" t="s">
        <v>3334</v>
      </c>
      <c r="O187" s="156" t="s">
        <v>945</v>
      </c>
    </row>
    <row r="188" spans="1:15" ht="21">
      <c r="A188" s="154" t="s">
        <v>219</v>
      </c>
      <c r="B188" s="154" t="s">
        <v>2</v>
      </c>
      <c r="C188" s="154" t="s">
        <v>3293</v>
      </c>
      <c r="D188" s="154" t="s">
        <v>250</v>
      </c>
      <c r="E188" s="154" t="s">
        <v>945</v>
      </c>
      <c r="F188" s="154" t="s">
        <v>945</v>
      </c>
      <c r="G188" s="156" t="s">
        <v>3511</v>
      </c>
      <c r="H188" s="156" t="s">
        <v>3509</v>
      </c>
      <c r="I188" s="156" t="s">
        <v>3510</v>
      </c>
      <c r="J188" s="154"/>
      <c r="K188" s="154"/>
      <c r="L188" s="154"/>
      <c r="M188" s="154"/>
      <c r="N188" s="156" t="s">
        <v>3334</v>
      </c>
      <c r="O188" s="156" t="s">
        <v>945</v>
      </c>
    </row>
    <row r="189" spans="1:15" ht="42">
      <c r="A189" s="154" t="s">
        <v>220</v>
      </c>
      <c r="B189" s="154" t="s">
        <v>2</v>
      </c>
      <c r="C189" s="154" t="s">
        <v>246</v>
      </c>
      <c r="D189" s="154" t="s">
        <v>250</v>
      </c>
      <c r="E189" s="154" t="s">
        <v>945</v>
      </c>
      <c r="F189" s="154" t="s">
        <v>945</v>
      </c>
      <c r="G189" s="156" t="s">
        <v>3514</v>
      </c>
      <c r="H189" s="156" t="s">
        <v>3512</v>
      </c>
      <c r="I189" s="156" t="s">
        <v>3513</v>
      </c>
      <c r="J189" s="154"/>
      <c r="K189" s="154"/>
      <c r="L189" s="154"/>
      <c r="M189" s="154"/>
      <c r="N189" s="156" t="s">
        <v>3334</v>
      </c>
      <c r="O189" s="156" t="s">
        <v>945</v>
      </c>
    </row>
    <row r="190" spans="1:15" ht="42">
      <c r="A190" s="154" t="s">
        <v>4761</v>
      </c>
      <c r="B190" s="154" t="s">
        <v>2</v>
      </c>
      <c r="C190" s="154" t="s">
        <v>3293</v>
      </c>
      <c r="D190" s="154" t="s">
        <v>1688</v>
      </c>
      <c r="E190" s="154" t="s">
        <v>3289</v>
      </c>
      <c r="F190" s="154" t="s">
        <v>4544</v>
      </c>
      <c r="G190" s="156" t="s">
        <v>4659</v>
      </c>
      <c r="H190" s="156" t="s">
        <v>4762</v>
      </c>
      <c r="I190" s="156" t="s">
        <v>3515</v>
      </c>
      <c r="J190" s="154" t="s">
        <v>3628</v>
      </c>
      <c r="K190" s="154" t="s">
        <v>3629</v>
      </c>
      <c r="L190" s="154" t="s">
        <v>3630</v>
      </c>
      <c r="M190" s="154" t="s">
        <v>3708</v>
      </c>
      <c r="N190" s="156" t="s">
        <v>3547</v>
      </c>
      <c r="O190" s="156" t="s">
        <v>4679</v>
      </c>
    </row>
    <row r="191" spans="1:15" ht="63">
      <c r="A191" s="154" t="s">
        <v>4763</v>
      </c>
      <c r="B191" s="154" t="s">
        <v>2</v>
      </c>
      <c r="C191" s="154" t="s">
        <v>3293</v>
      </c>
      <c r="D191" s="154" t="s">
        <v>1688</v>
      </c>
      <c r="E191" s="154" t="s">
        <v>3723</v>
      </c>
      <c r="F191" s="154" t="s">
        <v>4663</v>
      </c>
      <c r="G191" s="156" t="s">
        <v>4739</v>
      </c>
      <c r="H191" s="156" t="s">
        <v>4764</v>
      </c>
      <c r="I191" s="156" t="s">
        <v>3515</v>
      </c>
      <c r="J191" s="154"/>
      <c r="K191" s="154"/>
      <c r="L191" s="154"/>
      <c r="M191" s="154" t="s">
        <v>1163</v>
      </c>
      <c r="N191" s="156" t="s">
        <v>4666</v>
      </c>
      <c r="O191" s="156" t="s">
        <v>4679</v>
      </c>
    </row>
    <row r="192" spans="1:15" ht="42">
      <c r="A192" s="154" t="s">
        <v>213</v>
      </c>
      <c r="B192" s="154" t="s">
        <v>2</v>
      </c>
      <c r="C192" s="154" t="s">
        <v>3293</v>
      </c>
      <c r="D192" s="154" t="s">
        <v>1688</v>
      </c>
      <c r="E192" s="154" t="s">
        <v>3289</v>
      </c>
      <c r="F192" s="154" t="s">
        <v>4544</v>
      </c>
      <c r="G192" s="156" t="s">
        <v>945</v>
      </c>
      <c r="H192" s="156" t="s">
        <v>214</v>
      </c>
      <c r="I192" s="156" t="s">
        <v>3516</v>
      </c>
      <c r="J192" s="154" t="s">
        <v>1442</v>
      </c>
      <c r="K192" s="154" t="s">
        <v>1483</v>
      </c>
      <c r="L192" s="154" t="s">
        <v>2610</v>
      </c>
      <c r="M192" s="154" t="s">
        <v>2817</v>
      </c>
      <c r="N192" s="156" t="s">
        <v>3547</v>
      </c>
      <c r="O192" s="156" t="s">
        <v>4679</v>
      </c>
    </row>
    <row r="193" spans="1:15" ht="63">
      <c r="A193" s="154" t="s">
        <v>4765</v>
      </c>
      <c r="B193" s="154" t="s">
        <v>2</v>
      </c>
      <c r="C193" s="154" t="s">
        <v>3293</v>
      </c>
      <c r="D193" s="154" t="s">
        <v>1688</v>
      </c>
      <c r="E193" s="154" t="s">
        <v>3289</v>
      </c>
      <c r="F193" s="154" t="s">
        <v>4544</v>
      </c>
      <c r="G193" s="156" t="s">
        <v>4766</v>
      </c>
      <c r="H193" s="156" t="s">
        <v>4767</v>
      </c>
      <c r="I193" s="156" t="s">
        <v>3517</v>
      </c>
      <c r="J193" s="154" t="s">
        <v>1447</v>
      </c>
      <c r="K193" s="154" t="s">
        <v>1671</v>
      </c>
      <c r="L193" s="154" t="s">
        <v>2788</v>
      </c>
      <c r="M193" s="154" t="s">
        <v>3709</v>
      </c>
      <c r="N193" s="156" t="s">
        <v>3547</v>
      </c>
      <c r="O193" s="156" t="s">
        <v>4679</v>
      </c>
    </row>
    <row r="194" spans="1:15" ht="63">
      <c r="A194" s="154" t="s">
        <v>4768</v>
      </c>
      <c r="B194" s="154" t="s">
        <v>2</v>
      </c>
      <c r="C194" s="154" t="s">
        <v>3293</v>
      </c>
      <c r="D194" s="154" t="s">
        <v>1688</v>
      </c>
      <c r="E194" s="154" t="s">
        <v>3723</v>
      </c>
      <c r="F194" s="154" t="s">
        <v>4606</v>
      </c>
      <c r="G194" s="156" t="s">
        <v>4652</v>
      </c>
      <c r="H194" s="156" t="s">
        <v>4769</v>
      </c>
      <c r="I194" s="156" t="s">
        <v>3517</v>
      </c>
      <c r="J194" s="154"/>
      <c r="K194" s="154"/>
      <c r="L194" s="154"/>
      <c r="M194" s="154" t="s">
        <v>1164</v>
      </c>
      <c r="N194" s="156" t="s">
        <v>3722</v>
      </c>
      <c r="O194" s="156" t="s">
        <v>4679</v>
      </c>
    </row>
    <row r="195" spans="1:15" ht="42">
      <c r="A195" s="154" t="s">
        <v>221</v>
      </c>
      <c r="B195" s="154" t="s">
        <v>2</v>
      </c>
      <c r="C195" s="154" t="s">
        <v>3321</v>
      </c>
      <c r="D195" s="154" t="s">
        <v>1688</v>
      </c>
      <c r="E195" s="154" t="s">
        <v>3289</v>
      </c>
      <c r="F195" s="154" t="s">
        <v>4544</v>
      </c>
      <c r="G195" s="156" t="s">
        <v>945</v>
      </c>
      <c r="H195" s="156" t="s">
        <v>222</v>
      </c>
      <c r="I195" s="156" t="s">
        <v>3518</v>
      </c>
      <c r="J195" s="154" t="s">
        <v>3628</v>
      </c>
      <c r="K195" s="154" t="s">
        <v>3629</v>
      </c>
      <c r="L195" s="154" t="s">
        <v>3630</v>
      </c>
      <c r="M195" s="154" t="s">
        <v>1163</v>
      </c>
      <c r="N195" s="156" t="s">
        <v>3547</v>
      </c>
      <c r="O195" s="156" t="s">
        <v>4679</v>
      </c>
    </row>
    <row r="196" spans="1:15" ht="42">
      <c r="A196" s="154" t="s">
        <v>223</v>
      </c>
      <c r="B196" s="154" t="s">
        <v>2</v>
      </c>
      <c r="C196" s="154" t="s">
        <v>3321</v>
      </c>
      <c r="D196" s="154" t="s">
        <v>1688</v>
      </c>
      <c r="E196" s="154" t="s">
        <v>3289</v>
      </c>
      <c r="F196" s="154" t="s">
        <v>4544</v>
      </c>
      <c r="G196" s="156" t="s">
        <v>945</v>
      </c>
      <c r="H196" s="156" t="s">
        <v>3519</v>
      </c>
      <c r="I196" s="156" t="s">
        <v>3520</v>
      </c>
      <c r="J196" s="154" t="s">
        <v>3710</v>
      </c>
      <c r="K196" s="154" t="s">
        <v>3711</v>
      </c>
      <c r="L196" s="154" t="s">
        <v>3712</v>
      </c>
      <c r="M196" s="154" t="s">
        <v>3713</v>
      </c>
      <c r="N196" s="156" t="s">
        <v>3547</v>
      </c>
      <c r="O196" s="156" t="s">
        <v>4679</v>
      </c>
    </row>
    <row r="197" spans="1:15" ht="21">
      <c r="A197" s="154" t="s">
        <v>224</v>
      </c>
      <c r="B197" s="154" t="s">
        <v>2</v>
      </c>
      <c r="C197" s="154" t="s">
        <v>3321</v>
      </c>
      <c r="D197" s="154" t="s">
        <v>1688</v>
      </c>
      <c r="E197" s="154" t="s">
        <v>3289</v>
      </c>
      <c r="F197" s="154" t="s">
        <v>4544</v>
      </c>
      <c r="G197" s="156" t="s">
        <v>945</v>
      </c>
      <c r="H197" s="156" t="s">
        <v>225</v>
      </c>
      <c r="I197" s="156" t="s">
        <v>3521</v>
      </c>
      <c r="J197" s="154"/>
      <c r="K197" s="154"/>
      <c r="L197" s="154"/>
      <c r="M197" s="154"/>
      <c r="N197" s="156" t="s">
        <v>3714</v>
      </c>
      <c r="O197" s="156" t="s">
        <v>945</v>
      </c>
    </row>
    <row r="198" spans="1:15" ht="21">
      <c r="A198" s="154" t="s">
        <v>226</v>
      </c>
      <c r="B198" s="154" t="s">
        <v>2</v>
      </c>
      <c r="C198" s="154" t="s">
        <v>3321</v>
      </c>
      <c r="D198" s="154" t="s">
        <v>1688</v>
      </c>
      <c r="E198" s="154" t="s">
        <v>3289</v>
      </c>
      <c r="F198" s="154" t="s">
        <v>4544</v>
      </c>
      <c r="G198" s="156" t="s">
        <v>945</v>
      </c>
      <c r="H198" s="156" t="s">
        <v>227</v>
      </c>
      <c r="I198" s="156" t="s">
        <v>3522</v>
      </c>
      <c r="J198" s="154"/>
      <c r="K198" s="154"/>
      <c r="L198" s="154"/>
      <c r="M198" s="154"/>
      <c r="N198" s="156" t="s">
        <v>3714</v>
      </c>
      <c r="O198" s="156" t="s">
        <v>945</v>
      </c>
    </row>
    <row r="199" spans="1:15" ht="21">
      <c r="A199" s="154" t="s">
        <v>228</v>
      </c>
      <c r="B199" s="154" t="s">
        <v>2</v>
      </c>
      <c r="C199" s="154" t="s">
        <v>3321</v>
      </c>
      <c r="D199" s="154" t="s">
        <v>1688</v>
      </c>
      <c r="E199" s="154" t="s">
        <v>3289</v>
      </c>
      <c r="F199" s="154" t="s">
        <v>4544</v>
      </c>
      <c r="G199" s="156" t="s">
        <v>945</v>
      </c>
      <c r="H199" s="156" t="s">
        <v>3523</v>
      </c>
      <c r="I199" s="156" t="s">
        <v>3524</v>
      </c>
      <c r="J199" s="154"/>
      <c r="K199" s="154"/>
      <c r="L199" s="154"/>
      <c r="M199" s="154"/>
      <c r="N199" s="156" t="s">
        <v>3714</v>
      </c>
      <c r="O199" s="156" t="s">
        <v>945</v>
      </c>
    </row>
    <row r="200" spans="1:15" ht="21">
      <c r="A200" s="154" t="s">
        <v>229</v>
      </c>
      <c r="B200" s="154" t="s">
        <v>2</v>
      </c>
      <c r="C200" s="154" t="s">
        <v>3321</v>
      </c>
      <c r="D200" s="154" t="s">
        <v>1688</v>
      </c>
      <c r="E200" s="154" t="s">
        <v>3289</v>
      </c>
      <c r="F200" s="154" t="s">
        <v>4544</v>
      </c>
      <c r="G200" s="156" t="s">
        <v>945</v>
      </c>
      <c r="H200" s="156" t="s">
        <v>3525</v>
      </c>
      <c r="I200" s="156" t="s">
        <v>3526</v>
      </c>
      <c r="J200" s="154" t="s">
        <v>3698</v>
      </c>
      <c r="K200" s="154" t="s">
        <v>3694</v>
      </c>
      <c r="L200" s="154" t="s">
        <v>3695</v>
      </c>
      <c r="M200" s="154" t="s">
        <v>3699</v>
      </c>
      <c r="N200" s="156" t="s">
        <v>3714</v>
      </c>
      <c r="O200" s="156" t="s">
        <v>945</v>
      </c>
    </row>
    <row r="201" spans="1:15" ht="21">
      <c r="A201" s="154" t="s">
        <v>230</v>
      </c>
      <c r="B201" s="154" t="s">
        <v>2</v>
      </c>
      <c r="C201" s="154" t="s">
        <v>3321</v>
      </c>
      <c r="D201" s="154" t="s">
        <v>1688</v>
      </c>
      <c r="E201" s="154" t="s">
        <v>3289</v>
      </c>
      <c r="F201" s="154" t="s">
        <v>4544</v>
      </c>
      <c r="G201" s="156" t="s">
        <v>945</v>
      </c>
      <c r="H201" s="156" t="s">
        <v>231</v>
      </c>
      <c r="I201" s="156" t="s">
        <v>3527</v>
      </c>
      <c r="J201" s="154" t="s">
        <v>3706</v>
      </c>
      <c r="K201" s="154"/>
      <c r="L201" s="154"/>
      <c r="M201" s="154"/>
      <c r="N201" s="156" t="s">
        <v>3714</v>
      </c>
      <c r="O201" s="156" t="s">
        <v>945</v>
      </c>
    </row>
    <row r="202" spans="1:15" ht="42">
      <c r="A202" s="154" t="s">
        <v>232</v>
      </c>
      <c r="B202" s="154" t="s">
        <v>2</v>
      </c>
      <c r="C202" s="154" t="s">
        <v>3293</v>
      </c>
      <c r="D202" s="154" t="s">
        <v>1688</v>
      </c>
      <c r="E202" s="154" t="s">
        <v>3289</v>
      </c>
      <c r="F202" s="154" t="s">
        <v>4544</v>
      </c>
      <c r="G202" s="156" t="s">
        <v>945</v>
      </c>
      <c r="H202" s="156" t="s">
        <v>3528</v>
      </c>
      <c r="I202" s="156" t="s">
        <v>3529</v>
      </c>
      <c r="J202" s="154"/>
      <c r="K202" s="154"/>
      <c r="L202" s="154"/>
      <c r="M202" s="154"/>
      <c r="N202" s="156" t="s">
        <v>4770</v>
      </c>
      <c r="O202" s="156" t="s">
        <v>945</v>
      </c>
    </row>
    <row r="203" spans="1:15" ht="21">
      <c r="A203" s="154" t="s">
        <v>233</v>
      </c>
      <c r="B203" s="154" t="s">
        <v>2</v>
      </c>
      <c r="C203" s="154" t="s">
        <v>3321</v>
      </c>
      <c r="D203" s="154" t="s">
        <v>1688</v>
      </c>
      <c r="E203" s="154" t="s">
        <v>3289</v>
      </c>
      <c r="F203" s="154" t="s">
        <v>4544</v>
      </c>
      <c r="G203" s="156" t="s">
        <v>945</v>
      </c>
      <c r="H203" s="156" t="s">
        <v>3530</v>
      </c>
      <c r="I203" s="156" t="s">
        <v>3531</v>
      </c>
      <c r="J203" s="154"/>
      <c r="K203" s="154"/>
      <c r="L203" s="154"/>
      <c r="M203" s="154"/>
      <c r="N203" s="156" t="s">
        <v>3714</v>
      </c>
      <c r="O203" s="156" t="s">
        <v>945</v>
      </c>
    </row>
    <row r="204" spans="1:15" ht="21">
      <c r="A204" s="154" t="s">
        <v>234</v>
      </c>
      <c r="B204" s="154" t="s">
        <v>2</v>
      </c>
      <c r="C204" s="154" t="s">
        <v>3321</v>
      </c>
      <c r="D204" s="154" t="s">
        <v>1688</v>
      </c>
      <c r="E204" s="154" t="s">
        <v>3289</v>
      </c>
      <c r="F204" s="154" t="s">
        <v>4544</v>
      </c>
      <c r="G204" s="156" t="s">
        <v>945</v>
      </c>
      <c r="H204" s="156" t="s">
        <v>3532</v>
      </c>
      <c r="I204" s="156" t="s">
        <v>3533</v>
      </c>
      <c r="J204" s="154"/>
      <c r="K204" s="154"/>
      <c r="L204" s="154"/>
      <c r="M204" s="154"/>
      <c r="N204" s="156" t="s">
        <v>3714</v>
      </c>
      <c r="O204" s="156" t="s">
        <v>945</v>
      </c>
    </row>
    <row r="205" spans="1:15" ht="21">
      <c r="A205" s="154" t="s">
        <v>235</v>
      </c>
      <c r="B205" s="154" t="s">
        <v>2</v>
      </c>
      <c r="C205" s="154" t="s">
        <v>3321</v>
      </c>
      <c r="D205" s="154" t="s">
        <v>1688</v>
      </c>
      <c r="E205" s="154" t="s">
        <v>3289</v>
      </c>
      <c r="F205" s="154" t="s">
        <v>4544</v>
      </c>
      <c r="G205" s="156" t="s">
        <v>945</v>
      </c>
      <c r="H205" s="156" t="s">
        <v>3534</v>
      </c>
      <c r="I205" s="156" t="s">
        <v>3535</v>
      </c>
      <c r="J205" s="154"/>
      <c r="K205" s="154"/>
      <c r="L205" s="154"/>
      <c r="M205" s="154"/>
      <c r="N205" s="156" t="s">
        <v>3714</v>
      </c>
      <c r="O205" s="156" t="s">
        <v>945</v>
      </c>
    </row>
    <row r="206" spans="1:15" ht="63">
      <c r="A206" s="154" t="s">
        <v>236</v>
      </c>
      <c r="B206" s="154" t="s">
        <v>2</v>
      </c>
      <c r="C206" s="154" t="s">
        <v>246</v>
      </c>
      <c r="D206" s="154" t="s">
        <v>1688</v>
      </c>
      <c r="E206" s="154" t="s">
        <v>3723</v>
      </c>
      <c r="F206" s="154" t="s">
        <v>4551</v>
      </c>
      <c r="G206" s="156" t="s">
        <v>4771</v>
      </c>
      <c r="H206" s="156" t="s">
        <v>237</v>
      </c>
      <c r="I206" s="156" t="s">
        <v>3536</v>
      </c>
      <c r="J206" s="154"/>
      <c r="K206" s="154"/>
      <c r="L206" s="154"/>
      <c r="M206" s="154"/>
      <c r="N206" s="156" t="s">
        <v>3722</v>
      </c>
      <c r="O206" s="156" t="s">
        <v>945</v>
      </c>
    </row>
    <row r="207" spans="1:15" ht="63">
      <c r="A207" s="154" t="s">
        <v>238</v>
      </c>
      <c r="B207" s="154" t="s">
        <v>2</v>
      </c>
      <c r="C207" s="154" t="s">
        <v>246</v>
      </c>
      <c r="D207" s="154" t="s">
        <v>1688</v>
      </c>
      <c r="E207" s="154" t="s">
        <v>3723</v>
      </c>
      <c r="F207" s="154" t="s">
        <v>4551</v>
      </c>
      <c r="G207" s="156" t="s">
        <v>4772</v>
      </c>
      <c r="H207" s="156" t="s">
        <v>239</v>
      </c>
      <c r="I207" s="156" t="s">
        <v>3537</v>
      </c>
      <c r="J207" s="154"/>
      <c r="K207" s="154"/>
      <c r="L207" s="154"/>
      <c r="M207" s="154"/>
      <c r="N207" s="156" t="s">
        <v>3722</v>
      </c>
      <c r="O207" s="156" t="s">
        <v>945</v>
      </c>
    </row>
    <row r="208" spans="1:15" ht="42">
      <c r="A208" s="154" t="s">
        <v>240</v>
      </c>
      <c r="B208" s="154" t="s">
        <v>2</v>
      </c>
      <c r="C208" s="154" t="s">
        <v>3321</v>
      </c>
      <c r="D208" s="154" t="s">
        <v>1688</v>
      </c>
      <c r="E208" s="154" t="s">
        <v>3289</v>
      </c>
      <c r="F208" s="154" t="s">
        <v>4544</v>
      </c>
      <c r="G208" s="156" t="s">
        <v>945</v>
      </c>
      <c r="H208" s="156" t="s">
        <v>241</v>
      </c>
      <c r="I208" s="156" t="s">
        <v>3538</v>
      </c>
      <c r="J208" s="154" t="s">
        <v>3715</v>
      </c>
      <c r="K208" s="154" t="s">
        <v>3716</v>
      </c>
      <c r="L208" s="154" t="s">
        <v>3717</v>
      </c>
      <c r="M208" s="154" t="s">
        <v>3718</v>
      </c>
      <c r="N208" s="156" t="s">
        <v>3547</v>
      </c>
      <c r="O208" s="156" t="s">
        <v>4679</v>
      </c>
    </row>
    <row r="209" spans="1:15" ht="42">
      <c r="A209" s="154" t="s">
        <v>242</v>
      </c>
      <c r="B209" s="154" t="s">
        <v>2</v>
      </c>
      <c r="C209" s="154" t="s">
        <v>3321</v>
      </c>
      <c r="D209" s="154" t="s">
        <v>1688</v>
      </c>
      <c r="E209" s="154" t="s">
        <v>3289</v>
      </c>
      <c r="F209" s="154" t="s">
        <v>4544</v>
      </c>
      <c r="G209" s="156" t="s">
        <v>945</v>
      </c>
      <c r="H209" s="156" t="s">
        <v>243</v>
      </c>
      <c r="I209" s="156" t="s">
        <v>3539</v>
      </c>
      <c r="J209" s="154" t="s">
        <v>1436</v>
      </c>
      <c r="K209" s="154" t="s">
        <v>1665</v>
      </c>
      <c r="L209" s="154" t="s">
        <v>2539</v>
      </c>
      <c r="M209" s="154" t="s">
        <v>2820</v>
      </c>
      <c r="N209" s="156" t="s">
        <v>3547</v>
      </c>
      <c r="O209" s="156" t="s">
        <v>4679</v>
      </c>
    </row>
    <row r="210" spans="1:15" ht="42">
      <c r="A210" s="154" t="s">
        <v>244</v>
      </c>
      <c r="B210" s="154" t="s">
        <v>2</v>
      </c>
      <c r="C210" s="154" t="s">
        <v>3321</v>
      </c>
      <c r="D210" s="154" t="s">
        <v>1688</v>
      </c>
      <c r="E210" s="154" t="s">
        <v>3289</v>
      </c>
      <c r="F210" s="154" t="s">
        <v>4544</v>
      </c>
      <c r="G210" s="156" t="s">
        <v>3541</v>
      </c>
      <c r="H210" s="156" t="s">
        <v>245</v>
      </c>
      <c r="I210" s="156" t="s">
        <v>3540</v>
      </c>
      <c r="J210" s="154" t="s">
        <v>2407</v>
      </c>
      <c r="K210" s="154" t="s">
        <v>1496</v>
      </c>
      <c r="L210" s="154" t="s">
        <v>2739</v>
      </c>
      <c r="M210" s="154" t="s">
        <v>1440</v>
      </c>
      <c r="N210" s="156" t="s">
        <v>3547</v>
      </c>
      <c r="O210" s="156" t="s">
        <v>4679</v>
      </c>
    </row>
  </sheetData>
  <autoFilter ref="A1:O210" xr:uid="{CF98360B-467A-9A40-9C12-19F5CA7BB25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50CDA-FE4E-E74B-968F-00BE7CB94CEE}">
  <dimension ref="A1:Y164"/>
  <sheetViews>
    <sheetView zoomScaleNormal="100" workbookViewId="0">
      <pane ySplit="6" topLeftCell="A48" activePane="bottomLeft" state="frozen"/>
      <selection pane="bottomLeft" activeCell="D12" sqref="D12"/>
    </sheetView>
  </sheetViews>
  <sheetFormatPr baseColWidth="10" defaultRowHeight="22" customHeight="1"/>
  <cols>
    <col min="1" max="1" width="12.5703125" style="38" customWidth="1"/>
    <col min="2" max="2" width="21.42578125" style="38" customWidth="1"/>
    <col min="3" max="3" width="20.28515625" style="38" customWidth="1"/>
    <col min="4" max="5" width="28.5703125" style="38" customWidth="1"/>
    <col min="6" max="6" width="35.7109375" style="38" customWidth="1"/>
    <col min="7" max="7" width="66.85546875" style="38" customWidth="1"/>
    <col min="8" max="8" width="48.5703125" style="38" hidden="1" customWidth="1"/>
    <col min="9" max="9" width="7.42578125" style="47" customWidth="1"/>
    <col min="10" max="10" width="16.28515625" style="38" customWidth="1"/>
    <col min="11" max="11" width="15" style="38" customWidth="1"/>
    <col min="12" max="12" width="20" style="38" customWidth="1"/>
    <col min="13" max="13" width="45.7109375" style="38" customWidth="1"/>
    <col min="14" max="14" width="30" style="38" customWidth="1"/>
    <col min="15" max="15" width="21.42578125" style="38" customWidth="1"/>
    <col min="16" max="16" width="15.7109375" style="38" customWidth="1"/>
    <col min="17" max="17" width="10" style="38" customWidth="1"/>
    <col min="18" max="18" width="28.5703125" style="38" customWidth="1"/>
    <col min="19" max="19" width="21.42578125" style="38" customWidth="1"/>
    <col min="20" max="20" width="10" style="38" customWidth="1"/>
    <col min="21" max="21" width="15.7109375" style="38" customWidth="1"/>
    <col min="22" max="22" width="10" style="38" customWidth="1"/>
    <col min="23" max="23" width="14.28515625" style="38" customWidth="1"/>
    <col min="24" max="24" width="12.85546875" style="38" customWidth="1"/>
    <col min="25" max="25" width="28.5703125" style="38" customWidth="1"/>
    <col min="26" max="26" width="24.28515625" style="38" customWidth="1"/>
    <col min="27" max="16384" width="10.7109375" style="38"/>
  </cols>
  <sheetData>
    <row r="1" spans="1:21" ht="22" customHeight="1">
      <c r="A1" s="37" t="s">
        <v>1696</v>
      </c>
      <c r="B1" s="21"/>
      <c r="C1" s="21"/>
      <c r="D1" s="21"/>
      <c r="E1" s="21"/>
      <c r="F1" s="21"/>
      <c r="G1" s="21"/>
      <c r="H1" s="21"/>
      <c r="I1" s="122"/>
      <c r="J1" s="21"/>
      <c r="K1" s="21"/>
      <c r="L1" s="21"/>
      <c r="M1" s="21"/>
      <c r="N1" s="21"/>
      <c r="O1" s="21"/>
      <c r="P1" s="21"/>
      <c r="Q1" s="21"/>
      <c r="R1" s="21"/>
      <c r="S1" s="21"/>
    </row>
    <row r="2" spans="1:21" ht="22" customHeight="1">
      <c r="A2" s="115" t="s">
        <v>1705</v>
      </c>
      <c r="B2" s="21"/>
      <c r="C2" s="21"/>
      <c r="D2" s="21"/>
      <c r="E2" s="21"/>
      <c r="F2" s="21"/>
      <c r="G2" s="21"/>
      <c r="H2" s="21"/>
      <c r="I2" s="122"/>
      <c r="J2" s="21"/>
      <c r="K2" s="21"/>
      <c r="L2" s="21"/>
      <c r="M2" s="21"/>
      <c r="N2" s="21"/>
      <c r="O2" s="21"/>
      <c r="P2" s="21"/>
      <c r="Q2" s="21"/>
      <c r="R2" s="21"/>
      <c r="S2" s="21"/>
    </row>
    <row r="3" spans="1:21" ht="22" customHeight="1">
      <c r="A3" s="109" t="s">
        <v>1704</v>
      </c>
      <c r="B3" s="21"/>
      <c r="C3" s="21"/>
      <c r="D3" s="21"/>
      <c r="E3" s="21"/>
      <c r="F3" s="21"/>
      <c r="G3" s="21"/>
      <c r="H3" s="21"/>
      <c r="I3" s="122"/>
      <c r="J3" s="21"/>
      <c r="K3" s="21"/>
      <c r="L3" s="21"/>
      <c r="M3" s="21"/>
      <c r="N3" s="21"/>
      <c r="O3" s="21"/>
      <c r="P3" s="21"/>
      <c r="Q3" s="21"/>
      <c r="R3" s="21"/>
      <c r="S3" s="21"/>
    </row>
    <row r="4" spans="1:21" ht="22" customHeight="1">
      <c r="A4" s="109" t="s">
        <v>1706</v>
      </c>
      <c r="B4" s="21"/>
      <c r="C4" s="21"/>
      <c r="D4" s="21"/>
      <c r="E4" s="21"/>
      <c r="F4" s="21"/>
      <c r="G4" s="21"/>
      <c r="H4" s="21"/>
      <c r="I4" s="122"/>
      <c r="J4" s="21"/>
      <c r="K4" s="21"/>
      <c r="L4" s="21"/>
      <c r="M4" s="21"/>
      <c r="N4" s="21"/>
      <c r="O4" s="21"/>
      <c r="P4" s="21"/>
      <c r="Q4" s="21"/>
      <c r="R4" s="21"/>
      <c r="S4" s="21"/>
    </row>
    <row r="5" spans="1:21" ht="22" customHeight="1">
      <c r="A5" s="110" t="s">
        <v>1695</v>
      </c>
      <c r="B5" s="21"/>
      <c r="C5" s="21"/>
      <c r="D5" s="21"/>
      <c r="E5" s="21"/>
      <c r="F5" s="21"/>
      <c r="G5" s="21"/>
      <c r="H5" s="21"/>
      <c r="I5" s="122"/>
      <c r="J5" s="21"/>
      <c r="K5" s="21"/>
      <c r="L5" s="21"/>
      <c r="M5" s="21"/>
      <c r="N5" s="21"/>
      <c r="O5" s="21"/>
      <c r="P5" s="21"/>
      <c r="Q5" s="21"/>
      <c r="R5" s="21"/>
      <c r="S5" s="21"/>
    </row>
    <row r="6" spans="1:21" ht="22" customHeight="1">
      <c r="A6" s="128" t="s">
        <v>1360</v>
      </c>
      <c r="B6" s="128" t="s">
        <v>1660</v>
      </c>
      <c r="C6" s="128" t="s">
        <v>1694</v>
      </c>
      <c r="D6" s="128" t="s">
        <v>1645</v>
      </c>
      <c r="E6" s="128" t="s">
        <v>1599</v>
      </c>
      <c r="F6" s="128" t="s">
        <v>1661</v>
      </c>
      <c r="G6" s="128" t="s">
        <v>1642</v>
      </c>
      <c r="H6" s="128" t="s">
        <v>1643</v>
      </c>
      <c r="I6" s="128" t="s">
        <v>1362</v>
      </c>
      <c r="J6" s="128" t="s">
        <v>1702</v>
      </c>
      <c r="K6" s="128" t="s">
        <v>1703</v>
      </c>
      <c r="L6" s="128" t="s">
        <v>1686</v>
      </c>
      <c r="M6" s="128" t="s">
        <v>1687</v>
      </c>
      <c r="N6" s="128" t="s">
        <v>1363</v>
      </c>
      <c r="O6" s="128" t="s">
        <v>1693</v>
      </c>
      <c r="P6" s="128" t="s">
        <v>1644</v>
      </c>
      <c r="Q6" s="128" t="s">
        <v>948</v>
      </c>
      <c r="R6" s="128" t="s">
        <v>300</v>
      </c>
      <c r="S6" s="128" t="s">
        <v>1589</v>
      </c>
      <c r="T6"/>
    </row>
    <row r="7" spans="1:21" ht="22" customHeight="1">
      <c r="A7" s="123" t="s">
        <v>3762</v>
      </c>
      <c r="B7" s="123" t="s">
        <v>2933</v>
      </c>
      <c r="C7" s="123" t="s">
        <v>1719</v>
      </c>
      <c r="D7" s="123" t="s">
        <v>2060</v>
      </c>
      <c r="E7" s="123" t="s">
        <v>3763</v>
      </c>
      <c r="F7" s="123" t="s">
        <v>3764</v>
      </c>
      <c r="G7" s="123" t="s">
        <v>3765</v>
      </c>
      <c r="H7" s="123" t="s">
        <v>2950</v>
      </c>
      <c r="I7" s="123">
        <v>1</v>
      </c>
      <c r="J7" s="123" t="s">
        <v>1698</v>
      </c>
      <c r="K7" s="123" t="s">
        <v>1698</v>
      </c>
      <c r="L7" s="123" t="s">
        <v>1967</v>
      </c>
      <c r="M7" s="123" t="s">
        <v>3766</v>
      </c>
      <c r="N7" s="123" t="s">
        <v>1689</v>
      </c>
      <c r="O7" s="123" t="s">
        <v>2000</v>
      </c>
      <c r="P7" s="123" t="s">
        <v>1366</v>
      </c>
      <c r="Q7" s="123" t="s">
        <v>1361</v>
      </c>
      <c r="R7" s="123"/>
      <c r="S7" s="123" t="s">
        <v>2201</v>
      </c>
      <c r="T7"/>
      <c r="U7"/>
    </row>
    <row r="8" spans="1:21" ht="22" customHeight="1">
      <c r="A8" s="123" t="s">
        <v>3767</v>
      </c>
      <c r="B8" s="123" t="s">
        <v>3768</v>
      </c>
      <c r="C8" s="123" t="s">
        <v>1719</v>
      </c>
      <c r="D8" s="123" t="s">
        <v>2060</v>
      </c>
      <c r="E8" s="123" t="s">
        <v>3763</v>
      </c>
      <c r="F8" s="123" t="s">
        <v>3769</v>
      </c>
      <c r="G8" s="123" t="s">
        <v>3770</v>
      </c>
      <c r="H8" s="123" t="s">
        <v>2951</v>
      </c>
      <c r="I8" s="123">
        <v>2</v>
      </c>
      <c r="J8" s="123" t="s">
        <v>1698</v>
      </c>
      <c r="K8" s="123" t="s">
        <v>1698</v>
      </c>
      <c r="L8" s="123" t="s">
        <v>1967</v>
      </c>
      <c r="M8" s="123" t="s">
        <v>3771</v>
      </c>
      <c r="N8" s="123" t="s">
        <v>1689</v>
      </c>
      <c r="O8" s="123" t="s">
        <v>2000</v>
      </c>
      <c r="P8" s="123" t="s">
        <v>1366</v>
      </c>
      <c r="Q8" s="123" t="s">
        <v>1361</v>
      </c>
      <c r="R8" s="123"/>
      <c r="S8" s="123" t="s">
        <v>2201</v>
      </c>
      <c r="T8"/>
    </row>
    <row r="9" spans="1:21" ht="22" customHeight="1">
      <c r="A9" s="123" t="s">
        <v>3772</v>
      </c>
      <c r="B9" s="123" t="s">
        <v>2933</v>
      </c>
      <c r="C9" s="123" t="s">
        <v>1719</v>
      </c>
      <c r="D9" s="123" t="s">
        <v>2060</v>
      </c>
      <c r="E9" s="123" t="s">
        <v>2150</v>
      </c>
      <c r="F9" s="123" t="s">
        <v>3773</v>
      </c>
      <c r="G9" s="123" t="s">
        <v>3774</v>
      </c>
      <c r="H9" s="123" t="s">
        <v>2952</v>
      </c>
      <c r="I9" s="123">
        <v>0.5</v>
      </c>
      <c r="J9" s="123" t="s">
        <v>1698</v>
      </c>
      <c r="K9" s="123" t="s">
        <v>1698</v>
      </c>
      <c r="L9" s="123" t="s">
        <v>1966</v>
      </c>
      <c r="M9" s="123" t="s">
        <v>3775</v>
      </c>
      <c r="N9" s="123" t="s">
        <v>1689</v>
      </c>
      <c r="O9" s="123" t="s">
        <v>2000</v>
      </c>
      <c r="P9" s="123" t="s">
        <v>1366</v>
      </c>
      <c r="Q9" s="123" t="s">
        <v>1361</v>
      </c>
      <c r="R9" s="123"/>
      <c r="S9" s="123" t="s">
        <v>2269</v>
      </c>
      <c r="T9"/>
    </row>
    <row r="10" spans="1:21" ht="22" customHeight="1">
      <c r="A10" s="123" t="s">
        <v>3776</v>
      </c>
      <c r="B10" s="123" t="s">
        <v>2933</v>
      </c>
      <c r="C10" s="123" t="s">
        <v>1719</v>
      </c>
      <c r="D10" s="123" t="s">
        <v>2060</v>
      </c>
      <c r="E10" s="123" t="s">
        <v>3777</v>
      </c>
      <c r="F10" s="123" t="s">
        <v>3778</v>
      </c>
      <c r="G10" s="123" t="s">
        <v>3779</v>
      </c>
      <c r="H10" s="123" t="s">
        <v>2953</v>
      </c>
      <c r="I10" s="123">
        <v>0.5</v>
      </c>
      <c r="J10" s="123" t="s">
        <v>1698</v>
      </c>
      <c r="K10" s="123" t="s">
        <v>1698</v>
      </c>
      <c r="L10" s="123" t="s">
        <v>1967</v>
      </c>
      <c r="M10" s="123" t="s">
        <v>3780</v>
      </c>
      <c r="N10" s="123" t="s">
        <v>1689</v>
      </c>
      <c r="O10" s="123" t="s">
        <v>2000</v>
      </c>
      <c r="P10" s="123" t="s">
        <v>1366</v>
      </c>
      <c r="Q10" s="123" t="s">
        <v>1361</v>
      </c>
      <c r="R10" s="123"/>
      <c r="S10" s="123" t="s">
        <v>2292</v>
      </c>
      <c r="T10"/>
    </row>
    <row r="11" spans="1:21" ht="22" customHeight="1">
      <c r="A11" s="111" t="s">
        <v>3781</v>
      </c>
      <c r="B11" s="111" t="s">
        <v>2934</v>
      </c>
      <c r="C11" s="124" t="s">
        <v>1719</v>
      </c>
      <c r="D11" s="112" t="s">
        <v>2059</v>
      </c>
      <c r="E11" s="112" t="s">
        <v>3782</v>
      </c>
      <c r="F11" s="112" t="s">
        <v>1764</v>
      </c>
      <c r="G11" s="112" t="s">
        <v>1842</v>
      </c>
      <c r="H11" s="112" t="s">
        <v>1918</v>
      </c>
      <c r="I11" s="125">
        <v>0.5</v>
      </c>
      <c r="J11" s="111" t="s">
        <v>1698</v>
      </c>
      <c r="K11" s="111" t="s">
        <v>1698</v>
      </c>
      <c r="L11" s="126" t="s">
        <v>1967</v>
      </c>
      <c r="M11" s="126" t="s">
        <v>3783</v>
      </c>
      <c r="N11" s="126" t="s">
        <v>1689</v>
      </c>
      <c r="O11" s="124" t="s">
        <v>1999</v>
      </c>
      <c r="P11" s="111" t="s">
        <v>1366</v>
      </c>
      <c r="Q11" s="111" t="s">
        <v>1361</v>
      </c>
      <c r="R11" s="111" t="s">
        <v>3784</v>
      </c>
      <c r="S11" s="111" t="s">
        <v>2199</v>
      </c>
      <c r="T11"/>
    </row>
    <row r="12" spans="1:21" ht="22" customHeight="1">
      <c r="A12" s="111" t="s">
        <v>3785</v>
      </c>
      <c r="B12" s="111" t="s">
        <v>2935</v>
      </c>
      <c r="C12" s="124" t="s">
        <v>1719</v>
      </c>
      <c r="D12" s="112" t="s">
        <v>2059</v>
      </c>
      <c r="E12" s="112" t="s">
        <v>3782</v>
      </c>
      <c r="F12" s="112" t="s">
        <v>1773</v>
      </c>
      <c r="G12" s="112" t="s">
        <v>1850</v>
      </c>
      <c r="H12" s="112" t="s">
        <v>3786</v>
      </c>
      <c r="I12" s="125">
        <v>4</v>
      </c>
      <c r="J12" s="111" t="s">
        <v>1698</v>
      </c>
      <c r="K12" s="111" t="s">
        <v>1698</v>
      </c>
      <c r="L12" s="126" t="s">
        <v>1967</v>
      </c>
      <c r="M12" s="126" t="s">
        <v>3783</v>
      </c>
      <c r="N12" s="126" t="s">
        <v>1689</v>
      </c>
      <c r="O12" s="124" t="s">
        <v>1999</v>
      </c>
      <c r="P12" s="111" t="s">
        <v>1366</v>
      </c>
      <c r="Q12" s="111" t="s">
        <v>1361</v>
      </c>
      <c r="R12" s="111"/>
      <c r="S12" s="111" t="s">
        <v>2199</v>
      </c>
      <c r="T12"/>
    </row>
    <row r="13" spans="1:21" ht="22" customHeight="1">
      <c r="A13" s="111" t="s">
        <v>3787</v>
      </c>
      <c r="B13" s="111" t="s">
        <v>3788</v>
      </c>
      <c r="C13" s="124" t="s">
        <v>1719</v>
      </c>
      <c r="D13" s="112" t="s">
        <v>2059</v>
      </c>
      <c r="E13" s="112" t="s">
        <v>3782</v>
      </c>
      <c r="F13" s="112" t="s">
        <v>1789</v>
      </c>
      <c r="G13" s="112" t="s">
        <v>1862</v>
      </c>
      <c r="H13" s="112" t="s">
        <v>1941</v>
      </c>
      <c r="I13" s="125">
        <v>1</v>
      </c>
      <c r="J13" s="111" t="s">
        <v>1698</v>
      </c>
      <c r="K13" s="111" t="s">
        <v>1698</v>
      </c>
      <c r="L13" s="126" t="s">
        <v>1967</v>
      </c>
      <c r="M13" s="126" t="s">
        <v>3783</v>
      </c>
      <c r="N13" s="126" t="s">
        <v>1689</v>
      </c>
      <c r="O13" s="124" t="s">
        <v>1999</v>
      </c>
      <c r="P13" s="111" t="s">
        <v>1366</v>
      </c>
      <c r="Q13" s="111" t="s">
        <v>1361</v>
      </c>
      <c r="R13" s="111"/>
      <c r="S13" s="111" t="s">
        <v>2199</v>
      </c>
      <c r="T13"/>
    </row>
    <row r="14" spans="1:21" ht="22" customHeight="1">
      <c r="A14" s="111" t="s">
        <v>3789</v>
      </c>
      <c r="B14" s="111" t="s">
        <v>3788</v>
      </c>
      <c r="C14" s="124" t="s">
        <v>1719</v>
      </c>
      <c r="D14" s="112" t="s">
        <v>2059</v>
      </c>
      <c r="E14" s="112" t="s">
        <v>3782</v>
      </c>
      <c r="F14" s="112" t="s">
        <v>3790</v>
      </c>
      <c r="G14" s="112" t="s">
        <v>3791</v>
      </c>
      <c r="H14" s="112" t="s">
        <v>1945</v>
      </c>
      <c r="I14" s="125">
        <v>2</v>
      </c>
      <c r="J14" s="111" t="s">
        <v>1698</v>
      </c>
      <c r="K14" s="111" t="s">
        <v>1698</v>
      </c>
      <c r="L14" s="126" t="s">
        <v>1967</v>
      </c>
      <c r="M14" s="126" t="s">
        <v>3783</v>
      </c>
      <c r="N14" s="126" t="s">
        <v>1689</v>
      </c>
      <c r="O14" s="124" t="s">
        <v>1999</v>
      </c>
      <c r="P14" s="111" t="s">
        <v>1366</v>
      </c>
      <c r="Q14" s="111" t="s">
        <v>1361</v>
      </c>
      <c r="R14" s="111"/>
      <c r="S14" s="111" t="s">
        <v>2199</v>
      </c>
      <c r="T14"/>
    </row>
    <row r="15" spans="1:21" ht="22" customHeight="1">
      <c r="A15" s="111" t="s">
        <v>3792</v>
      </c>
      <c r="B15" s="111" t="s">
        <v>2935</v>
      </c>
      <c r="C15" s="124" t="s">
        <v>1719</v>
      </c>
      <c r="D15" s="112" t="s">
        <v>2059</v>
      </c>
      <c r="E15" s="112" t="s">
        <v>3782</v>
      </c>
      <c r="F15" s="112" t="s">
        <v>1775</v>
      </c>
      <c r="G15" s="112" t="s">
        <v>3793</v>
      </c>
      <c r="H15" s="112" t="s">
        <v>1927</v>
      </c>
      <c r="I15" s="125">
        <v>2</v>
      </c>
      <c r="J15" s="111" t="s">
        <v>1698</v>
      </c>
      <c r="K15" s="111" t="s">
        <v>1698</v>
      </c>
      <c r="L15" s="126" t="s">
        <v>1967</v>
      </c>
      <c r="M15" s="126" t="s">
        <v>3794</v>
      </c>
      <c r="N15" s="126" t="s">
        <v>1997</v>
      </c>
      <c r="O15" s="124" t="s">
        <v>1999</v>
      </c>
      <c r="P15" s="111" t="s">
        <v>1366</v>
      </c>
      <c r="Q15" s="111" t="s">
        <v>1361</v>
      </c>
      <c r="R15" s="111"/>
      <c r="S15" s="111" t="s">
        <v>2199</v>
      </c>
      <c r="T15"/>
    </row>
    <row r="16" spans="1:21" ht="22" customHeight="1">
      <c r="A16" s="111" t="s">
        <v>3795</v>
      </c>
      <c r="B16" s="111" t="s">
        <v>2936</v>
      </c>
      <c r="C16" s="124" t="s">
        <v>1718</v>
      </c>
      <c r="D16" s="112" t="s">
        <v>2059</v>
      </c>
      <c r="E16" s="112" t="s">
        <v>3782</v>
      </c>
      <c r="F16" s="112" t="s">
        <v>1798</v>
      </c>
      <c r="G16" s="112" t="s">
        <v>3796</v>
      </c>
      <c r="H16" s="112" t="s">
        <v>1953</v>
      </c>
      <c r="I16" s="125">
        <v>1</v>
      </c>
      <c r="J16" s="111" t="s">
        <v>1698</v>
      </c>
      <c r="K16" s="111" t="s">
        <v>1698</v>
      </c>
      <c r="L16" s="112" t="s">
        <v>1967</v>
      </c>
      <c r="M16" s="112" t="s">
        <v>3783</v>
      </c>
      <c r="N16" s="126" t="s">
        <v>1689</v>
      </c>
      <c r="O16" s="124" t="s">
        <v>1999</v>
      </c>
      <c r="P16" s="111" t="s">
        <v>1366</v>
      </c>
      <c r="Q16" s="111" t="s">
        <v>1361</v>
      </c>
      <c r="R16" s="111"/>
      <c r="S16" s="111" t="s">
        <v>2199</v>
      </c>
      <c r="T16"/>
    </row>
    <row r="17" spans="1:20" ht="22" customHeight="1">
      <c r="A17" s="111" t="s">
        <v>3797</v>
      </c>
      <c r="B17" s="111" t="s">
        <v>2936</v>
      </c>
      <c r="C17" s="124" t="s">
        <v>1718</v>
      </c>
      <c r="D17" s="112" t="s">
        <v>2059</v>
      </c>
      <c r="E17" s="113" t="s">
        <v>3782</v>
      </c>
      <c r="F17" s="112" t="s">
        <v>1799</v>
      </c>
      <c r="G17" s="112" t="s">
        <v>1871</v>
      </c>
      <c r="H17" s="112" t="s">
        <v>3798</v>
      </c>
      <c r="I17" s="113">
        <v>1</v>
      </c>
      <c r="J17" s="125" t="s">
        <v>1698</v>
      </c>
      <c r="K17" s="125" t="s">
        <v>1698</v>
      </c>
      <c r="L17" s="113" t="s">
        <v>1967</v>
      </c>
      <c r="M17" s="113" t="s">
        <v>3783</v>
      </c>
      <c r="N17" s="126" t="s">
        <v>1689</v>
      </c>
      <c r="O17" s="124" t="s">
        <v>1999</v>
      </c>
      <c r="P17" s="111" t="s">
        <v>1366</v>
      </c>
      <c r="Q17" s="111" t="s">
        <v>1361</v>
      </c>
      <c r="R17" s="111"/>
      <c r="S17" s="111" t="s">
        <v>2199</v>
      </c>
      <c r="T17"/>
    </row>
    <row r="18" spans="1:20" ht="22" customHeight="1">
      <c r="A18" s="111" t="s">
        <v>3799</v>
      </c>
      <c r="B18" s="111" t="s">
        <v>2936</v>
      </c>
      <c r="C18" s="124" t="s">
        <v>1718</v>
      </c>
      <c r="D18" s="112" t="s">
        <v>2059</v>
      </c>
      <c r="E18" s="113" t="s">
        <v>3782</v>
      </c>
      <c r="F18" s="112" t="s">
        <v>1800</v>
      </c>
      <c r="G18" s="112" t="s">
        <v>1872</v>
      </c>
      <c r="H18" s="112" t="s">
        <v>1954</v>
      </c>
      <c r="I18" s="113">
        <v>2</v>
      </c>
      <c r="J18" s="125" t="s">
        <v>1698</v>
      </c>
      <c r="K18" s="125" t="s">
        <v>1698</v>
      </c>
      <c r="L18" s="113" t="s">
        <v>1967</v>
      </c>
      <c r="M18" s="113" t="s">
        <v>3783</v>
      </c>
      <c r="N18" s="126" t="s">
        <v>1689</v>
      </c>
      <c r="O18" s="124" t="s">
        <v>1999</v>
      </c>
      <c r="P18" s="111" t="s">
        <v>1366</v>
      </c>
      <c r="Q18" s="111" t="s">
        <v>1361</v>
      </c>
      <c r="R18" s="111"/>
      <c r="S18" s="111" t="s">
        <v>2199</v>
      </c>
      <c r="T18"/>
    </row>
    <row r="19" spans="1:20" ht="22" customHeight="1">
      <c r="A19" s="111" t="s">
        <v>3800</v>
      </c>
      <c r="B19" s="111" t="s">
        <v>2936</v>
      </c>
      <c r="C19" s="124" t="s">
        <v>1718</v>
      </c>
      <c r="D19" s="112" t="s">
        <v>2059</v>
      </c>
      <c r="E19" s="113" t="s">
        <v>3782</v>
      </c>
      <c r="F19" s="112" t="s">
        <v>3801</v>
      </c>
      <c r="G19" s="112" t="s">
        <v>3802</v>
      </c>
      <c r="H19" s="112" t="s">
        <v>1955</v>
      </c>
      <c r="I19" s="113">
        <v>2</v>
      </c>
      <c r="J19" s="125" t="s">
        <v>1698</v>
      </c>
      <c r="K19" s="125" t="s">
        <v>1698</v>
      </c>
      <c r="L19" s="113" t="s">
        <v>1967</v>
      </c>
      <c r="M19" s="113" t="s">
        <v>3783</v>
      </c>
      <c r="N19" s="126" t="s">
        <v>1689</v>
      </c>
      <c r="O19" s="124" t="s">
        <v>1999</v>
      </c>
      <c r="P19" s="111" t="s">
        <v>1366</v>
      </c>
      <c r="Q19" s="111" t="s">
        <v>1361</v>
      </c>
      <c r="R19" s="111"/>
      <c r="S19" s="111" t="s">
        <v>2199</v>
      </c>
      <c r="T19"/>
    </row>
    <row r="20" spans="1:20" ht="22" customHeight="1">
      <c r="A20" s="111" t="s">
        <v>3803</v>
      </c>
      <c r="B20" s="111" t="s">
        <v>2934</v>
      </c>
      <c r="C20" s="124" t="s">
        <v>1719</v>
      </c>
      <c r="D20" s="112" t="s">
        <v>2059</v>
      </c>
      <c r="E20" s="112" t="s">
        <v>3804</v>
      </c>
      <c r="F20" s="112" t="s">
        <v>1765</v>
      </c>
      <c r="G20" s="112" t="s">
        <v>1843</v>
      </c>
      <c r="H20" s="112" t="s">
        <v>1919</v>
      </c>
      <c r="I20" s="125">
        <v>0.5</v>
      </c>
      <c r="J20" s="111" t="s">
        <v>1698</v>
      </c>
      <c r="K20" s="111" t="s">
        <v>1698</v>
      </c>
      <c r="L20" s="126" t="s">
        <v>1967</v>
      </c>
      <c r="M20" s="126" t="s">
        <v>3783</v>
      </c>
      <c r="N20" s="126" t="s">
        <v>1689</v>
      </c>
      <c r="O20" s="124" t="s">
        <v>1999</v>
      </c>
      <c r="P20" s="111" t="s">
        <v>1366</v>
      </c>
      <c r="Q20" s="111" t="s">
        <v>1361</v>
      </c>
      <c r="R20" s="111" t="s">
        <v>3805</v>
      </c>
      <c r="S20" s="111" t="s">
        <v>2200</v>
      </c>
      <c r="T20"/>
    </row>
    <row r="21" spans="1:20" ht="22" customHeight="1">
      <c r="A21" s="111" t="s">
        <v>3806</v>
      </c>
      <c r="B21" s="111" t="s">
        <v>2935</v>
      </c>
      <c r="C21" s="124" t="s">
        <v>1719</v>
      </c>
      <c r="D21" s="112" t="s">
        <v>2059</v>
      </c>
      <c r="E21" s="112" t="s">
        <v>3804</v>
      </c>
      <c r="F21" s="112" t="s">
        <v>1774</v>
      </c>
      <c r="G21" s="112" t="s">
        <v>1851</v>
      </c>
      <c r="H21" s="112" t="s">
        <v>1926</v>
      </c>
      <c r="I21" s="125">
        <v>4</v>
      </c>
      <c r="J21" s="111" t="s">
        <v>1698</v>
      </c>
      <c r="K21" s="111" t="s">
        <v>1698</v>
      </c>
      <c r="L21" s="126" t="s">
        <v>1967</v>
      </c>
      <c r="M21" s="126" t="s">
        <v>3783</v>
      </c>
      <c r="N21" s="126" t="s">
        <v>1689</v>
      </c>
      <c r="O21" s="124" t="s">
        <v>1999</v>
      </c>
      <c r="P21" s="111" t="s">
        <v>1366</v>
      </c>
      <c r="Q21" s="111" t="s">
        <v>1361</v>
      </c>
      <c r="R21" s="111"/>
      <c r="S21" s="111" t="s">
        <v>2200</v>
      </c>
      <c r="T21"/>
    </row>
    <row r="22" spans="1:20" ht="22" customHeight="1">
      <c r="A22" s="111" t="s">
        <v>3807</v>
      </c>
      <c r="B22" s="111" t="s">
        <v>2937</v>
      </c>
      <c r="C22" s="124" t="s">
        <v>1716</v>
      </c>
      <c r="D22" s="112" t="s">
        <v>2059</v>
      </c>
      <c r="E22" s="112" t="s">
        <v>3804</v>
      </c>
      <c r="F22" s="112" t="s">
        <v>3808</v>
      </c>
      <c r="G22" s="112" t="s">
        <v>3809</v>
      </c>
      <c r="H22" s="112" t="s">
        <v>1880</v>
      </c>
      <c r="I22" s="125">
        <v>2</v>
      </c>
      <c r="J22" s="111" t="s">
        <v>1698</v>
      </c>
      <c r="K22" s="111" t="s">
        <v>1698</v>
      </c>
      <c r="L22" s="126" t="s">
        <v>1967</v>
      </c>
      <c r="M22" s="126" t="s">
        <v>3810</v>
      </c>
      <c r="N22" s="126" t="s">
        <v>1997</v>
      </c>
      <c r="O22" s="124" t="s">
        <v>1999</v>
      </c>
      <c r="P22" s="111" t="s">
        <v>1366</v>
      </c>
      <c r="Q22" s="111" t="s">
        <v>1361</v>
      </c>
      <c r="R22" s="111"/>
      <c r="S22" s="111" t="s">
        <v>2200</v>
      </c>
      <c r="T22"/>
    </row>
    <row r="23" spans="1:20" ht="22" customHeight="1">
      <c r="A23" s="123" t="s">
        <v>3811</v>
      </c>
      <c r="B23" s="123" t="s">
        <v>2933</v>
      </c>
      <c r="C23" s="123" t="s">
        <v>1719</v>
      </c>
      <c r="D23" s="123" t="s">
        <v>2059</v>
      </c>
      <c r="E23" s="123" t="s">
        <v>2152</v>
      </c>
      <c r="F23" s="123" t="s">
        <v>3812</v>
      </c>
      <c r="G23" s="123" t="s">
        <v>3813</v>
      </c>
      <c r="H23" s="123" t="s">
        <v>2954</v>
      </c>
      <c r="I23" s="123">
        <v>1</v>
      </c>
      <c r="J23" s="123" t="s">
        <v>1698</v>
      </c>
      <c r="K23" s="123" t="s">
        <v>1698</v>
      </c>
      <c r="L23" s="123" t="s">
        <v>1967</v>
      </c>
      <c r="M23" s="123" t="s">
        <v>3814</v>
      </c>
      <c r="N23" s="123" t="s">
        <v>1689</v>
      </c>
      <c r="O23" s="123" t="s">
        <v>2000</v>
      </c>
      <c r="P23" s="123" t="s">
        <v>1366</v>
      </c>
      <c r="Q23" s="123" t="s">
        <v>1361</v>
      </c>
      <c r="R23" s="123"/>
      <c r="S23" s="123" t="s">
        <v>2270</v>
      </c>
      <c r="T23"/>
    </row>
    <row r="24" spans="1:20" ht="22" customHeight="1">
      <c r="A24" s="123" t="s">
        <v>3815</v>
      </c>
      <c r="B24" s="123" t="s">
        <v>2933</v>
      </c>
      <c r="C24" s="123" t="s">
        <v>1719</v>
      </c>
      <c r="D24" s="123" t="s">
        <v>2059</v>
      </c>
      <c r="E24" s="123" t="s">
        <v>2010</v>
      </c>
      <c r="F24" s="123" t="s">
        <v>3816</v>
      </c>
      <c r="G24" s="123" t="s">
        <v>3817</v>
      </c>
      <c r="H24" s="123" t="s">
        <v>2955</v>
      </c>
      <c r="I24" s="123">
        <v>0.5</v>
      </c>
      <c r="J24" s="123" t="s">
        <v>1698</v>
      </c>
      <c r="K24" s="123" t="s">
        <v>1698</v>
      </c>
      <c r="L24" s="123" t="s">
        <v>1967</v>
      </c>
      <c r="M24" s="123" t="s">
        <v>3818</v>
      </c>
      <c r="N24" s="123" t="s">
        <v>1689</v>
      </c>
      <c r="O24" s="123" t="s">
        <v>2000</v>
      </c>
      <c r="P24" s="123" t="s">
        <v>1366</v>
      </c>
      <c r="Q24" s="123" t="s">
        <v>1361</v>
      </c>
      <c r="R24" s="123"/>
      <c r="S24" s="123" t="s">
        <v>2271</v>
      </c>
      <c r="T24"/>
    </row>
    <row r="25" spans="1:20" ht="22" customHeight="1">
      <c r="A25" s="123" t="s">
        <v>3819</v>
      </c>
      <c r="B25" s="123" t="s">
        <v>2933</v>
      </c>
      <c r="C25" s="123" t="s">
        <v>1719</v>
      </c>
      <c r="D25" s="123" t="s">
        <v>2059</v>
      </c>
      <c r="E25" s="123" t="s">
        <v>3820</v>
      </c>
      <c r="F25" s="123" t="s">
        <v>3821</v>
      </c>
      <c r="G25" s="123" t="s">
        <v>3822</v>
      </c>
      <c r="H25" s="123" t="s">
        <v>3823</v>
      </c>
      <c r="I25" s="123">
        <v>1</v>
      </c>
      <c r="J25" s="123" t="s">
        <v>1698</v>
      </c>
      <c r="K25" s="123" t="s">
        <v>1698</v>
      </c>
      <c r="L25" s="123" t="s">
        <v>1967</v>
      </c>
      <c r="M25" s="123" t="s">
        <v>3824</v>
      </c>
      <c r="N25" s="123" t="s">
        <v>1689</v>
      </c>
      <c r="O25" s="123" t="s">
        <v>2000</v>
      </c>
      <c r="P25" s="123" t="s">
        <v>1366</v>
      </c>
      <c r="Q25" s="123" t="s">
        <v>1361</v>
      </c>
      <c r="R25" s="123"/>
      <c r="S25" s="123" t="s">
        <v>2272</v>
      </c>
      <c r="T25"/>
    </row>
    <row r="26" spans="1:20" ht="22" customHeight="1">
      <c r="A26" s="123" t="s">
        <v>3825</v>
      </c>
      <c r="B26" s="123" t="s">
        <v>2935</v>
      </c>
      <c r="C26" s="123" t="s">
        <v>1719</v>
      </c>
      <c r="D26" s="123" t="s">
        <v>2059</v>
      </c>
      <c r="E26" s="123" t="s">
        <v>3820</v>
      </c>
      <c r="F26" s="123" t="s">
        <v>3826</v>
      </c>
      <c r="G26" s="123" t="s">
        <v>3827</v>
      </c>
      <c r="H26" s="123" t="s">
        <v>3828</v>
      </c>
      <c r="I26" s="123">
        <v>2.5</v>
      </c>
      <c r="J26" s="123" t="s">
        <v>1698</v>
      </c>
      <c r="K26" s="123" t="s">
        <v>1698</v>
      </c>
      <c r="L26" s="123" t="s">
        <v>1967</v>
      </c>
      <c r="M26" s="123" t="s">
        <v>3829</v>
      </c>
      <c r="N26" s="123" t="s">
        <v>1689</v>
      </c>
      <c r="O26" s="123" t="s">
        <v>2000</v>
      </c>
      <c r="P26" s="123" t="s">
        <v>1366</v>
      </c>
      <c r="Q26" s="123" t="s">
        <v>1361</v>
      </c>
      <c r="R26" s="123"/>
      <c r="S26" s="123" t="s">
        <v>2272</v>
      </c>
      <c r="T26"/>
    </row>
    <row r="27" spans="1:20" ht="22" customHeight="1">
      <c r="A27" s="123" t="s">
        <v>3830</v>
      </c>
      <c r="B27" s="123" t="s">
        <v>2949</v>
      </c>
      <c r="C27" s="123" t="s">
        <v>1717</v>
      </c>
      <c r="D27" s="123" t="s">
        <v>2059</v>
      </c>
      <c r="E27" s="123" t="s">
        <v>3820</v>
      </c>
      <c r="F27" s="123" t="s">
        <v>3831</v>
      </c>
      <c r="G27" s="123" t="s">
        <v>3832</v>
      </c>
      <c r="H27" s="123" t="s">
        <v>3833</v>
      </c>
      <c r="I27" s="123">
        <v>1</v>
      </c>
      <c r="J27" s="123" t="s">
        <v>1698</v>
      </c>
      <c r="K27" s="123" t="s">
        <v>1698</v>
      </c>
      <c r="L27" s="123" t="s">
        <v>1963</v>
      </c>
      <c r="M27" s="123" t="s">
        <v>3834</v>
      </c>
      <c r="N27" s="123" t="s">
        <v>1689</v>
      </c>
      <c r="O27" s="123" t="s">
        <v>2000</v>
      </c>
      <c r="P27" s="123" t="s">
        <v>1366</v>
      </c>
      <c r="Q27" s="123" t="s">
        <v>1361</v>
      </c>
      <c r="R27" s="123"/>
      <c r="S27" s="123" t="s">
        <v>2272</v>
      </c>
      <c r="T27"/>
    </row>
    <row r="28" spans="1:20" ht="22" customHeight="1">
      <c r="A28" s="111" t="s">
        <v>3835</v>
      </c>
      <c r="B28" s="111" t="s">
        <v>2934</v>
      </c>
      <c r="C28" s="124" t="s">
        <v>1719</v>
      </c>
      <c r="D28" s="112" t="s">
        <v>2071</v>
      </c>
      <c r="E28" s="112" t="s">
        <v>2106</v>
      </c>
      <c r="F28" s="112" t="s">
        <v>1763</v>
      </c>
      <c r="G28" s="112" t="s">
        <v>3836</v>
      </c>
      <c r="H28" s="112" t="s">
        <v>3837</v>
      </c>
      <c r="I28" s="125">
        <v>0.5</v>
      </c>
      <c r="J28" s="111" t="s">
        <v>1698</v>
      </c>
      <c r="K28" s="111" t="s">
        <v>1698</v>
      </c>
      <c r="L28" s="126" t="s">
        <v>1967</v>
      </c>
      <c r="M28" s="126" t="s">
        <v>3838</v>
      </c>
      <c r="N28" s="126" t="s">
        <v>1689</v>
      </c>
      <c r="O28" s="124" t="s">
        <v>1999</v>
      </c>
      <c r="P28" s="111" t="s">
        <v>1366</v>
      </c>
      <c r="Q28" s="111" t="s">
        <v>1361</v>
      </c>
      <c r="R28" s="111" t="s">
        <v>3839</v>
      </c>
      <c r="S28" s="111" t="s">
        <v>2225</v>
      </c>
      <c r="T28"/>
    </row>
    <row r="29" spans="1:20" ht="22" customHeight="1">
      <c r="A29" s="111" t="s">
        <v>3840</v>
      </c>
      <c r="B29" s="111" t="s">
        <v>3788</v>
      </c>
      <c r="C29" s="124" t="s">
        <v>1719</v>
      </c>
      <c r="D29" s="112" t="s">
        <v>2071</v>
      </c>
      <c r="E29" s="112" t="s">
        <v>2106</v>
      </c>
      <c r="F29" s="112" t="s">
        <v>3841</v>
      </c>
      <c r="G29" s="112" t="s">
        <v>3842</v>
      </c>
      <c r="H29" s="112" t="s">
        <v>1946</v>
      </c>
      <c r="I29" s="125">
        <v>2</v>
      </c>
      <c r="J29" s="111" t="s">
        <v>1698</v>
      </c>
      <c r="K29" s="111" t="s">
        <v>1698</v>
      </c>
      <c r="L29" s="126" t="s">
        <v>1963</v>
      </c>
      <c r="M29" s="126" t="s">
        <v>3843</v>
      </c>
      <c r="N29" s="126" t="s">
        <v>3844</v>
      </c>
      <c r="O29" s="124" t="s">
        <v>1999</v>
      </c>
      <c r="P29" s="111" t="s">
        <v>1366</v>
      </c>
      <c r="Q29" s="111" t="s">
        <v>1361</v>
      </c>
      <c r="R29" s="111"/>
      <c r="S29" s="111" t="s">
        <v>2225</v>
      </c>
      <c r="T29"/>
    </row>
    <row r="30" spans="1:20" ht="22" customHeight="1">
      <c r="A30" s="123" t="s">
        <v>3845</v>
      </c>
      <c r="B30" s="123" t="s">
        <v>3768</v>
      </c>
      <c r="C30" s="123" t="s">
        <v>1717</v>
      </c>
      <c r="D30" s="123" t="s">
        <v>2071</v>
      </c>
      <c r="E30" s="123" t="s">
        <v>3846</v>
      </c>
      <c r="F30" s="123" t="s">
        <v>3847</v>
      </c>
      <c r="G30" s="123" t="s">
        <v>3848</v>
      </c>
      <c r="H30" s="123" t="s">
        <v>2956</v>
      </c>
      <c r="I30" s="123">
        <v>1.5</v>
      </c>
      <c r="J30" s="123" t="s">
        <v>1698</v>
      </c>
      <c r="K30" s="123" t="s">
        <v>1698</v>
      </c>
      <c r="L30" s="123" t="s">
        <v>1963</v>
      </c>
      <c r="M30" s="123" t="s">
        <v>3849</v>
      </c>
      <c r="N30" s="123" t="s">
        <v>1689</v>
      </c>
      <c r="O30" s="123" t="s">
        <v>2000</v>
      </c>
      <c r="P30" s="123" t="s">
        <v>1366</v>
      </c>
      <c r="Q30" s="123" t="s">
        <v>1361</v>
      </c>
      <c r="R30" s="123"/>
      <c r="S30" s="123" t="s">
        <v>3850</v>
      </c>
      <c r="T30"/>
    </row>
    <row r="31" spans="1:20" ht="22" customHeight="1">
      <c r="A31" s="123" t="s">
        <v>3851</v>
      </c>
      <c r="B31" s="123" t="s">
        <v>2937</v>
      </c>
      <c r="C31" s="123" t="s">
        <v>1717</v>
      </c>
      <c r="D31" s="123" t="s">
        <v>2071</v>
      </c>
      <c r="E31" s="123" t="s">
        <v>3846</v>
      </c>
      <c r="F31" s="123" t="s">
        <v>3852</v>
      </c>
      <c r="G31" s="123" t="s">
        <v>3853</v>
      </c>
      <c r="H31" s="123" t="s">
        <v>3854</v>
      </c>
      <c r="I31" s="123">
        <v>1.5</v>
      </c>
      <c r="J31" s="123" t="s">
        <v>1698</v>
      </c>
      <c r="K31" s="123" t="s">
        <v>1698</v>
      </c>
      <c r="L31" s="123" t="s">
        <v>1963</v>
      </c>
      <c r="M31" s="123" t="s">
        <v>3855</v>
      </c>
      <c r="N31" s="123" t="s">
        <v>1689</v>
      </c>
      <c r="O31" s="123" t="s">
        <v>2002</v>
      </c>
      <c r="P31" s="123" t="s">
        <v>1366</v>
      </c>
      <c r="Q31" s="123" t="s">
        <v>1361</v>
      </c>
      <c r="R31" s="123"/>
      <c r="S31" s="123" t="s">
        <v>3850</v>
      </c>
      <c r="T31"/>
    </row>
    <row r="32" spans="1:20" ht="22" customHeight="1">
      <c r="A32" s="111" t="s">
        <v>3856</v>
      </c>
      <c r="B32" s="111" t="s">
        <v>2934</v>
      </c>
      <c r="C32" s="124" t="s">
        <v>1719</v>
      </c>
      <c r="D32" s="112" t="s">
        <v>1658</v>
      </c>
      <c r="E32" s="112" t="s">
        <v>2005</v>
      </c>
      <c r="F32" s="112" t="s">
        <v>1766</v>
      </c>
      <c r="G32" s="112" t="s">
        <v>1844</v>
      </c>
      <c r="H32" s="112" t="s">
        <v>1920</v>
      </c>
      <c r="I32" s="125">
        <v>0.5</v>
      </c>
      <c r="J32" s="111" t="s">
        <v>1698</v>
      </c>
      <c r="K32" s="111" t="s">
        <v>1698</v>
      </c>
      <c r="L32" s="126" t="s">
        <v>1968</v>
      </c>
      <c r="M32" s="126" t="s">
        <v>3857</v>
      </c>
      <c r="N32" s="126" t="s">
        <v>3844</v>
      </c>
      <c r="O32" s="124" t="s">
        <v>1999</v>
      </c>
      <c r="P32" s="111" t="s">
        <v>1366</v>
      </c>
      <c r="Q32" s="111" t="s">
        <v>1361</v>
      </c>
      <c r="R32" s="111" t="s">
        <v>3858</v>
      </c>
      <c r="S32" s="111" t="s">
        <v>2273</v>
      </c>
      <c r="T32"/>
    </row>
    <row r="33" spans="1:20" ht="22" customHeight="1">
      <c r="A33" s="111" t="s">
        <v>3859</v>
      </c>
      <c r="B33" s="111" t="s">
        <v>2934</v>
      </c>
      <c r="C33" s="124" t="s">
        <v>1719</v>
      </c>
      <c r="D33" s="112" t="s">
        <v>1658</v>
      </c>
      <c r="E33" s="112" t="s">
        <v>2006</v>
      </c>
      <c r="F33" s="112" t="s">
        <v>1767</v>
      </c>
      <c r="G33" s="112" t="s">
        <v>1845</v>
      </c>
      <c r="H33" s="112" t="s">
        <v>1921</v>
      </c>
      <c r="I33" s="125">
        <v>0.5</v>
      </c>
      <c r="J33" s="111" t="s">
        <v>1698</v>
      </c>
      <c r="K33" s="111" t="s">
        <v>1698</v>
      </c>
      <c r="L33" s="126" t="s">
        <v>1968</v>
      </c>
      <c r="M33" s="126" t="s">
        <v>3857</v>
      </c>
      <c r="N33" s="126" t="s">
        <v>3844</v>
      </c>
      <c r="O33" s="124" t="s">
        <v>1999</v>
      </c>
      <c r="P33" s="111" t="s">
        <v>1366</v>
      </c>
      <c r="Q33" s="111" t="s">
        <v>1361</v>
      </c>
      <c r="R33" s="111" t="s">
        <v>3860</v>
      </c>
      <c r="S33" s="111" t="s">
        <v>2274</v>
      </c>
      <c r="T33"/>
    </row>
    <row r="34" spans="1:20" ht="22" customHeight="1">
      <c r="A34" s="123" t="s">
        <v>3861</v>
      </c>
      <c r="B34" s="123" t="s">
        <v>2933</v>
      </c>
      <c r="C34" s="123" t="s">
        <v>1719</v>
      </c>
      <c r="D34" s="123" t="s">
        <v>1657</v>
      </c>
      <c r="E34" s="123" t="s">
        <v>3862</v>
      </c>
      <c r="F34" s="123" t="s">
        <v>3863</v>
      </c>
      <c r="G34" s="123" t="s">
        <v>3864</v>
      </c>
      <c r="H34" s="123" t="s">
        <v>2957</v>
      </c>
      <c r="I34" s="123">
        <v>1</v>
      </c>
      <c r="J34" s="123" t="s">
        <v>1698</v>
      </c>
      <c r="K34" s="123" t="s">
        <v>1698</v>
      </c>
      <c r="L34" s="123" t="s">
        <v>1966</v>
      </c>
      <c r="M34" s="123" t="s">
        <v>3865</v>
      </c>
      <c r="N34" s="123" t="s">
        <v>1689</v>
      </c>
      <c r="O34" s="123" t="s">
        <v>2000</v>
      </c>
      <c r="P34" s="123" t="s">
        <v>1366</v>
      </c>
      <c r="Q34" s="123" t="s">
        <v>1361</v>
      </c>
      <c r="R34" s="123"/>
      <c r="S34" s="123" t="s">
        <v>2275</v>
      </c>
      <c r="T34"/>
    </row>
    <row r="35" spans="1:20" ht="22" customHeight="1">
      <c r="A35" s="111" t="s">
        <v>3866</v>
      </c>
      <c r="B35" s="111" t="s">
        <v>2938</v>
      </c>
      <c r="C35" s="124" t="s">
        <v>1719</v>
      </c>
      <c r="D35" s="112" t="s">
        <v>2074</v>
      </c>
      <c r="E35" s="112" t="s">
        <v>2149</v>
      </c>
      <c r="F35" s="112" t="s">
        <v>1752</v>
      </c>
      <c r="G35" s="112" t="s">
        <v>1833</v>
      </c>
      <c r="H35" s="112" t="s">
        <v>1907</v>
      </c>
      <c r="I35" s="125">
        <v>2</v>
      </c>
      <c r="J35" s="111" t="s">
        <v>1701</v>
      </c>
      <c r="K35" s="111" t="s">
        <v>1701</v>
      </c>
      <c r="L35" s="126" t="s">
        <v>1973</v>
      </c>
      <c r="M35" s="126" t="s">
        <v>3867</v>
      </c>
      <c r="N35" s="126" t="s">
        <v>1689</v>
      </c>
      <c r="O35" s="124" t="s">
        <v>1999</v>
      </c>
      <c r="P35" s="111" t="s">
        <v>1366</v>
      </c>
      <c r="Q35" s="111" t="s">
        <v>1361</v>
      </c>
      <c r="R35" s="111"/>
      <c r="S35" s="111" t="s">
        <v>2268</v>
      </c>
      <c r="T35"/>
    </row>
    <row r="36" spans="1:20" ht="22" customHeight="1">
      <c r="A36" s="111" t="s">
        <v>3868</v>
      </c>
      <c r="B36" s="111" t="s">
        <v>2936</v>
      </c>
      <c r="C36" s="124" t="s">
        <v>1718</v>
      </c>
      <c r="D36" s="112" t="s">
        <v>2074</v>
      </c>
      <c r="E36" s="113" t="s">
        <v>2149</v>
      </c>
      <c r="F36" s="112" t="s">
        <v>1804</v>
      </c>
      <c r="G36" s="112" t="s">
        <v>1875</v>
      </c>
      <c r="H36" s="112" t="s">
        <v>1959</v>
      </c>
      <c r="I36" s="113">
        <v>2</v>
      </c>
      <c r="J36" s="125" t="s">
        <v>1698</v>
      </c>
      <c r="K36" s="125" t="s">
        <v>1698</v>
      </c>
      <c r="L36" s="113" t="s">
        <v>1967</v>
      </c>
      <c r="M36" s="113" t="s">
        <v>3783</v>
      </c>
      <c r="N36" s="126" t="s">
        <v>1689</v>
      </c>
      <c r="O36" s="124" t="s">
        <v>1999</v>
      </c>
      <c r="P36" s="111" t="s">
        <v>1366</v>
      </c>
      <c r="Q36" s="111" t="s">
        <v>1361</v>
      </c>
      <c r="R36" s="111"/>
      <c r="S36" s="111" t="s">
        <v>2268</v>
      </c>
      <c r="T36"/>
    </row>
    <row r="37" spans="1:20" ht="22" customHeight="1">
      <c r="A37" s="111" t="s">
        <v>3869</v>
      </c>
      <c r="B37" s="111" t="s">
        <v>2936</v>
      </c>
      <c r="C37" s="124" t="s">
        <v>1718</v>
      </c>
      <c r="D37" s="112" t="s">
        <v>2074</v>
      </c>
      <c r="E37" s="113" t="s">
        <v>2149</v>
      </c>
      <c r="F37" s="112" t="s">
        <v>1807</v>
      </c>
      <c r="G37" s="112" t="s">
        <v>3870</v>
      </c>
      <c r="H37" s="112" t="s">
        <v>1962</v>
      </c>
      <c r="I37" s="113">
        <v>1</v>
      </c>
      <c r="J37" s="111" t="s">
        <v>1698</v>
      </c>
      <c r="K37" s="125" t="s">
        <v>1698</v>
      </c>
      <c r="L37" s="113" t="s">
        <v>1967</v>
      </c>
      <c r="M37" s="113" t="s">
        <v>3783</v>
      </c>
      <c r="N37" s="126" t="s">
        <v>1689</v>
      </c>
      <c r="O37" s="124" t="s">
        <v>1999</v>
      </c>
      <c r="P37" s="111" t="s">
        <v>1366</v>
      </c>
      <c r="Q37" s="111" t="s">
        <v>1361</v>
      </c>
      <c r="R37" s="111"/>
      <c r="S37" s="111" t="s">
        <v>2268</v>
      </c>
      <c r="T37"/>
    </row>
    <row r="38" spans="1:20" ht="22" customHeight="1">
      <c r="A38" s="111" t="s">
        <v>3871</v>
      </c>
      <c r="B38" s="111" t="s">
        <v>2936</v>
      </c>
      <c r="C38" s="124" t="s">
        <v>1718</v>
      </c>
      <c r="D38" s="112" t="s">
        <v>2074</v>
      </c>
      <c r="E38" s="113" t="s">
        <v>2193</v>
      </c>
      <c r="F38" s="112" t="s">
        <v>1805</v>
      </c>
      <c r="G38" s="112" t="s">
        <v>1876</v>
      </c>
      <c r="H38" s="112" t="s">
        <v>1960</v>
      </c>
      <c r="I38" s="113">
        <v>2</v>
      </c>
      <c r="J38" s="125" t="s">
        <v>1698</v>
      </c>
      <c r="K38" s="125" t="s">
        <v>1698</v>
      </c>
      <c r="L38" s="113" t="s">
        <v>1967</v>
      </c>
      <c r="M38" s="113" t="s">
        <v>3783</v>
      </c>
      <c r="N38" s="126" t="s">
        <v>1689</v>
      </c>
      <c r="O38" s="124" t="s">
        <v>1999</v>
      </c>
      <c r="P38" s="111" t="s">
        <v>1366</v>
      </c>
      <c r="Q38" s="111" t="s">
        <v>1361</v>
      </c>
      <c r="R38" s="111"/>
      <c r="S38" s="111" t="s">
        <v>2321</v>
      </c>
      <c r="T38"/>
    </row>
    <row r="39" spans="1:20" ht="22" customHeight="1">
      <c r="A39" s="111" t="s">
        <v>3872</v>
      </c>
      <c r="B39" s="111" t="s">
        <v>2936</v>
      </c>
      <c r="C39" s="124" t="s">
        <v>1718</v>
      </c>
      <c r="D39" s="112" t="s">
        <v>2074</v>
      </c>
      <c r="E39" s="113" t="s">
        <v>2193</v>
      </c>
      <c r="F39" s="112" t="s">
        <v>1806</v>
      </c>
      <c r="G39" s="112" t="s">
        <v>1877</v>
      </c>
      <c r="H39" s="112" t="s">
        <v>1961</v>
      </c>
      <c r="I39" s="113">
        <v>2</v>
      </c>
      <c r="J39" s="125" t="s">
        <v>1698</v>
      </c>
      <c r="K39" s="125" t="s">
        <v>1698</v>
      </c>
      <c r="L39" s="113" t="s">
        <v>1967</v>
      </c>
      <c r="M39" s="113" t="s">
        <v>3783</v>
      </c>
      <c r="N39" s="126" t="s">
        <v>1689</v>
      </c>
      <c r="O39" s="124" t="s">
        <v>1999</v>
      </c>
      <c r="P39" s="111" t="s">
        <v>1366</v>
      </c>
      <c r="Q39" s="111" t="s">
        <v>1361</v>
      </c>
      <c r="R39" s="111"/>
      <c r="S39" s="111" t="s">
        <v>2321</v>
      </c>
      <c r="T39"/>
    </row>
    <row r="40" spans="1:20" ht="22" customHeight="1">
      <c r="A40" s="123" t="s">
        <v>3873</v>
      </c>
      <c r="B40" s="123" t="s">
        <v>2939</v>
      </c>
      <c r="C40" s="123" t="s">
        <v>1719</v>
      </c>
      <c r="D40" s="123" t="s">
        <v>2066</v>
      </c>
      <c r="E40" s="123" t="s">
        <v>2091</v>
      </c>
      <c r="F40" s="123" t="s">
        <v>3874</v>
      </c>
      <c r="G40" s="123" t="s">
        <v>3875</v>
      </c>
      <c r="H40" s="123" t="s">
        <v>2958</v>
      </c>
      <c r="I40" s="123">
        <v>1</v>
      </c>
      <c r="J40" s="123" t="s">
        <v>1698</v>
      </c>
      <c r="K40" s="123" t="s">
        <v>1698</v>
      </c>
      <c r="L40" s="123" t="s">
        <v>1967</v>
      </c>
      <c r="M40" s="123" t="s">
        <v>3876</v>
      </c>
      <c r="N40" s="123" t="s">
        <v>1689</v>
      </c>
      <c r="O40" s="123" t="s">
        <v>2000</v>
      </c>
      <c r="P40" s="123" t="s">
        <v>1366</v>
      </c>
      <c r="Q40" s="123" t="s">
        <v>1361</v>
      </c>
      <c r="R40" s="123"/>
      <c r="S40" s="123" t="s">
        <v>2213</v>
      </c>
      <c r="T40"/>
    </row>
    <row r="41" spans="1:20" ht="22" customHeight="1">
      <c r="A41" s="123" t="s">
        <v>3877</v>
      </c>
      <c r="B41" s="123" t="s">
        <v>2939</v>
      </c>
      <c r="C41" s="123" t="s">
        <v>1719</v>
      </c>
      <c r="D41" s="123" t="s">
        <v>2066</v>
      </c>
      <c r="E41" s="123" t="s">
        <v>3878</v>
      </c>
      <c r="F41" s="123" t="s">
        <v>3879</v>
      </c>
      <c r="G41" s="123" t="s">
        <v>3880</v>
      </c>
      <c r="H41" s="123" t="s">
        <v>2959</v>
      </c>
      <c r="I41" s="123">
        <v>1</v>
      </c>
      <c r="J41" s="123" t="s">
        <v>1698</v>
      </c>
      <c r="K41" s="123" t="s">
        <v>1698</v>
      </c>
      <c r="L41" s="123" t="s">
        <v>1966</v>
      </c>
      <c r="M41" s="123" t="s">
        <v>3881</v>
      </c>
      <c r="N41" s="123" t="s">
        <v>1689</v>
      </c>
      <c r="O41" s="123" t="s">
        <v>2000</v>
      </c>
      <c r="P41" s="123" t="s">
        <v>1366</v>
      </c>
      <c r="Q41" s="123" t="s">
        <v>1361</v>
      </c>
      <c r="R41" s="123"/>
      <c r="S41" s="123" t="s">
        <v>2294</v>
      </c>
      <c r="T41"/>
    </row>
    <row r="42" spans="1:20" ht="22" customHeight="1">
      <c r="A42" s="123" t="s">
        <v>3883</v>
      </c>
      <c r="B42" s="123" t="s">
        <v>2937</v>
      </c>
      <c r="C42" s="123" t="s">
        <v>1716</v>
      </c>
      <c r="D42" s="123" t="s">
        <v>2077</v>
      </c>
      <c r="E42" s="123" t="s">
        <v>2170</v>
      </c>
      <c r="F42" s="123" t="s">
        <v>3884</v>
      </c>
      <c r="G42" s="123" t="s">
        <v>3885</v>
      </c>
      <c r="H42" s="123" t="s">
        <v>3886</v>
      </c>
      <c r="I42" s="123">
        <v>0.5</v>
      </c>
      <c r="J42" s="123" t="s">
        <v>1698</v>
      </c>
      <c r="K42" s="123" t="s">
        <v>1698</v>
      </c>
      <c r="L42" s="123" t="s">
        <v>1969</v>
      </c>
      <c r="M42" s="123" t="s">
        <v>3887</v>
      </c>
      <c r="N42" s="123" t="s">
        <v>1689</v>
      </c>
      <c r="O42" s="123" t="s">
        <v>2000</v>
      </c>
      <c r="P42" s="123" t="s">
        <v>1366</v>
      </c>
      <c r="Q42" s="123" t="s">
        <v>2003</v>
      </c>
      <c r="R42" s="123"/>
      <c r="S42" s="123" t="s">
        <v>2296</v>
      </c>
      <c r="T42"/>
    </row>
    <row r="43" spans="1:20" ht="22" customHeight="1">
      <c r="A43" s="123" t="s">
        <v>3888</v>
      </c>
      <c r="B43" s="123" t="s">
        <v>2935</v>
      </c>
      <c r="C43" s="123" t="s">
        <v>1719</v>
      </c>
      <c r="D43" s="123" t="s">
        <v>2057</v>
      </c>
      <c r="E43" s="123" t="s">
        <v>3889</v>
      </c>
      <c r="F43" s="123" t="s">
        <v>3890</v>
      </c>
      <c r="G43" s="123" t="s">
        <v>3891</v>
      </c>
      <c r="H43" s="123" t="s">
        <v>2960</v>
      </c>
      <c r="I43" s="123">
        <v>3</v>
      </c>
      <c r="J43" s="123" t="s">
        <v>1698</v>
      </c>
      <c r="K43" s="123" t="s">
        <v>1699</v>
      </c>
      <c r="L43" s="123" t="s">
        <v>1967</v>
      </c>
      <c r="M43" s="123" t="s">
        <v>3892</v>
      </c>
      <c r="N43" s="123" t="s">
        <v>1689</v>
      </c>
      <c r="O43" s="123" t="s">
        <v>2000</v>
      </c>
      <c r="P43" s="123" t="s">
        <v>1366</v>
      </c>
      <c r="Q43" s="123" t="s">
        <v>1361</v>
      </c>
      <c r="R43" s="123"/>
      <c r="S43" s="123" t="s">
        <v>2197</v>
      </c>
      <c r="T43"/>
    </row>
    <row r="44" spans="1:20" ht="22" customHeight="1">
      <c r="A44" s="123" t="s">
        <v>3893</v>
      </c>
      <c r="B44" s="123" t="s">
        <v>2933</v>
      </c>
      <c r="C44" s="123" t="s">
        <v>1719</v>
      </c>
      <c r="D44" s="123" t="s">
        <v>2057</v>
      </c>
      <c r="E44" s="123" t="s">
        <v>3889</v>
      </c>
      <c r="F44" s="123" t="s">
        <v>3894</v>
      </c>
      <c r="G44" s="123" t="s">
        <v>3895</v>
      </c>
      <c r="H44" s="123" t="s">
        <v>2961</v>
      </c>
      <c r="I44" s="123">
        <v>1</v>
      </c>
      <c r="J44" s="123" t="s">
        <v>1698</v>
      </c>
      <c r="K44" s="123" t="s">
        <v>1699</v>
      </c>
      <c r="L44" s="123" t="s">
        <v>1967</v>
      </c>
      <c r="M44" s="123" t="s">
        <v>3896</v>
      </c>
      <c r="N44" s="123" t="s">
        <v>1689</v>
      </c>
      <c r="O44" s="123" t="s">
        <v>2000</v>
      </c>
      <c r="P44" s="123" t="s">
        <v>1366</v>
      </c>
      <c r="Q44" s="123" t="s">
        <v>1361</v>
      </c>
      <c r="R44" s="123"/>
      <c r="S44" s="123" t="s">
        <v>2197</v>
      </c>
      <c r="T44"/>
    </row>
    <row r="45" spans="1:20" ht="22" customHeight="1">
      <c r="A45" s="123" t="s">
        <v>3897</v>
      </c>
      <c r="B45" s="123" t="s">
        <v>2933</v>
      </c>
      <c r="C45" s="123" t="s">
        <v>1719</v>
      </c>
      <c r="D45" s="123" t="s">
        <v>2057</v>
      </c>
      <c r="E45" s="123" t="s">
        <v>3898</v>
      </c>
      <c r="F45" s="123" t="s">
        <v>3899</v>
      </c>
      <c r="G45" s="123" t="s">
        <v>3900</v>
      </c>
      <c r="H45" s="123" t="s">
        <v>2962</v>
      </c>
      <c r="I45" s="123">
        <v>0.75</v>
      </c>
      <c r="J45" s="123" t="s">
        <v>1698</v>
      </c>
      <c r="K45" s="123" t="s">
        <v>1699</v>
      </c>
      <c r="L45" s="123" t="s">
        <v>1967</v>
      </c>
      <c r="M45" s="123" t="s">
        <v>280</v>
      </c>
      <c r="N45" s="123" t="s">
        <v>1689</v>
      </c>
      <c r="O45" s="123" t="s">
        <v>2000</v>
      </c>
      <c r="P45" s="123" t="s">
        <v>1366</v>
      </c>
      <c r="Q45" s="123" t="s">
        <v>1361</v>
      </c>
      <c r="R45" s="123"/>
      <c r="S45" s="123" t="s">
        <v>2276</v>
      </c>
      <c r="T45"/>
    </row>
    <row r="46" spans="1:20" ht="22" customHeight="1">
      <c r="A46" s="123" t="s">
        <v>3901</v>
      </c>
      <c r="B46" s="123" t="s">
        <v>2933</v>
      </c>
      <c r="C46" s="123" t="s">
        <v>1719</v>
      </c>
      <c r="D46" s="123" t="s">
        <v>2057</v>
      </c>
      <c r="E46" s="123" t="s">
        <v>2155</v>
      </c>
      <c r="F46" s="123" t="s">
        <v>3902</v>
      </c>
      <c r="G46" s="123" t="s">
        <v>3903</v>
      </c>
      <c r="H46" s="123" t="s">
        <v>2963</v>
      </c>
      <c r="I46" s="123">
        <v>1</v>
      </c>
      <c r="J46" s="123" t="s">
        <v>1698</v>
      </c>
      <c r="K46" s="123" t="s">
        <v>1699</v>
      </c>
      <c r="L46" s="123" t="s">
        <v>1966</v>
      </c>
      <c r="M46" s="123" t="s">
        <v>3904</v>
      </c>
      <c r="N46" s="123" t="s">
        <v>1689</v>
      </c>
      <c r="O46" s="123" t="s">
        <v>2000</v>
      </c>
      <c r="P46" s="123" t="s">
        <v>1366</v>
      </c>
      <c r="Q46" s="123" t="s">
        <v>1361</v>
      </c>
      <c r="R46" s="123"/>
      <c r="S46" s="123" t="s">
        <v>2277</v>
      </c>
      <c r="T46"/>
    </row>
    <row r="47" spans="1:20" ht="22" customHeight="1">
      <c r="A47" s="123" t="s">
        <v>3905</v>
      </c>
      <c r="B47" s="123" t="s">
        <v>2933</v>
      </c>
      <c r="C47" s="123" t="s">
        <v>1719</v>
      </c>
      <c r="D47" s="123" t="s">
        <v>2057</v>
      </c>
      <c r="E47" s="123" t="s">
        <v>3906</v>
      </c>
      <c r="F47" s="123" t="s">
        <v>3907</v>
      </c>
      <c r="G47" s="123" t="s">
        <v>3908</v>
      </c>
      <c r="H47" s="123" t="s">
        <v>2964</v>
      </c>
      <c r="I47" s="123">
        <v>0.5</v>
      </c>
      <c r="J47" s="123" t="s">
        <v>1698</v>
      </c>
      <c r="K47" s="123" t="s">
        <v>1699</v>
      </c>
      <c r="L47" s="123" t="s">
        <v>1967</v>
      </c>
      <c r="M47" s="123" t="s">
        <v>280</v>
      </c>
      <c r="N47" s="123" t="s">
        <v>1689</v>
      </c>
      <c r="O47" s="123" t="s">
        <v>2000</v>
      </c>
      <c r="P47" s="123" t="s">
        <v>1366</v>
      </c>
      <c r="Q47" s="123" t="s">
        <v>1361</v>
      </c>
      <c r="R47" s="123"/>
      <c r="S47" s="123" t="s">
        <v>2278</v>
      </c>
      <c r="T47"/>
    </row>
    <row r="48" spans="1:20" ht="22" customHeight="1">
      <c r="A48" s="123" t="s">
        <v>3909</v>
      </c>
      <c r="B48" s="123" t="s">
        <v>2933</v>
      </c>
      <c r="C48" s="123" t="s">
        <v>1719</v>
      </c>
      <c r="D48" s="123" t="s">
        <v>2057</v>
      </c>
      <c r="E48" s="123" t="s">
        <v>2157</v>
      </c>
      <c r="F48" s="123" t="s">
        <v>1768</v>
      </c>
      <c r="G48" s="123" t="s">
        <v>3910</v>
      </c>
      <c r="H48" s="123" t="s">
        <v>2965</v>
      </c>
      <c r="I48" s="123">
        <v>0.5</v>
      </c>
      <c r="J48" s="123" t="s">
        <v>1698</v>
      </c>
      <c r="K48" s="123" t="s">
        <v>1699</v>
      </c>
      <c r="L48" s="123" t="s">
        <v>1965</v>
      </c>
      <c r="M48" s="123" t="s">
        <v>3911</v>
      </c>
      <c r="N48" s="123" t="s">
        <v>1689</v>
      </c>
      <c r="O48" s="123" t="s">
        <v>2000</v>
      </c>
      <c r="P48" s="123" t="s">
        <v>1366</v>
      </c>
      <c r="Q48" s="123" t="s">
        <v>1361</v>
      </c>
      <c r="R48" s="123"/>
      <c r="S48" s="123" t="s">
        <v>2279</v>
      </c>
      <c r="T48"/>
    </row>
    <row r="49" spans="1:20" ht="22" customHeight="1">
      <c r="A49" s="123" t="s">
        <v>3912</v>
      </c>
      <c r="B49" s="123" t="s">
        <v>2940</v>
      </c>
      <c r="C49" s="123" t="s">
        <v>1719</v>
      </c>
      <c r="D49" s="123" t="s">
        <v>2072</v>
      </c>
      <c r="E49" s="123" t="s">
        <v>2158</v>
      </c>
      <c r="F49" s="123" t="s">
        <v>3913</v>
      </c>
      <c r="G49" s="123" t="s">
        <v>3914</v>
      </c>
      <c r="H49" s="123" t="s">
        <v>2966</v>
      </c>
      <c r="I49" s="123">
        <v>1.5</v>
      </c>
      <c r="J49" s="123" t="s">
        <v>1698</v>
      </c>
      <c r="K49" s="123" t="s">
        <v>1699</v>
      </c>
      <c r="L49" s="123" t="s">
        <v>1967</v>
      </c>
      <c r="M49" s="123" t="s">
        <v>3915</v>
      </c>
      <c r="N49" s="123" t="s">
        <v>1689</v>
      </c>
      <c r="O49" s="123" t="s">
        <v>2000</v>
      </c>
      <c r="P49" s="123" t="s">
        <v>1366</v>
      </c>
      <c r="Q49" s="123" t="s">
        <v>1361</v>
      </c>
      <c r="R49" s="123"/>
      <c r="S49" s="123" t="s">
        <v>2280</v>
      </c>
      <c r="T49"/>
    </row>
    <row r="50" spans="1:20" ht="22" customHeight="1">
      <c r="A50" s="123" t="s">
        <v>3916</v>
      </c>
      <c r="B50" s="123" t="s">
        <v>2940</v>
      </c>
      <c r="C50" s="123" t="s">
        <v>1719</v>
      </c>
      <c r="D50" s="123" t="s">
        <v>2072</v>
      </c>
      <c r="E50" s="123" t="s">
        <v>2158</v>
      </c>
      <c r="F50" s="123" t="s">
        <v>3917</v>
      </c>
      <c r="G50" s="123" t="s">
        <v>3918</v>
      </c>
      <c r="H50" s="123" t="s">
        <v>2967</v>
      </c>
      <c r="I50" s="123">
        <v>1.5</v>
      </c>
      <c r="J50" s="123" t="s">
        <v>1698</v>
      </c>
      <c r="K50" s="123" t="s">
        <v>1699</v>
      </c>
      <c r="L50" s="123" t="s">
        <v>1967</v>
      </c>
      <c r="M50" s="123" t="s">
        <v>3919</v>
      </c>
      <c r="N50" s="123" t="s">
        <v>1689</v>
      </c>
      <c r="O50" s="123" t="s">
        <v>2000</v>
      </c>
      <c r="P50" s="123" t="s">
        <v>1366</v>
      </c>
      <c r="Q50" s="123" t="s">
        <v>1361</v>
      </c>
      <c r="R50" s="123"/>
      <c r="S50" s="123" t="s">
        <v>2280</v>
      </c>
      <c r="T50"/>
    </row>
    <row r="51" spans="1:20" ht="22" customHeight="1">
      <c r="A51" s="123" t="s">
        <v>3920</v>
      </c>
      <c r="B51" s="123" t="s">
        <v>2933</v>
      </c>
      <c r="C51" s="123" t="s">
        <v>1719</v>
      </c>
      <c r="D51" s="123" t="s">
        <v>2072</v>
      </c>
      <c r="E51" s="123" t="s">
        <v>2107</v>
      </c>
      <c r="F51" s="123" t="s">
        <v>3921</v>
      </c>
      <c r="G51" s="123" t="s">
        <v>3922</v>
      </c>
      <c r="H51" s="123" t="s">
        <v>2968</v>
      </c>
      <c r="I51" s="123">
        <v>0.75</v>
      </c>
      <c r="J51" s="123" t="s">
        <v>1698</v>
      </c>
      <c r="K51" s="123" t="s">
        <v>1699</v>
      </c>
      <c r="L51" s="123" t="s">
        <v>1966</v>
      </c>
      <c r="M51" s="123" t="s">
        <v>3923</v>
      </c>
      <c r="N51" s="123" t="s">
        <v>1689</v>
      </c>
      <c r="O51" s="123" t="s">
        <v>2000</v>
      </c>
      <c r="P51" s="123" t="s">
        <v>1366</v>
      </c>
      <c r="Q51" s="123" t="s">
        <v>1361</v>
      </c>
      <c r="R51" s="123"/>
      <c r="S51" s="123" t="s">
        <v>2226</v>
      </c>
      <c r="T51"/>
    </row>
    <row r="52" spans="1:20" ht="22" customHeight="1">
      <c r="A52" s="123" t="s">
        <v>3924</v>
      </c>
      <c r="B52" s="123" t="s">
        <v>2933</v>
      </c>
      <c r="C52" s="123" t="s">
        <v>1719</v>
      </c>
      <c r="D52" s="123" t="s">
        <v>2058</v>
      </c>
      <c r="E52" s="123" t="s">
        <v>3925</v>
      </c>
      <c r="F52" s="123" t="s">
        <v>3926</v>
      </c>
      <c r="G52" s="123" t="s">
        <v>3927</v>
      </c>
      <c r="H52" s="123" t="s">
        <v>2969</v>
      </c>
      <c r="I52" s="123">
        <v>0.75</v>
      </c>
      <c r="J52" s="123" t="s">
        <v>1698</v>
      </c>
      <c r="K52" s="123" t="s">
        <v>1699</v>
      </c>
      <c r="L52" s="123" t="s">
        <v>1966</v>
      </c>
      <c r="M52" s="123" t="s">
        <v>3928</v>
      </c>
      <c r="N52" s="123" t="s">
        <v>1689</v>
      </c>
      <c r="O52" s="123" t="s">
        <v>2000</v>
      </c>
      <c r="P52" s="123" t="s">
        <v>1366</v>
      </c>
      <c r="Q52" s="123" t="s">
        <v>1361</v>
      </c>
      <c r="R52" s="123"/>
      <c r="S52" s="123" t="s">
        <v>2198</v>
      </c>
      <c r="T52"/>
    </row>
    <row r="53" spans="1:20" ht="22" customHeight="1">
      <c r="A53" s="123" t="s">
        <v>3929</v>
      </c>
      <c r="B53" s="123" t="s">
        <v>2933</v>
      </c>
      <c r="C53" s="123" t="s">
        <v>1719</v>
      </c>
      <c r="D53" s="123" t="s">
        <v>2058</v>
      </c>
      <c r="E53" s="123" t="s">
        <v>3930</v>
      </c>
      <c r="F53" s="123" t="s">
        <v>3931</v>
      </c>
      <c r="G53" s="123" t="s">
        <v>3932</v>
      </c>
      <c r="H53" s="123" t="s">
        <v>2970</v>
      </c>
      <c r="I53" s="123">
        <v>0.75</v>
      </c>
      <c r="J53" s="123" t="s">
        <v>1698</v>
      </c>
      <c r="K53" s="123" t="s">
        <v>1699</v>
      </c>
      <c r="L53" s="123" t="s">
        <v>1966</v>
      </c>
      <c r="M53" s="123" t="s">
        <v>3933</v>
      </c>
      <c r="N53" s="123" t="s">
        <v>1689</v>
      </c>
      <c r="O53" s="123" t="s">
        <v>2000</v>
      </c>
      <c r="P53" s="123" t="s">
        <v>1366</v>
      </c>
      <c r="Q53" s="123" t="s">
        <v>1361</v>
      </c>
      <c r="R53" s="123"/>
      <c r="S53" s="123" t="s">
        <v>2281</v>
      </c>
      <c r="T53"/>
    </row>
    <row r="54" spans="1:20" ht="22" customHeight="1">
      <c r="A54" s="123" t="s">
        <v>3934</v>
      </c>
      <c r="B54" s="123" t="s">
        <v>2940</v>
      </c>
      <c r="C54" s="123" t="s">
        <v>1719</v>
      </c>
      <c r="D54" s="123" t="s">
        <v>2058</v>
      </c>
      <c r="E54" s="123" t="s">
        <v>2160</v>
      </c>
      <c r="F54" s="123" t="s">
        <v>3935</v>
      </c>
      <c r="G54" s="123" t="s">
        <v>3936</v>
      </c>
      <c r="H54" s="123" t="s">
        <v>3937</v>
      </c>
      <c r="I54" s="123">
        <v>1.5</v>
      </c>
      <c r="J54" s="123" t="s">
        <v>1698</v>
      </c>
      <c r="K54" s="123" t="s">
        <v>1698</v>
      </c>
      <c r="L54" s="123" t="s">
        <v>1971</v>
      </c>
      <c r="M54" s="123" t="s">
        <v>3938</v>
      </c>
      <c r="N54" s="123" t="s">
        <v>1689</v>
      </c>
      <c r="O54" s="123" t="s">
        <v>2002</v>
      </c>
      <c r="P54" s="123" t="s">
        <v>1366</v>
      </c>
      <c r="Q54" s="123" t="s">
        <v>1361</v>
      </c>
      <c r="R54" s="123"/>
      <c r="S54" s="123" t="s">
        <v>2283</v>
      </c>
      <c r="T54"/>
    </row>
    <row r="55" spans="1:20" ht="22" customHeight="1">
      <c r="A55" s="123" t="s">
        <v>3939</v>
      </c>
      <c r="B55" s="123" t="s">
        <v>2934</v>
      </c>
      <c r="C55" s="123" t="s">
        <v>1719</v>
      </c>
      <c r="D55" s="123" t="s">
        <v>2058</v>
      </c>
      <c r="E55" s="123" t="s">
        <v>2159</v>
      </c>
      <c r="F55" s="123" t="s">
        <v>3940</v>
      </c>
      <c r="G55" s="123" t="s">
        <v>3941</v>
      </c>
      <c r="H55" s="123" t="s">
        <v>3942</v>
      </c>
      <c r="I55" s="123">
        <v>1</v>
      </c>
      <c r="J55" s="123" t="s">
        <v>1698</v>
      </c>
      <c r="K55" s="123" t="s">
        <v>1698</v>
      </c>
      <c r="L55" s="123" t="s">
        <v>1971</v>
      </c>
      <c r="M55" s="123" t="s">
        <v>3943</v>
      </c>
      <c r="N55" s="123" t="s">
        <v>1689</v>
      </c>
      <c r="O55" s="123" t="s">
        <v>2000</v>
      </c>
      <c r="P55" s="123" t="s">
        <v>1366</v>
      </c>
      <c r="Q55" s="123" t="s">
        <v>1361</v>
      </c>
      <c r="R55" s="123"/>
      <c r="S55" s="123" t="s">
        <v>2282</v>
      </c>
      <c r="T55"/>
    </row>
    <row r="56" spans="1:20" ht="22" customHeight="1">
      <c r="A56" s="111" t="s">
        <v>3944</v>
      </c>
      <c r="B56" s="111" t="s">
        <v>2933</v>
      </c>
      <c r="C56" s="124" t="s">
        <v>1719</v>
      </c>
      <c r="D56" s="112" t="s">
        <v>2073</v>
      </c>
      <c r="E56" s="112" t="s">
        <v>2164</v>
      </c>
      <c r="F56" s="112" t="s">
        <v>3945</v>
      </c>
      <c r="G56" s="112" t="s">
        <v>3946</v>
      </c>
      <c r="H56" s="112" t="s">
        <v>2971</v>
      </c>
      <c r="I56" s="125">
        <v>1</v>
      </c>
      <c r="J56" s="111" t="s">
        <v>1698</v>
      </c>
      <c r="K56" s="111" t="s">
        <v>1698</v>
      </c>
      <c r="L56" s="126" t="s">
        <v>1972</v>
      </c>
      <c r="M56" s="126" t="s">
        <v>3947</v>
      </c>
      <c r="N56" s="126" t="s">
        <v>1689</v>
      </c>
      <c r="O56" s="124" t="s">
        <v>2000</v>
      </c>
      <c r="P56" s="111" t="s">
        <v>1366</v>
      </c>
      <c r="Q56" s="111" t="s">
        <v>1361</v>
      </c>
      <c r="R56" s="111"/>
      <c r="S56" s="111" t="s">
        <v>2284</v>
      </c>
      <c r="T56"/>
    </row>
    <row r="57" spans="1:20" ht="22" customHeight="1">
      <c r="A57" s="123" t="s">
        <v>3948</v>
      </c>
      <c r="B57" s="123" t="s">
        <v>2941</v>
      </c>
      <c r="C57" s="123" t="s">
        <v>1718</v>
      </c>
      <c r="D57" s="123" t="s">
        <v>2073</v>
      </c>
      <c r="E57" s="123" t="s">
        <v>2120</v>
      </c>
      <c r="F57" s="123" t="s">
        <v>1737</v>
      </c>
      <c r="G57" s="123" t="s">
        <v>1820</v>
      </c>
      <c r="H57" s="123" t="s">
        <v>1893</v>
      </c>
      <c r="I57" s="123">
        <v>1</v>
      </c>
      <c r="J57" s="123" t="s">
        <v>1698</v>
      </c>
      <c r="K57" s="123" t="s">
        <v>1698</v>
      </c>
      <c r="L57" s="123" t="s">
        <v>1972</v>
      </c>
      <c r="M57" s="123" t="s">
        <v>1985</v>
      </c>
      <c r="N57" s="123" t="s">
        <v>1689</v>
      </c>
      <c r="O57" s="123" t="s">
        <v>2002</v>
      </c>
      <c r="P57" s="123" t="s">
        <v>1366</v>
      </c>
      <c r="Q57" s="123" t="s">
        <v>1361</v>
      </c>
      <c r="R57" s="123"/>
      <c r="S57" s="123" t="s">
        <v>2239</v>
      </c>
      <c r="T57"/>
    </row>
    <row r="58" spans="1:20" ht="22" customHeight="1">
      <c r="A58" s="111" t="s">
        <v>3949</v>
      </c>
      <c r="B58" s="111" t="s">
        <v>2933</v>
      </c>
      <c r="C58" s="124" t="s">
        <v>1719</v>
      </c>
      <c r="D58" s="112" t="s">
        <v>3950</v>
      </c>
      <c r="E58" s="112" t="s">
        <v>3951</v>
      </c>
      <c r="F58" s="112" t="s">
        <v>3952</v>
      </c>
      <c r="G58" s="112" t="s">
        <v>3953</v>
      </c>
      <c r="H58" s="112" t="s">
        <v>2972</v>
      </c>
      <c r="I58" s="125">
        <v>2</v>
      </c>
      <c r="J58" s="111" t="s">
        <v>1698</v>
      </c>
      <c r="K58" s="111" t="s">
        <v>1698</v>
      </c>
      <c r="L58" s="126" t="s">
        <v>1967</v>
      </c>
      <c r="M58" s="126" t="s">
        <v>3954</v>
      </c>
      <c r="N58" s="126" t="s">
        <v>1689</v>
      </c>
      <c r="O58" s="124" t="s">
        <v>2000</v>
      </c>
      <c r="P58" s="111" t="s">
        <v>1366</v>
      </c>
      <c r="Q58" s="111" t="s">
        <v>1361</v>
      </c>
      <c r="R58" s="111"/>
      <c r="S58" s="111" t="s">
        <v>2211</v>
      </c>
      <c r="T58"/>
    </row>
    <row r="59" spans="1:20" ht="22" customHeight="1">
      <c r="A59" s="123" t="s">
        <v>3955</v>
      </c>
      <c r="B59" s="123" t="s">
        <v>2937</v>
      </c>
      <c r="C59" s="123" t="s">
        <v>1716</v>
      </c>
      <c r="D59" s="123" t="s">
        <v>3950</v>
      </c>
      <c r="E59" s="123" t="s">
        <v>2165</v>
      </c>
      <c r="F59" s="123" t="s">
        <v>3956</v>
      </c>
      <c r="G59" s="123" t="s">
        <v>3957</v>
      </c>
      <c r="H59" s="123" t="s">
        <v>1881</v>
      </c>
      <c r="I59" s="123">
        <v>3</v>
      </c>
      <c r="J59" s="123" t="s">
        <v>1698</v>
      </c>
      <c r="K59" s="123" t="s">
        <v>1698</v>
      </c>
      <c r="L59" s="123" t="s">
        <v>1964</v>
      </c>
      <c r="M59" s="123" t="s">
        <v>1977</v>
      </c>
      <c r="N59" s="123" t="s">
        <v>1689</v>
      </c>
      <c r="O59" s="123" t="s">
        <v>2000</v>
      </c>
      <c r="P59" s="123" t="s">
        <v>1366</v>
      </c>
      <c r="Q59" s="123" t="s">
        <v>1361</v>
      </c>
      <c r="R59" s="123"/>
      <c r="S59" s="123" t="s">
        <v>2285</v>
      </c>
      <c r="T59"/>
    </row>
    <row r="60" spans="1:20" ht="22" customHeight="1">
      <c r="A60" s="111" t="s">
        <v>3958</v>
      </c>
      <c r="B60" s="111" t="s">
        <v>2933</v>
      </c>
      <c r="C60" s="124" t="s">
        <v>1719</v>
      </c>
      <c r="D60" s="112" t="s">
        <v>3950</v>
      </c>
      <c r="E60" s="112" t="s">
        <v>1721</v>
      </c>
      <c r="F60" s="112" t="s">
        <v>3959</v>
      </c>
      <c r="G60" s="112" t="s">
        <v>3960</v>
      </c>
      <c r="H60" s="112" t="s">
        <v>2973</v>
      </c>
      <c r="I60" s="125">
        <v>1</v>
      </c>
      <c r="J60" s="111" t="s">
        <v>1698</v>
      </c>
      <c r="K60" s="111" t="s">
        <v>1698</v>
      </c>
      <c r="L60" s="126" t="s">
        <v>1972</v>
      </c>
      <c r="M60" s="126" t="s">
        <v>3961</v>
      </c>
      <c r="N60" s="126" t="s">
        <v>1689</v>
      </c>
      <c r="O60" s="124" t="s">
        <v>2000</v>
      </c>
      <c r="P60" s="111" t="s">
        <v>1366</v>
      </c>
      <c r="Q60" s="111" t="s">
        <v>1361</v>
      </c>
      <c r="R60" s="111"/>
      <c r="S60" s="111" t="s">
        <v>2290</v>
      </c>
      <c r="T60"/>
    </row>
    <row r="61" spans="1:20" ht="22" customHeight="1">
      <c r="A61" s="123" t="s">
        <v>3962</v>
      </c>
      <c r="B61" s="123" t="s">
        <v>2938</v>
      </c>
      <c r="C61" s="123" t="s">
        <v>1719</v>
      </c>
      <c r="D61" s="123" t="s">
        <v>1659</v>
      </c>
      <c r="E61" s="123" t="s">
        <v>2140</v>
      </c>
      <c r="F61" s="123" t="s">
        <v>1755</v>
      </c>
      <c r="G61" s="123" t="s">
        <v>1836</v>
      </c>
      <c r="H61" s="123" t="s">
        <v>1910</v>
      </c>
      <c r="I61" s="123">
        <v>2</v>
      </c>
      <c r="J61" s="123" t="s">
        <v>1701</v>
      </c>
      <c r="K61" s="123" t="s">
        <v>1701</v>
      </c>
      <c r="L61" s="123" t="s">
        <v>1974</v>
      </c>
      <c r="M61" s="123" t="s">
        <v>3963</v>
      </c>
      <c r="N61" s="123" t="s">
        <v>1689</v>
      </c>
      <c r="O61" s="123" t="s">
        <v>2000</v>
      </c>
      <c r="P61" s="123" t="s">
        <v>1366</v>
      </c>
      <c r="Q61" s="123" t="s">
        <v>1361</v>
      </c>
      <c r="R61" s="123"/>
      <c r="S61" s="123" t="s">
        <v>2258</v>
      </c>
      <c r="T61"/>
    </row>
    <row r="62" spans="1:20" ht="22" customHeight="1">
      <c r="A62" s="111" t="s">
        <v>3964</v>
      </c>
      <c r="B62" s="111" t="s">
        <v>2940</v>
      </c>
      <c r="C62" s="124" t="s">
        <v>1716</v>
      </c>
      <c r="D62" s="112" t="s">
        <v>1659</v>
      </c>
      <c r="E62" s="112" t="s">
        <v>2140</v>
      </c>
      <c r="F62" s="112" t="s">
        <v>3965</v>
      </c>
      <c r="G62" s="112" t="s">
        <v>3966</v>
      </c>
      <c r="H62" s="112" t="s">
        <v>2974</v>
      </c>
      <c r="I62" s="125">
        <v>1</v>
      </c>
      <c r="J62" s="111" t="s">
        <v>1700</v>
      </c>
      <c r="K62" s="111" t="s">
        <v>1699</v>
      </c>
      <c r="L62" s="126" t="s">
        <v>1969</v>
      </c>
      <c r="M62" s="126" t="s">
        <v>3967</v>
      </c>
      <c r="N62" s="126" t="s">
        <v>1689</v>
      </c>
      <c r="O62" s="124" t="s">
        <v>2000</v>
      </c>
      <c r="P62" s="111" t="s">
        <v>1366</v>
      </c>
      <c r="Q62" s="111" t="s">
        <v>1361</v>
      </c>
      <c r="R62" s="111"/>
      <c r="S62" s="111" t="s">
        <v>2258</v>
      </c>
      <c r="T62"/>
    </row>
    <row r="63" spans="1:20" ht="22" customHeight="1">
      <c r="A63" s="111" t="s">
        <v>3968</v>
      </c>
      <c r="B63" s="111" t="s">
        <v>3788</v>
      </c>
      <c r="C63" s="124" t="s">
        <v>1719</v>
      </c>
      <c r="D63" s="112" t="s">
        <v>2068</v>
      </c>
      <c r="E63" s="113" t="s">
        <v>3969</v>
      </c>
      <c r="F63" s="112" t="s">
        <v>3970</v>
      </c>
      <c r="G63" s="112" t="s">
        <v>3971</v>
      </c>
      <c r="H63" s="112" t="s">
        <v>1943</v>
      </c>
      <c r="I63" s="113">
        <v>1</v>
      </c>
      <c r="J63" s="125" t="s">
        <v>1698</v>
      </c>
      <c r="K63" s="125" t="s">
        <v>1698</v>
      </c>
      <c r="L63" s="113" t="s">
        <v>1968</v>
      </c>
      <c r="M63" s="113" t="s">
        <v>3972</v>
      </c>
      <c r="N63" s="126" t="s">
        <v>1689</v>
      </c>
      <c r="O63" s="124" t="s">
        <v>1998</v>
      </c>
      <c r="P63" s="111" t="s">
        <v>1366</v>
      </c>
      <c r="Q63" s="111" t="s">
        <v>1361</v>
      </c>
      <c r="R63" s="111"/>
      <c r="S63" s="111" t="s">
        <v>2299</v>
      </c>
      <c r="T63"/>
    </row>
    <row r="64" spans="1:20" ht="22" customHeight="1">
      <c r="A64" s="111" t="s">
        <v>3973</v>
      </c>
      <c r="B64" s="111" t="s">
        <v>2936</v>
      </c>
      <c r="C64" s="124" t="s">
        <v>1718</v>
      </c>
      <c r="D64" s="112" t="s">
        <v>2068</v>
      </c>
      <c r="E64" s="113" t="s">
        <v>3969</v>
      </c>
      <c r="F64" s="112" t="s">
        <v>1801</v>
      </c>
      <c r="G64" s="112" t="s">
        <v>3974</v>
      </c>
      <c r="H64" s="112" t="s">
        <v>1956</v>
      </c>
      <c r="I64" s="113">
        <v>2</v>
      </c>
      <c r="J64" s="125" t="s">
        <v>1698</v>
      </c>
      <c r="K64" s="125" t="s">
        <v>1698</v>
      </c>
      <c r="L64" s="113" t="s">
        <v>1967</v>
      </c>
      <c r="M64" s="113" t="s">
        <v>3783</v>
      </c>
      <c r="N64" s="126" t="s">
        <v>1689</v>
      </c>
      <c r="O64" s="124" t="s">
        <v>1999</v>
      </c>
      <c r="P64" s="111" t="s">
        <v>1366</v>
      </c>
      <c r="Q64" s="111" t="s">
        <v>1361</v>
      </c>
      <c r="R64" s="111"/>
      <c r="S64" s="111" t="s">
        <v>2299</v>
      </c>
      <c r="T64"/>
    </row>
    <row r="65" spans="1:20" ht="22" customHeight="1">
      <c r="A65" s="123" t="s">
        <v>3975</v>
      </c>
      <c r="B65" s="123" t="s">
        <v>2936</v>
      </c>
      <c r="C65" s="123" t="s">
        <v>1718</v>
      </c>
      <c r="D65" s="123" t="s">
        <v>2068</v>
      </c>
      <c r="E65" s="123" t="s">
        <v>3969</v>
      </c>
      <c r="F65" s="123" t="s">
        <v>1802</v>
      </c>
      <c r="G65" s="123" t="s">
        <v>1873</v>
      </c>
      <c r="H65" s="123" t="s">
        <v>1957</v>
      </c>
      <c r="I65" s="123">
        <v>1</v>
      </c>
      <c r="J65" s="123" t="s">
        <v>1698</v>
      </c>
      <c r="K65" s="123" t="s">
        <v>1698</v>
      </c>
      <c r="L65" s="123" t="s">
        <v>1967</v>
      </c>
      <c r="M65" s="123" t="s">
        <v>3783</v>
      </c>
      <c r="N65" s="123" t="s">
        <v>1689</v>
      </c>
      <c r="O65" s="123" t="s">
        <v>1999</v>
      </c>
      <c r="P65" s="123" t="s">
        <v>1366</v>
      </c>
      <c r="Q65" s="123" t="s">
        <v>1361</v>
      </c>
      <c r="R65" s="123"/>
      <c r="S65" s="123" t="s">
        <v>2299</v>
      </c>
      <c r="T65"/>
    </row>
    <row r="66" spans="1:20" ht="22" customHeight="1">
      <c r="A66" s="111" t="s">
        <v>3976</v>
      </c>
      <c r="B66" s="111" t="s">
        <v>2933</v>
      </c>
      <c r="C66" s="124" t="s">
        <v>1719</v>
      </c>
      <c r="D66" s="112" t="s">
        <v>2068</v>
      </c>
      <c r="E66" s="112" t="s">
        <v>3977</v>
      </c>
      <c r="F66" s="112" t="s">
        <v>3978</v>
      </c>
      <c r="G66" s="112" t="s">
        <v>3979</v>
      </c>
      <c r="H66" s="112" t="s">
        <v>2975</v>
      </c>
      <c r="I66" s="125">
        <v>0.5</v>
      </c>
      <c r="J66" s="111" t="s">
        <v>1698</v>
      </c>
      <c r="K66" s="111" t="s">
        <v>1698</v>
      </c>
      <c r="L66" s="126" t="s">
        <v>1966</v>
      </c>
      <c r="M66" s="126" t="s">
        <v>3980</v>
      </c>
      <c r="N66" s="126" t="s">
        <v>1689</v>
      </c>
      <c r="O66" s="124" t="s">
        <v>2000</v>
      </c>
      <c r="P66" s="111" t="s">
        <v>1366</v>
      </c>
      <c r="Q66" s="111" t="s">
        <v>1361</v>
      </c>
      <c r="R66" s="111"/>
      <c r="S66" s="111" t="s">
        <v>2286</v>
      </c>
      <c r="T66"/>
    </row>
    <row r="67" spans="1:20" ht="22" customHeight="1">
      <c r="A67" s="123" t="s">
        <v>3981</v>
      </c>
      <c r="B67" s="123" t="s">
        <v>2937</v>
      </c>
      <c r="C67" s="123" t="s">
        <v>1716</v>
      </c>
      <c r="D67" s="123" t="s">
        <v>2068</v>
      </c>
      <c r="E67" s="123" t="s">
        <v>2101</v>
      </c>
      <c r="F67" s="123" t="s">
        <v>1723</v>
      </c>
      <c r="G67" s="123" t="s">
        <v>1809</v>
      </c>
      <c r="H67" s="123" t="s">
        <v>3982</v>
      </c>
      <c r="I67" s="123">
        <v>1</v>
      </c>
      <c r="J67" s="123" t="s">
        <v>1698</v>
      </c>
      <c r="K67" s="123" t="s">
        <v>1698</v>
      </c>
      <c r="L67" s="123" t="s">
        <v>1963</v>
      </c>
      <c r="M67" s="123" t="s">
        <v>1979</v>
      </c>
      <c r="N67" s="123" t="s">
        <v>1997</v>
      </c>
      <c r="O67" s="123" t="s">
        <v>2000</v>
      </c>
      <c r="P67" s="123" t="s">
        <v>1366</v>
      </c>
      <c r="Q67" s="123" t="s">
        <v>1361</v>
      </c>
      <c r="R67" s="123"/>
      <c r="S67" s="123" t="s">
        <v>2221</v>
      </c>
      <c r="T67"/>
    </row>
    <row r="68" spans="1:20" ht="22" customHeight="1">
      <c r="A68" s="111" t="s">
        <v>3719</v>
      </c>
      <c r="B68" s="111" t="s">
        <v>2933</v>
      </c>
      <c r="C68" s="124" t="s">
        <v>1719</v>
      </c>
      <c r="D68" s="112" t="s">
        <v>3983</v>
      </c>
      <c r="E68" s="112" t="s">
        <v>3984</v>
      </c>
      <c r="F68" s="112" t="s">
        <v>3985</v>
      </c>
      <c r="G68" s="112" t="s">
        <v>3986</v>
      </c>
      <c r="H68" s="112" t="s">
        <v>2976</v>
      </c>
      <c r="I68" s="125">
        <v>1.5</v>
      </c>
      <c r="J68" s="111" t="s">
        <v>1698</v>
      </c>
      <c r="K68" s="111" t="s">
        <v>1698</v>
      </c>
      <c r="L68" s="126" t="s">
        <v>1967</v>
      </c>
      <c r="M68" s="126" t="s">
        <v>3987</v>
      </c>
      <c r="N68" s="126" t="s">
        <v>1689</v>
      </c>
      <c r="O68" s="124" t="s">
        <v>2000</v>
      </c>
      <c r="P68" s="111" t="s">
        <v>1366</v>
      </c>
      <c r="Q68" s="111" t="s">
        <v>1361</v>
      </c>
      <c r="R68" s="111"/>
      <c r="S68" s="111" t="s">
        <v>2287</v>
      </c>
      <c r="T68"/>
    </row>
    <row r="69" spans="1:20" ht="22" customHeight="1">
      <c r="A69" s="111" t="s">
        <v>3988</v>
      </c>
      <c r="B69" s="111" t="s">
        <v>3788</v>
      </c>
      <c r="C69" s="124" t="s">
        <v>1719</v>
      </c>
      <c r="D69" s="112" t="s">
        <v>2061</v>
      </c>
      <c r="E69" s="112" t="s">
        <v>2183</v>
      </c>
      <c r="F69" s="112" t="s">
        <v>1791</v>
      </c>
      <c r="G69" s="112" t="s">
        <v>1864</v>
      </c>
      <c r="H69" s="112" t="s">
        <v>1944</v>
      </c>
      <c r="I69" s="125">
        <v>1</v>
      </c>
      <c r="J69" s="111" t="s">
        <v>1698</v>
      </c>
      <c r="K69" s="111" t="s">
        <v>1698</v>
      </c>
      <c r="L69" s="126" t="s">
        <v>1968</v>
      </c>
      <c r="M69" s="126" t="s">
        <v>3972</v>
      </c>
      <c r="N69" s="126" t="s">
        <v>1689</v>
      </c>
      <c r="O69" s="124" t="s">
        <v>1998</v>
      </c>
      <c r="P69" s="111" t="s">
        <v>1366</v>
      </c>
      <c r="Q69" s="111" t="s">
        <v>1361</v>
      </c>
      <c r="R69" s="111"/>
      <c r="S69" s="111" t="s">
        <v>2311</v>
      </c>
      <c r="T69"/>
    </row>
    <row r="70" spans="1:20" ht="22" customHeight="1">
      <c r="A70" s="123" t="s">
        <v>3989</v>
      </c>
      <c r="B70" s="123" t="s">
        <v>2935</v>
      </c>
      <c r="C70" s="123" t="s">
        <v>1719</v>
      </c>
      <c r="D70" s="123" t="s">
        <v>2061</v>
      </c>
      <c r="E70" s="123" t="s">
        <v>3990</v>
      </c>
      <c r="F70" s="123" t="s">
        <v>3991</v>
      </c>
      <c r="G70" s="123" t="s">
        <v>3992</v>
      </c>
      <c r="H70" s="123" t="s">
        <v>3993</v>
      </c>
      <c r="I70" s="123">
        <v>2</v>
      </c>
      <c r="J70" s="123" t="s">
        <v>1698</v>
      </c>
      <c r="K70" s="123" t="s">
        <v>1698</v>
      </c>
      <c r="L70" s="123" t="s">
        <v>1966</v>
      </c>
      <c r="M70" s="123" t="s">
        <v>3994</v>
      </c>
      <c r="N70" s="123" t="s">
        <v>1689</v>
      </c>
      <c r="O70" s="123" t="s">
        <v>2000</v>
      </c>
      <c r="P70" s="123" t="s">
        <v>1366</v>
      </c>
      <c r="Q70" s="123" t="s">
        <v>1361</v>
      </c>
      <c r="R70" s="123"/>
      <c r="S70" s="123" t="s">
        <v>3995</v>
      </c>
      <c r="T70"/>
    </row>
    <row r="71" spans="1:20" ht="22" customHeight="1">
      <c r="A71" s="123" t="s">
        <v>3996</v>
      </c>
      <c r="B71" s="123" t="s">
        <v>2933</v>
      </c>
      <c r="C71" s="123" t="s">
        <v>1719</v>
      </c>
      <c r="D71" s="123" t="s">
        <v>2070</v>
      </c>
      <c r="E71" s="123" t="s">
        <v>2104</v>
      </c>
      <c r="F71" s="123" t="s">
        <v>3997</v>
      </c>
      <c r="G71" s="123" t="s">
        <v>3998</v>
      </c>
      <c r="H71" s="123" t="s">
        <v>2977</v>
      </c>
      <c r="I71" s="123">
        <v>2</v>
      </c>
      <c r="J71" s="123" t="s">
        <v>1698</v>
      </c>
      <c r="K71" s="123" t="s">
        <v>1698</v>
      </c>
      <c r="L71" s="123" t="s">
        <v>1967</v>
      </c>
      <c r="M71" s="123" t="s">
        <v>3999</v>
      </c>
      <c r="N71" s="123" t="s">
        <v>1689</v>
      </c>
      <c r="O71" s="123" t="s">
        <v>2000</v>
      </c>
      <c r="P71" s="123" t="s">
        <v>1366</v>
      </c>
      <c r="Q71" s="123" t="s">
        <v>1361</v>
      </c>
      <c r="R71" s="123"/>
      <c r="S71" s="123" t="s">
        <v>2224</v>
      </c>
      <c r="T71"/>
    </row>
    <row r="72" spans="1:20" ht="22" customHeight="1">
      <c r="A72" s="123" t="s">
        <v>4000</v>
      </c>
      <c r="B72" s="123" t="s">
        <v>2935</v>
      </c>
      <c r="C72" s="123" t="s">
        <v>1719</v>
      </c>
      <c r="D72" s="123" t="s">
        <v>2070</v>
      </c>
      <c r="E72" s="123" t="s">
        <v>2104</v>
      </c>
      <c r="F72" s="123" t="s">
        <v>4001</v>
      </c>
      <c r="G72" s="123" t="s">
        <v>4002</v>
      </c>
      <c r="H72" s="123" t="s">
        <v>2978</v>
      </c>
      <c r="I72" s="123">
        <v>3</v>
      </c>
      <c r="J72" s="123" t="s">
        <v>1698</v>
      </c>
      <c r="K72" s="123" t="s">
        <v>1698</v>
      </c>
      <c r="L72" s="123" t="s">
        <v>1967</v>
      </c>
      <c r="M72" s="123" t="s">
        <v>4003</v>
      </c>
      <c r="N72" s="123" t="s">
        <v>1689</v>
      </c>
      <c r="O72" s="123" t="s">
        <v>2000</v>
      </c>
      <c r="P72" s="123" t="s">
        <v>1366</v>
      </c>
      <c r="Q72" s="123" t="s">
        <v>1361</v>
      </c>
      <c r="R72" s="123"/>
      <c r="S72" s="123" t="s">
        <v>2224</v>
      </c>
      <c r="T72"/>
    </row>
    <row r="73" spans="1:20" ht="22" customHeight="1">
      <c r="A73" s="123" t="s">
        <v>4004</v>
      </c>
      <c r="B73" s="123" t="s">
        <v>2936</v>
      </c>
      <c r="C73" s="123" t="s">
        <v>1718</v>
      </c>
      <c r="D73" s="123" t="s">
        <v>2070</v>
      </c>
      <c r="E73" s="123" t="s">
        <v>2104</v>
      </c>
      <c r="F73" s="123" t="s">
        <v>4005</v>
      </c>
      <c r="G73" s="123" t="s">
        <v>4006</v>
      </c>
      <c r="H73" s="123" t="s">
        <v>2979</v>
      </c>
      <c r="I73" s="123">
        <v>2</v>
      </c>
      <c r="J73" s="123" t="s">
        <v>1698</v>
      </c>
      <c r="K73" s="123" t="s">
        <v>1699</v>
      </c>
      <c r="L73" s="123" t="s">
        <v>1967</v>
      </c>
      <c r="M73" s="123" t="s">
        <v>4007</v>
      </c>
      <c r="N73" s="123" t="s">
        <v>1689</v>
      </c>
      <c r="O73" s="123" t="s">
        <v>2000</v>
      </c>
      <c r="P73" s="123" t="s">
        <v>1366</v>
      </c>
      <c r="Q73" s="123" t="s">
        <v>1361</v>
      </c>
      <c r="R73" s="123"/>
      <c r="S73" s="123" t="s">
        <v>2224</v>
      </c>
      <c r="T73"/>
    </row>
    <row r="74" spans="1:20" ht="22" customHeight="1">
      <c r="A74" s="123" t="s">
        <v>4008</v>
      </c>
      <c r="B74" s="123" t="s">
        <v>2933</v>
      </c>
      <c r="C74" s="123" t="s">
        <v>1719</v>
      </c>
      <c r="D74" s="123" t="s">
        <v>2070</v>
      </c>
      <c r="E74" s="123" t="s">
        <v>4009</v>
      </c>
      <c r="F74" s="123" t="s">
        <v>4010</v>
      </c>
      <c r="G74" s="123" t="s">
        <v>4011</v>
      </c>
      <c r="H74" s="123" t="s">
        <v>2980</v>
      </c>
      <c r="I74" s="123">
        <v>2</v>
      </c>
      <c r="J74" s="123" t="s">
        <v>1698</v>
      </c>
      <c r="K74" s="123" t="s">
        <v>1699</v>
      </c>
      <c r="L74" s="123" t="s">
        <v>1967</v>
      </c>
      <c r="M74" s="123" t="s">
        <v>4012</v>
      </c>
      <c r="N74" s="123" t="s">
        <v>1689</v>
      </c>
      <c r="O74" s="123" t="s">
        <v>2000</v>
      </c>
      <c r="P74" s="123" t="s">
        <v>1366</v>
      </c>
      <c r="Q74" s="123" t="s">
        <v>1361</v>
      </c>
      <c r="R74" s="123"/>
      <c r="S74" s="123" t="s">
        <v>2288</v>
      </c>
      <c r="T74"/>
    </row>
    <row r="75" spans="1:20" ht="22" customHeight="1">
      <c r="A75" s="111" t="s">
        <v>4013</v>
      </c>
      <c r="B75" s="111" t="s">
        <v>2933</v>
      </c>
      <c r="C75" s="124" t="s">
        <v>1719</v>
      </c>
      <c r="D75" s="112" t="s">
        <v>2070</v>
      </c>
      <c r="E75" s="112" t="s">
        <v>2166</v>
      </c>
      <c r="F75" s="112" t="s">
        <v>4014</v>
      </c>
      <c r="G75" s="112" t="s">
        <v>4015</v>
      </c>
      <c r="H75" s="112" t="s">
        <v>2981</v>
      </c>
      <c r="I75" s="125">
        <v>1</v>
      </c>
      <c r="J75" s="111" t="s">
        <v>1698</v>
      </c>
      <c r="K75" s="111" t="s">
        <v>1699</v>
      </c>
      <c r="L75" s="126" t="s">
        <v>1965</v>
      </c>
      <c r="M75" s="126" t="s">
        <v>4016</v>
      </c>
      <c r="N75" s="126" t="s">
        <v>1689</v>
      </c>
      <c r="O75" s="124" t="s">
        <v>2000</v>
      </c>
      <c r="P75" s="111" t="s">
        <v>1366</v>
      </c>
      <c r="Q75" s="111" t="s">
        <v>1361</v>
      </c>
      <c r="R75" s="111"/>
      <c r="S75" s="111" t="s">
        <v>2289</v>
      </c>
      <c r="T75"/>
    </row>
    <row r="76" spans="1:20" ht="22" customHeight="1">
      <c r="A76" s="111" t="s">
        <v>4017</v>
      </c>
      <c r="B76" s="111" t="s">
        <v>2942</v>
      </c>
      <c r="C76" s="124" t="s">
        <v>1719</v>
      </c>
      <c r="D76" s="112" t="s">
        <v>2076</v>
      </c>
      <c r="E76" s="112" t="s">
        <v>2137</v>
      </c>
      <c r="F76" s="112" t="s">
        <v>1777</v>
      </c>
      <c r="G76" s="112" t="s">
        <v>4018</v>
      </c>
      <c r="H76" s="112" t="s">
        <v>1929</v>
      </c>
      <c r="I76" s="125">
        <v>1</v>
      </c>
      <c r="J76" s="111" t="s">
        <v>1698</v>
      </c>
      <c r="K76" s="111" t="s">
        <v>1698</v>
      </c>
      <c r="L76" s="126" t="s">
        <v>1970</v>
      </c>
      <c r="M76" s="126" t="s">
        <v>1984</v>
      </c>
      <c r="N76" s="126" t="s">
        <v>1689</v>
      </c>
      <c r="O76" s="124" t="s">
        <v>2002</v>
      </c>
      <c r="P76" s="111" t="s">
        <v>1366</v>
      </c>
      <c r="Q76" s="111" t="s">
        <v>1361</v>
      </c>
      <c r="R76" s="111"/>
      <c r="S76" s="111" t="s">
        <v>2255</v>
      </c>
      <c r="T76"/>
    </row>
    <row r="77" spans="1:20" ht="22" customHeight="1">
      <c r="A77" s="111" t="s">
        <v>4019</v>
      </c>
      <c r="B77" s="111" t="s">
        <v>2942</v>
      </c>
      <c r="C77" s="124" t="s">
        <v>1719</v>
      </c>
      <c r="D77" s="112" t="s">
        <v>2076</v>
      </c>
      <c r="E77" s="112" t="s">
        <v>2137</v>
      </c>
      <c r="F77" s="112" t="s">
        <v>1778</v>
      </c>
      <c r="G77" s="112" t="s">
        <v>4020</v>
      </c>
      <c r="H77" s="112" t="s">
        <v>1930</v>
      </c>
      <c r="I77" s="125">
        <v>1</v>
      </c>
      <c r="J77" s="111" t="s">
        <v>1698</v>
      </c>
      <c r="K77" s="111" t="s">
        <v>1698</v>
      </c>
      <c r="L77" s="126" t="s">
        <v>1970</v>
      </c>
      <c r="M77" s="126" t="s">
        <v>4021</v>
      </c>
      <c r="N77" s="126" t="s">
        <v>1689</v>
      </c>
      <c r="O77" s="124" t="s">
        <v>2002</v>
      </c>
      <c r="P77" s="111" t="s">
        <v>4017</v>
      </c>
      <c r="Q77" s="111" t="s">
        <v>1361</v>
      </c>
      <c r="R77" s="111"/>
      <c r="S77" s="111" t="s">
        <v>2255</v>
      </c>
      <c r="T77"/>
    </row>
    <row r="78" spans="1:20" ht="22" customHeight="1">
      <c r="A78" s="111" t="s">
        <v>4022</v>
      </c>
      <c r="B78" s="111" t="s">
        <v>2937</v>
      </c>
      <c r="C78" s="124" t="s">
        <v>1716</v>
      </c>
      <c r="D78" s="112" t="s">
        <v>2076</v>
      </c>
      <c r="E78" s="112" t="s">
        <v>2137</v>
      </c>
      <c r="F78" s="112" t="s">
        <v>1722</v>
      </c>
      <c r="G78" s="112" t="s">
        <v>1808</v>
      </c>
      <c r="H78" s="112" t="s">
        <v>1879</v>
      </c>
      <c r="I78" s="125">
        <v>1</v>
      </c>
      <c r="J78" s="111" t="s">
        <v>1698</v>
      </c>
      <c r="K78" s="111" t="s">
        <v>1698</v>
      </c>
      <c r="L78" s="126" t="s">
        <v>1970</v>
      </c>
      <c r="M78" s="126" t="s">
        <v>1980</v>
      </c>
      <c r="N78" s="126" t="s">
        <v>1997</v>
      </c>
      <c r="O78" s="124" t="s">
        <v>2002</v>
      </c>
      <c r="P78" s="111" t="s">
        <v>1366</v>
      </c>
      <c r="Q78" s="111" t="s">
        <v>1361</v>
      </c>
      <c r="R78" s="111"/>
      <c r="S78" s="111" t="s">
        <v>2255</v>
      </c>
      <c r="T78"/>
    </row>
    <row r="79" spans="1:20" ht="22" customHeight="1">
      <c r="A79" s="111" t="s">
        <v>4023</v>
      </c>
      <c r="B79" s="111" t="s">
        <v>2940</v>
      </c>
      <c r="C79" s="124" t="s">
        <v>1719</v>
      </c>
      <c r="D79" s="112" t="s">
        <v>2076</v>
      </c>
      <c r="E79" s="112" t="s">
        <v>2137</v>
      </c>
      <c r="F79" s="112" t="s">
        <v>1772</v>
      </c>
      <c r="G79" s="112" t="s">
        <v>1849</v>
      </c>
      <c r="H79" s="112" t="s">
        <v>4024</v>
      </c>
      <c r="I79" s="125">
        <v>2</v>
      </c>
      <c r="J79" s="111" t="s">
        <v>1698</v>
      </c>
      <c r="K79" s="111" t="s">
        <v>1698</v>
      </c>
      <c r="L79" s="126" t="s">
        <v>1975</v>
      </c>
      <c r="M79" s="126" t="s">
        <v>1992</v>
      </c>
      <c r="N79" s="126" t="s">
        <v>1997</v>
      </c>
      <c r="O79" s="124" t="s">
        <v>2002</v>
      </c>
      <c r="P79" s="111"/>
      <c r="Q79" s="111" t="s">
        <v>1361</v>
      </c>
      <c r="R79" s="111"/>
      <c r="S79" s="111" t="s">
        <v>2255</v>
      </c>
      <c r="T79"/>
    </row>
    <row r="80" spans="1:20" ht="22" customHeight="1">
      <c r="A80" s="111" t="s">
        <v>4025</v>
      </c>
      <c r="B80" s="111" t="s">
        <v>2948</v>
      </c>
      <c r="C80" s="124" t="s">
        <v>1718</v>
      </c>
      <c r="D80" s="112" t="s">
        <v>2076</v>
      </c>
      <c r="E80" s="112" t="s">
        <v>2191</v>
      </c>
      <c r="F80" s="112" t="s">
        <v>4026</v>
      </c>
      <c r="G80" s="112" t="s">
        <v>4027</v>
      </c>
      <c r="H80" s="112" t="s">
        <v>4028</v>
      </c>
      <c r="I80" s="125">
        <v>1</v>
      </c>
      <c r="J80" s="111" t="s">
        <v>1698</v>
      </c>
      <c r="K80" s="111" t="s">
        <v>1698</v>
      </c>
      <c r="L80" s="126" t="s">
        <v>1971</v>
      </c>
      <c r="M80" s="126" t="s">
        <v>4029</v>
      </c>
      <c r="N80" s="126" t="s">
        <v>1689</v>
      </c>
      <c r="O80" s="124" t="s">
        <v>2002</v>
      </c>
      <c r="P80" s="111" t="s">
        <v>1366</v>
      </c>
      <c r="Q80" s="111" t="s">
        <v>1361</v>
      </c>
      <c r="R80" s="111"/>
      <c r="S80" s="111" t="s">
        <v>2319</v>
      </c>
      <c r="T80"/>
    </row>
    <row r="81" spans="1:20" ht="22" customHeight="1">
      <c r="A81" s="111" t="s">
        <v>4030</v>
      </c>
      <c r="B81" s="111" t="s">
        <v>2934</v>
      </c>
      <c r="C81" s="124" t="s">
        <v>1719</v>
      </c>
      <c r="D81" s="112" t="s">
        <v>2078</v>
      </c>
      <c r="E81" s="113" t="s">
        <v>2172</v>
      </c>
      <c r="F81" s="112" t="s">
        <v>1769</v>
      </c>
      <c r="G81" s="112" t="s">
        <v>4031</v>
      </c>
      <c r="H81" s="112" t="s">
        <v>1922</v>
      </c>
      <c r="I81" s="113">
        <v>0.5</v>
      </c>
      <c r="J81" s="125" t="s">
        <v>1698</v>
      </c>
      <c r="K81" s="125" t="s">
        <v>1698</v>
      </c>
      <c r="L81" s="113" t="s">
        <v>1966</v>
      </c>
      <c r="M81" s="113" t="s">
        <v>1986</v>
      </c>
      <c r="N81" s="126" t="s">
        <v>1689</v>
      </c>
      <c r="O81" s="124" t="s">
        <v>2002</v>
      </c>
      <c r="P81" s="111" t="s">
        <v>1366</v>
      </c>
      <c r="Q81" s="111" t="s">
        <v>1361</v>
      </c>
      <c r="R81" s="111" t="s">
        <v>4032</v>
      </c>
      <c r="S81" s="111" t="s">
        <v>2300</v>
      </c>
      <c r="T81"/>
    </row>
    <row r="82" spans="1:20" ht="22" customHeight="1">
      <c r="A82" s="111" t="s">
        <v>4033</v>
      </c>
      <c r="B82" s="111" t="s">
        <v>2936</v>
      </c>
      <c r="C82" s="124" t="s">
        <v>1718</v>
      </c>
      <c r="D82" s="112" t="s">
        <v>2078</v>
      </c>
      <c r="E82" s="112" t="s">
        <v>2172</v>
      </c>
      <c r="F82" s="112" t="s">
        <v>1803</v>
      </c>
      <c r="G82" s="112" t="s">
        <v>1874</v>
      </c>
      <c r="H82" s="112" t="s">
        <v>1958</v>
      </c>
      <c r="I82" s="125">
        <v>2</v>
      </c>
      <c r="J82" s="111" t="s">
        <v>1698</v>
      </c>
      <c r="K82" s="111" t="s">
        <v>1698</v>
      </c>
      <c r="L82" s="126" t="s">
        <v>1967</v>
      </c>
      <c r="M82" s="126" t="s">
        <v>3783</v>
      </c>
      <c r="N82" s="126" t="s">
        <v>1689</v>
      </c>
      <c r="O82" s="124" t="s">
        <v>1999</v>
      </c>
      <c r="P82" s="111" t="s">
        <v>1366</v>
      </c>
      <c r="Q82" s="111" t="s">
        <v>1361</v>
      </c>
      <c r="R82" s="111"/>
      <c r="S82" s="111" t="s">
        <v>2300</v>
      </c>
      <c r="T82"/>
    </row>
    <row r="83" spans="1:20" ht="22" customHeight="1">
      <c r="A83" s="111" t="s">
        <v>4034</v>
      </c>
      <c r="B83" s="111" t="s">
        <v>2934</v>
      </c>
      <c r="C83" s="124" t="s">
        <v>1719</v>
      </c>
      <c r="D83" s="112" t="s">
        <v>2078</v>
      </c>
      <c r="E83" s="112" t="s">
        <v>2173</v>
      </c>
      <c r="F83" s="112" t="s">
        <v>1770</v>
      </c>
      <c r="G83" s="112" t="s">
        <v>1846</v>
      </c>
      <c r="H83" s="112" t="s">
        <v>1923</v>
      </c>
      <c r="I83" s="125">
        <v>0.5</v>
      </c>
      <c r="J83" s="111" t="s">
        <v>1698</v>
      </c>
      <c r="K83" s="111" t="s">
        <v>1698</v>
      </c>
      <c r="L83" s="126" t="s">
        <v>1966</v>
      </c>
      <c r="M83" s="126" t="s">
        <v>1986</v>
      </c>
      <c r="N83" s="126" t="s">
        <v>1689</v>
      </c>
      <c r="O83" s="124" t="s">
        <v>2002</v>
      </c>
      <c r="P83" s="111" t="s">
        <v>1366</v>
      </c>
      <c r="Q83" s="111" t="s">
        <v>1361</v>
      </c>
      <c r="R83" s="111" t="s">
        <v>4035</v>
      </c>
      <c r="S83" s="111" t="s">
        <v>2301</v>
      </c>
      <c r="T83"/>
    </row>
    <row r="84" spans="1:20" ht="22" customHeight="1">
      <c r="A84" s="111" t="s">
        <v>4036</v>
      </c>
      <c r="B84" s="111" t="s">
        <v>2934</v>
      </c>
      <c r="C84" s="124" t="s">
        <v>1719</v>
      </c>
      <c r="D84" s="112" t="s">
        <v>2078</v>
      </c>
      <c r="E84" s="112" t="s">
        <v>2174</v>
      </c>
      <c r="F84" s="112" t="s">
        <v>1771</v>
      </c>
      <c r="G84" s="112" t="s">
        <v>1847</v>
      </c>
      <c r="H84" s="112" t="s">
        <v>1924</v>
      </c>
      <c r="I84" s="125">
        <v>0.5</v>
      </c>
      <c r="J84" s="111" t="s">
        <v>1698</v>
      </c>
      <c r="K84" s="111" t="s">
        <v>1698</v>
      </c>
      <c r="L84" s="126" t="s">
        <v>1966</v>
      </c>
      <c r="M84" s="126" t="s">
        <v>1990</v>
      </c>
      <c r="N84" s="126" t="s">
        <v>1689</v>
      </c>
      <c r="O84" s="124" t="s">
        <v>2002</v>
      </c>
      <c r="P84" s="111" t="s">
        <v>1366</v>
      </c>
      <c r="Q84" s="111" t="s">
        <v>1361</v>
      </c>
      <c r="R84" s="111" t="s">
        <v>3955</v>
      </c>
      <c r="S84" s="111" t="s">
        <v>2302</v>
      </c>
      <c r="T84"/>
    </row>
    <row r="85" spans="1:20" ht="22" customHeight="1">
      <c r="A85" s="111" t="s">
        <v>4038</v>
      </c>
      <c r="B85" s="111" t="s">
        <v>2944</v>
      </c>
      <c r="C85" s="124" t="s">
        <v>1719</v>
      </c>
      <c r="D85" s="112" t="s">
        <v>1656</v>
      </c>
      <c r="E85" s="112" t="s">
        <v>2097</v>
      </c>
      <c r="F85" s="112" t="s">
        <v>4039</v>
      </c>
      <c r="G85" s="112" t="s">
        <v>4040</v>
      </c>
      <c r="H85" s="112" t="s">
        <v>4041</v>
      </c>
      <c r="I85" s="125">
        <v>1</v>
      </c>
      <c r="J85" s="111" t="s">
        <v>1698</v>
      </c>
      <c r="K85" s="111" t="s">
        <v>1698</v>
      </c>
      <c r="L85" s="126" t="s">
        <v>1966</v>
      </c>
      <c r="M85" s="126" t="s">
        <v>4042</v>
      </c>
      <c r="N85" s="126" t="s">
        <v>1689</v>
      </c>
      <c r="O85" s="124" t="s">
        <v>2002</v>
      </c>
      <c r="P85" s="111" t="s">
        <v>1366</v>
      </c>
      <c r="Q85" s="111" t="s">
        <v>1361</v>
      </c>
      <c r="R85" s="111"/>
      <c r="S85" s="111" t="s">
        <v>2218</v>
      </c>
      <c r="T85"/>
    </row>
    <row r="86" spans="1:20" ht="22" customHeight="1">
      <c r="A86" s="111" t="s">
        <v>4043</v>
      </c>
      <c r="B86" s="111" t="s">
        <v>2938</v>
      </c>
      <c r="C86" s="124" t="s">
        <v>1719</v>
      </c>
      <c r="D86" s="112" t="s">
        <v>2065</v>
      </c>
      <c r="E86" s="112" t="s">
        <v>2133</v>
      </c>
      <c r="F86" s="112" t="s">
        <v>1750</v>
      </c>
      <c r="G86" s="112" t="s">
        <v>1831</v>
      </c>
      <c r="H86" s="112" t="s">
        <v>1905</v>
      </c>
      <c r="I86" s="125">
        <v>2</v>
      </c>
      <c r="J86" s="111" t="s">
        <v>1698</v>
      </c>
      <c r="K86" s="111" t="s">
        <v>1698</v>
      </c>
      <c r="L86" s="126" t="s">
        <v>1973</v>
      </c>
      <c r="M86" s="126" t="s">
        <v>1987</v>
      </c>
      <c r="N86" s="126" t="s">
        <v>1689</v>
      </c>
      <c r="O86" s="124" t="s">
        <v>1999</v>
      </c>
      <c r="P86" s="111" t="s">
        <v>1366</v>
      </c>
      <c r="Q86" s="111" t="s">
        <v>1361</v>
      </c>
      <c r="R86" s="111"/>
      <c r="S86" s="111" t="s">
        <v>2251</v>
      </c>
      <c r="T86"/>
    </row>
    <row r="87" spans="1:20" ht="22" customHeight="1">
      <c r="A87" s="111" t="s">
        <v>4044</v>
      </c>
      <c r="B87" s="111" t="s">
        <v>2938</v>
      </c>
      <c r="C87" s="124" t="s">
        <v>1719</v>
      </c>
      <c r="D87" s="112" t="s">
        <v>2065</v>
      </c>
      <c r="E87" s="112" t="s">
        <v>2087</v>
      </c>
      <c r="F87" s="112" t="s">
        <v>1751</v>
      </c>
      <c r="G87" s="112" t="s">
        <v>1832</v>
      </c>
      <c r="H87" s="112" t="s">
        <v>1906</v>
      </c>
      <c r="I87" s="125">
        <v>2</v>
      </c>
      <c r="J87" s="111" t="s">
        <v>1698</v>
      </c>
      <c r="K87" s="111" t="s">
        <v>1698</v>
      </c>
      <c r="L87" s="126" t="s">
        <v>1973</v>
      </c>
      <c r="M87" s="126" t="s">
        <v>4045</v>
      </c>
      <c r="N87" s="126" t="s">
        <v>1689</v>
      </c>
      <c r="O87" s="124" t="s">
        <v>1999</v>
      </c>
      <c r="P87" s="111" t="s">
        <v>1366</v>
      </c>
      <c r="Q87" s="111" t="s">
        <v>1361</v>
      </c>
      <c r="R87" s="111"/>
      <c r="S87" s="111" t="s">
        <v>2208</v>
      </c>
      <c r="T87"/>
    </row>
    <row r="88" spans="1:20" ht="22" customHeight="1">
      <c r="A88" s="111" t="s">
        <v>4046</v>
      </c>
      <c r="B88" s="111" t="s">
        <v>2943</v>
      </c>
      <c r="C88" s="124" t="s">
        <v>1719</v>
      </c>
      <c r="D88" s="112" t="s">
        <v>2065</v>
      </c>
      <c r="E88" s="112" t="s">
        <v>2087</v>
      </c>
      <c r="F88" s="112" t="s">
        <v>1746</v>
      </c>
      <c r="G88" s="112" t="s">
        <v>4047</v>
      </c>
      <c r="H88" s="112" t="s">
        <v>1901</v>
      </c>
      <c r="I88" s="125">
        <v>2</v>
      </c>
      <c r="J88" s="111" t="s">
        <v>1698</v>
      </c>
      <c r="K88" s="111" t="s">
        <v>1698</v>
      </c>
      <c r="L88" s="126" t="s">
        <v>4048</v>
      </c>
      <c r="M88" s="126" t="s">
        <v>4045</v>
      </c>
      <c r="N88" s="126" t="s">
        <v>1689</v>
      </c>
      <c r="O88" s="124" t="s">
        <v>2002</v>
      </c>
      <c r="P88" s="111" t="s">
        <v>1366</v>
      </c>
      <c r="Q88" s="111" t="s">
        <v>1361</v>
      </c>
      <c r="R88" s="111"/>
      <c r="S88" s="111" t="s">
        <v>2208</v>
      </c>
      <c r="T88"/>
    </row>
    <row r="89" spans="1:20" ht="22" customHeight="1">
      <c r="A89" s="111" t="s">
        <v>4049</v>
      </c>
      <c r="B89" s="111" t="s">
        <v>3788</v>
      </c>
      <c r="C89" s="124" t="s">
        <v>1719</v>
      </c>
      <c r="D89" s="112" t="s">
        <v>2065</v>
      </c>
      <c r="E89" s="112" t="s">
        <v>2089</v>
      </c>
      <c r="F89" s="112" t="s">
        <v>1792</v>
      </c>
      <c r="G89" s="112" t="s">
        <v>1865</v>
      </c>
      <c r="H89" s="112" t="s">
        <v>1947</v>
      </c>
      <c r="I89" s="125">
        <v>1</v>
      </c>
      <c r="J89" s="111" t="s">
        <v>1698</v>
      </c>
      <c r="K89" s="111" t="s">
        <v>1698</v>
      </c>
      <c r="L89" s="126" t="s">
        <v>1968</v>
      </c>
      <c r="M89" s="126" t="s">
        <v>3972</v>
      </c>
      <c r="N89" s="126" t="s">
        <v>1689</v>
      </c>
      <c r="O89" s="124" t="s">
        <v>1998</v>
      </c>
      <c r="P89" s="111" t="s">
        <v>1366</v>
      </c>
      <c r="Q89" s="111" t="s">
        <v>1361</v>
      </c>
      <c r="R89" s="111"/>
      <c r="S89" s="111" t="s">
        <v>2210</v>
      </c>
      <c r="T89"/>
    </row>
    <row r="90" spans="1:20" ht="22" customHeight="1">
      <c r="A90" s="111" t="s">
        <v>4050</v>
      </c>
      <c r="B90" s="111" t="s">
        <v>3788</v>
      </c>
      <c r="C90" s="124" t="s">
        <v>1719</v>
      </c>
      <c r="D90" s="112" t="s">
        <v>2065</v>
      </c>
      <c r="E90" s="112" t="s">
        <v>2089</v>
      </c>
      <c r="F90" s="112" t="s">
        <v>1793</v>
      </c>
      <c r="G90" s="112" t="s">
        <v>1866</v>
      </c>
      <c r="H90" s="112" t="s">
        <v>1948</v>
      </c>
      <c r="I90" s="125">
        <v>1</v>
      </c>
      <c r="J90" s="111" t="s">
        <v>1698</v>
      </c>
      <c r="K90" s="111" t="s">
        <v>1698</v>
      </c>
      <c r="L90" s="126" t="s">
        <v>1968</v>
      </c>
      <c r="M90" s="126" t="s">
        <v>3972</v>
      </c>
      <c r="N90" s="126" t="s">
        <v>1689</v>
      </c>
      <c r="O90" s="124" t="s">
        <v>1998</v>
      </c>
      <c r="P90" s="111" t="s">
        <v>1366</v>
      </c>
      <c r="Q90" s="111" t="s">
        <v>1361</v>
      </c>
      <c r="R90" s="111"/>
      <c r="S90" s="111" t="s">
        <v>2210</v>
      </c>
      <c r="T90"/>
    </row>
    <row r="91" spans="1:20" ht="22" customHeight="1">
      <c r="A91" s="123" t="s">
        <v>4051</v>
      </c>
      <c r="B91" s="123" t="s">
        <v>3788</v>
      </c>
      <c r="C91" s="123" t="s">
        <v>1719</v>
      </c>
      <c r="D91" s="123" t="s">
        <v>2065</v>
      </c>
      <c r="E91" s="123" t="s">
        <v>2109</v>
      </c>
      <c r="F91" s="123" t="s">
        <v>1788</v>
      </c>
      <c r="G91" s="123" t="s">
        <v>1861</v>
      </c>
      <c r="H91" s="123" t="s">
        <v>1940</v>
      </c>
      <c r="I91" s="123">
        <v>4</v>
      </c>
      <c r="J91" s="123" t="s">
        <v>1698</v>
      </c>
      <c r="K91" s="123" t="s">
        <v>1698</v>
      </c>
      <c r="L91" s="123" t="s">
        <v>1967</v>
      </c>
      <c r="M91" s="123" t="s">
        <v>3783</v>
      </c>
      <c r="N91" s="123" t="s">
        <v>1689</v>
      </c>
      <c r="O91" s="123" t="s">
        <v>1999</v>
      </c>
      <c r="P91" s="123" t="s">
        <v>1366</v>
      </c>
      <c r="Q91" s="123" t="s">
        <v>1361</v>
      </c>
      <c r="R91" s="123"/>
      <c r="S91" s="123" t="s">
        <v>2228</v>
      </c>
      <c r="T91"/>
    </row>
    <row r="92" spans="1:20" ht="22" customHeight="1">
      <c r="A92" s="123" t="s">
        <v>4052</v>
      </c>
      <c r="B92" s="123" t="s">
        <v>2944</v>
      </c>
      <c r="C92" s="123" t="s">
        <v>1719</v>
      </c>
      <c r="D92" s="123" t="s">
        <v>2065</v>
      </c>
      <c r="E92" s="123" t="s">
        <v>2179</v>
      </c>
      <c r="F92" s="123" t="s">
        <v>1783</v>
      </c>
      <c r="G92" s="123" t="s">
        <v>1856</v>
      </c>
      <c r="H92" s="123" t="s">
        <v>1935</v>
      </c>
      <c r="I92" s="123">
        <v>1</v>
      </c>
      <c r="J92" s="123" t="s">
        <v>1698</v>
      </c>
      <c r="K92" s="123" t="s">
        <v>1698</v>
      </c>
      <c r="L92" s="123" t="s">
        <v>1972</v>
      </c>
      <c r="M92" s="123" t="s">
        <v>1994</v>
      </c>
      <c r="N92" s="123" t="s">
        <v>1689</v>
      </c>
      <c r="O92" s="123" t="s">
        <v>2002</v>
      </c>
      <c r="P92" s="123" t="s">
        <v>1366</v>
      </c>
      <c r="Q92" s="123" t="s">
        <v>1361</v>
      </c>
      <c r="R92" s="123"/>
      <c r="S92" s="123" t="s">
        <v>2307</v>
      </c>
      <c r="T92"/>
    </row>
    <row r="93" spans="1:20" ht="22" customHeight="1">
      <c r="A93" s="123" t="s">
        <v>4053</v>
      </c>
      <c r="B93" s="123" t="s">
        <v>2940</v>
      </c>
      <c r="C93" s="123" t="s">
        <v>1719</v>
      </c>
      <c r="D93" s="123" t="s">
        <v>2065</v>
      </c>
      <c r="E93" s="123" t="s">
        <v>4054</v>
      </c>
      <c r="F93" s="123" t="s">
        <v>4055</v>
      </c>
      <c r="G93" s="123" t="s">
        <v>4056</v>
      </c>
      <c r="H93" s="123" t="s">
        <v>2982</v>
      </c>
      <c r="I93" s="123">
        <v>1</v>
      </c>
      <c r="J93" s="123" t="s">
        <v>1698</v>
      </c>
      <c r="K93" s="123" t="s">
        <v>1698</v>
      </c>
      <c r="L93" s="123" t="s">
        <v>1963</v>
      </c>
      <c r="M93" s="123" t="s">
        <v>4057</v>
      </c>
      <c r="N93" s="123" t="s">
        <v>1689</v>
      </c>
      <c r="O93" s="123" t="s">
        <v>2000</v>
      </c>
      <c r="P93" s="123" t="s">
        <v>1366</v>
      </c>
      <c r="Q93" s="123" t="s">
        <v>1361</v>
      </c>
      <c r="R93" s="123"/>
      <c r="S93" s="123" t="s">
        <v>4058</v>
      </c>
      <c r="T93"/>
    </row>
    <row r="94" spans="1:20" ht="22" customHeight="1">
      <c r="A94" s="123" t="s">
        <v>4059</v>
      </c>
      <c r="B94" s="123" t="s">
        <v>2940</v>
      </c>
      <c r="C94" s="123" t="s">
        <v>1719</v>
      </c>
      <c r="D94" s="123" t="s">
        <v>2065</v>
      </c>
      <c r="E94" s="123" t="s">
        <v>4054</v>
      </c>
      <c r="F94" s="123" t="s">
        <v>4060</v>
      </c>
      <c r="G94" s="123" t="s">
        <v>4061</v>
      </c>
      <c r="H94" s="123" t="s">
        <v>2983</v>
      </c>
      <c r="I94" s="123">
        <v>1</v>
      </c>
      <c r="J94" s="123" t="s">
        <v>1698</v>
      </c>
      <c r="K94" s="123" t="s">
        <v>1698</v>
      </c>
      <c r="L94" s="123" t="s">
        <v>1966</v>
      </c>
      <c r="M94" s="123" t="s">
        <v>4062</v>
      </c>
      <c r="N94" s="123" t="s">
        <v>1689</v>
      </c>
      <c r="O94" s="123" t="s">
        <v>2000</v>
      </c>
      <c r="P94" s="123" t="s">
        <v>1366</v>
      </c>
      <c r="Q94" s="123" t="s">
        <v>1361</v>
      </c>
      <c r="R94" s="123"/>
      <c r="S94" s="123" t="s">
        <v>4058</v>
      </c>
      <c r="T94"/>
    </row>
    <row r="95" spans="1:20" ht="22" customHeight="1">
      <c r="A95" s="111" t="s">
        <v>4063</v>
      </c>
      <c r="B95" s="111" t="s">
        <v>2940</v>
      </c>
      <c r="C95" s="124" t="s">
        <v>1719</v>
      </c>
      <c r="D95" s="112" t="s">
        <v>2065</v>
      </c>
      <c r="E95" s="112" t="s">
        <v>4054</v>
      </c>
      <c r="F95" s="112" t="s">
        <v>4064</v>
      </c>
      <c r="G95" s="112" t="s">
        <v>4065</v>
      </c>
      <c r="H95" s="112" t="s">
        <v>2984</v>
      </c>
      <c r="I95" s="125">
        <v>1</v>
      </c>
      <c r="J95" s="111" t="s">
        <v>1698</v>
      </c>
      <c r="K95" s="111" t="s">
        <v>1698</v>
      </c>
      <c r="L95" s="126" t="s">
        <v>1963</v>
      </c>
      <c r="M95" s="126" t="s">
        <v>4066</v>
      </c>
      <c r="N95" s="126" t="s">
        <v>1689</v>
      </c>
      <c r="O95" s="124" t="s">
        <v>2000</v>
      </c>
      <c r="P95" s="111" t="s">
        <v>1366</v>
      </c>
      <c r="Q95" s="111" t="s">
        <v>1361</v>
      </c>
      <c r="R95" s="111"/>
      <c r="S95" s="111" t="s">
        <v>4058</v>
      </c>
      <c r="T95"/>
    </row>
    <row r="96" spans="1:20" ht="22" customHeight="1">
      <c r="A96" s="111" t="s">
        <v>4067</v>
      </c>
      <c r="B96" s="111" t="s">
        <v>2948</v>
      </c>
      <c r="C96" s="124" t="s">
        <v>1718</v>
      </c>
      <c r="D96" s="112" t="s">
        <v>2065</v>
      </c>
      <c r="E96" s="112" t="s">
        <v>2095</v>
      </c>
      <c r="F96" s="112" t="s">
        <v>4068</v>
      </c>
      <c r="G96" s="112" t="s">
        <v>4069</v>
      </c>
      <c r="H96" s="112" t="s">
        <v>4070</v>
      </c>
      <c r="I96" s="125">
        <v>1.5</v>
      </c>
      <c r="J96" s="111" t="s">
        <v>1698</v>
      </c>
      <c r="K96" s="111" t="s">
        <v>1698</v>
      </c>
      <c r="L96" s="126" t="s">
        <v>1966</v>
      </c>
      <c r="M96" s="126" t="s">
        <v>4071</v>
      </c>
      <c r="N96" s="126" t="s">
        <v>1689</v>
      </c>
      <c r="O96" s="124" t="s">
        <v>2002</v>
      </c>
      <c r="P96" s="111" t="s">
        <v>1366</v>
      </c>
      <c r="Q96" s="111" t="s">
        <v>1361</v>
      </c>
      <c r="R96" s="111"/>
      <c r="S96" s="111" t="s">
        <v>2217</v>
      </c>
      <c r="T96"/>
    </row>
    <row r="97" spans="1:25" ht="22" customHeight="1">
      <c r="A97" s="111" t="s">
        <v>4072</v>
      </c>
      <c r="B97" s="111" t="s">
        <v>2938</v>
      </c>
      <c r="C97" s="124" t="s">
        <v>1719</v>
      </c>
      <c r="D97" s="112" t="s">
        <v>2056</v>
      </c>
      <c r="E97" s="112" t="s">
        <v>2118</v>
      </c>
      <c r="F97" s="112" t="s">
        <v>1759</v>
      </c>
      <c r="G97" s="112" t="s">
        <v>1839</v>
      </c>
      <c r="H97" s="112" t="s">
        <v>1914</v>
      </c>
      <c r="I97" s="125">
        <v>4</v>
      </c>
      <c r="J97" s="111" t="s">
        <v>1698</v>
      </c>
      <c r="K97" s="111" t="s">
        <v>1701</v>
      </c>
      <c r="L97" s="126" t="s">
        <v>1973</v>
      </c>
      <c r="M97" s="126" t="s">
        <v>1989</v>
      </c>
      <c r="N97" s="126" t="s">
        <v>1689</v>
      </c>
      <c r="O97" s="124" t="s">
        <v>2001</v>
      </c>
      <c r="P97" s="111" t="s">
        <v>1366</v>
      </c>
      <c r="Q97" s="111" t="s">
        <v>1361</v>
      </c>
      <c r="R97" s="111"/>
      <c r="S97" s="111" t="s">
        <v>2237</v>
      </c>
      <c r="T97"/>
    </row>
    <row r="98" spans="1:25" ht="22" customHeight="1">
      <c r="A98" s="123" t="s">
        <v>4073</v>
      </c>
      <c r="B98" s="123" t="s">
        <v>2945</v>
      </c>
      <c r="C98" s="123" t="s">
        <v>1715</v>
      </c>
      <c r="D98" s="123" t="s">
        <v>2056</v>
      </c>
      <c r="E98" s="123" t="s">
        <v>2081</v>
      </c>
      <c r="F98" s="123" t="s">
        <v>1720</v>
      </c>
      <c r="G98" s="123" t="s">
        <v>4074</v>
      </c>
      <c r="H98" s="123" t="s">
        <v>1878</v>
      </c>
      <c r="I98" s="123">
        <v>1</v>
      </c>
      <c r="J98" s="123" t="s">
        <v>1698</v>
      </c>
      <c r="K98" s="123" t="s">
        <v>1698</v>
      </c>
      <c r="L98" s="123" t="s">
        <v>1963</v>
      </c>
      <c r="M98" s="123" t="s">
        <v>1976</v>
      </c>
      <c r="N98" s="123" t="s">
        <v>1689</v>
      </c>
      <c r="O98" s="123" t="s">
        <v>1998</v>
      </c>
      <c r="P98" s="123" t="s">
        <v>1366</v>
      </c>
      <c r="Q98" s="123" t="s">
        <v>1361</v>
      </c>
      <c r="R98" s="123"/>
      <c r="S98" s="123" t="s">
        <v>2196</v>
      </c>
      <c r="T98"/>
    </row>
    <row r="99" spans="1:25" ht="22" customHeight="1">
      <c r="A99" s="111" t="s">
        <v>4075</v>
      </c>
      <c r="B99" s="111" t="s">
        <v>2938</v>
      </c>
      <c r="C99" s="124" t="s">
        <v>1719</v>
      </c>
      <c r="D99" s="112" t="s">
        <v>2056</v>
      </c>
      <c r="E99" s="112" t="s">
        <v>2081</v>
      </c>
      <c r="F99" s="112" t="s">
        <v>1760</v>
      </c>
      <c r="G99" s="112" t="s">
        <v>1598</v>
      </c>
      <c r="H99" s="112" t="s">
        <v>1915</v>
      </c>
      <c r="I99" s="125">
        <v>4</v>
      </c>
      <c r="J99" s="111" t="s">
        <v>1698</v>
      </c>
      <c r="K99" s="111" t="s">
        <v>1698</v>
      </c>
      <c r="L99" s="126" t="s">
        <v>1973</v>
      </c>
      <c r="M99" s="126" t="s">
        <v>1987</v>
      </c>
      <c r="N99" s="126" t="s">
        <v>1689</v>
      </c>
      <c r="O99" s="124" t="s">
        <v>2001</v>
      </c>
      <c r="P99" s="111" t="s">
        <v>1366</v>
      </c>
      <c r="Q99" s="111" t="s">
        <v>1361</v>
      </c>
      <c r="R99" s="111"/>
      <c r="S99" s="111" t="s">
        <v>2196</v>
      </c>
      <c r="T99"/>
    </row>
    <row r="100" spans="1:25" ht="22" customHeight="1">
      <c r="A100" s="111" t="s">
        <v>4076</v>
      </c>
      <c r="B100" s="111" t="s">
        <v>2946</v>
      </c>
      <c r="C100" s="124" t="s">
        <v>1719</v>
      </c>
      <c r="D100" s="112" t="s">
        <v>2056</v>
      </c>
      <c r="E100" s="112" t="s">
        <v>2081</v>
      </c>
      <c r="F100" s="112" t="s">
        <v>4077</v>
      </c>
      <c r="G100" s="112" t="s">
        <v>4078</v>
      </c>
      <c r="H100" s="112" t="s">
        <v>2985</v>
      </c>
      <c r="I100" s="125">
        <v>1.5</v>
      </c>
      <c r="J100" s="111" t="s">
        <v>1698</v>
      </c>
      <c r="K100" s="111" t="s">
        <v>1698</v>
      </c>
      <c r="L100" s="126" t="s">
        <v>1972</v>
      </c>
      <c r="M100" s="126" t="s">
        <v>4079</v>
      </c>
      <c r="N100" s="126" t="s">
        <v>1689</v>
      </c>
      <c r="O100" s="124" t="s">
        <v>2002</v>
      </c>
      <c r="P100" s="111" t="s">
        <v>1366</v>
      </c>
      <c r="Q100" s="111" t="s">
        <v>1361</v>
      </c>
      <c r="R100" s="111"/>
      <c r="S100" s="111" t="s">
        <v>2196</v>
      </c>
      <c r="T100"/>
    </row>
    <row r="101" spans="1:25" ht="22" customHeight="1">
      <c r="A101" s="111" t="s">
        <v>4080</v>
      </c>
      <c r="B101" s="111" t="s">
        <v>2947</v>
      </c>
      <c r="C101" s="124" t="s">
        <v>1716</v>
      </c>
      <c r="D101" s="112" t="s">
        <v>2056</v>
      </c>
      <c r="E101" s="112" t="s">
        <v>2099</v>
      </c>
      <c r="F101" s="112" t="s">
        <v>1733</v>
      </c>
      <c r="G101" s="112" t="s">
        <v>4081</v>
      </c>
      <c r="H101" s="112" t="s">
        <v>1891</v>
      </c>
      <c r="I101" s="125">
        <v>1</v>
      </c>
      <c r="J101" s="111" t="s">
        <v>1698</v>
      </c>
      <c r="K101" s="111" t="s">
        <v>1698</v>
      </c>
      <c r="L101" s="126" t="s">
        <v>1963</v>
      </c>
      <c r="M101" s="126" t="s">
        <v>1982</v>
      </c>
      <c r="N101" s="126" t="s">
        <v>1689</v>
      </c>
      <c r="O101" s="124" t="s">
        <v>1998</v>
      </c>
      <c r="P101" s="111" t="s">
        <v>1366</v>
      </c>
      <c r="Q101" s="111" t="s">
        <v>1361</v>
      </c>
      <c r="R101" s="111"/>
      <c r="S101" s="111" t="s">
        <v>2220</v>
      </c>
      <c r="T101"/>
    </row>
    <row r="102" spans="1:25" ht="22" customHeight="1">
      <c r="A102" s="111" t="s">
        <v>4082</v>
      </c>
      <c r="B102" s="111" t="s">
        <v>2947</v>
      </c>
      <c r="C102" s="124" t="s">
        <v>1716</v>
      </c>
      <c r="D102" s="112" t="s">
        <v>2056</v>
      </c>
      <c r="E102" s="112" t="s">
        <v>2099</v>
      </c>
      <c r="F102" s="112" t="s">
        <v>1735</v>
      </c>
      <c r="G102" s="112" t="s">
        <v>4081</v>
      </c>
      <c r="H102" s="112" t="s">
        <v>1891</v>
      </c>
      <c r="I102" s="125">
        <v>1</v>
      </c>
      <c r="J102" s="111" t="s">
        <v>1698</v>
      </c>
      <c r="K102" s="111" t="s">
        <v>1698</v>
      </c>
      <c r="L102" s="126" t="s">
        <v>1963</v>
      </c>
      <c r="M102" s="126" t="s">
        <v>1982</v>
      </c>
      <c r="N102" s="126" t="s">
        <v>1689</v>
      </c>
      <c r="O102" s="124" t="s">
        <v>1998</v>
      </c>
      <c r="P102" s="111" t="s">
        <v>1366</v>
      </c>
      <c r="Q102" s="111" t="s">
        <v>1361</v>
      </c>
      <c r="R102" s="111"/>
      <c r="S102" s="111" t="s">
        <v>2220</v>
      </c>
      <c r="T102"/>
    </row>
    <row r="103" spans="1:25" ht="22" customHeight="1">
      <c r="A103" s="111" t="s">
        <v>4083</v>
      </c>
      <c r="B103" s="111" t="s">
        <v>2947</v>
      </c>
      <c r="C103" s="124" t="s">
        <v>1716</v>
      </c>
      <c r="D103" s="112" t="s">
        <v>2056</v>
      </c>
      <c r="E103" s="112" t="s">
        <v>2099</v>
      </c>
      <c r="F103" s="112" t="s">
        <v>1736</v>
      </c>
      <c r="G103" s="112" t="s">
        <v>4081</v>
      </c>
      <c r="H103" s="112" t="s">
        <v>1891</v>
      </c>
      <c r="I103" s="125">
        <v>1</v>
      </c>
      <c r="J103" s="111" t="s">
        <v>1698</v>
      </c>
      <c r="K103" s="111" t="s">
        <v>1698</v>
      </c>
      <c r="L103" s="126" t="s">
        <v>1963</v>
      </c>
      <c r="M103" s="126" t="s">
        <v>1982</v>
      </c>
      <c r="N103" s="126" t="s">
        <v>1689</v>
      </c>
      <c r="O103" s="124" t="s">
        <v>1998</v>
      </c>
      <c r="P103" s="111" t="s">
        <v>1366</v>
      </c>
      <c r="Q103" s="111" t="s">
        <v>1361</v>
      </c>
      <c r="R103" s="111"/>
      <c r="S103" s="111" t="s">
        <v>2220</v>
      </c>
      <c r="T103"/>
    </row>
    <row r="104" spans="1:25" ht="22" customHeight="1">
      <c r="A104" s="111" t="s">
        <v>4084</v>
      </c>
      <c r="B104" s="111" t="s">
        <v>2947</v>
      </c>
      <c r="C104" s="124" t="s">
        <v>1716</v>
      </c>
      <c r="D104" s="112" t="s">
        <v>2056</v>
      </c>
      <c r="E104" s="112" t="s">
        <v>2113</v>
      </c>
      <c r="F104" s="112" t="s">
        <v>1732</v>
      </c>
      <c r="G104" s="112" t="s">
        <v>1818</v>
      </c>
      <c r="H104" s="112" t="s">
        <v>1890</v>
      </c>
      <c r="I104" s="125">
        <v>4</v>
      </c>
      <c r="J104" s="111" t="s">
        <v>1698</v>
      </c>
      <c r="K104" s="111" t="s">
        <v>1698</v>
      </c>
      <c r="L104" s="126" t="s">
        <v>1963</v>
      </c>
      <c r="M104" s="126" t="s">
        <v>1982</v>
      </c>
      <c r="N104" s="126" t="s">
        <v>1689</v>
      </c>
      <c r="O104" s="124" t="s">
        <v>2001</v>
      </c>
      <c r="P104" s="111" t="s">
        <v>1366</v>
      </c>
      <c r="Q104" s="111" t="s">
        <v>1361</v>
      </c>
      <c r="R104" s="111"/>
      <c r="S104" s="111" t="s">
        <v>2232</v>
      </c>
      <c r="T104"/>
    </row>
    <row r="105" spans="1:25" ht="22" customHeight="1">
      <c r="A105" s="111" t="s">
        <v>4085</v>
      </c>
      <c r="B105" s="111" t="s">
        <v>2937</v>
      </c>
      <c r="C105" s="124" t="s">
        <v>1716</v>
      </c>
      <c r="D105" s="112" t="s">
        <v>2067</v>
      </c>
      <c r="E105" s="112" t="s">
        <v>2093</v>
      </c>
      <c r="F105" s="112" t="s">
        <v>1724</v>
      </c>
      <c r="G105" s="112" t="s">
        <v>1810</v>
      </c>
      <c r="H105" s="112" t="s">
        <v>1882</v>
      </c>
      <c r="I105" s="125">
        <v>0.5</v>
      </c>
      <c r="J105" s="111" t="s">
        <v>1698</v>
      </c>
      <c r="K105" s="111" t="s">
        <v>1698</v>
      </c>
      <c r="L105" s="126" t="s">
        <v>1963</v>
      </c>
      <c r="M105" s="126" t="s">
        <v>4086</v>
      </c>
      <c r="N105" s="126" t="s">
        <v>1689</v>
      </c>
      <c r="O105" s="124" t="s">
        <v>2000</v>
      </c>
      <c r="P105" s="111" t="s">
        <v>1366</v>
      </c>
      <c r="Q105" s="111" t="s">
        <v>1361</v>
      </c>
      <c r="R105" s="111"/>
      <c r="S105" s="111" t="s">
        <v>2215</v>
      </c>
      <c r="T105"/>
    </row>
    <row r="106" spans="1:25" ht="22" customHeight="1">
      <c r="A106" s="111" t="s">
        <v>4087</v>
      </c>
      <c r="B106" s="111" t="s">
        <v>2937</v>
      </c>
      <c r="C106" s="124" t="s">
        <v>1716</v>
      </c>
      <c r="D106" s="112" t="s">
        <v>2067</v>
      </c>
      <c r="E106" s="112" t="s">
        <v>2093</v>
      </c>
      <c r="F106" s="112" t="s">
        <v>1725</v>
      </c>
      <c r="G106" s="112" t="s">
        <v>1811</v>
      </c>
      <c r="H106" s="112" t="s">
        <v>1883</v>
      </c>
      <c r="I106" s="125">
        <v>2</v>
      </c>
      <c r="J106" s="111" t="s">
        <v>1698</v>
      </c>
      <c r="K106" s="111" t="s">
        <v>1698</v>
      </c>
      <c r="L106" s="126" t="s">
        <v>1963</v>
      </c>
      <c r="M106" s="126" t="s">
        <v>4086</v>
      </c>
      <c r="N106" s="126" t="s">
        <v>1689</v>
      </c>
      <c r="O106" s="124" t="s">
        <v>2000</v>
      </c>
      <c r="P106" s="111" t="s">
        <v>4085</v>
      </c>
      <c r="Q106" s="111" t="s">
        <v>1361</v>
      </c>
      <c r="R106" s="111"/>
      <c r="S106" s="111" t="s">
        <v>2215</v>
      </c>
      <c r="T106"/>
      <c r="U106" s="103"/>
      <c r="V106" s="103"/>
      <c r="W106" s="103"/>
      <c r="X106" s="105"/>
      <c r="Y106" s="106"/>
    </row>
    <row r="107" spans="1:25" ht="22" customHeight="1">
      <c r="A107" s="111" t="s">
        <v>4088</v>
      </c>
      <c r="B107" s="111" t="s">
        <v>2937</v>
      </c>
      <c r="C107" s="124" t="s">
        <v>1716</v>
      </c>
      <c r="D107" s="112" t="s">
        <v>2067</v>
      </c>
      <c r="E107" s="112" t="s">
        <v>2093</v>
      </c>
      <c r="F107" s="112" t="s">
        <v>1726</v>
      </c>
      <c r="G107" s="112" t="s">
        <v>1812</v>
      </c>
      <c r="H107" s="112" t="s">
        <v>1884</v>
      </c>
      <c r="I107" s="125">
        <v>1</v>
      </c>
      <c r="J107" s="111" t="s">
        <v>1698</v>
      </c>
      <c r="K107" s="111" t="s">
        <v>1698</v>
      </c>
      <c r="L107" s="126" t="s">
        <v>1963</v>
      </c>
      <c r="M107" s="126" t="s">
        <v>4086</v>
      </c>
      <c r="N107" s="126" t="s">
        <v>1689</v>
      </c>
      <c r="O107" s="124" t="s">
        <v>2000</v>
      </c>
      <c r="P107" s="111" t="s">
        <v>4087</v>
      </c>
      <c r="Q107" s="111" t="s">
        <v>1361</v>
      </c>
      <c r="R107" s="111"/>
      <c r="S107" s="111" t="s">
        <v>2215</v>
      </c>
      <c r="T107"/>
      <c r="U107" s="103"/>
      <c r="V107" s="103"/>
      <c r="W107" s="103"/>
      <c r="X107" s="105"/>
      <c r="Y107" s="106"/>
    </row>
    <row r="108" spans="1:25" ht="22" customHeight="1">
      <c r="A108" s="111" t="s">
        <v>4089</v>
      </c>
      <c r="B108" s="111" t="s">
        <v>2937</v>
      </c>
      <c r="C108" s="124" t="s">
        <v>1716</v>
      </c>
      <c r="D108" s="112" t="s">
        <v>2067</v>
      </c>
      <c r="E108" s="112" t="s">
        <v>2093</v>
      </c>
      <c r="F108" s="112" t="s">
        <v>1727</v>
      </c>
      <c r="G108" s="112" t="s">
        <v>1813</v>
      </c>
      <c r="H108" s="112" t="s">
        <v>1885</v>
      </c>
      <c r="I108" s="125">
        <v>3</v>
      </c>
      <c r="J108" s="111" t="s">
        <v>1698</v>
      </c>
      <c r="K108" s="111" t="s">
        <v>1698</v>
      </c>
      <c r="L108" s="126" t="s">
        <v>1963</v>
      </c>
      <c r="M108" s="126" t="s">
        <v>4086</v>
      </c>
      <c r="N108" s="126" t="s">
        <v>1689</v>
      </c>
      <c r="O108" s="124" t="s">
        <v>2000</v>
      </c>
      <c r="P108" s="111" t="s">
        <v>4088</v>
      </c>
      <c r="Q108" s="111" t="s">
        <v>1361</v>
      </c>
      <c r="R108" s="111"/>
      <c r="S108" s="111" t="s">
        <v>2215</v>
      </c>
      <c r="T108"/>
      <c r="U108" s="107"/>
      <c r="V108" s="107"/>
      <c r="W108" s="107"/>
      <c r="X108" s="108"/>
      <c r="Y108" s="106"/>
    </row>
    <row r="109" spans="1:25" ht="22" customHeight="1">
      <c r="A109" s="111" t="s">
        <v>4090</v>
      </c>
      <c r="B109" s="111" t="s">
        <v>2941</v>
      </c>
      <c r="C109" s="124" t="s">
        <v>1718</v>
      </c>
      <c r="D109" s="112" t="s">
        <v>2067</v>
      </c>
      <c r="E109" s="112" t="s">
        <v>2093</v>
      </c>
      <c r="F109" s="112" t="s">
        <v>1741</v>
      </c>
      <c r="G109" s="112" t="s">
        <v>1823</v>
      </c>
      <c r="H109" s="112" t="s">
        <v>1896</v>
      </c>
      <c r="I109" s="125">
        <v>0.5</v>
      </c>
      <c r="J109" s="111" t="s">
        <v>1698</v>
      </c>
      <c r="K109" s="111" t="s">
        <v>1698</v>
      </c>
      <c r="L109" s="126" t="s">
        <v>1972</v>
      </c>
      <c r="M109" s="126" t="s">
        <v>4086</v>
      </c>
      <c r="N109" s="126" t="s">
        <v>1689</v>
      </c>
      <c r="O109" s="124" t="s">
        <v>2002</v>
      </c>
      <c r="P109" s="111" t="s">
        <v>1366</v>
      </c>
      <c r="Q109" s="111" t="s">
        <v>1361</v>
      </c>
      <c r="R109" s="111"/>
      <c r="S109" s="111" t="s">
        <v>2215</v>
      </c>
      <c r="T109"/>
      <c r="U109" s="104"/>
      <c r="V109" s="104"/>
      <c r="W109" s="104"/>
      <c r="X109" s="104"/>
      <c r="Y109" s="104"/>
    </row>
    <row r="110" spans="1:25" ht="22" customHeight="1">
      <c r="A110" s="111" t="s">
        <v>4091</v>
      </c>
      <c r="B110" s="111" t="s">
        <v>2941</v>
      </c>
      <c r="C110" s="124" t="s">
        <v>1718</v>
      </c>
      <c r="D110" s="112" t="s">
        <v>2067</v>
      </c>
      <c r="E110" s="112" t="s">
        <v>2093</v>
      </c>
      <c r="F110" s="112" t="s">
        <v>1742</v>
      </c>
      <c r="G110" s="112" t="s">
        <v>1824</v>
      </c>
      <c r="H110" s="112" t="s">
        <v>1897</v>
      </c>
      <c r="I110" s="125">
        <v>2.5</v>
      </c>
      <c r="J110" s="111" t="s">
        <v>1698</v>
      </c>
      <c r="K110" s="111" t="s">
        <v>1698</v>
      </c>
      <c r="L110" s="126" t="s">
        <v>1972</v>
      </c>
      <c r="M110" s="126" t="s">
        <v>4086</v>
      </c>
      <c r="N110" s="126" t="s">
        <v>1689</v>
      </c>
      <c r="O110" s="124" t="s">
        <v>2002</v>
      </c>
      <c r="P110" s="111" t="s">
        <v>4087</v>
      </c>
      <c r="Q110" s="111" t="s">
        <v>1361</v>
      </c>
      <c r="R110" s="111"/>
      <c r="S110" s="111" t="s">
        <v>2215</v>
      </c>
      <c r="T110"/>
      <c r="U110" s="104"/>
      <c r="V110" s="104"/>
      <c r="W110" s="104"/>
      <c r="X110" s="104"/>
      <c r="Y110" s="104"/>
    </row>
    <row r="111" spans="1:25" ht="22" customHeight="1">
      <c r="A111" s="111" t="s">
        <v>4092</v>
      </c>
      <c r="B111" s="111" t="s">
        <v>2941</v>
      </c>
      <c r="C111" s="124" t="s">
        <v>1718</v>
      </c>
      <c r="D111" s="112" t="s">
        <v>2067</v>
      </c>
      <c r="E111" s="112" t="s">
        <v>2093</v>
      </c>
      <c r="F111" s="112" t="s">
        <v>1744</v>
      </c>
      <c r="G111" s="112" t="s">
        <v>1826</v>
      </c>
      <c r="H111" s="112" t="s">
        <v>1899</v>
      </c>
      <c r="I111" s="125">
        <v>2</v>
      </c>
      <c r="J111" s="111" t="s">
        <v>1698</v>
      </c>
      <c r="K111" s="111" t="s">
        <v>1698</v>
      </c>
      <c r="L111" s="126" t="s">
        <v>1972</v>
      </c>
      <c r="M111" s="126" t="s">
        <v>4086</v>
      </c>
      <c r="N111" s="126" t="s">
        <v>1689</v>
      </c>
      <c r="O111" s="124" t="s">
        <v>2002</v>
      </c>
      <c r="P111" s="111" t="s">
        <v>1366</v>
      </c>
      <c r="Q111" s="111" t="s">
        <v>1361</v>
      </c>
      <c r="R111" s="111"/>
      <c r="S111" s="111" t="s">
        <v>2215</v>
      </c>
      <c r="T111"/>
      <c r="U111" s="104"/>
      <c r="V111" s="104"/>
      <c r="W111" s="104"/>
      <c r="X111" s="104"/>
      <c r="Y111" s="104"/>
    </row>
    <row r="112" spans="1:25" ht="22" customHeight="1">
      <c r="A112" s="111" t="s">
        <v>4093</v>
      </c>
      <c r="B112" s="111" t="s">
        <v>2941</v>
      </c>
      <c r="C112" s="124" t="s">
        <v>1718</v>
      </c>
      <c r="D112" s="112" t="s">
        <v>2067</v>
      </c>
      <c r="E112" s="112" t="s">
        <v>2127</v>
      </c>
      <c r="F112" s="112" t="s">
        <v>1743</v>
      </c>
      <c r="G112" s="112" t="s">
        <v>1825</v>
      </c>
      <c r="H112" s="112" t="s">
        <v>1898</v>
      </c>
      <c r="I112" s="125">
        <v>2</v>
      </c>
      <c r="J112" s="111" t="s">
        <v>1698</v>
      </c>
      <c r="K112" s="111" t="s">
        <v>1698</v>
      </c>
      <c r="L112" s="126" t="s">
        <v>1972</v>
      </c>
      <c r="M112" s="126" t="s">
        <v>1985</v>
      </c>
      <c r="N112" s="126" t="s">
        <v>1689</v>
      </c>
      <c r="O112" s="124" t="s">
        <v>2002</v>
      </c>
      <c r="P112" s="111" t="s">
        <v>4088</v>
      </c>
      <c r="Q112" s="111" t="s">
        <v>1361</v>
      </c>
      <c r="R112" s="111"/>
      <c r="S112" s="111" t="s">
        <v>2245</v>
      </c>
      <c r="T112"/>
      <c r="U112" s="104"/>
      <c r="V112" s="104"/>
      <c r="W112" s="104"/>
      <c r="X112" s="104"/>
      <c r="Y112" s="104"/>
    </row>
    <row r="113" spans="1:25" ht="22" customHeight="1">
      <c r="A113" s="111" t="s">
        <v>4094</v>
      </c>
      <c r="B113" s="111" t="s">
        <v>2948</v>
      </c>
      <c r="C113" s="124" t="s">
        <v>1717</v>
      </c>
      <c r="D113" s="112" t="s">
        <v>2067</v>
      </c>
      <c r="E113" s="112" t="s">
        <v>2187</v>
      </c>
      <c r="F113" s="112" t="s">
        <v>1795</v>
      </c>
      <c r="G113" s="112" t="s">
        <v>1868</v>
      </c>
      <c r="H113" s="112" t="s">
        <v>1950</v>
      </c>
      <c r="I113" s="125">
        <v>1</v>
      </c>
      <c r="J113" s="111" t="s">
        <v>1698</v>
      </c>
      <c r="K113" s="111" t="s">
        <v>1698</v>
      </c>
      <c r="L113" s="126" t="s">
        <v>1971</v>
      </c>
      <c r="M113" s="126" t="s">
        <v>1996</v>
      </c>
      <c r="N113" s="126" t="s">
        <v>1689</v>
      </c>
      <c r="O113" s="124" t="s">
        <v>2002</v>
      </c>
      <c r="P113" s="111" t="s">
        <v>4087</v>
      </c>
      <c r="Q113" s="111" t="s">
        <v>1361</v>
      </c>
      <c r="R113" s="111"/>
      <c r="S113" s="111" t="s">
        <v>2315</v>
      </c>
      <c r="T113"/>
      <c r="U113" s="104"/>
      <c r="V113" s="104"/>
      <c r="W113" s="104"/>
      <c r="X113" s="104"/>
      <c r="Y113" s="104"/>
    </row>
    <row r="114" spans="1:25" ht="22" customHeight="1">
      <c r="A114" s="111" t="s">
        <v>4095</v>
      </c>
      <c r="B114" s="111" t="s">
        <v>2947</v>
      </c>
      <c r="C114" s="124" t="s">
        <v>1716</v>
      </c>
      <c r="D114" s="112" t="s">
        <v>2063</v>
      </c>
      <c r="E114" s="112" t="s">
        <v>2085</v>
      </c>
      <c r="F114" s="112" t="s">
        <v>1734</v>
      </c>
      <c r="G114" s="112" t="s">
        <v>4081</v>
      </c>
      <c r="H114" s="112" t="s">
        <v>1891</v>
      </c>
      <c r="I114" s="125">
        <v>1</v>
      </c>
      <c r="J114" s="111" t="s">
        <v>1698</v>
      </c>
      <c r="K114" s="111" t="s">
        <v>1698</v>
      </c>
      <c r="L114" s="126" t="s">
        <v>1963</v>
      </c>
      <c r="M114" s="126" t="s">
        <v>1982</v>
      </c>
      <c r="N114" s="126" t="s">
        <v>1689</v>
      </c>
      <c r="O114" s="124" t="s">
        <v>1998</v>
      </c>
      <c r="P114" s="111" t="s">
        <v>1366</v>
      </c>
      <c r="Q114" s="111" t="s">
        <v>1361</v>
      </c>
      <c r="R114" s="111"/>
      <c r="S114" s="111" t="s">
        <v>2204</v>
      </c>
      <c r="T114"/>
      <c r="U114" s="104"/>
      <c r="V114" s="104"/>
      <c r="W114" s="104"/>
      <c r="X114" s="104"/>
      <c r="Y114" s="104"/>
    </row>
    <row r="115" spans="1:25" ht="22" customHeight="1">
      <c r="A115" s="111" t="s">
        <v>4096</v>
      </c>
      <c r="B115" s="111" t="s">
        <v>2942</v>
      </c>
      <c r="C115" s="124" t="s">
        <v>1719</v>
      </c>
      <c r="D115" s="112" t="s">
        <v>2063</v>
      </c>
      <c r="E115" s="112" t="s">
        <v>2085</v>
      </c>
      <c r="F115" s="112" t="s">
        <v>1779</v>
      </c>
      <c r="G115" s="112" t="s">
        <v>4097</v>
      </c>
      <c r="H115" s="112" t="s">
        <v>1931</v>
      </c>
      <c r="I115" s="125">
        <v>3</v>
      </c>
      <c r="J115" s="111" t="s">
        <v>1698</v>
      </c>
      <c r="K115" s="111" t="s">
        <v>1698</v>
      </c>
      <c r="L115" s="126" t="s">
        <v>1975</v>
      </c>
      <c r="M115" s="126" t="s">
        <v>1993</v>
      </c>
      <c r="N115" s="126" t="s">
        <v>1689</v>
      </c>
      <c r="O115" s="124" t="s">
        <v>2002</v>
      </c>
      <c r="P115" s="111" t="s">
        <v>1366</v>
      </c>
      <c r="Q115" s="111" t="s">
        <v>1361</v>
      </c>
      <c r="R115" s="111"/>
      <c r="S115" s="111" t="s">
        <v>2204</v>
      </c>
      <c r="T115"/>
      <c r="U115" s="104"/>
      <c r="V115" s="104"/>
      <c r="W115" s="104"/>
      <c r="X115" s="104"/>
      <c r="Y115" s="104"/>
    </row>
    <row r="116" spans="1:25" ht="22" customHeight="1">
      <c r="A116" s="111" t="s">
        <v>4098</v>
      </c>
      <c r="B116" s="111" t="s">
        <v>2947</v>
      </c>
      <c r="C116" s="124" t="s">
        <v>1716</v>
      </c>
      <c r="D116" s="112" t="s">
        <v>2063</v>
      </c>
      <c r="E116" s="112" t="s">
        <v>2116</v>
      </c>
      <c r="F116" s="112" t="s">
        <v>4099</v>
      </c>
      <c r="G116" s="112" t="s">
        <v>4081</v>
      </c>
      <c r="H116" s="112" t="s">
        <v>1891</v>
      </c>
      <c r="I116" s="125">
        <v>1</v>
      </c>
      <c r="J116" s="111" t="s">
        <v>1698</v>
      </c>
      <c r="K116" s="111" t="s">
        <v>1698</v>
      </c>
      <c r="L116" s="126" t="s">
        <v>1963</v>
      </c>
      <c r="M116" s="126" t="s">
        <v>1982</v>
      </c>
      <c r="N116" s="126" t="s">
        <v>1689</v>
      </c>
      <c r="O116" s="124" t="s">
        <v>1998</v>
      </c>
      <c r="P116" s="111" t="s">
        <v>1366</v>
      </c>
      <c r="Q116" s="111" t="s">
        <v>1361</v>
      </c>
      <c r="R116" s="111"/>
      <c r="S116" s="111" t="s">
        <v>2235</v>
      </c>
      <c r="T116"/>
      <c r="U116" s="104"/>
      <c r="V116" s="104"/>
      <c r="W116" s="104"/>
      <c r="X116" s="104"/>
      <c r="Y116" s="104"/>
    </row>
    <row r="117" spans="1:25" ht="22" customHeight="1">
      <c r="A117" s="111" t="s">
        <v>4100</v>
      </c>
      <c r="B117" s="111" t="s">
        <v>2935</v>
      </c>
      <c r="C117" s="124" t="s">
        <v>1719</v>
      </c>
      <c r="D117" s="112" t="s">
        <v>2063</v>
      </c>
      <c r="E117" s="112" t="s">
        <v>2116</v>
      </c>
      <c r="F117" s="112" t="s">
        <v>1776</v>
      </c>
      <c r="G117" s="112" t="s">
        <v>1852</v>
      </c>
      <c r="H117" s="112" t="s">
        <v>1928</v>
      </c>
      <c r="I117" s="125">
        <v>1</v>
      </c>
      <c r="J117" s="111" t="s">
        <v>1698</v>
      </c>
      <c r="K117" s="111" t="s">
        <v>1698</v>
      </c>
      <c r="L117" s="126" t="s">
        <v>1966</v>
      </c>
      <c r="M117" s="126" t="s">
        <v>1986</v>
      </c>
      <c r="N117" s="126" t="s">
        <v>1689</v>
      </c>
      <c r="O117" s="124" t="s">
        <v>2002</v>
      </c>
      <c r="P117" s="111" t="s">
        <v>1366</v>
      </c>
      <c r="Q117" s="111" t="s">
        <v>1361</v>
      </c>
      <c r="R117" s="111"/>
      <c r="S117" s="111" t="s">
        <v>2235</v>
      </c>
      <c r="T117"/>
    </row>
    <row r="118" spans="1:25" ht="22" customHeight="1">
      <c r="A118" s="111" t="s">
        <v>4101</v>
      </c>
      <c r="B118" s="111" t="s">
        <v>2938</v>
      </c>
      <c r="C118" s="124" t="s">
        <v>1719</v>
      </c>
      <c r="D118" s="112" t="s">
        <v>2063</v>
      </c>
      <c r="E118" s="112" t="s">
        <v>2116</v>
      </c>
      <c r="F118" s="112" t="s">
        <v>1762</v>
      </c>
      <c r="G118" s="112" t="s">
        <v>1841</v>
      </c>
      <c r="H118" s="112" t="s">
        <v>1917</v>
      </c>
      <c r="I118" s="125">
        <v>1</v>
      </c>
      <c r="J118" s="111" t="s">
        <v>1698</v>
      </c>
      <c r="K118" s="111" t="s">
        <v>1698</v>
      </c>
      <c r="L118" s="126" t="s">
        <v>1966</v>
      </c>
      <c r="M118" s="126" t="s">
        <v>1986</v>
      </c>
      <c r="N118" s="126" t="s">
        <v>1689</v>
      </c>
      <c r="O118" s="124" t="s">
        <v>2002</v>
      </c>
      <c r="P118" s="111" t="s">
        <v>1366</v>
      </c>
      <c r="Q118" s="111" t="s">
        <v>1361</v>
      </c>
      <c r="R118" s="111"/>
      <c r="S118" s="111" t="s">
        <v>2235</v>
      </c>
      <c r="T118"/>
    </row>
    <row r="119" spans="1:25" ht="22" customHeight="1">
      <c r="A119" s="111" t="s">
        <v>4102</v>
      </c>
      <c r="B119" s="111" t="s">
        <v>2937</v>
      </c>
      <c r="C119" s="124" t="s">
        <v>1716</v>
      </c>
      <c r="D119" s="112" t="s">
        <v>2063</v>
      </c>
      <c r="E119" s="112" t="s">
        <v>2139</v>
      </c>
      <c r="F119" s="112" t="s">
        <v>1728</v>
      </c>
      <c r="G119" s="112" t="s">
        <v>1814</v>
      </c>
      <c r="H119" s="112" t="s">
        <v>1886</v>
      </c>
      <c r="I119" s="125">
        <v>3</v>
      </c>
      <c r="J119" s="111" t="s">
        <v>1698</v>
      </c>
      <c r="K119" s="111" t="s">
        <v>1698</v>
      </c>
      <c r="L119" s="126" t="s">
        <v>1963</v>
      </c>
      <c r="M119" s="126" t="s">
        <v>1978</v>
      </c>
      <c r="N119" s="126" t="s">
        <v>1689</v>
      </c>
      <c r="O119" s="124" t="s">
        <v>2000</v>
      </c>
      <c r="P119" s="111" t="s">
        <v>1366</v>
      </c>
      <c r="Q119" s="111" t="s">
        <v>1361</v>
      </c>
      <c r="R119" s="111"/>
      <c r="S119" s="111" t="s">
        <v>2257</v>
      </c>
      <c r="T119"/>
    </row>
    <row r="120" spans="1:25" ht="22" customHeight="1">
      <c r="A120" s="111" t="s">
        <v>4103</v>
      </c>
      <c r="B120" s="111" t="s">
        <v>2944</v>
      </c>
      <c r="C120" s="124" t="s">
        <v>1719</v>
      </c>
      <c r="D120" s="112" t="s">
        <v>2064</v>
      </c>
      <c r="E120" s="112" t="s">
        <v>2177</v>
      </c>
      <c r="F120" s="112" t="s">
        <v>1780</v>
      </c>
      <c r="G120" s="112" t="s">
        <v>1853</v>
      </c>
      <c r="H120" s="112" t="s">
        <v>1932</v>
      </c>
      <c r="I120" s="125">
        <v>1</v>
      </c>
      <c r="J120" s="111" t="s">
        <v>1698</v>
      </c>
      <c r="K120" s="111" t="s">
        <v>1698</v>
      </c>
      <c r="L120" s="126" t="s">
        <v>1972</v>
      </c>
      <c r="M120" s="126" t="s">
        <v>1994</v>
      </c>
      <c r="N120" s="126" t="s">
        <v>1689</v>
      </c>
      <c r="O120" s="124" t="s">
        <v>2002</v>
      </c>
      <c r="P120" s="111" t="s">
        <v>1366</v>
      </c>
      <c r="Q120" s="111" t="s">
        <v>1361</v>
      </c>
      <c r="R120" s="111"/>
      <c r="S120" s="111" t="s">
        <v>2305</v>
      </c>
      <c r="T120"/>
    </row>
    <row r="121" spans="1:25" ht="22" customHeight="1">
      <c r="A121" s="111" t="s">
        <v>4104</v>
      </c>
      <c r="B121" s="111" t="s">
        <v>2944</v>
      </c>
      <c r="C121" s="124" t="s">
        <v>1719</v>
      </c>
      <c r="D121" s="112" t="s">
        <v>2064</v>
      </c>
      <c r="E121" s="112" t="s">
        <v>2177</v>
      </c>
      <c r="F121" s="112" t="s">
        <v>1781</v>
      </c>
      <c r="G121" s="112" t="s">
        <v>1854</v>
      </c>
      <c r="H121" s="112" t="s">
        <v>1933</v>
      </c>
      <c r="I121" s="125">
        <v>1</v>
      </c>
      <c r="J121" s="111" t="s">
        <v>1698</v>
      </c>
      <c r="K121" s="111" t="s">
        <v>1698</v>
      </c>
      <c r="L121" s="126" t="s">
        <v>1972</v>
      </c>
      <c r="M121" s="126" t="s">
        <v>1994</v>
      </c>
      <c r="N121" s="126" t="s">
        <v>1689</v>
      </c>
      <c r="O121" s="124" t="s">
        <v>2002</v>
      </c>
      <c r="P121" s="111" t="s">
        <v>1366</v>
      </c>
      <c r="Q121" s="111" t="s">
        <v>1361</v>
      </c>
      <c r="R121" s="111"/>
      <c r="S121" s="111" t="s">
        <v>2305</v>
      </c>
      <c r="T121"/>
    </row>
    <row r="122" spans="1:25" ht="22" customHeight="1">
      <c r="A122" s="123" t="s">
        <v>4105</v>
      </c>
      <c r="B122" s="123" t="s">
        <v>2944</v>
      </c>
      <c r="C122" s="123" t="s">
        <v>1719</v>
      </c>
      <c r="D122" s="123" t="s">
        <v>2064</v>
      </c>
      <c r="E122" s="123" t="s">
        <v>2177</v>
      </c>
      <c r="F122" s="123" t="s">
        <v>1782</v>
      </c>
      <c r="G122" s="123" t="s">
        <v>1855</v>
      </c>
      <c r="H122" s="123" t="s">
        <v>1934</v>
      </c>
      <c r="I122" s="123">
        <v>1</v>
      </c>
      <c r="J122" s="123" t="s">
        <v>1698</v>
      </c>
      <c r="K122" s="123" t="s">
        <v>1698</v>
      </c>
      <c r="L122" s="123" t="s">
        <v>1972</v>
      </c>
      <c r="M122" s="123" t="s">
        <v>1994</v>
      </c>
      <c r="N122" s="123" t="s">
        <v>1689</v>
      </c>
      <c r="O122" s="123" t="s">
        <v>2002</v>
      </c>
      <c r="P122" s="123" t="s">
        <v>1366</v>
      </c>
      <c r="Q122" s="123" t="s">
        <v>1361</v>
      </c>
      <c r="R122" s="123"/>
      <c r="S122" s="123" t="s">
        <v>2305</v>
      </c>
      <c r="T122"/>
    </row>
    <row r="123" spans="1:25" ht="22" customHeight="1">
      <c r="A123" s="123" t="s">
        <v>4106</v>
      </c>
      <c r="B123" s="123" t="s">
        <v>2946</v>
      </c>
      <c r="C123" s="123" t="s">
        <v>1719</v>
      </c>
      <c r="D123" s="123" t="s">
        <v>2064</v>
      </c>
      <c r="E123" s="123" t="s">
        <v>2129</v>
      </c>
      <c r="F123" s="123" t="s">
        <v>1745</v>
      </c>
      <c r="G123" s="123" t="s">
        <v>1827</v>
      </c>
      <c r="H123" s="123" t="s">
        <v>1900</v>
      </c>
      <c r="I123" s="123">
        <v>1</v>
      </c>
      <c r="J123" s="123" t="s">
        <v>1698</v>
      </c>
      <c r="K123" s="123" t="s">
        <v>1698</v>
      </c>
      <c r="L123" s="123" t="s">
        <v>1972</v>
      </c>
      <c r="M123" s="123" t="s">
        <v>1985</v>
      </c>
      <c r="N123" s="123" t="s">
        <v>1689</v>
      </c>
      <c r="O123" s="123" t="s">
        <v>2002</v>
      </c>
      <c r="P123" s="123" t="s">
        <v>1366</v>
      </c>
      <c r="Q123" s="123" t="s">
        <v>1361</v>
      </c>
      <c r="R123" s="123"/>
      <c r="S123" s="123" t="s">
        <v>2247</v>
      </c>
      <c r="T123"/>
    </row>
    <row r="124" spans="1:25" ht="22" customHeight="1">
      <c r="A124" s="111" t="s">
        <v>4107</v>
      </c>
      <c r="B124" s="111" t="s">
        <v>2941</v>
      </c>
      <c r="C124" s="124" t="s">
        <v>1718</v>
      </c>
      <c r="D124" s="112" t="s">
        <v>2064</v>
      </c>
      <c r="E124" s="112" t="s">
        <v>2122</v>
      </c>
      <c r="F124" s="112" t="s">
        <v>1738</v>
      </c>
      <c r="G124" s="112" t="s">
        <v>4108</v>
      </c>
      <c r="H124" s="112" t="s">
        <v>2986</v>
      </c>
      <c r="I124" s="125">
        <v>1.5</v>
      </c>
      <c r="J124" s="111" t="s">
        <v>1698</v>
      </c>
      <c r="K124" s="111" t="s">
        <v>1698</v>
      </c>
      <c r="L124" s="126" t="s">
        <v>1966</v>
      </c>
      <c r="M124" s="126" t="s">
        <v>4109</v>
      </c>
      <c r="N124" s="126" t="s">
        <v>1689</v>
      </c>
      <c r="O124" s="124" t="s">
        <v>2000</v>
      </c>
      <c r="P124" s="111" t="s">
        <v>1366</v>
      </c>
      <c r="Q124" s="111" t="s">
        <v>1361</v>
      </c>
      <c r="R124" s="111"/>
      <c r="S124" s="111" t="s">
        <v>2241</v>
      </c>
      <c r="T124"/>
    </row>
    <row r="125" spans="1:25" ht="22" customHeight="1">
      <c r="A125" s="111" t="s">
        <v>4110</v>
      </c>
      <c r="B125" s="111" t="s">
        <v>2941</v>
      </c>
      <c r="C125" s="124" t="s">
        <v>1718</v>
      </c>
      <c r="D125" s="112" t="s">
        <v>2064</v>
      </c>
      <c r="E125" s="112" t="s">
        <v>2122</v>
      </c>
      <c r="F125" s="112" t="s">
        <v>1739</v>
      </c>
      <c r="G125" s="112" t="s">
        <v>1821</v>
      </c>
      <c r="H125" s="112" t="s">
        <v>1894</v>
      </c>
      <c r="I125" s="125">
        <v>0.5</v>
      </c>
      <c r="J125" s="111" t="s">
        <v>1698</v>
      </c>
      <c r="K125" s="111" t="s">
        <v>1698</v>
      </c>
      <c r="L125" s="126" t="s">
        <v>1972</v>
      </c>
      <c r="M125" s="126" t="s">
        <v>1985</v>
      </c>
      <c r="N125" s="126" t="s">
        <v>1689</v>
      </c>
      <c r="O125" s="124" t="s">
        <v>2002</v>
      </c>
      <c r="P125" s="111" t="s">
        <v>1366</v>
      </c>
      <c r="Q125" s="111" t="s">
        <v>1361</v>
      </c>
      <c r="R125" s="111"/>
      <c r="S125" s="111" t="s">
        <v>2241</v>
      </c>
      <c r="T125"/>
    </row>
    <row r="126" spans="1:25" ht="22" customHeight="1">
      <c r="A126" s="111" t="s">
        <v>4111</v>
      </c>
      <c r="B126" s="111" t="s">
        <v>2941</v>
      </c>
      <c r="C126" s="124" t="s">
        <v>1718</v>
      </c>
      <c r="D126" s="112" t="s">
        <v>2064</v>
      </c>
      <c r="E126" s="112" t="s">
        <v>2124</v>
      </c>
      <c r="F126" s="112" t="s">
        <v>1740</v>
      </c>
      <c r="G126" s="112" t="s">
        <v>1822</v>
      </c>
      <c r="H126" s="112" t="s">
        <v>1895</v>
      </c>
      <c r="I126" s="125">
        <v>0.5</v>
      </c>
      <c r="J126" s="111" t="s">
        <v>1698</v>
      </c>
      <c r="K126" s="111" t="s">
        <v>1698</v>
      </c>
      <c r="L126" s="126" t="s">
        <v>1972</v>
      </c>
      <c r="M126" s="126" t="s">
        <v>1985</v>
      </c>
      <c r="N126" s="126" t="s">
        <v>1689</v>
      </c>
      <c r="O126" s="124" t="s">
        <v>2002</v>
      </c>
      <c r="P126" s="111" t="s">
        <v>1366</v>
      </c>
      <c r="Q126" s="111" t="s">
        <v>1361</v>
      </c>
      <c r="R126" s="111"/>
      <c r="S126" s="111" t="s">
        <v>2243</v>
      </c>
      <c r="T126"/>
    </row>
    <row r="127" spans="1:25" ht="22" customHeight="1">
      <c r="A127" s="111" t="s">
        <v>4112</v>
      </c>
      <c r="B127" s="111" t="s">
        <v>2947</v>
      </c>
      <c r="C127" s="124" t="s">
        <v>1716</v>
      </c>
      <c r="D127" s="112" t="s">
        <v>2064</v>
      </c>
      <c r="E127" s="112" t="s">
        <v>4113</v>
      </c>
      <c r="F127" s="112" t="s">
        <v>4114</v>
      </c>
      <c r="G127" s="112" t="s">
        <v>1819</v>
      </c>
      <c r="H127" s="112" t="s">
        <v>1892</v>
      </c>
      <c r="I127" s="125">
        <v>1</v>
      </c>
      <c r="J127" s="111" t="s">
        <v>1698</v>
      </c>
      <c r="K127" s="111" t="s">
        <v>1698</v>
      </c>
      <c r="L127" s="126" t="s">
        <v>1963</v>
      </c>
      <c r="M127" s="126" t="s">
        <v>1982</v>
      </c>
      <c r="N127" s="126" t="s">
        <v>1689</v>
      </c>
      <c r="O127" s="124" t="s">
        <v>1998</v>
      </c>
      <c r="P127" s="111" t="s">
        <v>1366</v>
      </c>
      <c r="Q127" s="111" t="s">
        <v>1361</v>
      </c>
      <c r="R127" s="111"/>
      <c r="S127" s="111" t="s">
        <v>2206</v>
      </c>
      <c r="T127"/>
    </row>
    <row r="128" spans="1:25" ht="22" customHeight="1">
      <c r="A128" s="123" t="s">
        <v>4115</v>
      </c>
      <c r="B128" s="123" t="s">
        <v>3788</v>
      </c>
      <c r="C128" s="123" t="s">
        <v>1719</v>
      </c>
      <c r="D128" s="123" t="s">
        <v>2064</v>
      </c>
      <c r="E128" s="123" t="s">
        <v>4113</v>
      </c>
      <c r="F128" s="123" t="s">
        <v>1790</v>
      </c>
      <c r="G128" s="123" t="s">
        <v>1863</v>
      </c>
      <c r="H128" s="123" t="s">
        <v>1942</v>
      </c>
      <c r="I128" s="123">
        <v>4</v>
      </c>
      <c r="J128" s="123" t="s">
        <v>1698</v>
      </c>
      <c r="K128" s="123" t="s">
        <v>1698</v>
      </c>
      <c r="L128" s="123" t="s">
        <v>1968</v>
      </c>
      <c r="M128" s="123" t="s">
        <v>3972</v>
      </c>
      <c r="N128" s="123" t="s">
        <v>1689</v>
      </c>
      <c r="O128" s="123" t="s">
        <v>1998</v>
      </c>
      <c r="P128" s="123" t="s">
        <v>1366</v>
      </c>
      <c r="Q128" s="123" t="s">
        <v>1361</v>
      </c>
      <c r="R128" s="123"/>
      <c r="S128" s="123" t="s">
        <v>2206</v>
      </c>
      <c r="T128"/>
    </row>
    <row r="129" spans="1:20" ht="22" customHeight="1">
      <c r="A129" s="123" t="s">
        <v>4116</v>
      </c>
      <c r="B129" s="123" t="s">
        <v>3788</v>
      </c>
      <c r="C129" s="123" t="s">
        <v>1719</v>
      </c>
      <c r="D129" s="123" t="s">
        <v>2064</v>
      </c>
      <c r="E129" s="123" t="s">
        <v>4113</v>
      </c>
      <c r="F129" s="123" t="s">
        <v>4117</v>
      </c>
      <c r="G129" s="123" t="s">
        <v>4118</v>
      </c>
      <c r="H129" s="123" t="s">
        <v>4119</v>
      </c>
      <c r="I129" s="123">
        <v>1</v>
      </c>
      <c r="J129" s="123" t="s">
        <v>1698</v>
      </c>
      <c r="K129" s="123" t="s">
        <v>1698</v>
      </c>
      <c r="L129" s="123" t="s">
        <v>1966</v>
      </c>
      <c r="M129" s="123" t="s">
        <v>4120</v>
      </c>
      <c r="N129" s="123" t="s">
        <v>1689</v>
      </c>
      <c r="O129" s="123" t="s">
        <v>2002</v>
      </c>
      <c r="P129" s="123" t="s">
        <v>1366</v>
      </c>
      <c r="Q129" s="123" t="s">
        <v>1361</v>
      </c>
      <c r="R129" s="123"/>
      <c r="S129" s="123" t="s">
        <v>2206</v>
      </c>
      <c r="T129"/>
    </row>
    <row r="130" spans="1:20" ht="22" customHeight="1">
      <c r="A130" s="123" t="s">
        <v>4121</v>
      </c>
      <c r="B130" s="123" t="s">
        <v>2946</v>
      </c>
      <c r="C130" s="123" t="s">
        <v>1719</v>
      </c>
      <c r="D130" s="123" t="s">
        <v>2064</v>
      </c>
      <c r="E130" s="123" t="s">
        <v>4122</v>
      </c>
      <c r="F130" s="123" t="s">
        <v>4123</v>
      </c>
      <c r="G130" s="123" t="s">
        <v>4124</v>
      </c>
      <c r="H130" s="123" t="s">
        <v>2987</v>
      </c>
      <c r="I130" s="123">
        <v>2</v>
      </c>
      <c r="J130" s="123" t="s">
        <v>1698</v>
      </c>
      <c r="K130" s="123" t="s">
        <v>1698</v>
      </c>
      <c r="L130" s="123" t="s">
        <v>1972</v>
      </c>
      <c r="M130" s="123" t="s">
        <v>4125</v>
      </c>
      <c r="N130" s="123" t="s">
        <v>1689</v>
      </c>
      <c r="O130" s="123" t="s">
        <v>2002</v>
      </c>
      <c r="P130" s="123" t="s">
        <v>1366</v>
      </c>
      <c r="Q130" s="123" t="s">
        <v>1361</v>
      </c>
      <c r="R130" s="123"/>
      <c r="S130" s="123" t="s">
        <v>4126</v>
      </c>
      <c r="T130"/>
    </row>
    <row r="131" spans="1:20" ht="22" customHeight="1">
      <c r="A131" s="123" t="s">
        <v>4127</v>
      </c>
      <c r="B131" s="123" t="s">
        <v>2946</v>
      </c>
      <c r="C131" s="123" t="s">
        <v>1719</v>
      </c>
      <c r="D131" s="123" t="s">
        <v>2064</v>
      </c>
      <c r="E131" s="123" t="s">
        <v>4122</v>
      </c>
      <c r="F131" s="123" t="s">
        <v>4128</v>
      </c>
      <c r="G131" s="123" t="s">
        <v>4129</v>
      </c>
      <c r="H131" s="123" t="s">
        <v>2988</v>
      </c>
      <c r="I131" s="123">
        <v>2</v>
      </c>
      <c r="J131" s="123" t="s">
        <v>1698</v>
      </c>
      <c r="K131" s="123" t="s">
        <v>1698</v>
      </c>
      <c r="L131" s="123" t="s">
        <v>1966</v>
      </c>
      <c r="M131" s="123" t="s">
        <v>4130</v>
      </c>
      <c r="N131" s="123" t="s">
        <v>1689</v>
      </c>
      <c r="O131" s="123" t="s">
        <v>2002</v>
      </c>
      <c r="P131" s="123" t="s">
        <v>1366</v>
      </c>
      <c r="Q131" s="123" t="s">
        <v>1361</v>
      </c>
      <c r="R131" s="123"/>
      <c r="S131" s="123" t="s">
        <v>4126</v>
      </c>
      <c r="T131"/>
    </row>
    <row r="132" spans="1:20" ht="22" customHeight="1">
      <c r="A132" s="123" t="s">
        <v>4131</v>
      </c>
      <c r="B132" s="123" t="s">
        <v>2946</v>
      </c>
      <c r="C132" s="123" t="s">
        <v>1719</v>
      </c>
      <c r="D132" s="123" t="s">
        <v>2064</v>
      </c>
      <c r="E132" s="123" t="s">
        <v>4122</v>
      </c>
      <c r="F132" s="123" t="s">
        <v>4132</v>
      </c>
      <c r="G132" s="123" t="s">
        <v>4133</v>
      </c>
      <c r="H132" s="123" t="s">
        <v>2989</v>
      </c>
      <c r="I132" s="123">
        <v>1.5</v>
      </c>
      <c r="J132" s="123" t="s">
        <v>1698</v>
      </c>
      <c r="K132" s="123" t="s">
        <v>1698</v>
      </c>
      <c r="L132" s="123" t="s">
        <v>1972</v>
      </c>
      <c r="M132" s="123" t="s">
        <v>4134</v>
      </c>
      <c r="N132" s="123" t="s">
        <v>1689</v>
      </c>
      <c r="O132" s="123" t="s">
        <v>2002</v>
      </c>
      <c r="P132" s="123" t="s">
        <v>1366</v>
      </c>
      <c r="Q132" s="123" t="s">
        <v>1361</v>
      </c>
      <c r="R132" s="123"/>
      <c r="S132" s="123" t="s">
        <v>4126</v>
      </c>
      <c r="T132"/>
    </row>
    <row r="133" spans="1:20" ht="22" customHeight="1">
      <c r="A133" s="123" t="s">
        <v>4135</v>
      </c>
      <c r="B133" s="123" t="s">
        <v>2946</v>
      </c>
      <c r="C133" s="123" t="s">
        <v>1719</v>
      </c>
      <c r="D133" s="123" t="s">
        <v>2064</v>
      </c>
      <c r="E133" s="123" t="s">
        <v>4122</v>
      </c>
      <c r="F133" s="123" t="s">
        <v>4136</v>
      </c>
      <c r="G133" s="123" t="s">
        <v>4137</v>
      </c>
      <c r="H133" s="123" t="s">
        <v>2990</v>
      </c>
      <c r="I133" s="123">
        <v>1.5</v>
      </c>
      <c r="J133" s="123" t="s">
        <v>1698</v>
      </c>
      <c r="K133" s="123" t="s">
        <v>1698</v>
      </c>
      <c r="L133" s="123" t="s">
        <v>1966</v>
      </c>
      <c r="M133" s="123" t="s">
        <v>4138</v>
      </c>
      <c r="N133" s="123" t="s">
        <v>1689</v>
      </c>
      <c r="O133" s="123" t="s">
        <v>2002</v>
      </c>
      <c r="P133" s="123" t="s">
        <v>1366</v>
      </c>
      <c r="Q133" s="123" t="s">
        <v>1361</v>
      </c>
      <c r="R133" s="123"/>
      <c r="S133" s="123" t="s">
        <v>4126</v>
      </c>
      <c r="T133"/>
    </row>
    <row r="134" spans="1:20" ht="22" customHeight="1">
      <c r="A134" s="123" t="s">
        <v>4139</v>
      </c>
      <c r="B134" s="123" t="s">
        <v>2946</v>
      </c>
      <c r="C134" s="123" t="s">
        <v>1719</v>
      </c>
      <c r="D134" s="123" t="s">
        <v>2064</v>
      </c>
      <c r="E134" s="123" t="s">
        <v>4140</v>
      </c>
      <c r="F134" s="123" t="s">
        <v>4141</v>
      </c>
      <c r="G134" s="123" t="s">
        <v>4142</v>
      </c>
      <c r="H134" s="123" t="s">
        <v>2991</v>
      </c>
      <c r="I134" s="123">
        <v>2</v>
      </c>
      <c r="J134" s="123" t="s">
        <v>1698</v>
      </c>
      <c r="K134" s="123" t="s">
        <v>1698</v>
      </c>
      <c r="L134" s="123" t="s">
        <v>1971</v>
      </c>
      <c r="M134" s="123" t="s">
        <v>4143</v>
      </c>
      <c r="N134" s="123" t="s">
        <v>1689</v>
      </c>
      <c r="O134" s="123" t="s">
        <v>2002</v>
      </c>
      <c r="P134" s="123" t="s">
        <v>1366</v>
      </c>
      <c r="Q134" s="123" t="s">
        <v>1361</v>
      </c>
      <c r="R134" s="123"/>
      <c r="S134" s="123" t="s">
        <v>4144</v>
      </c>
      <c r="T134"/>
    </row>
    <row r="135" spans="1:20" ht="22" customHeight="1">
      <c r="A135" s="123" t="s">
        <v>4145</v>
      </c>
      <c r="B135" s="123" t="s">
        <v>2946</v>
      </c>
      <c r="C135" s="123" t="s">
        <v>1719</v>
      </c>
      <c r="D135" s="123" t="s">
        <v>2064</v>
      </c>
      <c r="E135" s="123" t="s">
        <v>4146</v>
      </c>
      <c r="F135" s="123" t="s">
        <v>4147</v>
      </c>
      <c r="G135" s="123" t="s">
        <v>4148</v>
      </c>
      <c r="H135" s="123" t="s">
        <v>2992</v>
      </c>
      <c r="I135" s="123">
        <v>2</v>
      </c>
      <c r="J135" s="123" t="s">
        <v>1698</v>
      </c>
      <c r="K135" s="123" t="s">
        <v>1698</v>
      </c>
      <c r="L135" s="123" t="s">
        <v>1972</v>
      </c>
      <c r="M135" s="123" t="s">
        <v>4149</v>
      </c>
      <c r="N135" s="123" t="s">
        <v>1689</v>
      </c>
      <c r="O135" s="123" t="s">
        <v>2002</v>
      </c>
      <c r="P135" s="123" t="s">
        <v>1366</v>
      </c>
      <c r="Q135" s="123" t="s">
        <v>1361</v>
      </c>
      <c r="R135" s="123"/>
      <c r="S135" s="123" t="s">
        <v>4150</v>
      </c>
      <c r="T135"/>
    </row>
    <row r="136" spans="1:20" ht="22" customHeight="1">
      <c r="A136" s="111" t="s">
        <v>4151</v>
      </c>
      <c r="B136" s="111" t="s">
        <v>2946</v>
      </c>
      <c r="C136" s="124" t="s">
        <v>1718</v>
      </c>
      <c r="D136" s="112" t="s">
        <v>2064</v>
      </c>
      <c r="E136" s="112" t="s">
        <v>4146</v>
      </c>
      <c r="F136" s="112" t="s">
        <v>4152</v>
      </c>
      <c r="G136" s="112" t="s">
        <v>4153</v>
      </c>
      <c r="H136" s="112" t="s">
        <v>2993</v>
      </c>
      <c r="I136" s="125">
        <v>1.5</v>
      </c>
      <c r="J136" s="111" t="s">
        <v>1698</v>
      </c>
      <c r="K136" s="111" t="s">
        <v>1698</v>
      </c>
      <c r="L136" s="126" t="s">
        <v>1972</v>
      </c>
      <c r="M136" s="126" t="s">
        <v>4154</v>
      </c>
      <c r="N136" s="126" t="s">
        <v>1689</v>
      </c>
      <c r="O136" s="124" t="s">
        <v>2002</v>
      </c>
      <c r="P136" s="111" t="s">
        <v>1366</v>
      </c>
      <c r="Q136" s="111" t="s">
        <v>1361</v>
      </c>
      <c r="R136" s="111"/>
      <c r="S136" s="111" t="s">
        <v>4150</v>
      </c>
      <c r="T136"/>
    </row>
    <row r="137" spans="1:20" ht="22" customHeight="1">
      <c r="A137" s="111" t="s">
        <v>4155</v>
      </c>
      <c r="B137" s="111" t="s">
        <v>2942</v>
      </c>
      <c r="C137" s="124" t="s">
        <v>1719</v>
      </c>
      <c r="D137" s="112" t="s">
        <v>2064</v>
      </c>
      <c r="E137" s="112" t="s">
        <v>4156</v>
      </c>
      <c r="F137" s="112" t="s">
        <v>4157</v>
      </c>
      <c r="G137" s="112" t="s">
        <v>4158</v>
      </c>
      <c r="H137" s="112" t="s">
        <v>4159</v>
      </c>
      <c r="I137" s="125">
        <v>2</v>
      </c>
      <c r="J137" s="111" t="s">
        <v>1698</v>
      </c>
      <c r="K137" s="111" t="s">
        <v>1698</v>
      </c>
      <c r="L137" s="126" t="s">
        <v>1966</v>
      </c>
      <c r="M137" s="126" t="s">
        <v>4160</v>
      </c>
      <c r="N137" s="126" t="s">
        <v>1689</v>
      </c>
      <c r="O137" s="124" t="s">
        <v>2002</v>
      </c>
      <c r="P137" s="111" t="s">
        <v>1366</v>
      </c>
      <c r="Q137" s="111" t="s">
        <v>1361</v>
      </c>
      <c r="R137" s="111"/>
      <c r="S137" s="111" t="s">
        <v>4161</v>
      </c>
      <c r="T137"/>
    </row>
    <row r="138" spans="1:20" ht="22" customHeight="1">
      <c r="A138" s="111" t="s">
        <v>4162</v>
      </c>
      <c r="B138" s="111" t="s">
        <v>2947</v>
      </c>
      <c r="C138" s="124" t="s">
        <v>1716</v>
      </c>
      <c r="D138" s="112" t="s">
        <v>2069</v>
      </c>
      <c r="E138" s="112" t="s">
        <v>2111</v>
      </c>
      <c r="F138" s="112" t="s">
        <v>1729</v>
      </c>
      <c r="G138" s="112" t="s">
        <v>1815</v>
      </c>
      <c r="H138" s="112" t="s">
        <v>1887</v>
      </c>
      <c r="I138" s="125">
        <v>1</v>
      </c>
      <c r="J138" s="111" t="s">
        <v>1698</v>
      </c>
      <c r="K138" s="111" t="s">
        <v>1698</v>
      </c>
      <c r="L138" s="126" t="s">
        <v>1963</v>
      </c>
      <c r="M138" s="126" t="s">
        <v>1981</v>
      </c>
      <c r="N138" s="126" t="s">
        <v>1997</v>
      </c>
      <c r="O138" s="124" t="s">
        <v>1998</v>
      </c>
      <c r="P138" s="111" t="s">
        <v>1366</v>
      </c>
      <c r="Q138" s="111" t="s">
        <v>1361</v>
      </c>
      <c r="R138" s="111"/>
      <c r="S138" s="111" t="s">
        <v>2230</v>
      </c>
      <c r="T138"/>
    </row>
    <row r="139" spans="1:20" ht="22" customHeight="1">
      <c r="A139" s="123" t="s">
        <v>4163</v>
      </c>
      <c r="B139" s="123" t="s">
        <v>2947</v>
      </c>
      <c r="C139" s="123" t="s">
        <v>1716</v>
      </c>
      <c r="D139" s="123" t="s">
        <v>2069</v>
      </c>
      <c r="E139" s="123" t="s">
        <v>2111</v>
      </c>
      <c r="F139" s="123" t="s">
        <v>1730</v>
      </c>
      <c r="G139" s="123" t="s">
        <v>1816</v>
      </c>
      <c r="H139" s="123" t="s">
        <v>1888</v>
      </c>
      <c r="I139" s="123">
        <v>1</v>
      </c>
      <c r="J139" s="123" t="s">
        <v>1698</v>
      </c>
      <c r="K139" s="123" t="s">
        <v>1698</v>
      </c>
      <c r="L139" s="123" t="s">
        <v>1963</v>
      </c>
      <c r="M139" s="123" t="s">
        <v>1982</v>
      </c>
      <c r="N139" s="123" t="s">
        <v>1689</v>
      </c>
      <c r="O139" s="123" t="s">
        <v>1998</v>
      </c>
      <c r="P139" s="123" t="s">
        <v>4162</v>
      </c>
      <c r="Q139" s="123" t="s">
        <v>1361</v>
      </c>
      <c r="R139" s="123"/>
      <c r="S139" s="123" t="s">
        <v>2230</v>
      </c>
      <c r="T139"/>
    </row>
    <row r="140" spans="1:20" ht="22" customHeight="1">
      <c r="A140" s="111" t="s">
        <v>4164</v>
      </c>
      <c r="B140" s="111" t="s">
        <v>2947</v>
      </c>
      <c r="C140" s="124" t="s">
        <v>1716</v>
      </c>
      <c r="D140" s="112" t="s">
        <v>2069</v>
      </c>
      <c r="E140" s="112" t="s">
        <v>2111</v>
      </c>
      <c r="F140" s="112" t="s">
        <v>1731</v>
      </c>
      <c r="G140" s="112" t="s">
        <v>1817</v>
      </c>
      <c r="H140" s="112" t="s">
        <v>1889</v>
      </c>
      <c r="I140" s="125">
        <v>1</v>
      </c>
      <c r="J140" s="111" t="s">
        <v>1698</v>
      </c>
      <c r="K140" s="111" t="s">
        <v>1698</v>
      </c>
      <c r="L140" s="126" t="s">
        <v>1963</v>
      </c>
      <c r="M140" s="126" t="s">
        <v>1983</v>
      </c>
      <c r="N140" s="126" t="s">
        <v>1997</v>
      </c>
      <c r="O140" s="124" t="s">
        <v>1998</v>
      </c>
      <c r="P140" s="111" t="s">
        <v>4162</v>
      </c>
      <c r="Q140" s="111" t="s">
        <v>1361</v>
      </c>
      <c r="R140" s="111"/>
      <c r="S140" s="111" t="s">
        <v>2230</v>
      </c>
      <c r="T140"/>
    </row>
    <row r="141" spans="1:20" ht="22" customHeight="1">
      <c r="A141" s="111" t="s">
        <v>4165</v>
      </c>
      <c r="B141" s="111" t="s">
        <v>2937</v>
      </c>
      <c r="C141" s="124" t="s">
        <v>1716</v>
      </c>
      <c r="D141" s="112" t="s">
        <v>2069</v>
      </c>
      <c r="E141" s="112" t="s">
        <v>2103</v>
      </c>
      <c r="F141" s="112" t="s">
        <v>4166</v>
      </c>
      <c r="G141" s="112" t="s">
        <v>4167</v>
      </c>
      <c r="H141" s="112" t="s">
        <v>2994</v>
      </c>
      <c r="I141" s="125">
        <v>1.5</v>
      </c>
      <c r="J141" s="111" t="s">
        <v>1698</v>
      </c>
      <c r="K141" s="111" t="s">
        <v>1699</v>
      </c>
      <c r="L141" s="126" t="s">
        <v>1966</v>
      </c>
      <c r="M141" s="126" t="s">
        <v>4168</v>
      </c>
      <c r="N141" s="126" t="s">
        <v>1689</v>
      </c>
      <c r="O141" s="124" t="s">
        <v>2000</v>
      </c>
      <c r="P141" s="111" t="s">
        <v>1366</v>
      </c>
      <c r="Q141" s="111" t="s">
        <v>1361</v>
      </c>
      <c r="R141" s="111"/>
      <c r="S141" s="111" t="s">
        <v>2223</v>
      </c>
      <c r="T141"/>
    </row>
    <row r="142" spans="1:20" ht="22" customHeight="1">
      <c r="A142" s="111" t="s">
        <v>4169</v>
      </c>
      <c r="B142" s="111" t="s">
        <v>2938</v>
      </c>
      <c r="C142" s="124" t="s">
        <v>1719</v>
      </c>
      <c r="D142" s="112" t="s">
        <v>2075</v>
      </c>
      <c r="E142" s="112" t="s">
        <v>2135</v>
      </c>
      <c r="F142" s="112" t="s">
        <v>1753</v>
      </c>
      <c r="G142" s="112" t="s">
        <v>1834</v>
      </c>
      <c r="H142" s="112" t="s">
        <v>1908</v>
      </c>
      <c r="I142" s="125">
        <v>0.5</v>
      </c>
      <c r="J142" s="111" t="s">
        <v>1701</v>
      </c>
      <c r="K142" s="111" t="s">
        <v>1701</v>
      </c>
      <c r="L142" s="126" t="s">
        <v>1973</v>
      </c>
      <c r="M142" s="126" t="s">
        <v>1987</v>
      </c>
      <c r="N142" s="126" t="s">
        <v>1689</v>
      </c>
      <c r="O142" s="124" t="s">
        <v>1999</v>
      </c>
      <c r="P142" s="111" t="s">
        <v>1366</v>
      </c>
      <c r="Q142" s="111" t="s">
        <v>1361</v>
      </c>
      <c r="R142" s="111"/>
      <c r="S142" s="111" t="s">
        <v>2253</v>
      </c>
      <c r="T142"/>
    </row>
    <row r="143" spans="1:20" ht="22" customHeight="1">
      <c r="A143" s="111" t="s">
        <v>4170</v>
      </c>
      <c r="B143" s="111" t="s">
        <v>2938</v>
      </c>
      <c r="C143" s="124" t="s">
        <v>1719</v>
      </c>
      <c r="D143" s="112" t="s">
        <v>2075</v>
      </c>
      <c r="E143" s="112" t="s">
        <v>2135</v>
      </c>
      <c r="F143" s="112" t="s">
        <v>1754</v>
      </c>
      <c r="G143" s="112" t="s">
        <v>1835</v>
      </c>
      <c r="H143" s="112" t="s">
        <v>1909</v>
      </c>
      <c r="I143" s="125">
        <v>3</v>
      </c>
      <c r="J143" s="111" t="s">
        <v>1701</v>
      </c>
      <c r="K143" s="111" t="s">
        <v>1701</v>
      </c>
      <c r="L143" s="126" t="s">
        <v>1964</v>
      </c>
      <c r="M143" s="126" t="s">
        <v>4171</v>
      </c>
      <c r="N143" s="126" t="s">
        <v>1689</v>
      </c>
      <c r="O143" s="124" t="s">
        <v>2001</v>
      </c>
      <c r="P143" s="111" t="s">
        <v>1366</v>
      </c>
      <c r="Q143" s="111" t="s">
        <v>1361</v>
      </c>
      <c r="R143" s="111"/>
      <c r="S143" s="111" t="s">
        <v>2253</v>
      </c>
      <c r="T143"/>
    </row>
    <row r="144" spans="1:20" ht="22" customHeight="1">
      <c r="A144" s="111" t="s">
        <v>4172</v>
      </c>
      <c r="B144" s="111" t="s">
        <v>2935</v>
      </c>
      <c r="C144" s="124" t="s">
        <v>1719</v>
      </c>
      <c r="D144" s="112" t="s">
        <v>2075</v>
      </c>
      <c r="E144" s="112" t="s">
        <v>2144</v>
      </c>
      <c r="F144" s="112" t="s">
        <v>4173</v>
      </c>
      <c r="G144" s="112" t="s">
        <v>1848</v>
      </c>
      <c r="H144" s="112" t="s">
        <v>1925</v>
      </c>
      <c r="I144" s="125">
        <v>2</v>
      </c>
      <c r="J144" s="111" t="s">
        <v>1698</v>
      </c>
      <c r="K144" s="111" t="s">
        <v>1698</v>
      </c>
      <c r="L144" s="126" t="s">
        <v>1970</v>
      </c>
      <c r="M144" s="126" t="s">
        <v>1991</v>
      </c>
      <c r="N144" s="126" t="s">
        <v>1689</v>
      </c>
      <c r="O144" s="124" t="s">
        <v>2000</v>
      </c>
      <c r="P144" s="111" t="s">
        <v>1366</v>
      </c>
      <c r="Q144" s="111" t="s">
        <v>1361</v>
      </c>
      <c r="R144" s="111"/>
      <c r="S144" s="111" t="s">
        <v>2262</v>
      </c>
      <c r="T144"/>
    </row>
    <row r="145" spans="1:20" ht="22" customHeight="1">
      <c r="A145" s="111" t="s">
        <v>4174</v>
      </c>
      <c r="B145" s="111" t="s">
        <v>2938</v>
      </c>
      <c r="C145" s="124" t="s">
        <v>1719</v>
      </c>
      <c r="D145" s="112" t="s">
        <v>2075</v>
      </c>
      <c r="E145" s="112" t="s">
        <v>2142</v>
      </c>
      <c r="F145" s="112" t="s">
        <v>1756</v>
      </c>
      <c r="G145" s="112" t="s">
        <v>4175</v>
      </c>
      <c r="H145" s="112" t="s">
        <v>1911</v>
      </c>
      <c r="I145" s="125">
        <v>0.5</v>
      </c>
      <c r="J145" s="111" t="s">
        <v>1698</v>
      </c>
      <c r="K145" s="111" t="s">
        <v>1698</v>
      </c>
      <c r="L145" s="126" t="s">
        <v>1973</v>
      </c>
      <c r="M145" s="126" t="s">
        <v>1987</v>
      </c>
      <c r="N145" s="126" t="s">
        <v>1689</v>
      </c>
      <c r="O145" s="124" t="s">
        <v>1999</v>
      </c>
      <c r="P145" s="111" t="s">
        <v>1366</v>
      </c>
      <c r="Q145" s="111" t="s">
        <v>1361</v>
      </c>
      <c r="R145" s="111"/>
      <c r="S145" s="111" t="s">
        <v>2260</v>
      </c>
      <c r="T145"/>
    </row>
    <row r="146" spans="1:20" ht="22" customHeight="1">
      <c r="A146" s="111" t="s">
        <v>4176</v>
      </c>
      <c r="B146" s="111" t="s">
        <v>2938</v>
      </c>
      <c r="C146" s="124" t="s">
        <v>1719</v>
      </c>
      <c r="D146" s="112" t="s">
        <v>2075</v>
      </c>
      <c r="E146" s="112" t="s">
        <v>2142</v>
      </c>
      <c r="F146" s="112" t="s">
        <v>1757</v>
      </c>
      <c r="G146" s="112" t="s">
        <v>1837</v>
      </c>
      <c r="H146" s="112" t="s">
        <v>1912</v>
      </c>
      <c r="I146" s="125">
        <v>1</v>
      </c>
      <c r="J146" s="111" t="s">
        <v>1698</v>
      </c>
      <c r="K146" s="111" t="s">
        <v>1698</v>
      </c>
      <c r="L146" s="126" t="s">
        <v>1973</v>
      </c>
      <c r="M146" s="126" t="s">
        <v>1987</v>
      </c>
      <c r="N146" s="126" t="s">
        <v>1689</v>
      </c>
      <c r="O146" s="124" t="s">
        <v>1998</v>
      </c>
      <c r="P146" s="111" t="s">
        <v>1366</v>
      </c>
      <c r="Q146" s="111" t="s">
        <v>1361</v>
      </c>
      <c r="R146" s="111"/>
      <c r="S146" s="111" t="s">
        <v>2260</v>
      </c>
      <c r="T146"/>
    </row>
    <row r="147" spans="1:20" ht="22" customHeight="1">
      <c r="A147" s="111" t="s">
        <v>4177</v>
      </c>
      <c r="B147" s="111" t="s">
        <v>2938</v>
      </c>
      <c r="C147" s="124" t="s">
        <v>1719</v>
      </c>
      <c r="D147" s="112" t="s">
        <v>2062</v>
      </c>
      <c r="E147" s="112" t="s">
        <v>2131</v>
      </c>
      <c r="F147" s="112" t="s">
        <v>1747</v>
      </c>
      <c r="G147" s="112" t="s">
        <v>1828</v>
      </c>
      <c r="H147" s="112" t="s">
        <v>1902</v>
      </c>
      <c r="I147" s="125">
        <v>1</v>
      </c>
      <c r="J147" s="111" t="s">
        <v>1698</v>
      </c>
      <c r="K147" s="111" t="s">
        <v>1698</v>
      </c>
      <c r="L147" s="126" t="s">
        <v>1973</v>
      </c>
      <c r="M147" s="126" t="s">
        <v>1987</v>
      </c>
      <c r="N147" s="126" t="s">
        <v>1689</v>
      </c>
      <c r="O147" s="124" t="s">
        <v>1999</v>
      </c>
      <c r="P147" s="111" t="s">
        <v>1366</v>
      </c>
      <c r="Q147" s="111" t="s">
        <v>1361</v>
      </c>
      <c r="R147" s="111"/>
      <c r="S147" s="111" t="s">
        <v>2249</v>
      </c>
      <c r="T147"/>
    </row>
    <row r="148" spans="1:20" ht="22" customHeight="1">
      <c r="A148" s="111" t="s">
        <v>4178</v>
      </c>
      <c r="B148" s="111" t="s">
        <v>2938</v>
      </c>
      <c r="C148" s="124" t="s">
        <v>1719</v>
      </c>
      <c r="D148" s="112" t="s">
        <v>2062</v>
      </c>
      <c r="E148" s="112" t="s">
        <v>2131</v>
      </c>
      <c r="F148" s="112" t="s">
        <v>1748</v>
      </c>
      <c r="G148" s="112" t="s">
        <v>1829</v>
      </c>
      <c r="H148" s="112" t="s">
        <v>1903</v>
      </c>
      <c r="I148" s="125">
        <v>1</v>
      </c>
      <c r="J148" s="111" t="s">
        <v>1698</v>
      </c>
      <c r="K148" s="111" t="s">
        <v>1698</v>
      </c>
      <c r="L148" s="126" t="s">
        <v>1973</v>
      </c>
      <c r="M148" s="126" t="s">
        <v>1987</v>
      </c>
      <c r="N148" s="126" t="s">
        <v>1689</v>
      </c>
      <c r="O148" s="124" t="s">
        <v>1999</v>
      </c>
      <c r="P148" s="111" t="s">
        <v>1366</v>
      </c>
      <c r="Q148" s="111" t="s">
        <v>1361</v>
      </c>
      <c r="R148" s="111"/>
      <c r="S148" s="111" t="s">
        <v>2249</v>
      </c>
      <c r="T148"/>
    </row>
    <row r="149" spans="1:20" ht="22" customHeight="1">
      <c r="A149" s="111" t="s">
        <v>4179</v>
      </c>
      <c r="B149" s="111" t="s">
        <v>2938</v>
      </c>
      <c r="C149" s="124" t="s">
        <v>1719</v>
      </c>
      <c r="D149" s="112" t="s">
        <v>2062</v>
      </c>
      <c r="E149" s="112" t="s">
        <v>2131</v>
      </c>
      <c r="F149" s="112" t="s">
        <v>1749</v>
      </c>
      <c r="G149" s="112" t="s">
        <v>1830</v>
      </c>
      <c r="H149" s="112" t="s">
        <v>1904</v>
      </c>
      <c r="I149" s="125">
        <v>0.5</v>
      </c>
      <c r="J149" s="111" t="s">
        <v>1698</v>
      </c>
      <c r="K149" s="111" t="s">
        <v>1698</v>
      </c>
      <c r="L149" s="126" t="s">
        <v>1973</v>
      </c>
      <c r="M149" s="126" t="s">
        <v>1987</v>
      </c>
      <c r="N149" s="126" t="s">
        <v>1689</v>
      </c>
      <c r="O149" s="124" t="s">
        <v>1999</v>
      </c>
      <c r="P149" s="111" t="s">
        <v>1366</v>
      </c>
      <c r="Q149" s="111" t="s">
        <v>1361</v>
      </c>
      <c r="R149" s="111"/>
      <c r="S149" s="111" t="s">
        <v>2249</v>
      </c>
      <c r="T149"/>
    </row>
    <row r="150" spans="1:20" ht="22" customHeight="1">
      <c r="A150" s="111" t="s">
        <v>4180</v>
      </c>
      <c r="B150" s="111" t="s">
        <v>2938</v>
      </c>
      <c r="C150" s="124" t="s">
        <v>1719</v>
      </c>
      <c r="D150" s="112" t="s">
        <v>2062</v>
      </c>
      <c r="E150" s="112" t="s">
        <v>2146</v>
      </c>
      <c r="F150" s="112" t="s">
        <v>1758</v>
      </c>
      <c r="G150" s="112" t="s">
        <v>1838</v>
      </c>
      <c r="H150" s="112" t="s">
        <v>1913</v>
      </c>
      <c r="I150" s="125">
        <v>2</v>
      </c>
      <c r="J150" s="111" t="s">
        <v>1698</v>
      </c>
      <c r="K150" s="111" t="s">
        <v>1701</v>
      </c>
      <c r="L150" s="126" t="s">
        <v>1973</v>
      </c>
      <c r="M150" s="126" t="s">
        <v>1988</v>
      </c>
      <c r="N150" s="126" t="s">
        <v>1689</v>
      </c>
      <c r="O150" s="124" t="s">
        <v>2001</v>
      </c>
      <c r="P150" s="111" t="s">
        <v>1366</v>
      </c>
      <c r="Q150" s="111" t="s">
        <v>2004</v>
      </c>
      <c r="R150" s="111"/>
      <c r="S150" s="111" t="s">
        <v>2265</v>
      </c>
      <c r="T150"/>
    </row>
    <row r="151" spans="1:20" ht="22" customHeight="1">
      <c r="A151" s="111" t="s">
        <v>4181</v>
      </c>
      <c r="B151" s="111" t="s">
        <v>2938</v>
      </c>
      <c r="C151" s="124" t="s">
        <v>1719</v>
      </c>
      <c r="D151" s="112" t="s">
        <v>2062</v>
      </c>
      <c r="E151" s="112" t="s">
        <v>2146</v>
      </c>
      <c r="F151" s="112" t="s">
        <v>1761</v>
      </c>
      <c r="G151" s="112" t="s">
        <v>1840</v>
      </c>
      <c r="H151" s="112" t="s">
        <v>1916</v>
      </c>
      <c r="I151" s="125">
        <v>5</v>
      </c>
      <c r="J151" s="111" t="s">
        <v>1698</v>
      </c>
      <c r="K151" s="111" t="s">
        <v>1698</v>
      </c>
      <c r="L151" s="126" t="s">
        <v>1973</v>
      </c>
      <c r="M151" s="126" t="s">
        <v>1987</v>
      </c>
      <c r="N151" s="126" t="s">
        <v>1689</v>
      </c>
      <c r="O151" s="124" t="s">
        <v>1999</v>
      </c>
      <c r="P151" s="111" t="s">
        <v>1366</v>
      </c>
      <c r="Q151" s="111" t="s">
        <v>2004</v>
      </c>
      <c r="R151" s="111"/>
      <c r="S151" s="111" t="s">
        <v>2265</v>
      </c>
      <c r="T151"/>
    </row>
    <row r="152" spans="1:20" ht="22" customHeight="1">
      <c r="A152" s="111" t="s">
        <v>4182</v>
      </c>
      <c r="B152" s="111" t="s">
        <v>2949</v>
      </c>
      <c r="C152" s="124" t="s">
        <v>1717</v>
      </c>
      <c r="D152" s="112" t="s">
        <v>2062</v>
      </c>
      <c r="E152" s="112" t="s">
        <v>2181</v>
      </c>
      <c r="F152" s="112" t="s">
        <v>1784</v>
      </c>
      <c r="G152" s="112" t="s">
        <v>1857</v>
      </c>
      <c r="H152" s="125" t="s">
        <v>1936</v>
      </c>
      <c r="I152" s="125">
        <v>1</v>
      </c>
      <c r="J152" s="111" t="s">
        <v>1698</v>
      </c>
      <c r="K152" s="111" t="s">
        <v>1698</v>
      </c>
      <c r="L152" s="126" t="s">
        <v>1973</v>
      </c>
      <c r="M152" s="126" t="s">
        <v>1995</v>
      </c>
      <c r="N152" s="126" t="s">
        <v>1689</v>
      </c>
      <c r="O152" s="124" t="s">
        <v>1999</v>
      </c>
      <c r="P152" s="111" t="s">
        <v>1366</v>
      </c>
      <c r="Q152" s="111" t="s">
        <v>1361</v>
      </c>
      <c r="R152" s="111"/>
      <c r="S152" s="111" t="s">
        <v>2309</v>
      </c>
      <c r="T152"/>
    </row>
    <row r="153" spans="1:20" ht="22" customHeight="1">
      <c r="A153" s="111" t="s">
        <v>4183</v>
      </c>
      <c r="B153" s="111" t="s">
        <v>2949</v>
      </c>
      <c r="C153" s="124" t="s">
        <v>1717</v>
      </c>
      <c r="D153" s="112" t="s">
        <v>2062</v>
      </c>
      <c r="E153" s="112" t="s">
        <v>2181</v>
      </c>
      <c r="F153" s="112" t="s">
        <v>1785</v>
      </c>
      <c r="G153" s="112" t="s">
        <v>1858</v>
      </c>
      <c r="H153" s="125" t="s">
        <v>1937</v>
      </c>
      <c r="I153" s="125">
        <v>2</v>
      </c>
      <c r="J153" s="111" t="s">
        <v>1698</v>
      </c>
      <c r="K153" s="111" t="s">
        <v>1698</v>
      </c>
      <c r="L153" s="126" t="s">
        <v>1973</v>
      </c>
      <c r="M153" s="126" t="s">
        <v>1995</v>
      </c>
      <c r="N153" s="126" t="s">
        <v>1689</v>
      </c>
      <c r="O153" s="124" t="s">
        <v>1999</v>
      </c>
      <c r="P153" s="111" t="s">
        <v>4182</v>
      </c>
      <c r="Q153" s="111" t="s">
        <v>1361</v>
      </c>
      <c r="R153" s="111"/>
      <c r="S153" s="111" t="s">
        <v>2309</v>
      </c>
      <c r="T153"/>
    </row>
    <row r="154" spans="1:20" ht="22" customHeight="1">
      <c r="A154" s="111" t="s">
        <v>4184</v>
      </c>
      <c r="B154" s="111" t="s">
        <v>2949</v>
      </c>
      <c r="C154" s="124" t="s">
        <v>1717</v>
      </c>
      <c r="D154" s="112" t="s">
        <v>2062</v>
      </c>
      <c r="E154" s="112" t="s">
        <v>2181</v>
      </c>
      <c r="F154" s="112" t="s">
        <v>1786</v>
      </c>
      <c r="G154" s="112" t="s">
        <v>1859</v>
      </c>
      <c r="H154" s="125" t="s">
        <v>2995</v>
      </c>
      <c r="I154" s="125">
        <v>1</v>
      </c>
      <c r="J154" s="111" t="s">
        <v>1698</v>
      </c>
      <c r="K154" s="111" t="s">
        <v>1698</v>
      </c>
      <c r="L154" s="126" t="s">
        <v>1973</v>
      </c>
      <c r="M154" s="126" t="s">
        <v>4185</v>
      </c>
      <c r="N154" s="126" t="s">
        <v>1689</v>
      </c>
      <c r="O154" s="124" t="s">
        <v>1998</v>
      </c>
      <c r="P154" s="111"/>
      <c r="Q154" s="111" t="s">
        <v>1361</v>
      </c>
      <c r="R154" s="111"/>
      <c r="S154" s="111" t="s">
        <v>2309</v>
      </c>
      <c r="T154"/>
    </row>
    <row r="155" spans="1:20" ht="22" customHeight="1">
      <c r="A155" s="111" t="s">
        <v>4186</v>
      </c>
      <c r="B155" s="111" t="s">
        <v>2949</v>
      </c>
      <c r="C155" s="124" t="s">
        <v>1717</v>
      </c>
      <c r="D155" s="112" t="s">
        <v>2062</v>
      </c>
      <c r="E155" s="112" t="s">
        <v>2181</v>
      </c>
      <c r="F155" s="112" t="s">
        <v>1787</v>
      </c>
      <c r="G155" s="112" t="s">
        <v>1860</v>
      </c>
      <c r="H155" s="125" t="s">
        <v>2996</v>
      </c>
      <c r="I155" s="125">
        <v>2</v>
      </c>
      <c r="J155" s="111" t="s">
        <v>1698</v>
      </c>
      <c r="K155" s="111" t="s">
        <v>1698</v>
      </c>
      <c r="L155" s="126" t="s">
        <v>1973</v>
      </c>
      <c r="M155" s="126" t="s">
        <v>4185</v>
      </c>
      <c r="N155" s="126" t="s">
        <v>1689</v>
      </c>
      <c r="O155" s="124" t="s">
        <v>1998</v>
      </c>
      <c r="P155" s="111"/>
      <c r="Q155" s="111" t="s">
        <v>1361</v>
      </c>
      <c r="R155" s="111"/>
      <c r="S155" s="111" t="s">
        <v>2309</v>
      </c>
      <c r="T155"/>
    </row>
    <row r="156" spans="1:20" ht="22" customHeight="1">
      <c r="A156" s="111" t="s">
        <v>4187</v>
      </c>
      <c r="B156" s="111" t="s">
        <v>2949</v>
      </c>
      <c r="C156" s="124" t="s">
        <v>1717</v>
      </c>
      <c r="D156" s="112" t="s">
        <v>2062</v>
      </c>
      <c r="E156" s="112" t="s">
        <v>2181</v>
      </c>
      <c r="F156" s="112" t="s">
        <v>2393</v>
      </c>
      <c r="G156" s="112" t="s">
        <v>2399</v>
      </c>
      <c r="H156" s="125" t="s">
        <v>2997</v>
      </c>
      <c r="I156" s="125">
        <v>1</v>
      </c>
      <c r="J156" s="111" t="s">
        <v>1698</v>
      </c>
      <c r="K156" s="111" t="s">
        <v>1698</v>
      </c>
      <c r="L156" s="126" t="s">
        <v>1973</v>
      </c>
      <c r="M156" s="126" t="s">
        <v>4185</v>
      </c>
      <c r="N156" s="126" t="s">
        <v>1689</v>
      </c>
      <c r="O156" s="124" t="s">
        <v>1998</v>
      </c>
      <c r="P156" s="111"/>
      <c r="Q156" s="111" t="s">
        <v>1361</v>
      </c>
      <c r="R156" s="111"/>
      <c r="S156" s="111" t="s">
        <v>2309</v>
      </c>
      <c r="T156"/>
    </row>
    <row r="157" spans="1:20" ht="22" customHeight="1">
      <c r="A157" s="111" t="s">
        <v>4188</v>
      </c>
      <c r="B157" s="111" t="s">
        <v>2949</v>
      </c>
      <c r="C157" s="124" t="s">
        <v>1717</v>
      </c>
      <c r="D157" s="112" t="s">
        <v>2062</v>
      </c>
      <c r="E157" s="112" t="s">
        <v>2181</v>
      </c>
      <c r="F157" s="112" t="s">
        <v>2394</v>
      </c>
      <c r="G157" s="112" t="s">
        <v>2400</v>
      </c>
      <c r="H157" s="125" t="s">
        <v>2998</v>
      </c>
      <c r="I157" s="125">
        <v>2</v>
      </c>
      <c r="J157" s="111" t="s">
        <v>1698</v>
      </c>
      <c r="K157" s="111" t="s">
        <v>1698</v>
      </c>
      <c r="L157" s="126" t="s">
        <v>1973</v>
      </c>
      <c r="M157" s="126" t="s">
        <v>4185</v>
      </c>
      <c r="N157" s="126" t="s">
        <v>1689</v>
      </c>
      <c r="O157" s="124" t="s">
        <v>1998</v>
      </c>
      <c r="P157" s="111"/>
      <c r="Q157" s="111" t="s">
        <v>1361</v>
      </c>
      <c r="R157" s="111"/>
      <c r="S157" s="111" t="s">
        <v>2309</v>
      </c>
      <c r="T157"/>
    </row>
    <row r="158" spans="1:20" ht="22" customHeight="1">
      <c r="A158" s="111" t="s">
        <v>4189</v>
      </c>
      <c r="B158" s="111" t="s">
        <v>2949</v>
      </c>
      <c r="C158" s="124" t="s">
        <v>1717</v>
      </c>
      <c r="D158" s="112" t="s">
        <v>2062</v>
      </c>
      <c r="E158" s="112" t="s">
        <v>2181</v>
      </c>
      <c r="F158" s="112" t="s">
        <v>2395</v>
      </c>
      <c r="G158" s="112" t="s">
        <v>2401</v>
      </c>
      <c r="H158" s="112" t="s">
        <v>2999</v>
      </c>
      <c r="I158" s="125">
        <v>1</v>
      </c>
      <c r="J158" s="111" t="s">
        <v>1698</v>
      </c>
      <c r="K158" s="111" t="s">
        <v>1698</v>
      </c>
      <c r="L158" s="126" t="s">
        <v>1973</v>
      </c>
      <c r="M158" s="126" t="s">
        <v>4185</v>
      </c>
      <c r="N158" s="126" t="s">
        <v>1689</v>
      </c>
      <c r="O158" s="124" t="s">
        <v>1998</v>
      </c>
      <c r="P158" s="111"/>
      <c r="Q158" s="111" t="s">
        <v>1361</v>
      </c>
      <c r="R158" s="111"/>
      <c r="S158" s="111" t="s">
        <v>2309</v>
      </c>
      <c r="T158"/>
    </row>
    <row r="159" spans="1:20" ht="22" customHeight="1">
      <c r="A159" s="111" t="s">
        <v>4190</v>
      </c>
      <c r="B159" s="111" t="s">
        <v>2949</v>
      </c>
      <c r="C159" s="124" t="s">
        <v>1717</v>
      </c>
      <c r="D159" s="112" t="s">
        <v>2062</v>
      </c>
      <c r="E159" s="112" t="s">
        <v>2181</v>
      </c>
      <c r="F159" s="112" t="s">
        <v>2398</v>
      </c>
      <c r="G159" s="112" t="s">
        <v>2402</v>
      </c>
      <c r="H159" s="112" t="s">
        <v>3000</v>
      </c>
      <c r="I159" s="125">
        <v>2</v>
      </c>
      <c r="J159" s="111" t="s">
        <v>1698</v>
      </c>
      <c r="K159" s="111" t="s">
        <v>1698</v>
      </c>
      <c r="L159" s="126" t="s">
        <v>1973</v>
      </c>
      <c r="M159" s="126" t="s">
        <v>4185</v>
      </c>
      <c r="N159" s="126" t="s">
        <v>1689</v>
      </c>
      <c r="O159" s="124" t="s">
        <v>1998</v>
      </c>
      <c r="P159" s="111"/>
      <c r="Q159" s="111" t="s">
        <v>1361</v>
      </c>
      <c r="R159" s="111"/>
      <c r="S159" s="111" t="s">
        <v>2309</v>
      </c>
      <c r="T159"/>
    </row>
    <row r="160" spans="1:20" ht="22" customHeight="1">
      <c r="A160" s="111" t="s">
        <v>4191</v>
      </c>
      <c r="B160" s="111" t="s">
        <v>2949</v>
      </c>
      <c r="C160" s="124" t="s">
        <v>1717</v>
      </c>
      <c r="D160" s="112" t="s">
        <v>2062</v>
      </c>
      <c r="E160" s="112" t="s">
        <v>2181</v>
      </c>
      <c r="F160" s="112" t="s">
        <v>2397</v>
      </c>
      <c r="G160" s="112" t="s">
        <v>2403</v>
      </c>
      <c r="H160" s="112" t="s">
        <v>1938</v>
      </c>
      <c r="I160" s="125">
        <v>1</v>
      </c>
      <c r="J160" s="111" t="s">
        <v>1698</v>
      </c>
      <c r="K160" s="111" t="s">
        <v>1698</v>
      </c>
      <c r="L160" s="126" t="s">
        <v>1973</v>
      </c>
      <c r="M160" s="126" t="s">
        <v>1995</v>
      </c>
      <c r="N160" s="126" t="s">
        <v>1689</v>
      </c>
      <c r="O160" s="124" t="s">
        <v>1999</v>
      </c>
      <c r="P160" s="111" t="s">
        <v>4183</v>
      </c>
      <c r="Q160" s="111" t="s">
        <v>1361</v>
      </c>
      <c r="R160" s="111"/>
      <c r="S160" s="111" t="s">
        <v>2309</v>
      </c>
      <c r="T160"/>
    </row>
    <row r="161" spans="1:20" ht="22" customHeight="1">
      <c r="A161" s="111" t="s">
        <v>4192</v>
      </c>
      <c r="B161" s="111" t="s">
        <v>2949</v>
      </c>
      <c r="C161" s="124" t="s">
        <v>1717</v>
      </c>
      <c r="D161" s="112" t="s">
        <v>2062</v>
      </c>
      <c r="E161" s="112" t="s">
        <v>2181</v>
      </c>
      <c r="F161" s="112" t="s">
        <v>2396</v>
      </c>
      <c r="G161" s="112" t="s">
        <v>2404</v>
      </c>
      <c r="H161" s="112" t="s">
        <v>1939</v>
      </c>
      <c r="I161" s="125">
        <v>2</v>
      </c>
      <c r="J161" s="111" t="s">
        <v>1698</v>
      </c>
      <c r="K161" s="111" t="s">
        <v>1698</v>
      </c>
      <c r="L161" s="126" t="s">
        <v>1973</v>
      </c>
      <c r="M161" s="126" t="s">
        <v>1995</v>
      </c>
      <c r="N161" s="126" t="s">
        <v>1689</v>
      </c>
      <c r="O161" s="124" t="s">
        <v>1999</v>
      </c>
      <c r="P161" s="111" t="s">
        <v>4184</v>
      </c>
      <c r="Q161" s="111" t="s">
        <v>1361</v>
      </c>
      <c r="R161" s="111"/>
      <c r="S161" s="111" t="s">
        <v>2309</v>
      </c>
      <c r="T161"/>
    </row>
    <row r="162" spans="1:20" ht="22" customHeight="1">
      <c r="A162" s="111" t="s">
        <v>4193</v>
      </c>
      <c r="B162" s="111" t="s">
        <v>2948</v>
      </c>
      <c r="C162" s="124" t="s">
        <v>1718</v>
      </c>
      <c r="D162" s="112" t="s">
        <v>2079</v>
      </c>
      <c r="E162" s="112" t="s">
        <v>2189</v>
      </c>
      <c r="F162" s="112" t="s">
        <v>1796</v>
      </c>
      <c r="G162" s="112" t="s">
        <v>1869</v>
      </c>
      <c r="H162" s="112" t="s">
        <v>1951</v>
      </c>
      <c r="I162" s="125">
        <v>1</v>
      </c>
      <c r="J162" s="111" t="s">
        <v>1698</v>
      </c>
      <c r="K162" s="111" t="s">
        <v>1698</v>
      </c>
      <c r="L162" s="126" t="s">
        <v>1971</v>
      </c>
      <c r="M162" s="126" t="s">
        <v>1996</v>
      </c>
      <c r="N162" s="126" t="s">
        <v>1689</v>
      </c>
      <c r="O162" s="124" t="s">
        <v>2002</v>
      </c>
      <c r="P162" s="111" t="s">
        <v>1366</v>
      </c>
      <c r="Q162" s="111" t="s">
        <v>1361</v>
      </c>
      <c r="R162" s="111"/>
      <c r="S162" s="111" t="s">
        <v>2317</v>
      </c>
      <c r="T162"/>
    </row>
    <row r="163" spans="1:20" ht="22" customHeight="1">
      <c r="A163" s="123" t="s">
        <v>4194</v>
      </c>
      <c r="B163" s="123" t="s">
        <v>2948</v>
      </c>
      <c r="C163" s="123" t="s">
        <v>1717</v>
      </c>
      <c r="D163" s="123" t="s">
        <v>2079</v>
      </c>
      <c r="E163" s="123" t="s">
        <v>2185</v>
      </c>
      <c r="F163" s="123" t="s">
        <v>1794</v>
      </c>
      <c r="G163" s="123" t="s">
        <v>1867</v>
      </c>
      <c r="H163" s="123" t="s">
        <v>1949</v>
      </c>
      <c r="I163" s="123">
        <v>2</v>
      </c>
      <c r="J163" s="123" t="s">
        <v>1698</v>
      </c>
      <c r="K163" s="123" t="s">
        <v>1698</v>
      </c>
      <c r="L163" s="123" t="s">
        <v>1971</v>
      </c>
      <c r="M163" s="123" t="s">
        <v>1996</v>
      </c>
      <c r="N163" s="123" t="s">
        <v>1689</v>
      </c>
      <c r="O163" s="123" t="s">
        <v>2002</v>
      </c>
      <c r="P163" s="123" t="s">
        <v>1366</v>
      </c>
      <c r="Q163" s="123" t="s">
        <v>1361</v>
      </c>
      <c r="R163" s="123"/>
      <c r="S163" s="123" t="s">
        <v>2313</v>
      </c>
    </row>
    <row r="164" spans="1:20" ht="22" customHeight="1">
      <c r="A164" s="123" t="s">
        <v>4195</v>
      </c>
      <c r="B164" s="123" t="s">
        <v>2948</v>
      </c>
      <c r="C164" s="123" t="s">
        <v>1718</v>
      </c>
      <c r="D164" s="123" t="s">
        <v>2079</v>
      </c>
      <c r="E164" s="123" t="s">
        <v>2185</v>
      </c>
      <c r="F164" s="123" t="s">
        <v>1797</v>
      </c>
      <c r="G164" s="123" t="s">
        <v>1870</v>
      </c>
      <c r="H164" s="123" t="s">
        <v>1952</v>
      </c>
      <c r="I164" s="123">
        <v>1</v>
      </c>
      <c r="J164" s="123" t="s">
        <v>1698</v>
      </c>
      <c r="K164" s="123" t="s">
        <v>1698</v>
      </c>
      <c r="L164" s="123" t="s">
        <v>4196</v>
      </c>
      <c r="M164" s="123" t="s">
        <v>1996</v>
      </c>
      <c r="N164" s="123" t="s">
        <v>1689</v>
      </c>
      <c r="O164" s="123" t="s">
        <v>2002</v>
      </c>
      <c r="P164" s="123" t="s">
        <v>1366</v>
      </c>
      <c r="Q164" s="123" t="s">
        <v>1361</v>
      </c>
      <c r="R164" s="123"/>
      <c r="S164" s="123" t="s">
        <v>2313</v>
      </c>
    </row>
  </sheetData>
  <autoFilter ref="A6:S116" xr:uid="{66250CDA-FE4E-E74B-968F-00BE7CB94CEE}"/>
  <phoneticPr fontId="2"/>
  <conditionalFormatting sqref="C7:C116">
    <cfRule type="expression" dxfId="27" priority="205">
      <formula>$C7="設計書の執筆"</formula>
    </cfRule>
    <cfRule type="expression" dxfId="26" priority="206">
      <formula>$C7="ガイド・手順書の執筆"</formula>
    </cfRule>
    <cfRule type="expression" dxfId="25" priority="207">
      <formula>$C7="調査・計画"</formula>
    </cfRule>
    <cfRule type="expression" dxfId="24" priority="208">
      <formula>$C7="実機検証・照会"</formula>
    </cfRule>
    <cfRule type="expression" dxfId="23" priority="209">
      <formula>$C7="レビュー・合意"</formula>
    </cfRule>
    <cfRule type="expression" dxfId="22" priority="210">
      <formula>$C7="外部調整"</formula>
    </cfRule>
  </conditionalFormatting>
  <conditionalFormatting sqref="J7:K116">
    <cfRule type="expression" dxfId="21" priority="214">
      <formula>J7="アプリチーム"</formula>
    </cfRule>
    <cfRule type="expression" dxfId="20" priority="215">
      <formula>J7="基盤チーム"</formula>
    </cfRule>
    <cfRule type="expression" dxfId="19" priority="216">
      <formula>J7="要判断"</formula>
    </cfRule>
    <cfRule type="expression" dxfId="18" priority="217">
      <formula>J7="共同"</formula>
    </cfRule>
  </conditionalFormatting>
  <conditionalFormatting sqref="N7:N116">
    <cfRule type="expression" dxfId="17" priority="198">
      <formula>LEFT($N7,3)="対象外"</formula>
    </cfRule>
    <cfRule type="expression" dxfId="16" priority="199">
      <formula>$N7="対象"</formula>
    </cfRule>
  </conditionalFormatting>
  <conditionalFormatting sqref="O7:O116">
    <cfRule type="expression" dxfId="15" priority="211">
      <formula>$O7="当初あり"</formula>
    </cfRule>
    <cfRule type="expression" dxfId="14" priority="212">
      <formula>LEFT($O7,2)="新規"</formula>
    </cfRule>
  </conditionalFormatting>
  <conditionalFormatting sqref="S7:S116">
    <cfRule type="expression" dxfId="13" priority="213">
      <formula>LEFT($S7,2)="F-"</formula>
    </cfRule>
  </conditionalFormatting>
  <conditionalFormatting sqref="K1">
    <cfRule type="expression" dxfId="12" priority="193">
      <formula>K1="アプリチーム"</formula>
    </cfRule>
    <cfRule type="expression" dxfId="11" priority="194">
      <formula>K1="基盤チーム"</formula>
    </cfRule>
    <cfRule type="expression" dxfId="10" priority="195">
      <formula>K1="要判断"</formula>
    </cfRule>
    <cfRule type="expression" dxfId="9" priority="196">
      <formula>K1="共同"</formula>
    </cfRule>
  </conditionalFormatting>
  <conditionalFormatting sqref="J1">
    <cfRule type="expression" dxfId="8" priority="189">
      <formula>J1="アプリチーム"</formula>
    </cfRule>
    <cfRule type="expression" dxfId="7" priority="190">
      <formula>J1="基盤チーム"</formula>
    </cfRule>
    <cfRule type="expression" dxfId="6" priority="191">
      <formula>J1="要判断"</formula>
    </cfRule>
    <cfRule type="expression" dxfId="5" priority="192">
      <formula>J1="共同"</formula>
    </cfRule>
  </conditionalFormatting>
  <pageMargins left="0.7" right="0.7" top="0.75" bottom="0.75" header="0.3" footer="0.3"/>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9E7693-5B40-0444-B227-D6033B94776C}">
  <dimension ref="A1:I220"/>
  <sheetViews>
    <sheetView zoomScale="89" zoomScaleNormal="120" workbookViewId="0">
      <pane ySplit="5" topLeftCell="A13" activePane="bottomLeft" state="frozen"/>
      <selection activeCell="C39" sqref="C39"/>
      <selection pane="bottomLeft" activeCell="E46" sqref="E46"/>
    </sheetView>
  </sheetViews>
  <sheetFormatPr baseColWidth="10" defaultRowHeight="20"/>
  <cols>
    <col min="1" max="1" width="14.28515625" customWidth="1"/>
    <col min="2" max="2" width="34.28515625" customWidth="1"/>
    <col min="3" max="3" width="24.28515625" customWidth="1"/>
    <col min="4" max="4" width="27.140625" customWidth="1"/>
    <col min="5" max="5" width="28.5703125" customWidth="1"/>
    <col min="6" max="6" width="35.7109375" customWidth="1"/>
    <col min="7" max="7" width="8" customWidth="1"/>
    <col min="8" max="8" width="9.28515625" customWidth="1"/>
    <col min="9" max="9" width="28.5703125" customWidth="1"/>
    <col min="10" max="10" width="40" customWidth="1"/>
    <col min="11" max="11" width="100" customWidth="1"/>
    <col min="12" max="12" width="74.28515625" customWidth="1"/>
    <col min="13" max="15" width="13.5703125" customWidth="1"/>
    <col min="16" max="16" width="15.7109375" customWidth="1"/>
    <col min="17" max="17" width="65.7109375" customWidth="1"/>
  </cols>
  <sheetData>
    <row r="1" spans="1:9">
      <c r="A1" s="116" t="s">
        <v>1681</v>
      </c>
      <c r="B1" s="117"/>
      <c r="C1" s="117"/>
      <c r="D1" s="116"/>
      <c r="E1" s="117"/>
      <c r="F1" s="117"/>
      <c r="G1" s="117"/>
      <c r="H1" s="117"/>
      <c r="I1" s="117"/>
    </row>
    <row r="2" spans="1:9">
      <c r="A2" s="110" t="s">
        <v>1502</v>
      </c>
      <c r="B2" s="117"/>
      <c r="C2" s="117"/>
      <c r="D2" s="116"/>
      <c r="E2" s="117"/>
      <c r="F2" s="117"/>
      <c r="G2" s="117"/>
      <c r="H2" s="117"/>
      <c r="I2" s="117"/>
    </row>
    <row r="3" spans="1:9">
      <c r="A3" s="114" t="s">
        <v>1682</v>
      </c>
      <c r="B3" s="117"/>
      <c r="C3" s="117"/>
      <c r="D3" s="116"/>
      <c r="E3" s="117"/>
      <c r="F3" s="117"/>
      <c r="G3" s="117"/>
      <c r="H3" s="117"/>
      <c r="I3" s="117"/>
    </row>
    <row r="4" spans="1:9">
      <c r="A4" s="109" t="s">
        <v>1710</v>
      </c>
      <c r="B4" s="117"/>
      <c r="C4" s="117"/>
      <c r="D4" s="116"/>
      <c r="E4" s="117"/>
      <c r="F4" s="117"/>
      <c r="G4" s="117"/>
      <c r="H4" s="117"/>
      <c r="I4" s="117"/>
    </row>
    <row r="5" spans="1:9" ht="26" customHeight="1">
      <c r="A5" s="128" t="s">
        <v>1360</v>
      </c>
      <c r="B5" s="128" t="s">
        <v>1660</v>
      </c>
      <c r="C5" s="128" t="s">
        <v>1645</v>
      </c>
      <c r="D5" s="128" t="s">
        <v>1599</v>
      </c>
      <c r="E5" s="128" t="s">
        <v>1661</v>
      </c>
      <c r="F5" s="128" t="s">
        <v>1662</v>
      </c>
      <c r="G5" s="128" t="s">
        <v>2775</v>
      </c>
      <c r="H5" s="128" t="s">
        <v>2776</v>
      </c>
      <c r="I5" s="128" t="s">
        <v>1663</v>
      </c>
    </row>
    <row r="6" spans="1:9" ht="19" customHeight="1">
      <c r="A6" s="111" t="s">
        <v>1488</v>
      </c>
      <c r="B6" s="111" t="s">
        <v>2408</v>
      </c>
      <c r="C6" s="111" t="s">
        <v>2011</v>
      </c>
      <c r="D6" s="112" t="s">
        <v>3166</v>
      </c>
      <c r="E6" s="112" t="s">
        <v>2409</v>
      </c>
      <c r="F6" s="112" t="s">
        <v>2410</v>
      </c>
      <c r="G6" s="129">
        <v>3</v>
      </c>
      <c r="H6" s="113"/>
      <c r="I6" s="112"/>
    </row>
    <row r="7" spans="1:9" ht="19" customHeight="1">
      <c r="A7" s="111" t="s">
        <v>1490</v>
      </c>
      <c r="B7" s="111" t="s">
        <v>1683</v>
      </c>
      <c r="C7" s="111" t="s">
        <v>2011</v>
      </c>
      <c r="D7" s="112" t="s">
        <v>3166</v>
      </c>
      <c r="E7" s="112" t="s">
        <v>2411</v>
      </c>
      <c r="F7" s="112" t="s">
        <v>2412</v>
      </c>
      <c r="G7" s="129">
        <v>1</v>
      </c>
      <c r="H7" s="113"/>
      <c r="I7" s="112"/>
    </row>
    <row r="8" spans="1:9" ht="19" customHeight="1">
      <c r="A8" s="111" t="s">
        <v>2414</v>
      </c>
      <c r="B8" s="111" t="s">
        <v>2415</v>
      </c>
      <c r="C8" s="111" t="s">
        <v>2011</v>
      </c>
      <c r="D8" s="112" t="s">
        <v>3166</v>
      </c>
      <c r="E8" s="112" t="s">
        <v>2416</v>
      </c>
      <c r="F8" s="112" t="s">
        <v>2417</v>
      </c>
      <c r="G8" s="129"/>
      <c r="H8" s="113">
        <v>5</v>
      </c>
      <c r="I8" s="112"/>
    </row>
    <row r="9" spans="1:9" ht="19" customHeight="1">
      <c r="A9" s="111" t="s">
        <v>2418</v>
      </c>
      <c r="B9" s="111" t="s">
        <v>2419</v>
      </c>
      <c r="C9" s="111" t="s">
        <v>2011</v>
      </c>
      <c r="D9" s="112" t="s">
        <v>3166</v>
      </c>
      <c r="E9" s="112" t="s">
        <v>2420</v>
      </c>
      <c r="F9" s="112" t="s">
        <v>2421</v>
      </c>
      <c r="G9" s="129"/>
      <c r="H9" s="113">
        <v>2</v>
      </c>
      <c r="I9" s="112"/>
    </row>
    <row r="10" spans="1:9" ht="19" customHeight="1">
      <c r="A10" s="111" t="s">
        <v>2422</v>
      </c>
      <c r="B10" s="111" t="s">
        <v>2415</v>
      </c>
      <c r="C10" s="111" t="s">
        <v>2011</v>
      </c>
      <c r="D10" s="112" t="s">
        <v>1604</v>
      </c>
      <c r="E10" s="112" t="s">
        <v>2423</v>
      </c>
      <c r="F10" s="112" t="s">
        <v>2424</v>
      </c>
      <c r="G10" s="129"/>
      <c r="H10" s="113">
        <v>1.5</v>
      </c>
      <c r="I10" s="112"/>
    </row>
    <row r="11" spans="1:9" ht="19" customHeight="1">
      <c r="A11" s="111" t="s">
        <v>2425</v>
      </c>
      <c r="B11" s="111" t="s">
        <v>3249</v>
      </c>
      <c r="C11" s="111" t="s">
        <v>2011</v>
      </c>
      <c r="D11" s="112" t="s">
        <v>3167</v>
      </c>
      <c r="E11" s="112" t="s">
        <v>3250</v>
      </c>
      <c r="F11" s="112" t="s">
        <v>2426</v>
      </c>
      <c r="G11" s="129"/>
      <c r="H11" s="113">
        <v>1.5</v>
      </c>
      <c r="I11" s="112"/>
    </row>
    <row r="12" spans="1:9" ht="19" customHeight="1">
      <c r="A12" s="111" t="s">
        <v>1455</v>
      </c>
      <c r="B12" s="111" t="s">
        <v>1664</v>
      </c>
      <c r="C12" s="111" t="s">
        <v>2012</v>
      </c>
      <c r="D12" s="112" t="s">
        <v>3168</v>
      </c>
      <c r="E12" s="112" t="s">
        <v>2427</v>
      </c>
      <c r="F12" s="112" t="s">
        <v>3251</v>
      </c>
      <c r="G12" s="129">
        <v>4</v>
      </c>
      <c r="H12" s="113"/>
      <c r="I12" s="112" t="s">
        <v>2428</v>
      </c>
    </row>
    <row r="13" spans="1:9" ht="19" customHeight="1">
      <c r="A13" s="111" t="s">
        <v>1473</v>
      </c>
      <c r="B13" s="111" t="s">
        <v>2429</v>
      </c>
      <c r="C13" s="111" t="s">
        <v>2012</v>
      </c>
      <c r="D13" s="112" t="s">
        <v>3168</v>
      </c>
      <c r="E13" s="112" t="s">
        <v>2430</v>
      </c>
      <c r="F13" s="112" t="s">
        <v>2431</v>
      </c>
      <c r="G13" s="129">
        <v>3</v>
      </c>
      <c r="H13" s="113"/>
      <c r="I13" s="112"/>
    </row>
    <row r="14" spans="1:9" ht="19" customHeight="1">
      <c r="A14" s="111" t="s">
        <v>1491</v>
      </c>
      <c r="B14" s="111" t="s">
        <v>1683</v>
      </c>
      <c r="C14" s="111" t="s">
        <v>2012</v>
      </c>
      <c r="D14" s="112" t="s">
        <v>3168</v>
      </c>
      <c r="E14" s="112" t="s">
        <v>2432</v>
      </c>
      <c r="F14" s="112" t="s">
        <v>2433</v>
      </c>
      <c r="G14" s="129">
        <v>2</v>
      </c>
      <c r="H14" s="113"/>
      <c r="I14" s="112"/>
    </row>
    <row r="15" spans="1:9" ht="19" customHeight="1">
      <c r="A15" s="111" t="s">
        <v>2434</v>
      </c>
      <c r="B15" s="111" t="s">
        <v>3249</v>
      </c>
      <c r="C15" s="111" t="s">
        <v>2012</v>
      </c>
      <c r="D15" s="112" t="s">
        <v>3168</v>
      </c>
      <c r="E15" s="112" t="s">
        <v>3252</v>
      </c>
      <c r="F15" s="112" t="s">
        <v>3253</v>
      </c>
      <c r="G15" s="129"/>
      <c r="H15" s="113">
        <v>5</v>
      </c>
      <c r="I15" s="112" t="s">
        <v>2435</v>
      </c>
    </row>
    <row r="16" spans="1:9" ht="19" customHeight="1">
      <c r="A16" s="111" t="s">
        <v>2436</v>
      </c>
      <c r="B16" s="111" t="s">
        <v>3249</v>
      </c>
      <c r="C16" s="111" t="s">
        <v>2012</v>
      </c>
      <c r="D16" s="112" t="s">
        <v>3168</v>
      </c>
      <c r="E16" s="112" t="s">
        <v>2437</v>
      </c>
      <c r="F16" s="112" t="s">
        <v>2438</v>
      </c>
      <c r="G16" s="129"/>
      <c r="H16" s="113">
        <v>4</v>
      </c>
      <c r="I16" s="112"/>
    </row>
    <row r="17" spans="1:9" ht="19" customHeight="1">
      <c r="A17" s="111" t="s">
        <v>2439</v>
      </c>
      <c r="B17" s="111" t="s">
        <v>2419</v>
      </c>
      <c r="C17" s="111" t="s">
        <v>2012</v>
      </c>
      <c r="D17" s="112" t="s">
        <v>3168</v>
      </c>
      <c r="E17" s="112" t="s">
        <v>2440</v>
      </c>
      <c r="F17" s="112" t="s">
        <v>2421</v>
      </c>
      <c r="G17" s="129"/>
      <c r="H17" s="113">
        <v>3</v>
      </c>
      <c r="I17" s="112"/>
    </row>
    <row r="18" spans="1:9" ht="19" customHeight="1">
      <c r="A18" s="111" t="s">
        <v>1456</v>
      </c>
      <c r="B18" s="111" t="s">
        <v>1664</v>
      </c>
      <c r="C18" s="111" t="s">
        <v>2012</v>
      </c>
      <c r="D18" s="112" t="s">
        <v>3169</v>
      </c>
      <c r="E18" s="112" t="s">
        <v>2441</v>
      </c>
      <c r="F18" s="112" t="s">
        <v>3254</v>
      </c>
      <c r="G18" s="129">
        <v>3</v>
      </c>
      <c r="H18" s="113"/>
      <c r="I18" s="112"/>
    </row>
    <row r="19" spans="1:9" ht="19" customHeight="1">
      <c r="A19" s="111" t="s">
        <v>1474</v>
      </c>
      <c r="B19" s="111" t="s">
        <v>2429</v>
      </c>
      <c r="C19" s="111" t="s">
        <v>2012</v>
      </c>
      <c r="D19" s="112" t="s">
        <v>3169</v>
      </c>
      <c r="E19" s="112" t="s">
        <v>2442</v>
      </c>
      <c r="F19" s="112" t="s">
        <v>2443</v>
      </c>
      <c r="G19" s="129">
        <v>3</v>
      </c>
      <c r="H19" s="113"/>
      <c r="I19" s="112"/>
    </row>
    <row r="20" spans="1:9" ht="19" customHeight="1">
      <c r="A20" s="111" t="s">
        <v>1492</v>
      </c>
      <c r="B20" s="111" t="s">
        <v>1683</v>
      </c>
      <c r="C20" s="111" t="s">
        <v>2012</v>
      </c>
      <c r="D20" s="112" t="s">
        <v>3169</v>
      </c>
      <c r="E20" s="112" t="s">
        <v>2444</v>
      </c>
      <c r="F20" s="112" t="s">
        <v>2445</v>
      </c>
      <c r="G20" s="129">
        <v>1.5</v>
      </c>
      <c r="H20" s="113"/>
      <c r="I20" s="112"/>
    </row>
    <row r="21" spans="1:9" ht="19" customHeight="1">
      <c r="A21" s="111" t="s">
        <v>2446</v>
      </c>
      <c r="B21" s="111" t="s">
        <v>3249</v>
      </c>
      <c r="C21" s="111" t="s">
        <v>2012</v>
      </c>
      <c r="D21" s="112" t="s">
        <v>3169</v>
      </c>
      <c r="E21" s="112" t="s">
        <v>3255</v>
      </c>
      <c r="F21" s="112" t="s">
        <v>3256</v>
      </c>
      <c r="G21" s="129"/>
      <c r="H21" s="113">
        <v>4</v>
      </c>
      <c r="I21" s="112"/>
    </row>
    <row r="22" spans="1:9" ht="19" customHeight="1">
      <c r="A22" s="111" t="s">
        <v>2447</v>
      </c>
      <c r="B22" s="111" t="s">
        <v>2419</v>
      </c>
      <c r="C22" s="111" t="s">
        <v>2012</v>
      </c>
      <c r="D22" s="112" t="s">
        <v>3169</v>
      </c>
      <c r="E22" s="112" t="s">
        <v>2448</v>
      </c>
      <c r="F22" s="112" t="s">
        <v>2421</v>
      </c>
      <c r="G22" s="129"/>
      <c r="H22" s="113">
        <v>2</v>
      </c>
      <c r="I22" s="112"/>
    </row>
    <row r="23" spans="1:9" ht="19" customHeight="1">
      <c r="A23" s="111" t="s">
        <v>1457</v>
      </c>
      <c r="B23" s="111" t="s">
        <v>1664</v>
      </c>
      <c r="C23" s="111" t="s">
        <v>2012</v>
      </c>
      <c r="D23" s="112" t="s">
        <v>2151</v>
      </c>
      <c r="E23" s="112" t="s">
        <v>2449</v>
      </c>
      <c r="F23" s="112" t="s">
        <v>2450</v>
      </c>
      <c r="G23" s="129">
        <v>3</v>
      </c>
      <c r="H23" s="113"/>
      <c r="I23" s="112"/>
    </row>
    <row r="24" spans="1:9" ht="19" customHeight="1">
      <c r="A24" s="111" t="s">
        <v>1493</v>
      </c>
      <c r="B24" s="111" t="s">
        <v>1683</v>
      </c>
      <c r="C24" s="111" t="s">
        <v>2012</v>
      </c>
      <c r="D24" s="112" t="s">
        <v>2151</v>
      </c>
      <c r="E24" s="112" t="s">
        <v>2451</v>
      </c>
      <c r="F24" s="112" t="s">
        <v>2452</v>
      </c>
      <c r="G24" s="129">
        <v>1</v>
      </c>
      <c r="H24" s="113"/>
      <c r="I24" s="112"/>
    </row>
    <row r="25" spans="1:9" ht="19" customHeight="1">
      <c r="A25" s="111" t="s">
        <v>2453</v>
      </c>
      <c r="B25" s="111" t="s">
        <v>3249</v>
      </c>
      <c r="C25" s="111" t="s">
        <v>2012</v>
      </c>
      <c r="D25" s="112" t="s">
        <v>2151</v>
      </c>
      <c r="E25" s="112" t="s">
        <v>2454</v>
      </c>
      <c r="F25" s="112" t="s">
        <v>3257</v>
      </c>
      <c r="G25" s="129"/>
      <c r="H25" s="113">
        <v>3</v>
      </c>
      <c r="I25" s="112"/>
    </row>
    <row r="26" spans="1:9" ht="19" customHeight="1">
      <c r="A26" s="111" t="s">
        <v>2455</v>
      </c>
      <c r="B26" s="111" t="s">
        <v>2419</v>
      </c>
      <c r="C26" s="111" t="s">
        <v>2012</v>
      </c>
      <c r="D26" s="112" t="s">
        <v>2151</v>
      </c>
      <c r="E26" s="112" t="s">
        <v>2456</v>
      </c>
      <c r="F26" s="112" t="s">
        <v>2421</v>
      </c>
      <c r="G26" s="129"/>
      <c r="H26" s="113">
        <v>2</v>
      </c>
      <c r="I26" s="112"/>
    </row>
    <row r="27" spans="1:9" ht="19" customHeight="1">
      <c r="A27" s="111" t="s">
        <v>1458</v>
      </c>
      <c r="B27" s="111" t="s">
        <v>1664</v>
      </c>
      <c r="C27" s="111" t="s">
        <v>2012</v>
      </c>
      <c r="D27" s="112" t="s">
        <v>1614</v>
      </c>
      <c r="E27" s="112" t="s">
        <v>2457</v>
      </c>
      <c r="F27" s="112" t="s">
        <v>2458</v>
      </c>
      <c r="G27" s="129">
        <v>1.5</v>
      </c>
      <c r="H27" s="113"/>
      <c r="I27" s="112"/>
    </row>
    <row r="28" spans="1:9" ht="19" customHeight="1">
      <c r="A28" s="111" t="s">
        <v>2459</v>
      </c>
      <c r="B28" s="111" t="s">
        <v>3249</v>
      </c>
      <c r="C28" s="111" t="s">
        <v>2012</v>
      </c>
      <c r="D28" s="112" t="s">
        <v>1614</v>
      </c>
      <c r="E28" s="112" t="s">
        <v>2460</v>
      </c>
      <c r="F28" s="112" t="s">
        <v>2461</v>
      </c>
      <c r="G28" s="129"/>
      <c r="H28" s="113">
        <v>2</v>
      </c>
      <c r="I28" s="112"/>
    </row>
    <row r="29" spans="1:9" ht="19" customHeight="1">
      <c r="A29" s="111" t="s">
        <v>1673</v>
      </c>
      <c r="B29" s="111" t="s">
        <v>1664</v>
      </c>
      <c r="C29" s="111" t="s">
        <v>2012</v>
      </c>
      <c r="D29" s="112" t="s">
        <v>3190</v>
      </c>
      <c r="E29" s="112" t="s">
        <v>4493</v>
      </c>
      <c r="F29" s="112" t="s">
        <v>4494</v>
      </c>
      <c r="G29" s="129">
        <v>2</v>
      </c>
      <c r="H29" s="113"/>
      <c r="I29" s="112"/>
    </row>
    <row r="30" spans="1:9" ht="19" customHeight="1">
      <c r="A30" s="111" t="s">
        <v>4495</v>
      </c>
      <c r="B30" s="111" t="s">
        <v>2429</v>
      </c>
      <c r="C30" s="111" t="s">
        <v>2012</v>
      </c>
      <c r="D30" s="112" t="s">
        <v>3190</v>
      </c>
      <c r="E30" s="112" t="s">
        <v>4496</v>
      </c>
      <c r="F30" s="112" t="s">
        <v>4497</v>
      </c>
      <c r="G30" s="129">
        <v>1.5</v>
      </c>
      <c r="H30" s="113"/>
      <c r="I30" s="112"/>
    </row>
    <row r="31" spans="1:9" ht="19" customHeight="1">
      <c r="A31" s="111" t="s">
        <v>4498</v>
      </c>
      <c r="B31" s="111" t="s">
        <v>1683</v>
      </c>
      <c r="C31" s="111" t="s">
        <v>2012</v>
      </c>
      <c r="D31" s="112" t="s">
        <v>3190</v>
      </c>
      <c r="E31" s="112" t="s">
        <v>4499</v>
      </c>
      <c r="F31" s="112" t="s">
        <v>4500</v>
      </c>
      <c r="G31" s="129">
        <v>1</v>
      </c>
      <c r="H31" s="113"/>
      <c r="I31" s="112"/>
    </row>
    <row r="32" spans="1:9" ht="19" customHeight="1">
      <c r="A32" s="111" t="s">
        <v>4501</v>
      </c>
      <c r="B32" s="111" t="s">
        <v>2466</v>
      </c>
      <c r="C32" s="111" t="s">
        <v>2012</v>
      </c>
      <c r="D32" s="112" t="s">
        <v>3190</v>
      </c>
      <c r="E32" s="112" t="s">
        <v>4502</v>
      </c>
      <c r="F32" s="112" t="s">
        <v>4503</v>
      </c>
      <c r="G32" s="129"/>
      <c r="H32" s="113">
        <v>3</v>
      </c>
      <c r="I32" s="112" t="s">
        <v>4504</v>
      </c>
    </row>
    <row r="33" spans="1:9" ht="19" customHeight="1">
      <c r="A33" s="111" t="s">
        <v>4505</v>
      </c>
      <c r="B33" s="111" t="s">
        <v>3249</v>
      </c>
      <c r="C33" s="111" t="s">
        <v>2012</v>
      </c>
      <c r="D33" s="112" t="s">
        <v>3190</v>
      </c>
      <c r="E33" s="112" t="s">
        <v>4506</v>
      </c>
      <c r="F33" s="112" t="s">
        <v>4507</v>
      </c>
      <c r="G33" s="129"/>
      <c r="H33" s="113">
        <v>3</v>
      </c>
      <c r="I33" s="112"/>
    </row>
    <row r="34" spans="1:9" ht="19" customHeight="1">
      <c r="A34" s="111" t="s">
        <v>4508</v>
      </c>
      <c r="B34" s="111" t="s">
        <v>2419</v>
      </c>
      <c r="C34" s="111" t="s">
        <v>2012</v>
      </c>
      <c r="D34" s="112" t="s">
        <v>3190</v>
      </c>
      <c r="E34" s="112" t="s">
        <v>4509</v>
      </c>
      <c r="F34" s="112" t="s">
        <v>2421</v>
      </c>
      <c r="G34" s="129"/>
      <c r="H34" s="113">
        <v>2</v>
      </c>
      <c r="I34" s="112"/>
    </row>
    <row r="35" spans="1:9" ht="19" customHeight="1">
      <c r="A35" s="111" t="s">
        <v>1482</v>
      </c>
      <c r="B35" s="111" t="s">
        <v>2462</v>
      </c>
      <c r="C35" s="111" t="s">
        <v>2013</v>
      </c>
      <c r="D35" s="112" t="s">
        <v>3745</v>
      </c>
      <c r="E35" s="112" t="s">
        <v>2463</v>
      </c>
      <c r="F35" s="112" t="s">
        <v>4510</v>
      </c>
      <c r="G35" s="129">
        <v>2</v>
      </c>
      <c r="H35" s="113"/>
      <c r="I35" s="112" t="s">
        <v>2464</v>
      </c>
    </row>
    <row r="36" spans="1:9" ht="19" customHeight="1">
      <c r="A36" s="111" t="s">
        <v>2465</v>
      </c>
      <c r="B36" s="111" t="s">
        <v>2466</v>
      </c>
      <c r="C36" s="111" t="s">
        <v>2013</v>
      </c>
      <c r="D36" s="112" t="s">
        <v>3745</v>
      </c>
      <c r="E36" s="112" t="s">
        <v>3258</v>
      </c>
      <c r="F36" s="112" t="s">
        <v>3259</v>
      </c>
      <c r="G36" s="129"/>
      <c r="H36" s="113">
        <v>6</v>
      </c>
      <c r="I36" s="112" t="s">
        <v>2467</v>
      </c>
    </row>
    <row r="37" spans="1:9" ht="19" customHeight="1">
      <c r="A37" s="111" t="s">
        <v>2468</v>
      </c>
      <c r="B37" s="111" t="s">
        <v>2469</v>
      </c>
      <c r="C37" s="111" t="s">
        <v>2013</v>
      </c>
      <c r="D37" s="112" t="s">
        <v>3745</v>
      </c>
      <c r="E37" s="112" t="s">
        <v>2470</v>
      </c>
      <c r="F37" s="112" t="s">
        <v>2471</v>
      </c>
      <c r="G37" s="129"/>
      <c r="H37" s="113">
        <v>2</v>
      </c>
      <c r="I37" s="112"/>
    </row>
    <row r="38" spans="1:9" ht="19" customHeight="1">
      <c r="A38" s="111" t="s">
        <v>1459</v>
      </c>
      <c r="B38" s="111" t="s">
        <v>1664</v>
      </c>
      <c r="C38" s="111" t="s">
        <v>1647</v>
      </c>
      <c r="D38" s="112" t="s">
        <v>3170</v>
      </c>
      <c r="E38" s="112" t="s">
        <v>2807</v>
      </c>
      <c r="F38" s="112" t="s">
        <v>2808</v>
      </c>
      <c r="G38" s="129">
        <v>1.5</v>
      </c>
      <c r="H38" s="113"/>
      <c r="I38" s="112"/>
    </row>
    <row r="39" spans="1:9" ht="19" customHeight="1">
      <c r="A39" s="111" t="s">
        <v>2476</v>
      </c>
      <c r="B39" s="111" t="s">
        <v>3249</v>
      </c>
      <c r="C39" s="111" t="s">
        <v>1647</v>
      </c>
      <c r="D39" s="112" t="s">
        <v>3170</v>
      </c>
      <c r="E39" s="112" t="s">
        <v>2810</v>
      </c>
      <c r="F39" s="112" t="s">
        <v>2811</v>
      </c>
      <c r="G39" s="129"/>
      <c r="H39" s="113">
        <v>2</v>
      </c>
      <c r="I39" s="112"/>
    </row>
    <row r="40" spans="1:9" ht="19" customHeight="1">
      <c r="A40" s="111" t="s">
        <v>2479</v>
      </c>
      <c r="B40" s="111" t="s">
        <v>2419</v>
      </c>
      <c r="C40" s="111" t="s">
        <v>1647</v>
      </c>
      <c r="D40" s="112" t="s">
        <v>3170</v>
      </c>
      <c r="E40" s="112" t="s">
        <v>2813</v>
      </c>
      <c r="F40" s="112" t="s">
        <v>2814</v>
      </c>
      <c r="G40" s="129"/>
      <c r="H40" s="113">
        <v>1</v>
      </c>
      <c r="I40" s="112"/>
    </row>
    <row r="41" spans="1:9" ht="19" customHeight="1">
      <c r="A41" s="111" t="s">
        <v>1448</v>
      </c>
      <c r="B41" s="111" t="s">
        <v>1684</v>
      </c>
      <c r="C41" s="111" t="s">
        <v>2016</v>
      </c>
      <c r="D41" s="112" t="s">
        <v>2148</v>
      </c>
      <c r="E41" s="112" t="s">
        <v>2472</v>
      </c>
      <c r="F41" s="112" t="s">
        <v>2473</v>
      </c>
      <c r="G41" s="129">
        <v>3</v>
      </c>
      <c r="H41" s="113"/>
      <c r="I41" s="112"/>
    </row>
    <row r="42" spans="1:9" ht="19" customHeight="1">
      <c r="A42" s="111" t="s">
        <v>1494</v>
      </c>
      <c r="B42" s="111" t="s">
        <v>1683</v>
      </c>
      <c r="C42" s="111" t="s">
        <v>2016</v>
      </c>
      <c r="D42" s="112" t="s">
        <v>2148</v>
      </c>
      <c r="E42" s="112" t="s">
        <v>2474</v>
      </c>
      <c r="F42" s="112" t="s">
        <v>2475</v>
      </c>
      <c r="G42" s="129">
        <v>1</v>
      </c>
      <c r="H42" s="113"/>
      <c r="I42" s="112"/>
    </row>
    <row r="43" spans="1:9" ht="19" customHeight="1">
      <c r="A43" s="111" t="s">
        <v>2483</v>
      </c>
      <c r="B43" s="111" t="s">
        <v>3249</v>
      </c>
      <c r="C43" s="111" t="s">
        <v>2016</v>
      </c>
      <c r="D43" s="112" t="s">
        <v>2148</v>
      </c>
      <c r="E43" s="112" t="s">
        <v>2477</v>
      </c>
      <c r="F43" s="112" t="s">
        <v>2478</v>
      </c>
      <c r="G43" s="129"/>
      <c r="H43" s="113">
        <v>2</v>
      </c>
      <c r="I43" s="112"/>
    </row>
    <row r="44" spans="1:9" ht="19" customHeight="1">
      <c r="A44" s="111" t="s">
        <v>2486</v>
      </c>
      <c r="B44" s="111" t="s">
        <v>2419</v>
      </c>
      <c r="C44" s="111" t="s">
        <v>2016</v>
      </c>
      <c r="D44" s="112" t="s">
        <v>2148</v>
      </c>
      <c r="E44" s="112" t="s">
        <v>2480</v>
      </c>
      <c r="F44" s="112" t="s">
        <v>2421</v>
      </c>
      <c r="G44" s="129"/>
      <c r="H44" s="113">
        <v>1</v>
      </c>
      <c r="I44" s="112"/>
    </row>
    <row r="45" spans="1:9" ht="19" customHeight="1">
      <c r="A45" s="111" t="s">
        <v>1475</v>
      </c>
      <c r="B45" s="111" t="s">
        <v>2429</v>
      </c>
      <c r="C45" s="111" t="s">
        <v>2016</v>
      </c>
      <c r="D45" s="112" t="s">
        <v>2192</v>
      </c>
      <c r="E45" s="112" t="s">
        <v>2481</v>
      </c>
      <c r="F45" s="112" t="s">
        <v>2482</v>
      </c>
      <c r="G45" s="129">
        <v>3</v>
      </c>
      <c r="H45" s="113"/>
      <c r="I45" s="112"/>
    </row>
    <row r="46" spans="1:9" ht="19" customHeight="1">
      <c r="A46" s="111" t="s">
        <v>2509</v>
      </c>
      <c r="B46" s="111" t="s">
        <v>3249</v>
      </c>
      <c r="C46" s="111" t="s">
        <v>2016</v>
      </c>
      <c r="D46" s="112" t="s">
        <v>2192</v>
      </c>
      <c r="E46" s="112" t="s">
        <v>2484</v>
      </c>
      <c r="F46" s="112" t="s">
        <v>2485</v>
      </c>
      <c r="G46" s="129"/>
      <c r="H46" s="113">
        <v>2</v>
      </c>
      <c r="I46" s="112"/>
    </row>
    <row r="47" spans="1:9" ht="19" customHeight="1">
      <c r="A47" s="111" t="s">
        <v>2497</v>
      </c>
      <c r="B47" s="111" t="s">
        <v>2419</v>
      </c>
      <c r="C47" s="111" t="s">
        <v>2016</v>
      </c>
      <c r="D47" s="112" t="s">
        <v>2192</v>
      </c>
      <c r="E47" s="112" t="s">
        <v>2487</v>
      </c>
      <c r="F47" s="112" t="s">
        <v>2488</v>
      </c>
      <c r="G47" s="129"/>
      <c r="H47" s="113">
        <v>1.5</v>
      </c>
      <c r="I47" s="112"/>
    </row>
    <row r="48" spans="1:9" ht="19" customHeight="1">
      <c r="A48" s="111" t="s">
        <v>1464</v>
      </c>
      <c r="B48" s="111" t="s">
        <v>1675</v>
      </c>
      <c r="C48" s="111" t="s">
        <v>2018</v>
      </c>
      <c r="D48" s="112" t="s">
        <v>2090</v>
      </c>
      <c r="E48" s="112" t="s">
        <v>2794</v>
      </c>
      <c r="F48" s="112" t="s">
        <v>3260</v>
      </c>
      <c r="G48" s="129">
        <v>2</v>
      </c>
      <c r="H48" s="113"/>
      <c r="I48" s="112"/>
    </row>
    <row r="49" spans="1:9" ht="19" customHeight="1">
      <c r="A49" s="111" t="s">
        <v>2734</v>
      </c>
      <c r="B49" s="111" t="s">
        <v>2796</v>
      </c>
      <c r="C49" s="111" t="s">
        <v>2018</v>
      </c>
      <c r="D49" s="112" t="s">
        <v>2090</v>
      </c>
      <c r="E49" s="112" t="s">
        <v>2797</v>
      </c>
      <c r="F49" s="112" t="s">
        <v>2798</v>
      </c>
      <c r="G49" s="129"/>
      <c r="H49" s="113">
        <v>3</v>
      </c>
      <c r="I49" s="112"/>
    </row>
    <row r="50" spans="1:9" ht="19" customHeight="1">
      <c r="A50" s="111" t="s">
        <v>2547</v>
      </c>
      <c r="B50" s="111" t="s">
        <v>2419</v>
      </c>
      <c r="C50" s="111" t="s">
        <v>2018</v>
      </c>
      <c r="D50" s="112" t="s">
        <v>2090</v>
      </c>
      <c r="E50" s="112" t="s">
        <v>2800</v>
      </c>
      <c r="F50" s="112" t="s">
        <v>2801</v>
      </c>
      <c r="G50" s="129"/>
      <c r="H50" s="113">
        <v>1</v>
      </c>
      <c r="I50" s="112"/>
    </row>
    <row r="51" spans="1:9" ht="19" customHeight="1">
      <c r="A51" s="111" t="s">
        <v>1465</v>
      </c>
      <c r="B51" s="111" t="s">
        <v>1675</v>
      </c>
      <c r="C51" s="111" t="s">
        <v>2018</v>
      </c>
      <c r="D51" s="112" t="s">
        <v>3171</v>
      </c>
      <c r="E51" s="112" t="s">
        <v>2802</v>
      </c>
      <c r="F51" s="112" t="s">
        <v>2803</v>
      </c>
      <c r="G51" s="129">
        <v>1</v>
      </c>
      <c r="H51" s="113"/>
      <c r="I51" s="112"/>
    </row>
    <row r="52" spans="1:9" ht="19" customHeight="1">
      <c r="A52" s="111" t="s">
        <v>2795</v>
      </c>
      <c r="B52" s="111" t="s">
        <v>2796</v>
      </c>
      <c r="C52" s="111" t="s">
        <v>2018</v>
      </c>
      <c r="D52" s="112" t="s">
        <v>3171</v>
      </c>
      <c r="E52" s="112" t="s">
        <v>2805</v>
      </c>
      <c r="F52" s="112" t="s">
        <v>2806</v>
      </c>
      <c r="G52" s="129"/>
      <c r="H52" s="113">
        <v>2</v>
      </c>
      <c r="I52" s="112"/>
    </row>
    <row r="53" spans="1:9" ht="19" customHeight="1">
      <c r="A53" s="111" t="s">
        <v>1476</v>
      </c>
      <c r="B53" s="111" t="s">
        <v>2429</v>
      </c>
      <c r="C53" s="111" t="s">
        <v>2020</v>
      </c>
      <c r="D53" s="112" t="s">
        <v>3172</v>
      </c>
      <c r="E53" s="112" t="s">
        <v>2489</v>
      </c>
      <c r="F53" s="112" t="s">
        <v>3261</v>
      </c>
      <c r="G53" s="129">
        <v>4</v>
      </c>
      <c r="H53" s="113"/>
      <c r="I53" s="112" t="s">
        <v>2490</v>
      </c>
    </row>
    <row r="54" spans="1:9" ht="19" customHeight="1">
      <c r="A54" s="111" t="s">
        <v>1495</v>
      </c>
      <c r="B54" s="111" t="s">
        <v>1683</v>
      </c>
      <c r="C54" s="111" t="s">
        <v>2020</v>
      </c>
      <c r="D54" s="112" t="s">
        <v>3172</v>
      </c>
      <c r="E54" s="112" t="s">
        <v>2491</v>
      </c>
      <c r="F54" s="112" t="s">
        <v>2492</v>
      </c>
      <c r="G54" s="129">
        <v>2</v>
      </c>
      <c r="H54" s="113"/>
      <c r="I54" s="112"/>
    </row>
    <row r="55" spans="1:9" ht="19" customHeight="1">
      <c r="A55" s="111" t="s">
        <v>2493</v>
      </c>
      <c r="B55" s="111" t="s">
        <v>2494</v>
      </c>
      <c r="C55" s="111" t="s">
        <v>2020</v>
      </c>
      <c r="D55" s="112" t="s">
        <v>3172</v>
      </c>
      <c r="E55" s="112" t="s">
        <v>2495</v>
      </c>
      <c r="F55" s="112" t="s">
        <v>3262</v>
      </c>
      <c r="G55" s="129"/>
      <c r="H55" s="113">
        <v>8</v>
      </c>
      <c r="I55" s="112" t="s">
        <v>2496</v>
      </c>
    </row>
    <row r="56" spans="1:9" ht="19" customHeight="1">
      <c r="A56" s="111" t="s">
        <v>2552</v>
      </c>
      <c r="B56" s="111" t="s">
        <v>2419</v>
      </c>
      <c r="C56" s="111" t="s">
        <v>2020</v>
      </c>
      <c r="D56" s="112" t="s">
        <v>3172</v>
      </c>
      <c r="E56" s="112" t="s">
        <v>2498</v>
      </c>
      <c r="F56" s="112" t="s">
        <v>2421</v>
      </c>
      <c r="G56" s="129"/>
      <c r="H56" s="113">
        <v>3</v>
      </c>
      <c r="I56" s="112"/>
    </row>
    <row r="57" spans="1:9" ht="19" customHeight="1">
      <c r="A57" s="111" t="s">
        <v>1477</v>
      </c>
      <c r="B57" s="111" t="s">
        <v>2429</v>
      </c>
      <c r="C57" s="111" t="s">
        <v>2020</v>
      </c>
      <c r="D57" s="112" t="s">
        <v>3173</v>
      </c>
      <c r="E57" s="112" t="s">
        <v>2499</v>
      </c>
      <c r="F57" s="112" t="s">
        <v>3263</v>
      </c>
      <c r="G57" s="129">
        <v>1</v>
      </c>
      <c r="H57" s="113"/>
      <c r="I57" s="112"/>
    </row>
    <row r="58" spans="1:9" ht="19" customHeight="1">
      <c r="A58" s="111" t="s">
        <v>1478</v>
      </c>
      <c r="B58" s="111" t="s">
        <v>2429</v>
      </c>
      <c r="C58" s="111" t="s">
        <v>2020</v>
      </c>
      <c r="D58" s="112" t="s">
        <v>2154</v>
      </c>
      <c r="E58" s="112" t="s">
        <v>2500</v>
      </c>
      <c r="F58" s="112" t="s">
        <v>2501</v>
      </c>
      <c r="G58" s="129">
        <v>1</v>
      </c>
      <c r="H58" s="113"/>
      <c r="I58" s="112"/>
    </row>
    <row r="59" spans="1:9" ht="19" customHeight="1">
      <c r="A59" s="111" t="s">
        <v>2502</v>
      </c>
      <c r="B59" s="111" t="s">
        <v>2494</v>
      </c>
      <c r="C59" s="111" t="s">
        <v>2020</v>
      </c>
      <c r="D59" s="112" t="s">
        <v>2154</v>
      </c>
      <c r="E59" s="112" t="s">
        <v>2503</v>
      </c>
      <c r="F59" s="112" t="s">
        <v>3264</v>
      </c>
      <c r="G59" s="129"/>
      <c r="H59" s="113">
        <v>1.5</v>
      </c>
      <c r="I59" s="112"/>
    </row>
    <row r="60" spans="1:9" ht="19" customHeight="1">
      <c r="A60" s="111" t="s">
        <v>2504</v>
      </c>
      <c r="B60" s="111" t="s">
        <v>2429</v>
      </c>
      <c r="C60" s="111" t="s">
        <v>2020</v>
      </c>
      <c r="D60" s="112" t="s">
        <v>3174</v>
      </c>
      <c r="E60" s="112" t="s">
        <v>2505</v>
      </c>
      <c r="F60" s="112" t="s">
        <v>2506</v>
      </c>
      <c r="G60" s="129">
        <v>2</v>
      </c>
      <c r="H60" s="113"/>
      <c r="I60" s="112"/>
    </row>
    <row r="61" spans="1:9" ht="19" customHeight="1">
      <c r="A61" s="111" t="s">
        <v>1466</v>
      </c>
      <c r="B61" s="111" t="s">
        <v>1676</v>
      </c>
      <c r="C61" s="111" t="s">
        <v>2022</v>
      </c>
      <c r="D61" s="112" t="s">
        <v>1615</v>
      </c>
      <c r="E61" s="112" t="s">
        <v>2507</v>
      </c>
      <c r="F61" s="112" t="s">
        <v>2508</v>
      </c>
      <c r="G61" s="129">
        <v>3</v>
      </c>
      <c r="H61" s="113"/>
      <c r="I61" s="112"/>
    </row>
    <row r="62" spans="1:9" ht="19" customHeight="1">
      <c r="A62" s="111" t="s">
        <v>2514</v>
      </c>
      <c r="B62" s="111" t="s">
        <v>3249</v>
      </c>
      <c r="C62" s="111" t="s">
        <v>2022</v>
      </c>
      <c r="D62" s="112" t="s">
        <v>1615</v>
      </c>
      <c r="E62" s="112" t="s">
        <v>2510</v>
      </c>
      <c r="F62" s="112" t="s">
        <v>2511</v>
      </c>
      <c r="G62" s="129"/>
      <c r="H62" s="113">
        <v>3</v>
      </c>
      <c r="I62" s="112"/>
    </row>
    <row r="63" spans="1:9" ht="19" customHeight="1">
      <c r="A63" s="111" t="s">
        <v>1460</v>
      </c>
      <c r="B63" s="111" t="s">
        <v>1664</v>
      </c>
      <c r="C63" s="111" t="s">
        <v>2022</v>
      </c>
      <c r="D63" s="112" t="s">
        <v>1616</v>
      </c>
      <c r="E63" s="112" t="s">
        <v>2512</v>
      </c>
      <c r="F63" s="112" t="s">
        <v>2513</v>
      </c>
      <c r="G63" s="129">
        <v>1.5</v>
      </c>
      <c r="H63" s="113"/>
      <c r="I63" s="112"/>
    </row>
    <row r="64" spans="1:9" ht="19" customHeight="1">
      <c r="A64" s="111" t="s">
        <v>2519</v>
      </c>
      <c r="B64" s="111" t="s">
        <v>3249</v>
      </c>
      <c r="C64" s="111" t="s">
        <v>2022</v>
      </c>
      <c r="D64" s="112" t="s">
        <v>1616</v>
      </c>
      <c r="E64" s="112" t="s">
        <v>2515</v>
      </c>
      <c r="F64" s="112" t="s">
        <v>2516</v>
      </c>
      <c r="G64" s="129"/>
      <c r="H64" s="113">
        <v>1.5</v>
      </c>
      <c r="I64" s="112"/>
    </row>
    <row r="65" spans="1:9" ht="19" customHeight="1">
      <c r="A65" s="111" t="s">
        <v>1461</v>
      </c>
      <c r="B65" s="111" t="s">
        <v>1664</v>
      </c>
      <c r="C65" s="111" t="s">
        <v>2024</v>
      </c>
      <c r="D65" s="112" t="s">
        <v>3175</v>
      </c>
      <c r="E65" s="112" t="s">
        <v>2517</v>
      </c>
      <c r="F65" s="112" t="s">
        <v>2518</v>
      </c>
      <c r="G65" s="129">
        <v>1.5</v>
      </c>
      <c r="H65" s="113"/>
      <c r="I65" s="112"/>
    </row>
    <row r="66" spans="1:9" ht="19" customHeight="1">
      <c r="A66" s="111" t="s">
        <v>2524</v>
      </c>
      <c r="B66" s="111" t="s">
        <v>3249</v>
      </c>
      <c r="C66" s="111" t="s">
        <v>2024</v>
      </c>
      <c r="D66" s="112" t="s">
        <v>3175</v>
      </c>
      <c r="E66" s="112" t="s">
        <v>2520</v>
      </c>
      <c r="F66" s="112" t="s">
        <v>2521</v>
      </c>
      <c r="G66" s="129"/>
      <c r="H66" s="113">
        <v>2</v>
      </c>
      <c r="I66" s="112"/>
    </row>
    <row r="67" spans="1:9" ht="19" customHeight="1">
      <c r="A67" s="111" t="s">
        <v>1462</v>
      </c>
      <c r="B67" s="111" t="s">
        <v>1664</v>
      </c>
      <c r="C67" s="111" t="s">
        <v>2024</v>
      </c>
      <c r="D67" s="112" t="s">
        <v>3176</v>
      </c>
      <c r="E67" s="112" t="s">
        <v>2522</v>
      </c>
      <c r="F67" s="112" t="s">
        <v>2523</v>
      </c>
      <c r="G67" s="129">
        <v>0.5</v>
      </c>
      <c r="H67" s="113"/>
      <c r="I67" s="112"/>
    </row>
    <row r="68" spans="1:9" ht="19" customHeight="1">
      <c r="A68" s="111" t="s">
        <v>2529</v>
      </c>
      <c r="B68" s="111" t="s">
        <v>3249</v>
      </c>
      <c r="C68" s="111" t="s">
        <v>2024</v>
      </c>
      <c r="D68" s="112" t="s">
        <v>3176</v>
      </c>
      <c r="E68" s="112" t="s">
        <v>2525</v>
      </c>
      <c r="F68" s="112" t="s">
        <v>2526</v>
      </c>
      <c r="G68" s="129"/>
      <c r="H68" s="113">
        <v>1</v>
      </c>
      <c r="I68" s="112"/>
    </row>
    <row r="69" spans="1:9" ht="19" customHeight="1">
      <c r="A69" s="111" t="s">
        <v>1467</v>
      </c>
      <c r="B69" s="111" t="s">
        <v>1676</v>
      </c>
      <c r="C69" s="111" t="s">
        <v>2024</v>
      </c>
      <c r="D69" s="112" t="s">
        <v>1641</v>
      </c>
      <c r="E69" s="112" t="s">
        <v>1677</v>
      </c>
      <c r="F69" s="112" t="s">
        <v>3735</v>
      </c>
      <c r="G69" s="129">
        <v>1.5</v>
      </c>
      <c r="H69" s="113"/>
      <c r="I69" s="112"/>
    </row>
    <row r="70" spans="1:9" ht="19" customHeight="1">
      <c r="A70" s="111" t="s">
        <v>2591</v>
      </c>
      <c r="B70" s="111" t="s">
        <v>2592</v>
      </c>
      <c r="C70" s="111" t="s">
        <v>2024</v>
      </c>
      <c r="D70" s="112" t="s">
        <v>1641</v>
      </c>
      <c r="E70" s="112" t="s">
        <v>3736</v>
      </c>
      <c r="F70" s="112" t="s">
        <v>3737</v>
      </c>
      <c r="G70" s="129"/>
      <c r="H70" s="113">
        <v>2</v>
      </c>
      <c r="I70" s="112"/>
    </row>
    <row r="71" spans="1:9" ht="19" customHeight="1">
      <c r="A71" s="111" t="s">
        <v>4511</v>
      </c>
      <c r="B71" s="111" t="s">
        <v>1678</v>
      </c>
      <c r="C71" s="111" t="s">
        <v>2024</v>
      </c>
      <c r="D71" s="112" t="s">
        <v>1635</v>
      </c>
      <c r="E71" s="112" t="s">
        <v>4512</v>
      </c>
      <c r="F71" s="112" t="s">
        <v>4513</v>
      </c>
      <c r="G71" s="129">
        <v>1</v>
      </c>
      <c r="H71" s="113"/>
      <c r="I71" s="112"/>
    </row>
    <row r="72" spans="1:9" ht="19" customHeight="1">
      <c r="A72" s="111" t="s">
        <v>4514</v>
      </c>
      <c r="B72" s="111" t="s">
        <v>2592</v>
      </c>
      <c r="C72" s="111" t="s">
        <v>2024</v>
      </c>
      <c r="D72" s="112" t="s">
        <v>1635</v>
      </c>
      <c r="E72" s="112" t="s">
        <v>4515</v>
      </c>
      <c r="F72" s="112" t="s">
        <v>4516</v>
      </c>
      <c r="G72" s="129"/>
      <c r="H72" s="113">
        <v>1.5</v>
      </c>
      <c r="I72" s="112"/>
    </row>
    <row r="73" spans="1:9" ht="19" customHeight="1">
      <c r="A73" s="111" t="s">
        <v>1463</v>
      </c>
      <c r="B73" s="111" t="s">
        <v>1664</v>
      </c>
      <c r="C73" s="111" t="s">
        <v>2026</v>
      </c>
      <c r="D73" s="112" t="s">
        <v>1650</v>
      </c>
      <c r="E73" s="112" t="s">
        <v>3265</v>
      </c>
      <c r="F73" s="112" t="s">
        <v>2790</v>
      </c>
      <c r="G73" s="129">
        <v>2</v>
      </c>
      <c r="H73" s="113"/>
      <c r="I73" s="112"/>
    </row>
    <row r="74" spans="1:9" ht="19" customHeight="1">
      <c r="A74" s="111" t="s">
        <v>2534</v>
      </c>
      <c r="B74" s="111" t="s">
        <v>3249</v>
      </c>
      <c r="C74" s="111" t="s">
        <v>2026</v>
      </c>
      <c r="D74" s="112" t="s">
        <v>1650</v>
      </c>
      <c r="E74" s="112" t="s">
        <v>2792</v>
      </c>
      <c r="F74" s="112" t="s">
        <v>2793</v>
      </c>
      <c r="G74" s="129"/>
      <c r="H74" s="113">
        <v>2</v>
      </c>
      <c r="I74" s="112"/>
    </row>
    <row r="75" spans="1:9" ht="19" customHeight="1">
      <c r="A75" s="111" t="s">
        <v>1665</v>
      </c>
      <c r="B75" s="111" t="s">
        <v>1664</v>
      </c>
      <c r="C75" s="111" t="s">
        <v>2026</v>
      </c>
      <c r="D75" s="112" t="s">
        <v>2119</v>
      </c>
      <c r="E75" s="112" t="s">
        <v>2527</v>
      </c>
      <c r="F75" s="112" t="s">
        <v>2528</v>
      </c>
      <c r="G75" s="129">
        <v>1.5</v>
      </c>
      <c r="H75" s="113"/>
      <c r="I75" s="112"/>
    </row>
    <row r="76" spans="1:9" ht="19" customHeight="1">
      <c r="A76" s="111" t="s">
        <v>2539</v>
      </c>
      <c r="B76" s="111" t="s">
        <v>3249</v>
      </c>
      <c r="C76" s="111" t="s">
        <v>2026</v>
      </c>
      <c r="D76" s="112" t="s">
        <v>2119</v>
      </c>
      <c r="E76" s="112" t="s">
        <v>2530</v>
      </c>
      <c r="F76" s="112" t="s">
        <v>2531</v>
      </c>
      <c r="G76" s="129"/>
      <c r="H76" s="113">
        <v>1.5</v>
      </c>
      <c r="I76" s="112"/>
    </row>
    <row r="77" spans="1:9" ht="19" customHeight="1">
      <c r="A77" s="111" t="s">
        <v>2546</v>
      </c>
      <c r="B77" s="111" t="s">
        <v>3249</v>
      </c>
      <c r="C77" s="111" t="s">
        <v>3143</v>
      </c>
      <c r="D77" s="112" t="s">
        <v>3177</v>
      </c>
      <c r="E77" s="112" t="s">
        <v>2789</v>
      </c>
      <c r="F77" s="112" t="s">
        <v>3266</v>
      </c>
      <c r="G77" s="129"/>
      <c r="H77" s="113">
        <v>3</v>
      </c>
      <c r="I77" s="112"/>
    </row>
    <row r="78" spans="1:9" ht="19" customHeight="1">
      <c r="A78" s="111" t="s">
        <v>1666</v>
      </c>
      <c r="B78" s="111" t="s">
        <v>1664</v>
      </c>
      <c r="C78" s="111" t="s">
        <v>3143</v>
      </c>
      <c r="D78" s="112" t="s">
        <v>1626</v>
      </c>
      <c r="E78" s="112" t="s">
        <v>2532</v>
      </c>
      <c r="F78" s="112" t="s">
        <v>2533</v>
      </c>
      <c r="G78" s="129">
        <v>2</v>
      </c>
      <c r="H78" s="113"/>
      <c r="I78" s="112"/>
    </row>
    <row r="79" spans="1:9" ht="19" customHeight="1">
      <c r="A79" s="111" t="s">
        <v>2550</v>
      </c>
      <c r="B79" s="111" t="s">
        <v>3249</v>
      </c>
      <c r="C79" s="111" t="s">
        <v>3143</v>
      </c>
      <c r="D79" s="112" t="s">
        <v>1626</v>
      </c>
      <c r="E79" s="112" t="s">
        <v>2535</v>
      </c>
      <c r="F79" s="112" t="s">
        <v>2536</v>
      </c>
      <c r="G79" s="129"/>
      <c r="H79" s="113">
        <v>3</v>
      </c>
      <c r="I79" s="112"/>
    </row>
    <row r="80" spans="1:9" ht="19" customHeight="1">
      <c r="A80" s="111" t="s">
        <v>1479</v>
      </c>
      <c r="B80" s="111" t="s">
        <v>1678</v>
      </c>
      <c r="C80" s="111" t="s">
        <v>3143</v>
      </c>
      <c r="D80" s="112" t="s">
        <v>1634</v>
      </c>
      <c r="E80" s="112" t="s">
        <v>2783</v>
      </c>
      <c r="F80" s="112" t="s">
        <v>2784</v>
      </c>
      <c r="G80" s="129">
        <v>1.5</v>
      </c>
      <c r="H80" s="113"/>
      <c r="I80" s="112"/>
    </row>
    <row r="81" spans="1:9" ht="19" customHeight="1">
      <c r="A81" s="111" t="s">
        <v>2600</v>
      </c>
      <c r="B81" s="111" t="s">
        <v>2592</v>
      </c>
      <c r="C81" s="111" t="s">
        <v>3143</v>
      </c>
      <c r="D81" s="112" t="s">
        <v>1634</v>
      </c>
      <c r="E81" s="112" t="s">
        <v>2786</v>
      </c>
      <c r="F81" s="112" t="s">
        <v>2787</v>
      </c>
      <c r="G81" s="129"/>
      <c r="H81" s="113">
        <v>2</v>
      </c>
      <c r="I81" s="112"/>
    </row>
    <row r="82" spans="1:9" ht="19" customHeight="1">
      <c r="A82" s="111" t="s">
        <v>1468</v>
      </c>
      <c r="B82" s="111" t="s">
        <v>1676</v>
      </c>
      <c r="C82" s="111" t="s">
        <v>1649</v>
      </c>
      <c r="D82" s="112" t="s">
        <v>1619</v>
      </c>
      <c r="E82" s="112" t="s">
        <v>2537</v>
      </c>
      <c r="F82" s="112" t="s">
        <v>2538</v>
      </c>
      <c r="G82" s="129">
        <v>2</v>
      </c>
      <c r="H82" s="113"/>
      <c r="I82" s="112"/>
    </row>
    <row r="83" spans="1:9" ht="19" customHeight="1">
      <c r="A83" s="111" t="s">
        <v>2557</v>
      </c>
      <c r="B83" s="111" t="s">
        <v>3249</v>
      </c>
      <c r="C83" s="111" t="s">
        <v>1649</v>
      </c>
      <c r="D83" s="112" t="s">
        <v>1619</v>
      </c>
      <c r="E83" s="112" t="s">
        <v>2540</v>
      </c>
      <c r="F83" s="112" t="s">
        <v>2541</v>
      </c>
      <c r="G83" s="129"/>
      <c r="H83" s="113">
        <v>2</v>
      </c>
      <c r="I83" s="112"/>
    </row>
    <row r="84" spans="1:9" ht="19" customHeight="1">
      <c r="A84" s="111" t="s">
        <v>2542</v>
      </c>
      <c r="B84" s="111" t="s">
        <v>2429</v>
      </c>
      <c r="C84" s="111" t="s">
        <v>2028</v>
      </c>
      <c r="D84" s="112" t="s">
        <v>3178</v>
      </c>
      <c r="E84" s="112" t="s">
        <v>3267</v>
      </c>
      <c r="F84" s="112" t="s">
        <v>2543</v>
      </c>
      <c r="G84" s="129">
        <v>3</v>
      </c>
      <c r="H84" s="113"/>
      <c r="I84" s="112"/>
    </row>
    <row r="85" spans="1:9" ht="19" customHeight="1">
      <c r="A85" s="111" t="s">
        <v>2544</v>
      </c>
      <c r="B85" s="111" t="s">
        <v>1683</v>
      </c>
      <c r="C85" s="111" t="s">
        <v>2028</v>
      </c>
      <c r="D85" s="112" t="s">
        <v>3178</v>
      </c>
      <c r="E85" s="112" t="s">
        <v>3268</v>
      </c>
      <c r="F85" s="112" t="s">
        <v>2545</v>
      </c>
      <c r="G85" s="129">
        <v>1</v>
      </c>
      <c r="H85" s="113"/>
      <c r="I85" s="112"/>
    </row>
    <row r="86" spans="1:9" ht="19" customHeight="1">
      <c r="A86" s="111" t="s">
        <v>2567</v>
      </c>
      <c r="B86" s="111" t="s">
        <v>3249</v>
      </c>
      <c r="C86" s="111" t="s">
        <v>2028</v>
      </c>
      <c r="D86" s="112" t="s">
        <v>3178</v>
      </c>
      <c r="E86" s="112" t="s">
        <v>3269</v>
      </c>
      <c r="F86" s="112" t="s">
        <v>3270</v>
      </c>
      <c r="G86" s="129"/>
      <c r="H86" s="113">
        <v>3</v>
      </c>
      <c r="I86" s="112"/>
    </row>
    <row r="87" spans="1:9" ht="19" customHeight="1">
      <c r="A87" s="111" t="s">
        <v>2560</v>
      </c>
      <c r="B87" s="111" t="s">
        <v>2419</v>
      </c>
      <c r="C87" s="111" t="s">
        <v>2028</v>
      </c>
      <c r="D87" s="112" t="s">
        <v>3178</v>
      </c>
      <c r="E87" s="112" t="s">
        <v>3271</v>
      </c>
      <c r="F87" s="112" t="s">
        <v>2421</v>
      </c>
      <c r="G87" s="129"/>
      <c r="H87" s="113">
        <v>1.5</v>
      </c>
      <c r="I87" s="112"/>
    </row>
    <row r="88" spans="1:9" ht="19" customHeight="1">
      <c r="A88" s="111" t="s">
        <v>1667</v>
      </c>
      <c r="B88" s="111" t="s">
        <v>1664</v>
      </c>
      <c r="C88" s="111" t="s">
        <v>2028</v>
      </c>
      <c r="D88" s="112" t="s">
        <v>3179</v>
      </c>
      <c r="E88" s="112" t="s">
        <v>2548</v>
      </c>
      <c r="F88" s="112" t="s">
        <v>2549</v>
      </c>
      <c r="G88" s="129">
        <v>1.5</v>
      </c>
      <c r="H88" s="113"/>
      <c r="I88" s="112"/>
    </row>
    <row r="89" spans="1:9" ht="19" customHeight="1">
      <c r="A89" s="111" t="s">
        <v>2572</v>
      </c>
      <c r="B89" s="111" t="s">
        <v>3249</v>
      </c>
      <c r="C89" s="111" t="s">
        <v>2028</v>
      </c>
      <c r="D89" s="112" t="s">
        <v>3179</v>
      </c>
      <c r="E89" s="112" t="s">
        <v>2551</v>
      </c>
      <c r="F89" s="112" t="s">
        <v>3272</v>
      </c>
      <c r="G89" s="129"/>
      <c r="H89" s="113">
        <v>1.5</v>
      </c>
      <c r="I89" s="112"/>
    </row>
    <row r="90" spans="1:9" ht="19" customHeight="1">
      <c r="A90" s="111" t="s">
        <v>2570</v>
      </c>
      <c r="B90" s="111" t="s">
        <v>2419</v>
      </c>
      <c r="C90" s="111" t="s">
        <v>2028</v>
      </c>
      <c r="D90" s="112" t="s">
        <v>3179</v>
      </c>
      <c r="E90" s="112" t="s">
        <v>2553</v>
      </c>
      <c r="F90" s="112" t="s">
        <v>2554</v>
      </c>
      <c r="G90" s="129"/>
      <c r="H90" s="113">
        <v>1</v>
      </c>
      <c r="I90" s="112"/>
    </row>
    <row r="91" spans="1:9" ht="19" customHeight="1">
      <c r="A91" s="111" t="s">
        <v>1668</v>
      </c>
      <c r="B91" s="111" t="s">
        <v>1664</v>
      </c>
      <c r="C91" s="111" t="s">
        <v>3146</v>
      </c>
      <c r="D91" s="112" t="s">
        <v>3180</v>
      </c>
      <c r="E91" s="112" t="s">
        <v>3273</v>
      </c>
      <c r="F91" s="112" t="s">
        <v>2777</v>
      </c>
      <c r="G91" s="129">
        <v>1.5</v>
      </c>
      <c r="H91" s="113"/>
      <c r="I91" s="112"/>
    </row>
    <row r="92" spans="1:9" ht="19" customHeight="1">
      <c r="A92" s="111" t="s">
        <v>2573</v>
      </c>
      <c r="B92" s="111" t="s">
        <v>3249</v>
      </c>
      <c r="C92" s="111" t="s">
        <v>3146</v>
      </c>
      <c r="D92" s="112" t="s">
        <v>3180</v>
      </c>
      <c r="E92" s="112" t="s">
        <v>3274</v>
      </c>
      <c r="F92" s="112" t="s">
        <v>2779</v>
      </c>
      <c r="G92" s="129"/>
      <c r="H92" s="113">
        <v>2</v>
      </c>
      <c r="I92" s="112"/>
    </row>
    <row r="93" spans="1:9" ht="19" customHeight="1">
      <c r="A93" s="111" t="s">
        <v>2586</v>
      </c>
      <c r="B93" s="111" t="s">
        <v>2419</v>
      </c>
      <c r="C93" s="111" t="s">
        <v>3146</v>
      </c>
      <c r="D93" s="112" t="s">
        <v>3180</v>
      </c>
      <c r="E93" s="112" t="s">
        <v>3275</v>
      </c>
      <c r="F93" s="112" t="s">
        <v>2781</v>
      </c>
      <c r="G93" s="129"/>
      <c r="H93" s="113">
        <v>1</v>
      </c>
      <c r="I93" s="112"/>
    </row>
    <row r="94" spans="1:9" ht="19" customHeight="1">
      <c r="A94" s="111" t="s">
        <v>1669</v>
      </c>
      <c r="B94" s="111" t="s">
        <v>1664</v>
      </c>
      <c r="C94" s="111" t="s">
        <v>2029</v>
      </c>
      <c r="D94" s="112" t="s">
        <v>2182</v>
      </c>
      <c r="E94" s="112" t="s">
        <v>2555</v>
      </c>
      <c r="F94" s="112" t="s">
        <v>2556</v>
      </c>
      <c r="G94" s="129">
        <v>2</v>
      </c>
      <c r="H94" s="113"/>
      <c r="I94" s="112"/>
    </row>
    <row r="95" spans="1:9" ht="19" customHeight="1">
      <c r="A95" s="111" t="s">
        <v>2634</v>
      </c>
      <c r="B95" s="111" t="s">
        <v>3249</v>
      </c>
      <c r="C95" s="111" t="s">
        <v>2029</v>
      </c>
      <c r="D95" s="112" t="s">
        <v>2182</v>
      </c>
      <c r="E95" s="112" t="s">
        <v>2558</v>
      </c>
      <c r="F95" s="112" t="s">
        <v>2559</v>
      </c>
      <c r="G95" s="129"/>
      <c r="H95" s="113">
        <v>3</v>
      </c>
      <c r="I95" s="112"/>
    </row>
    <row r="96" spans="1:9" ht="19" customHeight="1">
      <c r="A96" s="111" t="s">
        <v>2595</v>
      </c>
      <c r="B96" s="111" t="s">
        <v>2419</v>
      </c>
      <c r="C96" s="111" t="s">
        <v>2029</v>
      </c>
      <c r="D96" s="112" t="s">
        <v>2182</v>
      </c>
      <c r="E96" s="112" t="s">
        <v>2561</v>
      </c>
      <c r="F96" s="112" t="s">
        <v>2562</v>
      </c>
      <c r="G96" s="129"/>
      <c r="H96" s="113">
        <v>1</v>
      </c>
      <c r="I96" s="112"/>
    </row>
    <row r="97" spans="1:9" ht="19" customHeight="1">
      <c r="A97" s="111" t="s">
        <v>4517</v>
      </c>
      <c r="B97" s="111" t="s">
        <v>2429</v>
      </c>
      <c r="C97" s="111" t="s">
        <v>2029</v>
      </c>
      <c r="D97" s="112" t="s">
        <v>3754</v>
      </c>
      <c r="E97" s="112" t="s">
        <v>4518</v>
      </c>
      <c r="F97" s="112" t="s">
        <v>4519</v>
      </c>
      <c r="G97" s="129">
        <v>1.5</v>
      </c>
      <c r="H97" s="113"/>
      <c r="I97" s="112"/>
    </row>
    <row r="98" spans="1:9" ht="19" customHeight="1">
      <c r="A98" s="111" t="s">
        <v>4520</v>
      </c>
      <c r="B98" s="111" t="s">
        <v>3249</v>
      </c>
      <c r="C98" s="111" t="s">
        <v>2029</v>
      </c>
      <c r="D98" s="112" t="s">
        <v>3754</v>
      </c>
      <c r="E98" s="112" t="s">
        <v>4521</v>
      </c>
      <c r="F98" s="112" t="s">
        <v>4522</v>
      </c>
      <c r="G98" s="129"/>
      <c r="H98" s="113">
        <v>2</v>
      </c>
      <c r="I98" s="112"/>
    </row>
    <row r="99" spans="1:9" ht="19" customHeight="1">
      <c r="A99" s="111" t="s">
        <v>1670</v>
      </c>
      <c r="B99" s="111" t="s">
        <v>1664</v>
      </c>
      <c r="C99" s="111" t="s">
        <v>2030</v>
      </c>
      <c r="D99" s="112" t="s">
        <v>1601</v>
      </c>
      <c r="E99" s="112" t="s">
        <v>2563</v>
      </c>
      <c r="F99" s="112" t="s">
        <v>2564</v>
      </c>
      <c r="G99" s="129">
        <v>4</v>
      </c>
      <c r="H99" s="113"/>
      <c r="I99" s="112"/>
    </row>
    <row r="100" spans="1:9" ht="19" customHeight="1">
      <c r="A100" s="111" t="s">
        <v>2565</v>
      </c>
      <c r="B100" s="111" t="s">
        <v>1683</v>
      </c>
      <c r="C100" s="111" t="s">
        <v>2030</v>
      </c>
      <c r="D100" s="112" t="s">
        <v>1601</v>
      </c>
      <c r="E100" s="112" t="s">
        <v>2566</v>
      </c>
      <c r="F100" s="112" t="s">
        <v>3276</v>
      </c>
      <c r="G100" s="129">
        <v>1</v>
      </c>
      <c r="H100" s="113"/>
      <c r="I100" s="112"/>
    </row>
    <row r="101" spans="1:9" ht="19" customHeight="1">
      <c r="A101" s="111" t="s">
        <v>2661</v>
      </c>
      <c r="B101" s="111" t="s">
        <v>3249</v>
      </c>
      <c r="C101" s="111" t="s">
        <v>2030</v>
      </c>
      <c r="D101" s="112" t="s">
        <v>1601</v>
      </c>
      <c r="E101" s="112" t="s">
        <v>2568</v>
      </c>
      <c r="F101" s="112" t="s">
        <v>3277</v>
      </c>
      <c r="G101" s="129"/>
      <c r="H101" s="113">
        <v>4</v>
      </c>
      <c r="I101" s="112" t="s">
        <v>2569</v>
      </c>
    </row>
    <row r="102" spans="1:9" ht="19" customHeight="1">
      <c r="A102" s="111" t="s">
        <v>2682</v>
      </c>
      <c r="B102" s="111" t="s">
        <v>2419</v>
      </c>
      <c r="C102" s="111" t="s">
        <v>2030</v>
      </c>
      <c r="D102" s="112" t="s">
        <v>1601</v>
      </c>
      <c r="E102" s="112" t="s">
        <v>2571</v>
      </c>
      <c r="F102" s="112" t="s">
        <v>2421</v>
      </c>
      <c r="G102" s="129"/>
      <c r="H102" s="113">
        <v>2</v>
      </c>
      <c r="I102" s="112"/>
    </row>
    <row r="103" spans="1:9" ht="19" customHeight="1">
      <c r="A103" s="111" t="s">
        <v>2744</v>
      </c>
      <c r="B103" s="111" t="s">
        <v>3249</v>
      </c>
      <c r="C103" s="111" t="s">
        <v>2030</v>
      </c>
      <c r="D103" s="112" t="s">
        <v>3181</v>
      </c>
      <c r="E103" s="112" t="s">
        <v>3278</v>
      </c>
      <c r="F103" s="112" t="s">
        <v>3279</v>
      </c>
      <c r="G103" s="129"/>
      <c r="H103" s="113">
        <v>2</v>
      </c>
      <c r="I103" s="112" t="s">
        <v>2569</v>
      </c>
    </row>
    <row r="104" spans="1:9" ht="19" customHeight="1">
      <c r="A104" s="111" t="s">
        <v>2791</v>
      </c>
      <c r="B104" s="111" t="s">
        <v>3249</v>
      </c>
      <c r="C104" s="111" t="s">
        <v>2030</v>
      </c>
      <c r="D104" s="112" t="s">
        <v>1631</v>
      </c>
      <c r="E104" s="112" t="s">
        <v>2574</v>
      </c>
      <c r="F104" s="112" t="s">
        <v>2575</v>
      </c>
      <c r="G104" s="129"/>
      <c r="H104" s="113">
        <v>1</v>
      </c>
      <c r="I104" s="112"/>
    </row>
    <row r="105" spans="1:9" ht="19" customHeight="1">
      <c r="A105" s="111" t="s">
        <v>1469</v>
      </c>
      <c r="B105" s="111" t="s">
        <v>1676</v>
      </c>
      <c r="C105" s="111" t="s">
        <v>2031</v>
      </c>
      <c r="D105" s="112" t="s">
        <v>2136</v>
      </c>
      <c r="E105" s="112" t="s">
        <v>2576</v>
      </c>
      <c r="F105" s="112" t="s">
        <v>2577</v>
      </c>
      <c r="G105" s="129">
        <v>2</v>
      </c>
      <c r="H105" s="113"/>
      <c r="I105" s="112"/>
    </row>
    <row r="106" spans="1:9" ht="19" customHeight="1">
      <c r="A106" s="111" t="s">
        <v>2578</v>
      </c>
      <c r="B106" s="111" t="s">
        <v>2429</v>
      </c>
      <c r="C106" s="111" t="s">
        <v>2031</v>
      </c>
      <c r="D106" s="112" t="s">
        <v>2136</v>
      </c>
      <c r="E106" s="112" t="s">
        <v>2579</v>
      </c>
      <c r="F106" s="112" t="s">
        <v>2580</v>
      </c>
      <c r="G106" s="129">
        <v>2</v>
      </c>
      <c r="H106" s="113"/>
      <c r="I106" s="112"/>
    </row>
    <row r="107" spans="1:9" ht="19" customHeight="1">
      <c r="A107" s="111" t="s">
        <v>2581</v>
      </c>
      <c r="B107" s="111" t="s">
        <v>2582</v>
      </c>
      <c r="C107" s="111" t="s">
        <v>2031</v>
      </c>
      <c r="D107" s="112" t="s">
        <v>2136</v>
      </c>
      <c r="E107" s="112" t="s">
        <v>2583</v>
      </c>
      <c r="F107" s="112" t="s">
        <v>2584</v>
      </c>
      <c r="G107" s="129"/>
      <c r="H107" s="113">
        <v>3</v>
      </c>
      <c r="I107" s="112" t="s">
        <v>2585</v>
      </c>
    </row>
    <row r="108" spans="1:9" ht="19" customHeight="1">
      <c r="A108" s="111" t="s">
        <v>2696</v>
      </c>
      <c r="B108" s="111" t="s">
        <v>2419</v>
      </c>
      <c r="C108" s="111" t="s">
        <v>2031</v>
      </c>
      <c r="D108" s="112" t="s">
        <v>2136</v>
      </c>
      <c r="E108" s="112" t="s">
        <v>2587</v>
      </c>
      <c r="F108" s="112" t="s">
        <v>2588</v>
      </c>
      <c r="G108" s="129"/>
      <c r="H108" s="113">
        <v>1.5</v>
      </c>
      <c r="I108" s="112"/>
    </row>
    <row r="109" spans="1:9" ht="19" customHeight="1">
      <c r="A109" s="111" t="s">
        <v>1671</v>
      </c>
      <c r="B109" s="111" t="s">
        <v>1664</v>
      </c>
      <c r="C109" s="111" t="s">
        <v>2031</v>
      </c>
      <c r="D109" s="112" t="s">
        <v>2190</v>
      </c>
      <c r="E109" s="112" t="s">
        <v>3730</v>
      </c>
      <c r="F109" s="112" t="s">
        <v>3731</v>
      </c>
      <c r="G109" s="129">
        <v>1</v>
      </c>
      <c r="H109" s="113"/>
      <c r="I109" s="112"/>
    </row>
    <row r="110" spans="1:9" ht="19" customHeight="1">
      <c r="A110" s="111" t="s">
        <v>2788</v>
      </c>
      <c r="B110" s="111" t="s">
        <v>3732</v>
      </c>
      <c r="C110" s="111" t="s">
        <v>2031</v>
      </c>
      <c r="D110" s="112" t="s">
        <v>2190</v>
      </c>
      <c r="E110" s="112" t="s">
        <v>3733</v>
      </c>
      <c r="F110" s="112" t="s">
        <v>3734</v>
      </c>
      <c r="G110" s="129"/>
      <c r="H110" s="113">
        <v>1.5</v>
      </c>
      <c r="I110" s="112"/>
    </row>
    <row r="111" spans="1:9" ht="19" customHeight="1">
      <c r="A111" s="111" t="s">
        <v>1480</v>
      </c>
      <c r="B111" s="111" t="s">
        <v>1678</v>
      </c>
      <c r="C111" s="111" t="s">
        <v>2034</v>
      </c>
      <c r="D111" s="112" t="s">
        <v>1638</v>
      </c>
      <c r="E111" s="112" t="s">
        <v>2589</v>
      </c>
      <c r="F111" s="112" t="s">
        <v>2590</v>
      </c>
      <c r="G111" s="129">
        <v>2</v>
      </c>
      <c r="H111" s="113"/>
      <c r="I111" s="112"/>
    </row>
    <row r="112" spans="1:9" ht="19" customHeight="1">
      <c r="A112" s="111" t="s">
        <v>2605</v>
      </c>
      <c r="B112" s="111" t="s">
        <v>2592</v>
      </c>
      <c r="C112" s="111" t="s">
        <v>2034</v>
      </c>
      <c r="D112" s="112" t="s">
        <v>1638</v>
      </c>
      <c r="E112" s="112" t="s">
        <v>2593</v>
      </c>
      <c r="F112" s="112" t="s">
        <v>2594</v>
      </c>
      <c r="G112" s="129"/>
      <c r="H112" s="113">
        <v>2</v>
      </c>
      <c r="I112" s="112"/>
    </row>
    <row r="113" spans="1:9" ht="19" customHeight="1">
      <c r="A113" s="111" t="s">
        <v>2799</v>
      </c>
      <c r="B113" s="111" t="s">
        <v>2419</v>
      </c>
      <c r="C113" s="111" t="s">
        <v>2034</v>
      </c>
      <c r="D113" s="112" t="s">
        <v>1638</v>
      </c>
      <c r="E113" s="112" t="s">
        <v>2596</v>
      </c>
      <c r="F113" s="112" t="s">
        <v>2597</v>
      </c>
      <c r="G113" s="129"/>
      <c r="H113" s="113">
        <v>1</v>
      </c>
      <c r="I113" s="112"/>
    </row>
    <row r="114" spans="1:9" ht="19" customHeight="1">
      <c r="A114" s="111" t="s">
        <v>1481</v>
      </c>
      <c r="B114" s="111" t="s">
        <v>1678</v>
      </c>
      <c r="C114" s="111" t="s">
        <v>2034</v>
      </c>
      <c r="D114" s="112" t="s">
        <v>1639</v>
      </c>
      <c r="E114" s="112" t="s">
        <v>2598</v>
      </c>
      <c r="F114" s="112" t="s">
        <v>2599</v>
      </c>
      <c r="G114" s="129">
        <v>1.5</v>
      </c>
      <c r="H114" s="113"/>
      <c r="I114" s="112"/>
    </row>
    <row r="115" spans="1:9" ht="19" customHeight="1">
      <c r="A115" s="111" t="s">
        <v>2785</v>
      </c>
      <c r="B115" s="111" t="s">
        <v>2592</v>
      </c>
      <c r="C115" s="111" t="s">
        <v>2034</v>
      </c>
      <c r="D115" s="112" t="s">
        <v>1639</v>
      </c>
      <c r="E115" s="112" t="s">
        <v>2601</v>
      </c>
      <c r="F115" s="112" t="s">
        <v>2602</v>
      </c>
      <c r="G115" s="129"/>
      <c r="H115" s="113">
        <v>2</v>
      </c>
      <c r="I115" s="112"/>
    </row>
    <row r="116" spans="1:9" ht="19" customHeight="1">
      <c r="A116" s="111" t="s">
        <v>2782</v>
      </c>
      <c r="B116" s="111" t="s">
        <v>1678</v>
      </c>
      <c r="C116" s="111" t="s">
        <v>2034</v>
      </c>
      <c r="D116" s="112" t="s">
        <v>1640</v>
      </c>
      <c r="E116" s="112" t="s">
        <v>2603</v>
      </c>
      <c r="F116" s="112" t="s">
        <v>2604</v>
      </c>
      <c r="G116" s="129">
        <v>1.5</v>
      </c>
      <c r="H116" s="113"/>
      <c r="I116" s="112"/>
    </row>
    <row r="117" spans="1:9" ht="19" customHeight="1">
      <c r="A117" s="111" t="s">
        <v>3729</v>
      </c>
      <c r="B117" s="111" t="s">
        <v>2592</v>
      </c>
      <c r="C117" s="111" t="s">
        <v>2034</v>
      </c>
      <c r="D117" s="112" t="s">
        <v>1640</v>
      </c>
      <c r="E117" s="112" t="s">
        <v>2606</v>
      </c>
      <c r="F117" s="112" t="s">
        <v>2607</v>
      </c>
      <c r="G117" s="129"/>
      <c r="H117" s="113">
        <v>2</v>
      </c>
      <c r="I117" s="112"/>
    </row>
    <row r="118" spans="1:9" ht="19" customHeight="1">
      <c r="A118" s="111" t="s">
        <v>4523</v>
      </c>
      <c r="B118" s="111" t="s">
        <v>2462</v>
      </c>
      <c r="C118" s="111" t="s">
        <v>1653</v>
      </c>
      <c r="D118" s="112" t="s">
        <v>1633</v>
      </c>
      <c r="E118" s="112" t="s">
        <v>4524</v>
      </c>
      <c r="F118" s="112" t="s">
        <v>4525</v>
      </c>
      <c r="G118" s="129">
        <v>1</v>
      </c>
      <c r="H118" s="113"/>
      <c r="I118" s="112"/>
    </row>
    <row r="119" spans="1:9" ht="19" customHeight="1">
      <c r="A119" s="111" t="s">
        <v>4526</v>
      </c>
      <c r="B119" s="111" t="s">
        <v>2582</v>
      </c>
      <c r="C119" s="111" t="s">
        <v>1653</v>
      </c>
      <c r="D119" s="112" t="s">
        <v>1633</v>
      </c>
      <c r="E119" s="112" t="s">
        <v>4527</v>
      </c>
      <c r="F119" s="112" t="s">
        <v>4528</v>
      </c>
      <c r="G119" s="129"/>
      <c r="H119" s="113">
        <v>2</v>
      </c>
      <c r="I119" s="112"/>
    </row>
    <row r="120" spans="1:9" ht="19" customHeight="1">
      <c r="A120" s="111" t="s">
        <v>1483</v>
      </c>
      <c r="B120" s="111" t="s">
        <v>2462</v>
      </c>
      <c r="C120" s="111" t="s">
        <v>2039</v>
      </c>
      <c r="D120" s="112" t="s">
        <v>2132</v>
      </c>
      <c r="E120" s="112" t="s">
        <v>2608</v>
      </c>
      <c r="F120" s="112" t="s">
        <v>2609</v>
      </c>
      <c r="G120" s="129">
        <v>2</v>
      </c>
      <c r="H120" s="113"/>
      <c r="I120" s="112"/>
    </row>
    <row r="121" spans="1:9" ht="19" customHeight="1">
      <c r="A121" s="111" t="s">
        <v>2610</v>
      </c>
      <c r="B121" s="111" t="s">
        <v>2466</v>
      </c>
      <c r="C121" s="111" t="s">
        <v>2039</v>
      </c>
      <c r="D121" s="112" t="s">
        <v>2132</v>
      </c>
      <c r="E121" s="112" t="s">
        <v>2611</v>
      </c>
      <c r="F121" s="112" t="s">
        <v>2612</v>
      </c>
      <c r="G121" s="129"/>
      <c r="H121" s="113">
        <v>2</v>
      </c>
      <c r="I121" s="112"/>
    </row>
    <row r="122" spans="1:9" ht="19" customHeight="1">
      <c r="A122" s="111" t="s">
        <v>1484</v>
      </c>
      <c r="B122" s="111" t="s">
        <v>2462</v>
      </c>
      <c r="C122" s="111" t="s">
        <v>2039</v>
      </c>
      <c r="D122" s="112" t="s">
        <v>2086</v>
      </c>
      <c r="E122" s="112" t="s">
        <v>2613</v>
      </c>
      <c r="F122" s="112" t="s">
        <v>2614</v>
      </c>
      <c r="G122" s="129">
        <v>5</v>
      </c>
      <c r="H122" s="113"/>
      <c r="I122" s="112" t="s">
        <v>2615</v>
      </c>
    </row>
    <row r="123" spans="1:9" ht="19" customHeight="1">
      <c r="A123" s="111" t="s">
        <v>2616</v>
      </c>
      <c r="B123" s="111" t="s">
        <v>2466</v>
      </c>
      <c r="C123" s="111" t="s">
        <v>2039</v>
      </c>
      <c r="D123" s="112" t="s">
        <v>2086</v>
      </c>
      <c r="E123" s="112" t="s">
        <v>2617</v>
      </c>
      <c r="F123" s="112" t="s">
        <v>2618</v>
      </c>
      <c r="G123" s="129"/>
      <c r="H123" s="113">
        <v>8</v>
      </c>
      <c r="I123" s="112"/>
    </row>
    <row r="124" spans="1:9" ht="19" customHeight="1">
      <c r="A124" s="111" t="s">
        <v>2619</v>
      </c>
      <c r="B124" s="111" t="s">
        <v>2466</v>
      </c>
      <c r="C124" s="111" t="s">
        <v>2039</v>
      </c>
      <c r="D124" s="112" t="s">
        <v>2086</v>
      </c>
      <c r="E124" s="112" t="s">
        <v>2620</v>
      </c>
      <c r="F124" s="112" t="s">
        <v>2621</v>
      </c>
      <c r="G124" s="129"/>
      <c r="H124" s="113">
        <v>4</v>
      </c>
      <c r="I124" s="112"/>
    </row>
    <row r="125" spans="1:9" ht="19" customHeight="1">
      <c r="A125" s="111" t="s">
        <v>1485</v>
      </c>
      <c r="B125" s="111" t="s">
        <v>2462</v>
      </c>
      <c r="C125" s="111" t="s">
        <v>2039</v>
      </c>
      <c r="D125" s="112" t="s">
        <v>2088</v>
      </c>
      <c r="E125" s="112" t="s">
        <v>2622</v>
      </c>
      <c r="F125" s="112" t="s">
        <v>2623</v>
      </c>
      <c r="G125" s="129">
        <v>4</v>
      </c>
      <c r="H125" s="113"/>
      <c r="I125" s="112"/>
    </row>
    <row r="126" spans="1:9" ht="19" customHeight="1">
      <c r="A126" s="111" t="s">
        <v>2624</v>
      </c>
      <c r="B126" s="111" t="s">
        <v>2466</v>
      </c>
      <c r="C126" s="111" t="s">
        <v>2039</v>
      </c>
      <c r="D126" s="112" t="s">
        <v>2088</v>
      </c>
      <c r="E126" s="112" t="s">
        <v>2625</v>
      </c>
      <c r="F126" s="112" t="s">
        <v>3280</v>
      </c>
      <c r="G126" s="129"/>
      <c r="H126" s="113">
        <v>8</v>
      </c>
      <c r="I126" s="112"/>
    </row>
    <row r="127" spans="1:9" ht="19" customHeight="1">
      <c r="A127" s="111" t="s">
        <v>2626</v>
      </c>
      <c r="B127" s="111" t="s">
        <v>2466</v>
      </c>
      <c r="C127" s="111" t="s">
        <v>2039</v>
      </c>
      <c r="D127" s="112" t="s">
        <v>2088</v>
      </c>
      <c r="E127" s="112" t="s">
        <v>2627</v>
      </c>
      <c r="F127" s="112" t="s">
        <v>2628</v>
      </c>
      <c r="G127" s="129"/>
      <c r="H127" s="113">
        <v>3</v>
      </c>
      <c r="I127" s="112"/>
    </row>
    <row r="128" spans="1:9" ht="19" customHeight="1">
      <c r="A128" s="111" t="s">
        <v>2629</v>
      </c>
      <c r="B128" s="111" t="s">
        <v>2630</v>
      </c>
      <c r="C128" s="111" t="s">
        <v>2039</v>
      </c>
      <c r="D128" s="112" t="s">
        <v>2088</v>
      </c>
      <c r="E128" s="112" t="s">
        <v>3281</v>
      </c>
      <c r="F128" s="112" t="s">
        <v>3282</v>
      </c>
      <c r="G128" s="129"/>
      <c r="H128" s="113">
        <v>4</v>
      </c>
      <c r="I128" s="112" t="s">
        <v>2631</v>
      </c>
    </row>
    <row r="129" spans="1:9" ht="19" customHeight="1">
      <c r="A129" s="111" t="s">
        <v>1672</v>
      </c>
      <c r="B129" s="111" t="s">
        <v>1664</v>
      </c>
      <c r="C129" s="111" t="s">
        <v>2039</v>
      </c>
      <c r="D129" s="112" t="s">
        <v>2108</v>
      </c>
      <c r="E129" s="112" t="s">
        <v>2632</v>
      </c>
      <c r="F129" s="112" t="s">
        <v>2633</v>
      </c>
      <c r="G129" s="129">
        <v>3</v>
      </c>
      <c r="H129" s="113"/>
      <c r="I129" s="112"/>
    </row>
    <row r="130" spans="1:9" ht="19" customHeight="1">
      <c r="A130" s="111" t="s">
        <v>2778</v>
      </c>
      <c r="B130" s="111" t="s">
        <v>3249</v>
      </c>
      <c r="C130" s="111" t="s">
        <v>2039</v>
      </c>
      <c r="D130" s="112" t="s">
        <v>2108</v>
      </c>
      <c r="E130" s="112" t="s">
        <v>2635</v>
      </c>
      <c r="F130" s="112" t="s">
        <v>2636</v>
      </c>
      <c r="G130" s="129"/>
      <c r="H130" s="113">
        <v>4</v>
      </c>
      <c r="I130" s="112"/>
    </row>
    <row r="131" spans="1:9" ht="19" customHeight="1">
      <c r="A131" s="111" t="s">
        <v>1486</v>
      </c>
      <c r="B131" s="111" t="s">
        <v>2462</v>
      </c>
      <c r="C131" s="111" t="s">
        <v>2039</v>
      </c>
      <c r="D131" s="112" t="s">
        <v>2178</v>
      </c>
      <c r="E131" s="112" t="s">
        <v>2637</v>
      </c>
      <c r="F131" s="112" t="s">
        <v>2638</v>
      </c>
      <c r="G131" s="129">
        <v>2</v>
      </c>
      <c r="H131" s="113"/>
      <c r="I131" s="112"/>
    </row>
    <row r="132" spans="1:9" ht="19" customHeight="1">
      <c r="A132" s="111" t="s">
        <v>2639</v>
      </c>
      <c r="B132" s="111" t="s">
        <v>2466</v>
      </c>
      <c r="C132" s="111" t="s">
        <v>2039</v>
      </c>
      <c r="D132" s="112" t="s">
        <v>2178</v>
      </c>
      <c r="E132" s="112" t="s">
        <v>2640</v>
      </c>
      <c r="F132" s="112" t="s">
        <v>2641</v>
      </c>
      <c r="G132" s="129"/>
      <c r="H132" s="113">
        <v>6</v>
      </c>
      <c r="I132" s="112"/>
    </row>
    <row r="133" spans="1:9" ht="19" customHeight="1">
      <c r="A133" s="111" t="s">
        <v>2642</v>
      </c>
      <c r="B133" s="111" t="s">
        <v>2466</v>
      </c>
      <c r="C133" s="111" t="s">
        <v>2039</v>
      </c>
      <c r="D133" s="112" t="s">
        <v>2178</v>
      </c>
      <c r="E133" s="112" t="s">
        <v>2643</v>
      </c>
      <c r="F133" s="112" t="s">
        <v>2644</v>
      </c>
      <c r="G133" s="129"/>
      <c r="H133" s="113">
        <v>4</v>
      </c>
      <c r="I133" s="112"/>
    </row>
    <row r="134" spans="1:9" ht="19" customHeight="1">
      <c r="A134" s="111" t="s">
        <v>1470</v>
      </c>
      <c r="B134" s="111" t="s">
        <v>1676</v>
      </c>
      <c r="C134" s="111" t="s">
        <v>2039</v>
      </c>
      <c r="D134" s="112" t="s">
        <v>3182</v>
      </c>
      <c r="E134" s="112" t="s">
        <v>2645</v>
      </c>
      <c r="F134" s="112" t="s">
        <v>2646</v>
      </c>
      <c r="G134" s="129">
        <v>3</v>
      </c>
      <c r="H134" s="113"/>
      <c r="I134" s="112"/>
    </row>
    <row r="135" spans="1:9" ht="19" customHeight="1">
      <c r="A135" s="111" t="s">
        <v>1471</v>
      </c>
      <c r="B135" s="111" t="s">
        <v>1676</v>
      </c>
      <c r="C135" s="111" t="s">
        <v>2039</v>
      </c>
      <c r="D135" s="112" t="s">
        <v>3182</v>
      </c>
      <c r="E135" s="112" t="s">
        <v>2647</v>
      </c>
      <c r="F135" s="112" t="s">
        <v>2648</v>
      </c>
      <c r="G135" s="129">
        <v>2</v>
      </c>
      <c r="H135" s="113"/>
      <c r="I135" s="112"/>
    </row>
    <row r="136" spans="1:9" ht="19" customHeight="1">
      <c r="A136" s="111" t="s">
        <v>1449</v>
      </c>
      <c r="B136" s="111" t="s">
        <v>1684</v>
      </c>
      <c r="C136" s="111" t="s">
        <v>2042</v>
      </c>
      <c r="D136" s="112" t="s">
        <v>2117</v>
      </c>
      <c r="E136" s="112" t="s">
        <v>2649</v>
      </c>
      <c r="F136" s="112" t="s">
        <v>2650</v>
      </c>
      <c r="G136" s="129">
        <v>3</v>
      </c>
      <c r="H136" s="113"/>
      <c r="I136" s="112"/>
    </row>
    <row r="137" spans="1:9" ht="19" customHeight="1">
      <c r="A137" s="111" t="s">
        <v>2651</v>
      </c>
      <c r="B137" s="111" t="s">
        <v>2466</v>
      </c>
      <c r="C137" s="111" t="s">
        <v>2042</v>
      </c>
      <c r="D137" s="112" t="s">
        <v>2117</v>
      </c>
      <c r="E137" s="112" t="s">
        <v>2652</v>
      </c>
      <c r="F137" s="112" t="s">
        <v>2653</v>
      </c>
      <c r="G137" s="129"/>
      <c r="H137" s="113">
        <v>3</v>
      </c>
      <c r="I137" s="112"/>
    </row>
    <row r="138" spans="1:9" ht="19" customHeight="1">
      <c r="A138" s="111" t="s">
        <v>1472</v>
      </c>
      <c r="B138" s="111" t="s">
        <v>1676</v>
      </c>
      <c r="C138" s="111" t="s">
        <v>2042</v>
      </c>
      <c r="D138" s="112" t="s">
        <v>2080</v>
      </c>
      <c r="E138" s="112" t="s">
        <v>2654</v>
      </c>
      <c r="F138" s="112" t="s">
        <v>2655</v>
      </c>
      <c r="G138" s="129">
        <v>2</v>
      </c>
      <c r="H138" s="113"/>
      <c r="I138" s="112"/>
    </row>
    <row r="139" spans="1:9" ht="19" customHeight="1">
      <c r="A139" s="111" t="s">
        <v>2656</v>
      </c>
      <c r="B139" s="111" t="s">
        <v>2466</v>
      </c>
      <c r="C139" s="111" t="s">
        <v>2042</v>
      </c>
      <c r="D139" s="112" t="s">
        <v>2080</v>
      </c>
      <c r="E139" s="112" t="s">
        <v>2657</v>
      </c>
      <c r="F139" s="112" t="s">
        <v>2658</v>
      </c>
      <c r="G139" s="129"/>
      <c r="H139" s="113">
        <v>1</v>
      </c>
      <c r="I139" s="112"/>
    </row>
    <row r="140" spans="1:9" ht="19" customHeight="1">
      <c r="A140" s="111" t="s">
        <v>1450</v>
      </c>
      <c r="B140" s="111" t="s">
        <v>1684</v>
      </c>
      <c r="C140" s="111" t="s">
        <v>2042</v>
      </c>
      <c r="D140" s="112" t="s">
        <v>2098</v>
      </c>
      <c r="E140" s="112" t="s">
        <v>2659</v>
      </c>
      <c r="F140" s="112" t="s">
        <v>2660</v>
      </c>
      <c r="G140" s="129">
        <v>2</v>
      </c>
      <c r="H140" s="113"/>
      <c r="I140" s="112"/>
    </row>
    <row r="141" spans="1:9" ht="19" customHeight="1">
      <c r="A141" s="111" t="s">
        <v>2809</v>
      </c>
      <c r="B141" s="111" t="s">
        <v>3249</v>
      </c>
      <c r="C141" s="111" t="s">
        <v>2042</v>
      </c>
      <c r="D141" s="112" t="s">
        <v>2098</v>
      </c>
      <c r="E141" s="112" t="s">
        <v>2662</v>
      </c>
      <c r="F141" s="112" t="s">
        <v>2663</v>
      </c>
      <c r="G141" s="129"/>
      <c r="H141" s="113">
        <v>2</v>
      </c>
      <c r="I141" s="112"/>
    </row>
    <row r="142" spans="1:9" ht="19" customHeight="1">
      <c r="A142" s="111" t="s">
        <v>2664</v>
      </c>
      <c r="B142" s="111" t="s">
        <v>1683</v>
      </c>
      <c r="C142" s="111" t="s">
        <v>2042</v>
      </c>
      <c r="D142" s="112" t="s">
        <v>2112</v>
      </c>
      <c r="E142" s="112" t="s">
        <v>2665</v>
      </c>
      <c r="F142" s="112" t="s">
        <v>2666</v>
      </c>
      <c r="G142" s="129">
        <v>2</v>
      </c>
      <c r="H142" s="113"/>
      <c r="I142" s="112"/>
    </row>
    <row r="143" spans="1:9" ht="19" customHeight="1">
      <c r="A143" s="111" t="s">
        <v>2667</v>
      </c>
      <c r="B143" s="111" t="s">
        <v>2582</v>
      </c>
      <c r="C143" s="111" t="s">
        <v>2042</v>
      </c>
      <c r="D143" s="112" t="s">
        <v>2112</v>
      </c>
      <c r="E143" s="112" t="s">
        <v>2668</v>
      </c>
      <c r="F143" s="112" t="s">
        <v>2669</v>
      </c>
      <c r="G143" s="129"/>
      <c r="H143" s="113">
        <v>2</v>
      </c>
      <c r="I143" s="112"/>
    </row>
    <row r="144" spans="1:9" ht="19" customHeight="1">
      <c r="A144" s="111" t="s">
        <v>1487</v>
      </c>
      <c r="B144" s="111" t="s">
        <v>2462</v>
      </c>
      <c r="C144" s="111" t="s">
        <v>2044</v>
      </c>
      <c r="D144" s="112" t="s">
        <v>2092</v>
      </c>
      <c r="E144" s="112" t="s">
        <v>2670</v>
      </c>
      <c r="F144" s="112" t="s">
        <v>2671</v>
      </c>
      <c r="G144" s="129">
        <v>4</v>
      </c>
      <c r="H144" s="113"/>
      <c r="I144" s="112" t="s">
        <v>2672</v>
      </c>
    </row>
    <row r="145" spans="1:9" ht="19" customHeight="1">
      <c r="A145" s="111" t="s">
        <v>1679</v>
      </c>
      <c r="B145" s="111" t="s">
        <v>2462</v>
      </c>
      <c r="C145" s="111" t="s">
        <v>2044</v>
      </c>
      <c r="D145" s="112" t="s">
        <v>2092</v>
      </c>
      <c r="E145" s="112" t="s">
        <v>2673</v>
      </c>
      <c r="F145" s="112" t="s">
        <v>2674</v>
      </c>
      <c r="G145" s="129">
        <v>3</v>
      </c>
      <c r="H145" s="113"/>
      <c r="I145" s="112"/>
    </row>
    <row r="146" spans="1:9" ht="19" customHeight="1">
      <c r="A146" s="111" t="s">
        <v>1680</v>
      </c>
      <c r="B146" s="111" t="s">
        <v>2462</v>
      </c>
      <c r="C146" s="111" t="s">
        <v>2044</v>
      </c>
      <c r="D146" s="112" t="s">
        <v>2092</v>
      </c>
      <c r="E146" s="112" t="s">
        <v>2675</v>
      </c>
      <c r="F146" s="112" t="s">
        <v>2676</v>
      </c>
      <c r="G146" s="129">
        <v>2</v>
      </c>
      <c r="H146" s="113"/>
      <c r="I146" s="112"/>
    </row>
    <row r="147" spans="1:9" ht="19" customHeight="1">
      <c r="A147" s="111" t="s">
        <v>2677</v>
      </c>
      <c r="B147" s="111" t="s">
        <v>2466</v>
      </c>
      <c r="C147" s="111" t="s">
        <v>2044</v>
      </c>
      <c r="D147" s="112" t="s">
        <v>2092</v>
      </c>
      <c r="E147" s="112" t="s">
        <v>2678</v>
      </c>
      <c r="F147" s="112" t="s">
        <v>2679</v>
      </c>
      <c r="G147" s="129"/>
      <c r="H147" s="113">
        <v>10</v>
      </c>
      <c r="I147" s="112"/>
    </row>
    <row r="148" spans="1:9" ht="19" customHeight="1">
      <c r="A148" s="111" t="s">
        <v>2680</v>
      </c>
      <c r="B148" s="111" t="s">
        <v>2466</v>
      </c>
      <c r="C148" s="111" t="s">
        <v>2044</v>
      </c>
      <c r="D148" s="112" t="s">
        <v>2092</v>
      </c>
      <c r="E148" s="112" t="s">
        <v>4529</v>
      </c>
      <c r="F148" s="112" t="s">
        <v>4530</v>
      </c>
      <c r="G148" s="129"/>
      <c r="H148" s="113">
        <v>4</v>
      </c>
      <c r="I148" s="112"/>
    </row>
    <row r="149" spans="1:9" ht="19" customHeight="1">
      <c r="A149" s="111" t="s">
        <v>2681</v>
      </c>
      <c r="B149" s="111" t="s">
        <v>2466</v>
      </c>
      <c r="C149" s="111" t="s">
        <v>2044</v>
      </c>
      <c r="D149" s="112" t="s">
        <v>2092</v>
      </c>
      <c r="E149" s="112" t="s">
        <v>4531</v>
      </c>
      <c r="F149" s="112" t="s">
        <v>4532</v>
      </c>
      <c r="G149" s="129"/>
      <c r="H149" s="113">
        <v>4</v>
      </c>
      <c r="I149" s="112"/>
    </row>
    <row r="150" spans="1:9" ht="19" customHeight="1">
      <c r="A150" s="111" t="s">
        <v>2780</v>
      </c>
      <c r="B150" s="111" t="s">
        <v>2419</v>
      </c>
      <c r="C150" s="111" t="s">
        <v>2044</v>
      </c>
      <c r="D150" s="112" t="s">
        <v>2092</v>
      </c>
      <c r="E150" s="112" t="s">
        <v>2683</v>
      </c>
      <c r="F150" s="112" t="s">
        <v>2684</v>
      </c>
      <c r="G150" s="129"/>
      <c r="H150" s="113">
        <v>4</v>
      </c>
      <c r="I150" s="112"/>
    </row>
    <row r="151" spans="1:9" ht="19" customHeight="1">
      <c r="A151" s="111" t="s">
        <v>2685</v>
      </c>
      <c r="B151" s="111" t="s">
        <v>2462</v>
      </c>
      <c r="C151" s="111" t="s">
        <v>2044</v>
      </c>
      <c r="D151" s="112" t="s">
        <v>2126</v>
      </c>
      <c r="E151" s="112" t="s">
        <v>2686</v>
      </c>
      <c r="F151" s="112" t="s">
        <v>2687</v>
      </c>
      <c r="G151" s="129">
        <v>2</v>
      </c>
      <c r="H151" s="113"/>
      <c r="I151" s="112"/>
    </row>
    <row r="152" spans="1:9" ht="19" customHeight="1">
      <c r="A152" s="111" t="s">
        <v>2688</v>
      </c>
      <c r="B152" s="111" t="s">
        <v>2466</v>
      </c>
      <c r="C152" s="111" t="s">
        <v>2044</v>
      </c>
      <c r="D152" s="112" t="s">
        <v>2126</v>
      </c>
      <c r="E152" s="112" t="s">
        <v>2689</v>
      </c>
      <c r="F152" s="112" t="s">
        <v>2690</v>
      </c>
      <c r="G152" s="129"/>
      <c r="H152" s="113">
        <v>4</v>
      </c>
      <c r="I152" s="112"/>
    </row>
    <row r="153" spans="1:9" ht="19" customHeight="1">
      <c r="A153" s="111" t="s">
        <v>1451</v>
      </c>
      <c r="B153" s="111" t="s">
        <v>1684</v>
      </c>
      <c r="C153" s="111" t="s">
        <v>2046</v>
      </c>
      <c r="D153" s="112" t="s">
        <v>2084</v>
      </c>
      <c r="E153" s="112" t="s">
        <v>2691</v>
      </c>
      <c r="F153" s="112" t="s">
        <v>2692</v>
      </c>
      <c r="G153" s="129">
        <v>3</v>
      </c>
      <c r="H153" s="113"/>
      <c r="I153" s="112"/>
    </row>
    <row r="154" spans="1:9" ht="19" customHeight="1">
      <c r="A154" s="111" t="s">
        <v>2693</v>
      </c>
      <c r="B154" s="111" t="s">
        <v>2466</v>
      </c>
      <c r="C154" s="111" t="s">
        <v>2046</v>
      </c>
      <c r="D154" s="112" t="s">
        <v>2084</v>
      </c>
      <c r="E154" s="112" t="s">
        <v>2694</v>
      </c>
      <c r="F154" s="112" t="s">
        <v>2695</v>
      </c>
      <c r="G154" s="129"/>
      <c r="H154" s="113">
        <v>4</v>
      </c>
      <c r="I154" s="112"/>
    </row>
    <row r="155" spans="1:9" ht="19" customHeight="1">
      <c r="A155" s="111" t="s">
        <v>2812</v>
      </c>
      <c r="B155" s="111" t="s">
        <v>2419</v>
      </c>
      <c r="C155" s="111" t="s">
        <v>2046</v>
      </c>
      <c r="D155" s="112" t="s">
        <v>2084</v>
      </c>
      <c r="E155" s="112" t="s">
        <v>2697</v>
      </c>
      <c r="F155" s="112" t="s">
        <v>2698</v>
      </c>
      <c r="G155" s="129"/>
      <c r="H155" s="113">
        <v>2</v>
      </c>
      <c r="I155" s="112"/>
    </row>
    <row r="156" spans="1:9" ht="19" customHeight="1">
      <c r="A156" s="111" t="s">
        <v>1452</v>
      </c>
      <c r="B156" s="111" t="s">
        <v>1684</v>
      </c>
      <c r="C156" s="111" t="s">
        <v>2046</v>
      </c>
      <c r="D156" s="112" t="s">
        <v>2115</v>
      </c>
      <c r="E156" s="112" t="s">
        <v>2699</v>
      </c>
      <c r="F156" s="112" t="s">
        <v>2700</v>
      </c>
      <c r="G156" s="129">
        <v>3</v>
      </c>
      <c r="H156" s="113"/>
      <c r="I156" s="112"/>
    </row>
    <row r="157" spans="1:9" ht="19" customHeight="1">
      <c r="A157" s="111" t="s">
        <v>2701</v>
      </c>
      <c r="B157" s="111" t="s">
        <v>2466</v>
      </c>
      <c r="C157" s="111" t="s">
        <v>2046</v>
      </c>
      <c r="D157" s="112" t="s">
        <v>2115</v>
      </c>
      <c r="E157" s="112" t="s">
        <v>2702</v>
      </c>
      <c r="F157" s="112" t="s">
        <v>2703</v>
      </c>
      <c r="G157" s="129"/>
      <c r="H157" s="113">
        <v>4</v>
      </c>
      <c r="I157" s="112"/>
    </row>
    <row r="158" spans="1:9" ht="19" customHeight="1">
      <c r="A158" s="111" t="s">
        <v>1453</v>
      </c>
      <c r="B158" s="111" t="s">
        <v>1684</v>
      </c>
      <c r="C158" s="111" t="s">
        <v>2046</v>
      </c>
      <c r="D158" s="112" t="s">
        <v>2138</v>
      </c>
      <c r="E158" s="112" t="s">
        <v>2704</v>
      </c>
      <c r="F158" s="112" t="s">
        <v>2705</v>
      </c>
      <c r="G158" s="129">
        <v>2</v>
      </c>
      <c r="H158" s="113"/>
      <c r="I158" s="112"/>
    </row>
    <row r="159" spans="1:9" ht="19" customHeight="1">
      <c r="A159" s="111" t="s">
        <v>2706</v>
      </c>
      <c r="B159" s="111" t="s">
        <v>2582</v>
      </c>
      <c r="C159" s="111" t="s">
        <v>2046</v>
      </c>
      <c r="D159" s="112" t="s">
        <v>2138</v>
      </c>
      <c r="E159" s="112" t="s">
        <v>2707</v>
      </c>
      <c r="F159" s="112" t="s">
        <v>2708</v>
      </c>
      <c r="G159" s="129"/>
      <c r="H159" s="113">
        <v>3</v>
      </c>
      <c r="I159" s="112"/>
    </row>
    <row r="160" spans="1:9" ht="19" customHeight="1">
      <c r="A160" s="111" t="s">
        <v>2709</v>
      </c>
      <c r="B160" s="111" t="s">
        <v>2462</v>
      </c>
      <c r="C160" s="111" t="s">
        <v>2048</v>
      </c>
      <c r="D160" s="112" t="s">
        <v>2176</v>
      </c>
      <c r="E160" s="112" t="s">
        <v>2710</v>
      </c>
      <c r="F160" s="112" t="s">
        <v>2711</v>
      </c>
      <c r="G160" s="129">
        <v>3</v>
      </c>
      <c r="H160" s="113"/>
      <c r="I160" s="112"/>
    </row>
    <row r="161" spans="1:9" ht="19" customHeight="1">
      <c r="A161" s="111" t="s">
        <v>2712</v>
      </c>
      <c r="B161" s="111" t="s">
        <v>2582</v>
      </c>
      <c r="C161" s="111" t="s">
        <v>2048</v>
      </c>
      <c r="D161" s="112" t="s">
        <v>2176</v>
      </c>
      <c r="E161" s="112" t="s">
        <v>2713</v>
      </c>
      <c r="F161" s="112" t="s">
        <v>2714</v>
      </c>
      <c r="G161" s="129"/>
      <c r="H161" s="113">
        <v>8</v>
      </c>
      <c r="I161" s="112" t="s">
        <v>2715</v>
      </c>
    </row>
    <row r="162" spans="1:9" ht="19" customHeight="1">
      <c r="A162" s="111" t="s">
        <v>2716</v>
      </c>
      <c r="B162" s="111" t="s">
        <v>2582</v>
      </c>
      <c r="C162" s="111" t="s">
        <v>2048</v>
      </c>
      <c r="D162" s="112" t="s">
        <v>2128</v>
      </c>
      <c r="E162" s="112" t="s">
        <v>2717</v>
      </c>
      <c r="F162" s="112" t="s">
        <v>2718</v>
      </c>
      <c r="G162" s="129"/>
      <c r="H162" s="113">
        <v>1</v>
      </c>
      <c r="I162" s="112"/>
    </row>
    <row r="163" spans="1:9" ht="19" customHeight="1">
      <c r="A163" s="111" t="s">
        <v>2719</v>
      </c>
      <c r="B163" s="111" t="s">
        <v>2582</v>
      </c>
      <c r="C163" s="111" t="s">
        <v>2048</v>
      </c>
      <c r="D163" s="112" t="s">
        <v>2121</v>
      </c>
      <c r="E163" s="112" t="s">
        <v>2720</v>
      </c>
      <c r="F163" s="112" t="s">
        <v>2721</v>
      </c>
      <c r="G163" s="129"/>
      <c r="H163" s="113">
        <v>1</v>
      </c>
      <c r="I163" s="112"/>
    </row>
    <row r="164" spans="1:9" ht="19" customHeight="1">
      <c r="A164" s="111" t="s">
        <v>2722</v>
      </c>
      <c r="B164" s="111" t="s">
        <v>2462</v>
      </c>
      <c r="C164" s="111" t="s">
        <v>2048</v>
      </c>
      <c r="D164" s="112" t="s">
        <v>2123</v>
      </c>
      <c r="E164" s="112" t="s">
        <v>2723</v>
      </c>
      <c r="F164" s="112" t="s">
        <v>2724</v>
      </c>
      <c r="G164" s="129">
        <v>1.5</v>
      </c>
      <c r="H164" s="113"/>
      <c r="I164" s="112"/>
    </row>
    <row r="165" spans="1:9" ht="19" customHeight="1">
      <c r="A165" s="111" t="s">
        <v>2725</v>
      </c>
      <c r="B165" s="111" t="s">
        <v>2466</v>
      </c>
      <c r="C165" s="111" t="s">
        <v>2048</v>
      </c>
      <c r="D165" s="112" t="s">
        <v>2123</v>
      </c>
      <c r="E165" s="112" t="s">
        <v>2726</v>
      </c>
      <c r="F165" s="112" t="s">
        <v>2727</v>
      </c>
      <c r="G165" s="129"/>
      <c r="H165" s="113">
        <v>2</v>
      </c>
      <c r="I165" s="112"/>
    </row>
    <row r="166" spans="1:9" ht="19" customHeight="1">
      <c r="A166" s="111" t="s">
        <v>2728</v>
      </c>
      <c r="B166" s="111" t="s">
        <v>2462</v>
      </c>
      <c r="C166" s="111" t="s">
        <v>2048</v>
      </c>
      <c r="D166" s="112" t="s">
        <v>3183</v>
      </c>
      <c r="E166" s="112" t="s">
        <v>3283</v>
      </c>
      <c r="F166" s="112" t="s">
        <v>2729</v>
      </c>
      <c r="G166" s="129">
        <v>3</v>
      </c>
      <c r="H166" s="113"/>
      <c r="I166" s="112"/>
    </row>
    <row r="167" spans="1:9" ht="19" customHeight="1">
      <c r="A167" s="111" t="s">
        <v>1489</v>
      </c>
      <c r="B167" s="111" t="s">
        <v>2408</v>
      </c>
      <c r="C167" s="111" t="s">
        <v>2048</v>
      </c>
      <c r="D167" s="112" t="s">
        <v>3183</v>
      </c>
      <c r="E167" s="112" t="s">
        <v>2730</v>
      </c>
      <c r="F167" s="112" t="s">
        <v>2731</v>
      </c>
      <c r="G167" s="129">
        <v>3</v>
      </c>
      <c r="H167" s="113"/>
      <c r="I167" s="112"/>
    </row>
    <row r="168" spans="1:9" ht="19" customHeight="1">
      <c r="A168" s="111" t="s">
        <v>2732</v>
      </c>
      <c r="B168" s="111" t="s">
        <v>2466</v>
      </c>
      <c r="C168" s="111" t="s">
        <v>2048</v>
      </c>
      <c r="D168" s="112" t="s">
        <v>3183</v>
      </c>
      <c r="E168" s="112" t="s">
        <v>3284</v>
      </c>
      <c r="F168" s="112" t="s">
        <v>2733</v>
      </c>
      <c r="G168" s="129"/>
      <c r="H168" s="113">
        <v>3</v>
      </c>
      <c r="I168" s="112"/>
    </row>
    <row r="169" spans="1:9" ht="19" customHeight="1">
      <c r="A169" s="111" t="s">
        <v>2804</v>
      </c>
      <c r="B169" s="111" t="s">
        <v>2415</v>
      </c>
      <c r="C169" s="111" t="s">
        <v>2048</v>
      </c>
      <c r="D169" s="112" t="s">
        <v>3183</v>
      </c>
      <c r="E169" s="112" t="s">
        <v>2735</v>
      </c>
      <c r="F169" s="112" t="s">
        <v>2736</v>
      </c>
      <c r="G169" s="129"/>
      <c r="H169" s="113">
        <v>4</v>
      </c>
      <c r="I169" s="112"/>
    </row>
    <row r="170" spans="1:9" ht="19" customHeight="1">
      <c r="A170" s="111" t="s">
        <v>4533</v>
      </c>
      <c r="B170" s="111" t="s">
        <v>2466</v>
      </c>
      <c r="C170" s="111" t="s">
        <v>2048</v>
      </c>
      <c r="D170" s="112" t="s">
        <v>3183</v>
      </c>
      <c r="E170" s="112" t="s">
        <v>4534</v>
      </c>
      <c r="F170" s="112" t="s">
        <v>4535</v>
      </c>
      <c r="G170" s="129"/>
      <c r="H170" s="113">
        <v>2</v>
      </c>
      <c r="I170" s="112"/>
    </row>
    <row r="171" spans="1:9" ht="19" customHeight="1">
      <c r="A171" s="111" t="s">
        <v>1674</v>
      </c>
      <c r="B171" s="111" t="s">
        <v>1664</v>
      </c>
      <c r="C171" s="111" t="s">
        <v>2048</v>
      </c>
      <c r="D171" s="112" t="s">
        <v>3758</v>
      </c>
      <c r="E171" s="112" t="s">
        <v>4536</v>
      </c>
      <c r="F171" s="112" t="s">
        <v>4537</v>
      </c>
      <c r="G171" s="129">
        <v>1.5</v>
      </c>
      <c r="H171" s="113"/>
      <c r="I171" s="112"/>
    </row>
    <row r="172" spans="1:9" ht="19" customHeight="1">
      <c r="A172" s="111" t="s">
        <v>4538</v>
      </c>
      <c r="B172" s="111" t="s">
        <v>3249</v>
      </c>
      <c r="C172" s="111" t="s">
        <v>2048</v>
      </c>
      <c r="D172" s="112" t="s">
        <v>3758</v>
      </c>
      <c r="E172" s="112" t="s">
        <v>4539</v>
      </c>
      <c r="F172" s="112" t="s">
        <v>4540</v>
      </c>
      <c r="G172" s="129"/>
      <c r="H172" s="113">
        <v>2</v>
      </c>
      <c r="I172" s="112"/>
    </row>
    <row r="173" spans="1:9" ht="19" customHeight="1">
      <c r="A173" s="111" t="s">
        <v>1496</v>
      </c>
      <c r="B173" s="111" t="s">
        <v>1497</v>
      </c>
      <c r="C173" s="111" t="s">
        <v>2049</v>
      </c>
      <c r="D173" s="112" t="s">
        <v>2102</v>
      </c>
      <c r="E173" s="112" t="s">
        <v>2737</v>
      </c>
      <c r="F173" s="112" t="s">
        <v>2738</v>
      </c>
      <c r="G173" s="129">
        <v>2</v>
      </c>
      <c r="H173" s="113"/>
      <c r="I173" s="112"/>
    </row>
    <row r="174" spans="1:9" ht="19" customHeight="1">
      <c r="A174" s="111" t="s">
        <v>2739</v>
      </c>
      <c r="B174" s="111" t="s">
        <v>2469</v>
      </c>
      <c r="C174" s="111" t="s">
        <v>2049</v>
      </c>
      <c r="D174" s="112" t="s">
        <v>2102</v>
      </c>
      <c r="E174" s="112" t="s">
        <v>2740</v>
      </c>
      <c r="F174" s="112" t="s">
        <v>2741</v>
      </c>
      <c r="G174" s="129"/>
      <c r="H174" s="113">
        <v>2</v>
      </c>
      <c r="I174" s="112"/>
    </row>
    <row r="175" spans="1:9" ht="19" customHeight="1">
      <c r="A175" s="111" t="s">
        <v>1454</v>
      </c>
      <c r="B175" s="111" t="s">
        <v>1684</v>
      </c>
      <c r="C175" s="111" t="s">
        <v>2051</v>
      </c>
      <c r="D175" s="112" t="s">
        <v>2134</v>
      </c>
      <c r="E175" s="112" t="s">
        <v>2742</v>
      </c>
      <c r="F175" s="112" t="s">
        <v>2743</v>
      </c>
      <c r="G175" s="129">
        <v>3</v>
      </c>
      <c r="H175" s="113"/>
      <c r="I175" s="112"/>
    </row>
    <row r="176" spans="1:9" ht="19" customHeight="1">
      <c r="A176" s="111" t="s">
        <v>3661</v>
      </c>
      <c r="B176" s="111" t="s">
        <v>3249</v>
      </c>
      <c r="C176" s="111" t="s">
        <v>2051</v>
      </c>
      <c r="D176" s="112" t="s">
        <v>2134</v>
      </c>
      <c r="E176" s="112" t="s">
        <v>2745</v>
      </c>
      <c r="F176" s="112" t="s">
        <v>2746</v>
      </c>
      <c r="G176" s="129"/>
      <c r="H176" s="113">
        <v>2</v>
      </c>
      <c r="I176" s="112"/>
    </row>
    <row r="177" spans="1:9" ht="19" customHeight="1">
      <c r="A177" s="111" t="s">
        <v>2747</v>
      </c>
      <c r="B177" s="111" t="s">
        <v>2429</v>
      </c>
      <c r="C177" s="111" t="s">
        <v>2051</v>
      </c>
      <c r="D177" s="112" t="s">
        <v>2143</v>
      </c>
      <c r="E177" s="112" t="s">
        <v>2748</v>
      </c>
      <c r="F177" s="112" t="s">
        <v>2749</v>
      </c>
      <c r="G177" s="129">
        <v>2</v>
      </c>
      <c r="H177" s="113"/>
      <c r="I177" s="112"/>
    </row>
    <row r="178" spans="1:9" ht="19" customHeight="1">
      <c r="A178" s="111" t="s">
        <v>2750</v>
      </c>
      <c r="B178" s="111" t="s">
        <v>2462</v>
      </c>
      <c r="C178" s="111" t="s">
        <v>2051</v>
      </c>
      <c r="D178" s="112" t="s">
        <v>2141</v>
      </c>
      <c r="E178" s="112" t="s">
        <v>2751</v>
      </c>
      <c r="F178" s="112" t="s">
        <v>2752</v>
      </c>
      <c r="G178" s="129">
        <v>2</v>
      </c>
      <c r="H178" s="113"/>
      <c r="I178" s="112"/>
    </row>
    <row r="179" spans="1:9" ht="19" customHeight="1">
      <c r="A179" s="111" t="s">
        <v>2753</v>
      </c>
      <c r="B179" s="111" t="s">
        <v>2466</v>
      </c>
      <c r="C179" s="111" t="s">
        <v>2051</v>
      </c>
      <c r="D179" s="112" t="s">
        <v>2141</v>
      </c>
      <c r="E179" s="112" t="s">
        <v>2754</v>
      </c>
      <c r="F179" s="112" t="s">
        <v>2755</v>
      </c>
      <c r="G179" s="129"/>
      <c r="H179" s="113">
        <v>4</v>
      </c>
      <c r="I179" s="112" t="s">
        <v>2631</v>
      </c>
    </row>
    <row r="180" spans="1:9" ht="19" customHeight="1">
      <c r="A180" s="111" t="s">
        <v>1498</v>
      </c>
      <c r="B180" s="111" t="s">
        <v>1497</v>
      </c>
      <c r="C180" s="111" t="s">
        <v>2053</v>
      </c>
      <c r="D180" s="112" t="s">
        <v>2130</v>
      </c>
      <c r="E180" s="112" t="s">
        <v>2756</v>
      </c>
      <c r="F180" s="112" t="s">
        <v>2757</v>
      </c>
      <c r="G180" s="129">
        <v>1.5</v>
      </c>
      <c r="H180" s="113"/>
      <c r="I180" s="112"/>
    </row>
    <row r="181" spans="1:9" ht="19" customHeight="1">
      <c r="A181" s="111" t="s">
        <v>1499</v>
      </c>
      <c r="B181" s="111" t="s">
        <v>1497</v>
      </c>
      <c r="C181" s="111" t="s">
        <v>2053</v>
      </c>
      <c r="D181" s="112" t="s">
        <v>2145</v>
      </c>
      <c r="E181" s="112" t="s">
        <v>2758</v>
      </c>
      <c r="F181" s="112" t="s">
        <v>2759</v>
      </c>
      <c r="G181" s="129">
        <v>3</v>
      </c>
      <c r="H181" s="113"/>
      <c r="I181" s="112"/>
    </row>
    <row r="182" spans="1:9" ht="19" customHeight="1">
      <c r="A182" s="111" t="s">
        <v>2760</v>
      </c>
      <c r="B182" s="111" t="s">
        <v>2469</v>
      </c>
      <c r="C182" s="111" t="s">
        <v>2053</v>
      </c>
      <c r="D182" s="112" t="s">
        <v>2145</v>
      </c>
      <c r="E182" s="112" t="s">
        <v>2761</v>
      </c>
      <c r="F182" s="112" t="s">
        <v>2762</v>
      </c>
      <c r="G182" s="129"/>
      <c r="H182" s="113">
        <v>2</v>
      </c>
      <c r="I182" s="112"/>
    </row>
    <row r="183" spans="1:9" ht="19" customHeight="1">
      <c r="A183" s="111" t="s">
        <v>1500</v>
      </c>
      <c r="B183" s="111" t="s">
        <v>1497</v>
      </c>
      <c r="C183" s="111" t="s">
        <v>2053</v>
      </c>
      <c r="D183" s="112" t="s">
        <v>2180</v>
      </c>
      <c r="E183" s="112" t="s">
        <v>2763</v>
      </c>
      <c r="F183" s="112" t="s">
        <v>2764</v>
      </c>
      <c r="G183" s="129">
        <v>9</v>
      </c>
      <c r="H183" s="113"/>
      <c r="I183" s="112" t="s">
        <v>2765</v>
      </c>
    </row>
    <row r="184" spans="1:9" ht="19" customHeight="1">
      <c r="A184" s="111" t="s">
        <v>2766</v>
      </c>
      <c r="B184" s="111" t="s">
        <v>2469</v>
      </c>
      <c r="C184" s="111" t="s">
        <v>2053</v>
      </c>
      <c r="D184" s="112" t="s">
        <v>2180</v>
      </c>
      <c r="E184" s="112" t="s">
        <v>2767</v>
      </c>
      <c r="F184" s="112" t="s">
        <v>2768</v>
      </c>
      <c r="G184" s="129"/>
      <c r="H184" s="113">
        <v>6</v>
      </c>
      <c r="I184" s="112" t="s">
        <v>2769</v>
      </c>
    </row>
    <row r="185" spans="1:9" ht="19" customHeight="1">
      <c r="A185" s="111" t="s">
        <v>1501</v>
      </c>
      <c r="B185" s="111" t="s">
        <v>1497</v>
      </c>
      <c r="C185" s="111" t="s">
        <v>2054</v>
      </c>
      <c r="D185" s="112" t="s">
        <v>2188</v>
      </c>
      <c r="E185" s="112" t="s">
        <v>2770</v>
      </c>
      <c r="F185" s="112" t="s">
        <v>2771</v>
      </c>
      <c r="G185" s="129">
        <v>2</v>
      </c>
      <c r="H185" s="113"/>
      <c r="I185" s="112"/>
    </row>
    <row r="186" spans="1:9" ht="19" customHeight="1">
      <c r="A186" s="111" t="s">
        <v>2772</v>
      </c>
      <c r="B186" s="111" t="s">
        <v>2469</v>
      </c>
      <c r="C186" s="111" t="s">
        <v>2054</v>
      </c>
      <c r="D186" s="112" t="s">
        <v>2188</v>
      </c>
      <c r="E186" s="112" t="s">
        <v>2773</v>
      </c>
      <c r="F186" s="112" t="s">
        <v>2774</v>
      </c>
      <c r="G186" s="129"/>
      <c r="H186" s="113">
        <v>4</v>
      </c>
      <c r="I186" s="112"/>
    </row>
    <row r="187" spans="1:9" ht="19" customHeight="1"/>
    <row r="188" spans="1:9" ht="19" customHeight="1"/>
    <row r="189" spans="1:9" ht="19" customHeight="1"/>
    <row r="190" spans="1:9" ht="19" customHeight="1"/>
    <row r="191" spans="1:9" ht="19" customHeight="1"/>
    <row r="192" spans="1:9" ht="19" customHeight="1"/>
    <row r="193" ht="19" customHeight="1"/>
    <row r="194" ht="19" customHeight="1"/>
    <row r="195" ht="19" customHeight="1"/>
    <row r="196" ht="19" customHeight="1"/>
    <row r="197" ht="19" customHeight="1"/>
    <row r="198" ht="19" customHeight="1"/>
    <row r="199" ht="19" customHeight="1"/>
    <row r="200" ht="19" customHeight="1"/>
    <row r="201" ht="19" customHeight="1"/>
    <row r="202" ht="19" customHeight="1"/>
    <row r="203" ht="19" customHeight="1"/>
    <row r="204" ht="19" customHeight="1"/>
    <row r="205" ht="26" customHeight="1"/>
    <row r="206" ht="26" customHeight="1"/>
    <row r="207" ht="26" customHeight="1"/>
    <row r="208" ht="26" customHeight="1"/>
    <row r="209" ht="26" customHeight="1"/>
    <row r="210" ht="26" customHeight="1"/>
    <row r="211" ht="26" customHeight="1"/>
    <row r="212" ht="26" customHeight="1"/>
    <row r="213" ht="26" customHeight="1"/>
    <row r="214" ht="26" customHeight="1"/>
    <row r="215" ht="26" customHeight="1"/>
    <row r="216" ht="26" customHeight="1"/>
    <row r="217" ht="26" customHeight="1"/>
    <row r="218" ht="26" customHeight="1"/>
    <row r="219" ht="26" customHeight="1"/>
    <row r="220" ht="26" customHeight="1"/>
  </sheetData>
  <autoFilter ref="A5:I186" xr:uid="{299E7693-5B40-0444-B227-D6033B94776C}"/>
  <phoneticPr fontId="2"/>
  <conditionalFormatting sqref="A6:I186">
    <cfRule type="expression" dxfId="4" priority="1">
      <formula>LEFT($B6,3)="DDK"</formula>
    </cfRule>
    <cfRule type="expression" dxfId="3" priority="2">
      <formula>LEFT($B6,3)="DDB"</formula>
    </cfRule>
  </conditionalFormatting>
  <conditionalFormatting sqref="D6:D186">
    <cfRule type="expression" dxfId="2" priority="222">
      <formula>AND($D6&lt;&gt;"横断",$D6&lt;&gt;"")</formula>
    </cfRule>
  </conditionalFormatting>
  <conditionalFormatting sqref="D6:E186">
    <cfRule type="expression" dxfId="1" priority="223">
      <formula>$D6="横断"</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3185A0-2764-294B-9250-00ECB5CCB839}">
  <dimension ref="A1:N99"/>
  <sheetViews>
    <sheetView zoomScale="75" workbookViewId="0">
      <pane ySplit="5" topLeftCell="A6" activePane="bottomLeft" state="frozen"/>
      <selection activeCell="H37" sqref="H37"/>
      <selection pane="bottomLeft" activeCell="F40" sqref="F40"/>
    </sheetView>
  </sheetViews>
  <sheetFormatPr baseColWidth="10" defaultRowHeight="18"/>
  <cols>
    <col min="1" max="1" width="18.5703125" style="133" customWidth="1"/>
    <col min="2" max="2" width="15.7109375" style="133" customWidth="1"/>
    <col min="3" max="3" width="25.28515625" style="133" customWidth="1"/>
    <col min="4" max="4" width="33.5703125" style="133" customWidth="1"/>
    <col min="5" max="5" width="46.140625" style="133" customWidth="1"/>
    <col min="6" max="6" width="61.42578125" style="133" customWidth="1"/>
    <col min="7" max="7" width="21.42578125" style="133" customWidth="1"/>
    <col min="8" max="8" width="60" style="133" customWidth="1"/>
    <col min="9" max="9" width="65.28515625" style="133" customWidth="1"/>
    <col min="10" max="14" width="15.7109375" style="133" customWidth="1"/>
    <col min="15" max="16384" width="10.7109375" style="133"/>
  </cols>
  <sheetData>
    <row r="1" spans="1:14">
      <c r="A1" s="131" t="s">
        <v>1711</v>
      </c>
      <c r="B1" s="132"/>
      <c r="C1" s="132"/>
      <c r="D1" s="131" t="s">
        <v>1707</v>
      </c>
      <c r="E1" s="132">
        <f>SUM('WBS(基本設計)'!$I$7:$I$162)</f>
        <v>230.5</v>
      </c>
      <c r="F1" s="132"/>
      <c r="G1" s="132"/>
      <c r="H1" s="132"/>
      <c r="I1" s="132"/>
      <c r="J1" s="132"/>
      <c r="K1" s="132"/>
      <c r="L1" s="132"/>
      <c r="M1" s="132"/>
      <c r="N1" s="132"/>
    </row>
    <row r="2" spans="1:14">
      <c r="A2" s="134" t="s">
        <v>1441</v>
      </c>
      <c r="B2" s="132"/>
      <c r="C2" s="132"/>
      <c r="D2" s="131" t="s">
        <v>1708</v>
      </c>
      <c r="E2" s="132">
        <f>SUM('WBS(詳細設計_製造)'!$G$6:$H$171)</f>
        <v>414</v>
      </c>
      <c r="F2" s="132"/>
      <c r="G2" s="132"/>
      <c r="H2" s="132"/>
      <c r="I2" s="132"/>
      <c r="J2" s="132"/>
      <c r="K2" s="132"/>
      <c r="L2" s="132"/>
      <c r="M2" s="132"/>
      <c r="N2" s="132"/>
    </row>
    <row r="3" spans="1:14">
      <c r="A3" s="135" t="s">
        <v>1712</v>
      </c>
      <c r="B3" s="132"/>
      <c r="C3" s="132"/>
      <c r="D3" s="131" t="s">
        <v>1709</v>
      </c>
      <c r="E3" s="132">
        <f>SUM($G$6:$G$93)</f>
        <v>304</v>
      </c>
      <c r="F3" s="132"/>
      <c r="G3" s="132"/>
      <c r="H3" s="132"/>
      <c r="I3" s="132"/>
      <c r="J3" s="132"/>
      <c r="K3" s="132"/>
      <c r="L3" s="132"/>
      <c r="M3" s="132"/>
      <c r="N3" s="132"/>
    </row>
    <row r="4" spans="1:14">
      <c r="A4" s="136" t="s">
        <v>1713</v>
      </c>
      <c r="B4" s="132"/>
      <c r="C4" s="132"/>
      <c r="D4" s="131"/>
      <c r="E4" s="132">
        <f>SUM(E1:E3)</f>
        <v>948.5</v>
      </c>
      <c r="F4" s="132">
        <f>E4/20</f>
        <v>47.424999999999997</v>
      </c>
      <c r="G4" s="132">
        <f>F4*160</f>
        <v>7588</v>
      </c>
      <c r="H4" s="132"/>
      <c r="I4" s="132"/>
      <c r="J4" s="132"/>
      <c r="K4" s="132"/>
      <c r="L4" s="132"/>
      <c r="M4" s="132"/>
      <c r="N4" s="132"/>
    </row>
    <row r="5" spans="1:14" ht="24" customHeight="1">
      <c r="A5" s="137" t="s">
        <v>947</v>
      </c>
      <c r="B5" s="137" t="s">
        <v>1360</v>
      </c>
      <c r="C5" s="137" t="s">
        <v>1645</v>
      </c>
      <c r="D5" s="137" t="s">
        <v>1599</v>
      </c>
      <c r="E5" s="137" t="s">
        <v>3246</v>
      </c>
      <c r="F5" s="137" t="s">
        <v>3247</v>
      </c>
      <c r="G5" s="137" t="s">
        <v>1362</v>
      </c>
      <c r="H5" s="137" t="s">
        <v>3248</v>
      </c>
      <c r="I5" s="137" t="s">
        <v>1357</v>
      </c>
      <c r="J5" s="138"/>
      <c r="K5" s="138"/>
      <c r="L5" s="138"/>
      <c r="M5" s="138"/>
      <c r="N5" s="138"/>
    </row>
    <row r="6" spans="1:14" ht="19">
      <c r="A6" s="111" t="s">
        <v>4197</v>
      </c>
      <c r="B6" s="111" t="s">
        <v>3048</v>
      </c>
      <c r="C6" s="111" t="s">
        <v>2059</v>
      </c>
      <c r="D6" s="111" t="s">
        <v>3782</v>
      </c>
      <c r="E6" s="111" t="s">
        <v>4198</v>
      </c>
      <c r="F6" s="111" t="s">
        <v>4199</v>
      </c>
      <c r="G6" s="111">
        <v>4</v>
      </c>
      <c r="H6" s="112" t="s">
        <v>4200</v>
      </c>
      <c r="I6" s="139" t="s">
        <v>4201</v>
      </c>
      <c r="J6" s="132"/>
      <c r="K6" s="132"/>
      <c r="L6" s="132"/>
      <c r="M6" s="132"/>
      <c r="N6" s="132"/>
    </row>
    <row r="7" spans="1:14" ht="19">
      <c r="A7" s="111" t="s">
        <v>4197</v>
      </c>
      <c r="B7" s="111" t="s">
        <v>3049</v>
      </c>
      <c r="C7" s="111" t="s">
        <v>2059</v>
      </c>
      <c r="D7" s="111" t="s">
        <v>3804</v>
      </c>
      <c r="E7" s="111" t="s">
        <v>4202</v>
      </c>
      <c r="F7" s="111" t="s">
        <v>4203</v>
      </c>
      <c r="G7" s="111">
        <v>4</v>
      </c>
      <c r="H7" s="112" t="s">
        <v>4204</v>
      </c>
      <c r="I7" s="139" t="s">
        <v>3001</v>
      </c>
      <c r="J7" s="132"/>
      <c r="K7" s="132"/>
      <c r="L7" s="132"/>
      <c r="M7" s="132"/>
      <c r="N7" s="132"/>
    </row>
    <row r="8" spans="1:14" ht="19">
      <c r="A8" s="111" t="s">
        <v>4197</v>
      </c>
      <c r="B8" s="111" t="s">
        <v>3050</v>
      </c>
      <c r="C8" s="111" t="s">
        <v>2071</v>
      </c>
      <c r="D8" s="111" t="s">
        <v>3846</v>
      </c>
      <c r="E8" s="111" t="s">
        <v>4205</v>
      </c>
      <c r="F8" s="111" t="s">
        <v>4206</v>
      </c>
      <c r="G8" s="111">
        <v>2</v>
      </c>
      <c r="H8" s="112" t="s">
        <v>4208</v>
      </c>
      <c r="I8" s="139" t="s">
        <v>3002</v>
      </c>
      <c r="J8" s="132"/>
      <c r="K8" s="132"/>
      <c r="L8" s="132"/>
      <c r="M8" s="132"/>
      <c r="N8" s="132"/>
    </row>
    <row r="9" spans="1:14" ht="19">
      <c r="A9" s="111" t="s">
        <v>4197</v>
      </c>
      <c r="B9" s="111" t="s">
        <v>3051</v>
      </c>
      <c r="C9" s="111" t="s">
        <v>2057</v>
      </c>
      <c r="D9" s="111" t="s">
        <v>3889</v>
      </c>
      <c r="E9" s="111" t="s">
        <v>4209</v>
      </c>
      <c r="F9" s="111" t="s">
        <v>4210</v>
      </c>
      <c r="G9" s="111">
        <v>5</v>
      </c>
      <c r="H9" s="112" t="s">
        <v>4211</v>
      </c>
      <c r="I9" s="139" t="s">
        <v>3003</v>
      </c>
      <c r="J9" s="132"/>
      <c r="K9" s="132"/>
      <c r="L9" s="132"/>
      <c r="M9" s="132"/>
      <c r="N9" s="132"/>
    </row>
    <row r="10" spans="1:14" ht="19">
      <c r="A10" s="111" t="s">
        <v>4197</v>
      </c>
      <c r="B10" s="111" t="s">
        <v>3052</v>
      </c>
      <c r="C10" s="111" t="s">
        <v>1659</v>
      </c>
      <c r="D10" s="111" t="s">
        <v>2140</v>
      </c>
      <c r="E10" s="111" t="s">
        <v>4212</v>
      </c>
      <c r="F10" s="111" t="s">
        <v>4213</v>
      </c>
      <c r="G10" s="111">
        <v>2</v>
      </c>
      <c r="H10" s="112" t="s">
        <v>4214</v>
      </c>
      <c r="I10" s="139" t="s">
        <v>3004</v>
      </c>
      <c r="J10" s="132"/>
      <c r="K10" s="132"/>
      <c r="L10" s="132"/>
      <c r="M10" s="132"/>
      <c r="N10" s="132"/>
    </row>
    <row r="11" spans="1:14" ht="19">
      <c r="A11" s="111" t="s">
        <v>4197</v>
      </c>
      <c r="B11" s="111" t="s">
        <v>3053</v>
      </c>
      <c r="C11" s="111" t="s">
        <v>3983</v>
      </c>
      <c r="D11" s="111" t="s">
        <v>3984</v>
      </c>
      <c r="E11" s="111" t="s">
        <v>4215</v>
      </c>
      <c r="F11" s="111" t="s">
        <v>4216</v>
      </c>
      <c r="G11" s="111">
        <v>2</v>
      </c>
      <c r="H11" s="112" t="s">
        <v>4217</v>
      </c>
      <c r="I11" s="139" t="s">
        <v>3004</v>
      </c>
      <c r="J11" s="132"/>
      <c r="K11" s="132"/>
      <c r="L11" s="132"/>
      <c r="M11" s="132"/>
      <c r="N11" s="132"/>
    </row>
    <row r="12" spans="1:14" ht="19">
      <c r="A12" s="111" t="s">
        <v>4197</v>
      </c>
      <c r="B12" s="111" t="s">
        <v>3054</v>
      </c>
      <c r="C12" s="111" t="s">
        <v>2061</v>
      </c>
      <c r="D12" s="111" t="s">
        <v>2183</v>
      </c>
      <c r="E12" s="111" t="s">
        <v>4218</v>
      </c>
      <c r="F12" s="111" t="s">
        <v>4219</v>
      </c>
      <c r="G12" s="111">
        <v>4</v>
      </c>
      <c r="H12" s="112" t="s">
        <v>4220</v>
      </c>
      <c r="I12" s="139" t="s">
        <v>3005</v>
      </c>
      <c r="J12" s="132"/>
      <c r="K12" s="132"/>
      <c r="L12" s="132"/>
      <c r="M12" s="132"/>
      <c r="N12" s="132"/>
    </row>
    <row r="13" spans="1:14" ht="19">
      <c r="A13" s="140" t="s">
        <v>4197</v>
      </c>
      <c r="B13" s="140" t="s">
        <v>3055</v>
      </c>
      <c r="C13" s="140" t="s">
        <v>2070</v>
      </c>
      <c r="D13" s="140" t="s">
        <v>2104</v>
      </c>
      <c r="E13" s="140" t="s">
        <v>4221</v>
      </c>
      <c r="F13" s="140" t="s">
        <v>4222</v>
      </c>
      <c r="G13" s="140">
        <v>4</v>
      </c>
      <c r="H13" s="141" t="s">
        <v>4223</v>
      </c>
      <c r="I13" s="139" t="s">
        <v>3006</v>
      </c>
      <c r="J13" s="132"/>
      <c r="K13" s="132"/>
      <c r="L13" s="132"/>
      <c r="M13" s="132"/>
      <c r="N13" s="132"/>
    </row>
    <row r="14" spans="1:14" ht="19">
      <c r="A14" s="140" t="s">
        <v>4197</v>
      </c>
      <c r="B14" s="140" t="s">
        <v>3056</v>
      </c>
      <c r="C14" s="140" t="s">
        <v>2076</v>
      </c>
      <c r="D14" s="140" t="s">
        <v>2137</v>
      </c>
      <c r="E14" s="140" t="s">
        <v>4224</v>
      </c>
      <c r="F14" s="140" t="s">
        <v>4225</v>
      </c>
      <c r="G14" s="140">
        <v>4</v>
      </c>
      <c r="H14" s="141" t="s">
        <v>4226</v>
      </c>
      <c r="I14" s="139" t="s">
        <v>3007</v>
      </c>
      <c r="J14" s="132"/>
      <c r="K14" s="132"/>
      <c r="L14" s="132"/>
      <c r="M14" s="132"/>
      <c r="N14" s="132"/>
    </row>
    <row r="15" spans="1:14" ht="19">
      <c r="A15" s="111" t="s">
        <v>4197</v>
      </c>
      <c r="B15" s="111" t="s">
        <v>3057</v>
      </c>
      <c r="C15" s="111" t="s">
        <v>2065</v>
      </c>
      <c r="D15" s="111" t="s">
        <v>2133</v>
      </c>
      <c r="E15" s="111" t="s">
        <v>4227</v>
      </c>
      <c r="F15" s="111" t="s">
        <v>4228</v>
      </c>
      <c r="G15" s="111">
        <v>1.5</v>
      </c>
      <c r="H15" s="112" t="s">
        <v>1366</v>
      </c>
      <c r="I15" s="139" t="s">
        <v>3008</v>
      </c>
      <c r="J15" s="132"/>
      <c r="K15" s="132"/>
      <c r="L15" s="132"/>
      <c r="M15" s="132"/>
      <c r="N15" s="132"/>
    </row>
    <row r="16" spans="1:14" ht="19">
      <c r="A16" s="111" t="s">
        <v>4197</v>
      </c>
      <c r="B16" s="111" t="s">
        <v>3058</v>
      </c>
      <c r="C16" s="111" t="s">
        <v>2065</v>
      </c>
      <c r="D16" s="111" t="s">
        <v>2087</v>
      </c>
      <c r="E16" s="111" t="s">
        <v>4229</v>
      </c>
      <c r="F16" s="111" t="s">
        <v>4230</v>
      </c>
      <c r="G16" s="111">
        <v>4</v>
      </c>
      <c r="H16" s="112" t="s">
        <v>4231</v>
      </c>
      <c r="I16" s="139" t="s">
        <v>3009</v>
      </c>
      <c r="J16" s="132"/>
      <c r="K16" s="132"/>
      <c r="L16" s="132"/>
      <c r="M16" s="132"/>
      <c r="N16" s="132"/>
    </row>
    <row r="17" spans="1:14" ht="19">
      <c r="A17" s="111" t="s">
        <v>4197</v>
      </c>
      <c r="B17" s="111" t="s">
        <v>3059</v>
      </c>
      <c r="C17" s="111" t="s">
        <v>2065</v>
      </c>
      <c r="D17" s="111" t="s">
        <v>2109</v>
      </c>
      <c r="E17" s="111" t="s">
        <v>4232</v>
      </c>
      <c r="F17" s="111" t="s">
        <v>4233</v>
      </c>
      <c r="G17" s="111">
        <v>2</v>
      </c>
      <c r="H17" s="112" t="s">
        <v>4234</v>
      </c>
      <c r="I17" s="139" t="s">
        <v>3010</v>
      </c>
      <c r="J17" s="132"/>
      <c r="K17" s="132"/>
      <c r="L17" s="132"/>
      <c r="M17" s="132"/>
      <c r="N17" s="132"/>
    </row>
    <row r="18" spans="1:14" ht="19">
      <c r="A18" s="111" t="s">
        <v>4197</v>
      </c>
      <c r="B18" s="111" t="s">
        <v>3060</v>
      </c>
      <c r="C18" s="111" t="s">
        <v>2065</v>
      </c>
      <c r="D18" s="111" t="s">
        <v>2179</v>
      </c>
      <c r="E18" s="111" t="s">
        <v>4235</v>
      </c>
      <c r="F18" s="111" t="s">
        <v>4236</v>
      </c>
      <c r="G18" s="111">
        <v>2</v>
      </c>
      <c r="H18" s="112" t="s">
        <v>4238</v>
      </c>
      <c r="I18" s="139" t="s">
        <v>3011</v>
      </c>
      <c r="J18" s="132"/>
      <c r="K18" s="132"/>
      <c r="L18" s="132"/>
      <c r="M18" s="132"/>
      <c r="N18" s="132"/>
    </row>
    <row r="19" spans="1:14" ht="19">
      <c r="A19" s="111" t="s">
        <v>4197</v>
      </c>
      <c r="B19" s="111" t="s">
        <v>3061</v>
      </c>
      <c r="C19" s="111" t="s">
        <v>2065</v>
      </c>
      <c r="D19" s="111" t="s">
        <v>4054</v>
      </c>
      <c r="E19" s="111" t="s">
        <v>4239</v>
      </c>
      <c r="F19" s="111" t="s">
        <v>4240</v>
      </c>
      <c r="G19" s="111">
        <v>3</v>
      </c>
      <c r="H19" s="112" t="s">
        <v>4241</v>
      </c>
      <c r="I19" s="139" t="s">
        <v>3012</v>
      </c>
      <c r="J19" s="132"/>
      <c r="K19" s="132"/>
      <c r="L19" s="132"/>
      <c r="M19" s="132"/>
      <c r="N19" s="132"/>
    </row>
    <row r="20" spans="1:14" ht="19">
      <c r="A20" s="111" t="s">
        <v>4197</v>
      </c>
      <c r="B20" s="111" t="s">
        <v>3062</v>
      </c>
      <c r="C20" s="111" t="s">
        <v>2075</v>
      </c>
      <c r="D20" s="111" t="s">
        <v>2144</v>
      </c>
      <c r="E20" s="111" t="s">
        <v>4242</v>
      </c>
      <c r="F20" s="111" t="s">
        <v>4243</v>
      </c>
      <c r="G20" s="111">
        <v>2</v>
      </c>
      <c r="H20" s="112" t="s">
        <v>4244</v>
      </c>
      <c r="I20" s="139" t="s">
        <v>280</v>
      </c>
      <c r="J20" s="132"/>
      <c r="K20" s="132"/>
      <c r="L20" s="132"/>
      <c r="M20" s="132"/>
      <c r="N20" s="132"/>
    </row>
    <row r="21" spans="1:14" ht="19">
      <c r="A21" s="111" t="s">
        <v>4197</v>
      </c>
      <c r="B21" s="111" t="s">
        <v>4245</v>
      </c>
      <c r="C21" s="111" t="s">
        <v>2059</v>
      </c>
      <c r="D21" s="111" t="s">
        <v>3820</v>
      </c>
      <c r="E21" s="111" t="s">
        <v>4246</v>
      </c>
      <c r="F21" s="111" t="s">
        <v>4247</v>
      </c>
      <c r="G21" s="111">
        <v>4</v>
      </c>
      <c r="H21" s="112" t="s">
        <v>4249</v>
      </c>
      <c r="I21" s="139" t="s">
        <v>4250</v>
      </c>
      <c r="J21" s="132"/>
      <c r="K21" s="132"/>
      <c r="L21" s="132"/>
      <c r="M21" s="132"/>
      <c r="N21" s="132"/>
    </row>
    <row r="22" spans="1:14" ht="19">
      <c r="A22" s="111" t="s">
        <v>4197</v>
      </c>
      <c r="B22" s="111" t="s">
        <v>4252</v>
      </c>
      <c r="C22" s="111" t="s">
        <v>2061</v>
      </c>
      <c r="D22" s="111" t="s">
        <v>3990</v>
      </c>
      <c r="E22" s="111" t="s">
        <v>4253</v>
      </c>
      <c r="F22" s="111" t="s">
        <v>4254</v>
      </c>
      <c r="G22" s="111">
        <v>2</v>
      </c>
      <c r="H22" s="112" t="s">
        <v>4255</v>
      </c>
      <c r="I22" s="139" t="s">
        <v>4256</v>
      </c>
      <c r="J22" s="132"/>
      <c r="K22" s="132"/>
      <c r="L22" s="132"/>
      <c r="M22" s="132"/>
      <c r="N22" s="132"/>
    </row>
    <row r="23" spans="1:14" ht="19">
      <c r="A23" s="111" t="s">
        <v>4257</v>
      </c>
      <c r="B23" s="111" t="s">
        <v>3063</v>
      </c>
      <c r="C23" s="111" t="s">
        <v>2060</v>
      </c>
      <c r="D23" s="111" t="s">
        <v>3763</v>
      </c>
      <c r="E23" s="111" t="s">
        <v>4258</v>
      </c>
      <c r="F23" s="111" t="s">
        <v>4259</v>
      </c>
      <c r="G23" s="111">
        <v>3</v>
      </c>
      <c r="H23" s="112" t="s">
        <v>4260</v>
      </c>
      <c r="I23" s="139" t="s">
        <v>3013</v>
      </c>
      <c r="J23" s="132"/>
      <c r="K23" s="132"/>
      <c r="L23" s="132"/>
      <c r="M23" s="132"/>
      <c r="N23" s="132"/>
    </row>
    <row r="24" spans="1:14" ht="19">
      <c r="A24" s="111" t="s">
        <v>4257</v>
      </c>
      <c r="B24" s="111" t="s">
        <v>3064</v>
      </c>
      <c r="C24" s="111" t="s">
        <v>2060</v>
      </c>
      <c r="D24" s="111" t="s">
        <v>2150</v>
      </c>
      <c r="E24" s="111" t="s">
        <v>4261</v>
      </c>
      <c r="F24" s="111" t="s">
        <v>4262</v>
      </c>
      <c r="G24" s="111">
        <v>1</v>
      </c>
      <c r="H24" s="112" t="s">
        <v>4263</v>
      </c>
      <c r="I24" s="139" t="s">
        <v>3013</v>
      </c>
      <c r="J24" s="132"/>
      <c r="K24" s="132"/>
      <c r="L24" s="132"/>
      <c r="M24" s="132"/>
      <c r="N24" s="132"/>
    </row>
    <row r="25" spans="1:14" ht="19">
      <c r="A25" s="111" t="s">
        <v>4257</v>
      </c>
      <c r="B25" s="111" t="s">
        <v>3065</v>
      </c>
      <c r="C25" s="111" t="s">
        <v>2060</v>
      </c>
      <c r="D25" s="111" t="s">
        <v>3777</v>
      </c>
      <c r="E25" s="111" t="s">
        <v>4264</v>
      </c>
      <c r="F25" s="111" t="s">
        <v>4265</v>
      </c>
      <c r="G25" s="111">
        <v>1</v>
      </c>
      <c r="H25" s="112" t="s">
        <v>4263</v>
      </c>
      <c r="I25" s="139" t="s">
        <v>3013</v>
      </c>
      <c r="J25" s="132"/>
      <c r="K25" s="132"/>
      <c r="L25" s="132"/>
      <c r="M25" s="132"/>
      <c r="N25" s="132"/>
    </row>
    <row r="26" spans="1:14" ht="19">
      <c r="A26" s="111" t="s">
        <v>4257</v>
      </c>
      <c r="B26" s="111" t="s">
        <v>3066</v>
      </c>
      <c r="C26" s="111" t="s">
        <v>2059</v>
      </c>
      <c r="D26" s="111" t="s">
        <v>3782</v>
      </c>
      <c r="E26" s="111" t="s">
        <v>4266</v>
      </c>
      <c r="F26" s="111" t="s">
        <v>4267</v>
      </c>
      <c r="G26" s="111">
        <v>4</v>
      </c>
      <c r="H26" s="112" t="s">
        <v>4268</v>
      </c>
      <c r="I26" s="139" t="s">
        <v>3014</v>
      </c>
      <c r="J26" s="132"/>
      <c r="K26" s="132"/>
      <c r="L26" s="132"/>
      <c r="M26" s="132"/>
      <c r="N26" s="132"/>
    </row>
    <row r="27" spans="1:14" ht="19">
      <c r="A27" s="111" t="s">
        <v>4257</v>
      </c>
      <c r="B27" s="111" t="s">
        <v>3067</v>
      </c>
      <c r="C27" s="111" t="s">
        <v>2059</v>
      </c>
      <c r="D27" s="111" t="s">
        <v>3804</v>
      </c>
      <c r="E27" s="111" t="s">
        <v>4269</v>
      </c>
      <c r="F27" s="111" t="s">
        <v>4270</v>
      </c>
      <c r="G27" s="111">
        <v>5</v>
      </c>
      <c r="H27" s="112" t="s">
        <v>4271</v>
      </c>
      <c r="I27" s="139" t="s">
        <v>280</v>
      </c>
      <c r="J27" s="132"/>
      <c r="K27" s="132"/>
      <c r="L27" s="132"/>
      <c r="M27" s="132"/>
      <c r="N27" s="132"/>
    </row>
    <row r="28" spans="1:14" ht="19">
      <c r="A28" s="111" t="s">
        <v>4257</v>
      </c>
      <c r="B28" s="111" t="s">
        <v>3068</v>
      </c>
      <c r="C28" s="111" t="s">
        <v>2059</v>
      </c>
      <c r="D28" s="111" t="s">
        <v>2152</v>
      </c>
      <c r="E28" s="111" t="s">
        <v>4272</v>
      </c>
      <c r="F28" s="111" t="s">
        <v>4273</v>
      </c>
      <c r="G28" s="111">
        <v>2</v>
      </c>
      <c r="H28" s="112" t="s">
        <v>4274</v>
      </c>
      <c r="I28" s="139" t="s">
        <v>3014</v>
      </c>
      <c r="J28" s="132"/>
      <c r="K28" s="132"/>
      <c r="L28" s="132"/>
      <c r="M28" s="132"/>
      <c r="N28" s="132"/>
    </row>
    <row r="29" spans="1:14" ht="19">
      <c r="A29" s="111" t="s">
        <v>4257</v>
      </c>
      <c r="B29" s="111" t="s">
        <v>3069</v>
      </c>
      <c r="C29" s="111" t="s">
        <v>2059</v>
      </c>
      <c r="D29" s="111" t="s">
        <v>2010</v>
      </c>
      <c r="E29" s="111" t="s">
        <v>4275</v>
      </c>
      <c r="F29" s="111" t="s">
        <v>4276</v>
      </c>
      <c r="G29" s="111">
        <v>1</v>
      </c>
      <c r="H29" s="112" t="s">
        <v>4277</v>
      </c>
      <c r="I29" s="139" t="s">
        <v>3014</v>
      </c>
      <c r="J29" s="132"/>
      <c r="K29" s="132"/>
      <c r="L29" s="132"/>
      <c r="M29" s="132"/>
      <c r="N29" s="132"/>
    </row>
    <row r="30" spans="1:14" ht="19">
      <c r="A30" s="111" t="s">
        <v>4257</v>
      </c>
      <c r="B30" s="111" t="s">
        <v>3070</v>
      </c>
      <c r="C30" s="111" t="s">
        <v>2074</v>
      </c>
      <c r="D30" s="111" t="s">
        <v>2149</v>
      </c>
      <c r="E30" s="111" t="s">
        <v>4278</v>
      </c>
      <c r="F30" s="111" t="s">
        <v>4279</v>
      </c>
      <c r="G30" s="111">
        <v>6</v>
      </c>
      <c r="H30" s="112" t="s">
        <v>4280</v>
      </c>
      <c r="I30" s="139" t="s">
        <v>280</v>
      </c>
      <c r="J30" s="132"/>
      <c r="K30" s="132"/>
      <c r="L30" s="132"/>
      <c r="M30" s="132"/>
      <c r="N30" s="132"/>
    </row>
    <row r="31" spans="1:14" ht="19">
      <c r="A31" s="111" t="s">
        <v>4257</v>
      </c>
      <c r="B31" s="111" t="s">
        <v>3071</v>
      </c>
      <c r="C31" s="111" t="s">
        <v>2074</v>
      </c>
      <c r="D31" s="111" t="s">
        <v>2193</v>
      </c>
      <c r="E31" s="111" t="s">
        <v>4281</v>
      </c>
      <c r="F31" s="111" t="s">
        <v>4282</v>
      </c>
      <c r="G31" s="111">
        <v>4</v>
      </c>
      <c r="H31" s="112" t="s">
        <v>4283</v>
      </c>
      <c r="I31" s="139" t="s">
        <v>280</v>
      </c>
      <c r="J31" s="132"/>
      <c r="K31" s="132"/>
      <c r="L31" s="132"/>
      <c r="M31" s="132"/>
      <c r="N31" s="132"/>
    </row>
    <row r="32" spans="1:14" ht="19">
      <c r="A32" s="111" t="s">
        <v>4257</v>
      </c>
      <c r="B32" s="111" t="s">
        <v>3072</v>
      </c>
      <c r="C32" s="111" t="s">
        <v>2066</v>
      </c>
      <c r="D32" s="111" t="s">
        <v>2091</v>
      </c>
      <c r="E32" s="111" t="s">
        <v>4284</v>
      </c>
      <c r="F32" s="111" t="s">
        <v>4285</v>
      </c>
      <c r="G32" s="111">
        <v>2</v>
      </c>
      <c r="H32" s="112" t="s">
        <v>4286</v>
      </c>
      <c r="I32" s="139" t="s">
        <v>280</v>
      </c>
      <c r="J32" s="132"/>
      <c r="K32" s="132"/>
      <c r="L32" s="132"/>
      <c r="M32" s="132"/>
      <c r="N32" s="132"/>
    </row>
    <row r="33" spans="1:14" ht="19">
      <c r="A33" s="111" t="s">
        <v>4257</v>
      </c>
      <c r="B33" s="111" t="s">
        <v>3073</v>
      </c>
      <c r="C33" s="111" t="s">
        <v>2066</v>
      </c>
      <c r="D33" s="111" t="s">
        <v>3878</v>
      </c>
      <c r="E33" s="111" t="s">
        <v>4287</v>
      </c>
      <c r="F33" s="111" t="s">
        <v>4288</v>
      </c>
      <c r="G33" s="111">
        <v>1.5</v>
      </c>
      <c r="H33" s="112" t="s">
        <v>4289</v>
      </c>
      <c r="I33" s="139" t="s">
        <v>280</v>
      </c>
      <c r="J33" s="132"/>
      <c r="K33" s="132"/>
      <c r="L33" s="132"/>
      <c r="M33" s="132"/>
      <c r="N33" s="132"/>
    </row>
    <row r="34" spans="1:14" ht="19">
      <c r="A34" s="111" t="s">
        <v>4257</v>
      </c>
      <c r="B34" s="111" t="s">
        <v>3074</v>
      </c>
      <c r="C34" s="111" t="s">
        <v>2057</v>
      </c>
      <c r="D34" s="111" t="s">
        <v>3889</v>
      </c>
      <c r="E34" s="111" t="s">
        <v>4290</v>
      </c>
      <c r="F34" s="111" t="s">
        <v>4291</v>
      </c>
      <c r="G34" s="111">
        <v>3</v>
      </c>
      <c r="H34" s="112" t="s">
        <v>4292</v>
      </c>
      <c r="I34" s="139" t="s">
        <v>280</v>
      </c>
      <c r="J34" s="132"/>
      <c r="K34" s="132"/>
      <c r="L34" s="132"/>
      <c r="M34" s="132"/>
      <c r="N34" s="132"/>
    </row>
    <row r="35" spans="1:14" ht="19">
      <c r="A35" s="111" t="s">
        <v>4257</v>
      </c>
      <c r="B35" s="111" t="s">
        <v>3075</v>
      </c>
      <c r="C35" s="111" t="s">
        <v>2057</v>
      </c>
      <c r="D35" s="111" t="s">
        <v>3898</v>
      </c>
      <c r="E35" s="111" t="s">
        <v>4293</v>
      </c>
      <c r="F35" s="111" t="s">
        <v>4294</v>
      </c>
      <c r="G35" s="111">
        <v>1</v>
      </c>
      <c r="H35" s="112" t="s">
        <v>4295</v>
      </c>
      <c r="I35" s="139" t="s">
        <v>3003</v>
      </c>
      <c r="J35" s="132"/>
      <c r="K35" s="132"/>
      <c r="L35" s="132"/>
      <c r="M35" s="132"/>
      <c r="N35" s="132"/>
    </row>
    <row r="36" spans="1:14" ht="19">
      <c r="A36" s="111" t="s">
        <v>4257</v>
      </c>
      <c r="B36" s="111" t="s">
        <v>3076</v>
      </c>
      <c r="C36" s="111" t="s">
        <v>2057</v>
      </c>
      <c r="D36" s="111" t="s">
        <v>2155</v>
      </c>
      <c r="E36" s="111" t="s">
        <v>4296</v>
      </c>
      <c r="F36" s="111" t="s">
        <v>4297</v>
      </c>
      <c r="G36" s="111">
        <v>1.5</v>
      </c>
      <c r="H36" s="112" t="s">
        <v>4298</v>
      </c>
      <c r="I36" s="139" t="s">
        <v>3003</v>
      </c>
      <c r="J36" s="132"/>
      <c r="K36" s="132"/>
      <c r="L36" s="132"/>
      <c r="M36" s="132"/>
      <c r="N36" s="132"/>
    </row>
    <row r="37" spans="1:14" ht="19">
      <c r="A37" s="111" t="s">
        <v>4257</v>
      </c>
      <c r="B37" s="111" t="s">
        <v>3077</v>
      </c>
      <c r="C37" s="111" t="s">
        <v>2057</v>
      </c>
      <c r="D37" s="111" t="s">
        <v>3906</v>
      </c>
      <c r="E37" s="111" t="s">
        <v>4299</v>
      </c>
      <c r="F37" s="111" t="s">
        <v>4300</v>
      </c>
      <c r="G37" s="111">
        <v>0.5</v>
      </c>
      <c r="H37" s="112" t="s">
        <v>4301</v>
      </c>
      <c r="I37" s="139" t="s">
        <v>3003</v>
      </c>
      <c r="J37" s="132"/>
      <c r="K37" s="132"/>
      <c r="L37" s="132"/>
      <c r="M37" s="132"/>
      <c r="N37" s="132"/>
    </row>
    <row r="38" spans="1:14" ht="19">
      <c r="A38" s="111" t="s">
        <v>4257</v>
      </c>
      <c r="B38" s="111" t="s">
        <v>3078</v>
      </c>
      <c r="C38" s="111" t="s">
        <v>2072</v>
      </c>
      <c r="D38" s="111" t="s">
        <v>2158</v>
      </c>
      <c r="E38" s="111" t="s">
        <v>4302</v>
      </c>
      <c r="F38" s="111" t="s">
        <v>4303</v>
      </c>
      <c r="G38" s="111">
        <v>4</v>
      </c>
      <c r="H38" s="112" t="s">
        <v>4304</v>
      </c>
      <c r="I38" s="139" t="s">
        <v>280</v>
      </c>
      <c r="J38" s="132"/>
      <c r="K38" s="132"/>
      <c r="L38" s="132"/>
      <c r="M38" s="132"/>
      <c r="N38" s="132"/>
    </row>
    <row r="39" spans="1:14" ht="19">
      <c r="A39" s="111" t="s">
        <v>4257</v>
      </c>
      <c r="B39" s="111" t="s">
        <v>3079</v>
      </c>
      <c r="C39" s="111" t="s">
        <v>2072</v>
      </c>
      <c r="D39" s="111" t="s">
        <v>2107</v>
      </c>
      <c r="E39" s="111" t="s">
        <v>4305</v>
      </c>
      <c r="F39" s="111" t="s">
        <v>4306</v>
      </c>
      <c r="G39" s="111">
        <v>1</v>
      </c>
      <c r="H39" s="112" t="s">
        <v>4307</v>
      </c>
      <c r="I39" s="139" t="s">
        <v>3014</v>
      </c>
      <c r="J39" s="132"/>
      <c r="K39" s="132"/>
      <c r="L39" s="132"/>
      <c r="M39" s="132"/>
      <c r="N39" s="132"/>
    </row>
    <row r="40" spans="1:14" ht="19">
      <c r="A40" s="111" t="s">
        <v>4257</v>
      </c>
      <c r="B40" s="111" t="s">
        <v>3080</v>
      </c>
      <c r="C40" s="111" t="s">
        <v>2058</v>
      </c>
      <c r="D40" s="111" t="s">
        <v>3925</v>
      </c>
      <c r="E40" s="111" t="s">
        <v>4308</v>
      </c>
      <c r="F40" s="111" t="s">
        <v>4309</v>
      </c>
      <c r="G40" s="111">
        <v>3</v>
      </c>
      <c r="H40" s="112" t="s">
        <v>4310</v>
      </c>
      <c r="I40" s="139" t="s">
        <v>280</v>
      </c>
      <c r="J40" s="132"/>
      <c r="K40" s="132"/>
      <c r="L40" s="132"/>
      <c r="M40" s="132"/>
      <c r="N40" s="132"/>
    </row>
    <row r="41" spans="1:14" ht="19">
      <c r="A41" s="111" t="s">
        <v>4257</v>
      </c>
      <c r="B41" s="111" t="s">
        <v>3081</v>
      </c>
      <c r="C41" s="111" t="s">
        <v>2058</v>
      </c>
      <c r="D41" s="111" t="s">
        <v>3930</v>
      </c>
      <c r="E41" s="111" t="s">
        <v>3930</v>
      </c>
      <c r="F41" s="111" t="s">
        <v>4311</v>
      </c>
      <c r="G41" s="111">
        <v>2</v>
      </c>
      <c r="H41" s="112" t="s">
        <v>4312</v>
      </c>
      <c r="I41" s="139" t="s">
        <v>3015</v>
      </c>
      <c r="J41" s="132"/>
      <c r="K41" s="132"/>
      <c r="L41" s="132"/>
      <c r="M41" s="132"/>
      <c r="N41" s="132"/>
    </row>
    <row r="42" spans="1:14" ht="19">
      <c r="A42" s="111" t="s">
        <v>4257</v>
      </c>
      <c r="B42" s="111" t="s">
        <v>3082</v>
      </c>
      <c r="C42" s="111" t="s">
        <v>2058</v>
      </c>
      <c r="D42" s="111" t="s">
        <v>2160</v>
      </c>
      <c r="E42" s="111" t="s">
        <v>4313</v>
      </c>
      <c r="F42" s="111" t="s">
        <v>4314</v>
      </c>
      <c r="G42" s="111">
        <v>2</v>
      </c>
      <c r="H42" s="112" t="s">
        <v>4315</v>
      </c>
      <c r="I42" s="139" t="s">
        <v>3016</v>
      </c>
      <c r="J42" s="132"/>
      <c r="K42" s="132"/>
      <c r="L42" s="132"/>
      <c r="M42" s="132"/>
      <c r="N42" s="132"/>
    </row>
    <row r="43" spans="1:14" ht="19">
      <c r="A43" s="111" t="s">
        <v>4257</v>
      </c>
      <c r="B43" s="111" t="s">
        <v>3083</v>
      </c>
      <c r="C43" s="111" t="s">
        <v>2073</v>
      </c>
      <c r="D43" s="111" t="s">
        <v>2164</v>
      </c>
      <c r="E43" s="111" t="s">
        <v>4316</v>
      </c>
      <c r="F43" s="111" t="s">
        <v>4317</v>
      </c>
      <c r="G43" s="111">
        <v>3</v>
      </c>
      <c r="H43" s="112" t="s">
        <v>4318</v>
      </c>
      <c r="I43" s="139" t="s">
        <v>3016</v>
      </c>
      <c r="J43" s="132"/>
      <c r="K43" s="132"/>
      <c r="L43" s="132"/>
      <c r="M43" s="132"/>
      <c r="N43" s="132"/>
    </row>
    <row r="44" spans="1:14" ht="19">
      <c r="A44" s="111" t="s">
        <v>4257</v>
      </c>
      <c r="B44" s="111" t="s">
        <v>3084</v>
      </c>
      <c r="C44" s="111" t="s">
        <v>2073</v>
      </c>
      <c r="D44" s="111" t="s">
        <v>2120</v>
      </c>
      <c r="E44" s="111" t="s">
        <v>4319</v>
      </c>
      <c r="F44" s="111" t="s">
        <v>4320</v>
      </c>
      <c r="G44" s="111">
        <v>4</v>
      </c>
      <c r="H44" s="112" t="s">
        <v>4321</v>
      </c>
      <c r="I44" s="139" t="s">
        <v>280</v>
      </c>
      <c r="J44" s="132"/>
      <c r="K44" s="132"/>
      <c r="L44" s="132"/>
      <c r="M44" s="132"/>
      <c r="N44" s="132"/>
    </row>
    <row r="45" spans="1:14" ht="19">
      <c r="A45" s="111" t="s">
        <v>4257</v>
      </c>
      <c r="B45" s="111" t="s">
        <v>3085</v>
      </c>
      <c r="C45" s="111" t="s">
        <v>2068</v>
      </c>
      <c r="D45" s="111" t="s">
        <v>3969</v>
      </c>
      <c r="E45" s="111" t="s">
        <v>4322</v>
      </c>
      <c r="F45" s="111" t="s">
        <v>4323</v>
      </c>
      <c r="G45" s="111">
        <v>5</v>
      </c>
      <c r="H45" s="112" t="s">
        <v>4324</v>
      </c>
      <c r="I45" s="139" t="s">
        <v>280</v>
      </c>
      <c r="J45" s="132"/>
      <c r="K45" s="132"/>
      <c r="L45" s="132"/>
      <c r="M45" s="132"/>
      <c r="N45" s="132"/>
    </row>
    <row r="46" spans="1:14" ht="19">
      <c r="A46" s="111" t="s">
        <v>4257</v>
      </c>
      <c r="B46" s="111" t="s">
        <v>3086</v>
      </c>
      <c r="C46" s="111" t="s">
        <v>2068</v>
      </c>
      <c r="D46" s="111" t="s">
        <v>3977</v>
      </c>
      <c r="E46" s="111" t="s">
        <v>4325</v>
      </c>
      <c r="F46" s="111" t="s">
        <v>4326</v>
      </c>
      <c r="G46" s="111">
        <v>4</v>
      </c>
      <c r="H46" s="112" t="s">
        <v>4327</v>
      </c>
      <c r="I46" s="139" t="s">
        <v>280</v>
      </c>
      <c r="J46" s="132"/>
      <c r="K46" s="132"/>
      <c r="L46" s="132"/>
      <c r="M46" s="132"/>
      <c r="N46" s="132"/>
    </row>
    <row r="47" spans="1:14" ht="19">
      <c r="A47" s="111" t="s">
        <v>4257</v>
      </c>
      <c r="B47" s="111" t="s">
        <v>3087</v>
      </c>
      <c r="C47" s="111" t="s">
        <v>2070</v>
      </c>
      <c r="D47" s="111" t="s">
        <v>2104</v>
      </c>
      <c r="E47" s="111" t="s">
        <v>4328</v>
      </c>
      <c r="F47" s="111" t="s">
        <v>4329</v>
      </c>
      <c r="G47" s="111">
        <v>3</v>
      </c>
      <c r="H47" s="112" t="s">
        <v>4223</v>
      </c>
      <c r="I47" s="139" t="s">
        <v>280</v>
      </c>
      <c r="J47" s="132"/>
      <c r="K47" s="132"/>
      <c r="L47" s="132"/>
      <c r="M47" s="132"/>
      <c r="N47" s="132"/>
    </row>
    <row r="48" spans="1:14" ht="19">
      <c r="A48" s="140" t="s">
        <v>4257</v>
      </c>
      <c r="B48" s="140" t="s">
        <v>3088</v>
      </c>
      <c r="C48" s="140" t="s">
        <v>2070</v>
      </c>
      <c r="D48" s="140" t="s">
        <v>4009</v>
      </c>
      <c r="E48" s="140" t="s">
        <v>4009</v>
      </c>
      <c r="F48" s="140" t="s">
        <v>4330</v>
      </c>
      <c r="G48" s="140">
        <v>1</v>
      </c>
      <c r="H48" s="141" t="s">
        <v>4331</v>
      </c>
      <c r="I48" s="139" t="s">
        <v>3006</v>
      </c>
      <c r="J48" s="132"/>
      <c r="K48" s="132"/>
      <c r="L48" s="132"/>
      <c r="M48" s="132"/>
      <c r="N48" s="132"/>
    </row>
    <row r="49" spans="1:14" ht="19">
      <c r="A49" s="111" t="s">
        <v>4257</v>
      </c>
      <c r="B49" s="111" t="s">
        <v>3726</v>
      </c>
      <c r="C49" s="111" t="s">
        <v>2070</v>
      </c>
      <c r="D49" s="111" t="s">
        <v>2166</v>
      </c>
      <c r="E49" s="111" t="s">
        <v>2166</v>
      </c>
      <c r="F49" s="111" t="s">
        <v>4332</v>
      </c>
      <c r="G49" s="111">
        <v>1</v>
      </c>
      <c r="H49" s="112" t="s">
        <v>4333</v>
      </c>
      <c r="I49" s="139" t="s">
        <v>3006</v>
      </c>
      <c r="J49" s="132"/>
      <c r="K49" s="132"/>
      <c r="L49" s="132"/>
      <c r="M49" s="132"/>
      <c r="N49" s="132"/>
    </row>
    <row r="50" spans="1:14" ht="19">
      <c r="A50" s="111" t="s">
        <v>4257</v>
      </c>
      <c r="B50" s="111" t="s">
        <v>4334</v>
      </c>
      <c r="C50" s="111" t="s">
        <v>2059</v>
      </c>
      <c r="D50" s="111" t="s">
        <v>3820</v>
      </c>
      <c r="E50" s="111" t="s">
        <v>4335</v>
      </c>
      <c r="F50" s="111" t="s">
        <v>4336</v>
      </c>
      <c r="G50" s="111">
        <v>3</v>
      </c>
      <c r="H50" s="112" t="s">
        <v>4337</v>
      </c>
      <c r="I50" s="139" t="s">
        <v>4338</v>
      </c>
      <c r="J50" s="132"/>
      <c r="K50" s="132"/>
      <c r="L50" s="132"/>
      <c r="M50" s="132"/>
      <c r="N50" s="132"/>
    </row>
    <row r="51" spans="1:14" ht="19">
      <c r="A51" s="111" t="s">
        <v>4257</v>
      </c>
      <c r="B51" s="111" t="s">
        <v>4340</v>
      </c>
      <c r="C51" s="111" t="s">
        <v>2058</v>
      </c>
      <c r="D51" s="111" t="s">
        <v>2159</v>
      </c>
      <c r="E51" s="111" t="s">
        <v>2159</v>
      </c>
      <c r="F51" s="111" t="s">
        <v>4341</v>
      </c>
      <c r="G51" s="111">
        <v>1.5</v>
      </c>
      <c r="H51" s="112" t="s">
        <v>4343</v>
      </c>
      <c r="I51" s="139" t="s">
        <v>4344</v>
      </c>
      <c r="J51" s="132"/>
      <c r="K51" s="132"/>
      <c r="L51" s="132"/>
      <c r="M51" s="132"/>
      <c r="N51" s="132"/>
    </row>
    <row r="52" spans="1:14" ht="19">
      <c r="A52" s="111" t="s">
        <v>4345</v>
      </c>
      <c r="B52" s="111" t="s">
        <v>3089</v>
      </c>
      <c r="C52" s="111" t="s">
        <v>2059</v>
      </c>
      <c r="D52" s="111" t="s">
        <v>3782</v>
      </c>
      <c r="E52" s="111" t="s">
        <v>4346</v>
      </c>
      <c r="F52" s="111" t="s">
        <v>4347</v>
      </c>
      <c r="G52" s="111">
        <v>6</v>
      </c>
      <c r="H52" s="112" t="s">
        <v>4348</v>
      </c>
      <c r="I52" s="139" t="s">
        <v>3017</v>
      </c>
      <c r="J52" s="132"/>
      <c r="K52" s="132"/>
      <c r="L52" s="132"/>
      <c r="M52" s="132"/>
      <c r="N52" s="132"/>
    </row>
    <row r="53" spans="1:14" ht="19">
      <c r="A53" s="111" t="s">
        <v>4345</v>
      </c>
      <c r="B53" s="111" t="s">
        <v>3090</v>
      </c>
      <c r="C53" s="111" t="s">
        <v>2059</v>
      </c>
      <c r="D53" s="111" t="s">
        <v>3782</v>
      </c>
      <c r="E53" s="111" t="s">
        <v>4349</v>
      </c>
      <c r="F53" s="111" t="s">
        <v>4350</v>
      </c>
      <c r="G53" s="111">
        <v>5</v>
      </c>
      <c r="H53" s="112" t="s">
        <v>4351</v>
      </c>
      <c r="I53" s="139" t="s">
        <v>280</v>
      </c>
      <c r="J53" s="132"/>
      <c r="K53" s="132"/>
      <c r="L53" s="132"/>
      <c r="M53" s="132"/>
      <c r="N53" s="132"/>
    </row>
    <row r="54" spans="1:14" ht="19">
      <c r="A54" s="111" t="s">
        <v>4345</v>
      </c>
      <c r="B54" s="111" t="s">
        <v>3091</v>
      </c>
      <c r="C54" s="111" t="s">
        <v>2059</v>
      </c>
      <c r="D54" s="111" t="s">
        <v>3804</v>
      </c>
      <c r="E54" s="111" t="s">
        <v>4352</v>
      </c>
      <c r="F54" s="111" t="s">
        <v>4353</v>
      </c>
      <c r="G54" s="111">
        <v>5</v>
      </c>
      <c r="H54" s="112" t="s">
        <v>4354</v>
      </c>
      <c r="I54" s="139" t="s">
        <v>280</v>
      </c>
      <c r="J54" s="132"/>
      <c r="K54" s="132"/>
      <c r="L54" s="132"/>
      <c r="M54" s="132"/>
      <c r="N54" s="132"/>
    </row>
    <row r="55" spans="1:14" ht="19">
      <c r="A55" s="111" t="s">
        <v>4345</v>
      </c>
      <c r="B55" s="111" t="s">
        <v>3092</v>
      </c>
      <c r="C55" s="111" t="s">
        <v>2057</v>
      </c>
      <c r="D55" s="111" t="s">
        <v>3889</v>
      </c>
      <c r="E55" s="111" t="s">
        <v>4355</v>
      </c>
      <c r="F55" s="111" t="s">
        <v>4356</v>
      </c>
      <c r="G55" s="111">
        <v>5</v>
      </c>
      <c r="H55" s="112" t="s">
        <v>4295</v>
      </c>
      <c r="I55" s="139" t="s">
        <v>3017</v>
      </c>
      <c r="J55" s="132"/>
      <c r="K55" s="132"/>
      <c r="L55" s="132"/>
      <c r="M55" s="132"/>
      <c r="N55" s="132"/>
    </row>
    <row r="56" spans="1:14" ht="19">
      <c r="A56" s="111" t="s">
        <v>4345</v>
      </c>
      <c r="B56" s="111" t="s">
        <v>3093</v>
      </c>
      <c r="C56" s="111" t="s">
        <v>2070</v>
      </c>
      <c r="D56" s="111" t="s">
        <v>2104</v>
      </c>
      <c r="E56" s="111" t="s">
        <v>4357</v>
      </c>
      <c r="F56" s="111" t="s">
        <v>4358</v>
      </c>
      <c r="G56" s="111">
        <v>6</v>
      </c>
      <c r="H56" s="112" t="s">
        <v>4331</v>
      </c>
      <c r="I56" s="139" t="s">
        <v>280</v>
      </c>
      <c r="J56" s="132"/>
      <c r="K56" s="132"/>
      <c r="L56" s="132"/>
      <c r="M56" s="132"/>
      <c r="N56" s="132"/>
    </row>
    <row r="57" spans="1:14" ht="19">
      <c r="A57" s="142" t="s">
        <v>4359</v>
      </c>
      <c r="B57" s="142" t="s">
        <v>3094</v>
      </c>
      <c r="C57" s="142" t="s">
        <v>2057</v>
      </c>
      <c r="D57" s="142" t="s">
        <v>3889</v>
      </c>
      <c r="E57" s="142" t="s">
        <v>4360</v>
      </c>
      <c r="F57" s="142" t="s">
        <v>4361</v>
      </c>
      <c r="G57" s="142">
        <v>5</v>
      </c>
      <c r="H57" s="143" t="s">
        <v>4362</v>
      </c>
      <c r="I57" s="139" t="s">
        <v>280</v>
      </c>
      <c r="J57" s="132"/>
      <c r="K57" s="132"/>
      <c r="L57" s="132"/>
      <c r="M57" s="132"/>
      <c r="N57" s="132"/>
    </row>
    <row r="58" spans="1:14" ht="19">
      <c r="A58" s="142" t="s">
        <v>4359</v>
      </c>
      <c r="B58" s="142" t="s">
        <v>3095</v>
      </c>
      <c r="C58" s="142" t="s">
        <v>2068</v>
      </c>
      <c r="D58" s="142" t="s">
        <v>3969</v>
      </c>
      <c r="E58" s="142" t="s">
        <v>4363</v>
      </c>
      <c r="F58" s="142" t="s">
        <v>4364</v>
      </c>
      <c r="G58" s="142">
        <v>4</v>
      </c>
      <c r="H58" s="143" t="s">
        <v>4365</v>
      </c>
      <c r="I58" s="139" t="s">
        <v>280</v>
      </c>
      <c r="J58" s="132"/>
      <c r="K58" s="132"/>
      <c r="L58" s="132"/>
      <c r="M58" s="132"/>
      <c r="N58" s="132"/>
    </row>
    <row r="59" spans="1:14" ht="19">
      <c r="A59" s="142" t="s">
        <v>4359</v>
      </c>
      <c r="B59" s="142" t="s">
        <v>3096</v>
      </c>
      <c r="C59" s="142" t="s">
        <v>2065</v>
      </c>
      <c r="D59" s="142" t="s">
        <v>2089</v>
      </c>
      <c r="E59" s="142" t="s">
        <v>4366</v>
      </c>
      <c r="F59" s="142" t="s">
        <v>4367</v>
      </c>
      <c r="G59" s="142">
        <v>4</v>
      </c>
      <c r="H59" s="143" t="s">
        <v>4368</v>
      </c>
      <c r="I59" s="139" t="s">
        <v>3018</v>
      </c>
      <c r="J59" s="132"/>
      <c r="K59" s="132"/>
      <c r="L59" s="132"/>
      <c r="M59" s="132"/>
      <c r="N59" s="132"/>
    </row>
    <row r="60" spans="1:14" ht="19">
      <c r="A60" s="142" t="s">
        <v>4359</v>
      </c>
      <c r="B60" s="142" t="s">
        <v>3097</v>
      </c>
      <c r="C60" s="142" t="s">
        <v>2065</v>
      </c>
      <c r="D60" s="142" t="s">
        <v>4054</v>
      </c>
      <c r="E60" s="142" t="s">
        <v>4369</v>
      </c>
      <c r="F60" s="142" t="s">
        <v>4370</v>
      </c>
      <c r="G60" s="142">
        <v>4</v>
      </c>
      <c r="H60" s="143" t="s">
        <v>4241</v>
      </c>
      <c r="I60" s="139" t="s">
        <v>280</v>
      </c>
      <c r="J60" s="132"/>
      <c r="K60" s="132"/>
      <c r="L60" s="132"/>
      <c r="M60" s="132"/>
      <c r="N60" s="132"/>
    </row>
    <row r="61" spans="1:14" ht="19">
      <c r="A61" s="139" t="s">
        <v>4359</v>
      </c>
      <c r="B61" s="139" t="s">
        <v>3098</v>
      </c>
      <c r="C61" s="139" t="s">
        <v>2056</v>
      </c>
      <c r="D61" s="139" t="s">
        <v>2118</v>
      </c>
      <c r="E61" s="139" t="s">
        <v>4371</v>
      </c>
      <c r="F61" s="139" t="s">
        <v>4372</v>
      </c>
      <c r="G61" s="139">
        <v>8</v>
      </c>
      <c r="H61" s="112" t="s">
        <v>4373</v>
      </c>
      <c r="I61" s="139" t="s">
        <v>3019</v>
      </c>
      <c r="J61" s="132"/>
      <c r="K61" s="132"/>
      <c r="L61" s="132"/>
      <c r="M61" s="132"/>
      <c r="N61" s="132"/>
    </row>
    <row r="62" spans="1:14">
      <c r="A62" s="139" t="s">
        <v>4359</v>
      </c>
      <c r="B62" s="139" t="s">
        <v>3099</v>
      </c>
      <c r="C62" s="139" t="s">
        <v>2056</v>
      </c>
      <c r="D62" s="139" t="s">
        <v>2081</v>
      </c>
      <c r="E62" s="139" t="s">
        <v>4374</v>
      </c>
      <c r="F62" s="139" t="s">
        <v>4375</v>
      </c>
      <c r="G62" s="139">
        <v>6</v>
      </c>
      <c r="H62" s="139" t="s">
        <v>4376</v>
      </c>
      <c r="I62" s="139" t="s">
        <v>280</v>
      </c>
      <c r="J62" s="132"/>
      <c r="K62" s="132"/>
      <c r="L62" s="132"/>
      <c r="M62" s="132"/>
      <c r="N62" s="132"/>
    </row>
    <row r="63" spans="1:14">
      <c r="A63" s="139" t="s">
        <v>4359</v>
      </c>
      <c r="B63" s="139" t="s">
        <v>3100</v>
      </c>
      <c r="C63" s="139" t="s">
        <v>2056</v>
      </c>
      <c r="D63" s="139" t="s">
        <v>2099</v>
      </c>
      <c r="E63" s="139" t="s">
        <v>4377</v>
      </c>
      <c r="F63" s="139" t="s">
        <v>4378</v>
      </c>
      <c r="G63" s="139">
        <v>3</v>
      </c>
      <c r="H63" s="139" t="s">
        <v>4379</v>
      </c>
      <c r="I63" s="139" t="s">
        <v>280</v>
      </c>
      <c r="J63" s="132"/>
      <c r="K63" s="132"/>
      <c r="L63" s="132"/>
      <c r="M63" s="132"/>
      <c r="N63" s="132"/>
    </row>
    <row r="64" spans="1:14">
      <c r="A64" s="128" t="s">
        <v>4380</v>
      </c>
      <c r="B64" s="128" t="s">
        <v>3101</v>
      </c>
      <c r="C64" s="128" t="s">
        <v>2067</v>
      </c>
      <c r="D64" s="128" t="s">
        <v>2093</v>
      </c>
      <c r="E64" s="128" t="s">
        <v>4381</v>
      </c>
      <c r="F64" s="139" t="s">
        <v>4382</v>
      </c>
      <c r="G64" s="139">
        <v>8</v>
      </c>
      <c r="H64" s="139" t="s">
        <v>4383</v>
      </c>
      <c r="I64" s="139" t="s">
        <v>3020</v>
      </c>
      <c r="J64" s="132"/>
      <c r="K64" s="132"/>
      <c r="L64" s="132"/>
      <c r="M64" s="132"/>
      <c r="N64" s="132"/>
    </row>
    <row r="65" spans="1:14">
      <c r="A65" s="139" t="s">
        <v>4380</v>
      </c>
      <c r="B65" s="139" t="s">
        <v>3102</v>
      </c>
      <c r="C65" s="139" t="s">
        <v>2067</v>
      </c>
      <c r="D65" s="139" t="s">
        <v>2093</v>
      </c>
      <c r="E65" s="139" t="s">
        <v>4384</v>
      </c>
      <c r="F65" s="139" t="s">
        <v>4385</v>
      </c>
      <c r="G65" s="139">
        <v>3</v>
      </c>
      <c r="H65" s="139" t="s">
        <v>4386</v>
      </c>
      <c r="I65" s="139" t="s">
        <v>280</v>
      </c>
      <c r="J65" s="132"/>
      <c r="K65" s="132"/>
      <c r="L65" s="132"/>
      <c r="M65" s="132"/>
      <c r="N65" s="132"/>
    </row>
    <row r="66" spans="1:14">
      <c r="A66" s="139" t="s">
        <v>4380</v>
      </c>
      <c r="B66" s="139" t="s">
        <v>3103</v>
      </c>
      <c r="C66" s="139" t="s">
        <v>2067</v>
      </c>
      <c r="D66" s="139" t="s">
        <v>2127</v>
      </c>
      <c r="E66" s="139" t="s">
        <v>4387</v>
      </c>
      <c r="F66" s="139" t="s">
        <v>4388</v>
      </c>
      <c r="G66" s="139">
        <v>6</v>
      </c>
      <c r="H66" s="139" t="s">
        <v>4389</v>
      </c>
      <c r="I66" s="139" t="s">
        <v>3021</v>
      </c>
      <c r="J66" s="132"/>
      <c r="K66" s="132"/>
      <c r="L66" s="132"/>
      <c r="M66" s="132"/>
      <c r="N66" s="132"/>
    </row>
    <row r="67" spans="1:14">
      <c r="A67" s="139" t="s">
        <v>4380</v>
      </c>
      <c r="B67" s="139" t="s">
        <v>3104</v>
      </c>
      <c r="C67" s="139" t="s">
        <v>2067</v>
      </c>
      <c r="D67" s="139" t="s">
        <v>2127</v>
      </c>
      <c r="E67" s="139" t="s">
        <v>4390</v>
      </c>
      <c r="F67" s="139" t="s">
        <v>4391</v>
      </c>
      <c r="G67" s="139">
        <v>5</v>
      </c>
      <c r="H67" s="139" t="s">
        <v>4392</v>
      </c>
      <c r="I67" s="139" t="s">
        <v>3022</v>
      </c>
      <c r="J67" s="132"/>
      <c r="K67" s="132"/>
      <c r="L67" s="132"/>
      <c r="M67" s="132"/>
      <c r="N67" s="132"/>
    </row>
    <row r="68" spans="1:14">
      <c r="A68" s="139" t="s">
        <v>4393</v>
      </c>
      <c r="B68" s="139" t="s">
        <v>3105</v>
      </c>
      <c r="C68" s="139" t="s">
        <v>1657</v>
      </c>
      <c r="D68" s="139" t="s">
        <v>3862</v>
      </c>
      <c r="E68" s="139" t="s">
        <v>4394</v>
      </c>
      <c r="F68" s="139" t="s">
        <v>4395</v>
      </c>
      <c r="G68" s="139">
        <v>3</v>
      </c>
      <c r="H68" s="139" t="s">
        <v>4396</v>
      </c>
      <c r="I68" s="139" t="s">
        <v>3023</v>
      </c>
      <c r="J68" s="132"/>
      <c r="K68" s="132"/>
      <c r="L68" s="132"/>
      <c r="M68" s="132"/>
      <c r="N68" s="132"/>
    </row>
    <row r="69" spans="1:14">
      <c r="A69" s="139" t="s">
        <v>4393</v>
      </c>
      <c r="B69" s="139" t="s">
        <v>3106</v>
      </c>
      <c r="C69" s="139" t="s">
        <v>2078</v>
      </c>
      <c r="D69" s="139" t="s">
        <v>2172</v>
      </c>
      <c r="E69" s="139" t="s">
        <v>4397</v>
      </c>
      <c r="F69" s="139" t="s">
        <v>4398</v>
      </c>
      <c r="G69" s="139">
        <v>1.5</v>
      </c>
      <c r="H69" s="139" t="s">
        <v>4399</v>
      </c>
      <c r="I69" s="139" t="s">
        <v>3024</v>
      </c>
      <c r="J69" s="132"/>
      <c r="K69" s="132"/>
      <c r="L69" s="132"/>
      <c r="M69" s="132"/>
      <c r="N69" s="132"/>
    </row>
    <row r="70" spans="1:14">
      <c r="A70" s="139" t="s">
        <v>4393</v>
      </c>
      <c r="B70" s="139" t="s">
        <v>3107</v>
      </c>
      <c r="C70" s="139" t="s">
        <v>2078</v>
      </c>
      <c r="D70" s="139" t="s">
        <v>2173</v>
      </c>
      <c r="E70" s="139" t="s">
        <v>4400</v>
      </c>
      <c r="F70" s="139" t="s">
        <v>4401</v>
      </c>
      <c r="G70" s="139">
        <v>0.5</v>
      </c>
      <c r="H70" s="139" t="s">
        <v>4402</v>
      </c>
      <c r="I70" s="139" t="s">
        <v>3024</v>
      </c>
      <c r="J70" s="132"/>
      <c r="K70" s="132"/>
      <c r="L70" s="132"/>
      <c r="M70" s="132"/>
      <c r="N70" s="132"/>
    </row>
    <row r="71" spans="1:14">
      <c r="A71" s="139" t="s">
        <v>4393</v>
      </c>
      <c r="B71" s="139" t="s">
        <v>3108</v>
      </c>
      <c r="C71" s="139" t="s">
        <v>2063</v>
      </c>
      <c r="D71" s="139" t="s">
        <v>2085</v>
      </c>
      <c r="E71" s="139" t="s">
        <v>4403</v>
      </c>
      <c r="F71" s="139" t="s">
        <v>4404</v>
      </c>
      <c r="G71" s="139">
        <v>10</v>
      </c>
      <c r="H71" s="139" t="s">
        <v>4405</v>
      </c>
      <c r="I71" s="139" t="s">
        <v>3025</v>
      </c>
      <c r="J71" s="132"/>
      <c r="K71" s="132"/>
      <c r="L71" s="132"/>
      <c r="M71" s="132"/>
      <c r="N71" s="132"/>
    </row>
    <row r="72" spans="1:14">
      <c r="A72" s="139" t="s">
        <v>4393</v>
      </c>
      <c r="B72" s="139" t="s">
        <v>3109</v>
      </c>
      <c r="C72" s="139" t="s">
        <v>2063</v>
      </c>
      <c r="D72" s="139" t="s">
        <v>2085</v>
      </c>
      <c r="E72" s="139" t="s">
        <v>4406</v>
      </c>
      <c r="F72" s="139" t="s">
        <v>4407</v>
      </c>
      <c r="G72" s="139">
        <v>4</v>
      </c>
      <c r="H72" s="139" t="s">
        <v>4408</v>
      </c>
      <c r="I72" s="139" t="s">
        <v>3026</v>
      </c>
      <c r="J72" s="132"/>
      <c r="K72" s="132"/>
      <c r="L72" s="132"/>
      <c r="M72" s="132"/>
      <c r="N72" s="132"/>
    </row>
    <row r="73" spans="1:14">
      <c r="A73" s="139" t="s">
        <v>4393</v>
      </c>
      <c r="B73" s="139" t="s">
        <v>3110</v>
      </c>
      <c r="C73" s="139" t="s">
        <v>2063</v>
      </c>
      <c r="D73" s="139" t="s">
        <v>2116</v>
      </c>
      <c r="E73" s="139" t="s">
        <v>4409</v>
      </c>
      <c r="F73" s="139" t="s">
        <v>4410</v>
      </c>
      <c r="G73" s="139">
        <v>4</v>
      </c>
      <c r="H73" s="139" t="s">
        <v>4411</v>
      </c>
      <c r="I73" s="139" t="s">
        <v>280</v>
      </c>
      <c r="J73" s="132"/>
      <c r="K73" s="132"/>
      <c r="L73" s="132"/>
      <c r="M73" s="132"/>
      <c r="N73" s="132"/>
    </row>
    <row r="74" spans="1:14">
      <c r="A74" s="139" t="s">
        <v>4393</v>
      </c>
      <c r="B74" s="139" t="s">
        <v>3111</v>
      </c>
      <c r="C74" s="139" t="s">
        <v>2063</v>
      </c>
      <c r="D74" s="139" t="s">
        <v>2116</v>
      </c>
      <c r="E74" s="139" t="s">
        <v>4412</v>
      </c>
      <c r="F74" s="139" t="s">
        <v>4413</v>
      </c>
      <c r="G74" s="139">
        <v>3</v>
      </c>
      <c r="H74" s="139" t="s">
        <v>4414</v>
      </c>
      <c r="I74" s="139" t="s">
        <v>3024</v>
      </c>
      <c r="J74" s="132"/>
      <c r="K74" s="132"/>
      <c r="L74" s="132"/>
      <c r="M74" s="132"/>
      <c r="N74" s="132"/>
    </row>
    <row r="75" spans="1:14">
      <c r="A75" s="144" t="s">
        <v>4393</v>
      </c>
      <c r="B75" s="144" t="s">
        <v>3112</v>
      </c>
      <c r="C75" s="144" t="s">
        <v>2063</v>
      </c>
      <c r="D75" s="144" t="s">
        <v>2139</v>
      </c>
      <c r="E75" s="139" t="s">
        <v>4415</v>
      </c>
      <c r="F75" s="139" t="s">
        <v>4416</v>
      </c>
      <c r="G75" s="139">
        <v>4</v>
      </c>
      <c r="H75" s="139" t="s">
        <v>4417</v>
      </c>
      <c r="I75" s="139" t="s">
        <v>3027</v>
      </c>
      <c r="J75" s="132"/>
      <c r="K75" s="132"/>
      <c r="L75" s="132"/>
      <c r="M75" s="132"/>
      <c r="N75" s="132"/>
    </row>
    <row r="76" spans="1:14">
      <c r="A76" s="144" t="s">
        <v>4393</v>
      </c>
      <c r="B76" s="144" t="s">
        <v>3113</v>
      </c>
      <c r="C76" s="144" t="s">
        <v>2064</v>
      </c>
      <c r="D76" s="144" t="s">
        <v>4113</v>
      </c>
      <c r="E76" s="139" t="s">
        <v>4418</v>
      </c>
      <c r="F76" s="139" t="s">
        <v>4419</v>
      </c>
      <c r="G76" s="139">
        <v>4</v>
      </c>
      <c r="H76" s="139" t="s">
        <v>4420</v>
      </c>
      <c r="I76" s="139" t="s">
        <v>3028</v>
      </c>
      <c r="J76" s="132"/>
      <c r="K76" s="132"/>
      <c r="L76" s="132"/>
      <c r="M76" s="132"/>
      <c r="N76" s="132"/>
    </row>
    <row r="77" spans="1:14">
      <c r="A77" s="123" t="s">
        <v>4393</v>
      </c>
      <c r="B77" s="123" t="s">
        <v>4422</v>
      </c>
      <c r="C77" s="123" t="s">
        <v>2064</v>
      </c>
      <c r="D77" s="123" t="s">
        <v>4156</v>
      </c>
      <c r="E77" s="123" t="s">
        <v>4423</v>
      </c>
      <c r="F77" s="123" t="s">
        <v>4424</v>
      </c>
      <c r="G77" s="123">
        <v>2</v>
      </c>
      <c r="H77" s="123" t="s">
        <v>4426</v>
      </c>
      <c r="I77" s="123" t="s">
        <v>4427</v>
      </c>
    </row>
    <row r="78" spans="1:14">
      <c r="A78" s="123" t="s">
        <v>4428</v>
      </c>
      <c r="B78" s="123" t="s">
        <v>3114</v>
      </c>
      <c r="C78" s="123" t="s">
        <v>3950</v>
      </c>
      <c r="D78" s="123" t="s">
        <v>3951</v>
      </c>
      <c r="E78" s="123" t="s">
        <v>4429</v>
      </c>
      <c r="F78" s="123" t="s">
        <v>4430</v>
      </c>
      <c r="G78" s="123">
        <v>4</v>
      </c>
      <c r="H78" s="123" t="s">
        <v>4431</v>
      </c>
      <c r="I78" s="123" t="s">
        <v>3029</v>
      </c>
    </row>
    <row r="79" spans="1:14">
      <c r="A79" s="123" t="s">
        <v>4428</v>
      </c>
      <c r="B79" s="123" t="s">
        <v>3115</v>
      </c>
      <c r="C79" s="123" t="s">
        <v>3950</v>
      </c>
      <c r="D79" s="123" t="s">
        <v>1721</v>
      </c>
      <c r="E79" s="123" t="s">
        <v>1721</v>
      </c>
      <c r="F79" s="123" t="s">
        <v>4432</v>
      </c>
      <c r="G79" s="123">
        <v>1.5</v>
      </c>
      <c r="H79" s="123" t="s">
        <v>4433</v>
      </c>
      <c r="I79" s="123" t="s">
        <v>3030</v>
      </c>
    </row>
    <row r="80" spans="1:14">
      <c r="A80" s="123" t="s">
        <v>4428</v>
      </c>
      <c r="B80" s="123" t="s">
        <v>3116</v>
      </c>
      <c r="C80" s="123" t="s">
        <v>2076</v>
      </c>
      <c r="D80" s="123" t="s">
        <v>2137</v>
      </c>
      <c r="E80" s="123" t="s">
        <v>4434</v>
      </c>
      <c r="F80" s="123" t="s">
        <v>4435</v>
      </c>
      <c r="G80" s="123">
        <v>3</v>
      </c>
      <c r="H80" s="123" t="s">
        <v>4436</v>
      </c>
      <c r="I80" s="123" t="s">
        <v>3031</v>
      </c>
    </row>
    <row r="81" spans="1:9">
      <c r="A81" s="123" t="s">
        <v>4428</v>
      </c>
      <c r="B81" s="123" t="s">
        <v>3117</v>
      </c>
      <c r="C81" s="123" t="s">
        <v>2076</v>
      </c>
      <c r="D81" s="123" t="s">
        <v>2191</v>
      </c>
      <c r="E81" s="123" t="s">
        <v>2191</v>
      </c>
      <c r="F81" s="123" t="s">
        <v>4437</v>
      </c>
      <c r="G81" s="123">
        <v>1.5</v>
      </c>
      <c r="H81" s="123" t="s">
        <v>4438</v>
      </c>
      <c r="I81" s="123" t="s">
        <v>4439</v>
      </c>
    </row>
    <row r="82" spans="1:9">
      <c r="A82" s="123" t="s">
        <v>4428</v>
      </c>
      <c r="B82" s="123" t="s">
        <v>3118</v>
      </c>
      <c r="C82" s="123" t="s">
        <v>2078</v>
      </c>
      <c r="D82" s="123" t="s">
        <v>2174</v>
      </c>
      <c r="E82" s="123" t="s">
        <v>4440</v>
      </c>
      <c r="F82" s="123" t="s">
        <v>4441</v>
      </c>
      <c r="G82" s="123">
        <v>1</v>
      </c>
      <c r="H82" s="123" t="s">
        <v>4442</v>
      </c>
      <c r="I82" s="123" t="s">
        <v>3032</v>
      </c>
    </row>
    <row r="83" spans="1:9">
      <c r="A83" s="123" t="s">
        <v>4428</v>
      </c>
      <c r="B83" s="123" t="s">
        <v>3119</v>
      </c>
      <c r="C83" s="123" t="s">
        <v>2067</v>
      </c>
      <c r="D83" s="123" t="s">
        <v>2187</v>
      </c>
      <c r="E83" s="123" t="s">
        <v>4443</v>
      </c>
      <c r="F83" s="123" t="s">
        <v>4444</v>
      </c>
      <c r="G83" s="123">
        <v>2</v>
      </c>
      <c r="H83" s="123" t="s">
        <v>4445</v>
      </c>
      <c r="I83" s="123" t="s">
        <v>3033</v>
      </c>
    </row>
    <row r="84" spans="1:9">
      <c r="A84" s="123" t="s">
        <v>4428</v>
      </c>
      <c r="B84" s="123" t="s">
        <v>3120</v>
      </c>
      <c r="C84" s="123" t="s">
        <v>2064</v>
      </c>
      <c r="D84" s="123" t="s">
        <v>2177</v>
      </c>
      <c r="E84" s="123" t="s">
        <v>4446</v>
      </c>
      <c r="F84" s="123" t="s">
        <v>4447</v>
      </c>
      <c r="G84" s="123">
        <v>6</v>
      </c>
      <c r="H84" s="123" t="s">
        <v>4448</v>
      </c>
      <c r="I84" s="123" t="s">
        <v>3034</v>
      </c>
    </row>
    <row r="85" spans="1:9">
      <c r="A85" s="123" t="s">
        <v>4428</v>
      </c>
      <c r="B85" s="123" t="s">
        <v>3121</v>
      </c>
      <c r="C85" s="123" t="s">
        <v>2064</v>
      </c>
      <c r="D85" s="123" t="s">
        <v>2122</v>
      </c>
      <c r="E85" s="123" t="s">
        <v>4449</v>
      </c>
      <c r="F85" s="123" t="s">
        <v>4450</v>
      </c>
      <c r="G85" s="123">
        <v>8</v>
      </c>
      <c r="H85" s="123" t="s">
        <v>4451</v>
      </c>
      <c r="I85" s="123" t="s">
        <v>3035</v>
      </c>
    </row>
    <row r="86" spans="1:9">
      <c r="A86" s="123" t="s">
        <v>4428</v>
      </c>
      <c r="B86" s="123" t="s">
        <v>3122</v>
      </c>
      <c r="C86" s="123" t="s">
        <v>2064</v>
      </c>
      <c r="D86" s="123" t="s">
        <v>2124</v>
      </c>
      <c r="E86" s="123" t="s">
        <v>2124</v>
      </c>
      <c r="F86" s="123" t="s">
        <v>4452</v>
      </c>
      <c r="G86" s="123">
        <v>3</v>
      </c>
      <c r="H86" s="123" t="s">
        <v>4453</v>
      </c>
      <c r="I86" s="123" t="s">
        <v>3036</v>
      </c>
    </row>
    <row r="87" spans="1:9">
      <c r="A87" s="123" t="s">
        <v>4428</v>
      </c>
      <c r="B87" s="123" t="s">
        <v>3123</v>
      </c>
      <c r="C87" s="123" t="s">
        <v>2064</v>
      </c>
      <c r="D87" s="123" t="s">
        <v>4113</v>
      </c>
      <c r="E87" s="123" t="s">
        <v>4454</v>
      </c>
      <c r="F87" s="123" t="s">
        <v>4455</v>
      </c>
      <c r="G87" s="123">
        <v>5</v>
      </c>
      <c r="H87" s="123" t="s">
        <v>4456</v>
      </c>
      <c r="I87" s="123" t="s">
        <v>3037</v>
      </c>
    </row>
    <row r="88" spans="1:9">
      <c r="A88" s="123" t="s">
        <v>4428</v>
      </c>
      <c r="B88" s="123" t="s">
        <v>3727</v>
      </c>
      <c r="C88" s="123" t="s">
        <v>2075</v>
      </c>
      <c r="D88" s="123" t="s">
        <v>2142</v>
      </c>
      <c r="E88" s="123" t="s">
        <v>4457</v>
      </c>
      <c r="F88" s="123" t="s">
        <v>4458</v>
      </c>
      <c r="G88" s="123">
        <v>4</v>
      </c>
      <c r="H88" s="123" t="s">
        <v>4459</v>
      </c>
      <c r="I88" s="123" t="s">
        <v>3038</v>
      </c>
    </row>
    <row r="89" spans="1:9">
      <c r="A89" s="123" t="s">
        <v>4428</v>
      </c>
      <c r="B89" s="123" t="s">
        <v>4461</v>
      </c>
      <c r="C89" s="123" t="s">
        <v>1656</v>
      </c>
      <c r="D89" s="123" t="s">
        <v>2097</v>
      </c>
      <c r="E89" s="123" t="s">
        <v>4462</v>
      </c>
      <c r="F89" s="123" t="s">
        <v>4463</v>
      </c>
      <c r="G89" s="123">
        <v>1.5</v>
      </c>
      <c r="H89" s="123" t="s">
        <v>4465</v>
      </c>
      <c r="I89" s="123" t="s">
        <v>4466</v>
      </c>
    </row>
    <row r="90" spans="1:9">
      <c r="A90" s="123" t="s">
        <v>4467</v>
      </c>
      <c r="B90" s="123" t="s">
        <v>3124</v>
      </c>
      <c r="C90" s="123" t="s">
        <v>2060</v>
      </c>
      <c r="D90" s="123" t="s">
        <v>3763</v>
      </c>
      <c r="E90" s="123" t="s">
        <v>4468</v>
      </c>
      <c r="F90" s="123" t="s">
        <v>4469</v>
      </c>
      <c r="G90" s="123">
        <v>5</v>
      </c>
      <c r="H90" s="123" t="s">
        <v>1366</v>
      </c>
      <c r="I90" s="123" t="s">
        <v>3039</v>
      </c>
    </row>
    <row r="91" spans="1:9">
      <c r="A91" s="123" t="s">
        <v>4467</v>
      </c>
      <c r="B91" s="123" t="s">
        <v>3125</v>
      </c>
      <c r="C91" s="123" t="s">
        <v>3950</v>
      </c>
      <c r="D91" s="123" t="s">
        <v>2165</v>
      </c>
      <c r="E91" s="123" t="s">
        <v>4470</v>
      </c>
      <c r="F91" s="123" t="s">
        <v>4471</v>
      </c>
      <c r="G91" s="123">
        <v>5</v>
      </c>
      <c r="H91" s="123" t="s">
        <v>4472</v>
      </c>
      <c r="I91" s="123" t="s">
        <v>4473</v>
      </c>
    </row>
    <row r="92" spans="1:9">
      <c r="A92" s="123" t="s">
        <v>4467</v>
      </c>
      <c r="B92" s="123" t="s">
        <v>3126</v>
      </c>
      <c r="C92" s="123" t="s">
        <v>2064</v>
      </c>
      <c r="D92" s="123" t="s">
        <v>2129</v>
      </c>
      <c r="E92" s="123" t="s">
        <v>4474</v>
      </c>
      <c r="F92" s="123" t="s">
        <v>4475</v>
      </c>
      <c r="G92" s="123">
        <v>4</v>
      </c>
      <c r="H92" s="123" t="s">
        <v>4476</v>
      </c>
      <c r="I92" s="123" t="s">
        <v>3040</v>
      </c>
    </row>
    <row r="93" spans="1:9">
      <c r="A93" s="123" t="s">
        <v>4467</v>
      </c>
      <c r="B93" s="123" t="s">
        <v>3127</v>
      </c>
      <c r="C93" s="123" t="s">
        <v>2079</v>
      </c>
      <c r="D93" s="123" t="s">
        <v>2189</v>
      </c>
      <c r="E93" s="123" t="s">
        <v>4477</v>
      </c>
      <c r="F93" s="123" t="s">
        <v>4478</v>
      </c>
      <c r="G93" s="123">
        <v>5</v>
      </c>
      <c r="H93" s="123" t="s">
        <v>1366</v>
      </c>
      <c r="I93" s="123" t="s">
        <v>3041</v>
      </c>
    </row>
    <row r="94" spans="1:9">
      <c r="A94" s="133" t="s">
        <v>4479</v>
      </c>
      <c r="B94" s="133" t="s">
        <v>3128</v>
      </c>
      <c r="C94" s="133" t="s">
        <v>2069</v>
      </c>
      <c r="D94" s="133" t="s">
        <v>2111</v>
      </c>
      <c r="E94" s="133" t="s">
        <v>4480</v>
      </c>
      <c r="F94" s="133" t="s">
        <v>4481</v>
      </c>
      <c r="G94" s="133">
        <v>8</v>
      </c>
      <c r="H94" s="133" t="s">
        <v>1366</v>
      </c>
      <c r="I94" s="133" t="s">
        <v>3042</v>
      </c>
    </row>
    <row r="95" spans="1:9">
      <c r="A95" s="133" t="s">
        <v>4479</v>
      </c>
      <c r="B95" s="133" t="s">
        <v>3129</v>
      </c>
      <c r="C95" s="133" t="s">
        <v>2069</v>
      </c>
      <c r="D95" s="133" t="s">
        <v>2111</v>
      </c>
      <c r="E95" s="133" t="s">
        <v>4482</v>
      </c>
      <c r="F95" s="133" t="s">
        <v>4483</v>
      </c>
      <c r="G95" s="133">
        <v>6</v>
      </c>
      <c r="H95" s="133" t="s">
        <v>1366</v>
      </c>
      <c r="I95" s="133" t="s">
        <v>3043</v>
      </c>
    </row>
    <row r="96" spans="1:9">
      <c r="A96" s="133" t="s">
        <v>4479</v>
      </c>
      <c r="B96" s="133" t="s">
        <v>3130</v>
      </c>
      <c r="C96" s="133" t="s">
        <v>2069</v>
      </c>
      <c r="D96" s="133" t="s">
        <v>2103</v>
      </c>
      <c r="E96" s="133" t="s">
        <v>4484</v>
      </c>
      <c r="F96" s="133" t="s">
        <v>4485</v>
      </c>
      <c r="G96" s="133">
        <v>5</v>
      </c>
      <c r="H96" s="133" t="s">
        <v>4486</v>
      </c>
      <c r="I96" s="133" t="s">
        <v>3044</v>
      </c>
    </row>
    <row r="97" spans="1:9">
      <c r="A97" s="133" t="s">
        <v>4479</v>
      </c>
      <c r="B97" s="133" t="s">
        <v>3131</v>
      </c>
      <c r="C97" s="133" t="s">
        <v>2075</v>
      </c>
      <c r="D97" s="133" t="s">
        <v>2135</v>
      </c>
      <c r="E97" s="133" t="s">
        <v>4487</v>
      </c>
      <c r="F97" s="133" t="s">
        <v>4488</v>
      </c>
      <c r="G97" s="133">
        <v>8</v>
      </c>
      <c r="H97" s="133" t="s">
        <v>1366</v>
      </c>
      <c r="I97" s="133" t="s">
        <v>3045</v>
      </c>
    </row>
    <row r="98" spans="1:9">
      <c r="A98" s="133" t="s">
        <v>4479</v>
      </c>
      <c r="B98" s="133" t="s">
        <v>3132</v>
      </c>
      <c r="C98" s="133" t="s">
        <v>2062</v>
      </c>
      <c r="D98" s="133" t="s">
        <v>2146</v>
      </c>
      <c r="E98" s="133" t="s">
        <v>4489</v>
      </c>
      <c r="F98" s="133" t="s">
        <v>4490</v>
      </c>
      <c r="G98" s="133">
        <v>6</v>
      </c>
      <c r="H98" s="133" t="s">
        <v>1366</v>
      </c>
      <c r="I98" s="133" t="s">
        <v>3046</v>
      </c>
    </row>
    <row r="99" spans="1:9">
      <c r="A99" s="133" t="s">
        <v>4479</v>
      </c>
      <c r="B99" s="133" t="s">
        <v>3133</v>
      </c>
      <c r="C99" s="133" t="s">
        <v>2062</v>
      </c>
      <c r="D99" s="133" t="s">
        <v>2181</v>
      </c>
      <c r="E99" s="133" t="s">
        <v>4491</v>
      </c>
      <c r="F99" s="133" t="s">
        <v>4492</v>
      </c>
      <c r="G99" s="133">
        <v>8</v>
      </c>
      <c r="H99" s="133" t="s">
        <v>1366</v>
      </c>
      <c r="I99" s="133" t="s">
        <v>3047</v>
      </c>
    </row>
  </sheetData>
  <phoneticPr fontId="2"/>
  <conditionalFormatting sqref="A6:G60">
    <cfRule type="expression" dxfId="0" priority="1">
      <formula>$G6="外部待ち"</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613B9-34CB-1A49-B668-06631CCEB550}">
  <dimension ref="A1:K30"/>
  <sheetViews>
    <sheetView workbookViewId="0">
      <pane ySplit="1" topLeftCell="A2" activePane="bottomLeft" state="frozen"/>
      <selection pane="bottomLeft" activeCell="D22" sqref="D22"/>
    </sheetView>
  </sheetViews>
  <sheetFormatPr baseColWidth="10" defaultRowHeight="20"/>
  <cols>
    <col min="1" max="1" width="8.5703125" customWidth="1"/>
    <col min="2" max="2" width="10" customWidth="1"/>
    <col min="3" max="3" width="28.5703125" customWidth="1"/>
    <col min="4" max="4" width="45.7109375" customWidth="1"/>
    <col min="5" max="5" width="12.85546875" customWidth="1"/>
    <col min="6" max="6" width="15" customWidth="1"/>
    <col min="7" max="10" width="11.42578125" customWidth="1"/>
    <col min="11" max="11" width="12.85546875" customWidth="1"/>
  </cols>
  <sheetData>
    <row r="1" spans="1:11">
      <c r="A1" s="147" t="s">
        <v>947</v>
      </c>
      <c r="B1" s="147" t="s">
        <v>1360</v>
      </c>
      <c r="C1" s="147" t="s">
        <v>3150</v>
      </c>
      <c r="D1" s="147" t="s">
        <v>946</v>
      </c>
      <c r="E1" s="147" t="s">
        <v>3151</v>
      </c>
      <c r="F1" s="147" t="s">
        <v>3152</v>
      </c>
      <c r="G1" s="147" t="s">
        <v>3153</v>
      </c>
      <c r="H1" s="147" t="s">
        <v>3154</v>
      </c>
      <c r="I1" s="147" t="s">
        <v>3155</v>
      </c>
      <c r="J1" s="147" t="s">
        <v>3156</v>
      </c>
      <c r="K1" s="147" t="s">
        <v>3157</v>
      </c>
    </row>
    <row r="2" spans="1:11">
      <c r="A2" s="101" t="s">
        <v>2839</v>
      </c>
      <c r="B2" s="101" t="s">
        <v>2840</v>
      </c>
      <c r="C2" s="101" t="s">
        <v>2841</v>
      </c>
      <c r="D2" s="101" t="s">
        <v>2842</v>
      </c>
      <c r="E2" s="101" t="s">
        <v>2843</v>
      </c>
      <c r="F2" s="148">
        <v>0.5</v>
      </c>
      <c r="G2" s="149">
        <v>250</v>
      </c>
      <c r="H2" s="150">
        <v>15.6</v>
      </c>
      <c r="I2" s="149">
        <v>250</v>
      </c>
      <c r="J2" s="150">
        <v>15.6</v>
      </c>
      <c r="K2" s="101" t="s">
        <v>1697</v>
      </c>
    </row>
    <row r="3" spans="1:11">
      <c r="A3" s="101" t="s">
        <v>2839</v>
      </c>
      <c r="B3" s="101" t="s">
        <v>2844</v>
      </c>
      <c r="C3" s="101" t="s">
        <v>2845</v>
      </c>
      <c r="D3" s="101" t="s">
        <v>2846</v>
      </c>
      <c r="E3" s="101" t="s">
        <v>2843</v>
      </c>
      <c r="F3" s="148">
        <v>0.25</v>
      </c>
      <c r="G3" s="149">
        <v>250</v>
      </c>
      <c r="H3" s="150">
        <v>7.8</v>
      </c>
      <c r="I3" s="149">
        <v>250</v>
      </c>
      <c r="J3" s="150">
        <v>7.8</v>
      </c>
      <c r="K3" s="101" t="s">
        <v>1697</v>
      </c>
    </row>
    <row r="4" spans="1:11">
      <c r="A4" s="101" t="s">
        <v>2847</v>
      </c>
      <c r="B4" s="101" t="s">
        <v>2848</v>
      </c>
      <c r="C4" s="101" t="s">
        <v>2849</v>
      </c>
      <c r="D4" s="101" t="s">
        <v>2850</v>
      </c>
      <c r="E4" s="101" t="s">
        <v>2851</v>
      </c>
      <c r="F4" s="148">
        <v>1</v>
      </c>
      <c r="G4" s="149">
        <v>50</v>
      </c>
      <c r="H4" s="150">
        <v>6.2</v>
      </c>
      <c r="I4" s="149">
        <v>50</v>
      </c>
      <c r="J4" s="150">
        <v>6.2</v>
      </c>
      <c r="K4" s="101" t="s">
        <v>1697</v>
      </c>
    </row>
    <row r="5" spans="1:11">
      <c r="A5" s="101" t="s">
        <v>2847</v>
      </c>
      <c r="B5" s="101" t="s">
        <v>2852</v>
      </c>
      <c r="C5" s="101" t="s">
        <v>2853</v>
      </c>
      <c r="D5" s="101" t="s">
        <v>2854</v>
      </c>
      <c r="E5" s="101" t="s">
        <v>2851</v>
      </c>
      <c r="F5" s="148">
        <v>1</v>
      </c>
      <c r="G5" s="149">
        <v>50</v>
      </c>
      <c r="H5" s="150">
        <v>6.2</v>
      </c>
      <c r="I5" s="149">
        <v>50</v>
      </c>
      <c r="J5" s="150">
        <v>6.2</v>
      </c>
      <c r="K5" s="101" t="s">
        <v>1697</v>
      </c>
    </row>
    <row r="6" spans="1:11">
      <c r="A6" s="101" t="s">
        <v>2847</v>
      </c>
      <c r="B6" s="101" t="s">
        <v>2855</v>
      </c>
      <c r="C6" s="101" t="s">
        <v>2856</v>
      </c>
      <c r="D6" s="101" t="s">
        <v>3158</v>
      </c>
      <c r="E6" s="101" t="s">
        <v>2851</v>
      </c>
      <c r="F6" s="148">
        <v>1</v>
      </c>
      <c r="G6" s="149">
        <v>50</v>
      </c>
      <c r="H6" s="150">
        <v>6.2</v>
      </c>
      <c r="I6" s="149">
        <v>50</v>
      </c>
      <c r="J6" s="150">
        <v>6.2</v>
      </c>
      <c r="K6" s="101" t="s">
        <v>1697</v>
      </c>
    </row>
    <row r="7" spans="1:11">
      <c r="A7" s="101" t="s">
        <v>2857</v>
      </c>
      <c r="B7" s="101" t="s">
        <v>2858</v>
      </c>
      <c r="C7" s="101" t="s">
        <v>2859</v>
      </c>
      <c r="D7" s="101" t="s">
        <v>2860</v>
      </c>
      <c r="E7" s="101" t="s">
        <v>2861</v>
      </c>
      <c r="F7" s="148">
        <v>4</v>
      </c>
      <c r="G7" s="149">
        <v>12</v>
      </c>
      <c r="H7" s="150">
        <v>6</v>
      </c>
      <c r="I7" s="149">
        <v>12</v>
      </c>
      <c r="J7" s="150">
        <v>6</v>
      </c>
      <c r="K7" s="101" t="s">
        <v>1697</v>
      </c>
    </row>
    <row r="8" spans="1:11">
      <c r="A8" s="101" t="s">
        <v>2857</v>
      </c>
      <c r="B8" s="101" t="s">
        <v>2862</v>
      </c>
      <c r="C8" s="101" t="s">
        <v>2863</v>
      </c>
      <c r="D8" s="101" t="s">
        <v>3159</v>
      </c>
      <c r="E8" s="101" t="s">
        <v>2861</v>
      </c>
      <c r="F8" s="148">
        <v>2</v>
      </c>
      <c r="G8" s="149">
        <v>12</v>
      </c>
      <c r="H8" s="150">
        <v>3</v>
      </c>
      <c r="I8" s="149">
        <v>12</v>
      </c>
      <c r="J8" s="150">
        <v>3</v>
      </c>
      <c r="K8" s="101" t="s">
        <v>1697</v>
      </c>
    </row>
    <row r="9" spans="1:11">
      <c r="A9" s="101" t="s">
        <v>2857</v>
      </c>
      <c r="B9" s="101" t="s">
        <v>2864</v>
      </c>
      <c r="C9" s="101" t="s">
        <v>2865</v>
      </c>
      <c r="D9" s="101" t="s">
        <v>2866</v>
      </c>
      <c r="E9" s="101" t="s">
        <v>2861</v>
      </c>
      <c r="F9" s="148">
        <v>4</v>
      </c>
      <c r="G9" s="149">
        <v>12</v>
      </c>
      <c r="H9" s="150">
        <v>6</v>
      </c>
      <c r="I9" s="149">
        <v>12</v>
      </c>
      <c r="J9" s="150">
        <v>6</v>
      </c>
      <c r="K9" s="101" t="s">
        <v>1697</v>
      </c>
    </row>
    <row r="10" spans="1:11">
      <c r="A10" s="101" t="s">
        <v>2857</v>
      </c>
      <c r="B10" s="101" t="s">
        <v>2867</v>
      </c>
      <c r="C10" s="101" t="s">
        <v>2868</v>
      </c>
      <c r="D10" s="101" t="s">
        <v>2869</v>
      </c>
      <c r="E10" s="101" t="s">
        <v>2861</v>
      </c>
      <c r="F10" s="148">
        <v>2</v>
      </c>
      <c r="G10" s="149">
        <v>12</v>
      </c>
      <c r="H10" s="150">
        <v>3</v>
      </c>
      <c r="I10" s="149">
        <v>12</v>
      </c>
      <c r="J10" s="150">
        <v>3</v>
      </c>
      <c r="K10" s="101" t="s">
        <v>1697</v>
      </c>
    </row>
    <row r="11" spans="1:11">
      <c r="A11" s="101" t="s">
        <v>2857</v>
      </c>
      <c r="B11" s="101" t="s">
        <v>2870</v>
      </c>
      <c r="C11" s="101" t="s">
        <v>2871</v>
      </c>
      <c r="D11" s="101" t="s">
        <v>2872</v>
      </c>
      <c r="E11" s="101" t="s">
        <v>2861</v>
      </c>
      <c r="F11" s="148">
        <v>2</v>
      </c>
      <c r="G11" s="149">
        <v>12</v>
      </c>
      <c r="H11" s="150">
        <v>3</v>
      </c>
      <c r="I11" s="149">
        <v>12</v>
      </c>
      <c r="J11" s="150">
        <v>3</v>
      </c>
      <c r="K11" s="101" t="s">
        <v>1697</v>
      </c>
    </row>
    <row r="12" spans="1:11">
      <c r="A12" s="101" t="s">
        <v>2857</v>
      </c>
      <c r="B12" s="101" t="s">
        <v>2873</v>
      </c>
      <c r="C12" s="101" t="s">
        <v>2874</v>
      </c>
      <c r="D12" s="101" t="s">
        <v>2875</v>
      </c>
      <c r="E12" s="101" t="s">
        <v>2861</v>
      </c>
      <c r="F12" s="148">
        <v>2</v>
      </c>
      <c r="G12" s="149">
        <v>12</v>
      </c>
      <c r="H12" s="150">
        <v>3</v>
      </c>
      <c r="I12" s="149">
        <v>12</v>
      </c>
      <c r="J12" s="150">
        <v>3</v>
      </c>
      <c r="K12" s="101" t="s">
        <v>1697</v>
      </c>
    </row>
    <row r="13" spans="1:11">
      <c r="A13" s="101" t="s">
        <v>2876</v>
      </c>
      <c r="B13" s="101" t="s">
        <v>2877</v>
      </c>
      <c r="C13" s="101" t="s">
        <v>2878</v>
      </c>
      <c r="D13" s="101" t="s">
        <v>2879</v>
      </c>
      <c r="E13" s="101" t="s">
        <v>2880</v>
      </c>
      <c r="F13" s="148">
        <v>8</v>
      </c>
      <c r="G13" s="149">
        <v>4</v>
      </c>
      <c r="H13" s="150">
        <v>4</v>
      </c>
      <c r="I13" s="149">
        <v>4</v>
      </c>
      <c r="J13" s="150">
        <v>4</v>
      </c>
      <c r="K13" s="101" t="s">
        <v>1697</v>
      </c>
    </row>
    <row r="14" spans="1:11">
      <c r="A14" s="101" t="s">
        <v>2876</v>
      </c>
      <c r="B14" s="101" t="s">
        <v>2881</v>
      </c>
      <c r="C14" s="101" t="s">
        <v>2882</v>
      </c>
      <c r="D14" s="101" t="s">
        <v>2883</v>
      </c>
      <c r="E14" s="101" t="s">
        <v>2880</v>
      </c>
      <c r="F14" s="148">
        <v>4</v>
      </c>
      <c r="G14" s="149">
        <v>4</v>
      </c>
      <c r="H14" s="150">
        <v>2</v>
      </c>
      <c r="I14" s="149">
        <v>4</v>
      </c>
      <c r="J14" s="150">
        <v>2</v>
      </c>
      <c r="K14" s="101" t="s">
        <v>1697</v>
      </c>
    </row>
    <row r="15" spans="1:11">
      <c r="A15" s="101" t="s">
        <v>2876</v>
      </c>
      <c r="B15" s="101" t="s">
        <v>2884</v>
      </c>
      <c r="C15" s="101" t="s">
        <v>2885</v>
      </c>
      <c r="D15" s="101" t="s">
        <v>2886</v>
      </c>
      <c r="E15" s="101" t="s">
        <v>2880</v>
      </c>
      <c r="F15" s="148">
        <v>4</v>
      </c>
      <c r="G15" s="149">
        <v>4</v>
      </c>
      <c r="H15" s="150">
        <v>2</v>
      </c>
      <c r="I15" s="149">
        <v>4</v>
      </c>
      <c r="J15" s="150">
        <v>2</v>
      </c>
      <c r="K15" s="101" t="s">
        <v>1697</v>
      </c>
    </row>
    <row r="16" spans="1:11">
      <c r="A16" s="101" t="s">
        <v>2887</v>
      </c>
      <c r="B16" s="101" t="s">
        <v>2888</v>
      </c>
      <c r="C16" s="101" t="s">
        <v>2889</v>
      </c>
      <c r="D16" s="101" t="s">
        <v>2890</v>
      </c>
      <c r="E16" s="101" t="s">
        <v>2891</v>
      </c>
      <c r="F16" s="148">
        <v>8</v>
      </c>
      <c r="G16" s="149">
        <v>1</v>
      </c>
      <c r="H16" s="150">
        <v>1</v>
      </c>
      <c r="I16" s="149">
        <v>1</v>
      </c>
      <c r="J16" s="150">
        <v>1</v>
      </c>
      <c r="K16" s="101" t="s">
        <v>1697</v>
      </c>
    </row>
    <row r="17" spans="1:11">
      <c r="A17" s="101" t="s">
        <v>2887</v>
      </c>
      <c r="B17" s="101" t="s">
        <v>2892</v>
      </c>
      <c r="C17" s="101" t="s">
        <v>2893</v>
      </c>
      <c r="D17" s="101" t="s">
        <v>2894</v>
      </c>
      <c r="E17" s="101" t="s">
        <v>2891</v>
      </c>
      <c r="F17" s="148">
        <v>8</v>
      </c>
      <c r="G17" s="149">
        <v>1</v>
      </c>
      <c r="H17" s="150">
        <v>1</v>
      </c>
      <c r="I17" s="149">
        <v>1</v>
      </c>
      <c r="J17" s="150">
        <v>1</v>
      </c>
      <c r="K17" s="101" t="s">
        <v>1697</v>
      </c>
    </row>
    <row r="18" spans="1:11">
      <c r="A18" s="101" t="s">
        <v>2887</v>
      </c>
      <c r="B18" s="101" t="s">
        <v>2895</v>
      </c>
      <c r="C18" s="101" t="s">
        <v>3160</v>
      </c>
      <c r="D18" s="101" t="s">
        <v>2896</v>
      </c>
      <c r="E18" s="101" t="s">
        <v>2897</v>
      </c>
      <c r="F18" s="148">
        <v>40</v>
      </c>
      <c r="G18" s="149">
        <v>2</v>
      </c>
      <c r="H18" s="150">
        <v>10</v>
      </c>
      <c r="I18" s="149">
        <v>2</v>
      </c>
      <c r="J18" s="150">
        <v>10</v>
      </c>
      <c r="K18" s="101" t="s">
        <v>1697</v>
      </c>
    </row>
    <row r="19" spans="1:11">
      <c r="A19" s="101" t="s">
        <v>2887</v>
      </c>
      <c r="B19" s="101" t="s">
        <v>2898</v>
      </c>
      <c r="C19" s="101" t="s">
        <v>2899</v>
      </c>
      <c r="D19" s="101" t="s">
        <v>2900</v>
      </c>
      <c r="E19" s="101" t="s">
        <v>2891</v>
      </c>
      <c r="F19" s="148">
        <v>40</v>
      </c>
      <c r="G19" s="149">
        <v>1</v>
      </c>
      <c r="H19" s="150">
        <v>5</v>
      </c>
      <c r="I19" s="149">
        <v>1</v>
      </c>
      <c r="J19" s="150">
        <v>5</v>
      </c>
      <c r="K19" s="101" t="s">
        <v>1697</v>
      </c>
    </row>
    <row r="20" spans="1:11">
      <c r="A20" s="101" t="s">
        <v>2887</v>
      </c>
      <c r="B20" s="101" t="s">
        <v>2901</v>
      </c>
      <c r="C20" s="101" t="s">
        <v>2902</v>
      </c>
      <c r="D20" s="101" t="s">
        <v>2903</v>
      </c>
      <c r="E20" s="101" t="s">
        <v>2891</v>
      </c>
      <c r="F20" s="148">
        <v>24</v>
      </c>
      <c r="G20" s="149">
        <v>1</v>
      </c>
      <c r="H20" s="150">
        <v>3</v>
      </c>
      <c r="I20" s="149">
        <v>1</v>
      </c>
      <c r="J20" s="150">
        <v>3</v>
      </c>
      <c r="K20" s="101" t="s">
        <v>1697</v>
      </c>
    </row>
    <row r="21" spans="1:11">
      <c r="A21" s="101" t="s">
        <v>2887</v>
      </c>
      <c r="B21" s="101" t="s">
        <v>2904</v>
      </c>
      <c r="C21" s="101" t="s">
        <v>2905</v>
      </c>
      <c r="D21" s="101" t="s">
        <v>2906</v>
      </c>
      <c r="E21" s="101" t="s">
        <v>2897</v>
      </c>
      <c r="F21" s="148">
        <v>8</v>
      </c>
      <c r="G21" s="149">
        <v>2</v>
      </c>
      <c r="H21" s="150">
        <v>2</v>
      </c>
      <c r="I21" s="149">
        <v>2</v>
      </c>
      <c r="J21" s="150">
        <v>2</v>
      </c>
      <c r="K21" s="101" t="s">
        <v>1697</v>
      </c>
    </row>
    <row r="22" spans="1:11">
      <c r="A22" s="101" t="s">
        <v>2887</v>
      </c>
      <c r="B22" s="101" t="s">
        <v>2907</v>
      </c>
      <c r="C22" s="101" t="s">
        <v>2908</v>
      </c>
      <c r="D22" s="101" t="s">
        <v>2909</v>
      </c>
      <c r="E22" s="101" t="s">
        <v>2891</v>
      </c>
      <c r="F22" s="148">
        <v>16</v>
      </c>
      <c r="G22" s="149">
        <v>1</v>
      </c>
      <c r="H22" s="150">
        <v>2</v>
      </c>
      <c r="I22" s="149">
        <v>1</v>
      </c>
      <c r="J22" s="150">
        <v>2</v>
      </c>
      <c r="K22" s="101" t="s">
        <v>1697</v>
      </c>
    </row>
    <row r="23" spans="1:11">
      <c r="A23" s="101" t="s">
        <v>2910</v>
      </c>
      <c r="B23" s="101" t="s">
        <v>2911</v>
      </c>
      <c r="C23" s="101" t="s">
        <v>3161</v>
      </c>
      <c r="D23" s="101" t="s">
        <v>3162</v>
      </c>
      <c r="E23" s="101" t="s">
        <v>2912</v>
      </c>
      <c r="F23" s="148">
        <v>8</v>
      </c>
      <c r="G23" s="149">
        <v>50</v>
      </c>
      <c r="H23" s="150">
        <v>50</v>
      </c>
      <c r="I23" s="149">
        <v>30</v>
      </c>
      <c r="J23" s="150">
        <v>30</v>
      </c>
      <c r="K23" s="101" t="s">
        <v>1697</v>
      </c>
    </row>
    <row r="24" spans="1:11">
      <c r="A24" s="101" t="s">
        <v>2910</v>
      </c>
      <c r="B24" s="101" t="s">
        <v>2913</v>
      </c>
      <c r="C24" s="101" t="s">
        <v>2119</v>
      </c>
      <c r="D24" s="101" t="s">
        <v>2914</v>
      </c>
      <c r="E24" s="101" t="s">
        <v>2912</v>
      </c>
      <c r="F24" s="148">
        <v>4</v>
      </c>
      <c r="G24" s="149">
        <v>2</v>
      </c>
      <c r="H24" s="150">
        <v>1</v>
      </c>
      <c r="I24" s="149">
        <v>5</v>
      </c>
      <c r="J24" s="150">
        <v>2.5</v>
      </c>
      <c r="K24" s="101" t="s">
        <v>1697</v>
      </c>
    </row>
    <row r="25" spans="1:11">
      <c r="A25" s="101" t="s">
        <v>2910</v>
      </c>
      <c r="B25" s="101" t="s">
        <v>2915</v>
      </c>
      <c r="C25" s="101" t="s">
        <v>2916</v>
      </c>
      <c r="D25" s="101" t="s">
        <v>2917</v>
      </c>
      <c r="E25" s="101" t="s">
        <v>2912</v>
      </c>
      <c r="F25" s="148">
        <v>4</v>
      </c>
      <c r="G25" s="149">
        <v>20</v>
      </c>
      <c r="H25" s="150">
        <v>10</v>
      </c>
      <c r="I25" s="149">
        <v>10</v>
      </c>
      <c r="J25" s="150">
        <v>5</v>
      </c>
      <c r="K25" s="101" t="s">
        <v>1697</v>
      </c>
    </row>
    <row r="26" spans="1:11">
      <c r="A26" s="101" t="s">
        <v>2910</v>
      </c>
      <c r="B26" s="101" t="s">
        <v>2918</v>
      </c>
      <c r="C26" s="101" t="s">
        <v>2919</v>
      </c>
      <c r="D26" s="101" t="s">
        <v>2920</v>
      </c>
      <c r="E26" s="101" t="s">
        <v>2912</v>
      </c>
      <c r="F26" s="148">
        <v>2</v>
      </c>
      <c r="G26" s="149">
        <v>10</v>
      </c>
      <c r="H26" s="150">
        <v>2.5</v>
      </c>
      <c r="I26" s="149">
        <v>17</v>
      </c>
      <c r="J26" s="150">
        <v>4.2</v>
      </c>
      <c r="K26" s="101" t="s">
        <v>1697</v>
      </c>
    </row>
    <row r="27" spans="1:11">
      <c r="A27" s="101" t="s">
        <v>2910</v>
      </c>
      <c r="B27" s="101" t="s">
        <v>2921</v>
      </c>
      <c r="C27" s="101" t="s">
        <v>2922</v>
      </c>
      <c r="D27" s="101" t="s">
        <v>2923</v>
      </c>
      <c r="E27" s="101" t="s">
        <v>2924</v>
      </c>
      <c r="F27" s="148">
        <v>1</v>
      </c>
      <c r="G27" s="149">
        <v>240</v>
      </c>
      <c r="H27" s="150">
        <v>30</v>
      </c>
      <c r="I27" s="149">
        <v>240</v>
      </c>
      <c r="J27" s="150">
        <v>30</v>
      </c>
      <c r="K27" s="101" t="s">
        <v>1697</v>
      </c>
    </row>
    <row r="28" spans="1:11">
      <c r="A28" s="101" t="s">
        <v>2910</v>
      </c>
      <c r="B28" s="101" t="s">
        <v>2925</v>
      </c>
      <c r="C28" s="101" t="s">
        <v>2926</v>
      </c>
      <c r="D28" s="101" t="s">
        <v>2927</v>
      </c>
      <c r="E28" s="101" t="s">
        <v>2928</v>
      </c>
      <c r="F28" s="148">
        <v>8</v>
      </c>
      <c r="G28" s="149">
        <v>4</v>
      </c>
      <c r="H28" s="150">
        <v>4</v>
      </c>
      <c r="I28" s="149">
        <v>4</v>
      </c>
      <c r="J28" s="150">
        <v>4</v>
      </c>
      <c r="K28" s="101" t="s">
        <v>1697</v>
      </c>
    </row>
    <row r="29" spans="1:11">
      <c r="A29" s="101" t="s">
        <v>2910</v>
      </c>
      <c r="B29" s="101" t="s">
        <v>2929</v>
      </c>
      <c r="C29" s="101" t="s">
        <v>2930</v>
      </c>
      <c r="D29" s="101" t="s">
        <v>2931</v>
      </c>
      <c r="E29" s="101" t="s">
        <v>2932</v>
      </c>
      <c r="F29" s="148">
        <v>2</v>
      </c>
      <c r="G29" s="149">
        <v>48</v>
      </c>
      <c r="H29" s="150">
        <v>12</v>
      </c>
      <c r="I29" s="149">
        <v>48</v>
      </c>
      <c r="J29" s="150">
        <v>12</v>
      </c>
      <c r="K29" s="101" t="s">
        <v>1697</v>
      </c>
    </row>
    <row r="30" spans="1:11">
      <c r="A30" s="101"/>
      <c r="B30" s="101"/>
      <c r="C30" s="151" t="s">
        <v>3</v>
      </c>
      <c r="D30" s="151"/>
      <c r="E30" s="151"/>
      <c r="F30" s="151"/>
      <c r="G30" s="151"/>
      <c r="H30" s="152">
        <f>SUM(H2:H29)</f>
        <v>207.5</v>
      </c>
      <c r="I30" s="151"/>
      <c r="J30" s="152">
        <f>SUM(J2:J29)</f>
        <v>185.7</v>
      </c>
      <c r="K30" s="101"/>
    </row>
  </sheetData>
  <phoneticPr fontId="2"/>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7D793A-D3BE-314C-BBEE-5B944F0BD4CF}">
  <dimension ref="A1:W200"/>
  <sheetViews>
    <sheetView workbookViewId="0">
      <pane ySplit="1" topLeftCell="A2" activePane="bottomLeft" state="frozen"/>
      <selection pane="bottomLeft" activeCell="B13" sqref="B13"/>
    </sheetView>
  </sheetViews>
  <sheetFormatPr baseColWidth="10" defaultRowHeight="18"/>
  <cols>
    <col min="1" max="1" width="31.42578125" style="21" customWidth="1"/>
    <col min="2" max="2" width="10" style="21" customWidth="1"/>
    <col min="3" max="3" width="60" style="21" customWidth="1"/>
    <col min="4" max="5" width="7.85546875" style="21" customWidth="1"/>
    <col min="6" max="16384" width="10.7109375" style="21"/>
  </cols>
  <sheetData>
    <row r="1" spans="1:23" ht="20">
      <c r="A1" s="119" t="s">
        <v>1645</v>
      </c>
      <c r="B1" s="119" t="s">
        <v>1359</v>
      </c>
      <c r="C1" s="119" t="s">
        <v>1642</v>
      </c>
      <c r="D1" s="119" t="s">
        <v>3134</v>
      </c>
      <c r="E1" s="119" t="s">
        <v>1362</v>
      </c>
      <c r="F1"/>
      <c r="G1"/>
      <c r="H1"/>
      <c r="I1"/>
      <c r="J1"/>
      <c r="K1"/>
      <c r="L1"/>
      <c r="M1"/>
      <c r="N1"/>
      <c r="O1"/>
      <c r="P1"/>
      <c r="Q1"/>
      <c r="R1"/>
      <c r="S1"/>
      <c r="T1"/>
      <c r="U1"/>
      <c r="V1"/>
      <c r="W1"/>
    </row>
    <row r="2" spans="1:23" ht="20">
      <c r="A2" s="145" t="s">
        <v>2011</v>
      </c>
      <c r="B2" s="145" t="s">
        <v>1691</v>
      </c>
      <c r="C2" s="145" t="s">
        <v>3135</v>
      </c>
      <c r="D2" s="146">
        <v>4</v>
      </c>
      <c r="E2" s="146">
        <v>4</v>
      </c>
      <c r="F2"/>
      <c r="G2"/>
      <c r="H2"/>
      <c r="I2"/>
      <c r="J2"/>
      <c r="K2"/>
      <c r="L2"/>
      <c r="M2"/>
      <c r="N2"/>
      <c r="O2"/>
      <c r="P2"/>
      <c r="Q2"/>
      <c r="R2"/>
      <c r="S2"/>
      <c r="T2"/>
      <c r="U2"/>
      <c r="V2"/>
      <c r="W2"/>
    </row>
    <row r="3" spans="1:23" ht="20">
      <c r="A3" s="145" t="s">
        <v>2012</v>
      </c>
      <c r="B3" s="145" t="s">
        <v>1691</v>
      </c>
      <c r="C3" s="145" t="s">
        <v>3738</v>
      </c>
      <c r="D3" s="146">
        <v>17</v>
      </c>
      <c r="E3" s="146">
        <v>28</v>
      </c>
      <c r="F3"/>
      <c r="G3"/>
      <c r="H3"/>
      <c r="I3"/>
      <c r="J3"/>
      <c r="K3"/>
      <c r="L3"/>
      <c r="M3"/>
      <c r="N3"/>
      <c r="O3"/>
      <c r="P3"/>
      <c r="Q3"/>
      <c r="R3"/>
      <c r="S3"/>
      <c r="T3"/>
      <c r="U3"/>
      <c r="V3"/>
      <c r="W3"/>
    </row>
    <row r="4" spans="1:23" ht="20">
      <c r="A4" s="145" t="s">
        <v>2013</v>
      </c>
      <c r="B4" s="145" t="s">
        <v>1691</v>
      </c>
      <c r="C4" s="145" t="s">
        <v>3739</v>
      </c>
      <c r="D4" s="146">
        <v>4</v>
      </c>
      <c r="E4" s="146">
        <v>5.5</v>
      </c>
      <c r="F4"/>
      <c r="G4"/>
      <c r="H4"/>
      <c r="I4"/>
      <c r="J4"/>
      <c r="K4"/>
      <c r="L4"/>
      <c r="M4"/>
      <c r="N4"/>
      <c r="O4"/>
      <c r="P4"/>
      <c r="Q4"/>
      <c r="R4"/>
      <c r="S4"/>
      <c r="T4"/>
      <c r="U4"/>
      <c r="V4"/>
      <c r="W4"/>
    </row>
    <row r="5" spans="1:23" ht="20">
      <c r="A5" s="145" t="s">
        <v>1646</v>
      </c>
      <c r="B5" s="145" t="s">
        <v>1691</v>
      </c>
      <c r="C5" s="145" t="s">
        <v>2014</v>
      </c>
      <c r="D5" s="146">
        <v>2</v>
      </c>
      <c r="E5" s="146">
        <v>1</v>
      </c>
      <c r="F5"/>
      <c r="G5"/>
      <c r="H5"/>
      <c r="I5"/>
      <c r="J5"/>
      <c r="K5"/>
      <c r="L5"/>
      <c r="M5"/>
      <c r="N5"/>
      <c r="O5"/>
      <c r="P5"/>
      <c r="Q5"/>
      <c r="R5"/>
      <c r="S5"/>
      <c r="T5"/>
      <c r="U5"/>
      <c r="V5"/>
      <c r="W5"/>
    </row>
    <row r="6" spans="1:23" ht="20">
      <c r="A6" s="145" t="s">
        <v>2015</v>
      </c>
      <c r="B6" s="145" t="s">
        <v>1691</v>
      </c>
      <c r="C6" s="145" t="s">
        <v>3136</v>
      </c>
      <c r="D6" s="146">
        <v>0</v>
      </c>
      <c r="E6" s="146">
        <v>0</v>
      </c>
      <c r="F6"/>
      <c r="G6"/>
      <c r="H6"/>
      <c r="I6"/>
      <c r="J6"/>
      <c r="K6"/>
      <c r="L6"/>
      <c r="M6"/>
      <c r="N6"/>
      <c r="O6"/>
      <c r="P6"/>
      <c r="Q6"/>
      <c r="R6"/>
      <c r="S6"/>
      <c r="T6"/>
      <c r="U6"/>
      <c r="V6"/>
      <c r="W6"/>
    </row>
    <row r="7" spans="1:23" ht="20">
      <c r="A7" s="145" t="s">
        <v>1647</v>
      </c>
      <c r="B7" s="145" t="s">
        <v>1691</v>
      </c>
      <c r="C7" s="145" t="s">
        <v>3137</v>
      </c>
      <c r="D7" s="146">
        <v>1</v>
      </c>
      <c r="E7" s="146">
        <v>1</v>
      </c>
      <c r="F7"/>
      <c r="G7"/>
      <c r="H7"/>
      <c r="I7"/>
      <c r="J7"/>
      <c r="K7"/>
      <c r="L7"/>
      <c r="M7"/>
      <c r="N7"/>
      <c r="O7"/>
      <c r="P7"/>
      <c r="Q7"/>
      <c r="R7"/>
      <c r="S7"/>
      <c r="T7"/>
      <c r="U7"/>
      <c r="V7"/>
      <c r="W7"/>
    </row>
    <row r="8" spans="1:23" ht="20">
      <c r="A8" s="145" t="s">
        <v>2016</v>
      </c>
      <c r="B8" s="145" t="s">
        <v>1691</v>
      </c>
      <c r="C8" s="145" t="s">
        <v>2017</v>
      </c>
      <c r="D8" s="146">
        <v>5</v>
      </c>
      <c r="E8" s="146">
        <v>9</v>
      </c>
      <c r="F8"/>
      <c r="G8"/>
      <c r="H8"/>
      <c r="I8"/>
      <c r="J8"/>
      <c r="K8"/>
      <c r="L8"/>
      <c r="M8"/>
      <c r="N8"/>
      <c r="O8"/>
      <c r="P8"/>
      <c r="Q8"/>
      <c r="R8"/>
      <c r="S8"/>
      <c r="T8"/>
      <c r="U8"/>
      <c r="V8"/>
      <c r="W8"/>
    </row>
    <row r="9" spans="1:23" ht="20">
      <c r="A9" s="145" t="s">
        <v>2018</v>
      </c>
      <c r="B9" s="145" t="s">
        <v>1691</v>
      </c>
      <c r="C9" s="145" t="s">
        <v>3138</v>
      </c>
      <c r="D9" s="146">
        <v>2</v>
      </c>
      <c r="E9" s="146">
        <v>2</v>
      </c>
      <c r="F9"/>
      <c r="G9"/>
      <c r="H9"/>
      <c r="I9"/>
      <c r="J9"/>
      <c r="K9"/>
      <c r="L9"/>
      <c r="M9"/>
      <c r="N9"/>
      <c r="O9"/>
      <c r="P9"/>
      <c r="Q9"/>
      <c r="R9"/>
      <c r="S9"/>
      <c r="T9"/>
      <c r="U9"/>
      <c r="V9"/>
      <c r="W9"/>
    </row>
    <row r="10" spans="1:23" ht="20">
      <c r="A10" s="145" t="s">
        <v>292</v>
      </c>
      <c r="B10" s="145" t="s">
        <v>1691</v>
      </c>
      <c r="C10" s="145" t="s">
        <v>2019</v>
      </c>
      <c r="D10" s="146">
        <v>1</v>
      </c>
      <c r="E10" s="146">
        <v>0.5</v>
      </c>
      <c r="F10"/>
      <c r="G10"/>
      <c r="H10"/>
      <c r="I10"/>
      <c r="J10"/>
      <c r="K10"/>
      <c r="L10"/>
      <c r="M10"/>
      <c r="N10"/>
      <c r="O10"/>
      <c r="P10"/>
      <c r="Q10"/>
      <c r="R10"/>
      <c r="S10"/>
      <c r="T10"/>
      <c r="U10"/>
      <c r="V10"/>
      <c r="W10"/>
    </row>
    <row r="11" spans="1:23" ht="20">
      <c r="A11" s="145" t="s">
        <v>2020</v>
      </c>
      <c r="B11" s="145" t="s">
        <v>2021</v>
      </c>
      <c r="C11" s="145" t="s">
        <v>3139</v>
      </c>
      <c r="D11" s="146">
        <v>6</v>
      </c>
      <c r="E11" s="146">
        <v>6.75</v>
      </c>
      <c r="F11"/>
      <c r="G11"/>
      <c r="H11"/>
      <c r="I11"/>
      <c r="J11"/>
      <c r="K11"/>
      <c r="L11"/>
      <c r="M11"/>
      <c r="N11"/>
      <c r="O11"/>
      <c r="P11"/>
      <c r="Q11"/>
      <c r="R11"/>
      <c r="S11"/>
      <c r="T11"/>
      <c r="U11"/>
      <c r="V11"/>
      <c r="W11"/>
    </row>
    <row r="12" spans="1:23" ht="20">
      <c r="A12" s="145" t="s">
        <v>2022</v>
      </c>
      <c r="B12" s="145" t="s">
        <v>2021</v>
      </c>
      <c r="C12" s="145" t="s">
        <v>2023</v>
      </c>
      <c r="D12" s="146">
        <v>3</v>
      </c>
      <c r="E12" s="146">
        <v>3.75</v>
      </c>
      <c r="F12"/>
      <c r="G12"/>
      <c r="H12"/>
      <c r="I12"/>
      <c r="J12"/>
      <c r="K12"/>
      <c r="L12"/>
      <c r="M12"/>
      <c r="N12"/>
      <c r="O12"/>
      <c r="P12"/>
      <c r="Q12"/>
      <c r="R12"/>
      <c r="S12"/>
      <c r="T12"/>
      <c r="U12"/>
      <c r="V12"/>
      <c r="W12"/>
    </row>
    <row r="13" spans="1:23" ht="20">
      <c r="A13" s="145" t="s">
        <v>2024</v>
      </c>
      <c r="B13" s="145" t="s">
        <v>2021</v>
      </c>
      <c r="C13" s="145" t="s">
        <v>3140</v>
      </c>
      <c r="D13" s="146">
        <v>4</v>
      </c>
      <c r="E13" s="146">
        <v>4</v>
      </c>
      <c r="F13"/>
      <c r="G13"/>
      <c r="H13"/>
      <c r="I13"/>
      <c r="J13"/>
      <c r="K13"/>
      <c r="L13"/>
      <c r="M13"/>
      <c r="N13"/>
      <c r="O13"/>
      <c r="P13"/>
      <c r="Q13"/>
      <c r="R13"/>
      <c r="S13"/>
      <c r="T13"/>
      <c r="U13"/>
      <c r="V13"/>
      <c r="W13"/>
    </row>
    <row r="14" spans="1:23" ht="20">
      <c r="A14" s="145" t="s">
        <v>2025</v>
      </c>
      <c r="B14" s="145" t="s">
        <v>2021</v>
      </c>
      <c r="C14" s="145" t="s">
        <v>3141</v>
      </c>
      <c r="D14" s="146">
        <v>0</v>
      </c>
      <c r="E14" s="146">
        <v>0</v>
      </c>
      <c r="F14"/>
      <c r="G14"/>
      <c r="H14"/>
      <c r="I14"/>
      <c r="J14"/>
      <c r="K14"/>
      <c r="L14"/>
      <c r="M14"/>
      <c r="N14"/>
      <c r="O14"/>
      <c r="P14"/>
      <c r="Q14"/>
      <c r="R14"/>
      <c r="S14"/>
      <c r="T14"/>
      <c r="U14"/>
      <c r="V14"/>
      <c r="W14"/>
    </row>
    <row r="15" spans="1:23" ht="20">
      <c r="A15" s="145" t="s">
        <v>2026</v>
      </c>
      <c r="B15" s="145" t="s">
        <v>2021</v>
      </c>
      <c r="C15" s="145" t="s">
        <v>3142</v>
      </c>
      <c r="D15" s="146">
        <v>2</v>
      </c>
      <c r="E15" s="146">
        <v>2</v>
      </c>
      <c r="F15"/>
      <c r="G15"/>
      <c r="H15"/>
      <c r="I15"/>
      <c r="J15"/>
      <c r="K15"/>
      <c r="L15"/>
      <c r="M15"/>
      <c r="N15"/>
      <c r="O15"/>
      <c r="P15"/>
      <c r="Q15"/>
      <c r="R15"/>
      <c r="S15"/>
      <c r="T15"/>
      <c r="U15"/>
      <c r="V15"/>
      <c r="W15"/>
    </row>
    <row r="16" spans="1:23" ht="20">
      <c r="A16" s="145" t="s">
        <v>3143</v>
      </c>
      <c r="B16" s="145" t="s">
        <v>2021</v>
      </c>
      <c r="C16" s="145" t="s">
        <v>3740</v>
      </c>
      <c r="D16" s="146">
        <v>3</v>
      </c>
      <c r="E16" s="146">
        <v>6</v>
      </c>
      <c r="F16"/>
      <c r="G16"/>
      <c r="H16"/>
      <c r="I16"/>
      <c r="J16"/>
      <c r="K16"/>
      <c r="L16"/>
      <c r="M16"/>
      <c r="N16"/>
      <c r="O16"/>
      <c r="P16"/>
      <c r="Q16"/>
      <c r="R16"/>
      <c r="S16"/>
      <c r="T16"/>
      <c r="U16"/>
      <c r="V16"/>
      <c r="W16"/>
    </row>
    <row r="17" spans="1:23" ht="20">
      <c r="A17" s="145" t="s">
        <v>1649</v>
      </c>
      <c r="B17" s="145" t="s">
        <v>2027</v>
      </c>
      <c r="C17" s="145" t="s">
        <v>3144</v>
      </c>
      <c r="D17" s="146">
        <v>2</v>
      </c>
      <c r="E17" s="146">
        <v>3</v>
      </c>
      <c r="F17"/>
      <c r="G17"/>
      <c r="H17"/>
      <c r="I17"/>
      <c r="J17"/>
      <c r="K17"/>
      <c r="L17"/>
      <c r="M17"/>
      <c r="N17"/>
      <c r="O17"/>
      <c r="P17"/>
      <c r="Q17"/>
      <c r="R17"/>
      <c r="S17"/>
      <c r="T17"/>
      <c r="U17"/>
      <c r="V17"/>
      <c r="W17"/>
    </row>
    <row r="18" spans="1:23" ht="20">
      <c r="A18" s="145" t="s">
        <v>2028</v>
      </c>
      <c r="B18" s="145" t="s">
        <v>2027</v>
      </c>
      <c r="C18" s="145" t="s">
        <v>3145</v>
      </c>
      <c r="D18" s="146">
        <v>5</v>
      </c>
      <c r="E18" s="146">
        <v>5.5</v>
      </c>
      <c r="F18"/>
      <c r="G18"/>
      <c r="H18"/>
      <c r="I18"/>
      <c r="J18"/>
      <c r="K18"/>
      <c r="L18"/>
      <c r="M18"/>
      <c r="N18"/>
      <c r="O18"/>
      <c r="P18"/>
      <c r="Q18"/>
      <c r="R18"/>
      <c r="S18"/>
      <c r="T18"/>
      <c r="U18"/>
      <c r="V18"/>
      <c r="W18"/>
    </row>
    <row r="19" spans="1:23" ht="20">
      <c r="A19" s="145" t="s">
        <v>3146</v>
      </c>
      <c r="B19" s="145" t="s">
        <v>2027</v>
      </c>
      <c r="C19" s="145" t="s">
        <v>2007</v>
      </c>
      <c r="D19" s="146">
        <v>1</v>
      </c>
      <c r="E19" s="146">
        <v>1.5</v>
      </c>
      <c r="F19"/>
      <c r="G19"/>
      <c r="H19"/>
      <c r="I19"/>
      <c r="J19"/>
      <c r="K19"/>
      <c r="L19"/>
      <c r="M19"/>
      <c r="N19"/>
      <c r="O19"/>
      <c r="P19"/>
      <c r="Q19"/>
      <c r="R19"/>
      <c r="S19"/>
      <c r="T19"/>
      <c r="U19"/>
      <c r="V19"/>
      <c r="W19"/>
    </row>
    <row r="20" spans="1:23" ht="20">
      <c r="A20" s="145" t="s">
        <v>2029</v>
      </c>
      <c r="B20" s="145" t="s">
        <v>1692</v>
      </c>
      <c r="C20" s="145" t="s">
        <v>3147</v>
      </c>
      <c r="D20" s="146">
        <v>2</v>
      </c>
      <c r="E20" s="146">
        <v>3</v>
      </c>
      <c r="F20"/>
      <c r="G20"/>
      <c r="H20"/>
      <c r="I20"/>
      <c r="J20"/>
      <c r="K20"/>
      <c r="L20"/>
      <c r="M20"/>
      <c r="N20"/>
      <c r="O20"/>
      <c r="P20"/>
      <c r="Q20"/>
      <c r="R20"/>
      <c r="S20"/>
      <c r="T20"/>
      <c r="U20"/>
      <c r="V20"/>
      <c r="W20"/>
    </row>
    <row r="21" spans="1:23" ht="20">
      <c r="A21" s="145" t="s">
        <v>2030</v>
      </c>
      <c r="B21" s="145" t="s">
        <v>1692</v>
      </c>
      <c r="C21" s="145" t="s">
        <v>3741</v>
      </c>
      <c r="D21" s="146">
        <v>5</v>
      </c>
      <c r="E21" s="146">
        <v>10</v>
      </c>
      <c r="F21"/>
      <c r="G21"/>
      <c r="H21"/>
      <c r="I21"/>
      <c r="J21"/>
      <c r="K21"/>
      <c r="L21"/>
      <c r="M21"/>
      <c r="N21"/>
      <c r="O21"/>
      <c r="P21"/>
      <c r="Q21"/>
      <c r="R21"/>
      <c r="S21"/>
      <c r="T21"/>
      <c r="U21"/>
      <c r="V21"/>
      <c r="W21"/>
    </row>
    <row r="22" spans="1:23" ht="20">
      <c r="A22" s="145" t="s">
        <v>2031</v>
      </c>
      <c r="B22" s="145" t="s">
        <v>2032</v>
      </c>
      <c r="C22" s="145" t="s">
        <v>2033</v>
      </c>
      <c r="D22" s="146">
        <v>5</v>
      </c>
      <c r="E22" s="146">
        <v>6</v>
      </c>
      <c r="F22"/>
      <c r="G22"/>
      <c r="H22"/>
      <c r="I22"/>
      <c r="J22"/>
      <c r="K22"/>
      <c r="L22"/>
      <c r="M22"/>
      <c r="N22"/>
      <c r="O22"/>
      <c r="P22"/>
      <c r="Q22"/>
      <c r="R22"/>
      <c r="S22"/>
      <c r="T22"/>
      <c r="U22"/>
      <c r="V22"/>
      <c r="W22"/>
    </row>
    <row r="23" spans="1:23" ht="20">
      <c r="A23" s="145" t="s">
        <v>2034</v>
      </c>
      <c r="B23" s="145" t="s">
        <v>2032</v>
      </c>
      <c r="C23" s="145" t="s">
        <v>2035</v>
      </c>
      <c r="D23" s="146">
        <v>4</v>
      </c>
      <c r="E23" s="146">
        <v>3.5</v>
      </c>
      <c r="F23"/>
      <c r="G23"/>
      <c r="H23"/>
      <c r="I23"/>
      <c r="J23"/>
      <c r="K23"/>
      <c r="L23"/>
      <c r="M23"/>
      <c r="N23"/>
      <c r="O23"/>
      <c r="P23"/>
      <c r="Q23"/>
      <c r="R23"/>
      <c r="S23"/>
      <c r="T23"/>
      <c r="U23"/>
      <c r="V23"/>
      <c r="W23"/>
    </row>
    <row r="24" spans="1:23" ht="20">
      <c r="A24" s="145" t="s">
        <v>2036</v>
      </c>
      <c r="B24" s="145" t="s">
        <v>2032</v>
      </c>
      <c r="C24" s="145" t="s">
        <v>2037</v>
      </c>
      <c r="D24" s="146">
        <v>0</v>
      </c>
      <c r="E24" s="146">
        <v>0</v>
      </c>
      <c r="F24"/>
      <c r="G24"/>
      <c r="H24"/>
      <c r="I24"/>
      <c r="J24"/>
      <c r="K24"/>
      <c r="L24"/>
      <c r="M24"/>
      <c r="N24"/>
      <c r="O24"/>
      <c r="P24"/>
      <c r="Q24"/>
      <c r="R24"/>
      <c r="S24"/>
      <c r="T24"/>
      <c r="U24"/>
      <c r="V24"/>
      <c r="W24"/>
    </row>
    <row r="25" spans="1:23" ht="20">
      <c r="A25" s="145" t="s">
        <v>1653</v>
      </c>
      <c r="B25" s="145" t="s">
        <v>2032</v>
      </c>
      <c r="C25" s="145" t="s">
        <v>2038</v>
      </c>
      <c r="D25" s="146">
        <v>1</v>
      </c>
      <c r="E25" s="146">
        <v>1</v>
      </c>
      <c r="F25"/>
      <c r="G25"/>
      <c r="H25"/>
      <c r="I25"/>
      <c r="J25"/>
      <c r="K25"/>
      <c r="L25"/>
      <c r="M25"/>
      <c r="N25"/>
      <c r="O25"/>
      <c r="P25"/>
      <c r="Q25"/>
      <c r="R25"/>
      <c r="S25"/>
      <c r="T25"/>
      <c r="U25"/>
      <c r="V25"/>
      <c r="W25"/>
    </row>
    <row r="26" spans="1:23" ht="20">
      <c r="A26" s="145" t="s">
        <v>2039</v>
      </c>
      <c r="B26" s="145" t="s">
        <v>2040</v>
      </c>
      <c r="C26" s="145" t="s">
        <v>2041</v>
      </c>
      <c r="D26" s="146">
        <v>11</v>
      </c>
      <c r="E26" s="146">
        <v>17.5</v>
      </c>
      <c r="F26"/>
      <c r="G26"/>
      <c r="H26"/>
      <c r="I26"/>
      <c r="J26"/>
      <c r="K26"/>
      <c r="L26"/>
      <c r="M26"/>
      <c r="N26"/>
      <c r="O26"/>
      <c r="P26"/>
      <c r="Q26"/>
      <c r="R26"/>
      <c r="S26"/>
      <c r="T26"/>
      <c r="U26"/>
      <c r="V26"/>
      <c r="W26"/>
    </row>
    <row r="27" spans="1:23" ht="20">
      <c r="A27" s="145" t="s">
        <v>2042</v>
      </c>
      <c r="B27" s="145" t="s">
        <v>2040</v>
      </c>
      <c r="C27" s="145" t="s">
        <v>2043</v>
      </c>
      <c r="D27" s="146">
        <v>8</v>
      </c>
      <c r="E27" s="146">
        <v>17.5</v>
      </c>
      <c r="F27"/>
      <c r="G27"/>
      <c r="H27"/>
      <c r="I27"/>
      <c r="J27"/>
      <c r="K27"/>
      <c r="L27"/>
      <c r="M27"/>
      <c r="N27"/>
      <c r="O27"/>
      <c r="P27"/>
      <c r="Q27"/>
      <c r="R27"/>
      <c r="S27"/>
      <c r="T27"/>
      <c r="U27"/>
      <c r="V27"/>
      <c r="W27"/>
    </row>
    <row r="28" spans="1:23" ht="20">
      <c r="A28" s="145" t="s">
        <v>2044</v>
      </c>
      <c r="B28" s="145" t="s">
        <v>2040</v>
      </c>
      <c r="C28" s="145" t="s">
        <v>2045</v>
      </c>
      <c r="D28" s="146">
        <v>9</v>
      </c>
      <c r="E28" s="146">
        <v>14.5</v>
      </c>
      <c r="F28"/>
      <c r="G28"/>
      <c r="H28"/>
      <c r="I28"/>
      <c r="J28"/>
      <c r="K28"/>
      <c r="L28"/>
      <c r="M28"/>
      <c r="N28"/>
      <c r="O28"/>
      <c r="P28"/>
      <c r="Q28"/>
      <c r="R28"/>
      <c r="S28"/>
      <c r="T28"/>
      <c r="U28"/>
      <c r="V28"/>
      <c r="W28"/>
    </row>
    <row r="29" spans="1:23" ht="20">
      <c r="A29" s="145" t="s">
        <v>2046</v>
      </c>
      <c r="B29" s="145" t="s">
        <v>2040</v>
      </c>
      <c r="C29" s="145" t="s">
        <v>2047</v>
      </c>
      <c r="D29" s="146">
        <v>6</v>
      </c>
      <c r="E29" s="146">
        <v>10</v>
      </c>
      <c r="F29"/>
      <c r="G29"/>
      <c r="H29"/>
      <c r="I29"/>
      <c r="J29"/>
      <c r="K29"/>
      <c r="L29"/>
      <c r="M29"/>
      <c r="N29"/>
      <c r="O29"/>
      <c r="P29"/>
      <c r="Q29"/>
      <c r="R29"/>
      <c r="S29"/>
      <c r="T29"/>
      <c r="U29"/>
      <c r="V29"/>
      <c r="W29"/>
    </row>
    <row r="30" spans="1:23" ht="20">
      <c r="A30" s="145" t="s">
        <v>2048</v>
      </c>
      <c r="B30" s="145" t="s">
        <v>2040</v>
      </c>
      <c r="C30" s="145" t="s">
        <v>3148</v>
      </c>
      <c r="D30" s="146">
        <v>18</v>
      </c>
      <c r="E30" s="146">
        <v>27</v>
      </c>
      <c r="F30"/>
      <c r="G30"/>
      <c r="H30"/>
      <c r="I30"/>
      <c r="J30"/>
      <c r="K30"/>
      <c r="L30"/>
      <c r="M30"/>
      <c r="N30"/>
      <c r="O30"/>
      <c r="P30"/>
      <c r="Q30"/>
      <c r="R30"/>
      <c r="S30"/>
      <c r="T30"/>
      <c r="U30"/>
      <c r="V30"/>
      <c r="W30"/>
    </row>
    <row r="31" spans="1:23" ht="20">
      <c r="A31" s="145" t="s">
        <v>2049</v>
      </c>
      <c r="B31" s="145" t="s">
        <v>2040</v>
      </c>
      <c r="C31" s="145" t="s">
        <v>2050</v>
      </c>
      <c r="D31" s="146">
        <v>4</v>
      </c>
      <c r="E31" s="146">
        <v>4.5</v>
      </c>
      <c r="F31"/>
      <c r="G31"/>
      <c r="H31"/>
      <c r="I31"/>
      <c r="J31"/>
      <c r="K31"/>
      <c r="L31"/>
      <c r="M31"/>
      <c r="N31"/>
      <c r="O31"/>
      <c r="P31"/>
      <c r="Q31"/>
      <c r="R31"/>
      <c r="S31"/>
      <c r="T31"/>
      <c r="U31"/>
      <c r="V31"/>
      <c r="W31"/>
    </row>
    <row r="32" spans="1:23" ht="20">
      <c r="A32" s="145" t="s">
        <v>2051</v>
      </c>
      <c r="B32" s="145" t="s">
        <v>2040</v>
      </c>
      <c r="C32" s="145" t="s">
        <v>2052</v>
      </c>
      <c r="D32" s="146">
        <v>5</v>
      </c>
      <c r="E32" s="146">
        <v>7</v>
      </c>
      <c r="F32"/>
      <c r="G32"/>
      <c r="H32"/>
      <c r="I32"/>
      <c r="J32"/>
      <c r="K32"/>
      <c r="L32"/>
      <c r="M32"/>
      <c r="N32"/>
      <c r="O32"/>
      <c r="P32"/>
      <c r="Q32"/>
      <c r="R32"/>
      <c r="S32"/>
      <c r="T32"/>
      <c r="U32"/>
      <c r="V32"/>
      <c r="W32"/>
    </row>
    <row r="33" spans="1:23" ht="20">
      <c r="A33" s="145" t="s">
        <v>2053</v>
      </c>
      <c r="B33" s="145" t="s">
        <v>2040</v>
      </c>
      <c r="C33" s="145" t="s">
        <v>3149</v>
      </c>
      <c r="D33" s="146">
        <v>15</v>
      </c>
      <c r="E33" s="146">
        <v>24.5</v>
      </c>
      <c r="F33"/>
      <c r="G33"/>
      <c r="H33"/>
      <c r="I33"/>
      <c r="J33"/>
      <c r="K33"/>
      <c r="L33"/>
      <c r="M33"/>
      <c r="N33"/>
      <c r="O33"/>
      <c r="P33"/>
      <c r="Q33"/>
      <c r="R33"/>
      <c r="S33"/>
      <c r="T33"/>
      <c r="U33"/>
      <c r="V33"/>
      <c r="W33"/>
    </row>
    <row r="34" spans="1:23" ht="20">
      <c r="A34" s="145" t="s">
        <v>2054</v>
      </c>
      <c r="B34" s="145" t="s">
        <v>2040</v>
      </c>
      <c r="C34" s="145" t="s">
        <v>2055</v>
      </c>
      <c r="D34" s="146">
        <v>3</v>
      </c>
      <c r="E34" s="146">
        <v>4</v>
      </c>
      <c r="F34"/>
      <c r="G34"/>
      <c r="H34"/>
      <c r="I34"/>
      <c r="J34"/>
      <c r="K34"/>
      <c r="L34"/>
      <c r="M34"/>
      <c r="N34"/>
      <c r="O34"/>
      <c r="P34"/>
      <c r="Q34"/>
      <c r="R34"/>
      <c r="S34"/>
      <c r="T34"/>
      <c r="U34"/>
      <c r="V34"/>
      <c r="W34"/>
    </row>
    <row r="35" spans="1:23" ht="20">
      <c r="A35"/>
      <c r="B35"/>
      <c r="C35"/>
      <c r="D35"/>
      <c r="E35"/>
      <c r="F35"/>
      <c r="G35"/>
      <c r="H35"/>
      <c r="I35"/>
      <c r="J35"/>
      <c r="K35"/>
      <c r="L35"/>
      <c r="M35"/>
      <c r="N35"/>
      <c r="O35"/>
      <c r="P35"/>
      <c r="Q35"/>
      <c r="R35"/>
      <c r="S35"/>
      <c r="T35"/>
      <c r="U35"/>
      <c r="V35"/>
      <c r="W35"/>
    </row>
    <row r="36" spans="1:23" ht="20">
      <c r="A36"/>
      <c r="B36"/>
      <c r="C36"/>
      <c r="D36"/>
      <c r="E36"/>
      <c r="F36"/>
      <c r="G36"/>
      <c r="H36"/>
      <c r="I36"/>
      <c r="J36"/>
      <c r="K36"/>
      <c r="L36"/>
      <c r="M36"/>
      <c r="N36"/>
      <c r="O36"/>
      <c r="P36"/>
      <c r="Q36"/>
      <c r="R36"/>
      <c r="S36"/>
      <c r="T36"/>
      <c r="U36"/>
      <c r="V36"/>
      <c r="W36"/>
    </row>
    <row r="37" spans="1:23" ht="20">
      <c r="A37"/>
      <c r="B37"/>
      <c r="C37"/>
      <c r="D37"/>
      <c r="E37"/>
      <c r="F37"/>
      <c r="G37"/>
      <c r="H37"/>
      <c r="I37"/>
      <c r="J37"/>
      <c r="K37"/>
      <c r="L37"/>
      <c r="M37"/>
      <c r="N37"/>
      <c r="O37"/>
      <c r="P37"/>
      <c r="Q37"/>
      <c r="R37"/>
      <c r="S37"/>
      <c r="T37"/>
      <c r="U37"/>
      <c r="V37"/>
      <c r="W37"/>
    </row>
    <row r="38" spans="1:23" ht="20">
      <c r="A38"/>
      <c r="B38"/>
      <c r="C38"/>
      <c r="D38"/>
      <c r="E38"/>
      <c r="F38"/>
      <c r="G38"/>
      <c r="H38"/>
      <c r="I38"/>
      <c r="J38"/>
      <c r="K38"/>
      <c r="L38"/>
      <c r="M38"/>
      <c r="N38"/>
      <c r="O38"/>
      <c r="P38"/>
      <c r="Q38"/>
      <c r="R38"/>
      <c r="S38"/>
      <c r="T38"/>
      <c r="U38"/>
      <c r="V38"/>
      <c r="W38"/>
    </row>
    <row r="39" spans="1:23" ht="20">
      <c r="A39"/>
      <c r="B39"/>
      <c r="C39"/>
      <c r="D39"/>
      <c r="E39"/>
      <c r="F39"/>
      <c r="G39"/>
      <c r="H39"/>
      <c r="I39"/>
      <c r="J39"/>
      <c r="K39"/>
      <c r="L39"/>
      <c r="M39"/>
      <c r="N39"/>
      <c r="O39"/>
      <c r="P39"/>
      <c r="Q39"/>
      <c r="R39"/>
      <c r="S39"/>
      <c r="T39"/>
      <c r="U39"/>
      <c r="V39"/>
      <c r="W39"/>
    </row>
    <row r="40" spans="1:23" ht="20">
      <c r="A40"/>
      <c r="B40"/>
      <c r="C40"/>
      <c r="D40"/>
      <c r="E40"/>
      <c r="F40"/>
      <c r="G40"/>
      <c r="H40"/>
      <c r="I40"/>
      <c r="J40"/>
      <c r="K40"/>
      <c r="L40"/>
      <c r="M40"/>
      <c r="N40"/>
      <c r="O40"/>
      <c r="P40"/>
      <c r="Q40"/>
      <c r="R40"/>
      <c r="S40"/>
      <c r="T40"/>
      <c r="U40"/>
      <c r="V40"/>
      <c r="W40"/>
    </row>
    <row r="41" spans="1:23" ht="20">
      <c r="A41"/>
      <c r="B41"/>
      <c r="C41"/>
      <c r="D41"/>
      <c r="E41"/>
      <c r="F41"/>
      <c r="G41"/>
      <c r="H41"/>
      <c r="I41"/>
      <c r="J41"/>
      <c r="K41"/>
      <c r="L41"/>
      <c r="M41"/>
      <c r="N41"/>
      <c r="O41"/>
      <c r="P41"/>
      <c r="Q41"/>
      <c r="R41"/>
      <c r="S41"/>
      <c r="T41"/>
      <c r="U41"/>
      <c r="V41"/>
      <c r="W41"/>
    </row>
    <row r="42" spans="1:23" ht="20">
      <c r="A42"/>
      <c r="B42"/>
      <c r="C42"/>
      <c r="D42"/>
      <c r="E42"/>
      <c r="F42"/>
      <c r="G42"/>
      <c r="H42"/>
      <c r="I42"/>
      <c r="J42"/>
      <c r="K42"/>
      <c r="L42"/>
      <c r="M42"/>
      <c r="N42"/>
      <c r="O42"/>
      <c r="P42"/>
      <c r="Q42"/>
      <c r="R42"/>
      <c r="S42"/>
      <c r="T42"/>
      <c r="U42"/>
      <c r="V42"/>
      <c r="W42"/>
    </row>
    <row r="43" spans="1:23" ht="20">
      <c r="A43"/>
      <c r="B43"/>
      <c r="C43"/>
      <c r="D43"/>
      <c r="E43"/>
      <c r="F43"/>
      <c r="G43"/>
      <c r="H43"/>
      <c r="I43"/>
      <c r="J43"/>
      <c r="K43"/>
      <c r="L43"/>
      <c r="M43"/>
      <c r="N43"/>
      <c r="O43"/>
      <c r="P43"/>
      <c r="Q43"/>
      <c r="R43"/>
      <c r="S43"/>
      <c r="T43"/>
      <c r="U43"/>
      <c r="V43"/>
      <c r="W43"/>
    </row>
    <row r="44" spans="1:23" ht="20">
      <c r="A44"/>
      <c r="B44"/>
      <c r="C44"/>
      <c r="D44"/>
      <c r="E44"/>
      <c r="F44"/>
      <c r="G44"/>
      <c r="H44"/>
      <c r="I44"/>
      <c r="J44"/>
      <c r="K44"/>
      <c r="L44"/>
      <c r="M44"/>
      <c r="N44"/>
      <c r="O44"/>
      <c r="P44"/>
      <c r="Q44"/>
      <c r="R44"/>
      <c r="S44"/>
      <c r="T44"/>
      <c r="U44"/>
      <c r="V44"/>
      <c r="W44"/>
    </row>
    <row r="45" spans="1:23" ht="20">
      <c r="A45"/>
      <c r="B45"/>
      <c r="C45"/>
      <c r="D45"/>
      <c r="E45"/>
      <c r="F45"/>
      <c r="G45"/>
      <c r="H45"/>
      <c r="I45"/>
      <c r="J45"/>
      <c r="K45"/>
      <c r="L45"/>
      <c r="M45"/>
      <c r="N45"/>
      <c r="O45"/>
      <c r="P45"/>
      <c r="Q45"/>
      <c r="R45"/>
      <c r="S45"/>
      <c r="T45"/>
      <c r="U45"/>
      <c r="V45"/>
      <c r="W45"/>
    </row>
    <row r="46" spans="1:23" ht="20">
      <c r="A46"/>
      <c r="B46"/>
      <c r="C46"/>
      <c r="D46"/>
      <c r="E46"/>
      <c r="F46"/>
      <c r="G46"/>
      <c r="H46"/>
      <c r="I46"/>
      <c r="J46"/>
      <c r="K46"/>
      <c r="L46"/>
      <c r="M46"/>
      <c r="N46"/>
      <c r="O46"/>
      <c r="P46"/>
      <c r="Q46"/>
      <c r="R46"/>
      <c r="S46"/>
      <c r="T46"/>
      <c r="U46"/>
      <c r="V46"/>
      <c r="W46"/>
    </row>
    <row r="47" spans="1:23" ht="20">
      <c r="A47"/>
      <c r="B47"/>
      <c r="C47"/>
      <c r="D47"/>
      <c r="E47"/>
      <c r="F47"/>
      <c r="G47"/>
      <c r="H47"/>
      <c r="I47"/>
      <c r="J47"/>
      <c r="K47"/>
      <c r="L47"/>
      <c r="M47"/>
      <c r="N47"/>
      <c r="O47"/>
      <c r="P47"/>
      <c r="Q47"/>
      <c r="R47"/>
      <c r="S47"/>
      <c r="T47"/>
      <c r="U47"/>
      <c r="V47"/>
      <c r="W47"/>
    </row>
    <row r="48" spans="1:23" ht="20">
      <c r="A48"/>
      <c r="B48"/>
      <c r="C48"/>
      <c r="D48"/>
      <c r="E48"/>
      <c r="F48"/>
      <c r="G48"/>
      <c r="H48"/>
      <c r="I48"/>
      <c r="J48"/>
      <c r="K48"/>
      <c r="L48"/>
      <c r="M48"/>
      <c r="N48"/>
      <c r="O48"/>
      <c r="P48"/>
      <c r="Q48"/>
      <c r="R48"/>
      <c r="S48"/>
      <c r="T48"/>
      <c r="U48"/>
      <c r="V48"/>
      <c r="W48"/>
    </row>
    <row r="49" spans="1:23" ht="20">
      <c r="A49"/>
      <c r="B49"/>
      <c r="C49"/>
      <c r="D49"/>
      <c r="E49"/>
      <c r="F49"/>
      <c r="G49"/>
      <c r="H49"/>
      <c r="I49"/>
      <c r="J49"/>
      <c r="K49"/>
      <c r="L49"/>
      <c r="M49"/>
      <c r="N49"/>
      <c r="O49"/>
      <c r="P49"/>
      <c r="Q49"/>
      <c r="R49"/>
      <c r="S49"/>
      <c r="T49"/>
      <c r="U49"/>
      <c r="V49"/>
      <c r="W49"/>
    </row>
    <row r="50" spans="1:23" ht="20">
      <c r="A50"/>
      <c r="B50"/>
      <c r="C50"/>
      <c r="D50"/>
      <c r="E50"/>
      <c r="F50"/>
      <c r="G50"/>
      <c r="H50"/>
      <c r="I50"/>
      <c r="J50"/>
      <c r="K50"/>
      <c r="L50"/>
      <c r="M50"/>
      <c r="N50"/>
      <c r="O50"/>
      <c r="P50"/>
      <c r="Q50"/>
      <c r="R50"/>
      <c r="S50"/>
      <c r="T50"/>
      <c r="U50"/>
      <c r="V50"/>
      <c r="W50"/>
    </row>
    <row r="51" spans="1:23" ht="20">
      <c r="A51"/>
      <c r="B51"/>
      <c r="C51"/>
      <c r="D51"/>
      <c r="E51"/>
      <c r="F51"/>
      <c r="G51"/>
      <c r="H51"/>
      <c r="I51"/>
      <c r="J51"/>
      <c r="K51"/>
      <c r="L51"/>
      <c r="M51"/>
      <c r="N51"/>
      <c r="O51"/>
      <c r="P51"/>
      <c r="Q51"/>
      <c r="R51"/>
      <c r="S51"/>
      <c r="T51"/>
      <c r="U51"/>
      <c r="V51"/>
      <c r="W51"/>
    </row>
    <row r="52" spans="1:23" ht="20">
      <c r="A52"/>
      <c r="B52"/>
      <c r="C52"/>
      <c r="D52"/>
      <c r="E52"/>
      <c r="F52"/>
      <c r="G52"/>
      <c r="H52"/>
      <c r="I52"/>
      <c r="J52"/>
      <c r="K52"/>
      <c r="L52"/>
      <c r="M52"/>
      <c r="N52"/>
      <c r="O52"/>
      <c r="P52"/>
      <c r="Q52"/>
      <c r="R52"/>
      <c r="S52"/>
      <c r="T52"/>
      <c r="U52"/>
      <c r="V52"/>
      <c r="W52"/>
    </row>
    <row r="53" spans="1:23" ht="20">
      <c r="A53"/>
      <c r="B53"/>
      <c r="C53"/>
      <c r="D53"/>
      <c r="E53"/>
      <c r="F53"/>
      <c r="G53"/>
      <c r="H53"/>
      <c r="I53"/>
      <c r="J53"/>
      <c r="K53"/>
      <c r="L53"/>
      <c r="M53"/>
      <c r="N53"/>
      <c r="O53"/>
      <c r="P53"/>
      <c r="Q53"/>
      <c r="R53"/>
      <c r="S53"/>
      <c r="T53"/>
      <c r="U53"/>
      <c r="V53"/>
      <c r="W53"/>
    </row>
    <row r="54" spans="1:23" ht="20">
      <c r="A54"/>
      <c r="B54"/>
      <c r="C54"/>
      <c r="D54"/>
      <c r="E54"/>
      <c r="F54"/>
      <c r="G54"/>
      <c r="H54"/>
      <c r="I54"/>
      <c r="J54"/>
      <c r="K54"/>
      <c r="L54"/>
      <c r="M54"/>
      <c r="N54"/>
      <c r="O54"/>
      <c r="P54"/>
      <c r="Q54"/>
      <c r="R54"/>
      <c r="S54"/>
      <c r="T54"/>
      <c r="U54"/>
      <c r="V54"/>
      <c r="W54"/>
    </row>
    <row r="55" spans="1:23" ht="20">
      <c r="A55"/>
      <c r="B55"/>
      <c r="C55"/>
      <c r="D55"/>
      <c r="E55"/>
      <c r="F55"/>
      <c r="G55"/>
      <c r="H55"/>
      <c r="I55"/>
      <c r="J55"/>
      <c r="K55"/>
      <c r="L55"/>
      <c r="M55"/>
      <c r="N55"/>
      <c r="O55"/>
      <c r="P55"/>
      <c r="Q55"/>
      <c r="R55"/>
      <c r="S55"/>
      <c r="T55"/>
      <c r="U55"/>
      <c r="V55"/>
      <c r="W55"/>
    </row>
    <row r="56" spans="1:23" ht="20">
      <c r="A56"/>
      <c r="B56"/>
      <c r="C56"/>
      <c r="D56"/>
      <c r="E56"/>
      <c r="F56"/>
      <c r="G56"/>
      <c r="H56"/>
      <c r="I56"/>
      <c r="J56"/>
      <c r="K56"/>
      <c r="L56"/>
      <c r="M56"/>
      <c r="N56"/>
      <c r="O56"/>
      <c r="P56"/>
      <c r="Q56"/>
      <c r="R56"/>
      <c r="S56"/>
      <c r="T56"/>
      <c r="U56"/>
      <c r="V56"/>
      <c r="W56"/>
    </row>
    <row r="57" spans="1:23" ht="20">
      <c r="A57"/>
      <c r="B57"/>
      <c r="C57"/>
      <c r="D57"/>
      <c r="E57"/>
      <c r="F57"/>
      <c r="G57"/>
      <c r="H57"/>
      <c r="I57"/>
      <c r="J57"/>
      <c r="K57"/>
      <c r="L57"/>
      <c r="M57"/>
      <c r="N57"/>
      <c r="O57"/>
      <c r="P57"/>
      <c r="Q57"/>
      <c r="R57"/>
      <c r="S57"/>
      <c r="T57"/>
      <c r="U57"/>
      <c r="V57"/>
      <c r="W57"/>
    </row>
    <row r="58" spans="1:23" ht="20">
      <c r="A58"/>
      <c r="B58"/>
      <c r="C58"/>
      <c r="D58"/>
      <c r="E58"/>
      <c r="F58"/>
      <c r="G58"/>
      <c r="H58"/>
      <c r="I58"/>
      <c r="J58"/>
      <c r="K58"/>
      <c r="L58"/>
      <c r="M58"/>
      <c r="N58"/>
      <c r="O58"/>
      <c r="P58"/>
      <c r="Q58"/>
      <c r="R58"/>
      <c r="S58"/>
      <c r="T58"/>
      <c r="U58"/>
      <c r="V58"/>
      <c r="W58"/>
    </row>
    <row r="59" spans="1:23" ht="20">
      <c r="A59"/>
      <c r="B59"/>
      <c r="C59"/>
      <c r="D59"/>
      <c r="E59"/>
      <c r="F59"/>
      <c r="G59"/>
      <c r="H59"/>
      <c r="I59"/>
      <c r="J59"/>
      <c r="K59"/>
      <c r="L59"/>
      <c r="M59"/>
      <c r="N59"/>
      <c r="O59"/>
      <c r="P59"/>
      <c r="Q59"/>
      <c r="R59"/>
      <c r="S59"/>
      <c r="T59"/>
      <c r="U59"/>
      <c r="V59"/>
      <c r="W59"/>
    </row>
    <row r="60" spans="1:23" ht="20">
      <c r="A60"/>
      <c r="B60"/>
      <c r="C60"/>
      <c r="D60"/>
      <c r="E60"/>
      <c r="F60"/>
      <c r="G60"/>
      <c r="H60"/>
      <c r="I60"/>
      <c r="J60"/>
      <c r="K60"/>
      <c r="L60"/>
      <c r="M60"/>
      <c r="N60"/>
      <c r="O60"/>
      <c r="P60"/>
      <c r="Q60"/>
      <c r="R60"/>
      <c r="S60"/>
      <c r="T60"/>
      <c r="U60"/>
      <c r="V60"/>
      <c r="W60"/>
    </row>
    <row r="61" spans="1:23" ht="20">
      <c r="A61"/>
      <c r="B61"/>
      <c r="C61"/>
      <c r="D61"/>
      <c r="E61"/>
      <c r="F61"/>
      <c r="G61"/>
      <c r="H61"/>
      <c r="I61"/>
      <c r="J61"/>
      <c r="K61"/>
      <c r="L61"/>
      <c r="M61"/>
      <c r="N61"/>
      <c r="O61"/>
      <c r="P61"/>
      <c r="Q61"/>
      <c r="R61"/>
      <c r="S61"/>
      <c r="T61"/>
      <c r="U61"/>
      <c r="V61"/>
      <c r="W61"/>
    </row>
    <row r="62" spans="1:23" ht="20">
      <c r="A62"/>
      <c r="B62"/>
      <c r="C62"/>
      <c r="D62"/>
      <c r="E62"/>
      <c r="F62"/>
      <c r="G62"/>
      <c r="H62"/>
      <c r="I62"/>
      <c r="J62"/>
      <c r="K62"/>
      <c r="L62"/>
      <c r="M62"/>
      <c r="N62"/>
      <c r="O62"/>
      <c r="P62"/>
      <c r="Q62"/>
      <c r="R62"/>
      <c r="S62"/>
      <c r="T62"/>
      <c r="U62"/>
      <c r="V62"/>
      <c r="W62"/>
    </row>
    <row r="63" spans="1:23" ht="20">
      <c r="A63"/>
      <c r="B63"/>
      <c r="C63"/>
      <c r="D63"/>
      <c r="E63"/>
      <c r="F63"/>
      <c r="G63"/>
      <c r="H63"/>
      <c r="I63"/>
      <c r="J63"/>
      <c r="K63"/>
      <c r="L63"/>
      <c r="M63"/>
      <c r="N63"/>
      <c r="O63"/>
      <c r="P63"/>
      <c r="Q63"/>
      <c r="R63"/>
      <c r="S63"/>
      <c r="T63"/>
      <c r="U63"/>
      <c r="V63"/>
      <c r="W63"/>
    </row>
    <row r="64" spans="1:23" ht="20">
      <c r="A64"/>
      <c r="B64"/>
      <c r="C64"/>
      <c r="D64"/>
      <c r="E64"/>
      <c r="F64"/>
      <c r="G64"/>
      <c r="H64"/>
      <c r="I64"/>
      <c r="J64"/>
      <c r="K64"/>
      <c r="L64"/>
      <c r="M64"/>
      <c r="N64"/>
      <c r="O64"/>
      <c r="P64"/>
      <c r="Q64"/>
      <c r="R64"/>
      <c r="S64"/>
      <c r="T64"/>
      <c r="U64"/>
      <c r="V64"/>
      <c r="W64"/>
    </row>
    <row r="65" spans="1:23" ht="20">
      <c r="A65"/>
      <c r="B65"/>
      <c r="C65"/>
      <c r="D65"/>
      <c r="E65"/>
      <c r="F65"/>
      <c r="G65"/>
      <c r="H65"/>
      <c r="I65"/>
      <c r="J65"/>
      <c r="K65"/>
      <c r="L65"/>
      <c r="M65"/>
      <c r="N65"/>
      <c r="O65"/>
      <c r="P65"/>
      <c r="Q65"/>
      <c r="R65"/>
      <c r="S65"/>
      <c r="T65"/>
      <c r="U65"/>
      <c r="V65"/>
      <c r="W65"/>
    </row>
    <row r="66" spans="1:23" ht="20">
      <c r="A66"/>
      <c r="B66"/>
      <c r="C66"/>
      <c r="D66"/>
      <c r="E66"/>
      <c r="F66"/>
      <c r="G66"/>
      <c r="H66"/>
      <c r="I66"/>
      <c r="J66"/>
      <c r="K66"/>
      <c r="L66"/>
      <c r="M66"/>
      <c r="N66"/>
      <c r="O66"/>
      <c r="P66"/>
      <c r="Q66"/>
      <c r="R66"/>
      <c r="S66"/>
      <c r="T66"/>
      <c r="U66"/>
      <c r="V66"/>
      <c r="W66"/>
    </row>
    <row r="67" spans="1:23" ht="20">
      <c r="A67"/>
      <c r="B67"/>
      <c r="C67"/>
      <c r="D67"/>
      <c r="E67"/>
      <c r="F67"/>
      <c r="G67"/>
      <c r="H67"/>
      <c r="I67"/>
      <c r="J67"/>
      <c r="K67"/>
      <c r="L67"/>
      <c r="M67"/>
      <c r="N67"/>
      <c r="O67"/>
      <c r="P67"/>
      <c r="Q67"/>
      <c r="R67"/>
      <c r="S67"/>
      <c r="T67"/>
      <c r="U67"/>
      <c r="V67"/>
      <c r="W67"/>
    </row>
    <row r="68" spans="1:23" ht="20">
      <c r="A68"/>
      <c r="B68"/>
      <c r="C68"/>
      <c r="D68"/>
      <c r="E68"/>
      <c r="F68"/>
      <c r="G68"/>
      <c r="H68"/>
      <c r="I68"/>
      <c r="J68"/>
      <c r="K68"/>
      <c r="L68"/>
      <c r="M68"/>
      <c r="N68"/>
      <c r="O68"/>
      <c r="P68"/>
      <c r="Q68"/>
      <c r="R68"/>
      <c r="S68"/>
      <c r="T68"/>
      <c r="U68"/>
      <c r="V68"/>
      <c r="W68"/>
    </row>
    <row r="69" spans="1:23" ht="20">
      <c r="A69"/>
      <c r="B69"/>
      <c r="C69"/>
      <c r="D69"/>
      <c r="E69"/>
      <c r="F69"/>
      <c r="G69"/>
      <c r="H69"/>
      <c r="I69"/>
      <c r="J69"/>
      <c r="K69"/>
      <c r="L69"/>
      <c r="M69"/>
      <c r="N69"/>
      <c r="O69"/>
      <c r="P69"/>
      <c r="Q69"/>
      <c r="R69"/>
      <c r="S69"/>
      <c r="T69"/>
      <c r="U69"/>
      <c r="V69"/>
      <c r="W69"/>
    </row>
    <row r="70" spans="1:23" ht="20">
      <c r="A70"/>
      <c r="B70"/>
      <c r="C70"/>
      <c r="D70"/>
      <c r="E70"/>
      <c r="F70"/>
      <c r="G70"/>
      <c r="H70"/>
      <c r="I70"/>
      <c r="J70"/>
      <c r="K70"/>
      <c r="L70"/>
      <c r="M70"/>
      <c r="N70"/>
      <c r="O70"/>
      <c r="P70"/>
      <c r="Q70"/>
      <c r="R70"/>
      <c r="S70"/>
      <c r="T70"/>
      <c r="U70"/>
      <c r="V70"/>
      <c r="W70"/>
    </row>
    <row r="71" spans="1:23" ht="20">
      <c r="A71"/>
      <c r="B71"/>
      <c r="C71"/>
      <c r="D71"/>
      <c r="E71"/>
      <c r="F71"/>
      <c r="G71"/>
      <c r="H71"/>
      <c r="I71"/>
      <c r="J71"/>
      <c r="K71"/>
      <c r="L71"/>
      <c r="M71"/>
      <c r="N71"/>
      <c r="O71"/>
      <c r="P71"/>
      <c r="Q71"/>
      <c r="R71"/>
      <c r="S71"/>
      <c r="T71"/>
      <c r="U71"/>
      <c r="V71"/>
      <c r="W71"/>
    </row>
    <row r="72" spans="1:23" ht="20">
      <c r="A72"/>
      <c r="B72"/>
      <c r="C72"/>
      <c r="D72"/>
      <c r="E72"/>
      <c r="F72"/>
      <c r="G72"/>
      <c r="H72"/>
      <c r="I72"/>
      <c r="J72"/>
      <c r="K72"/>
      <c r="L72"/>
      <c r="M72"/>
      <c r="N72"/>
      <c r="O72"/>
      <c r="P72"/>
      <c r="Q72"/>
      <c r="R72"/>
      <c r="S72"/>
      <c r="T72"/>
      <c r="U72"/>
      <c r="V72"/>
      <c r="W72"/>
    </row>
    <row r="73" spans="1:23" ht="20">
      <c r="A73"/>
      <c r="B73"/>
      <c r="C73"/>
      <c r="D73"/>
      <c r="E73"/>
      <c r="F73"/>
      <c r="G73"/>
      <c r="H73"/>
      <c r="I73"/>
      <c r="J73"/>
      <c r="K73"/>
      <c r="L73"/>
      <c r="M73"/>
      <c r="N73"/>
      <c r="O73"/>
      <c r="P73"/>
      <c r="Q73"/>
      <c r="R73"/>
      <c r="S73"/>
      <c r="T73"/>
      <c r="U73"/>
      <c r="V73"/>
      <c r="W73"/>
    </row>
    <row r="74" spans="1:23" ht="20">
      <c r="A74"/>
      <c r="B74"/>
      <c r="C74"/>
      <c r="D74"/>
      <c r="E74"/>
      <c r="F74"/>
      <c r="G74"/>
      <c r="H74"/>
      <c r="I74"/>
      <c r="J74"/>
      <c r="K74"/>
      <c r="L74"/>
      <c r="M74"/>
      <c r="N74"/>
      <c r="O74"/>
      <c r="P74"/>
      <c r="Q74"/>
      <c r="R74"/>
      <c r="S74"/>
      <c r="T74"/>
      <c r="U74"/>
      <c r="V74"/>
      <c r="W74"/>
    </row>
    <row r="75" spans="1:23" ht="20">
      <c r="A75"/>
      <c r="B75"/>
      <c r="C75"/>
      <c r="D75"/>
      <c r="E75"/>
      <c r="F75"/>
      <c r="G75"/>
      <c r="H75"/>
      <c r="I75"/>
      <c r="J75"/>
      <c r="K75"/>
      <c r="L75"/>
      <c r="M75"/>
      <c r="N75"/>
      <c r="O75"/>
      <c r="P75"/>
      <c r="Q75"/>
      <c r="R75"/>
      <c r="S75"/>
      <c r="T75"/>
      <c r="U75"/>
      <c r="V75"/>
      <c r="W75"/>
    </row>
    <row r="76" spans="1:23" ht="20">
      <c r="A76"/>
      <c r="B76"/>
      <c r="C76"/>
      <c r="D76"/>
      <c r="E76"/>
      <c r="F76"/>
      <c r="G76"/>
      <c r="H76"/>
      <c r="I76"/>
      <c r="J76"/>
      <c r="K76"/>
      <c r="L76"/>
      <c r="M76"/>
      <c r="N76"/>
      <c r="O76"/>
      <c r="P76"/>
      <c r="Q76"/>
      <c r="R76"/>
      <c r="S76"/>
      <c r="T76"/>
      <c r="U76"/>
      <c r="V76"/>
      <c r="W76"/>
    </row>
    <row r="77" spans="1:23" ht="20">
      <c r="A77"/>
      <c r="B77"/>
      <c r="C77"/>
      <c r="D77"/>
      <c r="E77"/>
      <c r="F77"/>
      <c r="G77"/>
      <c r="H77"/>
      <c r="I77"/>
      <c r="J77"/>
      <c r="K77"/>
      <c r="L77"/>
      <c r="M77"/>
      <c r="N77"/>
      <c r="O77"/>
      <c r="P77"/>
      <c r="Q77"/>
      <c r="R77"/>
      <c r="S77"/>
      <c r="T77"/>
      <c r="U77"/>
      <c r="V77"/>
      <c r="W77"/>
    </row>
    <row r="78" spans="1:23" ht="20">
      <c r="A78"/>
      <c r="B78"/>
      <c r="C78"/>
      <c r="D78"/>
      <c r="E78"/>
      <c r="F78"/>
      <c r="G78"/>
      <c r="H78"/>
      <c r="I78"/>
      <c r="J78"/>
      <c r="K78"/>
      <c r="L78"/>
      <c r="M78"/>
      <c r="N78"/>
      <c r="O78"/>
      <c r="P78"/>
      <c r="Q78"/>
      <c r="R78"/>
      <c r="S78"/>
      <c r="T78"/>
      <c r="U78"/>
      <c r="V78"/>
      <c r="W78"/>
    </row>
    <row r="79" spans="1:23" ht="20">
      <c r="A79"/>
      <c r="B79"/>
      <c r="C79"/>
      <c r="D79"/>
      <c r="E79"/>
      <c r="F79"/>
      <c r="G79"/>
      <c r="H79"/>
      <c r="I79"/>
      <c r="J79"/>
      <c r="K79"/>
      <c r="L79"/>
      <c r="M79"/>
      <c r="N79"/>
      <c r="O79"/>
      <c r="P79"/>
      <c r="Q79"/>
      <c r="R79"/>
      <c r="S79"/>
      <c r="T79"/>
      <c r="U79"/>
      <c r="V79"/>
      <c r="W79"/>
    </row>
    <row r="80" spans="1:23" ht="20">
      <c r="A80"/>
      <c r="B80"/>
      <c r="C80"/>
      <c r="D80"/>
      <c r="E80"/>
      <c r="F80"/>
      <c r="G80"/>
      <c r="H80"/>
      <c r="I80"/>
      <c r="J80"/>
      <c r="K80"/>
      <c r="L80"/>
      <c r="M80"/>
      <c r="N80"/>
      <c r="O80"/>
      <c r="P80"/>
      <c r="Q80"/>
      <c r="R80"/>
      <c r="S80"/>
      <c r="T80"/>
      <c r="U80"/>
      <c r="V80"/>
      <c r="W80"/>
    </row>
    <row r="81" spans="1:23" ht="20">
      <c r="A81"/>
      <c r="B81"/>
      <c r="C81"/>
      <c r="D81"/>
      <c r="E81"/>
      <c r="F81"/>
      <c r="G81"/>
      <c r="H81"/>
      <c r="I81"/>
      <c r="J81"/>
      <c r="K81"/>
      <c r="L81"/>
      <c r="M81"/>
      <c r="N81"/>
      <c r="O81"/>
      <c r="P81"/>
      <c r="Q81"/>
      <c r="R81"/>
      <c r="S81"/>
      <c r="T81"/>
      <c r="U81"/>
      <c r="V81"/>
      <c r="W81"/>
    </row>
    <row r="82" spans="1:23" ht="20">
      <c r="A82"/>
      <c r="B82"/>
      <c r="C82"/>
      <c r="D82"/>
      <c r="E82"/>
      <c r="F82"/>
      <c r="G82"/>
      <c r="H82"/>
      <c r="I82"/>
      <c r="J82"/>
      <c r="K82"/>
      <c r="L82"/>
      <c r="M82"/>
      <c r="N82"/>
      <c r="O82"/>
      <c r="P82"/>
      <c r="Q82"/>
      <c r="R82"/>
      <c r="S82"/>
      <c r="T82"/>
      <c r="U82"/>
      <c r="V82"/>
      <c r="W82"/>
    </row>
    <row r="83" spans="1:23" ht="20">
      <c r="A83"/>
      <c r="B83"/>
      <c r="C83"/>
      <c r="D83"/>
      <c r="E83"/>
      <c r="F83"/>
      <c r="G83"/>
      <c r="H83"/>
      <c r="I83"/>
      <c r="J83"/>
      <c r="K83"/>
      <c r="L83"/>
      <c r="M83"/>
      <c r="N83"/>
      <c r="O83"/>
      <c r="P83"/>
      <c r="Q83"/>
      <c r="R83"/>
      <c r="S83"/>
      <c r="T83"/>
      <c r="U83"/>
      <c r="V83"/>
      <c r="W83"/>
    </row>
    <row r="84" spans="1:23" ht="20">
      <c r="A84"/>
      <c r="B84"/>
      <c r="C84"/>
      <c r="D84"/>
      <c r="E84"/>
      <c r="F84"/>
      <c r="G84"/>
      <c r="H84"/>
      <c r="I84"/>
      <c r="J84"/>
      <c r="K84"/>
      <c r="L84"/>
      <c r="M84"/>
      <c r="N84"/>
      <c r="O84"/>
      <c r="P84"/>
      <c r="Q84"/>
      <c r="R84"/>
      <c r="S84"/>
      <c r="T84"/>
      <c r="U84"/>
      <c r="V84"/>
      <c r="W84"/>
    </row>
    <row r="85" spans="1:23" ht="20">
      <c r="A85"/>
      <c r="B85"/>
      <c r="C85"/>
      <c r="D85"/>
      <c r="E85"/>
      <c r="F85"/>
      <c r="G85"/>
      <c r="H85"/>
      <c r="I85"/>
      <c r="J85"/>
      <c r="K85"/>
      <c r="L85"/>
      <c r="M85"/>
      <c r="N85"/>
      <c r="O85"/>
      <c r="P85"/>
      <c r="Q85"/>
      <c r="R85"/>
      <c r="S85"/>
      <c r="T85"/>
      <c r="U85"/>
      <c r="V85"/>
      <c r="W85"/>
    </row>
    <row r="86" spans="1:23" ht="20">
      <c r="A86"/>
      <c r="B86"/>
      <c r="C86"/>
      <c r="D86"/>
      <c r="E86"/>
      <c r="F86"/>
      <c r="G86"/>
      <c r="H86"/>
      <c r="I86"/>
      <c r="J86"/>
      <c r="K86"/>
      <c r="L86"/>
      <c r="M86"/>
      <c r="N86"/>
      <c r="O86"/>
      <c r="P86"/>
      <c r="Q86"/>
      <c r="R86"/>
      <c r="S86"/>
      <c r="T86"/>
      <c r="U86"/>
      <c r="V86"/>
      <c r="W86"/>
    </row>
    <row r="87" spans="1:23" ht="20">
      <c r="A87"/>
      <c r="B87"/>
      <c r="C87"/>
      <c r="D87"/>
      <c r="E87"/>
      <c r="F87"/>
      <c r="G87"/>
      <c r="H87"/>
      <c r="I87"/>
      <c r="J87"/>
      <c r="K87"/>
      <c r="L87"/>
      <c r="M87"/>
      <c r="N87"/>
      <c r="O87"/>
      <c r="P87"/>
      <c r="Q87"/>
      <c r="R87"/>
      <c r="S87"/>
      <c r="T87"/>
      <c r="U87"/>
      <c r="V87"/>
      <c r="W87"/>
    </row>
    <row r="88" spans="1:23" ht="20">
      <c r="A88"/>
      <c r="B88"/>
      <c r="C88"/>
      <c r="D88"/>
      <c r="E88"/>
      <c r="F88"/>
      <c r="G88"/>
      <c r="H88"/>
      <c r="I88"/>
      <c r="J88"/>
      <c r="K88"/>
      <c r="L88"/>
      <c r="M88"/>
      <c r="N88"/>
      <c r="O88"/>
      <c r="P88"/>
      <c r="Q88"/>
      <c r="R88"/>
      <c r="S88"/>
      <c r="T88"/>
      <c r="U88"/>
      <c r="V88"/>
      <c r="W88"/>
    </row>
    <row r="89" spans="1:23" ht="20">
      <c r="A89"/>
      <c r="B89"/>
      <c r="C89"/>
      <c r="D89"/>
      <c r="E89"/>
      <c r="F89"/>
      <c r="G89"/>
      <c r="H89"/>
      <c r="I89"/>
      <c r="J89"/>
      <c r="K89"/>
      <c r="L89"/>
      <c r="M89"/>
      <c r="N89"/>
      <c r="O89"/>
      <c r="P89"/>
      <c r="Q89"/>
      <c r="R89"/>
      <c r="S89"/>
      <c r="T89"/>
      <c r="U89"/>
      <c r="V89"/>
      <c r="W89"/>
    </row>
    <row r="90" spans="1:23" ht="20">
      <c r="A90"/>
      <c r="B90"/>
      <c r="C90"/>
      <c r="D90"/>
      <c r="E90"/>
      <c r="F90"/>
      <c r="G90"/>
      <c r="H90"/>
      <c r="I90"/>
      <c r="J90"/>
      <c r="K90"/>
      <c r="L90"/>
      <c r="M90"/>
      <c r="N90"/>
      <c r="O90"/>
      <c r="P90"/>
      <c r="Q90"/>
      <c r="R90"/>
      <c r="S90"/>
      <c r="T90"/>
      <c r="U90"/>
      <c r="V90"/>
      <c r="W90"/>
    </row>
    <row r="91" spans="1:23" ht="20">
      <c r="A91"/>
      <c r="B91"/>
      <c r="C91"/>
      <c r="D91"/>
      <c r="E91"/>
      <c r="F91"/>
      <c r="G91"/>
      <c r="H91"/>
      <c r="I91"/>
      <c r="J91"/>
      <c r="K91"/>
      <c r="L91"/>
      <c r="M91"/>
      <c r="N91"/>
      <c r="O91"/>
      <c r="P91"/>
      <c r="Q91"/>
      <c r="R91"/>
      <c r="S91"/>
      <c r="T91"/>
      <c r="U91"/>
      <c r="V91"/>
      <c r="W91"/>
    </row>
    <row r="92" spans="1:23" ht="20">
      <c r="A92"/>
      <c r="B92"/>
      <c r="C92"/>
      <c r="D92"/>
      <c r="E92"/>
      <c r="F92"/>
      <c r="G92"/>
      <c r="H92"/>
      <c r="I92"/>
      <c r="J92"/>
      <c r="K92"/>
      <c r="L92"/>
      <c r="M92"/>
      <c r="N92"/>
      <c r="O92"/>
      <c r="P92"/>
      <c r="Q92"/>
      <c r="R92"/>
      <c r="S92"/>
      <c r="T92"/>
      <c r="U92"/>
      <c r="V92"/>
      <c r="W92"/>
    </row>
    <row r="93" spans="1:23" ht="20">
      <c r="A93"/>
      <c r="B93"/>
      <c r="C93"/>
      <c r="D93"/>
      <c r="E93"/>
      <c r="F93"/>
      <c r="G93"/>
      <c r="H93"/>
      <c r="I93"/>
      <c r="J93"/>
      <c r="K93"/>
      <c r="L93"/>
      <c r="M93"/>
      <c r="N93"/>
      <c r="O93"/>
      <c r="P93"/>
      <c r="Q93"/>
      <c r="R93"/>
      <c r="S93"/>
      <c r="T93"/>
      <c r="U93"/>
      <c r="V93"/>
      <c r="W93"/>
    </row>
    <row r="94" spans="1:23" ht="20">
      <c r="A94"/>
      <c r="B94"/>
      <c r="C94"/>
      <c r="D94"/>
      <c r="E94"/>
      <c r="F94"/>
      <c r="G94"/>
      <c r="H94"/>
      <c r="I94"/>
      <c r="J94"/>
      <c r="K94"/>
      <c r="L94"/>
      <c r="M94"/>
      <c r="N94"/>
      <c r="O94"/>
      <c r="P94"/>
      <c r="Q94"/>
      <c r="R94"/>
      <c r="S94"/>
      <c r="T94"/>
      <c r="U94"/>
      <c r="V94"/>
      <c r="W94"/>
    </row>
    <row r="95" spans="1:23" ht="20">
      <c r="A95"/>
      <c r="B95"/>
      <c r="C95"/>
      <c r="D95"/>
      <c r="E95"/>
      <c r="F95"/>
      <c r="G95"/>
      <c r="H95"/>
      <c r="I95"/>
      <c r="J95"/>
      <c r="K95"/>
      <c r="L95"/>
      <c r="M95"/>
      <c r="N95"/>
      <c r="O95"/>
      <c r="P95"/>
      <c r="Q95"/>
      <c r="R95"/>
      <c r="S95"/>
      <c r="T95"/>
      <c r="U95"/>
      <c r="V95"/>
      <c r="W95"/>
    </row>
    <row r="96" spans="1:23" ht="20">
      <c r="A96"/>
      <c r="B96"/>
      <c r="C96"/>
      <c r="D96"/>
      <c r="E96"/>
      <c r="F96"/>
      <c r="G96"/>
      <c r="H96"/>
      <c r="I96"/>
      <c r="J96"/>
      <c r="K96"/>
      <c r="L96"/>
      <c r="M96"/>
      <c r="N96"/>
      <c r="O96"/>
      <c r="P96"/>
      <c r="Q96"/>
      <c r="R96"/>
      <c r="S96"/>
      <c r="T96"/>
      <c r="U96"/>
      <c r="V96"/>
      <c r="W96"/>
    </row>
    <row r="97" spans="1:23" ht="20">
      <c r="A97"/>
      <c r="B97"/>
      <c r="C97"/>
      <c r="D97"/>
      <c r="E97"/>
      <c r="F97"/>
      <c r="G97"/>
      <c r="H97"/>
      <c r="I97"/>
      <c r="J97"/>
      <c r="K97"/>
      <c r="L97"/>
      <c r="M97"/>
      <c r="N97"/>
      <c r="O97"/>
      <c r="P97"/>
      <c r="Q97"/>
      <c r="R97"/>
      <c r="S97"/>
      <c r="T97"/>
      <c r="U97"/>
      <c r="V97"/>
      <c r="W97"/>
    </row>
    <row r="98" spans="1:23" ht="20">
      <c r="A98"/>
      <c r="B98"/>
      <c r="C98"/>
      <c r="D98"/>
      <c r="E98"/>
      <c r="F98"/>
      <c r="G98"/>
      <c r="H98"/>
      <c r="I98"/>
      <c r="J98"/>
      <c r="K98"/>
      <c r="L98"/>
      <c r="M98"/>
      <c r="N98"/>
      <c r="O98"/>
      <c r="P98"/>
      <c r="Q98"/>
      <c r="R98"/>
      <c r="S98"/>
      <c r="T98"/>
      <c r="U98"/>
      <c r="V98"/>
      <c r="W98"/>
    </row>
    <row r="99" spans="1:23" ht="20">
      <c r="A99"/>
      <c r="B99"/>
      <c r="C99"/>
      <c r="D99"/>
      <c r="E99"/>
      <c r="F99"/>
      <c r="G99"/>
      <c r="H99"/>
      <c r="I99"/>
      <c r="J99"/>
      <c r="K99"/>
      <c r="L99"/>
      <c r="M99"/>
      <c r="N99"/>
      <c r="O99"/>
      <c r="P99"/>
      <c r="Q99"/>
      <c r="R99"/>
      <c r="S99"/>
      <c r="T99"/>
      <c r="U99"/>
      <c r="V99"/>
      <c r="W99"/>
    </row>
    <row r="100" spans="1:23" ht="20">
      <c r="A100"/>
      <c r="B100"/>
      <c r="C100"/>
      <c r="D100"/>
      <c r="E100"/>
      <c r="F100"/>
      <c r="G100"/>
      <c r="H100"/>
      <c r="I100"/>
      <c r="J100"/>
      <c r="K100"/>
      <c r="L100"/>
      <c r="M100"/>
      <c r="N100"/>
      <c r="O100"/>
      <c r="P100"/>
      <c r="Q100"/>
      <c r="R100"/>
      <c r="S100"/>
      <c r="T100"/>
      <c r="U100"/>
      <c r="V100"/>
      <c r="W100"/>
    </row>
    <row r="101" spans="1:23" ht="20">
      <c r="A101"/>
      <c r="B101"/>
      <c r="C101"/>
      <c r="D101"/>
      <c r="E101"/>
      <c r="F101"/>
      <c r="G101"/>
      <c r="H101"/>
      <c r="I101"/>
      <c r="J101"/>
      <c r="K101"/>
      <c r="L101"/>
      <c r="M101"/>
      <c r="N101"/>
      <c r="O101"/>
      <c r="P101"/>
      <c r="Q101"/>
      <c r="R101"/>
      <c r="S101"/>
      <c r="T101"/>
      <c r="U101"/>
      <c r="V101"/>
      <c r="W101"/>
    </row>
    <row r="102" spans="1:23" ht="20">
      <c r="A102"/>
      <c r="B102"/>
      <c r="C102"/>
      <c r="D102"/>
      <c r="E102"/>
      <c r="F102"/>
      <c r="G102"/>
      <c r="H102"/>
      <c r="I102"/>
      <c r="J102"/>
      <c r="K102"/>
      <c r="L102"/>
      <c r="M102"/>
      <c r="N102"/>
      <c r="O102"/>
      <c r="P102"/>
      <c r="Q102"/>
      <c r="R102"/>
      <c r="S102"/>
      <c r="T102"/>
      <c r="U102"/>
      <c r="V102"/>
      <c r="W102"/>
    </row>
    <row r="103" spans="1:23" ht="20">
      <c r="A103"/>
      <c r="B103"/>
      <c r="C103"/>
      <c r="D103"/>
      <c r="E103"/>
      <c r="F103"/>
      <c r="G103"/>
      <c r="H103"/>
      <c r="I103"/>
      <c r="J103"/>
      <c r="K103"/>
      <c r="L103"/>
      <c r="M103"/>
      <c r="N103"/>
      <c r="O103"/>
      <c r="P103"/>
      <c r="Q103"/>
      <c r="R103"/>
      <c r="S103"/>
      <c r="T103"/>
      <c r="U103"/>
      <c r="V103"/>
      <c r="W103"/>
    </row>
    <row r="104" spans="1:23" ht="20">
      <c r="A104"/>
      <c r="B104"/>
      <c r="C104"/>
      <c r="D104"/>
      <c r="E104"/>
      <c r="F104"/>
      <c r="G104"/>
      <c r="H104"/>
      <c r="I104"/>
      <c r="J104"/>
      <c r="K104"/>
      <c r="L104"/>
      <c r="M104"/>
      <c r="N104"/>
      <c r="O104"/>
      <c r="P104"/>
      <c r="Q104"/>
      <c r="R104"/>
      <c r="S104"/>
      <c r="T104"/>
      <c r="U104"/>
      <c r="V104"/>
      <c r="W104"/>
    </row>
    <row r="105" spans="1:23" ht="20">
      <c r="A105"/>
      <c r="B105"/>
      <c r="C105"/>
      <c r="D105"/>
      <c r="E105"/>
      <c r="F105"/>
      <c r="G105"/>
      <c r="H105"/>
      <c r="I105"/>
      <c r="J105"/>
      <c r="K105"/>
      <c r="L105"/>
      <c r="M105"/>
      <c r="N105"/>
      <c r="O105"/>
      <c r="P105"/>
      <c r="Q105"/>
      <c r="R105"/>
      <c r="S105"/>
      <c r="T105"/>
      <c r="U105"/>
      <c r="V105"/>
      <c r="W105"/>
    </row>
    <row r="106" spans="1:23" ht="20">
      <c r="A106"/>
      <c r="B106"/>
      <c r="C106"/>
      <c r="D106"/>
      <c r="E106"/>
      <c r="F106"/>
      <c r="G106"/>
      <c r="H106"/>
      <c r="I106"/>
      <c r="J106"/>
      <c r="K106"/>
      <c r="L106"/>
      <c r="M106"/>
      <c r="N106"/>
      <c r="O106"/>
      <c r="P106"/>
      <c r="Q106"/>
      <c r="R106"/>
      <c r="S106"/>
      <c r="T106"/>
      <c r="U106"/>
      <c r="V106"/>
      <c r="W106"/>
    </row>
    <row r="107" spans="1:23" ht="20">
      <c r="A107"/>
      <c r="B107"/>
      <c r="C107"/>
      <c r="D107"/>
      <c r="E107"/>
      <c r="F107"/>
      <c r="G107"/>
      <c r="H107"/>
      <c r="I107"/>
      <c r="J107"/>
      <c r="K107"/>
      <c r="L107"/>
      <c r="M107"/>
      <c r="N107"/>
      <c r="O107"/>
      <c r="P107"/>
      <c r="Q107"/>
      <c r="R107"/>
      <c r="S107"/>
      <c r="T107"/>
      <c r="U107"/>
      <c r="V107"/>
      <c r="W107"/>
    </row>
    <row r="108" spans="1:23" ht="20">
      <c r="A108"/>
      <c r="B108"/>
      <c r="C108"/>
      <c r="D108"/>
      <c r="E108"/>
      <c r="F108"/>
      <c r="G108"/>
      <c r="H108"/>
      <c r="I108"/>
      <c r="J108"/>
      <c r="K108"/>
      <c r="L108"/>
      <c r="M108"/>
      <c r="N108"/>
      <c r="O108"/>
      <c r="P108"/>
      <c r="Q108"/>
      <c r="R108"/>
      <c r="S108"/>
      <c r="T108"/>
      <c r="U108"/>
      <c r="V108"/>
      <c r="W108"/>
    </row>
    <row r="109" spans="1:23" ht="20">
      <c r="A109"/>
      <c r="B109"/>
      <c r="C109"/>
      <c r="D109"/>
      <c r="E109"/>
      <c r="F109"/>
      <c r="G109"/>
      <c r="H109"/>
      <c r="I109"/>
      <c r="J109"/>
      <c r="K109"/>
      <c r="L109"/>
      <c r="M109"/>
      <c r="N109"/>
      <c r="O109"/>
      <c r="P109"/>
      <c r="Q109"/>
      <c r="R109"/>
      <c r="S109"/>
      <c r="T109"/>
      <c r="U109"/>
      <c r="V109"/>
      <c r="W109"/>
    </row>
    <row r="110" spans="1:23" ht="20">
      <c r="A110"/>
      <c r="B110"/>
      <c r="C110"/>
      <c r="D110"/>
      <c r="E110"/>
      <c r="F110"/>
      <c r="G110"/>
      <c r="H110"/>
      <c r="I110"/>
      <c r="J110"/>
      <c r="K110"/>
      <c r="L110"/>
      <c r="M110"/>
      <c r="N110"/>
      <c r="O110"/>
      <c r="P110"/>
      <c r="Q110"/>
      <c r="R110"/>
      <c r="S110"/>
      <c r="T110"/>
      <c r="U110"/>
      <c r="V110"/>
      <c r="W110"/>
    </row>
    <row r="111" spans="1:23" ht="20">
      <c r="A111"/>
      <c r="B111"/>
      <c r="C111"/>
      <c r="D111"/>
      <c r="E111"/>
      <c r="F111"/>
      <c r="G111"/>
      <c r="H111"/>
      <c r="I111"/>
      <c r="J111"/>
      <c r="K111"/>
      <c r="L111"/>
      <c r="M111"/>
      <c r="N111"/>
      <c r="O111"/>
      <c r="P111"/>
      <c r="Q111"/>
      <c r="R111"/>
      <c r="S111"/>
      <c r="T111"/>
      <c r="U111"/>
      <c r="V111"/>
      <c r="W111"/>
    </row>
    <row r="112" spans="1:23" ht="20">
      <c r="A112"/>
      <c r="B112"/>
      <c r="C112"/>
      <c r="D112"/>
      <c r="E112"/>
      <c r="F112"/>
      <c r="G112"/>
      <c r="H112"/>
      <c r="I112"/>
      <c r="J112"/>
      <c r="K112"/>
      <c r="L112"/>
      <c r="M112"/>
      <c r="N112"/>
      <c r="O112"/>
      <c r="P112"/>
      <c r="Q112"/>
      <c r="R112"/>
      <c r="S112"/>
      <c r="T112"/>
      <c r="U112"/>
      <c r="V112"/>
      <c r="W112"/>
    </row>
    <row r="113" spans="1:23" ht="20">
      <c r="A113"/>
      <c r="B113"/>
      <c r="C113"/>
      <c r="D113"/>
      <c r="E113"/>
      <c r="F113"/>
      <c r="G113"/>
      <c r="H113"/>
      <c r="I113"/>
      <c r="J113"/>
      <c r="K113"/>
      <c r="L113"/>
      <c r="M113"/>
      <c r="N113"/>
      <c r="O113"/>
      <c r="P113"/>
      <c r="Q113"/>
      <c r="R113"/>
      <c r="S113"/>
      <c r="T113"/>
      <c r="U113"/>
      <c r="V113"/>
      <c r="W113"/>
    </row>
    <row r="114" spans="1:23" ht="20">
      <c r="A114"/>
      <c r="B114"/>
      <c r="C114"/>
      <c r="D114"/>
      <c r="E114"/>
      <c r="F114"/>
      <c r="G114"/>
      <c r="H114"/>
      <c r="I114"/>
      <c r="J114"/>
      <c r="K114"/>
      <c r="L114"/>
      <c r="M114"/>
      <c r="N114"/>
      <c r="O114"/>
      <c r="P114"/>
      <c r="Q114"/>
      <c r="R114"/>
      <c r="S114"/>
      <c r="T114"/>
      <c r="U114"/>
      <c r="V114"/>
      <c r="W114"/>
    </row>
    <row r="115" spans="1:23" ht="20">
      <c r="A115"/>
      <c r="B115"/>
      <c r="C115"/>
      <c r="D115"/>
      <c r="E115"/>
      <c r="F115"/>
      <c r="G115"/>
      <c r="H115"/>
      <c r="I115"/>
      <c r="J115"/>
      <c r="K115"/>
      <c r="L115"/>
      <c r="M115"/>
      <c r="N115"/>
      <c r="O115"/>
      <c r="P115"/>
      <c r="Q115"/>
      <c r="R115"/>
      <c r="S115"/>
      <c r="T115"/>
      <c r="U115"/>
      <c r="V115"/>
      <c r="W115"/>
    </row>
    <row r="116" spans="1:23" ht="20">
      <c r="A116"/>
      <c r="B116"/>
      <c r="C116"/>
      <c r="D116"/>
      <c r="E116"/>
      <c r="F116"/>
      <c r="G116"/>
      <c r="H116"/>
      <c r="I116"/>
      <c r="J116"/>
      <c r="K116"/>
      <c r="L116"/>
      <c r="M116"/>
      <c r="N116"/>
      <c r="O116"/>
      <c r="P116"/>
      <c r="Q116"/>
      <c r="R116"/>
      <c r="S116"/>
      <c r="T116"/>
      <c r="U116"/>
      <c r="V116"/>
      <c r="W116"/>
    </row>
    <row r="117" spans="1:23" ht="20">
      <c r="A117"/>
      <c r="B117"/>
      <c r="C117"/>
      <c r="D117"/>
      <c r="E117"/>
      <c r="F117"/>
      <c r="G117"/>
      <c r="H117"/>
      <c r="I117"/>
      <c r="J117"/>
      <c r="K117"/>
      <c r="L117"/>
      <c r="M117"/>
      <c r="N117"/>
      <c r="O117"/>
      <c r="P117"/>
      <c r="Q117"/>
      <c r="R117"/>
      <c r="S117"/>
      <c r="T117"/>
      <c r="U117"/>
      <c r="V117"/>
      <c r="W117"/>
    </row>
    <row r="118" spans="1:23" ht="20">
      <c r="A118"/>
      <c r="B118"/>
      <c r="C118"/>
      <c r="D118"/>
      <c r="E118"/>
      <c r="F118"/>
      <c r="G118"/>
      <c r="H118"/>
      <c r="I118"/>
      <c r="J118"/>
      <c r="K118"/>
      <c r="L118"/>
      <c r="M118"/>
      <c r="N118"/>
      <c r="O118"/>
      <c r="P118"/>
      <c r="Q118"/>
      <c r="R118"/>
      <c r="S118"/>
      <c r="T118"/>
      <c r="U118"/>
      <c r="V118"/>
      <c r="W118"/>
    </row>
    <row r="119" spans="1:23" ht="20">
      <c r="A119"/>
      <c r="B119"/>
      <c r="C119"/>
      <c r="D119"/>
      <c r="E119"/>
      <c r="F119"/>
      <c r="G119"/>
      <c r="H119"/>
      <c r="I119"/>
      <c r="J119"/>
      <c r="K119"/>
      <c r="L119"/>
      <c r="M119"/>
      <c r="N119"/>
      <c r="O119"/>
      <c r="P119"/>
      <c r="Q119"/>
      <c r="R119"/>
      <c r="S119"/>
      <c r="T119"/>
      <c r="U119"/>
      <c r="V119"/>
      <c r="W119"/>
    </row>
    <row r="120" spans="1:23" ht="20">
      <c r="A120"/>
      <c r="B120"/>
      <c r="C120"/>
      <c r="D120"/>
      <c r="E120"/>
      <c r="F120"/>
      <c r="G120"/>
      <c r="H120"/>
      <c r="I120"/>
      <c r="J120"/>
      <c r="K120"/>
      <c r="L120"/>
      <c r="M120"/>
      <c r="N120"/>
      <c r="O120"/>
      <c r="P120"/>
      <c r="Q120"/>
      <c r="R120"/>
      <c r="S120"/>
      <c r="T120"/>
      <c r="U120"/>
      <c r="V120"/>
      <c r="W120"/>
    </row>
    <row r="121" spans="1:23" ht="20">
      <c r="A121"/>
      <c r="B121"/>
      <c r="C121"/>
      <c r="D121"/>
      <c r="E121"/>
      <c r="F121"/>
      <c r="G121"/>
      <c r="H121"/>
      <c r="I121"/>
      <c r="J121"/>
      <c r="K121"/>
      <c r="L121"/>
      <c r="M121"/>
      <c r="N121"/>
      <c r="O121"/>
      <c r="P121"/>
      <c r="Q121"/>
      <c r="R121"/>
      <c r="S121"/>
      <c r="T121"/>
      <c r="U121"/>
      <c r="V121"/>
      <c r="W121"/>
    </row>
    <row r="122" spans="1:23" ht="20">
      <c r="A122"/>
      <c r="B122"/>
      <c r="C122"/>
      <c r="D122"/>
      <c r="E122"/>
      <c r="F122"/>
      <c r="G122"/>
      <c r="H122"/>
      <c r="I122"/>
      <c r="J122"/>
      <c r="K122"/>
      <c r="L122"/>
      <c r="M122"/>
      <c r="N122"/>
      <c r="O122"/>
      <c r="P122"/>
      <c r="Q122"/>
      <c r="R122"/>
      <c r="S122"/>
      <c r="T122"/>
      <c r="U122"/>
      <c r="V122"/>
      <c r="W122"/>
    </row>
    <row r="123" spans="1:23" ht="20">
      <c r="A123"/>
      <c r="B123"/>
      <c r="C123"/>
      <c r="D123"/>
      <c r="E123"/>
      <c r="F123"/>
      <c r="G123"/>
      <c r="H123"/>
      <c r="I123"/>
      <c r="J123"/>
      <c r="K123"/>
      <c r="L123"/>
      <c r="M123"/>
      <c r="N123"/>
      <c r="O123"/>
      <c r="P123"/>
      <c r="Q123"/>
      <c r="R123"/>
      <c r="S123"/>
      <c r="T123"/>
      <c r="U123"/>
      <c r="V123"/>
      <c r="W123"/>
    </row>
    <row r="124" spans="1:23" ht="20">
      <c r="A124"/>
      <c r="B124"/>
      <c r="C124"/>
      <c r="D124"/>
      <c r="E124"/>
      <c r="F124"/>
      <c r="G124"/>
      <c r="H124"/>
      <c r="I124"/>
      <c r="J124"/>
      <c r="K124"/>
      <c r="L124"/>
      <c r="M124"/>
      <c r="N124"/>
      <c r="O124"/>
      <c r="P124"/>
      <c r="Q124"/>
      <c r="R124"/>
      <c r="S124"/>
      <c r="T124"/>
      <c r="U124"/>
      <c r="V124"/>
      <c r="W124"/>
    </row>
    <row r="125" spans="1:23" ht="20">
      <c r="A125"/>
      <c r="B125"/>
      <c r="C125"/>
      <c r="D125"/>
      <c r="E125"/>
      <c r="F125"/>
      <c r="G125"/>
      <c r="H125"/>
      <c r="I125"/>
      <c r="J125"/>
      <c r="K125"/>
      <c r="L125"/>
      <c r="M125"/>
      <c r="N125"/>
      <c r="O125"/>
      <c r="P125"/>
      <c r="Q125"/>
      <c r="R125"/>
      <c r="S125"/>
      <c r="T125"/>
      <c r="U125"/>
      <c r="V125"/>
      <c r="W125"/>
    </row>
    <row r="126" spans="1:23" ht="20">
      <c r="A126"/>
      <c r="B126"/>
      <c r="C126"/>
      <c r="D126"/>
      <c r="E126"/>
      <c r="F126"/>
      <c r="G126"/>
      <c r="H126"/>
      <c r="I126"/>
      <c r="J126"/>
      <c r="K126"/>
      <c r="L126"/>
      <c r="M126"/>
      <c r="N126"/>
      <c r="O126"/>
      <c r="P126"/>
      <c r="Q126"/>
      <c r="R126"/>
      <c r="S126"/>
      <c r="T126"/>
      <c r="U126"/>
      <c r="V126"/>
      <c r="W126"/>
    </row>
    <row r="127" spans="1:23" ht="20">
      <c r="A127"/>
      <c r="B127"/>
      <c r="C127"/>
      <c r="D127"/>
      <c r="E127"/>
      <c r="F127"/>
      <c r="G127"/>
      <c r="H127"/>
      <c r="I127"/>
      <c r="J127"/>
      <c r="K127"/>
      <c r="L127"/>
      <c r="M127"/>
      <c r="N127"/>
      <c r="O127"/>
      <c r="P127"/>
      <c r="Q127"/>
      <c r="R127"/>
      <c r="S127"/>
      <c r="T127"/>
      <c r="U127"/>
      <c r="V127"/>
      <c r="W127"/>
    </row>
    <row r="128" spans="1:23" ht="20">
      <c r="A128"/>
      <c r="B128"/>
      <c r="C128"/>
      <c r="D128"/>
      <c r="E128"/>
      <c r="F128"/>
      <c r="G128"/>
      <c r="H128"/>
      <c r="I128"/>
      <c r="J128"/>
      <c r="K128"/>
      <c r="L128"/>
      <c r="M128"/>
      <c r="N128"/>
      <c r="O128"/>
      <c r="P128"/>
      <c r="Q128"/>
      <c r="R128"/>
      <c r="S128"/>
      <c r="T128"/>
      <c r="U128"/>
      <c r="V128"/>
      <c r="W128"/>
    </row>
    <row r="129" spans="1:23" ht="20">
      <c r="A129"/>
      <c r="B129"/>
      <c r="C129"/>
      <c r="D129"/>
      <c r="E129"/>
      <c r="F129"/>
      <c r="G129"/>
      <c r="H129"/>
      <c r="I129"/>
      <c r="J129"/>
      <c r="K129"/>
      <c r="L129"/>
      <c r="M129"/>
      <c r="N129"/>
      <c r="O129"/>
      <c r="P129"/>
      <c r="Q129"/>
      <c r="R129"/>
      <c r="S129"/>
      <c r="T129"/>
      <c r="U129"/>
      <c r="V129"/>
      <c r="W129"/>
    </row>
    <row r="130" spans="1:23" ht="20">
      <c r="A130"/>
      <c r="B130"/>
      <c r="C130"/>
      <c r="D130"/>
      <c r="E130"/>
      <c r="F130"/>
      <c r="G130"/>
      <c r="H130"/>
      <c r="I130"/>
      <c r="J130"/>
      <c r="K130"/>
      <c r="L130"/>
      <c r="M130"/>
      <c r="N130"/>
      <c r="O130"/>
      <c r="P130"/>
      <c r="Q130"/>
      <c r="R130"/>
      <c r="S130"/>
      <c r="T130"/>
      <c r="U130"/>
      <c r="V130"/>
      <c r="W130"/>
    </row>
    <row r="131" spans="1:23" ht="20">
      <c r="A131"/>
      <c r="B131"/>
      <c r="C131"/>
      <c r="D131"/>
      <c r="E131"/>
      <c r="F131"/>
      <c r="G131"/>
      <c r="H131"/>
      <c r="I131"/>
      <c r="J131"/>
      <c r="K131"/>
      <c r="L131"/>
      <c r="M131"/>
      <c r="N131"/>
      <c r="O131"/>
      <c r="P131"/>
      <c r="Q131"/>
      <c r="R131"/>
      <c r="S131"/>
      <c r="T131"/>
      <c r="U131"/>
      <c r="V131"/>
      <c r="W131"/>
    </row>
    <row r="132" spans="1:23" ht="20">
      <c r="A132"/>
      <c r="B132"/>
      <c r="C132"/>
      <c r="D132"/>
      <c r="E132"/>
      <c r="F132"/>
      <c r="G132"/>
      <c r="H132"/>
      <c r="I132"/>
      <c r="J132"/>
      <c r="K132"/>
      <c r="L132"/>
      <c r="M132"/>
      <c r="N132"/>
      <c r="O132"/>
      <c r="P132"/>
      <c r="Q132"/>
      <c r="R132"/>
      <c r="S132"/>
      <c r="T132"/>
      <c r="U132"/>
      <c r="V132"/>
      <c r="W132"/>
    </row>
    <row r="133" spans="1:23" ht="20">
      <c r="A133"/>
      <c r="B133"/>
      <c r="C133"/>
      <c r="D133"/>
      <c r="E133"/>
      <c r="F133"/>
      <c r="G133"/>
      <c r="H133"/>
      <c r="I133"/>
      <c r="J133"/>
      <c r="K133"/>
      <c r="L133"/>
      <c r="M133"/>
      <c r="N133"/>
      <c r="O133"/>
      <c r="P133"/>
      <c r="Q133"/>
      <c r="R133"/>
      <c r="S133"/>
      <c r="T133"/>
      <c r="U133"/>
      <c r="V133"/>
      <c r="W133"/>
    </row>
    <row r="134" spans="1:23" ht="20">
      <c r="A134"/>
      <c r="B134"/>
      <c r="C134"/>
      <c r="D134"/>
      <c r="E134"/>
      <c r="F134"/>
      <c r="G134"/>
      <c r="H134"/>
      <c r="I134"/>
      <c r="J134"/>
      <c r="K134"/>
      <c r="L134"/>
      <c r="M134"/>
      <c r="N134"/>
      <c r="O134"/>
      <c r="P134"/>
      <c r="Q134"/>
      <c r="R134"/>
      <c r="S134"/>
      <c r="T134"/>
      <c r="U134"/>
      <c r="V134"/>
      <c r="W134"/>
    </row>
    <row r="135" spans="1:23" ht="20">
      <c r="A135"/>
      <c r="B135"/>
      <c r="C135"/>
      <c r="D135"/>
      <c r="E135"/>
      <c r="F135"/>
      <c r="G135"/>
      <c r="H135"/>
      <c r="I135"/>
      <c r="J135"/>
      <c r="K135"/>
      <c r="L135"/>
      <c r="M135"/>
      <c r="N135"/>
      <c r="O135"/>
      <c r="P135"/>
      <c r="Q135"/>
      <c r="R135"/>
      <c r="S135"/>
      <c r="T135"/>
      <c r="U135"/>
      <c r="V135"/>
      <c r="W135"/>
    </row>
    <row r="136" spans="1:23" ht="20">
      <c r="A136"/>
      <c r="B136"/>
      <c r="C136"/>
      <c r="D136"/>
      <c r="E136"/>
      <c r="F136"/>
      <c r="G136"/>
      <c r="H136"/>
      <c r="I136"/>
      <c r="J136"/>
      <c r="K136"/>
      <c r="L136"/>
      <c r="M136"/>
      <c r="N136"/>
      <c r="O136"/>
      <c r="P136"/>
      <c r="Q136"/>
      <c r="R136"/>
      <c r="S136"/>
      <c r="T136"/>
      <c r="U136"/>
      <c r="V136"/>
      <c r="W136"/>
    </row>
    <row r="137" spans="1:23" ht="20">
      <c r="A137"/>
      <c r="B137"/>
      <c r="C137"/>
      <c r="D137"/>
      <c r="E137"/>
      <c r="F137"/>
      <c r="G137"/>
      <c r="H137"/>
      <c r="I137"/>
      <c r="J137"/>
      <c r="K137"/>
      <c r="L137"/>
      <c r="M137"/>
      <c r="N137"/>
      <c r="O137"/>
      <c r="P137"/>
      <c r="Q137"/>
      <c r="R137"/>
      <c r="S137"/>
      <c r="T137"/>
      <c r="U137"/>
      <c r="V137"/>
      <c r="W137"/>
    </row>
    <row r="138" spans="1:23" ht="20">
      <c r="A138"/>
      <c r="B138"/>
      <c r="C138"/>
      <c r="D138"/>
      <c r="E138"/>
      <c r="F138"/>
      <c r="G138"/>
      <c r="H138"/>
      <c r="I138"/>
      <c r="J138"/>
      <c r="K138"/>
      <c r="L138"/>
      <c r="M138"/>
      <c r="N138"/>
      <c r="O138"/>
      <c r="P138"/>
      <c r="Q138"/>
      <c r="R138"/>
      <c r="S138"/>
      <c r="T138"/>
      <c r="U138"/>
      <c r="V138"/>
      <c r="W138"/>
    </row>
    <row r="139" spans="1:23" ht="20">
      <c r="A139"/>
      <c r="B139"/>
      <c r="C139"/>
      <c r="D139"/>
      <c r="E139"/>
      <c r="F139"/>
      <c r="G139"/>
      <c r="H139"/>
      <c r="I139"/>
      <c r="J139"/>
      <c r="K139"/>
      <c r="L139"/>
      <c r="M139"/>
      <c r="N139"/>
      <c r="O139"/>
      <c r="P139"/>
      <c r="Q139"/>
      <c r="R139"/>
      <c r="S139"/>
      <c r="T139"/>
      <c r="U139"/>
      <c r="V139"/>
      <c r="W139"/>
    </row>
    <row r="140" spans="1:23" ht="20">
      <c r="A140"/>
      <c r="B140"/>
      <c r="C140"/>
      <c r="D140"/>
      <c r="E140"/>
      <c r="F140"/>
      <c r="G140"/>
      <c r="H140"/>
      <c r="I140"/>
      <c r="J140"/>
      <c r="K140"/>
      <c r="L140"/>
      <c r="M140"/>
      <c r="N140"/>
      <c r="O140"/>
      <c r="P140"/>
      <c r="Q140"/>
      <c r="R140"/>
      <c r="S140"/>
      <c r="T140"/>
      <c r="U140"/>
      <c r="V140"/>
      <c r="W140"/>
    </row>
    <row r="141" spans="1:23" ht="20">
      <c r="A141"/>
      <c r="B141"/>
      <c r="C141"/>
      <c r="D141"/>
      <c r="E141"/>
      <c r="F141"/>
      <c r="G141"/>
      <c r="H141"/>
      <c r="I141"/>
      <c r="J141"/>
      <c r="K141"/>
      <c r="L141"/>
      <c r="M141"/>
      <c r="N141"/>
      <c r="O141"/>
      <c r="P141"/>
      <c r="Q141"/>
      <c r="R141"/>
      <c r="S141"/>
      <c r="T141"/>
      <c r="U141"/>
      <c r="V141"/>
      <c r="W141"/>
    </row>
    <row r="142" spans="1:23" ht="20">
      <c r="A142"/>
      <c r="B142"/>
      <c r="C142"/>
      <c r="D142"/>
      <c r="E142"/>
      <c r="F142"/>
      <c r="G142"/>
      <c r="H142"/>
      <c r="I142"/>
      <c r="J142"/>
      <c r="K142"/>
      <c r="L142"/>
      <c r="M142"/>
      <c r="N142"/>
      <c r="O142"/>
      <c r="P142"/>
      <c r="Q142"/>
      <c r="R142"/>
      <c r="S142"/>
      <c r="T142"/>
      <c r="U142"/>
      <c r="V142"/>
      <c r="W142"/>
    </row>
    <row r="143" spans="1:23" ht="20">
      <c r="A143"/>
      <c r="B143"/>
      <c r="C143"/>
      <c r="D143"/>
      <c r="E143"/>
      <c r="F143"/>
      <c r="G143"/>
      <c r="H143"/>
      <c r="I143"/>
      <c r="J143"/>
      <c r="K143"/>
      <c r="L143"/>
      <c r="M143"/>
      <c r="N143"/>
      <c r="O143"/>
      <c r="P143"/>
      <c r="Q143"/>
      <c r="R143"/>
      <c r="S143"/>
      <c r="T143"/>
      <c r="U143"/>
      <c r="V143"/>
      <c r="W143"/>
    </row>
    <row r="144" spans="1:23" ht="20">
      <c r="A144"/>
      <c r="B144"/>
      <c r="C144"/>
      <c r="D144"/>
      <c r="E144"/>
      <c r="F144"/>
      <c r="G144"/>
      <c r="H144"/>
      <c r="I144"/>
      <c r="J144"/>
      <c r="K144"/>
      <c r="L144"/>
      <c r="M144"/>
      <c r="N144"/>
      <c r="O144"/>
      <c r="P144"/>
      <c r="Q144"/>
      <c r="R144"/>
      <c r="S144"/>
      <c r="T144"/>
      <c r="U144"/>
      <c r="V144"/>
      <c r="W144"/>
    </row>
    <row r="145" spans="1:23" ht="20">
      <c r="A145"/>
      <c r="B145"/>
      <c r="C145"/>
      <c r="D145"/>
      <c r="E145"/>
      <c r="F145"/>
      <c r="G145"/>
      <c r="H145"/>
      <c r="I145"/>
      <c r="J145"/>
      <c r="K145"/>
      <c r="L145"/>
      <c r="M145"/>
      <c r="N145"/>
      <c r="O145"/>
      <c r="P145"/>
      <c r="Q145"/>
      <c r="R145"/>
      <c r="S145"/>
      <c r="T145"/>
      <c r="U145"/>
      <c r="V145"/>
      <c r="W145"/>
    </row>
    <row r="146" spans="1:23" ht="20">
      <c r="A146"/>
      <c r="B146"/>
      <c r="C146"/>
      <c r="D146"/>
      <c r="E146"/>
      <c r="F146"/>
      <c r="G146"/>
      <c r="H146"/>
      <c r="I146"/>
      <c r="J146"/>
      <c r="K146"/>
      <c r="L146"/>
      <c r="M146"/>
      <c r="N146"/>
      <c r="O146"/>
      <c r="P146"/>
      <c r="Q146"/>
      <c r="R146"/>
      <c r="S146"/>
      <c r="T146"/>
      <c r="U146"/>
      <c r="V146"/>
      <c r="W146"/>
    </row>
    <row r="147" spans="1:23" ht="20">
      <c r="A147"/>
      <c r="B147"/>
      <c r="C147"/>
      <c r="D147"/>
      <c r="E147"/>
      <c r="F147"/>
      <c r="G147"/>
      <c r="H147"/>
      <c r="I147"/>
      <c r="J147"/>
      <c r="K147"/>
      <c r="L147"/>
      <c r="M147"/>
      <c r="N147"/>
      <c r="O147"/>
      <c r="P147"/>
      <c r="Q147"/>
      <c r="R147"/>
      <c r="S147"/>
      <c r="T147"/>
      <c r="U147"/>
      <c r="V147"/>
      <c r="W147"/>
    </row>
    <row r="148" spans="1:23" ht="20">
      <c r="A148"/>
      <c r="B148"/>
      <c r="C148"/>
      <c r="D148"/>
      <c r="E148"/>
      <c r="F148"/>
      <c r="G148"/>
      <c r="H148"/>
      <c r="I148"/>
      <c r="J148"/>
      <c r="K148"/>
      <c r="L148"/>
      <c r="M148"/>
      <c r="N148"/>
      <c r="O148"/>
      <c r="P148"/>
      <c r="Q148"/>
      <c r="R148"/>
      <c r="S148"/>
      <c r="T148"/>
      <c r="U148"/>
      <c r="V148"/>
      <c r="W148"/>
    </row>
    <row r="149" spans="1:23" ht="20">
      <c r="A149"/>
      <c r="B149"/>
      <c r="C149"/>
      <c r="D149"/>
      <c r="E149"/>
      <c r="F149"/>
      <c r="G149"/>
      <c r="H149"/>
      <c r="I149"/>
      <c r="J149"/>
      <c r="K149"/>
      <c r="L149"/>
      <c r="M149"/>
      <c r="N149"/>
      <c r="O149"/>
      <c r="P149"/>
      <c r="Q149"/>
      <c r="R149"/>
      <c r="S149"/>
      <c r="T149"/>
      <c r="U149"/>
      <c r="V149"/>
      <c r="W149"/>
    </row>
    <row r="150" spans="1:23" ht="20">
      <c r="A150"/>
      <c r="B150"/>
      <c r="C150"/>
      <c r="D150"/>
      <c r="E150"/>
      <c r="F150"/>
      <c r="G150"/>
      <c r="H150"/>
      <c r="I150"/>
      <c r="J150"/>
      <c r="K150"/>
      <c r="L150"/>
      <c r="M150"/>
      <c r="N150"/>
      <c r="O150"/>
      <c r="P150"/>
      <c r="Q150"/>
      <c r="R150"/>
      <c r="S150"/>
      <c r="T150"/>
      <c r="U150"/>
      <c r="V150"/>
      <c r="W150"/>
    </row>
    <row r="151" spans="1:23" ht="20">
      <c r="A151"/>
      <c r="B151"/>
      <c r="C151"/>
      <c r="D151"/>
      <c r="E151"/>
      <c r="F151"/>
      <c r="G151"/>
      <c r="H151"/>
      <c r="I151"/>
      <c r="J151"/>
      <c r="K151"/>
      <c r="L151"/>
      <c r="M151"/>
      <c r="N151"/>
      <c r="O151"/>
      <c r="P151"/>
      <c r="Q151"/>
      <c r="R151"/>
      <c r="S151"/>
      <c r="T151"/>
      <c r="U151"/>
      <c r="V151"/>
      <c r="W151"/>
    </row>
    <row r="152" spans="1:23" ht="20">
      <c r="A152"/>
      <c r="B152"/>
      <c r="C152"/>
      <c r="D152"/>
      <c r="E152"/>
      <c r="F152"/>
      <c r="G152"/>
      <c r="H152"/>
      <c r="I152"/>
      <c r="J152"/>
      <c r="K152"/>
      <c r="L152"/>
      <c r="M152"/>
      <c r="N152"/>
      <c r="O152"/>
      <c r="P152"/>
      <c r="Q152"/>
      <c r="R152"/>
      <c r="S152"/>
      <c r="T152"/>
      <c r="U152"/>
      <c r="V152"/>
      <c r="W152"/>
    </row>
    <row r="153" spans="1:23" ht="20">
      <c r="A153"/>
      <c r="B153"/>
      <c r="C153"/>
      <c r="D153"/>
      <c r="E153"/>
      <c r="F153"/>
      <c r="G153"/>
      <c r="H153"/>
      <c r="I153"/>
      <c r="J153"/>
      <c r="K153"/>
      <c r="L153"/>
      <c r="M153"/>
      <c r="N153"/>
      <c r="O153"/>
      <c r="P153"/>
      <c r="Q153"/>
      <c r="R153"/>
      <c r="S153"/>
      <c r="T153"/>
      <c r="U153"/>
      <c r="V153"/>
      <c r="W153"/>
    </row>
    <row r="154" spans="1:23" ht="20">
      <c r="A154"/>
      <c r="B154"/>
      <c r="C154"/>
      <c r="D154"/>
      <c r="E154"/>
      <c r="F154"/>
      <c r="G154"/>
      <c r="H154"/>
      <c r="I154"/>
      <c r="J154"/>
      <c r="K154"/>
      <c r="L154"/>
      <c r="M154"/>
      <c r="N154"/>
      <c r="O154"/>
      <c r="P154"/>
      <c r="Q154"/>
      <c r="R154"/>
      <c r="S154"/>
      <c r="T154"/>
      <c r="U154"/>
      <c r="V154"/>
      <c r="W154"/>
    </row>
    <row r="155" spans="1:23" ht="20">
      <c r="A155"/>
      <c r="B155"/>
      <c r="C155"/>
      <c r="D155"/>
      <c r="E155"/>
      <c r="F155"/>
      <c r="G155"/>
      <c r="H155"/>
      <c r="I155"/>
      <c r="J155"/>
      <c r="K155"/>
      <c r="L155"/>
      <c r="M155"/>
      <c r="N155"/>
      <c r="O155"/>
      <c r="P155"/>
      <c r="Q155"/>
      <c r="R155"/>
      <c r="S155"/>
      <c r="T155"/>
      <c r="U155"/>
      <c r="V155"/>
      <c r="W155"/>
    </row>
    <row r="156" spans="1:23" ht="20">
      <c r="A156"/>
      <c r="B156"/>
      <c r="C156"/>
      <c r="D156"/>
      <c r="E156"/>
      <c r="F156"/>
      <c r="G156"/>
      <c r="H156"/>
      <c r="I156"/>
      <c r="J156"/>
      <c r="K156"/>
      <c r="L156"/>
      <c r="M156"/>
      <c r="N156"/>
      <c r="O156"/>
      <c r="P156"/>
      <c r="Q156"/>
      <c r="R156"/>
      <c r="S156"/>
      <c r="T156"/>
      <c r="U156"/>
      <c r="V156"/>
      <c r="W156"/>
    </row>
    <row r="157" spans="1:23" ht="20">
      <c r="A157"/>
      <c r="B157"/>
      <c r="C157"/>
      <c r="D157"/>
      <c r="E157"/>
      <c r="F157"/>
      <c r="G157"/>
      <c r="H157"/>
      <c r="I157"/>
      <c r="J157"/>
      <c r="K157"/>
      <c r="L157"/>
      <c r="M157"/>
      <c r="N157"/>
      <c r="O157"/>
      <c r="P157"/>
      <c r="Q157"/>
      <c r="R157"/>
      <c r="S157"/>
      <c r="T157"/>
      <c r="U157"/>
      <c r="V157"/>
      <c r="W157"/>
    </row>
    <row r="158" spans="1:23" ht="20">
      <c r="A158"/>
      <c r="B158"/>
      <c r="C158"/>
      <c r="D158"/>
      <c r="E158"/>
      <c r="F158"/>
      <c r="G158"/>
      <c r="H158"/>
      <c r="I158"/>
      <c r="J158"/>
      <c r="K158"/>
      <c r="L158"/>
      <c r="M158"/>
      <c r="N158"/>
      <c r="O158"/>
      <c r="P158"/>
      <c r="Q158"/>
      <c r="R158"/>
      <c r="S158"/>
      <c r="T158"/>
      <c r="U158"/>
      <c r="V158"/>
      <c r="W158"/>
    </row>
    <row r="159" spans="1:23" ht="20">
      <c r="A159"/>
      <c r="B159"/>
      <c r="C159"/>
      <c r="D159"/>
      <c r="E159"/>
      <c r="F159"/>
      <c r="G159"/>
      <c r="H159"/>
      <c r="I159"/>
      <c r="J159"/>
      <c r="K159"/>
      <c r="L159"/>
      <c r="M159"/>
      <c r="N159"/>
      <c r="O159"/>
      <c r="P159"/>
      <c r="Q159"/>
      <c r="R159"/>
      <c r="S159"/>
      <c r="T159"/>
      <c r="U159"/>
      <c r="V159"/>
      <c r="W159"/>
    </row>
    <row r="160" spans="1:23" ht="20">
      <c r="A160"/>
      <c r="B160"/>
      <c r="C160"/>
      <c r="D160"/>
      <c r="E160"/>
      <c r="F160"/>
      <c r="G160"/>
      <c r="H160"/>
      <c r="I160"/>
      <c r="J160"/>
      <c r="K160"/>
      <c r="L160"/>
      <c r="M160"/>
      <c r="N160"/>
      <c r="O160"/>
      <c r="P160"/>
      <c r="Q160"/>
      <c r="R160"/>
      <c r="S160"/>
      <c r="T160"/>
      <c r="U160"/>
      <c r="V160"/>
      <c r="W160"/>
    </row>
    <row r="161" spans="1:23" ht="20">
      <c r="A161"/>
      <c r="B161"/>
      <c r="C161"/>
      <c r="D161"/>
      <c r="E161"/>
      <c r="F161"/>
      <c r="G161"/>
      <c r="H161"/>
      <c r="I161"/>
      <c r="J161"/>
      <c r="K161"/>
      <c r="L161"/>
      <c r="M161"/>
      <c r="N161"/>
      <c r="O161"/>
      <c r="P161"/>
      <c r="Q161"/>
      <c r="R161"/>
      <c r="S161"/>
      <c r="T161"/>
      <c r="U161"/>
      <c r="V161"/>
      <c r="W161"/>
    </row>
    <row r="162" spans="1:23" ht="20">
      <c r="A162"/>
      <c r="B162"/>
      <c r="C162"/>
      <c r="D162"/>
      <c r="E162"/>
      <c r="F162"/>
      <c r="G162"/>
      <c r="H162"/>
      <c r="I162"/>
      <c r="J162"/>
      <c r="K162"/>
      <c r="L162"/>
      <c r="M162"/>
      <c r="N162"/>
      <c r="O162"/>
      <c r="P162"/>
      <c r="Q162"/>
      <c r="R162"/>
      <c r="S162"/>
      <c r="T162"/>
      <c r="U162"/>
      <c r="V162"/>
      <c r="W162"/>
    </row>
    <row r="163" spans="1:23" ht="20">
      <c r="A163"/>
      <c r="B163"/>
      <c r="C163"/>
      <c r="D163"/>
      <c r="E163"/>
      <c r="F163"/>
      <c r="G163"/>
      <c r="H163"/>
      <c r="I163"/>
      <c r="J163"/>
      <c r="K163"/>
      <c r="L163"/>
      <c r="M163"/>
      <c r="N163"/>
      <c r="O163"/>
      <c r="P163"/>
      <c r="Q163"/>
      <c r="R163"/>
      <c r="S163"/>
      <c r="T163"/>
      <c r="U163"/>
      <c r="V163"/>
      <c r="W163"/>
    </row>
    <row r="164" spans="1:23" ht="20">
      <c r="A164"/>
      <c r="B164"/>
      <c r="C164"/>
      <c r="D164"/>
      <c r="E164"/>
      <c r="F164"/>
      <c r="G164"/>
      <c r="H164"/>
      <c r="I164"/>
      <c r="J164"/>
      <c r="K164"/>
      <c r="L164"/>
      <c r="M164"/>
      <c r="N164"/>
      <c r="O164"/>
      <c r="P164"/>
      <c r="Q164"/>
      <c r="R164"/>
      <c r="S164"/>
      <c r="T164"/>
      <c r="U164"/>
      <c r="V164"/>
      <c r="W164"/>
    </row>
    <row r="165" spans="1:23" ht="20">
      <c r="A165"/>
      <c r="B165"/>
      <c r="C165"/>
      <c r="D165"/>
      <c r="E165"/>
      <c r="F165"/>
      <c r="G165"/>
      <c r="H165"/>
      <c r="I165"/>
      <c r="J165"/>
      <c r="K165"/>
      <c r="L165"/>
      <c r="M165"/>
      <c r="N165"/>
      <c r="O165"/>
      <c r="P165"/>
      <c r="Q165"/>
      <c r="R165"/>
      <c r="S165"/>
      <c r="T165"/>
      <c r="U165"/>
      <c r="V165"/>
      <c r="W165"/>
    </row>
    <row r="166" spans="1:23" ht="20">
      <c r="A166"/>
      <c r="B166"/>
      <c r="C166"/>
      <c r="D166"/>
      <c r="E166"/>
      <c r="F166"/>
      <c r="G166"/>
      <c r="H166"/>
      <c r="I166"/>
      <c r="J166"/>
      <c r="K166"/>
      <c r="L166"/>
      <c r="M166"/>
      <c r="N166"/>
      <c r="O166"/>
      <c r="P166"/>
      <c r="Q166"/>
      <c r="R166"/>
      <c r="S166"/>
      <c r="T166"/>
      <c r="U166"/>
      <c r="V166"/>
      <c r="W166"/>
    </row>
    <row r="167" spans="1:23" ht="20">
      <c r="A167"/>
      <c r="B167"/>
      <c r="C167"/>
      <c r="D167"/>
      <c r="E167"/>
      <c r="F167"/>
      <c r="G167"/>
      <c r="H167"/>
      <c r="I167"/>
      <c r="J167"/>
      <c r="K167"/>
      <c r="L167"/>
      <c r="M167"/>
      <c r="N167"/>
      <c r="O167"/>
      <c r="P167"/>
      <c r="Q167"/>
      <c r="R167"/>
      <c r="S167"/>
      <c r="T167"/>
      <c r="U167"/>
      <c r="V167"/>
      <c r="W167"/>
    </row>
    <row r="168" spans="1:23" ht="20">
      <c r="A168"/>
      <c r="B168"/>
      <c r="C168"/>
      <c r="D168"/>
      <c r="E168"/>
      <c r="F168"/>
      <c r="G168"/>
      <c r="H168"/>
      <c r="I168"/>
      <c r="J168"/>
      <c r="K168"/>
      <c r="L168"/>
      <c r="M168"/>
      <c r="N168"/>
      <c r="O168"/>
      <c r="P168"/>
      <c r="Q168"/>
      <c r="R168"/>
      <c r="S168"/>
      <c r="T168"/>
      <c r="U168"/>
      <c r="V168"/>
      <c r="W168"/>
    </row>
    <row r="169" spans="1:23" ht="20">
      <c r="A169"/>
      <c r="B169"/>
      <c r="C169"/>
      <c r="D169"/>
      <c r="E169"/>
      <c r="F169"/>
      <c r="G169"/>
      <c r="H169"/>
      <c r="I169"/>
      <c r="J169"/>
      <c r="K169"/>
      <c r="L169"/>
      <c r="M169"/>
      <c r="N169"/>
      <c r="O169"/>
      <c r="P169"/>
      <c r="Q169"/>
      <c r="R169"/>
      <c r="S169"/>
      <c r="T169"/>
      <c r="U169"/>
      <c r="V169"/>
      <c r="W169"/>
    </row>
    <row r="170" spans="1:23" ht="20">
      <c r="A170"/>
      <c r="B170"/>
      <c r="C170"/>
      <c r="D170"/>
      <c r="E170"/>
      <c r="F170"/>
      <c r="G170"/>
      <c r="H170"/>
      <c r="I170"/>
      <c r="J170"/>
      <c r="K170"/>
      <c r="L170"/>
      <c r="M170"/>
      <c r="N170"/>
      <c r="O170"/>
      <c r="P170"/>
      <c r="Q170"/>
      <c r="R170"/>
      <c r="S170"/>
      <c r="T170"/>
      <c r="U170"/>
      <c r="V170"/>
      <c r="W170"/>
    </row>
    <row r="171" spans="1:23" ht="20">
      <c r="A171"/>
      <c r="B171"/>
      <c r="C171"/>
      <c r="D171"/>
      <c r="E171"/>
      <c r="F171"/>
      <c r="G171"/>
      <c r="H171"/>
      <c r="I171"/>
      <c r="J171"/>
      <c r="K171"/>
      <c r="L171"/>
      <c r="M171"/>
      <c r="N171"/>
      <c r="O171"/>
      <c r="P171"/>
      <c r="Q171"/>
      <c r="R171"/>
      <c r="S171"/>
      <c r="T171"/>
      <c r="U171"/>
      <c r="V171"/>
      <c r="W171"/>
    </row>
    <row r="172" spans="1:23" ht="20">
      <c r="A172"/>
      <c r="B172"/>
      <c r="C172"/>
      <c r="D172"/>
      <c r="E172"/>
      <c r="F172"/>
      <c r="G172"/>
      <c r="H172"/>
      <c r="I172"/>
      <c r="J172"/>
      <c r="K172"/>
      <c r="L172"/>
      <c r="M172"/>
      <c r="N172"/>
      <c r="O172"/>
      <c r="P172"/>
      <c r="Q172"/>
      <c r="R172"/>
      <c r="S172"/>
      <c r="T172"/>
      <c r="U172"/>
      <c r="V172"/>
      <c r="W172"/>
    </row>
    <row r="173" spans="1:23" ht="20">
      <c r="A173"/>
      <c r="B173"/>
      <c r="C173"/>
      <c r="D173"/>
      <c r="E173"/>
      <c r="F173"/>
      <c r="G173"/>
      <c r="H173"/>
      <c r="I173"/>
      <c r="J173"/>
      <c r="K173"/>
      <c r="L173"/>
      <c r="M173"/>
      <c r="N173"/>
      <c r="O173"/>
      <c r="P173"/>
      <c r="Q173"/>
      <c r="R173"/>
      <c r="S173"/>
      <c r="T173"/>
      <c r="U173"/>
      <c r="V173"/>
      <c r="W173"/>
    </row>
    <row r="174" spans="1:23" ht="20">
      <c r="A174"/>
      <c r="B174"/>
      <c r="C174"/>
      <c r="D174"/>
      <c r="E174"/>
      <c r="F174"/>
      <c r="G174"/>
      <c r="H174"/>
      <c r="I174"/>
      <c r="J174"/>
      <c r="K174"/>
      <c r="L174"/>
      <c r="M174"/>
      <c r="N174"/>
      <c r="O174"/>
      <c r="P174"/>
      <c r="Q174"/>
      <c r="R174"/>
      <c r="S174"/>
      <c r="T174"/>
      <c r="U174"/>
      <c r="V174"/>
      <c r="W174"/>
    </row>
    <row r="175" spans="1:23" ht="20">
      <c r="A175"/>
      <c r="B175"/>
      <c r="C175"/>
      <c r="D175"/>
      <c r="E175"/>
      <c r="F175"/>
      <c r="G175"/>
      <c r="H175"/>
      <c r="I175"/>
      <c r="J175"/>
      <c r="K175"/>
      <c r="L175"/>
      <c r="M175"/>
      <c r="N175"/>
      <c r="O175"/>
      <c r="P175"/>
      <c r="Q175"/>
      <c r="R175"/>
      <c r="S175"/>
      <c r="T175"/>
      <c r="U175"/>
      <c r="V175"/>
      <c r="W175"/>
    </row>
    <row r="176" spans="1:23" ht="20">
      <c r="A176"/>
      <c r="B176"/>
      <c r="C176"/>
      <c r="D176"/>
      <c r="E176"/>
      <c r="F176"/>
      <c r="G176"/>
      <c r="H176"/>
      <c r="I176"/>
      <c r="J176"/>
      <c r="K176"/>
      <c r="L176"/>
      <c r="M176"/>
      <c r="N176"/>
      <c r="O176"/>
      <c r="P176"/>
      <c r="Q176"/>
      <c r="R176"/>
      <c r="S176"/>
      <c r="T176"/>
      <c r="U176"/>
      <c r="V176"/>
      <c r="W176"/>
    </row>
    <row r="177" spans="1:23" ht="20">
      <c r="A177"/>
      <c r="B177"/>
      <c r="C177"/>
      <c r="D177"/>
      <c r="E177"/>
      <c r="F177"/>
      <c r="G177"/>
      <c r="H177"/>
      <c r="I177"/>
      <c r="J177"/>
      <c r="K177"/>
      <c r="L177"/>
      <c r="M177"/>
      <c r="N177"/>
      <c r="O177"/>
      <c r="P177"/>
      <c r="Q177"/>
      <c r="R177"/>
      <c r="S177"/>
      <c r="T177"/>
      <c r="U177"/>
      <c r="V177"/>
      <c r="W177"/>
    </row>
    <row r="178" spans="1:23" ht="20">
      <c r="A178"/>
      <c r="B178"/>
      <c r="C178"/>
      <c r="D178"/>
      <c r="E178"/>
      <c r="F178"/>
      <c r="G178"/>
      <c r="H178"/>
      <c r="I178"/>
      <c r="J178"/>
      <c r="K178"/>
      <c r="L178"/>
      <c r="M178"/>
      <c r="N178"/>
      <c r="O178"/>
      <c r="P178"/>
      <c r="Q178"/>
      <c r="R178"/>
      <c r="S178"/>
      <c r="T178"/>
      <c r="U178"/>
      <c r="V178"/>
      <c r="W178"/>
    </row>
    <row r="179" spans="1:23" ht="20">
      <c r="A179"/>
      <c r="B179"/>
      <c r="C179"/>
      <c r="D179"/>
      <c r="E179"/>
      <c r="F179"/>
      <c r="G179"/>
      <c r="H179"/>
      <c r="I179"/>
      <c r="J179"/>
      <c r="K179"/>
      <c r="L179"/>
      <c r="M179"/>
      <c r="N179"/>
      <c r="O179"/>
      <c r="P179"/>
      <c r="Q179"/>
      <c r="R179"/>
      <c r="S179"/>
      <c r="T179"/>
      <c r="U179"/>
      <c r="V179"/>
      <c r="W179"/>
    </row>
    <row r="180" spans="1:23" ht="20">
      <c r="A180"/>
      <c r="B180"/>
      <c r="C180"/>
      <c r="D180"/>
      <c r="E180"/>
      <c r="F180"/>
      <c r="G180"/>
      <c r="H180"/>
      <c r="I180"/>
      <c r="J180"/>
      <c r="K180"/>
      <c r="L180"/>
      <c r="M180"/>
      <c r="N180"/>
      <c r="O180"/>
      <c r="P180"/>
      <c r="Q180"/>
      <c r="R180"/>
      <c r="S180"/>
      <c r="T180"/>
      <c r="U180"/>
      <c r="V180"/>
      <c r="W180"/>
    </row>
    <row r="181" spans="1:23" ht="20">
      <c r="A181"/>
      <c r="B181"/>
      <c r="C181"/>
      <c r="D181"/>
      <c r="E181"/>
      <c r="F181"/>
      <c r="G181"/>
      <c r="H181"/>
      <c r="I181"/>
      <c r="J181"/>
      <c r="K181"/>
      <c r="L181"/>
      <c r="M181"/>
      <c r="N181"/>
      <c r="O181"/>
      <c r="P181"/>
      <c r="Q181"/>
      <c r="R181"/>
      <c r="S181"/>
      <c r="T181"/>
      <c r="U181"/>
      <c r="V181"/>
      <c r="W181"/>
    </row>
    <row r="182" spans="1:23" ht="20">
      <c r="A182"/>
      <c r="B182"/>
      <c r="C182"/>
      <c r="D182"/>
      <c r="E182"/>
      <c r="F182"/>
      <c r="G182"/>
      <c r="H182"/>
      <c r="I182"/>
      <c r="J182"/>
      <c r="K182"/>
      <c r="L182"/>
      <c r="M182"/>
      <c r="N182"/>
      <c r="O182"/>
      <c r="P182"/>
      <c r="Q182"/>
      <c r="R182"/>
      <c r="S182"/>
      <c r="T182"/>
      <c r="U182"/>
      <c r="V182"/>
      <c r="W182"/>
    </row>
    <row r="183" spans="1:23" ht="20">
      <c r="A183"/>
      <c r="B183"/>
      <c r="C183"/>
      <c r="D183"/>
      <c r="E183"/>
      <c r="F183"/>
      <c r="G183"/>
      <c r="H183"/>
      <c r="I183"/>
      <c r="J183"/>
      <c r="K183"/>
      <c r="L183"/>
      <c r="M183"/>
      <c r="N183"/>
      <c r="O183"/>
      <c r="P183"/>
      <c r="Q183"/>
      <c r="R183"/>
      <c r="S183"/>
      <c r="T183"/>
      <c r="U183"/>
      <c r="V183"/>
      <c r="W183"/>
    </row>
    <row r="184" spans="1:23" ht="20">
      <c r="A184"/>
      <c r="B184"/>
      <c r="C184"/>
      <c r="D184"/>
      <c r="E184"/>
      <c r="F184"/>
      <c r="G184"/>
      <c r="H184"/>
      <c r="I184"/>
      <c r="J184"/>
      <c r="K184"/>
      <c r="L184"/>
      <c r="M184"/>
      <c r="N184"/>
      <c r="O184"/>
      <c r="P184"/>
      <c r="Q184"/>
      <c r="R184"/>
      <c r="S184"/>
      <c r="T184"/>
      <c r="U184"/>
      <c r="V184"/>
      <c r="W184"/>
    </row>
    <row r="185" spans="1:23" ht="20">
      <c r="A185"/>
      <c r="B185"/>
      <c r="C185"/>
      <c r="D185"/>
      <c r="E185"/>
      <c r="F185"/>
      <c r="G185"/>
      <c r="H185"/>
      <c r="I185"/>
      <c r="J185"/>
      <c r="K185"/>
      <c r="L185"/>
      <c r="M185"/>
      <c r="N185"/>
      <c r="O185"/>
      <c r="P185"/>
      <c r="Q185"/>
      <c r="R185"/>
      <c r="S185"/>
      <c r="T185"/>
      <c r="U185"/>
      <c r="V185"/>
      <c r="W185"/>
    </row>
    <row r="186" spans="1:23" ht="20">
      <c r="A186"/>
      <c r="B186"/>
      <c r="C186"/>
      <c r="D186"/>
      <c r="E186"/>
      <c r="F186"/>
      <c r="G186"/>
      <c r="H186"/>
      <c r="I186"/>
      <c r="J186"/>
      <c r="K186"/>
      <c r="L186"/>
      <c r="M186"/>
      <c r="N186"/>
      <c r="O186"/>
      <c r="P186"/>
      <c r="Q186"/>
      <c r="R186"/>
      <c r="S186"/>
      <c r="T186"/>
      <c r="U186"/>
      <c r="V186"/>
      <c r="W186"/>
    </row>
    <row r="187" spans="1:23" ht="20">
      <c r="A187"/>
      <c r="B187"/>
      <c r="C187"/>
      <c r="D187"/>
      <c r="E187"/>
      <c r="F187"/>
      <c r="G187"/>
      <c r="H187"/>
      <c r="I187"/>
      <c r="J187"/>
      <c r="K187"/>
      <c r="L187"/>
      <c r="M187"/>
      <c r="N187"/>
      <c r="O187"/>
      <c r="P187"/>
      <c r="Q187"/>
      <c r="R187"/>
      <c r="S187"/>
      <c r="T187"/>
      <c r="U187"/>
      <c r="V187"/>
      <c r="W187"/>
    </row>
    <row r="188" spans="1:23" ht="20">
      <c r="A188"/>
      <c r="B188"/>
      <c r="C188"/>
      <c r="D188"/>
      <c r="E188"/>
      <c r="F188"/>
      <c r="G188"/>
      <c r="H188"/>
      <c r="I188"/>
      <c r="J188"/>
      <c r="K188"/>
      <c r="L188"/>
      <c r="M188"/>
      <c r="N188"/>
      <c r="O188"/>
      <c r="P188"/>
      <c r="Q188"/>
      <c r="R188"/>
      <c r="S188"/>
      <c r="T188"/>
      <c r="U188"/>
      <c r="V188"/>
      <c r="W188"/>
    </row>
    <row r="189" spans="1:23" ht="20">
      <c r="A189"/>
      <c r="B189"/>
      <c r="C189"/>
      <c r="D189"/>
      <c r="E189"/>
      <c r="F189"/>
      <c r="G189"/>
      <c r="H189"/>
      <c r="I189"/>
      <c r="J189"/>
      <c r="K189"/>
      <c r="L189"/>
      <c r="M189"/>
      <c r="N189"/>
      <c r="O189"/>
      <c r="P189"/>
      <c r="Q189"/>
      <c r="R189"/>
      <c r="S189"/>
      <c r="T189"/>
      <c r="U189"/>
      <c r="V189"/>
      <c r="W189"/>
    </row>
    <row r="190" spans="1:23" ht="20">
      <c r="A190"/>
      <c r="B190"/>
      <c r="C190"/>
      <c r="D190"/>
      <c r="E190"/>
      <c r="F190"/>
      <c r="G190"/>
      <c r="H190"/>
      <c r="I190"/>
      <c r="J190"/>
      <c r="K190"/>
      <c r="L190"/>
      <c r="M190"/>
      <c r="N190"/>
      <c r="O190"/>
      <c r="P190"/>
      <c r="Q190"/>
      <c r="R190"/>
      <c r="S190"/>
      <c r="T190"/>
      <c r="U190"/>
      <c r="V190"/>
      <c r="W190"/>
    </row>
    <row r="191" spans="1:23" ht="20">
      <c r="A191"/>
      <c r="B191"/>
      <c r="C191"/>
      <c r="D191"/>
      <c r="E191"/>
      <c r="F191"/>
      <c r="G191"/>
      <c r="H191"/>
      <c r="I191"/>
      <c r="J191"/>
      <c r="K191"/>
      <c r="L191"/>
      <c r="M191"/>
      <c r="N191"/>
      <c r="O191"/>
      <c r="P191"/>
      <c r="Q191"/>
      <c r="R191"/>
      <c r="S191"/>
      <c r="T191"/>
      <c r="U191"/>
      <c r="V191"/>
      <c r="W191"/>
    </row>
    <row r="192" spans="1:23" ht="20">
      <c r="A192"/>
      <c r="B192"/>
      <c r="C192"/>
      <c r="D192"/>
      <c r="E192"/>
      <c r="F192"/>
      <c r="G192"/>
      <c r="H192"/>
      <c r="I192"/>
      <c r="J192"/>
      <c r="K192"/>
      <c r="L192"/>
      <c r="M192"/>
      <c r="N192"/>
      <c r="O192"/>
      <c r="P192"/>
      <c r="Q192"/>
      <c r="R192"/>
      <c r="S192"/>
      <c r="T192"/>
      <c r="U192"/>
      <c r="V192"/>
      <c r="W192"/>
    </row>
    <row r="193" spans="1:23" ht="20">
      <c r="A193"/>
      <c r="B193"/>
      <c r="C193"/>
      <c r="D193"/>
      <c r="E193"/>
      <c r="F193"/>
      <c r="G193"/>
      <c r="H193"/>
      <c r="I193"/>
      <c r="J193"/>
      <c r="K193"/>
      <c r="L193"/>
      <c r="M193"/>
      <c r="N193"/>
      <c r="O193"/>
      <c r="P193"/>
      <c r="Q193"/>
      <c r="R193"/>
      <c r="S193"/>
      <c r="T193"/>
      <c r="U193"/>
      <c r="V193"/>
      <c r="W193"/>
    </row>
    <row r="194" spans="1:23" ht="20">
      <c r="A194"/>
      <c r="B194"/>
      <c r="C194"/>
      <c r="D194"/>
      <c r="E194"/>
      <c r="F194"/>
      <c r="G194"/>
      <c r="H194"/>
      <c r="I194"/>
      <c r="J194"/>
      <c r="K194"/>
      <c r="L194"/>
      <c r="M194"/>
      <c r="N194"/>
      <c r="O194"/>
      <c r="P194"/>
      <c r="Q194"/>
      <c r="R194"/>
      <c r="S194"/>
      <c r="T194"/>
      <c r="U194"/>
      <c r="V194"/>
      <c r="W194"/>
    </row>
    <row r="195" spans="1:23" ht="20">
      <c r="A195"/>
      <c r="B195"/>
      <c r="C195"/>
      <c r="D195"/>
      <c r="E195"/>
      <c r="F195"/>
      <c r="G195"/>
      <c r="H195"/>
      <c r="I195"/>
      <c r="J195"/>
      <c r="K195"/>
      <c r="L195"/>
      <c r="M195"/>
      <c r="N195"/>
      <c r="O195"/>
      <c r="P195"/>
      <c r="Q195"/>
      <c r="R195"/>
      <c r="S195"/>
      <c r="T195"/>
      <c r="U195"/>
      <c r="V195"/>
      <c r="W195"/>
    </row>
    <row r="196" spans="1:23" ht="20">
      <c r="A196"/>
      <c r="B196"/>
      <c r="C196"/>
      <c r="D196"/>
      <c r="E196"/>
      <c r="F196"/>
      <c r="G196"/>
      <c r="H196"/>
      <c r="I196"/>
      <c r="J196"/>
      <c r="K196"/>
      <c r="L196"/>
      <c r="M196"/>
      <c r="N196"/>
      <c r="O196"/>
      <c r="P196"/>
      <c r="Q196"/>
      <c r="R196"/>
      <c r="S196"/>
      <c r="T196"/>
      <c r="U196"/>
      <c r="V196"/>
      <c r="W196"/>
    </row>
    <row r="197" spans="1:23" ht="20">
      <c r="A197"/>
      <c r="B197"/>
      <c r="C197"/>
      <c r="D197"/>
      <c r="E197"/>
      <c r="F197"/>
      <c r="G197"/>
      <c r="H197"/>
      <c r="I197"/>
      <c r="J197"/>
      <c r="K197"/>
      <c r="L197"/>
      <c r="M197"/>
      <c r="N197"/>
      <c r="O197"/>
      <c r="P197"/>
      <c r="Q197"/>
      <c r="R197"/>
      <c r="S197"/>
      <c r="T197"/>
      <c r="U197"/>
      <c r="V197"/>
      <c r="W197"/>
    </row>
    <row r="198" spans="1:23" ht="20">
      <c r="A198"/>
      <c r="B198"/>
      <c r="C198"/>
      <c r="D198"/>
      <c r="E198"/>
      <c r="F198"/>
      <c r="G198"/>
      <c r="H198"/>
      <c r="I198"/>
      <c r="J198"/>
      <c r="K198"/>
      <c r="L198"/>
      <c r="M198"/>
      <c r="N198"/>
      <c r="O198"/>
      <c r="P198"/>
      <c r="Q198"/>
      <c r="R198"/>
      <c r="S198"/>
      <c r="T198"/>
      <c r="U198"/>
      <c r="V198"/>
      <c r="W198"/>
    </row>
    <row r="199" spans="1:23" ht="20">
      <c r="A199"/>
      <c r="B199"/>
      <c r="C199"/>
      <c r="D199"/>
      <c r="E199"/>
      <c r="F199"/>
      <c r="G199"/>
      <c r="H199"/>
      <c r="I199"/>
      <c r="J199"/>
      <c r="K199"/>
      <c r="L199"/>
      <c r="M199"/>
      <c r="N199"/>
      <c r="O199"/>
      <c r="P199"/>
      <c r="Q199"/>
      <c r="R199"/>
      <c r="S199"/>
      <c r="T199"/>
      <c r="U199"/>
      <c r="V199"/>
      <c r="W199"/>
    </row>
    <row r="200" spans="1:23" ht="20">
      <c r="A200"/>
      <c r="B200"/>
      <c r="C200"/>
      <c r="D200"/>
      <c r="E200"/>
      <c r="F200"/>
      <c r="G200"/>
      <c r="H200"/>
      <c r="I200"/>
      <c r="J200"/>
      <c r="K200"/>
      <c r="L200"/>
      <c r="M200"/>
      <c r="N200"/>
      <c r="O200"/>
      <c r="P200"/>
      <c r="Q200"/>
      <c r="R200"/>
      <c r="S200"/>
      <c r="T200"/>
      <c r="U200"/>
      <c r="V200"/>
      <c r="W200"/>
    </row>
  </sheetData>
  <phoneticPr fontId="2"/>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B481B8-385A-E74C-AA63-82C9D712D0BD}">
  <dimension ref="A1:V143"/>
  <sheetViews>
    <sheetView tabSelected="1" zoomScaleNormal="114" workbookViewId="0">
      <pane ySplit="1" topLeftCell="A18" activePane="bottomLeft" state="frozen"/>
      <selection pane="bottomLeft" activeCell="E37" sqref="E37"/>
    </sheetView>
  </sheetViews>
  <sheetFormatPr baseColWidth="10" defaultRowHeight="20"/>
  <cols>
    <col min="1" max="2" width="28.5703125" customWidth="1"/>
    <col min="3" max="3" width="34.28515625" customWidth="1"/>
    <col min="4" max="4" width="12.140625" customWidth="1"/>
    <col min="5" max="5" width="60" customWidth="1"/>
    <col min="6" max="7" width="6.42578125" customWidth="1"/>
    <col min="8" max="10" width="8.5703125" customWidth="1"/>
  </cols>
  <sheetData>
    <row r="1" spans="1:22">
      <c r="A1" s="119" t="s">
        <v>1359</v>
      </c>
      <c r="B1" s="119" t="s">
        <v>1645</v>
      </c>
      <c r="C1" s="119" t="s">
        <v>1599</v>
      </c>
      <c r="D1" s="119" t="s">
        <v>1589</v>
      </c>
      <c r="E1" s="119" t="s">
        <v>1642</v>
      </c>
      <c r="F1" s="119" t="s">
        <v>3184</v>
      </c>
      <c r="G1" s="119" t="s">
        <v>2008</v>
      </c>
      <c r="H1" s="119" t="s">
        <v>3134</v>
      </c>
      <c r="I1" s="119" t="s">
        <v>1362</v>
      </c>
      <c r="J1" s="119" t="s">
        <v>3185</v>
      </c>
    </row>
    <row r="2" spans="1:22">
      <c r="A2" s="145" t="s">
        <v>1691</v>
      </c>
      <c r="B2" s="145" t="s">
        <v>2011</v>
      </c>
      <c r="C2" s="145" t="s">
        <v>3166</v>
      </c>
      <c r="D2" s="145" t="s">
        <v>1506</v>
      </c>
      <c r="E2" s="145" t="s">
        <v>3186</v>
      </c>
      <c r="F2" s="153" t="s">
        <v>1419</v>
      </c>
      <c r="G2" s="153" t="s">
        <v>1356</v>
      </c>
      <c r="H2" s="146">
        <v>2</v>
      </c>
      <c r="I2" s="146">
        <v>3</v>
      </c>
      <c r="J2" s="146">
        <v>3</v>
      </c>
    </row>
    <row r="3" spans="1:22">
      <c r="A3" s="145" t="s">
        <v>1691</v>
      </c>
      <c r="B3" s="145" t="s">
        <v>2011</v>
      </c>
      <c r="C3" s="145" t="s">
        <v>1604</v>
      </c>
      <c r="D3" s="145" t="s">
        <v>1507</v>
      </c>
      <c r="E3" s="145" t="s">
        <v>3187</v>
      </c>
      <c r="F3" s="153" t="s">
        <v>1419</v>
      </c>
      <c r="G3" s="153" t="s">
        <v>1356</v>
      </c>
      <c r="H3" s="146">
        <v>1</v>
      </c>
      <c r="I3" s="146">
        <v>0.5</v>
      </c>
      <c r="J3" s="146">
        <v>0.5</v>
      </c>
    </row>
    <row r="4" spans="1:22" s="120" customFormat="1">
      <c r="A4" s="145" t="s">
        <v>1691</v>
      </c>
      <c r="B4" s="145" t="s">
        <v>2011</v>
      </c>
      <c r="C4" s="145" t="s">
        <v>3167</v>
      </c>
      <c r="D4" s="145" t="s">
        <v>1508</v>
      </c>
      <c r="E4" s="145" t="s">
        <v>3188</v>
      </c>
      <c r="F4" s="153" t="s">
        <v>1419</v>
      </c>
      <c r="G4" s="153" t="s">
        <v>1356</v>
      </c>
      <c r="H4" s="146">
        <v>1</v>
      </c>
      <c r="I4" s="146">
        <v>0.5</v>
      </c>
      <c r="J4" s="146">
        <v>0.5</v>
      </c>
      <c r="K4"/>
      <c r="L4"/>
      <c r="M4"/>
      <c r="N4"/>
      <c r="O4"/>
      <c r="P4"/>
      <c r="Q4"/>
      <c r="R4"/>
      <c r="S4"/>
      <c r="T4"/>
      <c r="U4"/>
      <c r="V4"/>
    </row>
    <row r="5" spans="1:22">
      <c r="A5" s="145" t="s">
        <v>1691</v>
      </c>
      <c r="B5" s="145" t="s">
        <v>2012</v>
      </c>
      <c r="C5" s="145" t="s">
        <v>3168</v>
      </c>
      <c r="D5" s="145" t="s">
        <v>1509</v>
      </c>
      <c r="E5" s="145" t="s">
        <v>2323</v>
      </c>
      <c r="F5" s="153" t="s">
        <v>1419</v>
      </c>
      <c r="G5" s="153" t="s">
        <v>1356</v>
      </c>
      <c r="H5" s="146">
        <v>9</v>
      </c>
      <c r="I5" s="146">
        <v>15.5</v>
      </c>
      <c r="J5" s="146">
        <v>13.5</v>
      </c>
    </row>
    <row r="6" spans="1:22">
      <c r="A6" s="145" t="s">
        <v>1691</v>
      </c>
      <c r="B6" s="145" t="s">
        <v>2012</v>
      </c>
      <c r="C6" s="145" t="s">
        <v>3169</v>
      </c>
      <c r="D6" s="145" t="s">
        <v>1510</v>
      </c>
      <c r="E6" s="145" t="s">
        <v>2324</v>
      </c>
      <c r="F6" s="153" t="s">
        <v>1419</v>
      </c>
      <c r="G6" s="153" t="s">
        <v>1356</v>
      </c>
      <c r="H6" s="146">
        <v>3</v>
      </c>
      <c r="I6" s="146">
        <v>6.5</v>
      </c>
      <c r="J6" s="146">
        <v>4.5</v>
      </c>
    </row>
    <row r="7" spans="1:22">
      <c r="A7" s="145" t="s">
        <v>1691</v>
      </c>
      <c r="B7" s="145" t="s">
        <v>2012</v>
      </c>
      <c r="C7" s="145" t="s">
        <v>2151</v>
      </c>
      <c r="D7" s="145" t="s">
        <v>1525</v>
      </c>
      <c r="E7" s="145" t="s">
        <v>3742</v>
      </c>
      <c r="F7" s="153" t="s">
        <v>1419</v>
      </c>
      <c r="G7" s="153" t="s">
        <v>1356</v>
      </c>
      <c r="H7" s="146">
        <v>1</v>
      </c>
      <c r="I7" s="146">
        <v>1</v>
      </c>
      <c r="J7" s="146">
        <v>1</v>
      </c>
    </row>
    <row r="8" spans="1:22">
      <c r="A8" s="145" t="s">
        <v>1691</v>
      </c>
      <c r="B8" s="145" t="s">
        <v>2012</v>
      </c>
      <c r="C8" s="145" t="s">
        <v>1614</v>
      </c>
      <c r="D8" s="145" t="s">
        <v>1526</v>
      </c>
      <c r="E8" s="145" t="s">
        <v>2325</v>
      </c>
      <c r="F8" s="153" t="s">
        <v>1419</v>
      </c>
      <c r="G8" s="153" t="s">
        <v>1356</v>
      </c>
      <c r="H8" s="146">
        <v>1</v>
      </c>
      <c r="I8" s="146">
        <v>0.5</v>
      </c>
      <c r="J8" s="146">
        <v>0.5</v>
      </c>
    </row>
    <row r="9" spans="1:22">
      <c r="A9" s="145" t="s">
        <v>1691</v>
      </c>
      <c r="B9" s="145" t="s">
        <v>2012</v>
      </c>
      <c r="C9" s="145" t="s">
        <v>2161</v>
      </c>
      <c r="D9" s="145" t="s">
        <v>1538</v>
      </c>
      <c r="E9" s="145" t="s">
        <v>2326</v>
      </c>
      <c r="F9" s="153" t="s">
        <v>1356</v>
      </c>
      <c r="G9" s="153" t="s">
        <v>1419</v>
      </c>
      <c r="H9" s="146">
        <v>0</v>
      </c>
      <c r="I9" s="146">
        <v>0</v>
      </c>
      <c r="J9" s="146">
        <v>0</v>
      </c>
    </row>
    <row r="10" spans="1:22">
      <c r="A10" s="145" t="s">
        <v>1691</v>
      </c>
      <c r="B10" s="145" t="s">
        <v>2012</v>
      </c>
      <c r="C10" s="145" t="s">
        <v>2162</v>
      </c>
      <c r="D10" s="145" t="s">
        <v>1539</v>
      </c>
      <c r="E10" s="145" t="s">
        <v>3189</v>
      </c>
      <c r="F10" s="153" t="s">
        <v>1356</v>
      </c>
      <c r="G10" s="153" t="s">
        <v>1419</v>
      </c>
      <c r="H10" s="146">
        <v>0</v>
      </c>
      <c r="I10" s="146">
        <v>0</v>
      </c>
      <c r="J10" s="146">
        <v>0</v>
      </c>
    </row>
    <row r="11" spans="1:22">
      <c r="A11" s="145" t="s">
        <v>1691</v>
      </c>
      <c r="B11" s="145" t="s">
        <v>2012</v>
      </c>
      <c r="C11" s="145" t="s">
        <v>3190</v>
      </c>
      <c r="D11" s="145" t="s">
        <v>1511</v>
      </c>
      <c r="E11" s="145" t="s">
        <v>3743</v>
      </c>
      <c r="F11" s="153" t="s">
        <v>1419</v>
      </c>
      <c r="G11" s="153" t="s">
        <v>2009</v>
      </c>
      <c r="H11" s="146">
        <v>3</v>
      </c>
      <c r="I11" s="146">
        <v>4.5</v>
      </c>
      <c r="J11" s="146">
        <v>4.5</v>
      </c>
    </row>
    <row r="12" spans="1:22">
      <c r="A12" s="145" t="s">
        <v>1691</v>
      </c>
      <c r="B12" s="145" t="s">
        <v>2013</v>
      </c>
      <c r="C12" s="145" t="s">
        <v>2105</v>
      </c>
      <c r="D12" s="145" t="s">
        <v>1505</v>
      </c>
      <c r="E12" s="145" t="s">
        <v>3744</v>
      </c>
      <c r="F12" s="153" t="s">
        <v>1419</v>
      </c>
      <c r="G12" s="153" t="s">
        <v>2009</v>
      </c>
      <c r="H12" s="146">
        <v>2</v>
      </c>
      <c r="I12" s="146">
        <v>2.5</v>
      </c>
      <c r="J12" s="146">
        <v>0.5</v>
      </c>
    </row>
    <row r="13" spans="1:22">
      <c r="A13" s="145" t="s">
        <v>1691</v>
      </c>
      <c r="B13" s="145" t="s">
        <v>2013</v>
      </c>
      <c r="C13" s="145" t="s">
        <v>3745</v>
      </c>
      <c r="D13" s="145" t="s">
        <v>3746</v>
      </c>
      <c r="E13" s="145" t="s">
        <v>3747</v>
      </c>
      <c r="F13" s="153" t="s">
        <v>1419</v>
      </c>
      <c r="G13" s="153" t="s">
        <v>2009</v>
      </c>
      <c r="H13" s="146">
        <v>2</v>
      </c>
      <c r="I13" s="146">
        <v>3</v>
      </c>
      <c r="J13" s="146">
        <v>3</v>
      </c>
    </row>
    <row r="14" spans="1:22">
      <c r="A14" s="145" t="s">
        <v>1691</v>
      </c>
      <c r="B14" s="145" t="s">
        <v>1646</v>
      </c>
      <c r="C14" s="145" t="s">
        <v>1605</v>
      </c>
      <c r="D14" s="145" t="s">
        <v>1512</v>
      </c>
      <c r="E14" s="145" t="s">
        <v>1596</v>
      </c>
      <c r="F14" s="153" t="s">
        <v>1419</v>
      </c>
      <c r="G14" s="153" t="s">
        <v>1356</v>
      </c>
      <c r="H14" s="146">
        <v>1</v>
      </c>
      <c r="I14" s="146">
        <v>0.5</v>
      </c>
      <c r="J14" s="146">
        <v>0</v>
      </c>
    </row>
    <row r="15" spans="1:22">
      <c r="A15" s="145" t="s">
        <v>1691</v>
      </c>
      <c r="B15" s="145" t="s">
        <v>1646</v>
      </c>
      <c r="C15" s="145" t="s">
        <v>1606</v>
      </c>
      <c r="D15" s="145" t="s">
        <v>1513</v>
      </c>
      <c r="E15" s="145" t="s">
        <v>3748</v>
      </c>
      <c r="F15" s="153" t="s">
        <v>1419</v>
      </c>
      <c r="G15" s="153" t="s">
        <v>1356</v>
      </c>
      <c r="H15" s="146">
        <v>0</v>
      </c>
      <c r="I15" s="146">
        <v>0</v>
      </c>
      <c r="J15" s="146">
        <v>0</v>
      </c>
    </row>
    <row r="16" spans="1:22">
      <c r="A16" s="145" t="s">
        <v>1691</v>
      </c>
      <c r="B16" s="145" t="s">
        <v>1646</v>
      </c>
      <c r="C16" s="145" t="s">
        <v>1607</v>
      </c>
      <c r="D16" s="145" t="s">
        <v>1514</v>
      </c>
      <c r="E16" s="145" t="s">
        <v>2327</v>
      </c>
      <c r="F16" s="153" t="s">
        <v>1419</v>
      </c>
      <c r="G16" s="153" t="s">
        <v>1356</v>
      </c>
      <c r="H16" s="146">
        <v>1</v>
      </c>
      <c r="I16" s="146">
        <v>0.5</v>
      </c>
      <c r="J16" s="146">
        <v>0</v>
      </c>
    </row>
    <row r="17" spans="1:10">
      <c r="A17" s="145" t="s">
        <v>1691</v>
      </c>
      <c r="B17" s="145" t="s">
        <v>1646</v>
      </c>
      <c r="C17" s="145" t="s">
        <v>1608</v>
      </c>
      <c r="D17" s="145" t="s">
        <v>1515</v>
      </c>
      <c r="E17" s="145" t="s">
        <v>2328</v>
      </c>
      <c r="F17" s="153" t="s">
        <v>1419</v>
      </c>
      <c r="G17" s="153" t="s">
        <v>1356</v>
      </c>
      <c r="H17" s="146">
        <v>0</v>
      </c>
      <c r="I17" s="146">
        <v>0</v>
      </c>
      <c r="J17" s="146">
        <v>0</v>
      </c>
    </row>
    <row r="18" spans="1:10" ht="40" customHeight="1">
      <c r="A18" s="145" t="s">
        <v>1691</v>
      </c>
      <c r="B18" s="145" t="s">
        <v>1646</v>
      </c>
      <c r="C18" s="145" t="s">
        <v>2153</v>
      </c>
      <c r="D18" s="145" t="s">
        <v>1516</v>
      </c>
      <c r="E18" s="145" t="s">
        <v>2329</v>
      </c>
      <c r="F18" s="153" t="s">
        <v>1419</v>
      </c>
      <c r="G18" s="153" t="s">
        <v>1356</v>
      </c>
      <c r="H18" s="146">
        <v>0</v>
      </c>
      <c r="I18" s="146">
        <v>0</v>
      </c>
      <c r="J18" s="146">
        <v>0</v>
      </c>
    </row>
    <row r="19" spans="1:10">
      <c r="A19" s="145" t="s">
        <v>1691</v>
      </c>
      <c r="B19" s="145" t="s">
        <v>1646</v>
      </c>
      <c r="C19" s="145" t="s">
        <v>1622</v>
      </c>
      <c r="D19" s="145" t="s">
        <v>1550</v>
      </c>
      <c r="E19" s="145" t="s">
        <v>3191</v>
      </c>
      <c r="F19" s="153" t="s">
        <v>2009</v>
      </c>
      <c r="G19" s="153" t="s">
        <v>2009</v>
      </c>
      <c r="H19" s="146">
        <v>0</v>
      </c>
      <c r="I19" s="146">
        <v>0</v>
      </c>
      <c r="J19" s="146">
        <v>0</v>
      </c>
    </row>
    <row r="20" spans="1:10" ht="66" customHeight="1">
      <c r="A20" s="145" t="s">
        <v>1691</v>
      </c>
      <c r="B20" s="145" t="s">
        <v>1646</v>
      </c>
      <c r="C20" s="145" t="s">
        <v>1603</v>
      </c>
      <c r="D20" s="145" t="s">
        <v>1519</v>
      </c>
      <c r="E20" s="145" t="s">
        <v>2330</v>
      </c>
      <c r="F20" s="153" t="s">
        <v>1419</v>
      </c>
      <c r="G20" s="153"/>
      <c r="H20" s="146">
        <v>0</v>
      </c>
      <c r="I20" s="146">
        <v>0</v>
      </c>
      <c r="J20" s="146">
        <v>0</v>
      </c>
    </row>
    <row r="21" spans="1:10">
      <c r="A21" s="145" t="s">
        <v>1691</v>
      </c>
      <c r="B21" s="145" t="s">
        <v>2015</v>
      </c>
      <c r="C21" s="145" t="s">
        <v>1611</v>
      </c>
      <c r="D21" s="145" t="s">
        <v>1520</v>
      </c>
      <c r="E21" s="145" t="s">
        <v>3192</v>
      </c>
      <c r="F21" s="153" t="s">
        <v>1419</v>
      </c>
      <c r="G21" s="153" t="s">
        <v>1356</v>
      </c>
      <c r="H21" s="146">
        <v>0</v>
      </c>
      <c r="I21" s="146">
        <v>0</v>
      </c>
      <c r="J21" s="146">
        <v>0</v>
      </c>
    </row>
    <row r="22" spans="1:10">
      <c r="A22" s="145" t="s">
        <v>1691</v>
      </c>
      <c r="B22" s="145" t="s">
        <v>2015</v>
      </c>
      <c r="C22" s="145" t="s">
        <v>1612</v>
      </c>
      <c r="D22" s="145" t="s">
        <v>1521</v>
      </c>
      <c r="E22" s="145" t="s">
        <v>1597</v>
      </c>
      <c r="F22" s="153" t="s">
        <v>1419</v>
      </c>
      <c r="G22" s="153" t="s">
        <v>1356</v>
      </c>
      <c r="H22" s="146">
        <v>0</v>
      </c>
      <c r="I22" s="146">
        <v>0</v>
      </c>
      <c r="J22" s="146">
        <v>0</v>
      </c>
    </row>
    <row r="23" spans="1:10" ht="58" customHeight="1">
      <c r="A23" s="145" t="s">
        <v>1691</v>
      </c>
      <c r="B23" s="145" t="s">
        <v>2015</v>
      </c>
      <c r="C23" s="145" t="s">
        <v>1621</v>
      </c>
      <c r="D23" s="145" t="s">
        <v>1548</v>
      </c>
      <c r="E23" s="145" t="s">
        <v>3193</v>
      </c>
      <c r="F23" s="153" t="s">
        <v>2009</v>
      </c>
      <c r="G23" s="153" t="s">
        <v>2009</v>
      </c>
      <c r="H23" s="146">
        <v>0</v>
      </c>
      <c r="I23" s="146">
        <v>0</v>
      </c>
      <c r="J23" s="146">
        <v>0</v>
      </c>
    </row>
    <row r="24" spans="1:10">
      <c r="A24" s="145" t="s">
        <v>1691</v>
      </c>
      <c r="B24" s="145" t="s">
        <v>2015</v>
      </c>
      <c r="C24" s="145" t="s">
        <v>1609</v>
      </c>
      <c r="D24" s="145" t="s">
        <v>1517</v>
      </c>
      <c r="E24" s="145" t="s">
        <v>2331</v>
      </c>
      <c r="F24" s="153" t="s">
        <v>1419</v>
      </c>
      <c r="G24" s="153" t="s">
        <v>1356</v>
      </c>
      <c r="H24" s="146">
        <v>0</v>
      </c>
      <c r="I24" s="146">
        <v>0</v>
      </c>
      <c r="J24" s="146">
        <v>0</v>
      </c>
    </row>
    <row r="25" spans="1:10">
      <c r="A25" s="145" t="s">
        <v>1691</v>
      </c>
      <c r="B25" s="145" t="s">
        <v>2015</v>
      </c>
      <c r="C25" s="145" t="s">
        <v>1610</v>
      </c>
      <c r="D25" s="145" t="s">
        <v>1518</v>
      </c>
      <c r="E25" s="145" t="s">
        <v>3194</v>
      </c>
      <c r="F25" s="153" t="s">
        <v>1419</v>
      </c>
      <c r="G25" s="153" t="s">
        <v>1356</v>
      </c>
      <c r="H25" s="146">
        <v>0</v>
      </c>
      <c r="I25" s="146">
        <v>0</v>
      </c>
      <c r="J25" s="146">
        <v>0</v>
      </c>
    </row>
    <row r="26" spans="1:10">
      <c r="A26" s="145" t="s">
        <v>1691</v>
      </c>
      <c r="B26" s="145" t="s">
        <v>1647</v>
      </c>
      <c r="C26" s="145" t="s">
        <v>1613</v>
      </c>
      <c r="D26" s="145" t="s">
        <v>1522</v>
      </c>
      <c r="E26" s="145" t="s">
        <v>2332</v>
      </c>
      <c r="F26" s="153" t="s">
        <v>1419</v>
      </c>
      <c r="G26" s="153" t="s">
        <v>1356</v>
      </c>
      <c r="H26" s="146">
        <v>0</v>
      </c>
      <c r="I26" s="146">
        <v>0</v>
      </c>
      <c r="J26" s="146">
        <v>0</v>
      </c>
    </row>
    <row r="27" spans="1:10" ht="40" customHeight="1">
      <c r="A27" s="145" t="s">
        <v>1691</v>
      </c>
      <c r="B27" s="145" t="s">
        <v>1647</v>
      </c>
      <c r="C27" s="145" t="s">
        <v>3170</v>
      </c>
      <c r="D27" s="145" t="s">
        <v>1523</v>
      </c>
      <c r="E27" s="145" t="s">
        <v>2333</v>
      </c>
      <c r="F27" s="153" t="s">
        <v>1419</v>
      </c>
      <c r="G27" s="153" t="s">
        <v>1356</v>
      </c>
      <c r="H27" s="146">
        <v>1</v>
      </c>
      <c r="I27" s="146">
        <v>1</v>
      </c>
      <c r="J27" s="146">
        <v>1</v>
      </c>
    </row>
    <row r="28" spans="1:10">
      <c r="A28" s="145" t="s">
        <v>1691</v>
      </c>
      <c r="B28" s="145" t="s">
        <v>1647</v>
      </c>
      <c r="C28" s="145" t="s">
        <v>1648</v>
      </c>
      <c r="D28" s="145" t="s">
        <v>1524</v>
      </c>
      <c r="E28" s="145" t="s">
        <v>2334</v>
      </c>
      <c r="F28" s="153" t="s">
        <v>1419</v>
      </c>
      <c r="G28" s="153" t="s">
        <v>1356</v>
      </c>
      <c r="H28" s="146">
        <v>0</v>
      </c>
      <c r="I28" s="146">
        <v>0</v>
      </c>
      <c r="J28" s="146">
        <v>0</v>
      </c>
    </row>
    <row r="29" spans="1:10">
      <c r="A29" s="145" t="s">
        <v>1691</v>
      </c>
      <c r="B29" s="145" t="s">
        <v>2016</v>
      </c>
      <c r="C29" s="145" t="s">
        <v>2148</v>
      </c>
      <c r="D29" s="145" t="s">
        <v>2267</v>
      </c>
      <c r="E29" s="145" t="s">
        <v>2335</v>
      </c>
      <c r="F29" s="153" t="s">
        <v>1419</v>
      </c>
      <c r="G29" s="153" t="s">
        <v>1356</v>
      </c>
      <c r="H29" s="146">
        <v>3</v>
      </c>
      <c r="I29" s="146">
        <v>5</v>
      </c>
      <c r="J29" s="146">
        <v>5</v>
      </c>
    </row>
    <row r="30" spans="1:10">
      <c r="A30" s="145" t="s">
        <v>1691</v>
      </c>
      <c r="B30" s="145" t="s">
        <v>2016</v>
      </c>
      <c r="C30" s="145" t="s">
        <v>2192</v>
      </c>
      <c r="D30" s="145" t="s">
        <v>2320</v>
      </c>
      <c r="E30" s="145" t="s">
        <v>2336</v>
      </c>
      <c r="F30" s="153" t="s">
        <v>1419</v>
      </c>
      <c r="G30" s="153" t="s">
        <v>1356</v>
      </c>
      <c r="H30" s="146">
        <v>2</v>
      </c>
      <c r="I30" s="146">
        <v>4</v>
      </c>
      <c r="J30" s="146">
        <v>4</v>
      </c>
    </row>
    <row r="31" spans="1:10">
      <c r="A31" s="145" t="s">
        <v>1691</v>
      </c>
      <c r="B31" s="145" t="s">
        <v>2016</v>
      </c>
      <c r="C31" s="145" t="s">
        <v>2125</v>
      </c>
      <c r="D31" s="145" t="s">
        <v>1551</v>
      </c>
      <c r="E31" s="145" t="s">
        <v>3195</v>
      </c>
      <c r="F31" s="153" t="s">
        <v>2009</v>
      </c>
      <c r="G31" s="153" t="s">
        <v>2009</v>
      </c>
      <c r="H31" s="146">
        <v>0</v>
      </c>
      <c r="I31" s="146">
        <v>0</v>
      </c>
      <c r="J31" s="146">
        <v>0</v>
      </c>
    </row>
    <row r="32" spans="1:10">
      <c r="A32" s="145" t="s">
        <v>1691</v>
      </c>
      <c r="B32" s="145" t="s">
        <v>2018</v>
      </c>
      <c r="C32" s="145" t="s">
        <v>2090</v>
      </c>
      <c r="D32" s="145" t="s">
        <v>2212</v>
      </c>
      <c r="E32" s="145" t="s">
        <v>3196</v>
      </c>
      <c r="F32" s="153" t="s">
        <v>1419</v>
      </c>
      <c r="G32" s="153" t="s">
        <v>1356</v>
      </c>
      <c r="H32" s="146">
        <v>1</v>
      </c>
      <c r="I32" s="146">
        <v>1</v>
      </c>
      <c r="J32" s="146">
        <v>1</v>
      </c>
    </row>
    <row r="33" spans="1:10">
      <c r="A33" s="145" t="s">
        <v>1691</v>
      </c>
      <c r="B33" s="145" t="s">
        <v>2018</v>
      </c>
      <c r="C33" s="145" t="s">
        <v>3171</v>
      </c>
      <c r="D33" s="145" t="s">
        <v>2293</v>
      </c>
      <c r="E33" s="145" t="s">
        <v>3197</v>
      </c>
      <c r="F33" s="153" t="s">
        <v>1419</v>
      </c>
      <c r="G33" s="153" t="s">
        <v>1356</v>
      </c>
      <c r="H33" s="146">
        <v>1</v>
      </c>
      <c r="I33" s="146">
        <v>1</v>
      </c>
      <c r="J33" s="146">
        <v>1</v>
      </c>
    </row>
    <row r="34" spans="1:10">
      <c r="A34" s="145" t="s">
        <v>1691</v>
      </c>
      <c r="B34" s="145" t="s">
        <v>2018</v>
      </c>
      <c r="C34" s="145" t="s">
        <v>2194</v>
      </c>
      <c r="D34" s="145" t="s">
        <v>2322</v>
      </c>
      <c r="E34" s="145" t="s">
        <v>2337</v>
      </c>
      <c r="F34" s="153" t="s">
        <v>1419</v>
      </c>
      <c r="G34" s="153" t="s">
        <v>1356</v>
      </c>
      <c r="H34" s="146">
        <v>0</v>
      </c>
      <c r="I34" s="146">
        <v>0</v>
      </c>
      <c r="J34" s="146">
        <v>0</v>
      </c>
    </row>
    <row r="35" spans="1:10">
      <c r="A35" s="145" t="s">
        <v>1691</v>
      </c>
      <c r="B35" s="145" t="s">
        <v>292</v>
      </c>
      <c r="C35" s="145" t="s">
        <v>2169</v>
      </c>
      <c r="D35" s="145" t="s">
        <v>2295</v>
      </c>
      <c r="E35" s="145" t="s">
        <v>3749</v>
      </c>
      <c r="F35" s="153" t="s">
        <v>2009</v>
      </c>
      <c r="G35" s="153" t="s">
        <v>2009</v>
      </c>
      <c r="H35" s="146">
        <v>1</v>
      </c>
      <c r="I35" s="146">
        <v>0.5</v>
      </c>
      <c r="J35" s="146">
        <v>0.5</v>
      </c>
    </row>
    <row r="36" spans="1:10">
      <c r="A36" s="145" t="s">
        <v>2021</v>
      </c>
      <c r="B36" s="145" t="s">
        <v>2020</v>
      </c>
      <c r="C36" s="145" t="s">
        <v>3172</v>
      </c>
      <c r="D36" s="145" t="s">
        <v>1527</v>
      </c>
      <c r="E36" s="145" t="s">
        <v>3198</v>
      </c>
      <c r="F36" s="153" t="s">
        <v>1419</v>
      </c>
      <c r="G36" s="153" t="s">
        <v>1356</v>
      </c>
      <c r="H36" s="146">
        <v>2</v>
      </c>
      <c r="I36" s="146">
        <v>4</v>
      </c>
      <c r="J36" s="146">
        <v>4</v>
      </c>
    </row>
    <row r="37" spans="1:10">
      <c r="A37" s="145" t="s">
        <v>2021</v>
      </c>
      <c r="B37" s="145" t="s">
        <v>2020</v>
      </c>
      <c r="C37" s="145" t="s">
        <v>3173</v>
      </c>
      <c r="D37" s="145" t="s">
        <v>1528</v>
      </c>
      <c r="E37" s="145" t="s">
        <v>3199</v>
      </c>
      <c r="F37" s="153" t="s">
        <v>1419</v>
      </c>
      <c r="G37" s="153" t="s">
        <v>1356</v>
      </c>
      <c r="H37" s="146">
        <v>1</v>
      </c>
      <c r="I37" s="146">
        <v>0.75</v>
      </c>
      <c r="J37" s="146">
        <v>0.75</v>
      </c>
    </row>
    <row r="38" spans="1:10">
      <c r="A38" s="145" t="s">
        <v>2021</v>
      </c>
      <c r="B38" s="145" t="s">
        <v>2020</v>
      </c>
      <c r="C38" s="145" t="s">
        <v>2154</v>
      </c>
      <c r="D38" s="145" t="s">
        <v>1529</v>
      </c>
      <c r="E38" s="145" t="s">
        <v>2338</v>
      </c>
      <c r="F38" s="153" t="s">
        <v>1419</v>
      </c>
      <c r="G38" s="153" t="s">
        <v>1356</v>
      </c>
      <c r="H38" s="146">
        <v>1</v>
      </c>
      <c r="I38" s="146">
        <v>1</v>
      </c>
      <c r="J38" s="146">
        <v>1</v>
      </c>
    </row>
    <row r="39" spans="1:10">
      <c r="A39" s="145" t="s">
        <v>2021</v>
      </c>
      <c r="B39" s="145" t="s">
        <v>2020</v>
      </c>
      <c r="C39" s="145" t="s">
        <v>3174</v>
      </c>
      <c r="D39" s="145" t="s">
        <v>1530</v>
      </c>
      <c r="E39" s="145" t="s">
        <v>3200</v>
      </c>
      <c r="F39" s="153" t="s">
        <v>1419</v>
      </c>
      <c r="G39" s="153" t="s">
        <v>1356</v>
      </c>
      <c r="H39" s="146">
        <v>1</v>
      </c>
      <c r="I39" s="146">
        <v>0.5</v>
      </c>
      <c r="J39" s="146">
        <v>0.5</v>
      </c>
    </row>
    <row r="40" spans="1:10">
      <c r="A40" s="145" t="s">
        <v>2021</v>
      </c>
      <c r="B40" s="145" t="s">
        <v>2020</v>
      </c>
      <c r="C40" s="145" t="s">
        <v>2156</v>
      </c>
      <c r="D40" s="145" t="s">
        <v>1531</v>
      </c>
      <c r="E40" s="145" t="s">
        <v>2339</v>
      </c>
      <c r="F40" s="153" t="s">
        <v>1419</v>
      </c>
      <c r="G40" s="153" t="s">
        <v>1356</v>
      </c>
      <c r="H40" s="146">
        <v>1</v>
      </c>
      <c r="I40" s="146">
        <v>0.5</v>
      </c>
      <c r="J40" s="146">
        <v>0.5</v>
      </c>
    </row>
    <row r="41" spans="1:10">
      <c r="A41" s="145" t="s">
        <v>2021</v>
      </c>
      <c r="B41" s="145" t="s">
        <v>2022</v>
      </c>
      <c r="C41" s="145" t="s">
        <v>1615</v>
      </c>
      <c r="D41" s="145" t="s">
        <v>1532</v>
      </c>
      <c r="E41" s="145" t="s">
        <v>3201</v>
      </c>
      <c r="F41" s="153" t="s">
        <v>1419</v>
      </c>
      <c r="G41" s="153" t="s">
        <v>1356</v>
      </c>
      <c r="H41" s="146">
        <v>2</v>
      </c>
      <c r="I41" s="146">
        <v>3</v>
      </c>
      <c r="J41" s="146">
        <v>3</v>
      </c>
    </row>
    <row r="42" spans="1:10">
      <c r="A42" s="145" t="s">
        <v>2021</v>
      </c>
      <c r="B42" s="145" t="s">
        <v>2022</v>
      </c>
      <c r="C42" s="145" t="s">
        <v>1616</v>
      </c>
      <c r="D42" s="145" t="s">
        <v>1533</v>
      </c>
      <c r="E42" s="145" t="s">
        <v>3202</v>
      </c>
      <c r="F42" s="153" t="s">
        <v>2009</v>
      </c>
      <c r="G42" s="153" t="s">
        <v>2009</v>
      </c>
      <c r="H42" s="146">
        <v>1</v>
      </c>
      <c r="I42" s="146">
        <v>0.75</v>
      </c>
      <c r="J42" s="146">
        <v>0.75</v>
      </c>
    </row>
    <row r="43" spans="1:10">
      <c r="A43" s="145" t="s">
        <v>2021</v>
      </c>
      <c r="B43" s="145" t="s">
        <v>2024</v>
      </c>
      <c r="C43" s="145" t="s">
        <v>3175</v>
      </c>
      <c r="D43" s="145" t="s">
        <v>1534</v>
      </c>
      <c r="E43" s="145" t="s">
        <v>3203</v>
      </c>
      <c r="F43" s="153" t="s">
        <v>1419</v>
      </c>
      <c r="G43" s="153" t="s">
        <v>1356</v>
      </c>
      <c r="H43" s="146">
        <v>1</v>
      </c>
      <c r="I43" s="146">
        <v>0.75</v>
      </c>
      <c r="J43" s="146">
        <v>0.75</v>
      </c>
    </row>
    <row r="44" spans="1:10">
      <c r="A44" s="145" t="s">
        <v>2021</v>
      </c>
      <c r="B44" s="145" t="s">
        <v>2024</v>
      </c>
      <c r="C44" s="145" t="s">
        <v>3176</v>
      </c>
      <c r="D44" s="145" t="s">
        <v>1535</v>
      </c>
      <c r="E44" s="145" t="s">
        <v>3204</v>
      </c>
      <c r="F44" s="153" t="s">
        <v>1419</v>
      </c>
      <c r="G44" s="153" t="s">
        <v>1356</v>
      </c>
      <c r="H44" s="146">
        <v>1</v>
      </c>
      <c r="I44" s="146">
        <v>0.75</v>
      </c>
      <c r="J44" s="146">
        <v>0.75</v>
      </c>
    </row>
    <row r="45" spans="1:10">
      <c r="A45" s="145" t="s">
        <v>2021</v>
      </c>
      <c r="B45" s="145" t="s">
        <v>2024</v>
      </c>
      <c r="C45" s="145" t="s">
        <v>1635</v>
      </c>
      <c r="D45" s="145" t="s">
        <v>1581</v>
      </c>
      <c r="E45" s="145" t="s">
        <v>3750</v>
      </c>
      <c r="F45" s="153" t="s">
        <v>1419</v>
      </c>
      <c r="G45" s="153" t="s">
        <v>1356</v>
      </c>
      <c r="H45" s="146">
        <v>1</v>
      </c>
      <c r="I45" s="146">
        <v>1</v>
      </c>
      <c r="J45" s="146">
        <v>1</v>
      </c>
    </row>
    <row r="46" spans="1:10">
      <c r="A46" s="145" t="s">
        <v>2021</v>
      </c>
      <c r="B46" s="145" t="s">
        <v>2024</v>
      </c>
      <c r="C46" s="145" t="s">
        <v>1641</v>
      </c>
      <c r="D46" s="145" t="s">
        <v>1588</v>
      </c>
      <c r="E46" s="145" t="s">
        <v>2340</v>
      </c>
      <c r="F46" s="153" t="s">
        <v>1419</v>
      </c>
      <c r="G46" s="153" t="s">
        <v>1356</v>
      </c>
      <c r="H46" s="146">
        <v>1</v>
      </c>
      <c r="I46" s="146">
        <v>1.5</v>
      </c>
      <c r="J46" s="146">
        <v>1.5</v>
      </c>
    </row>
    <row r="47" spans="1:10">
      <c r="A47" s="145" t="s">
        <v>2021</v>
      </c>
      <c r="B47" s="145" t="s">
        <v>2024</v>
      </c>
      <c r="C47" s="145" t="s">
        <v>1617</v>
      </c>
      <c r="D47" s="145" t="s">
        <v>1536</v>
      </c>
      <c r="E47" s="145" t="s">
        <v>3751</v>
      </c>
      <c r="F47" s="153" t="s">
        <v>1419</v>
      </c>
      <c r="G47" s="153" t="s">
        <v>1356</v>
      </c>
      <c r="H47" s="146">
        <v>0</v>
      </c>
      <c r="I47" s="146">
        <v>0</v>
      </c>
      <c r="J47" s="146">
        <v>0</v>
      </c>
    </row>
    <row r="48" spans="1:10">
      <c r="A48" s="145" t="s">
        <v>2021</v>
      </c>
      <c r="B48" s="145" t="s">
        <v>2024</v>
      </c>
      <c r="C48" s="145" t="s">
        <v>1618</v>
      </c>
      <c r="D48" s="145" t="s">
        <v>1537</v>
      </c>
      <c r="E48" s="145" t="s">
        <v>3752</v>
      </c>
      <c r="F48" s="153" t="s">
        <v>1419</v>
      </c>
      <c r="G48" s="153" t="s">
        <v>1356</v>
      </c>
      <c r="H48" s="146">
        <v>0</v>
      </c>
      <c r="I48" s="146">
        <v>0</v>
      </c>
      <c r="J48" s="146">
        <v>0</v>
      </c>
    </row>
    <row r="49" spans="1:10">
      <c r="A49" s="145" t="s">
        <v>2021</v>
      </c>
      <c r="B49" s="145" t="s">
        <v>2025</v>
      </c>
      <c r="C49" s="145" t="s">
        <v>3205</v>
      </c>
      <c r="D49" s="145" t="s">
        <v>1542</v>
      </c>
      <c r="E49" s="145" t="s">
        <v>3206</v>
      </c>
      <c r="F49" s="153" t="s">
        <v>2009</v>
      </c>
      <c r="G49" s="153" t="s">
        <v>2009</v>
      </c>
      <c r="H49" s="146">
        <v>0</v>
      </c>
      <c r="I49" s="146">
        <v>0</v>
      </c>
      <c r="J49" s="146">
        <v>0</v>
      </c>
    </row>
    <row r="50" spans="1:10">
      <c r="A50" s="145" t="s">
        <v>2021</v>
      </c>
      <c r="B50" s="145" t="s">
        <v>2025</v>
      </c>
      <c r="C50" s="145" t="s">
        <v>3207</v>
      </c>
      <c r="D50" s="145" t="s">
        <v>1543</v>
      </c>
      <c r="E50" s="145" t="s">
        <v>3208</v>
      </c>
      <c r="F50" s="153" t="s">
        <v>2009</v>
      </c>
      <c r="G50" s="153" t="s">
        <v>2009</v>
      </c>
      <c r="H50" s="146">
        <v>0</v>
      </c>
      <c r="I50" s="146">
        <v>0</v>
      </c>
      <c r="J50" s="146">
        <v>0</v>
      </c>
    </row>
    <row r="51" spans="1:10">
      <c r="A51" s="145" t="s">
        <v>2021</v>
      </c>
      <c r="B51" s="145" t="s">
        <v>2025</v>
      </c>
      <c r="C51" s="145" t="s">
        <v>3209</v>
      </c>
      <c r="D51" s="145" t="s">
        <v>1544</v>
      </c>
      <c r="E51" s="145" t="s">
        <v>3210</v>
      </c>
      <c r="F51" s="153" t="s">
        <v>2009</v>
      </c>
      <c r="G51" s="153" t="s">
        <v>2009</v>
      </c>
      <c r="H51" s="146">
        <v>0</v>
      </c>
      <c r="I51" s="146">
        <v>0</v>
      </c>
      <c r="J51" s="146">
        <v>0</v>
      </c>
    </row>
    <row r="52" spans="1:10">
      <c r="A52" s="145" t="s">
        <v>2021</v>
      </c>
      <c r="B52" s="145" t="s">
        <v>2025</v>
      </c>
      <c r="C52" s="145" t="s">
        <v>3211</v>
      </c>
      <c r="D52" s="145" t="s">
        <v>1545</v>
      </c>
      <c r="E52" s="145" t="s">
        <v>3212</v>
      </c>
      <c r="F52" s="153" t="s">
        <v>2009</v>
      </c>
      <c r="G52" s="153" t="s">
        <v>2009</v>
      </c>
      <c r="H52" s="146">
        <v>0</v>
      </c>
      <c r="I52" s="146">
        <v>0</v>
      </c>
      <c r="J52" s="146">
        <v>0</v>
      </c>
    </row>
    <row r="53" spans="1:10">
      <c r="A53" s="145" t="s">
        <v>2021</v>
      </c>
      <c r="B53" s="145" t="s">
        <v>2025</v>
      </c>
      <c r="C53" s="145" t="s">
        <v>3213</v>
      </c>
      <c r="D53" s="145" t="s">
        <v>1546</v>
      </c>
      <c r="E53" s="145" t="s">
        <v>3214</v>
      </c>
      <c r="F53" s="153" t="s">
        <v>2009</v>
      </c>
      <c r="G53" s="153" t="s">
        <v>2009</v>
      </c>
      <c r="H53" s="146">
        <v>0</v>
      </c>
      <c r="I53" s="146">
        <v>0</v>
      </c>
      <c r="J53" s="146">
        <v>0</v>
      </c>
    </row>
    <row r="54" spans="1:10">
      <c r="A54" s="145" t="s">
        <v>2021</v>
      </c>
      <c r="B54" s="145" t="s">
        <v>2025</v>
      </c>
      <c r="C54" s="145" t="s">
        <v>3215</v>
      </c>
      <c r="D54" s="145" t="s">
        <v>1547</v>
      </c>
      <c r="E54" s="145" t="s">
        <v>3216</v>
      </c>
      <c r="F54" s="153" t="s">
        <v>2009</v>
      </c>
      <c r="G54" s="153" t="s">
        <v>2009</v>
      </c>
      <c r="H54" s="146">
        <v>0</v>
      </c>
      <c r="I54" s="146">
        <v>0</v>
      </c>
      <c r="J54" s="146">
        <v>0</v>
      </c>
    </row>
    <row r="55" spans="1:10">
      <c r="A55" s="145" t="s">
        <v>2021</v>
      </c>
      <c r="B55" s="145" t="s">
        <v>2025</v>
      </c>
      <c r="C55" s="145" t="s">
        <v>3217</v>
      </c>
      <c r="D55" s="145" t="s">
        <v>1549</v>
      </c>
      <c r="E55" s="145" t="s">
        <v>3218</v>
      </c>
      <c r="F55" s="153" t="s">
        <v>2009</v>
      </c>
      <c r="G55" s="153" t="s">
        <v>2009</v>
      </c>
      <c r="H55" s="146">
        <v>0</v>
      </c>
      <c r="I55" s="146">
        <v>0</v>
      </c>
      <c r="J55" s="146">
        <v>0</v>
      </c>
    </row>
    <row r="56" spans="1:10">
      <c r="A56" s="145" t="s">
        <v>2021</v>
      </c>
      <c r="B56" s="145" t="s">
        <v>2025</v>
      </c>
      <c r="C56" s="145" t="s">
        <v>3219</v>
      </c>
      <c r="D56" s="145" t="s">
        <v>1561</v>
      </c>
      <c r="E56" s="145" t="s">
        <v>3220</v>
      </c>
      <c r="F56" s="153" t="s">
        <v>2009</v>
      </c>
      <c r="G56" s="153" t="s">
        <v>2009</v>
      </c>
      <c r="H56" s="146">
        <v>0</v>
      </c>
      <c r="I56" s="146">
        <v>0</v>
      </c>
      <c r="J56" s="146">
        <v>0</v>
      </c>
    </row>
    <row r="57" spans="1:10">
      <c r="A57" s="145" t="s">
        <v>2021</v>
      </c>
      <c r="B57" s="145" t="s">
        <v>2025</v>
      </c>
      <c r="C57" s="145" t="s">
        <v>1600</v>
      </c>
      <c r="D57" s="145" t="s">
        <v>1562</v>
      </c>
      <c r="E57" s="145" t="s">
        <v>3221</v>
      </c>
      <c r="F57" s="153" t="s">
        <v>2009</v>
      </c>
      <c r="G57" s="153" t="s">
        <v>2009</v>
      </c>
      <c r="H57" s="146">
        <v>0</v>
      </c>
      <c r="I57" s="146">
        <v>0</v>
      </c>
      <c r="J57" s="146">
        <v>0</v>
      </c>
    </row>
    <row r="58" spans="1:10">
      <c r="A58" s="145" t="s">
        <v>2021</v>
      </c>
      <c r="B58" s="145" t="s">
        <v>2026</v>
      </c>
      <c r="C58" s="145" t="s">
        <v>1650</v>
      </c>
      <c r="D58" s="145" t="s">
        <v>1555</v>
      </c>
      <c r="E58" s="145" t="s">
        <v>3222</v>
      </c>
      <c r="F58" s="153" t="s">
        <v>1419</v>
      </c>
      <c r="G58" s="153" t="s">
        <v>1356</v>
      </c>
      <c r="H58" s="146">
        <v>1</v>
      </c>
      <c r="I58" s="146">
        <v>1</v>
      </c>
      <c r="J58" s="146">
        <v>1</v>
      </c>
    </row>
    <row r="59" spans="1:10">
      <c r="A59" s="145" t="s">
        <v>2021</v>
      </c>
      <c r="B59" s="145" t="s">
        <v>2026</v>
      </c>
      <c r="C59" s="145" t="s">
        <v>1651</v>
      </c>
      <c r="D59" s="145" t="s">
        <v>1556</v>
      </c>
      <c r="E59" s="145" t="s">
        <v>2341</v>
      </c>
      <c r="F59" s="153" t="s">
        <v>2009</v>
      </c>
      <c r="G59" s="153" t="s">
        <v>2009</v>
      </c>
      <c r="H59" s="146">
        <v>0</v>
      </c>
      <c r="I59" s="146">
        <v>0</v>
      </c>
      <c r="J59" s="146">
        <v>0</v>
      </c>
    </row>
    <row r="60" spans="1:10">
      <c r="A60" s="145" t="s">
        <v>2021</v>
      </c>
      <c r="B60" s="145" t="s">
        <v>2026</v>
      </c>
      <c r="C60" s="145" t="s">
        <v>1625</v>
      </c>
      <c r="D60" s="145" t="s">
        <v>1554</v>
      </c>
      <c r="E60" s="145" t="s">
        <v>3223</v>
      </c>
      <c r="F60" s="153" t="s">
        <v>2009</v>
      </c>
      <c r="G60" s="153" t="s">
        <v>2009</v>
      </c>
      <c r="H60" s="146">
        <v>0</v>
      </c>
      <c r="I60" s="146">
        <v>0</v>
      </c>
      <c r="J60" s="146">
        <v>0</v>
      </c>
    </row>
    <row r="61" spans="1:10">
      <c r="A61" s="145" t="s">
        <v>2021</v>
      </c>
      <c r="B61" s="145" t="s">
        <v>2026</v>
      </c>
      <c r="C61" s="145" t="s">
        <v>2119</v>
      </c>
      <c r="D61" s="145" t="s">
        <v>2238</v>
      </c>
      <c r="E61" s="145" t="s">
        <v>2342</v>
      </c>
      <c r="F61" s="153" t="s">
        <v>1419</v>
      </c>
      <c r="G61" s="153" t="s">
        <v>1356</v>
      </c>
      <c r="H61" s="146">
        <v>1</v>
      </c>
      <c r="I61" s="146">
        <v>1</v>
      </c>
      <c r="J61" s="146">
        <v>1</v>
      </c>
    </row>
    <row r="62" spans="1:10" ht="40" customHeight="1">
      <c r="A62" s="145" t="s">
        <v>2021</v>
      </c>
      <c r="B62" s="145" t="s">
        <v>3143</v>
      </c>
      <c r="C62" s="145" t="s">
        <v>3177</v>
      </c>
      <c r="D62" s="145" t="s">
        <v>1557</v>
      </c>
      <c r="E62" s="145" t="s">
        <v>3224</v>
      </c>
      <c r="F62" s="153" t="s">
        <v>2009</v>
      </c>
      <c r="G62" s="153" t="s">
        <v>2009</v>
      </c>
      <c r="H62" s="146">
        <v>1</v>
      </c>
      <c r="I62" s="146">
        <v>2</v>
      </c>
      <c r="J62" s="146">
        <v>2</v>
      </c>
    </row>
    <row r="63" spans="1:10">
      <c r="A63" s="145" t="s">
        <v>2021</v>
      </c>
      <c r="B63" s="145" t="s">
        <v>3143</v>
      </c>
      <c r="C63" s="145" t="s">
        <v>1626</v>
      </c>
      <c r="D63" s="145" t="s">
        <v>1558</v>
      </c>
      <c r="E63" s="145" t="s">
        <v>2343</v>
      </c>
      <c r="F63" s="153" t="s">
        <v>1419</v>
      </c>
      <c r="G63" s="153" t="s">
        <v>1356</v>
      </c>
      <c r="H63" s="146">
        <v>1</v>
      </c>
      <c r="I63" s="146">
        <v>3</v>
      </c>
      <c r="J63" s="146">
        <v>3</v>
      </c>
    </row>
    <row r="64" spans="1:10">
      <c r="A64" s="145" t="s">
        <v>2021</v>
      </c>
      <c r="B64" s="145" t="s">
        <v>3143</v>
      </c>
      <c r="C64" s="145" t="s">
        <v>1634</v>
      </c>
      <c r="D64" s="145" t="s">
        <v>1579</v>
      </c>
      <c r="E64" s="145" t="s">
        <v>3225</v>
      </c>
      <c r="F64" s="153" t="s">
        <v>1419</v>
      </c>
      <c r="G64" s="153" t="s">
        <v>1356</v>
      </c>
      <c r="H64" s="146">
        <v>1</v>
      </c>
      <c r="I64" s="146">
        <v>1</v>
      </c>
      <c r="J64" s="146">
        <v>1</v>
      </c>
    </row>
    <row r="65" spans="1:22">
      <c r="A65" s="145" t="s">
        <v>2027</v>
      </c>
      <c r="B65" s="145" t="s">
        <v>1649</v>
      </c>
      <c r="C65" s="145" t="s">
        <v>1623</v>
      </c>
      <c r="D65" s="145" t="s">
        <v>1552</v>
      </c>
      <c r="E65" s="145" t="s">
        <v>3226</v>
      </c>
      <c r="F65" s="153" t="s">
        <v>1356</v>
      </c>
      <c r="G65" s="153" t="s">
        <v>1419</v>
      </c>
      <c r="H65" s="146">
        <v>0</v>
      </c>
      <c r="I65" s="146">
        <v>0</v>
      </c>
      <c r="J65" s="146">
        <v>0</v>
      </c>
    </row>
    <row r="66" spans="1:22">
      <c r="A66" s="145" t="s">
        <v>2027</v>
      </c>
      <c r="B66" s="145" t="s">
        <v>1649</v>
      </c>
      <c r="C66" s="145" t="s">
        <v>1624</v>
      </c>
      <c r="D66" s="145" t="s">
        <v>1553</v>
      </c>
      <c r="E66" s="145" t="s">
        <v>3227</v>
      </c>
      <c r="F66" s="153" t="s">
        <v>1356</v>
      </c>
      <c r="G66" s="153" t="s">
        <v>1419</v>
      </c>
      <c r="H66" s="146">
        <v>0</v>
      </c>
      <c r="I66" s="146">
        <v>0</v>
      </c>
      <c r="J66" s="146">
        <v>0</v>
      </c>
    </row>
    <row r="67" spans="1:22">
      <c r="A67" s="145" t="s">
        <v>2027</v>
      </c>
      <c r="B67" s="145" t="s">
        <v>1649</v>
      </c>
      <c r="C67" s="145" t="s">
        <v>1652</v>
      </c>
      <c r="D67" s="145" t="s">
        <v>1560</v>
      </c>
      <c r="E67" s="145" t="s">
        <v>2344</v>
      </c>
      <c r="F67" s="153" t="s">
        <v>1356</v>
      </c>
      <c r="G67" s="153" t="s">
        <v>1419</v>
      </c>
      <c r="H67" s="146">
        <v>0</v>
      </c>
      <c r="I67" s="146">
        <v>0</v>
      </c>
      <c r="J67" s="146">
        <v>0</v>
      </c>
    </row>
    <row r="68" spans="1:22">
      <c r="A68" s="145" t="s">
        <v>2027</v>
      </c>
      <c r="B68" s="145" t="s">
        <v>1649</v>
      </c>
      <c r="C68" s="145" t="s">
        <v>1654</v>
      </c>
      <c r="D68" s="145" t="s">
        <v>1587</v>
      </c>
      <c r="E68" s="145" t="s">
        <v>1655</v>
      </c>
      <c r="F68" s="153" t="s">
        <v>1356</v>
      </c>
      <c r="G68" s="153" t="s">
        <v>1419</v>
      </c>
      <c r="H68" s="146">
        <v>0</v>
      </c>
      <c r="I68" s="146">
        <v>0</v>
      </c>
      <c r="J68" s="146">
        <v>0</v>
      </c>
    </row>
    <row r="69" spans="1:22">
      <c r="A69" s="145" t="s">
        <v>2027</v>
      </c>
      <c r="B69" s="145" t="s">
        <v>1649</v>
      </c>
      <c r="C69" s="145" t="s">
        <v>1619</v>
      </c>
      <c r="D69" s="145" t="s">
        <v>1540</v>
      </c>
      <c r="E69" s="145" t="s">
        <v>3228</v>
      </c>
      <c r="F69" s="153" t="s">
        <v>1356</v>
      </c>
      <c r="G69" s="153" t="s">
        <v>1419</v>
      </c>
      <c r="H69" s="146">
        <v>2</v>
      </c>
      <c r="I69" s="146">
        <v>3</v>
      </c>
      <c r="J69" s="146">
        <v>3</v>
      </c>
    </row>
    <row r="70" spans="1:22">
      <c r="A70" s="145" t="s">
        <v>2027</v>
      </c>
      <c r="B70" s="145" t="s">
        <v>1649</v>
      </c>
      <c r="C70" s="145" t="s">
        <v>1620</v>
      </c>
      <c r="D70" s="145" t="s">
        <v>1541</v>
      </c>
      <c r="E70" s="145" t="s">
        <v>2345</v>
      </c>
      <c r="F70" s="153" t="s">
        <v>1356</v>
      </c>
      <c r="G70" s="153" t="s">
        <v>1419</v>
      </c>
      <c r="H70" s="146">
        <v>0</v>
      </c>
      <c r="I70" s="146">
        <v>0</v>
      </c>
      <c r="J70" s="146">
        <v>0</v>
      </c>
    </row>
    <row r="71" spans="1:22">
      <c r="A71" s="145" t="s">
        <v>2027</v>
      </c>
      <c r="B71" s="145" t="s">
        <v>2028</v>
      </c>
      <c r="C71" s="145" t="s">
        <v>1629</v>
      </c>
      <c r="D71" s="145" t="s">
        <v>1566</v>
      </c>
      <c r="E71" s="145" t="s">
        <v>3229</v>
      </c>
      <c r="F71" s="153" t="s">
        <v>1356</v>
      </c>
      <c r="G71" s="153" t="s">
        <v>1419</v>
      </c>
      <c r="H71" s="146">
        <v>0</v>
      </c>
      <c r="I71" s="146">
        <v>0</v>
      </c>
      <c r="J71" s="146">
        <v>0</v>
      </c>
    </row>
    <row r="72" spans="1:22">
      <c r="A72" s="145" t="s">
        <v>2027</v>
      </c>
      <c r="B72" s="145" t="s">
        <v>2028</v>
      </c>
      <c r="C72" s="145" t="s">
        <v>1630</v>
      </c>
      <c r="D72" s="145" t="s">
        <v>1567</v>
      </c>
      <c r="E72" s="145" t="s">
        <v>2346</v>
      </c>
      <c r="F72" s="153" t="s">
        <v>1356</v>
      </c>
      <c r="G72" s="153" t="s">
        <v>1419</v>
      </c>
      <c r="H72" s="146">
        <v>0</v>
      </c>
      <c r="I72" s="146">
        <v>0</v>
      </c>
      <c r="J72" s="146">
        <v>0</v>
      </c>
    </row>
    <row r="73" spans="1:22">
      <c r="A73" s="145" t="s">
        <v>2027</v>
      </c>
      <c r="B73" s="145" t="s">
        <v>2028</v>
      </c>
      <c r="C73" s="145" t="s">
        <v>1602</v>
      </c>
      <c r="D73" s="145" t="s">
        <v>1564</v>
      </c>
      <c r="E73" s="145" t="s">
        <v>3230</v>
      </c>
      <c r="F73" s="153" t="s">
        <v>1356</v>
      </c>
      <c r="G73" s="153" t="s">
        <v>1419</v>
      </c>
      <c r="H73" s="146">
        <v>0</v>
      </c>
      <c r="I73" s="146">
        <v>0</v>
      </c>
      <c r="J73" s="146">
        <v>0</v>
      </c>
    </row>
    <row r="74" spans="1:22">
      <c r="A74" s="145" t="s">
        <v>2027</v>
      </c>
      <c r="B74" s="145" t="s">
        <v>2028</v>
      </c>
      <c r="C74" s="145" t="s">
        <v>2163</v>
      </c>
      <c r="D74" s="145" t="s">
        <v>1565</v>
      </c>
      <c r="E74" s="145" t="s">
        <v>2347</v>
      </c>
      <c r="F74" s="153" t="s">
        <v>2009</v>
      </c>
      <c r="G74" s="153" t="s">
        <v>2009</v>
      </c>
      <c r="H74" s="146">
        <v>0</v>
      </c>
      <c r="I74" s="146">
        <v>0</v>
      </c>
      <c r="J74" s="146">
        <v>0</v>
      </c>
    </row>
    <row r="75" spans="1:22">
      <c r="A75" s="145" t="s">
        <v>2027</v>
      </c>
      <c r="B75" s="145" t="s">
        <v>2028</v>
      </c>
      <c r="C75" s="145" t="s">
        <v>3178</v>
      </c>
      <c r="D75" s="145" t="s">
        <v>2298</v>
      </c>
      <c r="E75" s="145" t="s">
        <v>3231</v>
      </c>
      <c r="F75" s="153" t="s">
        <v>1419</v>
      </c>
      <c r="G75" s="153" t="s">
        <v>1356</v>
      </c>
      <c r="H75" s="146">
        <v>3</v>
      </c>
      <c r="I75" s="146">
        <v>4</v>
      </c>
      <c r="J75" s="146">
        <v>4</v>
      </c>
    </row>
    <row r="76" spans="1:22" s="120" customFormat="1">
      <c r="A76" s="145" t="s">
        <v>2027</v>
      </c>
      <c r="B76" s="145" t="s">
        <v>2028</v>
      </c>
      <c r="C76" s="145" t="s">
        <v>3179</v>
      </c>
      <c r="D76" s="145" t="s">
        <v>1568</v>
      </c>
      <c r="E76" s="145" t="s">
        <v>3232</v>
      </c>
      <c r="F76" s="153" t="s">
        <v>2009</v>
      </c>
      <c r="G76" s="153" t="s">
        <v>2009</v>
      </c>
      <c r="H76" s="146">
        <v>1</v>
      </c>
      <c r="I76" s="146">
        <v>0.5</v>
      </c>
      <c r="J76" s="146">
        <v>0.5</v>
      </c>
      <c r="K76"/>
      <c r="L76"/>
      <c r="M76"/>
      <c r="N76"/>
      <c r="O76"/>
      <c r="P76"/>
      <c r="Q76"/>
      <c r="R76"/>
      <c r="S76"/>
      <c r="T76"/>
      <c r="U76"/>
      <c r="V76"/>
    </row>
    <row r="77" spans="1:22">
      <c r="A77" s="145" t="s">
        <v>2027</v>
      </c>
      <c r="B77" s="145" t="s">
        <v>2028</v>
      </c>
      <c r="C77" s="145" t="s">
        <v>2100</v>
      </c>
      <c r="D77" s="145" t="s">
        <v>1569</v>
      </c>
      <c r="E77" s="145" t="s">
        <v>3233</v>
      </c>
      <c r="F77" s="153" t="s">
        <v>1419</v>
      </c>
      <c r="G77" s="153" t="s">
        <v>1356</v>
      </c>
      <c r="H77" s="146">
        <v>1</v>
      </c>
      <c r="I77" s="146">
        <v>1</v>
      </c>
      <c r="J77" s="146">
        <v>0</v>
      </c>
    </row>
    <row r="78" spans="1:22">
      <c r="A78" s="145" t="s">
        <v>2027</v>
      </c>
      <c r="B78" s="145" t="s">
        <v>3146</v>
      </c>
      <c r="C78" s="145" t="s">
        <v>3180</v>
      </c>
      <c r="D78" s="145" t="s">
        <v>1570</v>
      </c>
      <c r="E78" s="145" t="s">
        <v>2348</v>
      </c>
      <c r="F78" s="153" t="s">
        <v>1419</v>
      </c>
      <c r="G78" s="153" t="s">
        <v>1356</v>
      </c>
      <c r="H78" s="146">
        <v>1</v>
      </c>
      <c r="I78" s="146">
        <v>1.5</v>
      </c>
      <c r="J78" s="146">
        <v>1.5</v>
      </c>
    </row>
    <row r="79" spans="1:22">
      <c r="A79" s="145" t="s">
        <v>2027</v>
      </c>
      <c r="B79" s="145" t="s">
        <v>3146</v>
      </c>
      <c r="C79" s="145" t="s">
        <v>3234</v>
      </c>
      <c r="D79" s="145" t="s">
        <v>1571</v>
      </c>
      <c r="E79" s="145" t="s">
        <v>2349</v>
      </c>
      <c r="F79" s="153" t="s">
        <v>1419</v>
      </c>
      <c r="G79" s="153" t="s">
        <v>1356</v>
      </c>
      <c r="H79" s="146">
        <v>0</v>
      </c>
      <c r="I79" s="146">
        <v>0</v>
      </c>
      <c r="J79" s="146">
        <v>0</v>
      </c>
    </row>
    <row r="80" spans="1:22">
      <c r="A80" s="145" t="s">
        <v>1692</v>
      </c>
      <c r="B80" s="145" t="s">
        <v>2029</v>
      </c>
      <c r="C80" s="145" t="s">
        <v>2182</v>
      </c>
      <c r="D80" s="145" t="s">
        <v>2310</v>
      </c>
      <c r="E80" s="145" t="s">
        <v>3753</v>
      </c>
      <c r="F80" s="153" t="s">
        <v>1419</v>
      </c>
      <c r="G80" s="153" t="s">
        <v>1356</v>
      </c>
      <c r="H80" s="146">
        <v>1</v>
      </c>
      <c r="I80" s="146">
        <v>1</v>
      </c>
      <c r="J80" s="146">
        <v>1</v>
      </c>
    </row>
    <row r="81" spans="1:22" s="120" customFormat="1">
      <c r="A81" s="145" t="s">
        <v>1692</v>
      </c>
      <c r="B81" s="145" t="s">
        <v>2029</v>
      </c>
      <c r="C81" s="145" t="s">
        <v>3754</v>
      </c>
      <c r="D81" s="145" t="s">
        <v>3755</v>
      </c>
      <c r="E81" s="145" t="s">
        <v>3756</v>
      </c>
      <c r="F81" s="153" t="s">
        <v>1419</v>
      </c>
      <c r="G81" s="153" t="s">
        <v>2009</v>
      </c>
      <c r="H81" s="146">
        <v>1</v>
      </c>
      <c r="I81" s="146">
        <v>2</v>
      </c>
      <c r="J81" s="146">
        <v>2</v>
      </c>
      <c r="K81"/>
      <c r="L81"/>
      <c r="M81"/>
      <c r="N81"/>
      <c r="O81"/>
      <c r="P81"/>
      <c r="Q81"/>
      <c r="R81"/>
      <c r="S81"/>
      <c r="T81"/>
      <c r="U81"/>
      <c r="V81"/>
    </row>
    <row r="82" spans="1:22" s="120" customFormat="1" ht="48" customHeight="1">
      <c r="A82" s="145" t="s">
        <v>1692</v>
      </c>
      <c r="B82" s="145" t="s">
        <v>2029</v>
      </c>
      <c r="C82" s="145" t="s">
        <v>2167</v>
      </c>
      <c r="D82" s="145" t="s">
        <v>1575</v>
      </c>
      <c r="E82" s="145" t="s">
        <v>3235</v>
      </c>
      <c r="F82" s="153" t="s">
        <v>2009</v>
      </c>
      <c r="G82" s="153" t="s">
        <v>2009</v>
      </c>
      <c r="H82" s="146">
        <v>0</v>
      </c>
      <c r="I82" s="146">
        <v>0</v>
      </c>
      <c r="J82" s="146">
        <v>0</v>
      </c>
      <c r="K82"/>
      <c r="L82"/>
      <c r="M82"/>
      <c r="N82"/>
      <c r="O82"/>
      <c r="P82"/>
      <c r="Q82"/>
      <c r="R82"/>
      <c r="S82"/>
      <c r="T82"/>
      <c r="U82"/>
      <c r="V82"/>
    </row>
    <row r="83" spans="1:22">
      <c r="A83" s="145" t="s">
        <v>1692</v>
      </c>
      <c r="B83" s="145" t="s">
        <v>2029</v>
      </c>
      <c r="C83" s="145" t="s">
        <v>2082</v>
      </c>
      <c r="D83" s="145" t="s">
        <v>1580</v>
      </c>
      <c r="E83" s="145" t="s">
        <v>3236</v>
      </c>
      <c r="F83" s="153" t="s">
        <v>1419</v>
      </c>
      <c r="G83" s="153" t="s">
        <v>1356</v>
      </c>
      <c r="H83" s="146">
        <v>0</v>
      </c>
      <c r="I83" s="146">
        <v>0</v>
      </c>
      <c r="J83" s="146">
        <v>0</v>
      </c>
    </row>
    <row r="84" spans="1:22">
      <c r="A84" s="145" t="s">
        <v>1692</v>
      </c>
      <c r="B84" s="145" t="s">
        <v>2029</v>
      </c>
      <c r="C84" s="145" t="s">
        <v>1632</v>
      </c>
      <c r="D84" s="145" t="s">
        <v>1576</v>
      </c>
      <c r="E84" s="145" t="s">
        <v>2350</v>
      </c>
      <c r="F84" s="153" t="s">
        <v>1419</v>
      </c>
      <c r="G84" s="153" t="s">
        <v>1356</v>
      </c>
      <c r="H84" s="146">
        <v>0</v>
      </c>
      <c r="I84" s="146">
        <v>0</v>
      </c>
      <c r="J84" s="146">
        <v>0</v>
      </c>
    </row>
    <row r="85" spans="1:22">
      <c r="A85" s="145" t="s">
        <v>1692</v>
      </c>
      <c r="B85" s="145" t="s">
        <v>2030</v>
      </c>
      <c r="C85" s="145" t="s">
        <v>1601</v>
      </c>
      <c r="D85" s="145" t="s">
        <v>1572</v>
      </c>
      <c r="E85" s="145" t="s">
        <v>3728</v>
      </c>
      <c r="F85" s="153" t="s">
        <v>1419</v>
      </c>
      <c r="G85" s="153" t="s">
        <v>1356</v>
      </c>
      <c r="H85" s="146">
        <v>3</v>
      </c>
      <c r="I85" s="146">
        <v>7</v>
      </c>
      <c r="J85" s="146">
        <v>7</v>
      </c>
    </row>
    <row r="86" spans="1:22" s="120" customFormat="1">
      <c r="A86" s="145" t="s">
        <v>1692</v>
      </c>
      <c r="B86" s="145" t="s">
        <v>2030</v>
      </c>
      <c r="C86" s="145" t="s">
        <v>3181</v>
      </c>
      <c r="D86" s="145" t="s">
        <v>1573</v>
      </c>
      <c r="E86" s="145" t="s">
        <v>3237</v>
      </c>
      <c r="F86" s="153" t="s">
        <v>1419</v>
      </c>
      <c r="G86" s="153" t="s">
        <v>1356</v>
      </c>
      <c r="H86" s="146">
        <v>1</v>
      </c>
      <c r="I86" s="146">
        <v>2</v>
      </c>
      <c r="J86" s="146">
        <v>2</v>
      </c>
      <c r="K86"/>
      <c r="L86"/>
      <c r="M86"/>
      <c r="N86"/>
      <c r="O86"/>
      <c r="P86"/>
      <c r="Q86"/>
      <c r="R86"/>
      <c r="S86"/>
      <c r="T86"/>
      <c r="U86"/>
      <c r="V86"/>
    </row>
    <row r="87" spans="1:22">
      <c r="A87" s="145" t="s">
        <v>1692</v>
      </c>
      <c r="B87" s="145" t="s">
        <v>2030</v>
      </c>
      <c r="C87" s="145" t="s">
        <v>1631</v>
      </c>
      <c r="D87" s="145" t="s">
        <v>1574</v>
      </c>
      <c r="E87" s="145" t="s">
        <v>2351</v>
      </c>
      <c r="F87" s="153" t="s">
        <v>1419</v>
      </c>
      <c r="G87" s="153" t="s">
        <v>1356</v>
      </c>
      <c r="H87" s="146">
        <v>1</v>
      </c>
      <c r="I87" s="146">
        <v>1</v>
      </c>
      <c r="J87" s="146">
        <v>1</v>
      </c>
    </row>
    <row r="88" spans="1:22" s="120" customFormat="1">
      <c r="A88" s="145" t="s">
        <v>2032</v>
      </c>
      <c r="B88" s="145" t="s">
        <v>2031</v>
      </c>
      <c r="C88" s="145" t="s">
        <v>1627</v>
      </c>
      <c r="D88" s="145" t="s">
        <v>1559</v>
      </c>
      <c r="E88" s="145" t="s">
        <v>2352</v>
      </c>
      <c r="F88" s="153" t="s">
        <v>2009</v>
      </c>
      <c r="G88" s="153" t="s">
        <v>2009</v>
      </c>
      <c r="H88" s="146">
        <v>0</v>
      </c>
      <c r="I88" s="146">
        <v>0</v>
      </c>
      <c r="J88" s="146">
        <v>0</v>
      </c>
      <c r="K88"/>
      <c r="L88"/>
      <c r="M88"/>
      <c r="N88"/>
      <c r="O88"/>
      <c r="P88"/>
      <c r="Q88"/>
      <c r="R88"/>
      <c r="S88"/>
      <c r="T88"/>
      <c r="U88"/>
      <c r="V88"/>
    </row>
    <row r="89" spans="1:22">
      <c r="A89" s="145" t="s">
        <v>2032</v>
      </c>
      <c r="B89" s="145" t="s">
        <v>2031</v>
      </c>
      <c r="C89" s="145" t="s">
        <v>2136</v>
      </c>
      <c r="D89" s="145" t="s">
        <v>2254</v>
      </c>
      <c r="E89" s="145" t="s">
        <v>2353</v>
      </c>
      <c r="F89" s="153" t="s">
        <v>2009</v>
      </c>
      <c r="G89" s="153" t="s">
        <v>2009</v>
      </c>
      <c r="H89" s="146">
        <v>4</v>
      </c>
      <c r="I89" s="146">
        <v>5</v>
      </c>
      <c r="J89" s="146">
        <v>2</v>
      </c>
    </row>
    <row r="90" spans="1:22">
      <c r="A90" s="145" t="s">
        <v>2032</v>
      </c>
      <c r="B90" s="145" t="s">
        <v>2031</v>
      </c>
      <c r="C90" s="145" t="s">
        <v>1628</v>
      </c>
      <c r="D90" s="145" t="s">
        <v>1563</v>
      </c>
      <c r="E90" s="145" t="s">
        <v>2354</v>
      </c>
      <c r="F90" s="153" t="s">
        <v>1419</v>
      </c>
      <c r="G90" s="153" t="s">
        <v>1356</v>
      </c>
      <c r="H90" s="146">
        <v>0</v>
      </c>
      <c r="I90" s="146">
        <v>0</v>
      </c>
      <c r="J90" s="146">
        <v>0</v>
      </c>
    </row>
    <row r="91" spans="1:22">
      <c r="A91" s="145" t="s">
        <v>2032</v>
      </c>
      <c r="B91" s="145" t="s">
        <v>2031</v>
      </c>
      <c r="C91" s="145" t="s">
        <v>2190</v>
      </c>
      <c r="D91" s="145" t="s">
        <v>2318</v>
      </c>
      <c r="E91" s="145" t="s">
        <v>2355</v>
      </c>
      <c r="F91" s="153" t="s">
        <v>1419</v>
      </c>
      <c r="G91" s="153" t="s">
        <v>1356</v>
      </c>
      <c r="H91" s="146">
        <v>1</v>
      </c>
      <c r="I91" s="146">
        <v>1</v>
      </c>
      <c r="J91" s="146">
        <v>1</v>
      </c>
    </row>
    <row r="92" spans="1:22">
      <c r="A92" s="145" t="s">
        <v>2032</v>
      </c>
      <c r="B92" s="145" t="s">
        <v>2034</v>
      </c>
      <c r="C92" s="145" t="s">
        <v>1638</v>
      </c>
      <c r="D92" s="145" t="s">
        <v>1584</v>
      </c>
      <c r="E92" s="145" t="s">
        <v>3238</v>
      </c>
      <c r="F92" s="153" t="s">
        <v>1419</v>
      </c>
      <c r="G92" s="153" t="s">
        <v>1356</v>
      </c>
      <c r="H92" s="146">
        <v>2</v>
      </c>
      <c r="I92" s="146">
        <v>2.5</v>
      </c>
      <c r="J92" s="146">
        <v>2.5</v>
      </c>
    </row>
    <row r="93" spans="1:22">
      <c r="A93" s="145" t="s">
        <v>2032</v>
      </c>
      <c r="B93" s="145" t="s">
        <v>2034</v>
      </c>
      <c r="C93" s="145" t="s">
        <v>1639</v>
      </c>
      <c r="D93" s="145" t="s">
        <v>1585</v>
      </c>
      <c r="E93" s="145" t="s">
        <v>2356</v>
      </c>
      <c r="F93" s="153" t="s">
        <v>1419</v>
      </c>
      <c r="G93" s="153" t="s">
        <v>1356</v>
      </c>
      <c r="H93" s="146">
        <v>1</v>
      </c>
      <c r="I93" s="146">
        <v>0.5</v>
      </c>
      <c r="J93" s="146">
        <v>0.5</v>
      </c>
    </row>
    <row r="94" spans="1:22" s="120" customFormat="1">
      <c r="A94" s="145" t="s">
        <v>2032</v>
      </c>
      <c r="B94" s="145" t="s">
        <v>2034</v>
      </c>
      <c r="C94" s="145" t="s">
        <v>1640</v>
      </c>
      <c r="D94" s="145" t="s">
        <v>1586</v>
      </c>
      <c r="E94" s="145" t="s">
        <v>2357</v>
      </c>
      <c r="F94" s="153" t="s">
        <v>1419</v>
      </c>
      <c r="G94" s="153" t="s">
        <v>1356</v>
      </c>
      <c r="H94" s="146">
        <v>1</v>
      </c>
      <c r="I94" s="146">
        <v>0.5</v>
      </c>
      <c r="J94" s="146">
        <v>0.5</v>
      </c>
      <c r="K94"/>
      <c r="L94"/>
      <c r="M94"/>
      <c r="N94"/>
      <c r="O94"/>
      <c r="P94"/>
      <c r="Q94"/>
      <c r="R94"/>
      <c r="S94"/>
      <c r="T94"/>
      <c r="U94"/>
      <c r="V94"/>
    </row>
    <row r="95" spans="1:22">
      <c r="A95" s="145" t="s">
        <v>2032</v>
      </c>
      <c r="B95" s="145" t="s">
        <v>2036</v>
      </c>
      <c r="C95" s="145" t="s">
        <v>1637</v>
      </c>
      <c r="D95" s="145" t="s">
        <v>1583</v>
      </c>
      <c r="E95" s="145" t="s">
        <v>2358</v>
      </c>
      <c r="F95" s="153" t="s">
        <v>1419</v>
      </c>
      <c r="G95" s="153" t="s">
        <v>1356</v>
      </c>
      <c r="H95" s="146">
        <v>0</v>
      </c>
      <c r="I95" s="146">
        <v>0</v>
      </c>
      <c r="J95" s="146">
        <v>0</v>
      </c>
    </row>
    <row r="96" spans="1:22">
      <c r="A96" s="145" t="s">
        <v>2032</v>
      </c>
      <c r="B96" s="145" t="s">
        <v>2036</v>
      </c>
      <c r="C96" s="145" t="s">
        <v>1636</v>
      </c>
      <c r="D96" s="145" t="s">
        <v>1582</v>
      </c>
      <c r="E96" s="145" t="s">
        <v>3757</v>
      </c>
      <c r="F96" s="153" t="s">
        <v>1419</v>
      </c>
      <c r="G96" s="153" t="s">
        <v>1356</v>
      </c>
      <c r="H96" s="146">
        <v>0</v>
      </c>
      <c r="I96" s="146">
        <v>0</v>
      </c>
      <c r="J96" s="146">
        <v>0</v>
      </c>
    </row>
    <row r="97" spans="1:22">
      <c r="A97" s="145" t="s">
        <v>2032</v>
      </c>
      <c r="B97" s="145" t="s">
        <v>1653</v>
      </c>
      <c r="C97" s="145" t="s">
        <v>1633</v>
      </c>
      <c r="D97" s="145" t="s">
        <v>1577</v>
      </c>
      <c r="E97" s="145" t="s">
        <v>2359</v>
      </c>
      <c r="F97" s="153" t="s">
        <v>1419</v>
      </c>
      <c r="G97" s="153" t="s">
        <v>1356</v>
      </c>
      <c r="H97" s="146">
        <v>1</v>
      </c>
      <c r="I97" s="146">
        <v>1</v>
      </c>
      <c r="J97" s="146">
        <v>1</v>
      </c>
    </row>
    <row r="98" spans="1:22">
      <c r="A98" s="145" t="s">
        <v>2032</v>
      </c>
      <c r="B98" s="145" t="s">
        <v>1653</v>
      </c>
      <c r="C98" s="145" t="s">
        <v>2096</v>
      </c>
      <c r="D98" s="145" t="s">
        <v>1578</v>
      </c>
      <c r="E98" s="145" t="s">
        <v>3239</v>
      </c>
      <c r="F98" s="153" t="s">
        <v>1419</v>
      </c>
      <c r="G98" s="153" t="s">
        <v>1356</v>
      </c>
      <c r="H98" s="146">
        <v>0</v>
      </c>
      <c r="I98" s="146">
        <v>0</v>
      </c>
      <c r="J98" s="146">
        <v>0</v>
      </c>
    </row>
    <row r="99" spans="1:22" s="120" customFormat="1">
      <c r="A99" s="145" t="s">
        <v>2040</v>
      </c>
      <c r="B99" s="145" t="s">
        <v>2039</v>
      </c>
      <c r="C99" s="145" t="s">
        <v>2132</v>
      </c>
      <c r="D99" s="145" t="s">
        <v>2250</v>
      </c>
      <c r="E99" s="145" t="s">
        <v>2360</v>
      </c>
      <c r="F99" s="153" t="s">
        <v>1419</v>
      </c>
      <c r="G99" s="153" t="s">
        <v>1356</v>
      </c>
      <c r="H99" s="146">
        <v>1</v>
      </c>
      <c r="I99" s="146">
        <v>2</v>
      </c>
      <c r="J99" s="146">
        <v>2</v>
      </c>
      <c r="K99"/>
      <c r="L99"/>
      <c r="M99"/>
      <c r="N99"/>
      <c r="O99"/>
      <c r="P99"/>
      <c r="Q99"/>
      <c r="R99"/>
      <c r="S99"/>
      <c r="T99"/>
      <c r="U99"/>
      <c r="V99"/>
    </row>
    <row r="100" spans="1:22" s="120" customFormat="1" ht="48" customHeight="1">
      <c r="A100" s="145" t="s">
        <v>2040</v>
      </c>
      <c r="B100" s="145" t="s">
        <v>2039</v>
      </c>
      <c r="C100" s="145" t="s">
        <v>2086</v>
      </c>
      <c r="D100" s="145" t="s">
        <v>2207</v>
      </c>
      <c r="E100" s="145" t="s">
        <v>2361</v>
      </c>
      <c r="F100" s="153" t="s">
        <v>1419</v>
      </c>
      <c r="G100" s="153" t="s">
        <v>1356</v>
      </c>
      <c r="H100" s="146">
        <v>2</v>
      </c>
      <c r="I100" s="146">
        <v>4</v>
      </c>
      <c r="J100" s="146">
        <v>4</v>
      </c>
      <c r="K100"/>
      <c r="L100"/>
      <c r="M100"/>
      <c r="N100"/>
      <c r="O100"/>
      <c r="P100"/>
      <c r="Q100"/>
      <c r="R100"/>
      <c r="S100"/>
      <c r="T100"/>
      <c r="U100"/>
      <c r="V100"/>
    </row>
    <row r="101" spans="1:22">
      <c r="A101" s="145" t="s">
        <v>2040</v>
      </c>
      <c r="B101" s="145" t="s">
        <v>2039</v>
      </c>
      <c r="C101" s="145" t="s">
        <v>2088</v>
      </c>
      <c r="D101" s="145" t="s">
        <v>2209</v>
      </c>
      <c r="E101" s="145" t="s">
        <v>3240</v>
      </c>
      <c r="F101" s="153" t="s">
        <v>1419</v>
      </c>
      <c r="G101" s="153" t="s">
        <v>1356</v>
      </c>
      <c r="H101" s="146">
        <v>2</v>
      </c>
      <c r="I101" s="146">
        <v>2</v>
      </c>
      <c r="J101" s="146">
        <v>2</v>
      </c>
    </row>
    <row r="102" spans="1:22">
      <c r="A102" s="145" t="s">
        <v>2040</v>
      </c>
      <c r="B102" s="145" t="s">
        <v>2039</v>
      </c>
      <c r="C102" s="145" t="s">
        <v>2108</v>
      </c>
      <c r="D102" s="145" t="s">
        <v>2227</v>
      </c>
      <c r="E102" s="145" t="s">
        <v>3241</v>
      </c>
      <c r="F102" s="153" t="s">
        <v>1419</v>
      </c>
      <c r="G102" s="153" t="s">
        <v>1356</v>
      </c>
      <c r="H102" s="146">
        <v>1</v>
      </c>
      <c r="I102" s="146">
        <v>4</v>
      </c>
      <c r="J102" s="146">
        <v>4</v>
      </c>
    </row>
    <row r="103" spans="1:22">
      <c r="A103" s="145" t="s">
        <v>2040</v>
      </c>
      <c r="B103" s="145" t="s">
        <v>2039</v>
      </c>
      <c r="C103" s="145" t="s">
        <v>2178</v>
      </c>
      <c r="D103" s="145" t="s">
        <v>2306</v>
      </c>
      <c r="E103" s="145" t="s">
        <v>2362</v>
      </c>
      <c r="F103" s="153" t="s">
        <v>1419</v>
      </c>
      <c r="G103" s="153" t="s">
        <v>1356</v>
      </c>
      <c r="H103" s="146">
        <v>1</v>
      </c>
      <c r="I103" s="146">
        <v>1</v>
      </c>
      <c r="J103" s="146">
        <v>1</v>
      </c>
    </row>
    <row r="104" spans="1:22" s="120" customFormat="1">
      <c r="A104" s="145" t="s">
        <v>2040</v>
      </c>
      <c r="B104" s="145" t="s">
        <v>2039</v>
      </c>
      <c r="C104" s="145" t="s">
        <v>2094</v>
      </c>
      <c r="D104" s="145" t="s">
        <v>2216</v>
      </c>
      <c r="E104" s="145" t="s">
        <v>2363</v>
      </c>
      <c r="F104" s="153" t="s">
        <v>1419</v>
      </c>
      <c r="G104" s="153" t="s">
        <v>1356</v>
      </c>
      <c r="H104" s="146">
        <v>1</v>
      </c>
      <c r="I104" s="146">
        <v>1.5</v>
      </c>
      <c r="J104" s="146">
        <v>1.5</v>
      </c>
      <c r="K104"/>
      <c r="L104"/>
      <c r="M104"/>
      <c r="N104"/>
      <c r="O104"/>
      <c r="P104"/>
      <c r="Q104"/>
      <c r="R104"/>
      <c r="S104"/>
      <c r="T104"/>
      <c r="U104"/>
      <c r="V104"/>
    </row>
    <row r="105" spans="1:22" s="120" customFormat="1">
      <c r="A105" s="145" t="s">
        <v>2040</v>
      </c>
      <c r="B105" s="145" t="s">
        <v>2042</v>
      </c>
      <c r="C105" s="145" t="s">
        <v>2117</v>
      </c>
      <c r="D105" s="145" t="s">
        <v>2236</v>
      </c>
      <c r="E105" s="145" t="s">
        <v>2364</v>
      </c>
      <c r="F105" s="153" t="s">
        <v>1419</v>
      </c>
      <c r="G105" s="153" t="s">
        <v>1356</v>
      </c>
      <c r="H105" s="146">
        <v>1</v>
      </c>
      <c r="I105" s="146">
        <v>4</v>
      </c>
      <c r="J105" s="146">
        <v>4</v>
      </c>
      <c r="K105"/>
      <c r="L105"/>
      <c r="M105"/>
      <c r="N105"/>
      <c r="O105"/>
      <c r="P105"/>
      <c r="Q105"/>
      <c r="R105"/>
      <c r="S105"/>
      <c r="T105"/>
      <c r="U105"/>
      <c r="V105"/>
    </row>
    <row r="106" spans="1:22">
      <c r="A106" s="145" t="s">
        <v>2040</v>
      </c>
      <c r="B106" s="145" t="s">
        <v>2042</v>
      </c>
      <c r="C106" s="145" t="s">
        <v>2080</v>
      </c>
      <c r="D106" s="145" t="s">
        <v>2195</v>
      </c>
      <c r="E106" s="145" t="s">
        <v>2365</v>
      </c>
      <c r="F106" s="153" t="s">
        <v>1419</v>
      </c>
      <c r="G106" s="153" t="s">
        <v>1356</v>
      </c>
      <c r="H106" s="146">
        <v>3</v>
      </c>
      <c r="I106" s="146">
        <v>6.5</v>
      </c>
      <c r="J106" s="146">
        <v>6.5</v>
      </c>
    </row>
    <row r="107" spans="1:22">
      <c r="A107" s="145" t="s">
        <v>2040</v>
      </c>
      <c r="B107" s="145" t="s">
        <v>2042</v>
      </c>
      <c r="C107" s="145" t="s">
        <v>2098</v>
      </c>
      <c r="D107" s="145" t="s">
        <v>2219</v>
      </c>
      <c r="E107" s="145" t="s">
        <v>2366</v>
      </c>
      <c r="F107" s="153" t="s">
        <v>1419</v>
      </c>
      <c r="G107" s="153" t="s">
        <v>1356</v>
      </c>
      <c r="H107" s="146">
        <v>3</v>
      </c>
      <c r="I107" s="146">
        <v>3</v>
      </c>
      <c r="J107" s="146">
        <v>3</v>
      </c>
    </row>
    <row r="108" spans="1:22">
      <c r="A108" s="145" t="s">
        <v>2040</v>
      </c>
      <c r="B108" s="145" t="s">
        <v>2042</v>
      </c>
      <c r="C108" s="145" t="s">
        <v>2112</v>
      </c>
      <c r="D108" s="145" t="s">
        <v>2231</v>
      </c>
      <c r="E108" s="145" t="s">
        <v>2367</v>
      </c>
      <c r="F108" s="153" t="s">
        <v>1419</v>
      </c>
      <c r="G108" s="153" t="s">
        <v>1356</v>
      </c>
      <c r="H108" s="146">
        <v>1</v>
      </c>
      <c r="I108" s="146">
        <v>4</v>
      </c>
      <c r="J108" s="146">
        <v>4</v>
      </c>
    </row>
    <row r="109" spans="1:22">
      <c r="A109" s="145" t="s">
        <v>2040</v>
      </c>
      <c r="B109" s="145" t="s">
        <v>2044</v>
      </c>
      <c r="C109" s="145" t="s">
        <v>2092</v>
      </c>
      <c r="D109" s="145" t="s">
        <v>2214</v>
      </c>
      <c r="E109" s="145" t="s">
        <v>2368</v>
      </c>
      <c r="F109" s="153" t="s">
        <v>1419</v>
      </c>
      <c r="G109" s="153" t="s">
        <v>1356</v>
      </c>
      <c r="H109" s="146">
        <v>7</v>
      </c>
      <c r="I109" s="146">
        <v>11.5</v>
      </c>
      <c r="J109" s="146">
        <v>11.5</v>
      </c>
    </row>
    <row r="110" spans="1:22">
      <c r="A110" s="145" t="s">
        <v>2040</v>
      </c>
      <c r="B110" s="145" t="s">
        <v>2044</v>
      </c>
      <c r="C110" s="145" t="s">
        <v>2126</v>
      </c>
      <c r="D110" s="145" t="s">
        <v>2244</v>
      </c>
      <c r="E110" s="145" t="s">
        <v>2369</v>
      </c>
      <c r="F110" s="153" t="s">
        <v>1419</v>
      </c>
      <c r="G110" s="153" t="s">
        <v>1356</v>
      </c>
      <c r="H110" s="146">
        <v>1</v>
      </c>
      <c r="I110" s="146">
        <v>2</v>
      </c>
      <c r="J110" s="146">
        <v>2</v>
      </c>
    </row>
    <row r="111" spans="1:22" s="120" customFormat="1">
      <c r="A111" s="145" t="s">
        <v>2040</v>
      </c>
      <c r="B111" s="145" t="s">
        <v>2044</v>
      </c>
      <c r="C111" s="145" t="s">
        <v>2186</v>
      </c>
      <c r="D111" s="145" t="s">
        <v>2314</v>
      </c>
      <c r="E111" s="145" t="s">
        <v>2370</v>
      </c>
      <c r="F111" s="153" t="s">
        <v>1419</v>
      </c>
      <c r="G111" s="153" t="s">
        <v>1356</v>
      </c>
      <c r="H111" s="146">
        <v>1</v>
      </c>
      <c r="I111" s="146">
        <v>1</v>
      </c>
      <c r="J111" s="146">
        <v>1</v>
      </c>
      <c r="K111"/>
      <c r="L111"/>
      <c r="M111"/>
      <c r="N111"/>
      <c r="O111"/>
      <c r="P111"/>
      <c r="Q111"/>
      <c r="R111"/>
      <c r="S111"/>
      <c r="T111"/>
      <c r="U111"/>
      <c r="V111"/>
    </row>
    <row r="112" spans="1:22" s="120" customFormat="1">
      <c r="A112" s="145" t="s">
        <v>2040</v>
      </c>
      <c r="B112" s="145" t="s">
        <v>2046</v>
      </c>
      <c r="C112" s="145" t="s">
        <v>2084</v>
      </c>
      <c r="D112" s="145" t="s">
        <v>2203</v>
      </c>
      <c r="E112" s="145" t="s">
        <v>2371</v>
      </c>
      <c r="F112" s="153" t="s">
        <v>1419</v>
      </c>
      <c r="G112" s="153" t="s">
        <v>1356</v>
      </c>
      <c r="H112" s="146">
        <v>2</v>
      </c>
      <c r="I112" s="146">
        <v>4</v>
      </c>
      <c r="J112" s="146">
        <v>4</v>
      </c>
      <c r="K112"/>
      <c r="L112"/>
      <c r="M112"/>
      <c r="N112"/>
      <c r="O112"/>
      <c r="P112"/>
      <c r="Q112"/>
      <c r="R112"/>
      <c r="S112"/>
      <c r="T112"/>
      <c r="U112"/>
      <c r="V112"/>
    </row>
    <row r="113" spans="1:22" s="120" customFormat="1">
      <c r="A113" s="145" t="s">
        <v>2040</v>
      </c>
      <c r="B113" s="145" t="s">
        <v>2046</v>
      </c>
      <c r="C113" s="145" t="s">
        <v>2115</v>
      </c>
      <c r="D113" s="145" t="s">
        <v>2234</v>
      </c>
      <c r="E113" s="145" t="s">
        <v>2372</v>
      </c>
      <c r="F113" s="153" t="s">
        <v>1419</v>
      </c>
      <c r="G113" s="153" t="s">
        <v>1356</v>
      </c>
      <c r="H113" s="146">
        <v>3</v>
      </c>
      <c r="I113" s="146">
        <v>3</v>
      </c>
      <c r="J113" s="146">
        <v>3</v>
      </c>
      <c r="K113"/>
      <c r="L113"/>
      <c r="M113"/>
      <c r="N113"/>
      <c r="O113"/>
      <c r="P113"/>
      <c r="Q113"/>
      <c r="R113"/>
      <c r="S113"/>
      <c r="T113"/>
      <c r="U113"/>
      <c r="V113"/>
    </row>
    <row r="114" spans="1:22" s="120" customFormat="1" ht="51" customHeight="1">
      <c r="A114" s="145" t="s">
        <v>2040</v>
      </c>
      <c r="B114" s="145" t="s">
        <v>2046</v>
      </c>
      <c r="C114" s="145" t="s">
        <v>2138</v>
      </c>
      <c r="D114" s="145" t="s">
        <v>2256</v>
      </c>
      <c r="E114" s="145" t="s">
        <v>2373</v>
      </c>
      <c r="F114" s="153" t="s">
        <v>1419</v>
      </c>
      <c r="G114" s="153" t="s">
        <v>1356</v>
      </c>
      <c r="H114" s="146">
        <v>1</v>
      </c>
      <c r="I114" s="146">
        <v>3</v>
      </c>
      <c r="J114" s="146">
        <v>3</v>
      </c>
      <c r="K114"/>
      <c r="L114"/>
      <c r="M114"/>
      <c r="N114"/>
      <c r="O114"/>
      <c r="P114"/>
      <c r="Q114"/>
      <c r="R114"/>
      <c r="S114"/>
      <c r="T114"/>
      <c r="U114"/>
      <c r="V114"/>
    </row>
    <row r="115" spans="1:22">
      <c r="A115" s="145" t="s">
        <v>2040</v>
      </c>
      <c r="B115" s="145" t="s">
        <v>2048</v>
      </c>
      <c r="C115" s="145" t="s">
        <v>2176</v>
      </c>
      <c r="D115" s="145" t="s">
        <v>2304</v>
      </c>
      <c r="E115" s="145" t="s">
        <v>2374</v>
      </c>
      <c r="F115" s="153" t="s">
        <v>1419</v>
      </c>
      <c r="G115" s="153" t="s">
        <v>1356</v>
      </c>
      <c r="H115" s="146">
        <v>3</v>
      </c>
      <c r="I115" s="146">
        <v>3</v>
      </c>
      <c r="J115" s="146">
        <v>3</v>
      </c>
    </row>
    <row r="116" spans="1:22" s="120" customFormat="1">
      <c r="A116" s="145" t="s">
        <v>2040</v>
      </c>
      <c r="B116" s="145" t="s">
        <v>2048</v>
      </c>
      <c r="C116" s="145" t="s">
        <v>2128</v>
      </c>
      <c r="D116" s="145" t="s">
        <v>2246</v>
      </c>
      <c r="E116" s="145" t="s">
        <v>2375</v>
      </c>
      <c r="F116" s="153" t="s">
        <v>1419</v>
      </c>
      <c r="G116" s="153" t="s">
        <v>1356</v>
      </c>
      <c r="H116" s="146">
        <v>1</v>
      </c>
      <c r="I116" s="146">
        <v>1</v>
      </c>
      <c r="J116" s="146">
        <v>1</v>
      </c>
      <c r="K116"/>
      <c r="L116"/>
      <c r="M116"/>
      <c r="N116"/>
      <c r="O116"/>
      <c r="P116"/>
      <c r="Q116"/>
      <c r="R116"/>
      <c r="S116"/>
      <c r="T116"/>
      <c r="U116"/>
      <c r="V116"/>
    </row>
    <row r="117" spans="1:22" s="120" customFormat="1">
      <c r="A117" s="145" t="s">
        <v>2040</v>
      </c>
      <c r="B117" s="145" t="s">
        <v>2048</v>
      </c>
      <c r="C117" s="145" t="s">
        <v>2121</v>
      </c>
      <c r="D117" s="145" t="s">
        <v>2240</v>
      </c>
      <c r="E117" s="145" t="s">
        <v>2376</v>
      </c>
      <c r="F117" s="153" t="s">
        <v>1419</v>
      </c>
      <c r="G117" s="153" t="s">
        <v>1356</v>
      </c>
      <c r="H117" s="146">
        <v>2</v>
      </c>
      <c r="I117" s="146">
        <v>2</v>
      </c>
      <c r="J117" s="146">
        <v>2</v>
      </c>
      <c r="K117"/>
      <c r="L117"/>
      <c r="M117"/>
      <c r="N117"/>
      <c r="O117"/>
      <c r="P117"/>
      <c r="Q117"/>
      <c r="R117"/>
      <c r="S117"/>
      <c r="T117"/>
      <c r="U117"/>
      <c r="V117"/>
    </row>
    <row r="118" spans="1:22" s="120" customFormat="1">
      <c r="A118" s="145" t="s">
        <v>2040</v>
      </c>
      <c r="B118" s="145" t="s">
        <v>2048</v>
      </c>
      <c r="C118" s="145" t="s">
        <v>2123</v>
      </c>
      <c r="D118" s="145" t="s">
        <v>2242</v>
      </c>
      <c r="E118" s="145" t="s">
        <v>2377</v>
      </c>
      <c r="F118" s="153" t="s">
        <v>1419</v>
      </c>
      <c r="G118" s="153" t="s">
        <v>1356</v>
      </c>
      <c r="H118" s="146">
        <v>1</v>
      </c>
      <c r="I118" s="146">
        <v>0.5</v>
      </c>
      <c r="J118" s="146">
        <v>0.5</v>
      </c>
      <c r="K118"/>
      <c r="L118"/>
      <c r="M118"/>
      <c r="N118"/>
      <c r="O118"/>
      <c r="P118"/>
      <c r="Q118"/>
      <c r="R118"/>
      <c r="S118"/>
      <c r="T118"/>
      <c r="U118"/>
      <c r="V118"/>
    </row>
    <row r="119" spans="1:22" s="120" customFormat="1">
      <c r="A119" s="145" t="s">
        <v>2040</v>
      </c>
      <c r="B119" s="145" t="s">
        <v>2048</v>
      </c>
      <c r="C119" s="145" t="s">
        <v>3758</v>
      </c>
      <c r="D119" s="145" t="s">
        <v>3759</v>
      </c>
      <c r="E119" s="145" t="s">
        <v>3760</v>
      </c>
      <c r="F119" s="153" t="s">
        <v>1419</v>
      </c>
      <c r="G119" s="153" t="s">
        <v>1356</v>
      </c>
      <c r="H119" s="146">
        <v>1</v>
      </c>
      <c r="I119" s="146">
        <v>2</v>
      </c>
      <c r="J119" s="146">
        <v>2</v>
      </c>
      <c r="K119"/>
      <c r="L119"/>
      <c r="M119"/>
      <c r="N119"/>
      <c r="O119"/>
      <c r="P119"/>
      <c r="Q119"/>
      <c r="R119"/>
      <c r="S119"/>
      <c r="T119"/>
      <c r="U119"/>
      <c r="V119"/>
    </row>
    <row r="120" spans="1:22" s="120" customFormat="1">
      <c r="A120" s="145" t="s">
        <v>2040</v>
      </c>
      <c r="B120" s="145" t="s">
        <v>2048</v>
      </c>
      <c r="C120" s="145" t="s">
        <v>3183</v>
      </c>
      <c r="D120" s="145" t="s">
        <v>2205</v>
      </c>
      <c r="E120" s="145" t="s">
        <v>3242</v>
      </c>
      <c r="F120" s="153" t="s">
        <v>1419</v>
      </c>
      <c r="G120" s="153" t="s">
        <v>1356</v>
      </c>
      <c r="H120" s="146">
        <v>3</v>
      </c>
      <c r="I120" s="146">
        <v>6</v>
      </c>
      <c r="J120" s="146">
        <v>6</v>
      </c>
      <c r="K120"/>
      <c r="L120"/>
      <c r="M120"/>
      <c r="N120"/>
      <c r="O120"/>
      <c r="P120"/>
      <c r="Q120"/>
      <c r="R120"/>
      <c r="S120"/>
      <c r="T120"/>
      <c r="U120"/>
      <c r="V120"/>
    </row>
    <row r="121" spans="1:22" s="120" customFormat="1">
      <c r="A121" s="145" t="s">
        <v>2040</v>
      </c>
      <c r="B121" s="145" t="s">
        <v>2048</v>
      </c>
      <c r="C121" s="145" t="s">
        <v>2175</v>
      </c>
      <c r="D121" s="145" t="s">
        <v>2303</v>
      </c>
      <c r="E121" s="145" t="s">
        <v>2378</v>
      </c>
      <c r="F121" s="153" t="s">
        <v>1419</v>
      </c>
      <c r="G121" s="153" t="s">
        <v>1356</v>
      </c>
      <c r="H121" s="146">
        <v>0</v>
      </c>
      <c r="I121" s="146">
        <v>0</v>
      </c>
      <c r="J121" s="146">
        <v>0</v>
      </c>
      <c r="K121"/>
      <c r="L121"/>
      <c r="M121"/>
      <c r="N121"/>
      <c r="O121"/>
      <c r="P121"/>
      <c r="Q121"/>
      <c r="R121"/>
      <c r="S121"/>
      <c r="T121"/>
      <c r="U121"/>
      <c r="V121"/>
    </row>
    <row r="122" spans="1:22" s="120" customFormat="1">
      <c r="A122" s="145" t="s">
        <v>2040</v>
      </c>
      <c r="B122" s="145" t="s">
        <v>2048</v>
      </c>
      <c r="C122" s="145" t="s">
        <v>2114</v>
      </c>
      <c r="D122" s="145" t="s">
        <v>2233</v>
      </c>
      <c r="E122" s="145" t="s">
        <v>2379</v>
      </c>
      <c r="F122" s="153" t="s">
        <v>1419</v>
      </c>
      <c r="G122" s="153" t="s">
        <v>1356</v>
      </c>
      <c r="H122" s="146">
        <v>0</v>
      </c>
      <c r="I122" s="146">
        <v>0</v>
      </c>
      <c r="J122" s="146">
        <v>0</v>
      </c>
      <c r="K122"/>
      <c r="L122"/>
      <c r="M122"/>
      <c r="N122"/>
      <c r="O122"/>
      <c r="P122"/>
      <c r="Q122"/>
      <c r="R122"/>
      <c r="S122"/>
      <c r="T122"/>
      <c r="U122"/>
      <c r="V122"/>
    </row>
    <row r="123" spans="1:22" s="120" customFormat="1">
      <c r="A123" s="145" t="s">
        <v>2040</v>
      </c>
      <c r="B123" s="145" t="s">
        <v>2049</v>
      </c>
      <c r="C123" s="145" t="s">
        <v>2110</v>
      </c>
      <c r="D123" s="145" t="s">
        <v>2229</v>
      </c>
      <c r="E123" s="145" t="s">
        <v>2380</v>
      </c>
      <c r="F123" s="153" t="s">
        <v>1419</v>
      </c>
      <c r="G123" s="153" t="s">
        <v>1356</v>
      </c>
      <c r="H123" s="146">
        <v>3</v>
      </c>
      <c r="I123" s="146">
        <v>3</v>
      </c>
      <c r="J123" s="146">
        <v>1</v>
      </c>
      <c r="K123"/>
      <c r="L123"/>
      <c r="M123"/>
      <c r="N123"/>
      <c r="O123"/>
      <c r="P123"/>
      <c r="Q123"/>
      <c r="R123"/>
      <c r="S123"/>
      <c r="T123"/>
      <c r="U123"/>
      <c r="V123"/>
    </row>
    <row r="124" spans="1:22" s="120" customFormat="1">
      <c r="A124" s="145" t="s">
        <v>2040</v>
      </c>
      <c r="B124" s="145" t="s">
        <v>2049</v>
      </c>
      <c r="C124" s="145" t="s">
        <v>2102</v>
      </c>
      <c r="D124" s="145" t="s">
        <v>2222</v>
      </c>
      <c r="E124" s="145" t="s">
        <v>3243</v>
      </c>
      <c r="F124" s="153" t="s">
        <v>2009</v>
      </c>
      <c r="G124" s="153" t="s">
        <v>2009</v>
      </c>
      <c r="H124" s="146">
        <v>1</v>
      </c>
      <c r="I124" s="146">
        <v>1.5</v>
      </c>
      <c r="J124" s="146">
        <v>1.5</v>
      </c>
      <c r="K124"/>
      <c r="L124"/>
      <c r="M124"/>
      <c r="N124"/>
      <c r="O124"/>
      <c r="P124"/>
      <c r="Q124"/>
      <c r="R124"/>
      <c r="S124"/>
      <c r="T124"/>
      <c r="U124"/>
      <c r="V124"/>
    </row>
    <row r="125" spans="1:22" s="120" customFormat="1">
      <c r="A125" s="145" t="s">
        <v>2040</v>
      </c>
      <c r="B125" s="145" t="s">
        <v>2051</v>
      </c>
      <c r="C125" s="145" t="s">
        <v>2134</v>
      </c>
      <c r="D125" s="145" t="s">
        <v>2252</v>
      </c>
      <c r="E125" s="145" t="s">
        <v>2381</v>
      </c>
      <c r="F125" s="153" t="s">
        <v>2009</v>
      </c>
      <c r="G125" s="153" t="s">
        <v>2009</v>
      </c>
      <c r="H125" s="146">
        <v>2</v>
      </c>
      <c r="I125" s="146">
        <v>3.5</v>
      </c>
      <c r="J125" s="146">
        <v>3.5</v>
      </c>
      <c r="K125"/>
      <c r="L125"/>
      <c r="M125"/>
      <c r="N125"/>
      <c r="O125"/>
      <c r="P125"/>
      <c r="Q125"/>
      <c r="R125"/>
      <c r="S125"/>
      <c r="T125"/>
      <c r="U125"/>
      <c r="V125"/>
    </row>
    <row r="126" spans="1:22" s="120" customFormat="1">
      <c r="A126" s="145" t="s">
        <v>2040</v>
      </c>
      <c r="B126" s="145" t="s">
        <v>2051</v>
      </c>
      <c r="C126" s="145" t="s">
        <v>2143</v>
      </c>
      <c r="D126" s="145" t="s">
        <v>2261</v>
      </c>
      <c r="E126" s="145" t="s">
        <v>2382</v>
      </c>
      <c r="F126" s="153" t="s">
        <v>2009</v>
      </c>
      <c r="G126" s="153" t="s">
        <v>2009</v>
      </c>
      <c r="H126" s="146">
        <v>1</v>
      </c>
      <c r="I126" s="146">
        <v>2</v>
      </c>
      <c r="J126" s="146">
        <v>2</v>
      </c>
      <c r="K126"/>
      <c r="L126"/>
      <c r="M126"/>
      <c r="N126"/>
      <c r="O126"/>
      <c r="P126"/>
      <c r="Q126"/>
      <c r="R126"/>
      <c r="S126"/>
      <c r="T126"/>
      <c r="U126"/>
      <c r="V126"/>
    </row>
    <row r="127" spans="1:22" s="120" customFormat="1">
      <c r="A127" s="145" t="s">
        <v>2040</v>
      </c>
      <c r="B127" s="145" t="s">
        <v>2051</v>
      </c>
      <c r="C127" s="145" t="s">
        <v>1503</v>
      </c>
      <c r="D127" s="145" t="s">
        <v>2263</v>
      </c>
      <c r="E127" s="145" t="s">
        <v>2383</v>
      </c>
      <c r="F127" s="153" t="s">
        <v>2009</v>
      </c>
      <c r="G127" s="153" t="s">
        <v>2009</v>
      </c>
      <c r="H127" s="146">
        <v>0</v>
      </c>
      <c r="I127" s="146">
        <v>0</v>
      </c>
      <c r="J127" s="146">
        <v>0</v>
      </c>
      <c r="K127"/>
      <c r="L127"/>
      <c r="M127"/>
      <c r="N127"/>
      <c r="O127"/>
      <c r="P127"/>
      <c r="Q127"/>
      <c r="R127"/>
      <c r="S127"/>
      <c r="T127"/>
      <c r="U127"/>
      <c r="V127"/>
    </row>
    <row r="128" spans="1:22" s="120" customFormat="1">
      <c r="A128" s="145" t="s">
        <v>2040</v>
      </c>
      <c r="B128" s="145" t="s">
        <v>2051</v>
      </c>
      <c r="C128" s="145" t="s">
        <v>2141</v>
      </c>
      <c r="D128" s="145" t="s">
        <v>2259</v>
      </c>
      <c r="E128" s="145" t="s">
        <v>2384</v>
      </c>
      <c r="F128" s="153" t="s">
        <v>1419</v>
      </c>
      <c r="G128" s="153" t="s">
        <v>1356</v>
      </c>
      <c r="H128" s="146">
        <v>2</v>
      </c>
      <c r="I128" s="146">
        <v>1.5</v>
      </c>
      <c r="J128" s="146">
        <v>1.5</v>
      </c>
      <c r="K128"/>
      <c r="L128"/>
      <c r="M128"/>
      <c r="N128"/>
      <c r="O128"/>
      <c r="P128"/>
      <c r="Q128"/>
      <c r="R128"/>
      <c r="S128"/>
      <c r="T128"/>
      <c r="U128"/>
      <c r="V128"/>
    </row>
    <row r="129" spans="1:22" s="120" customFormat="1">
      <c r="A129" s="145" t="s">
        <v>2040</v>
      </c>
      <c r="B129" s="145" t="s">
        <v>2053</v>
      </c>
      <c r="C129" s="145" t="s">
        <v>2130</v>
      </c>
      <c r="D129" s="145" t="s">
        <v>2248</v>
      </c>
      <c r="E129" s="145" t="s">
        <v>2385</v>
      </c>
      <c r="F129" s="153" t="s">
        <v>1419</v>
      </c>
      <c r="G129" s="153" t="s">
        <v>1356</v>
      </c>
      <c r="H129" s="146">
        <v>3</v>
      </c>
      <c r="I129" s="146">
        <v>2.5</v>
      </c>
      <c r="J129" s="146">
        <v>2.5</v>
      </c>
      <c r="K129"/>
      <c r="L129"/>
      <c r="M129"/>
      <c r="N129"/>
      <c r="O129"/>
      <c r="P129"/>
      <c r="Q129"/>
      <c r="R129"/>
      <c r="S129"/>
      <c r="T129"/>
      <c r="U129"/>
      <c r="V129"/>
    </row>
    <row r="130" spans="1:22" s="120" customFormat="1">
      <c r="A130" s="145" t="s">
        <v>2040</v>
      </c>
      <c r="B130" s="145" t="s">
        <v>2053</v>
      </c>
      <c r="C130" s="145" t="s">
        <v>2147</v>
      </c>
      <c r="D130" s="145" t="s">
        <v>2266</v>
      </c>
      <c r="E130" s="145" t="s">
        <v>3244</v>
      </c>
      <c r="F130" s="153" t="s">
        <v>1419</v>
      </c>
      <c r="G130" s="153" t="s">
        <v>1356</v>
      </c>
      <c r="H130" s="146">
        <v>0</v>
      </c>
      <c r="I130" s="146">
        <v>0</v>
      </c>
      <c r="J130" s="146">
        <v>0</v>
      </c>
      <c r="K130"/>
      <c r="L130"/>
      <c r="M130"/>
      <c r="N130"/>
      <c r="O130"/>
      <c r="P130"/>
      <c r="Q130"/>
      <c r="R130"/>
      <c r="S130"/>
      <c r="T130"/>
      <c r="U130"/>
      <c r="V130"/>
    </row>
    <row r="131" spans="1:22" s="120" customFormat="1">
      <c r="A131" s="145" t="s">
        <v>2040</v>
      </c>
      <c r="B131" s="145" t="s">
        <v>2053</v>
      </c>
      <c r="C131" s="145" t="s">
        <v>2168</v>
      </c>
      <c r="D131" s="145" t="s">
        <v>2291</v>
      </c>
      <c r="E131" s="145" t="s">
        <v>2386</v>
      </c>
      <c r="F131" s="153" t="s">
        <v>2009</v>
      </c>
      <c r="G131" s="153" t="s">
        <v>2009</v>
      </c>
      <c r="H131" s="146">
        <v>0</v>
      </c>
      <c r="I131" s="146">
        <v>0</v>
      </c>
      <c r="J131" s="146">
        <v>0</v>
      </c>
      <c r="K131"/>
      <c r="L131"/>
      <c r="M131"/>
      <c r="N131"/>
      <c r="O131"/>
      <c r="P131"/>
      <c r="Q131"/>
      <c r="R131"/>
      <c r="S131"/>
      <c r="T131"/>
      <c r="U131"/>
      <c r="V131"/>
    </row>
    <row r="132" spans="1:22" s="120" customFormat="1">
      <c r="A132" s="145" t="s">
        <v>2040</v>
      </c>
      <c r="B132" s="145" t="s">
        <v>2053</v>
      </c>
      <c r="C132" s="145" t="s">
        <v>2171</v>
      </c>
      <c r="D132" s="145" t="s">
        <v>2297</v>
      </c>
      <c r="E132" s="145" t="s">
        <v>2387</v>
      </c>
      <c r="F132" s="153" t="s">
        <v>2009</v>
      </c>
      <c r="G132" s="153" t="s">
        <v>2009</v>
      </c>
      <c r="H132" s="146">
        <v>0</v>
      </c>
      <c r="I132" s="146">
        <v>0</v>
      </c>
      <c r="J132" s="146">
        <v>0</v>
      </c>
      <c r="K132"/>
      <c r="L132"/>
      <c r="M132"/>
      <c r="N132"/>
      <c r="O132"/>
      <c r="P132"/>
      <c r="Q132"/>
      <c r="R132"/>
      <c r="S132"/>
      <c r="T132"/>
      <c r="U132"/>
      <c r="V132"/>
    </row>
    <row r="133" spans="1:22" s="120" customFormat="1">
      <c r="A133" s="145" t="s">
        <v>2040</v>
      </c>
      <c r="B133" s="145" t="s">
        <v>2053</v>
      </c>
      <c r="C133" s="145" t="s">
        <v>2145</v>
      </c>
      <c r="D133" s="145" t="s">
        <v>2264</v>
      </c>
      <c r="E133" s="145" t="s">
        <v>2388</v>
      </c>
      <c r="F133" s="153" t="s">
        <v>1419</v>
      </c>
      <c r="G133" s="153" t="s">
        <v>1356</v>
      </c>
      <c r="H133" s="146">
        <v>2</v>
      </c>
      <c r="I133" s="146">
        <v>7</v>
      </c>
      <c r="J133" s="146">
        <v>7</v>
      </c>
      <c r="K133"/>
      <c r="L133"/>
      <c r="M133"/>
      <c r="N133"/>
      <c r="O133"/>
      <c r="P133"/>
      <c r="Q133"/>
      <c r="R133"/>
      <c r="S133"/>
      <c r="T133"/>
      <c r="U133"/>
      <c r="V133"/>
    </row>
    <row r="134" spans="1:22" s="120" customFormat="1">
      <c r="A134" s="145" t="s">
        <v>2040</v>
      </c>
      <c r="B134" s="145" t="s">
        <v>2053</v>
      </c>
      <c r="C134" s="145" t="s">
        <v>2180</v>
      </c>
      <c r="D134" s="145" t="s">
        <v>2308</v>
      </c>
      <c r="E134" s="145" t="s">
        <v>2389</v>
      </c>
      <c r="F134" s="153" t="s">
        <v>1419</v>
      </c>
      <c r="G134" s="153" t="s">
        <v>1356</v>
      </c>
      <c r="H134" s="146">
        <v>10</v>
      </c>
      <c r="I134" s="146">
        <v>15</v>
      </c>
      <c r="J134" s="146">
        <v>15</v>
      </c>
      <c r="K134"/>
      <c r="L134"/>
      <c r="M134"/>
      <c r="N134"/>
      <c r="O134"/>
      <c r="P134"/>
      <c r="Q134"/>
      <c r="R134"/>
      <c r="S134"/>
      <c r="T134"/>
      <c r="U134"/>
      <c r="V134"/>
    </row>
    <row r="135" spans="1:22" s="120" customFormat="1">
      <c r="A135" s="145" t="s">
        <v>2040</v>
      </c>
      <c r="B135" s="145" t="s">
        <v>2053</v>
      </c>
      <c r="C135" s="145" t="s">
        <v>2083</v>
      </c>
      <c r="D135" s="145" t="s">
        <v>2202</v>
      </c>
      <c r="E135" s="145" t="s">
        <v>2390</v>
      </c>
      <c r="F135" s="153" t="s">
        <v>1419</v>
      </c>
      <c r="G135" s="153" t="s">
        <v>1356</v>
      </c>
      <c r="H135" s="146">
        <v>0</v>
      </c>
      <c r="I135" s="146">
        <v>0</v>
      </c>
      <c r="J135" s="146">
        <v>0</v>
      </c>
      <c r="K135"/>
      <c r="L135"/>
      <c r="M135"/>
      <c r="N135"/>
      <c r="O135"/>
      <c r="P135"/>
      <c r="Q135"/>
      <c r="R135"/>
      <c r="S135"/>
      <c r="T135"/>
      <c r="U135"/>
      <c r="V135"/>
    </row>
    <row r="136" spans="1:22" s="120" customFormat="1">
      <c r="A136" s="102" t="s">
        <v>2040</v>
      </c>
      <c r="B136" s="102" t="s">
        <v>2054</v>
      </c>
      <c r="C136" s="102" t="s">
        <v>2188</v>
      </c>
      <c r="D136" s="102" t="s">
        <v>2316</v>
      </c>
      <c r="E136" s="102" t="s">
        <v>2391</v>
      </c>
      <c r="F136" s="102" t="s">
        <v>1419</v>
      </c>
      <c r="G136" s="102" t="s">
        <v>1356</v>
      </c>
      <c r="H136" s="146">
        <v>1</v>
      </c>
      <c r="I136" s="146">
        <v>1</v>
      </c>
      <c r="J136" s="146">
        <v>1</v>
      </c>
      <c r="K136"/>
      <c r="L136"/>
      <c r="M136"/>
      <c r="N136"/>
      <c r="O136"/>
      <c r="P136"/>
      <c r="Q136"/>
      <c r="R136"/>
      <c r="S136"/>
      <c r="T136"/>
      <c r="U136"/>
      <c r="V136"/>
    </row>
    <row r="137" spans="1:22" s="120" customFormat="1">
      <c r="A137" s="102" t="s">
        <v>2040</v>
      </c>
      <c r="B137" s="102" t="s">
        <v>2054</v>
      </c>
      <c r="C137" s="102" t="s">
        <v>2184</v>
      </c>
      <c r="D137" s="102" t="s">
        <v>2312</v>
      </c>
      <c r="E137" s="102" t="s">
        <v>2392</v>
      </c>
      <c r="F137" s="102" t="s">
        <v>1419</v>
      </c>
      <c r="G137" s="102" t="s">
        <v>1356</v>
      </c>
      <c r="H137" s="146">
        <v>2</v>
      </c>
      <c r="I137" s="146">
        <v>3</v>
      </c>
      <c r="J137" s="146">
        <v>3</v>
      </c>
      <c r="K137"/>
      <c r="L137"/>
      <c r="M137"/>
      <c r="N137"/>
      <c r="O137"/>
      <c r="P137"/>
      <c r="Q137"/>
      <c r="R137"/>
      <c r="S137"/>
      <c r="T137"/>
      <c r="U137"/>
      <c r="V137"/>
    </row>
    <row r="138" spans="1:22" s="120" customFormat="1">
      <c r="A138" s="102" t="s">
        <v>2040</v>
      </c>
      <c r="B138" s="102" t="s">
        <v>2039</v>
      </c>
      <c r="C138" s="102" t="s">
        <v>3182</v>
      </c>
      <c r="D138" s="102" t="s">
        <v>2406</v>
      </c>
      <c r="E138" s="102" t="s">
        <v>3245</v>
      </c>
      <c r="F138" s="102" t="s">
        <v>1419</v>
      </c>
      <c r="G138" s="102" t="s">
        <v>1356</v>
      </c>
      <c r="H138" s="146">
        <v>3</v>
      </c>
      <c r="I138" s="146">
        <v>3</v>
      </c>
      <c r="J138" s="146">
        <v>3</v>
      </c>
      <c r="K138"/>
      <c r="L138"/>
      <c r="M138"/>
      <c r="N138"/>
      <c r="O138"/>
      <c r="P138"/>
      <c r="Q138"/>
      <c r="R138"/>
      <c r="S138"/>
      <c r="T138"/>
      <c r="U138"/>
      <c r="V138"/>
    </row>
    <row r="139" spans="1:22" s="120" customFormat="1">
      <c r="A139" s="102" t="s">
        <v>2040</v>
      </c>
      <c r="B139" s="102" t="s">
        <v>2048</v>
      </c>
      <c r="C139" s="102" t="s">
        <v>2830</v>
      </c>
      <c r="D139" s="102" t="s">
        <v>2831</v>
      </c>
      <c r="E139" s="102" t="s">
        <v>2832</v>
      </c>
      <c r="F139" s="102" t="s">
        <v>1419</v>
      </c>
      <c r="G139" s="102" t="s">
        <v>1356</v>
      </c>
      <c r="H139" s="102">
        <v>4</v>
      </c>
      <c r="I139" s="102">
        <v>7</v>
      </c>
      <c r="J139" s="102">
        <v>7</v>
      </c>
      <c r="K139"/>
      <c r="L139"/>
      <c r="M139"/>
      <c r="N139"/>
      <c r="O139"/>
      <c r="P139"/>
      <c r="Q139"/>
      <c r="R139"/>
      <c r="S139"/>
      <c r="T139"/>
      <c r="U139"/>
      <c r="V139"/>
    </row>
    <row r="140" spans="1:22" s="120" customFormat="1">
      <c r="A140" s="102" t="s">
        <v>2040</v>
      </c>
      <c r="B140" s="102" t="s">
        <v>2048</v>
      </c>
      <c r="C140" s="102" t="s">
        <v>2833</v>
      </c>
      <c r="D140" s="102" t="s">
        <v>2834</v>
      </c>
      <c r="E140" s="102" t="s">
        <v>2835</v>
      </c>
      <c r="F140" s="102" t="s">
        <v>1419</v>
      </c>
      <c r="G140" s="102" t="s">
        <v>1356</v>
      </c>
      <c r="H140" s="102">
        <v>1</v>
      </c>
      <c r="I140" s="102">
        <v>2</v>
      </c>
      <c r="J140" s="102">
        <v>2</v>
      </c>
      <c r="K140"/>
      <c r="L140"/>
      <c r="M140"/>
      <c r="N140"/>
      <c r="O140"/>
      <c r="P140"/>
      <c r="Q140"/>
      <c r="R140"/>
      <c r="S140"/>
      <c r="T140"/>
      <c r="U140"/>
      <c r="V140"/>
    </row>
    <row r="141" spans="1:22">
      <c r="A141" s="102" t="s">
        <v>2040</v>
      </c>
      <c r="B141" s="102" t="s">
        <v>2048</v>
      </c>
      <c r="C141" s="102" t="s">
        <v>2836</v>
      </c>
      <c r="D141" s="102" t="s">
        <v>2837</v>
      </c>
      <c r="E141" s="102" t="s">
        <v>2838</v>
      </c>
      <c r="F141" s="102" t="s">
        <v>1419</v>
      </c>
      <c r="G141" s="102" t="s">
        <v>1356</v>
      </c>
      <c r="H141" s="102">
        <v>2</v>
      </c>
      <c r="I141" s="102">
        <v>3.5</v>
      </c>
      <c r="J141" s="102">
        <v>3.5</v>
      </c>
    </row>
    <row r="143" spans="1:22">
      <c r="C143" s="2" t="s">
        <v>3</v>
      </c>
      <c r="D143" s="2"/>
      <c r="E143" s="2"/>
      <c r="F143" s="2"/>
      <c r="G143" s="2"/>
      <c r="H143" s="2">
        <f>SUM(H2:H141)</f>
        <v>158</v>
      </c>
      <c r="I143" s="2">
        <f>SUM(I2:I141)</f>
        <v>233.5</v>
      </c>
      <c r="J143" s="2">
        <f>SUM(J2:J141)</f>
        <v>220.5</v>
      </c>
    </row>
  </sheetData>
  <phoneticPr fontId="2"/>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7A54F-346E-3646-A1DA-7D48FBCA8819}">
  <dimension ref="A1:H86"/>
  <sheetViews>
    <sheetView workbookViewId="0">
      <pane ySplit="1" topLeftCell="A11" activePane="bottomLeft" state="frozen"/>
      <selection pane="bottomLeft"/>
    </sheetView>
  </sheetViews>
  <sheetFormatPr baseColWidth="10" defaultRowHeight="20"/>
  <cols>
    <col min="1" max="1" width="27.140625" customWidth="1"/>
    <col min="2" max="2" width="32.85546875" customWidth="1"/>
    <col min="3" max="8" width="11.140625" customWidth="1"/>
  </cols>
  <sheetData>
    <row r="1" spans="1:8">
      <c r="A1" s="127" t="s">
        <v>1645</v>
      </c>
      <c r="B1" s="127" t="s">
        <v>1599</v>
      </c>
      <c r="C1" s="127" t="s">
        <v>3163</v>
      </c>
      <c r="D1" s="127" t="s">
        <v>1364</v>
      </c>
      <c r="E1" s="127" t="s">
        <v>3164</v>
      </c>
      <c r="F1" s="127" t="s">
        <v>1365</v>
      </c>
      <c r="G1" s="127" t="s">
        <v>1358</v>
      </c>
      <c r="H1" s="127" t="s">
        <v>3165</v>
      </c>
    </row>
    <row r="2" spans="1:8">
      <c r="A2" t="s">
        <v>2011</v>
      </c>
      <c r="B2" t="s">
        <v>3166</v>
      </c>
      <c r="C2" s="121">
        <f>SUMIFS('WBS(基本設計)'!$I$7:$I$164,'WBS(基本設計)'!$E$7:$E$164,$B2,'WBS(基本設計)'!$N$7:$N$164,"対象")</f>
        <v>3</v>
      </c>
      <c r="D2" s="121">
        <f>SUMIF('WBS(詳細設計_製造)'!$D$6:$D$186,$B2,'WBS(詳細設計_製造)'!$G$6:$G$186)</f>
        <v>4</v>
      </c>
      <c r="E2" s="121">
        <f>SUMIF('WBS(詳細設計_製造)'!$D$6:$D$186,$B2,'WBS(詳細設計_製造)'!$H$6:$H$186)</f>
        <v>7</v>
      </c>
      <c r="F2" s="121">
        <f>SUMIF('WBS(テスト)'!$D$6:$D$99,$B2,'WBS(テスト)'!$G$6:$G$99)</f>
        <v>8</v>
      </c>
      <c r="G2" s="121">
        <f>SUM(C2:F2)</f>
        <v>22</v>
      </c>
      <c r="H2" s="130">
        <f>COUNTIF('WBS(詳細設計_製造)'!$D$6:$D$186,$B2)+COUNTIF('WBS(テスト)'!$D$6:$D$99,$B2)</f>
        <v>6</v>
      </c>
    </row>
    <row r="3" spans="1:8">
      <c r="A3" t="s">
        <v>2011</v>
      </c>
      <c r="B3" t="s">
        <v>1604</v>
      </c>
      <c r="C3" s="121">
        <f>SUMIFS('WBS(基本設計)'!$I$7:$I$164,'WBS(基本設計)'!$E$7:$E$164,$B3,'WBS(基本設計)'!$N$7:$N$164,"対象")</f>
        <v>0.5</v>
      </c>
      <c r="D3" s="121">
        <f>SUMIF('WBS(詳細設計_製造)'!$D$6:$D$186,$B3,'WBS(詳細設計_製造)'!$G$6:$G$186)</f>
        <v>0</v>
      </c>
      <c r="E3" s="121">
        <f>SUMIF('WBS(詳細設計_製造)'!$D$6:$D$186,$B3,'WBS(詳細設計_製造)'!$H$6:$H$186)</f>
        <v>1.5</v>
      </c>
      <c r="F3" s="121">
        <f>SUMIF('WBS(テスト)'!$D$6:$D$99,$B3,'WBS(テスト)'!$G$6:$G$99)</f>
        <v>1</v>
      </c>
      <c r="G3" s="121">
        <f t="shared" ref="G3:G66" si="0">SUM(C3:F3)</f>
        <v>3</v>
      </c>
      <c r="H3" s="130">
        <f>COUNTIF('WBS(詳細設計_製造)'!$D$6:$D$186,$B3)+COUNTIF('WBS(テスト)'!$D$6:$D$99,$B3)</f>
        <v>2</v>
      </c>
    </row>
    <row r="4" spans="1:8">
      <c r="A4" t="s">
        <v>2011</v>
      </c>
      <c r="B4" t="s">
        <v>3167</v>
      </c>
      <c r="C4" s="121">
        <f>SUMIFS('WBS(基本設計)'!$I$7:$I$164,'WBS(基本設計)'!$E$7:$E$164,$B4,'WBS(基本設計)'!$N$7:$N$164,"対象")</f>
        <v>0.5</v>
      </c>
      <c r="D4" s="121">
        <f>SUMIF('WBS(詳細設計_製造)'!$D$6:$D$186,$B4,'WBS(詳細設計_製造)'!$G$6:$G$186)</f>
        <v>0</v>
      </c>
      <c r="E4" s="121">
        <f>SUMIF('WBS(詳細設計_製造)'!$D$6:$D$186,$B4,'WBS(詳細設計_製造)'!$H$6:$H$186)</f>
        <v>1.5</v>
      </c>
      <c r="F4" s="121">
        <f>SUMIF('WBS(テスト)'!$D$6:$D$99,$B4,'WBS(テスト)'!$G$6:$G$99)</f>
        <v>1</v>
      </c>
      <c r="G4" s="121">
        <f t="shared" si="0"/>
        <v>3</v>
      </c>
      <c r="H4" s="130">
        <f>COUNTIF('WBS(詳細設計_製造)'!$D$6:$D$186,$B4)+COUNTIF('WBS(テスト)'!$D$6:$D$99,$B4)</f>
        <v>2</v>
      </c>
    </row>
    <row r="5" spans="1:8">
      <c r="A5" t="s">
        <v>2012</v>
      </c>
      <c r="B5" t="s">
        <v>3168</v>
      </c>
      <c r="C5" s="121">
        <f>SUMIFS('WBS(基本設計)'!$I$7:$I$164,'WBS(基本設計)'!$E$7:$E$164,$B5,'WBS(基本設計)'!$N$7:$N$164,"対象")</f>
        <v>13.5</v>
      </c>
      <c r="D5" s="121">
        <f>SUMIF('WBS(詳細設計_製造)'!$D$6:$D$186,$B5,'WBS(詳細設計_製造)'!$G$6:$G$186)</f>
        <v>9</v>
      </c>
      <c r="E5" s="121">
        <f>SUMIF('WBS(詳細設計_製造)'!$D$6:$D$186,$B5,'WBS(詳細設計_製造)'!$H$6:$H$186)</f>
        <v>12</v>
      </c>
      <c r="F5" s="121">
        <f>SUMIF('WBS(テスト)'!$D$6:$D$99,$B5,'WBS(テスト)'!$G$6:$G$99)</f>
        <v>19</v>
      </c>
      <c r="G5" s="121">
        <f t="shared" si="0"/>
        <v>53.5</v>
      </c>
      <c r="H5" s="130">
        <f>COUNTIF('WBS(詳細設計_製造)'!$D$6:$D$186,$B5)+COUNTIF('WBS(テスト)'!$D$6:$D$99,$B5)</f>
        <v>10</v>
      </c>
    </row>
    <row r="6" spans="1:8">
      <c r="A6" t="s">
        <v>2012</v>
      </c>
      <c r="B6" t="s">
        <v>3169</v>
      </c>
      <c r="C6" s="121">
        <f>SUMIFS('WBS(基本設計)'!$I$7:$I$164,'WBS(基本設計)'!$E$7:$E$164,$B6,'WBS(基本設計)'!$N$7:$N$164,"対象")</f>
        <v>4.5</v>
      </c>
      <c r="D6" s="121">
        <f>SUMIF('WBS(詳細設計_製造)'!$D$6:$D$186,$B6,'WBS(詳細設計_製造)'!$G$6:$G$186)</f>
        <v>7.5</v>
      </c>
      <c r="E6" s="121">
        <f>SUMIF('WBS(詳細設計_製造)'!$D$6:$D$186,$B6,'WBS(詳細設計_製造)'!$H$6:$H$186)</f>
        <v>6</v>
      </c>
      <c r="F6" s="121">
        <f>SUMIF('WBS(テスト)'!$D$6:$D$99,$B6,'WBS(テスト)'!$G$6:$G$99)</f>
        <v>14</v>
      </c>
      <c r="G6" s="121">
        <f t="shared" si="0"/>
        <v>32</v>
      </c>
      <c r="H6" s="130">
        <f>COUNTIF('WBS(詳細設計_製造)'!$D$6:$D$186,$B6)+COUNTIF('WBS(テスト)'!$D$6:$D$99,$B6)</f>
        <v>8</v>
      </c>
    </row>
    <row r="7" spans="1:8">
      <c r="A7" t="s">
        <v>2012</v>
      </c>
      <c r="B7" t="s">
        <v>2151</v>
      </c>
      <c r="C7" s="121">
        <f>SUMIFS('WBS(基本設計)'!$I$7:$I$164,'WBS(基本設計)'!$E$7:$E$164,$B7,'WBS(基本設計)'!$N$7:$N$164,"対象")</f>
        <v>1</v>
      </c>
      <c r="D7" s="121">
        <f>SUMIF('WBS(詳細設計_製造)'!$D$6:$D$186,$B7,'WBS(詳細設計_製造)'!$G$6:$G$186)</f>
        <v>4</v>
      </c>
      <c r="E7" s="121">
        <f>SUMIF('WBS(詳細設計_製造)'!$D$6:$D$186,$B7,'WBS(詳細設計_製造)'!$H$6:$H$186)</f>
        <v>5</v>
      </c>
      <c r="F7" s="121">
        <f>SUMIF('WBS(テスト)'!$D$6:$D$99,$B7,'WBS(テスト)'!$G$6:$G$99)</f>
        <v>2</v>
      </c>
      <c r="G7" s="121">
        <f t="shared" si="0"/>
        <v>12</v>
      </c>
      <c r="H7" s="130">
        <f>COUNTIF('WBS(詳細設計_製造)'!$D$6:$D$186,$B7)+COUNTIF('WBS(テスト)'!$D$6:$D$99,$B7)</f>
        <v>5</v>
      </c>
    </row>
    <row r="8" spans="1:8">
      <c r="A8" t="s">
        <v>2012</v>
      </c>
      <c r="B8" t="s">
        <v>1614</v>
      </c>
      <c r="C8" s="121">
        <f>SUMIFS('WBS(基本設計)'!$I$7:$I$164,'WBS(基本設計)'!$E$7:$E$164,$B8,'WBS(基本設計)'!$N$7:$N$164,"対象")</f>
        <v>0.5</v>
      </c>
      <c r="D8" s="121">
        <f>SUMIF('WBS(詳細設計_製造)'!$D$6:$D$186,$B8,'WBS(詳細設計_製造)'!$G$6:$G$186)</f>
        <v>1.5</v>
      </c>
      <c r="E8" s="121">
        <f>SUMIF('WBS(詳細設計_製造)'!$D$6:$D$186,$B8,'WBS(詳細設計_製造)'!$H$6:$H$186)</f>
        <v>2</v>
      </c>
      <c r="F8" s="121">
        <f>SUMIF('WBS(テスト)'!$D$6:$D$99,$B8,'WBS(テスト)'!$G$6:$G$99)</f>
        <v>1</v>
      </c>
      <c r="G8" s="121">
        <f t="shared" si="0"/>
        <v>5</v>
      </c>
      <c r="H8" s="130">
        <f>COUNTIF('WBS(詳細設計_製造)'!$D$6:$D$186,$B8)+COUNTIF('WBS(テスト)'!$D$6:$D$99,$B8)</f>
        <v>3</v>
      </c>
    </row>
    <row r="9" spans="1:8">
      <c r="A9" t="s">
        <v>2012</v>
      </c>
      <c r="B9" t="s">
        <v>3190</v>
      </c>
      <c r="C9" s="121">
        <f>SUMIFS('WBS(基本設計)'!$I$7:$I$164,'WBS(基本設計)'!$E$7:$E$164,$B9,'WBS(基本設計)'!$N$7:$N$164,"対象")</f>
        <v>4.5</v>
      </c>
      <c r="D9" s="121">
        <f>SUMIF('WBS(詳細設計_製造)'!$D$6:$D$186,$B9,'WBS(詳細設計_製造)'!$G$6:$G$186)</f>
        <v>4.5</v>
      </c>
      <c r="E9" s="121">
        <f>SUMIF('WBS(詳細設計_製造)'!$D$6:$D$186,$B9,'WBS(詳細設計_製造)'!$H$6:$H$186)</f>
        <v>8</v>
      </c>
      <c r="F9" s="121">
        <f>SUMIF('WBS(テスト)'!$D$6:$D$99,$B9,'WBS(テスト)'!$G$6:$G$99)</f>
        <v>7</v>
      </c>
      <c r="G9" s="121">
        <f t="shared" si="0"/>
        <v>24</v>
      </c>
      <c r="H9" s="130">
        <f>COUNTIF('WBS(詳細設計_製造)'!$D$6:$D$186,$B9)+COUNTIF('WBS(テスト)'!$D$6:$D$99,$B9)</f>
        <v>8</v>
      </c>
    </row>
    <row r="10" spans="1:8">
      <c r="A10" t="s">
        <v>2013</v>
      </c>
      <c r="B10" t="s">
        <v>2105</v>
      </c>
      <c r="C10" s="121">
        <f>SUMIFS('WBS(基本設計)'!$I$7:$I$164,'WBS(基本設計)'!$E$7:$E$164,$B10,'WBS(基本設計)'!$N$7:$N$164,"対象")</f>
        <v>0.5</v>
      </c>
      <c r="D10" s="121">
        <f>SUMIF('WBS(詳細設計_製造)'!$D$6:$D$186,$B10,'WBS(詳細設計_製造)'!$G$6:$G$186)</f>
        <v>0</v>
      </c>
      <c r="E10" s="121">
        <f>SUMIF('WBS(詳細設計_製造)'!$D$6:$D$186,$B10,'WBS(詳細設計_製造)'!$H$6:$H$186)</f>
        <v>0</v>
      </c>
      <c r="F10" s="121">
        <f>SUMIF('WBS(テスト)'!$D$6:$D$99,$B10,'WBS(テスト)'!$G$6:$G$99)</f>
        <v>0</v>
      </c>
      <c r="G10" s="121">
        <f t="shared" si="0"/>
        <v>0.5</v>
      </c>
      <c r="H10" s="130">
        <f>COUNTIF('WBS(詳細設計_製造)'!$D$6:$D$186,$B10)+COUNTIF('WBS(テスト)'!$D$6:$D$99,$B10)</f>
        <v>0</v>
      </c>
    </row>
    <row r="11" spans="1:8">
      <c r="A11" t="s">
        <v>2013</v>
      </c>
      <c r="B11" t="s">
        <v>3745</v>
      </c>
      <c r="C11" s="121">
        <f>SUMIFS('WBS(基本設計)'!$I$7:$I$164,'WBS(基本設計)'!$E$7:$E$164,$B11,'WBS(基本設計)'!$N$7:$N$164,"対象")</f>
        <v>3</v>
      </c>
      <c r="D11" s="121">
        <f>SUMIF('WBS(詳細設計_製造)'!$D$6:$D$186,$B11,'WBS(詳細設計_製造)'!$G$6:$G$186)</f>
        <v>2</v>
      </c>
      <c r="E11" s="121">
        <f>SUMIF('WBS(詳細設計_製造)'!$D$6:$D$186,$B11,'WBS(詳細設計_製造)'!$H$6:$H$186)</f>
        <v>8</v>
      </c>
      <c r="F11" s="121">
        <f>SUMIF('WBS(テスト)'!$D$6:$D$99,$B11,'WBS(テスト)'!$G$6:$G$99)</f>
        <v>2</v>
      </c>
      <c r="G11" s="121">
        <f t="shared" si="0"/>
        <v>15</v>
      </c>
      <c r="H11" s="130">
        <f>COUNTIF('WBS(詳細設計_製造)'!$D$6:$D$186,$B11)+COUNTIF('WBS(テスト)'!$D$6:$D$99,$B11)</f>
        <v>4</v>
      </c>
    </row>
    <row r="12" spans="1:8">
      <c r="A12" t="s">
        <v>1647</v>
      </c>
      <c r="B12" t="s">
        <v>3170</v>
      </c>
      <c r="C12" s="121">
        <f>SUMIFS('WBS(基本設計)'!$I$7:$I$164,'WBS(基本設計)'!$E$7:$E$164,$B12,'WBS(基本設計)'!$N$7:$N$164,"対象")</f>
        <v>1</v>
      </c>
      <c r="D12" s="121">
        <f>SUMIF('WBS(詳細設計_製造)'!$D$6:$D$186,$B12,'WBS(詳細設計_製造)'!$G$6:$G$186)</f>
        <v>1.5</v>
      </c>
      <c r="E12" s="121">
        <f>SUMIF('WBS(詳細設計_製造)'!$D$6:$D$186,$B12,'WBS(詳細設計_製造)'!$H$6:$H$186)</f>
        <v>3</v>
      </c>
      <c r="F12" s="121">
        <f>SUMIF('WBS(テスト)'!$D$6:$D$99,$B12,'WBS(テスト)'!$G$6:$G$99)</f>
        <v>3</v>
      </c>
      <c r="G12" s="121">
        <f t="shared" si="0"/>
        <v>8.5</v>
      </c>
      <c r="H12" s="130">
        <f>COUNTIF('WBS(詳細設計_製造)'!$D$6:$D$186,$B12)+COUNTIF('WBS(テスト)'!$D$6:$D$99,$B12)</f>
        <v>4</v>
      </c>
    </row>
    <row r="13" spans="1:8">
      <c r="A13" t="s">
        <v>2016</v>
      </c>
      <c r="B13" t="s">
        <v>2148</v>
      </c>
      <c r="C13" s="121">
        <f>SUMIFS('WBS(基本設計)'!$I$7:$I$164,'WBS(基本設計)'!$E$7:$E$164,$B13,'WBS(基本設計)'!$N$7:$N$164,"対象")</f>
        <v>5</v>
      </c>
      <c r="D13" s="121">
        <f>SUMIF('WBS(詳細設計_製造)'!$D$6:$D$186,$B13,'WBS(詳細設計_製造)'!$G$6:$G$186)</f>
        <v>4</v>
      </c>
      <c r="E13" s="121">
        <f>SUMIF('WBS(詳細設計_製造)'!$D$6:$D$186,$B13,'WBS(詳細設計_製造)'!$H$6:$H$186)</f>
        <v>3</v>
      </c>
      <c r="F13" s="121">
        <f>SUMIF('WBS(テスト)'!$D$6:$D$99,$B13,'WBS(テスト)'!$G$6:$G$99)</f>
        <v>6</v>
      </c>
      <c r="G13" s="121">
        <f t="shared" si="0"/>
        <v>18</v>
      </c>
      <c r="H13" s="130">
        <f>COUNTIF('WBS(詳細設計_製造)'!$D$6:$D$186,$B13)+COUNTIF('WBS(テスト)'!$D$6:$D$99,$B13)</f>
        <v>5</v>
      </c>
    </row>
    <row r="14" spans="1:8">
      <c r="A14" t="s">
        <v>2016</v>
      </c>
      <c r="B14" t="s">
        <v>2192</v>
      </c>
      <c r="C14" s="121">
        <f>SUMIFS('WBS(基本設計)'!$I$7:$I$164,'WBS(基本設計)'!$E$7:$E$164,$B14,'WBS(基本設計)'!$N$7:$N$164,"対象")</f>
        <v>4</v>
      </c>
      <c r="D14" s="121">
        <f>SUMIF('WBS(詳細設計_製造)'!$D$6:$D$186,$B14,'WBS(詳細設計_製造)'!$G$6:$G$186)</f>
        <v>3</v>
      </c>
      <c r="E14" s="121">
        <f>SUMIF('WBS(詳細設計_製造)'!$D$6:$D$186,$B14,'WBS(詳細設計_製造)'!$H$6:$H$186)</f>
        <v>3.5</v>
      </c>
      <c r="F14" s="121">
        <f>SUMIF('WBS(テスト)'!$D$6:$D$99,$B14,'WBS(テスト)'!$G$6:$G$99)</f>
        <v>4</v>
      </c>
      <c r="G14" s="121">
        <f t="shared" si="0"/>
        <v>14.5</v>
      </c>
      <c r="H14" s="130">
        <f>COUNTIF('WBS(詳細設計_製造)'!$D$6:$D$186,$B14)+COUNTIF('WBS(テスト)'!$D$6:$D$99,$B14)</f>
        <v>4</v>
      </c>
    </row>
    <row r="15" spans="1:8">
      <c r="A15" t="s">
        <v>2018</v>
      </c>
      <c r="B15" t="s">
        <v>2090</v>
      </c>
      <c r="C15" s="121">
        <f>SUMIFS('WBS(基本設計)'!$I$7:$I$164,'WBS(基本設計)'!$E$7:$E$164,$B15,'WBS(基本設計)'!$N$7:$N$164,"対象")</f>
        <v>1</v>
      </c>
      <c r="D15" s="121">
        <f>SUMIF('WBS(詳細設計_製造)'!$D$6:$D$186,$B15,'WBS(詳細設計_製造)'!$G$6:$G$186)</f>
        <v>2</v>
      </c>
      <c r="E15" s="121">
        <f>SUMIF('WBS(詳細設計_製造)'!$D$6:$D$186,$B15,'WBS(詳細設計_製造)'!$H$6:$H$186)</f>
        <v>4</v>
      </c>
      <c r="F15" s="121">
        <f>SUMIF('WBS(テスト)'!$D$6:$D$99,$B15,'WBS(テスト)'!$G$6:$G$99)</f>
        <v>2</v>
      </c>
      <c r="G15" s="121">
        <f t="shared" si="0"/>
        <v>9</v>
      </c>
      <c r="H15" s="130">
        <f>COUNTIF('WBS(詳細設計_製造)'!$D$6:$D$186,$B15)+COUNTIF('WBS(テスト)'!$D$6:$D$99,$B15)</f>
        <v>4</v>
      </c>
    </row>
    <row r="16" spans="1:8">
      <c r="A16" t="s">
        <v>2018</v>
      </c>
      <c r="B16" t="s">
        <v>3171</v>
      </c>
      <c r="C16" s="121">
        <f>SUMIFS('WBS(基本設計)'!$I$7:$I$164,'WBS(基本設計)'!$E$7:$E$164,$B16,'WBS(基本設計)'!$N$7:$N$164,"対象")</f>
        <v>1</v>
      </c>
      <c r="D16" s="121">
        <f>SUMIF('WBS(詳細設計_製造)'!$D$6:$D$186,$B16,'WBS(詳細設計_製造)'!$G$6:$G$186)</f>
        <v>1</v>
      </c>
      <c r="E16" s="121">
        <f>SUMIF('WBS(詳細設計_製造)'!$D$6:$D$186,$B16,'WBS(詳細設計_製造)'!$H$6:$H$186)</f>
        <v>2</v>
      </c>
      <c r="F16" s="121">
        <f>SUMIF('WBS(テスト)'!$D$6:$D$99,$B16,'WBS(テスト)'!$G$6:$G$99)</f>
        <v>1.5</v>
      </c>
      <c r="G16" s="121">
        <f t="shared" si="0"/>
        <v>5.5</v>
      </c>
      <c r="H16" s="130">
        <f>COUNTIF('WBS(詳細設計_製造)'!$D$6:$D$186,$B16)+COUNTIF('WBS(テスト)'!$D$6:$D$99,$B16)</f>
        <v>3</v>
      </c>
    </row>
    <row r="17" spans="1:8">
      <c r="A17" t="s">
        <v>292</v>
      </c>
      <c r="B17" t="s">
        <v>2169</v>
      </c>
      <c r="C17" s="121">
        <f>SUMIFS('WBS(基本設計)'!$I$7:$I$164,'WBS(基本設計)'!$E$7:$E$164,$B17,'WBS(基本設計)'!$N$7:$N$164,"対象")</f>
        <v>0.5</v>
      </c>
      <c r="D17" s="121">
        <f>SUMIF('WBS(詳細設計_製造)'!$D$6:$D$186,$B17,'WBS(詳細設計_製造)'!$G$6:$G$186)</f>
        <v>0</v>
      </c>
      <c r="E17" s="121">
        <f>SUMIF('WBS(詳細設計_製造)'!$D$6:$D$186,$B17,'WBS(詳細設計_製造)'!$H$6:$H$186)</f>
        <v>0</v>
      </c>
      <c r="F17" s="121">
        <f>SUMIF('WBS(テスト)'!$D$6:$D$99,$B17,'WBS(テスト)'!$G$6:$G$99)</f>
        <v>0</v>
      </c>
      <c r="G17" s="121">
        <f t="shared" si="0"/>
        <v>0.5</v>
      </c>
      <c r="H17" s="130">
        <f>COUNTIF('WBS(詳細設計_製造)'!$D$6:$D$186,$B17)+COUNTIF('WBS(テスト)'!$D$6:$D$99,$B17)</f>
        <v>0</v>
      </c>
    </row>
    <row r="18" spans="1:8">
      <c r="A18" t="s">
        <v>2020</v>
      </c>
      <c r="B18" t="s">
        <v>3172</v>
      </c>
      <c r="C18" s="121">
        <f>SUMIFS('WBS(基本設計)'!$I$7:$I$164,'WBS(基本設計)'!$E$7:$E$164,$B18,'WBS(基本設計)'!$N$7:$N$164,"対象")</f>
        <v>4</v>
      </c>
      <c r="D18" s="121">
        <f>SUMIF('WBS(詳細設計_製造)'!$D$6:$D$186,$B18,'WBS(詳細設計_製造)'!$G$6:$G$186)</f>
        <v>6</v>
      </c>
      <c r="E18" s="121">
        <f>SUMIF('WBS(詳細設計_製造)'!$D$6:$D$186,$B18,'WBS(詳細設計_製造)'!$H$6:$H$186)</f>
        <v>11</v>
      </c>
      <c r="F18" s="121">
        <f>SUMIF('WBS(テスト)'!$D$6:$D$99,$B18,'WBS(テスト)'!$G$6:$G$99)</f>
        <v>18</v>
      </c>
      <c r="G18" s="121">
        <f t="shared" si="0"/>
        <v>39</v>
      </c>
      <c r="H18" s="130">
        <f>COUNTIF('WBS(詳細設計_製造)'!$D$6:$D$186,$B18)+COUNTIF('WBS(テスト)'!$D$6:$D$99,$B18)</f>
        <v>8</v>
      </c>
    </row>
    <row r="19" spans="1:8">
      <c r="A19" t="s">
        <v>2020</v>
      </c>
      <c r="B19" t="s">
        <v>3173</v>
      </c>
      <c r="C19" s="121">
        <f>SUMIFS('WBS(基本設計)'!$I$7:$I$164,'WBS(基本設計)'!$E$7:$E$164,$B19,'WBS(基本設計)'!$N$7:$N$164,"対象")</f>
        <v>0.75</v>
      </c>
      <c r="D19" s="121">
        <f>SUMIF('WBS(詳細設計_製造)'!$D$6:$D$186,$B19,'WBS(詳細設計_製造)'!$G$6:$G$186)</f>
        <v>1</v>
      </c>
      <c r="E19" s="121">
        <f>SUMIF('WBS(詳細設計_製造)'!$D$6:$D$186,$B19,'WBS(詳細設計_製造)'!$H$6:$H$186)</f>
        <v>0</v>
      </c>
      <c r="F19" s="121">
        <f>SUMIF('WBS(テスト)'!$D$6:$D$99,$B19,'WBS(テスト)'!$G$6:$G$99)</f>
        <v>1</v>
      </c>
      <c r="G19" s="121">
        <f t="shared" si="0"/>
        <v>2.75</v>
      </c>
      <c r="H19" s="130">
        <f>COUNTIF('WBS(詳細設計_製造)'!$D$6:$D$186,$B19)+COUNTIF('WBS(テスト)'!$D$6:$D$99,$B19)</f>
        <v>2</v>
      </c>
    </row>
    <row r="20" spans="1:8">
      <c r="A20" t="s">
        <v>2020</v>
      </c>
      <c r="B20" t="s">
        <v>2154</v>
      </c>
      <c r="C20" s="121">
        <f>SUMIFS('WBS(基本設計)'!$I$7:$I$164,'WBS(基本設計)'!$E$7:$E$164,$B20,'WBS(基本設計)'!$N$7:$N$164,"対象")</f>
        <v>1</v>
      </c>
      <c r="D20" s="121">
        <f>SUMIF('WBS(詳細設計_製造)'!$D$6:$D$186,$B20,'WBS(詳細設計_製造)'!$G$6:$G$186)</f>
        <v>1</v>
      </c>
      <c r="E20" s="121">
        <f>SUMIF('WBS(詳細設計_製造)'!$D$6:$D$186,$B20,'WBS(詳細設計_製造)'!$H$6:$H$186)</f>
        <v>1.5</v>
      </c>
      <c r="F20" s="121">
        <f>SUMIF('WBS(テスト)'!$D$6:$D$99,$B20,'WBS(テスト)'!$G$6:$G$99)</f>
        <v>1.5</v>
      </c>
      <c r="G20" s="121">
        <f t="shared" si="0"/>
        <v>5</v>
      </c>
      <c r="H20" s="130">
        <f>COUNTIF('WBS(詳細設計_製造)'!$D$6:$D$186,$B20)+COUNTIF('WBS(テスト)'!$D$6:$D$99,$B20)</f>
        <v>3</v>
      </c>
    </row>
    <row r="21" spans="1:8">
      <c r="A21" t="s">
        <v>2020</v>
      </c>
      <c r="B21" t="s">
        <v>3174</v>
      </c>
      <c r="C21" s="121">
        <f>SUMIFS('WBS(基本設計)'!$I$7:$I$164,'WBS(基本設計)'!$E$7:$E$164,$B21,'WBS(基本設計)'!$N$7:$N$164,"対象")</f>
        <v>0.5</v>
      </c>
      <c r="D21" s="121">
        <f>SUMIF('WBS(詳細設計_製造)'!$D$6:$D$186,$B21,'WBS(詳細設計_製造)'!$G$6:$G$186)</f>
        <v>2</v>
      </c>
      <c r="E21" s="121">
        <f>SUMIF('WBS(詳細設計_製造)'!$D$6:$D$186,$B21,'WBS(詳細設計_製造)'!$H$6:$H$186)</f>
        <v>0</v>
      </c>
      <c r="F21" s="121">
        <f>SUMIF('WBS(テスト)'!$D$6:$D$99,$B21,'WBS(テスト)'!$G$6:$G$99)</f>
        <v>0.5</v>
      </c>
      <c r="G21" s="121">
        <f t="shared" si="0"/>
        <v>3</v>
      </c>
      <c r="H21" s="130">
        <f>COUNTIF('WBS(詳細設計_製造)'!$D$6:$D$186,$B21)+COUNTIF('WBS(テスト)'!$D$6:$D$99,$B21)</f>
        <v>2</v>
      </c>
    </row>
    <row r="22" spans="1:8">
      <c r="A22" t="s">
        <v>2020</v>
      </c>
      <c r="B22" t="s">
        <v>2156</v>
      </c>
      <c r="C22" s="121">
        <f>SUMIFS('WBS(基本設計)'!$I$7:$I$164,'WBS(基本設計)'!$E$7:$E$164,$B22,'WBS(基本設計)'!$N$7:$N$164,"対象")</f>
        <v>0.5</v>
      </c>
      <c r="D22" s="121">
        <f>SUMIF('WBS(詳細設計_製造)'!$D$6:$D$186,$B22,'WBS(詳細設計_製造)'!$G$6:$G$186)</f>
        <v>0</v>
      </c>
      <c r="E22" s="121">
        <f>SUMIF('WBS(詳細設計_製造)'!$D$6:$D$186,$B22,'WBS(詳細設計_製造)'!$H$6:$H$186)</f>
        <v>0</v>
      </c>
      <c r="F22" s="121">
        <f>SUMIF('WBS(テスト)'!$D$6:$D$99,$B22,'WBS(テスト)'!$G$6:$G$99)</f>
        <v>0</v>
      </c>
      <c r="G22" s="121">
        <f t="shared" si="0"/>
        <v>0.5</v>
      </c>
      <c r="H22" s="130">
        <f>COUNTIF('WBS(詳細設計_製造)'!$D$6:$D$186,$B22)+COUNTIF('WBS(テスト)'!$D$6:$D$99,$B22)</f>
        <v>0</v>
      </c>
    </row>
    <row r="23" spans="1:8">
      <c r="A23" t="s">
        <v>2022</v>
      </c>
      <c r="B23" t="s">
        <v>1615</v>
      </c>
      <c r="C23" s="121">
        <f>SUMIFS('WBS(基本設計)'!$I$7:$I$164,'WBS(基本設計)'!$E$7:$E$164,$B23,'WBS(基本設計)'!$N$7:$N$164,"対象")</f>
        <v>3</v>
      </c>
      <c r="D23" s="121">
        <f>SUMIF('WBS(詳細設計_製造)'!$D$6:$D$186,$B23,'WBS(詳細設計_製造)'!$G$6:$G$186)</f>
        <v>3</v>
      </c>
      <c r="E23" s="121">
        <f>SUMIF('WBS(詳細設計_製造)'!$D$6:$D$186,$B23,'WBS(詳細設計_製造)'!$H$6:$H$186)</f>
        <v>3</v>
      </c>
      <c r="F23" s="121">
        <f>SUMIF('WBS(テスト)'!$D$6:$D$99,$B23,'WBS(テスト)'!$G$6:$G$99)</f>
        <v>4</v>
      </c>
      <c r="G23" s="121">
        <f t="shared" si="0"/>
        <v>13</v>
      </c>
      <c r="H23" s="130">
        <f>COUNTIF('WBS(詳細設計_製造)'!$D$6:$D$186,$B23)+COUNTIF('WBS(テスト)'!$D$6:$D$99,$B23)</f>
        <v>3</v>
      </c>
    </row>
    <row r="24" spans="1:8">
      <c r="A24" t="s">
        <v>2022</v>
      </c>
      <c r="B24" t="s">
        <v>1616</v>
      </c>
      <c r="C24" s="121">
        <f>SUMIFS('WBS(基本設計)'!$I$7:$I$164,'WBS(基本設計)'!$E$7:$E$164,$B24,'WBS(基本設計)'!$N$7:$N$164,"対象")</f>
        <v>0.75</v>
      </c>
      <c r="D24" s="121">
        <f>SUMIF('WBS(詳細設計_製造)'!$D$6:$D$186,$B24,'WBS(詳細設計_製造)'!$G$6:$G$186)</f>
        <v>1.5</v>
      </c>
      <c r="E24" s="121">
        <f>SUMIF('WBS(詳細設計_製造)'!$D$6:$D$186,$B24,'WBS(詳細設計_製造)'!$H$6:$H$186)</f>
        <v>1.5</v>
      </c>
      <c r="F24" s="121">
        <f>SUMIF('WBS(テスト)'!$D$6:$D$99,$B24,'WBS(テスト)'!$G$6:$G$99)</f>
        <v>1</v>
      </c>
      <c r="G24" s="121">
        <f t="shared" si="0"/>
        <v>4.75</v>
      </c>
      <c r="H24" s="130">
        <f>COUNTIF('WBS(詳細設計_製造)'!$D$6:$D$186,$B24)+COUNTIF('WBS(テスト)'!$D$6:$D$99,$B24)</f>
        <v>3</v>
      </c>
    </row>
    <row r="25" spans="1:8">
      <c r="A25" t="s">
        <v>2024</v>
      </c>
      <c r="B25" t="s">
        <v>3175</v>
      </c>
      <c r="C25" s="121">
        <f>SUMIFS('WBS(基本設計)'!$I$7:$I$164,'WBS(基本設計)'!$E$7:$E$164,$B25,'WBS(基本設計)'!$N$7:$N$164,"対象")</f>
        <v>0.75</v>
      </c>
      <c r="D25" s="121">
        <f>SUMIF('WBS(詳細設計_製造)'!$D$6:$D$186,$B25,'WBS(詳細設計_製造)'!$G$6:$G$186)</f>
        <v>1.5</v>
      </c>
      <c r="E25" s="121">
        <f>SUMIF('WBS(詳細設計_製造)'!$D$6:$D$186,$B25,'WBS(詳細設計_製造)'!$H$6:$H$186)</f>
        <v>2</v>
      </c>
      <c r="F25" s="121">
        <f>SUMIF('WBS(テスト)'!$D$6:$D$99,$B25,'WBS(テスト)'!$G$6:$G$99)</f>
        <v>3</v>
      </c>
      <c r="G25" s="121">
        <f t="shared" si="0"/>
        <v>7.25</v>
      </c>
      <c r="H25" s="130">
        <f>COUNTIF('WBS(詳細設計_製造)'!$D$6:$D$186,$B25)+COUNTIF('WBS(テスト)'!$D$6:$D$99,$B25)</f>
        <v>3</v>
      </c>
    </row>
    <row r="26" spans="1:8">
      <c r="A26" t="s">
        <v>2024</v>
      </c>
      <c r="B26" t="s">
        <v>3176</v>
      </c>
      <c r="C26" s="121">
        <f>SUMIFS('WBS(基本設計)'!$I$7:$I$164,'WBS(基本設計)'!$E$7:$E$164,$B26,'WBS(基本設計)'!$N$7:$N$164,"対象")</f>
        <v>0.75</v>
      </c>
      <c r="D26" s="121">
        <f>SUMIF('WBS(詳細設計_製造)'!$D$6:$D$186,$B26,'WBS(詳細設計_製造)'!$G$6:$G$186)</f>
        <v>0.5</v>
      </c>
      <c r="E26" s="121">
        <f>SUMIF('WBS(詳細設計_製造)'!$D$6:$D$186,$B26,'WBS(詳細設計_製造)'!$H$6:$H$186)</f>
        <v>1</v>
      </c>
      <c r="F26" s="121">
        <f>SUMIF('WBS(テスト)'!$D$6:$D$99,$B26,'WBS(テスト)'!$G$6:$G$99)</f>
        <v>2</v>
      </c>
      <c r="G26" s="121">
        <f t="shared" si="0"/>
        <v>4.25</v>
      </c>
      <c r="H26" s="130">
        <f>COUNTIF('WBS(詳細設計_製造)'!$D$6:$D$186,$B26)+COUNTIF('WBS(テスト)'!$D$6:$D$99,$B26)</f>
        <v>3</v>
      </c>
    </row>
    <row r="27" spans="1:8">
      <c r="A27" t="s">
        <v>2024</v>
      </c>
      <c r="B27" t="s">
        <v>1635</v>
      </c>
      <c r="C27" s="121">
        <f>SUMIFS('WBS(基本設計)'!$I$7:$I$164,'WBS(基本設計)'!$E$7:$E$164,$B27,'WBS(基本設計)'!$N$7:$N$164,"対象")</f>
        <v>1</v>
      </c>
      <c r="D27" s="121">
        <f>SUMIF('WBS(詳細設計_製造)'!$D$6:$D$186,$B27,'WBS(詳細設計_製造)'!$G$6:$G$186)</f>
        <v>1</v>
      </c>
      <c r="E27" s="121">
        <f>SUMIF('WBS(詳細設計_製造)'!$D$6:$D$186,$B27,'WBS(詳細設計_製造)'!$H$6:$H$186)</f>
        <v>1.5</v>
      </c>
      <c r="F27" s="121">
        <f>SUMIF('WBS(テスト)'!$D$6:$D$99,$B27,'WBS(テスト)'!$G$6:$G$99)</f>
        <v>1.5</v>
      </c>
      <c r="G27" s="121">
        <f t="shared" si="0"/>
        <v>5</v>
      </c>
      <c r="H27" s="130">
        <f>COUNTIF('WBS(詳細設計_製造)'!$D$6:$D$186,$B27)+COUNTIF('WBS(テスト)'!$D$6:$D$99,$B27)</f>
        <v>3</v>
      </c>
    </row>
    <row r="28" spans="1:8">
      <c r="A28" t="s">
        <v>2024</v>
      </c>
      <c r="B28" t="s">
        <v>1641</v>
      </c>
      <c r="C28" s="121">
        <f>SUMIFS('WBS(基本設計)'!$I$7:$I$164,'WBS(基本設計)'!$E$7:$E$164,$B28,'WBS(基本設計)'!$N$7:$N$164,"対象")</f>
        <v>1.5</v>
      </c>
      <c r="D28" s="121">
        <f>SUMIF('WBS(詳細設計_製造)'!$D$6:$D$186,$B28,'WBS(詳細設計_製造)'!$G$6:$G$186)</f>
        <v>1.5</v>
      </c>
      <c r="E28" s="121">
        <f>SUMIF('WBS(詳細設計_製造)'!$D$6:$D$186,$B28,'WBS(詳細設計_製造)'!$H$6:$H$186)</f>
        <v>2</v>
      </c>
      <c r="F28" s="121">
        <f>SUMIF('WBS(テスト)'!$D$6:$D$99,$B28,'WBS(テスト)'!$G$6:$G$99)</f>
        <v>2</v>
      </c>
      <c r="G28" s="121">
        <f t="shared" si="0"/>
        <v>7</v>
      </c>
      <c r="H28" s="130">
        <f>COUNTIF('WBS(詳細設計_製造)'!$D$6:$D$186,$B28)+COUNTIF('WBS(テスト)'!$D$6:$D$99,$B28)</f>
        <v>3</v>
      </c>
    </row>
    <row r="29" spans="1:8">
      <c r="A29" t="s">
        <v>2026</v>
      </c>
      <c r="B29" t="s">
        <v>1650</v>
      </c>
      <c r="C29" s="121">
        <f>SUMIFS('WBS(基本設計)'!$I$7:$I$164,'WBS(基本設計)'!$E$7:$E$164,$B29,'WBS(基本設計)'!$N$7:$N$164,"対象")</f>
        <v>1</v>
      </c>
      <c r="D29" s="121">
        <f>SUMIF('WBS(詳細設計_製造)'!$D$6:$D$186,$B29,'WBS(詳細設計_製造)'!$G$6:$G$186)</f>
        <v>2</v>
      </c>
      <c r="E29" s="121">
        <f>SUMIF('WBS(詳細設計_製造)'!$D$6:$D$186,$B29,'WBS(詳細設計_製造)'!$H$6:$H$186)</f>
        <v>2</v>
      </c>
      <c r="F29" s="121">
        <f>SUMIF('WBS(テスト)'!$D$6:$D$99,$B29,'WBS(テスト)'!$G$6:$G$99)</f>
        <v>3</v>
      </c>
      <c r="G29" s="121">
        <f t="shared" si="0"/>
        <v>8</v>
      </c>
      <c r="H29" s="130">
        <f>COUNTIF('WBS(詳細設計_製造)'!$D$6:$D$186,$B29)+COUNTIF('WBS(テスト)'!$D$6:$D$99,$B29)</f>
        <v>3</v>
      </c>
    </row>
    <row r="30" spans="1:8">
      <c r="A30" t="s">
        <v>2026</v>
      </c>
      <c r="B30" t="s">
        <v>2119</v>
      </c>
      <c r="C30" s="121">
        <f>SUMIFS('WBS(基本設計)'!$I$7:$I$164,'WBS(基本設計)'!$E$7:$E$164,$B30,'WBS(基本設計)'!$N$7:$N$164,"対象")</f>
        <v>1</v>
      </c>
      <c r="D30" s="121">
        <f>SUMIF('WBS(詳細設計_製造)'!$D$6:$D$186,$B30,'WBS(詳細設計_製造)'!$G$6:$G$186)</f>
        <v>1.5</v>
      </c>
      <c r="E30" s="121">
        <f>SUMIF('WBS(詳細設計_製造)'!$D$6:$D$186,$B30,'WBS(詳細設計_製造)'!$H$6:$H$186)</f>
        <v>1.5</v>
      </c>
      <c r="F30" s="121">
        <f>SUMIF('WBS(テスト)'!$D$6:$D$99,$B30,'WBS(テスト)'!$G$6:$G$99)</f>
        <v>4</v>
      </c>
      <c r="G30" s="121">
        <f t="shared" si="0"/>
        <v>8</v>
      </c>
      <c r="H30" s="130">
        <f>COUNTIF('WBS(詳細設計_製造)'!$D$6:$D$186,$B30)+COUNTIF('WBS(テスト)'!$D$6:$D$99,$B30)</f>
        <v>3</v>
      </c>
    </row>
    <row r="31" spans="1:8">
      <c r="A31" t="s">
        <v>3143</v>
      </c>
      <c r="B31" t="s">
        <v>3177</v>
      </c>
      <c r="C31" s="121">
        <f>SUMIFS('WBS(基本設計)'!$I$7:$I$164,'WBS(基本設計)'!$E$7:$E$164,$B31,'WBS(基本設計)'!$N$7:$N$164,"対象")</f>
        <v>2</v>
      </c>
      <c r="D31" s="121">
        <f>SUMIF('WBS(詳細設計_製造)'!$D$6:$D$186,$B31,'WBS(詳細設計_製造)'!$G$6:$G$186)</f>
        <v>0</v>
      </c>
      <c r="E31" s="121">
        <f>SUMIF('WBS(詳細設計_製造)'!$D$6:$D$186,$B31,'WBS(詳細設計_製造)'!$H$6:$H$186)</f>
        <v>3</v>
      </c>
      <c r="F31" s="121">
        <f>SUMIF('WBS(テスト)'!$D$6:$D$99,$B31,'WBS(テスト)'!$G$6:$G$99)</f>
        <v>4</v>
      </c>
      <c r="G31" s="121">
        <f t="shared" si="0"/>
        <v>9</v>
      </c>
      <c r="H31" s="130">
        <f>COUNTIF('WBS(詳細設計_製造)'!$D$6:$D$186,$B31)+COUNTIF('WBS(テスト)'!$D$6:$D$99,$B31)</f>
        <v>2</v>
      </c>
    </row>
    <row r="32" spans="1:8">
      <c r="A32" t="s">
        <v>3143</v>
      </c>
      <c r="B32" t="s">
        <v>1626</v>
      </c>
      <c r="C32" s="121">
        <f>SUMIFS('WBS(基本設計)'!$I$7:$I$164,'WBS(基本設計)'!$E$7:$E$164,$B32,'WBS(基本設計)'!$N$7:$N$164,"対象")</f>
        <v>3</v>
      </c>
      <c r="D32" s="121">
        <f>SUMIF('WBS(詳細設計_製造)'!$D$6:$D$186,$B32,'WBS(詳細設計_製造)'!$G$6:$G$186)</f>
        <v>2</v>
      </c>
      <c r="E32" s="121">
        <f>SUMIF('WBS(詳細設計_製造)'!$D$6:$D$186,$B32,'WBS(詳細設計_製造)'!$H$6:$H$186)</f>
        <v>3</v>
      </c>
      <c r="F32" s="121">
        <f>SUMIF('WBS(テスト)'!$D$6:$D$99,$B32,'WBS(テスト)'!$G$6:$G$99)</f>
        <v>5</v>
      </c>
      <c r="G32" s="121">
        <f t="shared" si="0"/>
        <v>13</v>
      </c>
      <c r="H32" s="130">
        <f>COUNTIF('WBS(詳細設計_製造)'!$D$6:$D$186,$B32)+COUNTIF('WBS(テスト)'!$D$6:$D$99,$B32)</f>
        <v>3</v>
      </c>
    </row>
    <row r="33" spans="1:8">
      <c r="A33" t="s">
        <v>3143</v>
      </c>
      <c r="B33" t="s">
        <v>1634</v>
      </c>
      <c r="C33" s="121">
        <f>SUMIFS('WBS(基本設計)'!$I$7:$I$164,'WBS(基本設計)'!$E$7:$E$164,$B33,'WBS(基本設計)'!$N$7:$N$164,"対象")</f>
        <v>1</v>
      </c>
      <c r="D33" s="121">
        <f>SUMIF('WBS(詳細設計_製造)'!$D$6:$D$186,$B33,'WBS(詳細設計_製造)'!$G$6:$G$186)</f>
        <v>1.5</v>
      </c>
      <c r="E33" s="121">
        <f>SUMIF('WBS(詳細設計_製造)'!$D$6:$D$186,$B33,'WBS(詳細設計_製造)'!$H$6:$H$186)</f>
        <v>2</v>
      </c>
      <c r="F33" s="121">
        <f>SUMIF('WBS(テスト)'!$D$6:$D$99,$B33,'WBS(テスト)'!$G$6:$G$99)</f>
        <v>1.5</v>
      </c>
      <c r="G33" s="121">
        <f t="shared" si="0"/>
        <v>6</v>
      </c>
      <c r="H33" s="130">
        <f>COUNTIF('WBS(詳細設計_製造)'!$D$6:$D$186,$B33)+COUNTIF('WBS(テスト)'!$D$6:$D$99,$B33)</f>
        <v>3</v>
      </c>
    </row>
    <row r="34" spans="1:8">
      <c r="A34" t="s">
        <v>1649</v>
      </c>
      <c r="B34" t="s">
        <v>1619</v>
      </c>
      <c r="C34" s="121">
        <f>SUMIFS('WBS(基本設計)'!$I$7:$I$164,'WBS(基本設計)'!$E$7:$E$164,$B34,'WBS(基本設計)'!$N$7:$N$164,"対象")</f>
        <v>3</v>
      </c>
      <c r="D34" s="121">
        <f>SUMIF('WBS(詳細設計_製造)'!$D$6:$D$186,$B34,'WBS(詳細設計_製造)'!$G$6:$G$186)</f>
        <v>2</v>
      </c>
      <c r="E34" s="121">
        <f>SUMIF('WBS(詳細設計_製造)'!$D$6:$D$186,$B34,'WBS(詳細設計_製造)'!$H$6:$H$186)</f>
        <v>2</v>
      </c>
      <c r="F34" s="121">
        <f>SUMIF('WBS(テスト)'!$D$6:$D$99,$B34,'WBS(テスト)'!$G$6:$G$99)</f>
        <v>2</v>
      </c>
      <c r="G34" s="121">
        <f t="shared" si="0"/>
        <v>9</v>
      </c>
      <c r="H34" s="130">
        <f>COUNTIF('WBS(詳細設計_製造)'!$D$6:$D$186,$B34)+COUNTIF('WBS(テスト)'!$D$6:$D$99,$B34)</f>
        <v>3</v>
      </c>
    </row>
    <row r="35" spans="1:8">
      <c r="A35" t="s">
        <v>2028</v>
      </c>
      <c r="B35" t="s">
        <v>3178</v>
      </c>
      <c r="C35" s="121">
        <f>SUMIFS('WBS(基本設計)'!$I$7:$I$164,'WBS(基本設計)'!$E$7:$E$164,$B35,'WBS(基本設計)'!$N$7:$N$164,"対象")</f>
        <v>4</v>
      </c>
      <c r="D35" s="121">
        <f>SUMIF('WBS(詳細設計_製造)'!$D$6:$D$186,$B35,'WBS(詳細設計_製造)'!$G$6:$G$186)</f>
        <v>4</v>
      </c>
      <c r="E35" s="121">
        <f>SUMIF('WBS(詳細設計_製造)'!$D$6:$D$186,$B35,'WBS(詳細設計_製造)'!$H$6:$H$186)</f>
        <v>4.5</v>
      </c>
      <c r="F35" s="121">
        <f>SUMIF('WBS(テスト)'!$D$6:$D$99,$B35,'WBS(テスト)'!$G$6:$G$99)</f>
        <v>9</v>
      </c>
      <c r="G35" s="121">
        <f t="shared" si="0"/>
        <v>21.5</v>
      </c>
      <c r="H35" s="130">
        <f>COUNTIF('WBS(詳細設計_製造)'!$D$6:$D$186,$B35)+COUNTIF('WBS(テスト)'!$D$6:$D$99,$B35)</f>
        <v>6</v>
      </c>
    </row>
    <row r="36" spans="1:8">
      <c r="A36" t="s">
        <v>2028</v>
      </c>
      <c r="B36" t="s">
        <v>3179</v>
      </c>
      <c r="C36" s="121">
        <f>SUMIFS('WBS(基本設計)'!$I$7:$I$164,'WBS(基本設計)'!$E$7:$E$164,$B36,'WBS(基本設計)'!$N$7:$N$164,"対象")</f>
        <v>0.5</v>
      </c>
      <c r="D36" s="121">
        <f>SUMIF('WBS(詳細設計_製造)'!$D$6:$D$186,$B36,'WBS(詳細設計_製造)'!$G$6:$G$186)</f>
        <v>1.5</v>
      </c>
      <c r="E36" s="121">
        <f>SUMIF('WBS(詳細設計_製造)'!$D$6:$D$186,$B36,'WBS(詳細設計_製造)'!$H$6:$H$186)</f>
        <v>2.5</v>
      </c>
      <c r="F36" s="121">
        <f>SUMIF('WBS(テスト)'!$D$6:$D$99,$B36,'WBS(テスト)'!$G$6:$G$99)</f>
        <v>4</v>
      </c>
      <c r="G36" s="121">
        <f t="shared" si="0"/>
        <v>8.5</v>
      </c>
      <c r="H36" s="130">
        <f>COUNTIF('WBS(詳細設計_製造)'!$D$6:$D$186,$B36)+COUNTIF('WBS(テスト)'!$D$6:$D$99,$B36)</f>
        <v>4</v>
      </c>
    </row>
    <row r="37" spans="1:8">
      <c r="A37" t="s">
        <v>3146</v>
      </c>
      <c r="B37" t="s">
        <v>3180</v>
      </c>
      <c r="C37" s="121">
        <f>SUMIFS('WBS(基本設計)'!$I$7:$I$164,'WBS(基本設計)'!$E$7:$E$164,$B37,'WBS(基本設計)'!$N$7:$N$164,"対象")</f>
        <v>1.5</v>
      </c>
      <c r="D37" s="121">
        <f>SUMIF('WBS(詳細設計_製造)'!$D$6:$D$186,$B37,'WBS(詳細設計_製造)'!$G$6:$G$186)</f>
        <v>1.5</v>
      </c>
      <c r="E37" s="121">
        <f>SUMIF('WBS(詳細設計_製造)'!$D$6:$D$186,$B37,'WBS(詳細設計_製造)'!$H$6:$H$186)</f>
        <v>3</v>
      </c>
      <c r="F37" s="121">
        <f>SUMIF('WBS(テスト)'!$D$6:$D$99,$B37,'WBS(テスト)'!$G$6:$G$99)</f>
        <v>2</v>
      </c>
      <c r="G37" s="121">
        <f t="shared" si="0"/>
        <v>8</v>
      </c>
      <c r="H37" s="130">
        <f>COUNTIF('WBS(詳細設計_製造)'!$D$6:$D$186,$B37)+COUNTIF('WBS(テスト)'!$D$6:$D$99,$B37)</f>
        <v>4</v>
      </c>
    </row>
    <row r="38" spans="1:8">
      <c r="A38" t="s">
        <v>2029</v>
      </c>
      <c r="B38" t="s">
        <v>2182</v>
      </c>
      <c r="C38" s="121">
        <f>SUMIFS('WBS(基本設計)'!$I$7:$I$164,'WBS(基本設計)'!$E$7:$E$164,$B38,'WBS(基本設計)'!$N$7:$N$164,"対象")</f>
        <v>1</v>
      </c>
      <c r="D38" s="121">
        <f>SUMIF('WBS(詳細設計_製造)'!$D$6:$D$186,$B38,'WBS(詳細設計_製造)'!$G$6:$G$186)</f>
        <v>2</v>
      </c>
      <c r="E38" s="121">
        <f>SUMIF('WBS(詳細設計_製造)'!$D$6:$D$186,$B38,'WBS(詳細設計_製造)'!$H$6:$H$186)</f>
        <v>4</v>
      </c>
      <c r="F38" s="121">
        <f>SUMIF('WBS(テスト)'!$D$6:$D$99,$B38,'WBS(テスト)'!$G$6:$G$99)</f>
        <v>4</v>
      </c>
      <c r="G38" s="121">
        <f t="shared" si="0"/>
        <v>11</v>
      </c>
      <c r="H38" s="130">
        <f>COUNTIF('WBS(詳細設計_製造)'!$D$6:$D$186,$B38)+COUNTIF('WBS(テスト)'!$D$6:$D$99,$B38)</f>
        <v>4</v>
      </c>
    </row>
    <row r="39" spans="1:8">
      <c r="A39" t="s">
        <v>2029</v>
      </c>
      <c r="B39" t="s">
        <v>3754</v>
      </c>
      <c r="C39" s="121">
        <f>SUMIFS('WBS(基本設計)'!$I$7:$I$164,'WBS(基本設計)'!$E$7:$E$164,$B39,'WBS(基本設計)'!$N$7:$N$164,"対象")</f>
        <v>2</v>
      </c>
      <c r="D39" s="121">
        <f>SUMIF('WBS(詳細設計_製造)'!$D$6:$D$186,$B39,'WBS(詳細設計_製造)'!$G$6:$G$186)</f>
        <v>1.5</v>
      </c>
      <c r="E39" s="121">
        <f>SUMIF('WBS(詳細設計_製造)'!$D$6:$D$186,$B39,'WBS(詳細設計_製造)'!$H$6:$H$186)</f>
        <v>2</v>
      </c>
      <c r="F39" s="121">
        <f>SUMIF('WBS(テスト)'!$D$6:$D$99,$B39,'WBS(テスト)'!$G$6:$G$99)</f>
        <v>2</v>
      </c>
      <c r="G39" s="121">
        <f t="shared" si="0"/>
        <v>7.5</v>
      </c>
      <c r="H39" s="130">
        <f>COUNTIF('WBS(詳細設計_製造)'!$D$6:$D$186,$B39)+COUNTIF('WBS(テスト)'!$D$6:$D$99,$B39)</f>
        <v>3</v>
      </c>
    </row>
    <row r="40" spans="1:8">
      <c r="A40" t="s">
        <v>2030</v>
      </c>
      <c r="B40" t="s">
        <v>1601</v>
      </c>
      <c r="C40" s="121">
        <f>SUMIFS('WBS(基本設計)'!$I$7:$I$164,'WBS(基本設計)'!$E$7:$E$164,$B40,'WBS(基本設計)'!$N$7:$N$164,"対象")</f>
        <v>7</v>
      </c>
      <c r="D40" s="121">
        <f>SUMIF('WBS(詳細設計_製造)'!$D$6:$D$186,$B40,'WBS(詳細設計_製造)'!$G$6:$G$186)</f>
        <v>5</v>
      </c>
      <c r="E40" s="121">
        <f>SUMIF('WBS(詳細設計_製造)'!$D$6:$D$186,$B40,'WBS(詳細設計_製造)'!$H$6:$H$186)</f>
        <v>6</v>
      </c>
      <c r="F40" s="121">
        <f>SUMIF('WBS(テスト)'!$D$6:$D$99,$B40,'WBS(テスト)'!$G$6:$G$99)</f>
        <v>13</v>
      </c>
      <c r="G40" s="121">
        <f t="shared" si="0"/>
        <v>31</v>
      </c>
      <c r="H40" s="130">
        <f>COUNTIF('WBS(詳細設計_製造)'!$D$6:$D$186,$B40)+COUNTIF('WBS(テスト)'!$D$6:$D$99,$B40)</f>
        <v>7</v>
      </c>
    </row>
    <row r="41" spans="1:8">
      <c r="A41" t="s">
        <v>2030</v>
      </c>
      <c r="B41" t="s">
        <v>3181</v>
      </c>
      <c r="C41" s="121">
        <f>SUMIFS('WBS(基本設計)'!$I$7:$I$164,'WBS(基本設計)'!$E$7:$E$164,$B41,'WBS(基本設計)'!$N$7:$N$164,"対象")</f>
        <v>2</v>
      </c>
      <c r="D41" s="121">
        <f>SUMIF('WBS(詳細設計_製造)'!$D$6:$D$186,$B41,'WBS(詳細設計_製造)'!$G$6:$G$186)</f>
        <v>0</v>
      </c>
      <c r="E41" s="121">
        <f>SUMIF('WBS(詳細設計_製造)'!$D$6:$D$186,$B41,'WBS(詳細設計_製造)'!$H$6:$H$186)</f>
        <v>2</v>
      </c>
      <c r="F41" s="121">
        <f>SUMIF('WBS(テスト)'!$D$6:$D$99,$B41,'WBS(テスト)'!$G$6:$G$99)</f>
        <v>1</v>
      </c>
      <c r="G41" s="121">
        <f t="shared" si="0"/>
        <v>5</v>
      </c>
      <c r="H41" s="130">
        <f>COUNTIF('WBS(詳細設計_製造)'!$D$6:$D$186,$B41)+COUNTIF('WBS(テスト)'!$D$6:$D$99,$B41)</f>
        <v>2</v>
      </c>
    </row>
    <row r="42" spans="1:8">
      <c r="A42" t="s">
        <v>2030</v>
      </c>
      <c r="B42" t="s">
        <v>1631</v>
      </c>
      <c r="C42" s="121">
        <f>SUMIFS('WBS(基本設計)'!$I$7:$I$164,'WBS(基本設計)'!$E$7:$E$164,$B42,'WBS(基本設計)'!$N$7:$N$164,"対象")</f>
        <v>1</v>
      </c>
      <c r="D42" s="121">
        <f>SUMIF('WBS(詳細設計_製造)'!$D$6:$D$186,$B42,'WBS(詳細設計_製造)'!$G$6:$G$186)</f>
        <v>0</v>
      </c>
      <c r="E42" s="121">
        <f>SUMIF('WBS(詳細設計_製造)'!$D$6:$D$186,$B42,'WBS(詳細設計_製造)'!$H$6:$H$186)</f>
        <v>1</v>
      </c>
      <c r="F42" s="121">
        <f>SUMIF('WBS(テスト)'!$D$6:$D$99,$B42,'WBS(テスト)'!$G$6:$G$99)</f>
        <v>1</v>
      </c>
      <c r="G42" s="121">
        <f t="shared" si="0"/>
        <v>3</v>
      </c>
      <c r="H42" s="130">
        <f>COUNTIF('WBS(詳細設計_製造)'!$D$6:$D$186,$B42)+COUNTIF('WBS(テスト)'!$D$6:$D$99,$B42)</f>
        <v>2</v>
      </c>
    </row>
    <row r="43" spans="1:8">
      <c r="A43" t="s">
        <v>2031</v>
      </c>
      <c r="B43" t="s">
        <v>2136</v>
      </c>
      <c r="C43" s="121">
        <f>SUMIFS('WBS(基本設計)'!$I$7:$I$164,'WBS(基本設計)'!$E$7:$E$164,$B43,'WBS(基本設計)'!$N$7:$N$164,"対象")</f>
        <v>2</v>
      </c>
      <c r="D43" s="121">
        <f>SUMIF('WBS(詳細設計_製造)'!$D$6:$D$186,$B43,'WBS(詳細設計_製造)'!$G$6:$G$186)</f>
        <v>4</v>
      </c>
      <c r="E43" s="121">
        <f>SUMIF('WBS(詳細設計_製造)'!$D$6:$D$186,$B43,'WBS(詳細設計_製造)'!$H$6:$H$186)</f>
        <v>4.5</v>
      </c>
      <c r="F43" s="121">
        <f>SUMIF('WBS(テスト)'!$D$6:$D$99,$B43,'WBS(テスト)'!$G$6:$G$99)</f>
        <v>7</v>
      </c>
      <c r="G43" s="121">
        <f t="shared" si="0"/>
        <v>17.5</v>
      </c>
      <c r="H43" s="130">
        <f>COUNTIF('WBS(詳細設計_製造)'!$D$6:$D$186,$B43)+COUNTIF('WBS(テスト)'!$D$6:$D$99,$B43)</f>
        <v>6</v>
      </c>
    </row>
    <row r="44" spans="1:8">
      <c r="A44" t="s">
        <v>2031</v>
      </c>
      <c r="B44" t="s">
        <v>2190</v>
      </c>
      <c r="C44" s="121">
        <f>SUMIFS('WBS(基本設計)'!$I$7:$I$164,'WBS(基本設計)'!$E$7:$E$164,$B44,'WBS(基本設計)'!$N$7:$N$164,"対象")</f>
        <v>1</v>
      </c>
      <c r="D44" s="121">
        <f>SUMIF('WBS(詳細設計_製造)'!$D$6:$D$186,$B44,'WBS(詳細設計_製造)'!$G$6:$G$186)</f>
        <v>1</v>
      </c>
      <c r="E44" s="121">
        <f>SUMIF('WBS(詳細設計_製造)'!$D$6:$D$186,$B44,'WBS(詳細設計_製造)'!$H$6:$H$186)</f>
        <v>1.5</v>
      </c>
      <c r="F44" s="121">
        <f>SUMIF('WBS(テスト)'!$D$6:$D$99,$B44,'WBS(テスト)'!$G$6:$G$99)</f>
        <v>1.5</v>
      </c>
      <c r="G44" s="121">
        <f t="shared" si="0"/>
        <v>5</v>
      </c>
      <c r="H44" s="130">
        <f>COUNTIF('WBS(詳細設計_製造)'!$D$6:$D$186,$B44)+COUNTIF('WBS(テスト)'!$D$6:$D$99,$B44)</f>
        <v>3</v>
      </c>
    </row>
    <row r="45" spans="1:8">
      <c r="A45" t="s">
        <v>2034</v>
      </c>
      <c r="B45" t="s">
        <v>1638</v>
      </c>
      <c r="C45" s="121">
        <f>SUMIFS('WBS(基本設計)'!$I$7:$I$164,'WBS(基本設計)'!$E$7:$E$164,$B45,'WBS(基本設計)'!$N$7:$N$164,"対象")</f>
        <v>2.5</v>
      </c>
      <c r="D45" s="121">
        <f>SUMIF('WBS(詳細設計_製造)'!$D$6:$D$186,$B45,'WBS(詳細設計_製造)'!$G$6:$G$186)</f>
        <v>2</v>
      </c>
      <c r="E45" s="121">
        <f>SUMIF('WBS(詳細設計_製造)'!$D$6:$D$186,$B45,'WBS(詳細設計_製造)'!$H$6:$H$186)</f>
        <v>3</v>
      </c>
      <c r="F45" s="121">
        <f>SUMIF('WBS(テスト)'!$D$6:$D$99,$B45,'WBS(テスト)'!$G$6:$G$99)</f>
        <v>1.5</v>
      </c>
      <c r="G45" s="121">
        <f t="shared" si="0"/>
        <v>9</v>
      </c>
      <c r="H45" s="130">
        <f>COUNTIF('WBS(詳細設計_製造)'!$D$6:$D$186,$B45)+COUNTIF('WBS(テスト)'!$D$6:$D$99,$B45)</f>
        <v>4</v>
      </c>
    </row>
    <row r="46" spans="1:8">
      <c r="A46" t="s">
        <v>2034</v>
      </c>
      <c r="B46" t="s">
        <v>1639</v>
      </c>
      <c r="C46" s="121">
        <f>SUMIFS('WBS(基本設計)'!$I$7:$I$164,'WBS(基本設計)'!$E$7:$E$164,$B46,'WBS(基本設計)'!$N$7:$N$164,"対象")</f>
        <v>0.5</v>
      </c>
      <c r="D46" s="121">
        <f>SUMIF('WBS(詳細設計_製造)'!$D$6:$D$186,$B46,'WBS(詳細設計_製造)'!$G$6:$G$186)</f>
        <v>1.5</v>
      </c>
      <c r="E46" s="121">
        <f>SUMIF('WBS(詳細設計_製造)'!$D$6:$D$186,$B46,'WBS(詳細設計_製造)'!$H$6:$H$186)</f>
        <v>2</v>
      </c>
      <c r="F46" s="121">
        <f>SUMIF('WBS(テスト)'!$D$6:$D$99,$B46,'WBS(テスト)'!$G$6:$G$99)</f>
        <v>0.5</v>
      </c>
      <c r="G46" s="121">
        <f t="shared" si="0"/>
        <v>4.5</v>
      </c>
      <c r="H46" s="130">
        <f>COUNTIF('WBS(詳細設計_製造)'!$D$6:$D$186,$B46)+COUNTIF('WBS(テスト)'!$D$6:$D$99,$B46)</f>
        <v>3</v>
      </c>
    </row>
    <row r="47" spans="1:8">
      <c r="A47" t="s">
        <v>2034</v>
      </c>
      <c r="B47" t="s">
        <v>1640</v>
      </c>
      <c r="C47" s="121">
        <f>SUMIFS('WBS(基本設計)'!$I$7:$I$164,'WBS(基本設計)'!$E$7:$E$164,$B47,'WBS(基本設計)'!$N$7:$N$164,"対象")</f>
        <v>0.5</v>
      </c>
      <c r="D47" s="121">
        <f>SUMIF('WBS(詳細設計_製造)'!$D$6:$D$186,$B47,'WBS(詳細設計_製造)'!$G$6:$G$186)</f>
        <v>1.5</v>
      </c>
      <c r="E47" s="121">
        <f>SUMIF('WBS(詳細設計_製造)'!$D$6:$D$186,$B47,'WBS(詳細設計_製造)'!$H$6:$H$186)</f>
        <v>2</v>
      </c>
      <c r="F47" s="121">
        <f>SUMIF('WBS(テスト)'!$D$6:$D$99,$B47,'WBS(テスト)'!$G$6:$G$99)</f>
        <v>1</v>
      </c>
      <c r="G47" s="121">
        <f t="shared" si="0"/>
        <v>5</v>
      </c>
      <c r="H47" s="130">
        <f>COUNTIF('WBS(詳細設計_製造)'!$D$6:$D$186,$B47)+COUNTIF('WBS(テスト)'!$D$6:$D$99,$B47)</f>
        <v>3</v>
      </c>
    </row>
    <row r="48" spans="1:8">
      <c r="A48" t="s">
        <v>1653</v>
      </c>
      <c r="B48" t="s">
        <v>1633</v>
      </c>
      <c r="C48" s="121">
        <f>SUMIFS('WBS(基本設計)'!$I$7:$I$164,'WBS(基本設計)'!$E$7:$E$164,$B48,'WBS(基本設計)'!$N$7:$N$164,"対象")</f>
        <v>1</v>
      </c>
      <c r="D48" s="121">
        <f>SUMIF('WBS(詳細設計_製造)'!$D$6:$D$186,$B48,'WBS(詳細設計_製造)'!$G$6:$G$186)</f>
        <v>1</v>
      </c>
      <c r="E48" s="121">
        <f>SUMIF('WBS(詳細設計_製造)'!$D$6:$D$186,$B48,'WBS(詳細設計_製造)'!$H$6:$H$186)</f>
        <v>2</v>
      </c>
      <c r="F48" s="121">
        <f>SUMIF('WBS(テスト)'!$D$6:$D$99,$B48,'WBS(テスト)'!$G$6:$G$99)</f>
        <v>1.5</v>
      </c>
      <c r="G48" s="121">
        <f t="shared" si="0"/>
        <v>5.5</v>
      </c>
      <c r="H48" s="130">
        <f>COUNTIF('WBS(詳細設計_製造)'!$D$6:$D$186,$B48)+COUNTIF('WBS(テスト)'!$D$6:$D$99,$B48)</f>
        <v>3</v>
      </c>
    </row>
    <row r="49" spans="1:8">
      <c r="A49" t="s">
        <v>2039</v>
      </c>
      <c r="B49" t="s">
        <v>2132</v>
      </c>
      <c r="C49" s="121">
        <f>SUMIFS('WBS(基本設計)'!$I$7:$I$164,'WBS(基本設計)'!$E$7:$E$164,$B49,'WBS(基本設計)'!$N$7:$N$164,"対象")</f>
        <v>2</v>
      </c>
      <c r="D49" s="121">
        <f>SUMIF('WBS(詳細設計_製造)'!$D$6:$D$186,$B49,'WBS(詳細設計_製造)'!$G$6:$G$186)</f>
        <v>2</v>
      </c>
      <c r="E49" s="121">
        <f>SUMIF('WBS(詳細設計_製造)'!$D$6:$D$186,$B49,'WBS(詳細設計_製造)'!$H$6:$H$186)</f>
        <v>2</v>
      </c>
      <c r="F49" s="121">
        <f>SUMIF('WBS(テスト)'!$D$6:$D$99,$B49,'WBS(テスト)'!$G$6:$G$99)</f>
        <v>1.5</v>
      </c>
      <c r="G49" s="121">
        <f t="shared" si="0"/>
        <v>7.5</v>
      </c>
      <c r="H49" s="130">
        <f>COUNTIF('WBS(詳細設計_製造)'!$D$6:$D$186,$B49)+COUNTIF('WBS(テスト)'!$D$6:$D$99,$B49)</f>
        <v>3</v>
      </c>
    </row>
    <row r="50" spans="1:8">
      <c r="A50" t="s">
        <v>2039</v>
      </c>
      <c r="B50" t="s">
        <v>2086</v>
      </c>
      <c r="C50" s="121">
        <f>SUMIFS('WBS(基本設計)'!$I$7:$I$164,'WBS(基本設計)'!$E$7:$E$164,$B50,'WBS(基本設計)'!$N$7:$N$164,"対象")</f>
        <v>4</v>
      </c>
      <c r="D50" s="121">
        <f>SUMIF('WBS(詳細設計_製造)'!$D$6:$D$186,$B50,'WBS(詳細設計_製造)'!$G$6:$G$186)</f>
        <v>5</v>
      </c>
      <c r="E50" s="121">
        <f>SUMIF('WBS(詳細設計_製造)'!$D$6:$D$186,$B50,'WBS(詳細設計_製造)'!$H$6:$H$186)</f>
        <v>12</v>
      </c>
      <c r="F50" s="121">
        <f>SUMIF('WBS(テスト)'!$D$6:$D$99,$B50,'WBS(テスト)'!$G$6:$G$99)</f>
        <v>4</v>
      </c>
      <c r="G50" s="121">
        <f t="shared" si="0"/>
        <v>25</v>
      </c>
      <c r="H50" s="130">
        <f>COUNTIF('WBS(詳細設計_製造)'!$D$6:$D$186,$B50)+COUNTIF('WBS(テスト)'!$D$6:$D$99,$B50)</f>
        <v>4</v>
      </c>
    </row>
    <row r="51" spans="1:8">
      <c r="A51" t="s">
        <v>2039</v>
      </c>
      <c r="B51" t="s">
        <v>2088</v>
      </c>
      <c r="C51" s="121">
        <f>SUMIFS('WBS(基本設計)'!$I$7:$I$164,'WBS(基本設計)'!$E$7:$E$164,$B51,'WBS(基本設計)'!$N$7:$N$164,"対象")</f>
        <v>2</v>
      </c>
      <c r="D51" s="121">
        <f>SUMIF('WBS(詳細設計_製造)'!$D$6:$D$186,$B51,'WBS(詳細設計_製造)'!$G$6:$G$186)</f>
        <v>4</v>
      </c>
      <c r="E51" s="121">
        <f>SUMIF('WBS(詳細設計_製造)'!$D$6:$D$186,$B51,'WBS(詳細設計_製造)'!$H$6:$H$186)</f>
        <v>15</v>
      </c>
      <c r="F51" s="121">
        <f>SUMIF('WBS(テスト)'!$D$6:$D$99,$B51,'WBS(テスト)'!$G$6:$G$99)</f>
        <v>4</v>
      </c>
      <c r="G51" s="121">
        <f t="shared" si="0"/>
        <v>25</v>
      </c>
      <c r="H51" s="130">
        <f>COUNTIF('WBS(詳細設計_製造)'!$D$6:$D$186,$B51)+COUNTIF('WBS(テスト)'!$D$6:$D$99,$B51)</f>
        <v>5</v>
      </c>
    </row>
    <row r="52" spans="1:8">
      <c r="A52" t="s">
        <v>2039</v>
      </c>
      <c r="B52" t="s">
        <v>2108</v>
      </c>
      <c r="C52" s="121">
        <f>SUMIFS('WBS(基本設計)'!$I$7:$I$164,'WBS(基本設計)'!$E$7:$E$164,$B52,'WBS(基本設計)'!$N$7:$N$164,"対象")</f>
        <v>4</v>
      </c>
      <c r="D52" s="121">
        <f>SUMIF('WBS(詳細設計_製造)'!$D$6:$D$186,$B52,'WBS(詳細設計_製造)'!$G$6:$G$186)</f>
        <v>3</v>
      </c>
      <c r="E52" s="121">
        <f>SUMIF('WBS(詳細設計_製造)'!$D$6:$D$186,$B52,'WBS(詳細設計_製造)'!$H$6:$H$186)</f>
        <v>4</v>
      </c>
      <c r="F52" s="121">
        <f>SUMIF('WBS(テスト)'!$D$6:$D$99,$B52,'WBS(テスト)'!$G$6:$G$99)</f>
        <v>2</v>
      </c>
      <c r="G52" s="121">
        <f t="shared" si="0"/>
        <v>13</v>
      </c>
      <c r="H52" s="130">
        <f>COUNTIF('WBS(詳細設計_製造)'!$D$6:$D$186,$B52)+COUNTIF('WBS(テスト)'!$D$6:$D$99,$B52)</f>
        <v>3</v>
      </c>
    </row>
    <row r="53" spans="1:8">
      <c r="A53" t="s">
        <v>2039</v>
      </c>
      <c r="B53" t="s">
        <v>2178</v>
      </c>
      <c r="C53" s="121">
        <f>SUMIFS('WBS(基本設計)'!$I$7:$I$164,'WBS(基本設計)'!$E$7:$E$164,$B53,'WBS(基本設計)'!$N$7:$N$164,"対象")</f>
        <v>1</v>
      </c>
      <c r="D53" s="121">
        <f>SUMIF('WBS(詳細設計_製造)'!$D$6:$D$186,$B53,'WBS(詳細設計_製造)'!$G$6:$G$186)</f>
        <v>2</v>
      </c>
      <c r="E53" s="121">
        <f>SUMIF('WBS(詳細設計_製造)'!$D$6:$D$186,$B53,'WBS(詳細設計_製造)'!$H$6:$H$186)</f>
        <v>10</v>
      </c>
      <c r="F53" s="121">
        <f>SUMIF('WBS(テスト)'!$D$6:$D$99,$B53,'WBS(テスト)'!$G$6:$G$99)</f>
        <v>2</v>
      </c>
      <c r="G53" s="121">
        <f t="shared" si="0"/>
        <v>15</v>
      </c>
      <c r="H53" s="130">
        <f>COUNTIF('WBS(詳細設計_製造)'!$D$6:$D$186,$B53)+COUNTIF('WBS(テスト)'!$D$6:$D$99,$B53)</f>
        <v>4</v>
      </c>
    </row>
    <row r="54" spans="1:8">
      <c r="A54" t="s">
        <v>2039</v>
      </c>
      <c r="B54" t="s">
        <v>2094</v>
      </c>
      <c r="C54" s="121">
        <f>SUMIFS('WBS(基本設計)'!$I$7:$I$164,'WBS(基本設計)'!$E$7:$E$164,$B54,'WBS(基本設計)'!$N$7:$N$164,"対象")</f>
        <v>1.5</v>
      </c>
      <c r="D54" s="121">
        <f>SUMIF('WBS(詳細設計_製造)'!$D$6:$D$186,$B54,'WBS(詳細設計_製造)'!$G$6:$G$186)</f>
        <v>0</v>
      </c>
      <c r="E54" s="121">
        <f>SUMIF('WBS(詳細設計_製造)'!$D$6:$D$186,$B54,'WBS(詳細設計_製造)'!$H$6:$H$186)</f>
        <v>0</v>
      </c>
      <c r="F54" s="121">
        <f>SUMIF('WBS(テスト)'!$D$6:$D$99,$B54,'WBS(テスト)'!$G$6:$G$99)</f>
        <v>0</v>
      </c>
      <c r="G54" s="121">
        <f t="shared" si="0"/>
        <v>1.5</v>
      </c>
      <c r="H54" s="130">
        <f>COUNTIF('WBS(詳細設計_製造)'!$D$6:$D$186,$B54)+COUNTIF('WBS(テスト)'!$D$6:$D$99,$B54)</f>
        <v>0</v>
      </c>
    </row>
    <row r="55" spans="1:8">
      <c r="A55" t="s">
        <v>2039</v>
      </c>
      <c r="B55" t="s">
        <v>3182</v>
      </c>
      <c r="C55" s="121">
        <f>SUMIFS('WBS(基本設計)'!$I$7:$I$164,'WBS(基本設計)'!$E$7:$E$164,$B55,'WBS(基本設計)'!$N$7:$N$164,"対象")</f>
        <v>3</v>
      </c>
      <c r="D55" s="121">
        <f>SUMIF('WBS(詳細設計_製造)'!$D$6:$D$186,$B55,'WBS(詳細設計_製造)'!$G$6:$G$186)</f>
        <v>5</v>
      </c>
      <c r="E55" s="121">
        <f>SUMIF('WBS(詳細設計_製造)'!$D$6:$D$186,$B55,'WBS(詳細設計_製造)'!$H$6:$H$186)</f>
        <v>0</v>
      </c>
      <c r="F55" s="121">
        <f>SUMIF('WBS(テスト)'!$D$6:$D$99,$B55,'WBS(テスト)'!$G$6:$G$99)</f>
        <v>7</v>
      </c>
      <c r="G55" s="121">
        <f t="shared" si="0"/>
        <v>15</v>
      </c>
      <c r="H55" s="130">
        <f>COUNTIF('WBS(詳細設計_製造)'!$D$6:$D$186,$B55)+COUNTIF('WBS(テスト)'!$D$6:$D$99,$B55)</f>
        <v>4</v>
      </c>
    </row>
    <row r="56" spans="1:8">
      <c r="A56" t="s">
        <v>2042</v>
      </c>
      <c r="B56" t="s">
        <v>2117</v>
      </c>
      <c r="C56" s="121">
        <f>SUMIFS('WBS(基本設計)'!$I$7:$I$164,'WBS(基本設計)'!$E$7:$E$164,$B56,'WBS(基本設計)'!$N$7:$N$164,"対象")</f>
        <v>4</v>
      </c>
      <c r="D56" s="121">
        <f>SUMIF('WBS(詳細設計_製造)'!$D$6:$D$186,$B56,'WBS(詳細設計_製造)'!$G$6:$G$186)</f>
        <v>3</v>
      </c>
      <c r="E56" s="121">
        <f>SUMIF('WBS(詳細設計_製造)'!$D$6:$D$186,$B56,'WBS(詳細設計_製造)'!$H$6:$H$186)</f>
        <v>3</v>
      </c>
      <c r="F56" s="121">
        <f>SUMIF('WBS(テスト)'!$D$6:$D$99,$B56,'WBS(テスト)'!$G$6:$G$99)</f>
        <v>8</v>
      </c>
      <c r="G56" s="121">
        <f t="shared" si="0"/>
        <v>18</v>
      </c>
      <c r="H56" s="130">
        <f>COUNTIF('WBS(詳細設計_製造)'!$D$6:$D$186,$B56)+COUNTIF('WBS(テスト)'!$D$6:$D$99,$B56)</f>
        <v>3</v>
      </c>
    </row>
    <row r="57" spans="1:8">
      <c r="A57" t="s">
        <v>2042</v>
      </c>
      <c r="B57" t="s">
        <v>2080</v>
      </c>
      <c r="C57" s="121">
        <f>SUMIFS('WBS(基本設計)'!$I$7:$I$164,'WBS(基本設計)'!$E$7:$E$164,$B57,'WBS(基本設計)'!$N$7:$N$164,"対象")</f>
        <v>6.5</v>
      </c>
      <c r="D57" s="121">
        <f>SUMIF('WBS(詳細設計_製造)'!$D$6:$D$186,$B57,'WBS(詳細設計_製造)'!$G$6:$G$186)</f>
        <v>2</v>
      </c>
      <c r="E57" s="121">
        <f>SUMIF('WBS(詳細設計_製造)'!$D$6:$D$186,$B57,'WBS(詳細設計_製造)'!$H$6:$H$186)</f>
        <v>1</v>
      </c>
      <c r="F57" s="121">
        <f>SUMIF('WBS(テスト)'!$D$6:$D$99,$B57,'WBS(テスト)'!$G$6:$G$99)</f>
        <v>6</v>
      </c>
      <c r="G57" s="121">
        <f t="shared" si="0"/>
        <v>15.5</v>
      </c>
      <c r="H57" s="130">
        <f>COUNTIF('WBS(詳細設計_製造)'!$D$6:$D$186,$B57)+COUNTIF('WBS(テスト)'!$D$6:$D$99,$B57)</f>
        <v>3</v>
      </c>
    </row>
    <row r="58" spans="1:8">
      <c r="A58" t="s">
        <v>2042</v>
      </c>
      <c r="B58" t="s">
        <v>2098</v>
      </c>
      <c r="C58" s="121">
        <f>SUMIFS('WBS(基本設計)'!$I$7:$I$164,'WBS(基本設計)'!$E$7:$E$164,$B58,'WBS(基本設計)'!$N$7:$N$164,"対象")</f>
        <v>3</v>
      </c>
      <c r="D58" s="121">
        <f>SUMIF('WBS(詳細設計_製造)'!$D$6:$D$186,$B58,'WBS(詳細設計_製造)'!$G$6:$G$186)</f>
        <v>2</v>
      </c>
      <c r="E58" s="121">
        <f>SUMIF('WBS(詳細設計_製造)'!$D$6:$D$186,$B58,'WBS(詳細設計_製造)'!$H$6:$H$186)</f>
        <v>2</v>
      </c>
      <c r="F58" s="121">
        <f>SUMIF('WBS(テスト)'!$D$6:$D$99,$B58,'WBS(テスト)'!$G$6:$G$99)</f>
        <v>3</v>
      </c>
      <c r="G58" s="121">
        <f t="shared" si="0"/>
        <v>10</v>
      </c>
      <c r="H58" s="130">
        <f>COUNTIF('WBS(詳細設計_製造)'!$D$6:$D$186,$B58)+COUNTIF('WBS(テスト)'!$D$6:$D$99,$B58)</f>
        <v>3</v>
      </c>
    </row>
    <row r="59" spans="1:8">
      <c r="A59" t="s">
        <v>2042</v>
      </c>
      <c r="B59" t="s">
        <v>2112</v>
      </c>
      <c r="C59" s="121">
        <f>SUMIFS('WBS(基本設計)'!$I$7:$I$164,'WBS(基本設計)'!$E$7:$E$164,$B59,'WBS(基本設計)'!$N$7:$N$164,"対象")</f>
        <v>4</v>
      </c>
      <c r="D59" s="121">
        <f>SUMIF('WBS(詳細設計_製造)'!$D$6:$D$186,$B59,'WBS(詳細設計_製造)'!$G$6:$G$186)</f>
        <v>2</v>
      </c>
      <c r="E59" s="121">
        <f>SUMIF('WBS(詳細設計_製造)'!$D$6:$D$186,$B59,'WBS(詳細設計_製造)'!$H$6:$H$186)</f>
        <v>2</v>
      </c>
      <c r="F59" s="121">
        <f>SUMIF('WBS(テスト)'!$D$6:$D$99,$B59,'WBS(テスト)'!$G$6:$G$99)</f>
        <v>0</v>
      </c>
      <c r="G59" s="121">
        <f t="shared" si="0"/>
        <v>8</v>
      </c>
      <c r="H59" s="130">
        <f>COUNTIF('WBS(詳細設計_製造)'!$D$6:$D$186,$B59)+COUNTIF('WBS(テスト)'!$D$6:$D$99,$B59)</f>
        <v>2</v>
      </c>
    </row>
    <row r="60" spans="1:8">
      <c r="A60" t="s">
        <v>2044</v>
      </c>
      <c r="B60" t="s">
        <v>2092</v>
      </c>
      <c r="C60" s="121">
        <f>SUMIFS('WBS(基本設計)'!$I$7:$I$164,'WBS(基本設計)'!$E$7:$E$164,$B60,'WBS(基本設計)'!$N$7:$N$164,"対象")</f>
        <v>11.5</v>
      </c>
      <c r="D60" s="121">
        <f>SUMIF('WBS(詳細設計_製造)'!$D$6:$D$186,$B60,'WBS(詳細設計_製造)'!$G$6:$G$186)</f>
        <v>9</v>
      </c>
      <c r="E60" s="121">
        <f>SUMIF('WBS(詳細設計_製造)'!$D$6:$D$186,$B60,'WBS(詳細設計_製造)'!$H$6:$H$186)</f>
        <v>22</v>
      </c>
      <c r="F60" s="121">
        <f>SUMIF('WBS(テスト)'!$D$6:$D$99,$B60,'WBS(テスト)'!$G$6:$G$99)</f>
        <v>11</v>
      </c>
      <c r="G60" s="121">
        <f t="shared" si="0"/>
        <v>53.5</v>
      </c>
      <c r="H60" s="130">
        <f>COUNTIF('WBS(詳細設計_製造)'!$D$6:$D$186,$B60)+COUNTIF('WBS(テスト)'!$D$6:$D$99,$B60)</f>
        <v>9</v>
      </c>
    </row>
    <row r="61" spans="1:8">
      <c r="A61" t="s">
        <v>2044</v>
      </c>
      <c r="B61" t="s">
        <v>2126</v>
      </c>
      <c r="C61" s="121">
        <f>SUMIFS('WBS(基本設計)'!$I$7:$I$164,'WBS(基本設計)'!$E$7:$E$164,$B61,'WBS(基本設計)'!$N$7:$N$164,"対象")</f>
        <v>2</v>
      </c>
      <c r="D61" s="121">
        <f>SUMIF('WBS(詳細設計_製造)'!$D$6:$D$186,$B61,'WBS(詳細設計_製造)'!$G$6:$G$186)</f>
        <v>2</v>
      </c>
      <c r="E61" s="121">
        <f>SUMIF('WBS(詳細設計_製造)'!$D$6:$D$186,$B61,'WBS(詳細設計_製造)'!$H$6:$H$186)</f>
        <v>4</v>
      </c>
      <c r="F61" s="121">
        <f>SUMIF('WBS(テスト)'!$D$6:$D$99,$B61,'WBS(テスト)'!$G$6:$G$99)</f>
        <v>11</v>
      </c>
      <c r="G61" s="121">
        <f t="shared" si="0"/>
        <v>19</v>
      </c>
      <c r="H61" s="130">
        <f>COUNTIF('WBS(詳細設計_製造)'!$D$6:$D$186,$B61)+COUNTIF('WBS(テスト)'!$D$6:$D$99,$B61)</f>
        <v>4</v>
      </c>
    </row>
    <row r="62" spans="1:8">
      <c r="A62" t="s">
        <v>2044</v>
      </c>
      <c r="B62" t="s">
        <v>2186</v>
      </c>
      <c r="C62" s="121">
        <f>SUMIFS('WBS(基本設計)'!$I$7:$I$164,'WBS(基本設計)'!$E$7:$E$164,$B62,'WBS(基本設計)'!$N$7:$N$164,"対象")</f>
        <v>1</v>
      </c>
      <c r="D62" s="121">
        <f>SUMIF('WBS(詳細設計_製造)'!$D$6:$D$186,$B62,'WBS(詳細設計_製造)'!$G$6:$G$186)</f>
        <v>0</v>
      </c>
      <c r="E62" s="121">
        <f>SUMIF('WBS(詳細設計_製造)'!$D$6:$D$186,$B62,'WBS(詳細設計_製造)'!$H$6:$H$186)</f>
        <v>0</v>
      </c>
      <c r="F62" s="121">
        <f>SUMIF('WBS(テスト)'!$D$6:$D$99,$B62,'WBS(テスト)'!$G$6:$G$99)</f>
        <v>2</v>
      </c>
      <c r="G62" s="121">
        <f t="shared" si="0"/>
        <v>3</v>
      </c>
      <c r="H62" s="130">
        <f>COUNTIF('WBS(詳細設計_製造)'!$D$6:$D$186,$B62)+COUNTIF('WBS(テスト)'!$D$6:$D$99,$B62)</f>
        <v>1</v>
      </c>
    </row>
    <row r="63" spans="1:8">
      <c r="A63" t="s">
        <v>2046</v>
      </c>
      <c r="B63" t="s">
        <v>2084</v>
      </c>
      <c r="C63" s="121">
        <f>SUMIFS('WBS(基本設計)'!$I$7:$I$164,'WBS(基本設計)'!$E$7:$E$164,$B63,'WBS(基本設計)'!$N$7:$N$164,"対象")</f>
        <v>4</v>
      </c>
      <c r="D63" s="121">
        <f>SUMIF('WBS(詳細設計_製造)'!$D$6:$D$186,$B63,'WBS(詳細設計_製造)'!$G$6:$G$186)</f>
        <v>3</v>
      </c>
      <c r="E63" s="121">
        <f>SUMIF('WBS(詳細設計_製造)'!$D$6:$D$186,$B63,'WBS(詳細設計_製造)'!$H$6:$H$186)</f>
        <v>6</v>
      </c>
      <c r="F63" s="121">
        <f>SUMIF('WBS(テスト)'!$D$6:$D$99,$B63,'WBS(テスト)'!$G$6:$G$99)</f>
        <v>14</v>
      </c>
      <c r="G63" s="121">
        <f t="shared" si="0"/>
        <v>27</v>
      </c>
      <c r="H63" s="130">
        <f>COUNTIF('WBS(詳細設計_製造)'!$D$6:$D$186,$B63)+COUNTIF('WBS(テスト)'!$D$6:$D$99,$B63)</f>
        <v>5</v>
      </c>
    </row>
    <row r="64" spans="1:8">
      <c r="A64" t="s">
        <v>2046</v>
      </c>
      <c r="B64" t="s">
        <v>2115</v>
      </c>
      <c r="C64" s="121">
        <f>SUMIFS('WBS(基本設計)'!$I$7:$I$164,'WBS(基本設計)'!$E$7:$E$164,$B64,'WBS(基本設計)'!$N$7:$N$164,"対象")</f>
        <v>3</v>
      </c>
      <c r="D64" s="121">
        <f>SUMIF('WBS(詳細設計_製造)'!$D$6:$D$186,$B64,'WBS(詳細設計_製造)'!$G$6:$G$186)</f>
        <v>3</v>
      </c>
      <c r="E64" s="121">
        <f>SUMIF('WBS(詳細設計_製造)'!$D$6:$D$186,$B64,'WBS(詳細設計_製造)'!$H$6:$H$186)</f>
        <v>4</v>
      </c>
      <c r="F64" s="121">
        <f>SUMIF('WBS(テスト)'!$D$6:$D$99,$B64,'WBS(テスト)'!$G$6:$G$99)</f>
        <v>7</v>
      </c>
      <c r="G64" s="121">
        <f t="shared" si="0"/>
        <v>17</v>
      </c>
      <c r="H64" s="130">
        <f>COUNTIF('WBS(詳細設計_製造)'!$D$6:$D$186,$B64)+COUNTIF('WBS(テスト)'!$D$6:$D$99,$B64)</f>
        <v>4</v>
      </c>
    </row>
    <row r="65" spans="1:8">
      <c r="A65" t="s">
        <v>2046</v>
      </c>
      <c r="B65" t="s">
        <v>2138</v>
      </c>
      <c r="C65" s="121">
        <f>SUMIFS('WBS(基本設計)'!$I$7:$I$164,'WBS(基本設計)'!$E$7:$E$164,$B65,'WBS(基本設計)'!$N$7:$N$164,"対象")</f>
        <v>3</v>
      </c>
      <c r="D65" s="121">
        <f>SUMIF('WBS(詳細設計_製造)'!$D$6:$D$186,$B65,'WBS(詳細設計_製造)'!$G$6:$G$186)</f>
        <v>2</v>
      </c>
      <c r="E65" s="121">
        <f>SUMIF('WBS(詳細設計_製造)'!$D$6:$D$186,$B65,'WBS(詳細設計_製造)'!$H$6:$H$186)</f>
        <v>3</v>
      </c>
      <c r="F65" s="121">
        <f>SUMIF('WBS(テスト)'!$D$6:$D$99,$B65,'WBS(テスト)'!$G$6:$G$99)</f>
        <v>4</v>
      </c>
      <c r="G65" s="121">
        <f t="shared" si="0"/>
        <v>12</v>
      </c>
      <c r="H65" s="130">
        <f>COUNTIF('WBS(詳細設計_製造)'!$D$6:$D$186,$B65)+COUNTIF('WBS(テスト)'!$D$6:$D$99,$B65)</f>
        <v>3</v>
      </c>
    </row>
    <row r="66" spans="1:8">
      <c r="A66" t="s">
        <v>2048</v>
      </c>
      <c r="B66" t="s">
        <v>2176</v>
      </c>
      <c r="C66" s="121">
        <f>SUMIFS('WBS(基本設計)'!$I$7:$I$164,'WBS(基本設計)'!$E$7:$E$164,$B66,'WBS(基本設計)'!$N$7:$N$164,"対象")</f>
        <v>3</v>
      </c>
      <c r="D66" s="121">
        <f>SUMIF('WBS(詳細設計_製造)'!$D$6:$D$186,$B66,'WBS(詳細設計_製造)'!$G$6:$G$186)</f>
        <v>3</v>
      </c>
      <c r="E66" s="121">
        <f>SUMIF('WBS(詳細設計_製造)'!$D$6:$D$186,$B66,'WBS(詳細設計_製造)'!$H$6:$H$186)</f>
        <v>8</v>
      </c>
      <c r="F66" s="121">
        <f>SUMIF('WBS(テスト)'!$D$6:$D$99,$B66,'WBS(テスト)'!$G$6:$G$99)</f>
        <v>6</v>
      </c>
      <c r="G66" s="121">
        <f t="shared" si="0"/>
        <v>20</v>
      </c>
      <c r="H66" s="130">
        <f>COUNTIF('WBS(詳細設計_製造)'!$D$6:$D$186,$B66)+COUNTIF('WBS(テスト)'!$D$6:$D$99,$B66)</f>
        <v>3</v>
      </c>
    </row>
    <row r="67" spans="1:8">
      <c r="A67" t="s">
        <v>2048</v>
      </c>
      <c r="B67" t="s">
        <v>2128</v>
      </c>
      <c r="C67" s="121">
        <f>SUMIFS('WBS(基本設計)'!$I$7:$I$164,'WBS(基本設計)'!$E$7:$E$164,$B67,'WBS(基本設計)'!$N$7:$N$164,"対象")</f>
        <v>1</v>
      </c>
      <c r="D67" s="121">
        <f>SUMIF('WBS(詳細設計_製造)'!$D$6:$D$186,$B67,'WBS(詳細設計_製造)'!$G$6:$G$186)</f>
        <v>0</v>
      </c>
      <c r="E67" s="121">
        <f>SUMIF('WBS(詳細設計_製造)'!$D$6:$D$186,$B67,'WBS(詳細設計_製造)'!$H$6:$H$186)</f>
        <v>1</v>
      </c>
      <c r="F67" s="121">
        <f>SUMIF('WBS(テスト)'!$D$6:$D$99,$B67,'WBS(テスト)'!$G$6:$G$99)</f>
        <v>4</v>
      </c>
      <c r="G67" s="121">
        <f t="shared" ref="G67:G84" si="1">SUM(C67:F67)</f>
        <v>6</v>
      </c>
      <c r="H67" s="130">
        <f>COUNTIF('WBS(詳細設計_製造)'!$D$6:$D$186,$B67)+COUNTIF('WBS(テスト)'!$D$6:$D$99,$B67)</f>
        <v>2</v>
      </c>
    </row>
    <row r="68" spans="1:8">
      <c r="A68" t="s">
        <v>2048</v>
      </c>
      <c r="B68" t="s">
        <v>2121</v>
      </c>
      <c r="C68" s="121">
        <f>SUMIFS('WBS(基本設計)'!$I$7:$I$164,'WBS(基本設計)'!$E$7:$E$164,$B68,'WBS(基本設計)'!$N$7:$N$164,"対象")</f>
        <v>2</v>
      </c>
      <c r="D68" s="121">
        <f>SUMIF('WBS(詳細設計_製造)'!$D$6:$D$186,$B68,'WBS(詳細設計_製造)'!$G$6:$G$186)</f>
        <v>0</v>
      </c>
      <c r="E68" s="121">
        <f>SUMIF('WBS(詳細設計_製造)'!$D$6:$D$186,$B68,'WBS(詳細設計_製造)'!$H$6:$H$186)</f>
        <v>1</v>
      </c>
      <c r="F68" s="121">
        <f>SUMIF('WBS(テスト)'!$D$6:$D$99,$B68,'WBS(テスト)'!$G$6:$G$99)</f>
        <v>8</v>
      </c>
      <c r="G68" s="121">
        <f t="shared" si="1"/>
        <v>11</v>
      </c>
      <c r="H68" s="130">
        <f>COUNTIF('WBS(詳細設計_製造)'!$D$6:$D$186,$B68)+COUNTIF('WBS(テスト)'!$D$6:$D$99,$B68)</f>
        <v>2</v>
      </c>
    </row>
    <row r="69" spans="1:8">
      <c r="A69" t="s">
        <v>2048</v>
      </c>
      <c r="B69" t="s">
        <v>2123</v>
      </c>
      <c r="C69" s="121">
        <f>SUMIFS('WBS(基本設計)'!$I$7:$I$164,'WBS(基本設計)'!$E$7:$E$164,$B69,'WBS(基本設計)'!$N$7:$N$164,"対象")</f>
        <v>0.5</v>
      </c>
      <c r="D69" s="121">
        <f>SUMIF('WBS(詳細設計_製造)'!$D$6:$D$186,$B69,'WBS(詳細設計_製造)'!$G$6:$G$186)</f>
        <v>1.5</v>
      </c>
      <c r="E69" s="121">
        <f>SUMIF('WBS(詳細設計_製造)'!$D$6:$D$186,$B69,'WBS(詳細設計_製造)'!$H$6:$H$186)</f>
        <v>2</v>
      </c>
      <c r="F69" s="121">
        <f>SUMIF('WBS(テスト)'!$D$6:$D$99,$B69,'WBS(テスト)'!$G$6:$G$99)</f>
        <v>3</v>
      </c>
      <c r="G69" s="121">
        <f t="shared" si="1"/>
        <v>7</v>
      </c>
      <c r="H69" s="130">
        <f>COUNTIF('WBS(詳細設計_製造)'!$D$6:$D$186,$B69)+COUNTIF('WBS(テスト)'!$D$6:$D$99,$B69)</f>
        <v>3</v>
      </c>
    </row>
    <row r="70" spans="1:8">
      <c r="A70" t="s">
        <v>2048</v>
      </c>
      <c r="B70" t="s">
        <v>3758</v>
      </c>
      <c r="C70" s="121">
        <f>SUMIFS('WBS(基本設計)'!$I$7:$I$164,'WBS(基本設計)'!$E$7:$E$164,$B70,'WBS(基本設計)'!$N$7:$N$164,"対象")</f>
        <v>2</v>
      </c>
      <c r="D70" s="121">
        <f>SUMIF('WBS(詳細設計_製造)'!$D$6:$D$186,$B70,'WBS(詳細設計_製造)'!$G$6:$G$186)</f>
        <v>1.5</v>
      </c>
      <c r="E70" s="121">
        <f>SUMIF('WBS(詳細設計_製造)'!$D$6:$D$186,$B70,'WBS(詳細設計_製造)'!$H$6:$H$186)</f>
        <v>2</v>
      </c>
      <c r="F70" s="121">
        <f>SUMIF('WBS(テスト)'!$D$6:$D$99,$B70,'WBS(テスト)'!$G$6:$G$99)</f>
        <v>2</v>
      </c>
      <c r="G70" s="121">
        <f t="shared" si="1"/>
        <v>7.5</v>
      </c>
      <c r="H70" s="130">
        <f>COUNTIF('WBS(詳細設計_製造)'!$D$6:$D$186,$B70)+COUNTIF('WBS(テスト)'!$D$6:$D$99,$B70)</f>
        <v>3</v>
      </c>
    </row>
    <row r="71" spans="1:8">
      <c r="A71" t="s">
        <v>2048</v>
      </c>
      <c r="B71" t="s">
        <v>3183</v>
      </c>
      <c r="C71" s="121">
        <f>SUMIFS('WBS(基本設計)'!$I$7:$I$164,'WBS(基本設計)'!$E$7:$E$164,$B71,'WBS(基本設計)'!$N$7:$N$164,"対象")</f>
        <v>6</v>
      </c>
      <c r="D71" s="121">
        <f>SUMIF('WBS(詳細設計_製造)'!$D$6:$D$186,$B71,'WBS(詳細設計_製造)'!$G$6:$G$186)</f>
        <v>6</v>
      </c>
      <c r="E71" s="121">
        <f>SUMIF('WBS(詳細設計_製造)'!$D$6:$D$186,$B71,'WBS(詳細設計_製造)'!$H$6:$H$186)</f>
        <v>9</v>
      </c>
      <c r="F71" s="121">
        <f>SUMIF('WBS(テスト)'!$D$6:$D$99,$B71,'WBS(テスト)'!$G$6:$G$99)</f>
        <v>9</v>
      </c>
      <c r="G71" s="121">
        <f t="shared" si="1"/>
        <v>30</v>
      </c>
      <c r="H71" s="130">
        <f>COUNTIF('WBS(詳細設計_製造)'!$D$6:$D$186,$B71)+COUNTIF('WBS(テスト)'!$D$6:$D$99,$B71)</f>
        <v>7</v>
      </c>
    </row>
    <row r="72" spans="1:8">
      <c r="A72" t="s">
        <v>2048</v>
      </c>
      <c r="B72" t="s">
        <v>2830</v>
      </c>
      <c r="C72" s="121">
        <f>SUMIFS('WBS(基本設計)'!$I$7:$I$164,'WBS(基本設計)'!$E$7:$E$164,$B72,'WBS(基本設計)'!$N$7:$N$164,"対象")</f>
        <v>7</v>
      </c>
      <c r="D72" s="121">
        <f>SUMIF('WBS(詳細設計_製造)'!$D$6:$D$186,$B72,'WBS(詳細設計_製造)'!$G$6:$G$186)</f>
        <v>0</v>
      </c>
      <c r="E72" s="121">
        <f>SUMIF('WBS(詳細設計_製造)'!$D$6:$D$186,$B72,'WBS(詳細設計_製造)'!$H$6:$H$186)</f>
        <v>0</v>
      </c>
      <c r="F72" s="121">
        <f>SUMIF('WBS(テスト)'!$D$6:$D$99,$B72,'WBS(テスト)'!$G$6:$G$99)</f>
        <v>0</v>
      </c>
      <c r="G72" s="121">
        <f t="shared" si="1"/>
        <v>7</v>
      </c>
      <c r="H72" s="130">
        <f>COUNTIF('WBS(詳細設計_製造)'!$D$6:$D$186,$B72)+COUNTIF('WBS(テスト)'!$D$6:$D$99,$B72)</f>
        <v>0</v>
      </c>
    </row>
    <row r="73" spans="1:8">
      <c r="A73" t="s">
        <v>2048</v>
      </c>
      <c r="B73" t="s">
        <v>2833</v>
      </c>
      <c r="C73" s="121">
        <f>SUMIFS('WBS(基本設計)'!$I$7:$I$164,'WBS(基本設計)'!$E$7:$E$164,$B73,'WBS(基本設計)'!$N$7:$N$164,"対象")</f>
        <v>2</v>
      </c>
      <c r="D73" s="121">
        <f>SUMIF('WBS(詳細設計_製造)'!$D$6:$D$186,$B73,'WBS(詳細設計_製造)'!$G$6:$G$186)</f>
        <v>0</v>
      </c>
      <c r="E73" s="121">
        <f>SUMIF('WBS(詳細設計_製造)'!$D$6:$D$186,$B73,'WBS(詳細設計_製造)'!$H$6:$H$186)</f>
        <v>0</v>
      </c>
      <c r="F73" s="121">
        <f>SUMIF('WBS(テスト)'!$D$6:$D$99,$B73,'WBS(テスト)'!$G$6:$G$99)</f>
        <v>0</v>
      </c>
      <c r="G73" s="121">
        <f t="shared" si="1"/>
        <v>2</v>
      </c>
      <c r="H73" s="130">
        <f>COUNTIF('WBS(詳細設計_製造)'!$D$6:$D$186,$B73)+COUNTIF('WBS(テスト)'!$D$6:$D$99,$B73)</f>
        <v>0</v>
      </c>
    </row>
    <row r="74" spans="1:8">
      <c r="A74" t="s">
        <v>2048</v>
      </c>
      <c r="B74" t="s">
        <v>2836</v>
      </c>
      <c r="C74" s="121">
        <f>SUMIFS('WBS(基本設計)'!$I$7:$I$164,'WBS(基本設計)'!$E$7:$E$164,$B74,'WBS(基本設計)'!$N$7:$N$164,"対象")</f>
        <v>3.5</v>
      </c>
      <c r="D74" s="121">
        <f>SUMIF('WBS(詳細設計_製造)'!$D$6:$D$186,$B74,'WBS(詳細設計_製造)'!$G$6:$G$186)</f>
        <v>0</v>
      </c>
      <c r="E74" s="121">
        <f>SUMIF('WBS(詳細設計_製造)'!$D$6:$D$186,$B74,'WBS(詳細設計_製造)'!$H$6:$H$186)</f>
        <v>0</v>
      </c>
      <c r="F74" s="121">
        <f>SUMIF('WBS(テスト)'!$D$6:$D$99,$B74,'WBS(テスト)'!$G$6:$G$99)</f>
        <v>0</v>
      </c>
      <c r="G74" s="121">
        <f t="shared" si="1"/>
        <v>3.5</v>
      </c>
      <c r="H74" s="130">
        <f>COUNTIF('WBS(詳細設計_製造)'!$D$6:$D$186,$B74)+COUNTIF('WBS(テスト)'!$D$6:$D$99,$B74)</f>
        <v>0</v>
      </c>
    </row>
    <row r="75" spans="1:8">
      <c r="A75" t="s">
        <v>2049</v>
      </c>
      <c r="B75" t="s">
        <v>2110</v>
      </c>
      <c r="C75" s="121">
        <f>SUMIFS('WBS(基本設計)'!$I$7:$I$164,'WBS(基本設計)'!$E$7:$E$164,$B75,'WBS(基本設計)'!$N$7:$N$164,"対象")</f>
        <v>1</v>
      </c>
      <c r="D75" s="121">
        <f>SUMIF('WBS(詳細設計_製造)'!$D$6:$D$186,$B75,'WBS(詳細設計_製造)'!$G$6:$G$186)</f>
        <v>0</v>
      </c>
      <c r="E75" s="121">
        <f>SUMIF('WBS(詳細設計_製造)'!$D$6:$D$186,$B75,'WBS(詳細設計_製造)'!$H$6:$H$186)</f>
        <v>0</v>
      </c>
      <c r="F75" s="121">
        <f>SUMIF('WBS(テスト)'!$D$6:$D$99,$B75,'WBS(テスト)'!$G$6:$G$99)</f>
        <v>14</v>
      </c>
      <c r="G75" s="121">
        <f t="shared" si="1"/>
        <v>15</v>
      </c>
      <c r="H75" s="130">
        <f>COUNTIF('WBS(詳細設計_製造)'!$D$6:$D$186,$B75)+COUNTIF('WBS(テスト)'!$D$6:$D$99,$B75)</f>
        <v>2</v>
      </c>
    </row>
    <row r="76" spans="1:8">
      <c r="A76" t="s">
        <v>2049</v>
      </c>
      <c r="B76" t="s">
        <v>2102</v>
      </c>
      <c r="C76" s="121">
        <f>SUMIFS('WBS(基本設計)'!$I$7:$I$164,'WBS(基本設計)'!$E$7:$E$164,$B76,'WBS(基本設計)'!$N$7:$N$164,"対象")</f>
        <v>1.5</v>
      </c>
      <c r="D76" s="121">
        <f>SUMIF('WBS(詳細設計_製造)'!$D$6:$D$186,$B76,'WBS(詳細設計_製造)'!$G$6:$G$186)</f>
        <v>2</v>
      </c>
      <c r="E76" s="121">
        <f>SUMIF('WBS(詳細設計_製造)'!$D$6:$D$186,$B76,'WBS(詳細設計_製造)'!$H$6:$H$186)</f>
        <v>2</v>
      </c>
      <c r="F76" s="121">
        <f>SUMIF('WBS(テスト)'!$D$6:$D$99,$B76,'WBS(テスト)'!$G$6:$G$99)</f>
        <v>5</v>
      </c>
      <c r="G76" s="121">
        <f t="shared" si="1"/>
        <v>10.5</v>
      </c>
      <c r="H76" s="130">
        <f>COUNTIF('WBS(詳細設計_製造)'!$D$6:$D$186,$B76)+COUNTIF('WBS(テスト)'!$D$6:$D$99,$B76)</f>
        <v>3</v>
      </c>
    </row>
    <row r="77" spans="1:8">
      <c r="A77" t="s">
        <v>2051</v>
      </c>
      <c r="B77" t="s">
        <v>2134</v>
      </c>
      <c r="C77" s="121">
        <f>SUMIFS('WBS(基本設計)'!$I$7:$I$164,'WBS(基本設計)'!$E$7:$E$164,$B77,'WBS(基本設計)'!$N$7:$N$164,"対象")</f>
        <v>3.5</v>
      </c>
      <c r="D77" s="121">
        <f>SUMIF('WBS(詳細設計_製造)'!$D$6:$D$186,$B77,'WBS(詳細設計_製造)'!$G$6:$G$186)</f>
        <v>3</v>
      </c>
      <c r="E77" s="121">
        <f>SUMIF('WBS(詳細設計_製造)'!$D$6:$D$186,$B77,'WBS(詳細設計_製造)'!$H$6:$H$186)</f>
        <v>2</v>
      </c>
      <c r="F77" s="121">
        <f>SUMIF('WBS(テスト)'!$D$6:$D$99,$B77,'WBS(テスト)'!$G$6:$G$99)</f>
        <v>8</v>
      </c>
      <c r="G77" s="121">
        <f t="shared" si="1"/>
        <v>16.5</v>
      </c>
      <c r="H77" s="130">
        <f>COUNTIF('WBS(詳細設計_製造)'!$D$6:$D$186,$B77)+COUNTIF('WBS(テスト)'!$D$6:$D$99,$B77)</f>
        <v>3</v>
      </c>
    </row>
    <row r="78" spans="1:8">
      <c r="A78" t="s">
        <v>2051</v>
      </c>
      <c r="B78" t="s">
        <v>2143</v>
      </c>
      <c r="C78" s="121">
        <f>SUMIFS('WBS(基本設計)'!$I$7:$I$164,'WBS(基本設計)'!$E$7:$E$164,$B78,'WBS(基本設計)'!$N$7:$N$164,"対象")</f>
        <v>2</v>
      </c>
      <c r="D78" s="121">
        <f>SUMIF('WBS(詳細設計_製造)'!$D$6:$D$186,$B78,'WBS(詳細設計_製造)'!$G$6:$G$186)</f>
        <v>2</v>
      </c>
      <c r="E78" s="121">
        <f>SUMIF('WBS(詳細設計_製造)'!$D$6:$D$186,$B78,'WBS(詳細設計_製造)'!$H$6:$H$186)</f>
        <v>0</v>
      </c>
      <c r="F78" s="121">
        <f>SUMIF('WBS(テスト)'!$D$6:$D$99,$B78,'WBS(テスト)'!$G$6:$G$99)</f>
        <v>2</v>
      </c>
      <c r="G78" s="121">
        <f t="shared" si="1"/>
        <v>6</v>
      </c>
      <c r="H78" s="130">
        <f>COUNTIF('WBS(詳細設計_製造)'!$D$6:$D$186,$B78)+COUNTIF('WBS(テスト)'!$D$6:$D$99,$B78)</f>
        <v>2</v>
      </c>
    </row>
    <row r="79" spans="1:8">
      <c r="A79" t="s">
        <v>2051</v>
      </c>
      <c r="B79" t="s">
        <v>2141</v>
      </c>
      <c r="C79" s="121">
        <f>SUMIFS('WBS(基本設計)'!$I$7:$I$164,'WBS(基本設計)'!$E$7:$E$164,$B79,'WBS(基本設計)'!$N$7:$N$164,"対象")</f>
        <v>1.5</v>
      </c>
      <c r="D79" s="121">
        <f>SUMIF('WBS(詳細設計_製造)'!$D$6:$D$186,$B79,'WBS(詳細設計_製造)'!$G$6:$G$186)</f>
        <v>2</v>
      </c>
      <c r="E79" s="121">
        <f>SUMIF('WBS(詳細設計_製造)'!$D$6:$D$186,$B79,'WBS(詳細設計_製造)'!$H$6:$H$186)</f>
        <v>4</v>
      </c>
      <c r="F79" s="121">
        <f>SUMIF('WBS(テスト)'!$D$6:$D$99,$B79,'WBS(テスト)'!$G$6:$G$99)</f>
        <v>4</v>
      </c>
      <c r="G79" s="121">
        <f t="shared" si="1"/>
        <v>11.5</v>
      </c>
      <c r="H79" s="130">
        <f>COUNTIF('WBS(詳細設計_製造)'!$D$6:$D$186,$B79)+COUNTIF('WBS(テスト)'!$D$6:$D$99,$B79)</f>
        <v>3</v>
      </c>
    </row>
    <row r="80" spans="1:8">
      <c r="A80" t="s">
        <v>2053</v>
      </c>
      <c r="B80" t="s">
        <v>2130</v>
      </c>
      <c r="C80" s="121">
        <f>SUMIFS('WBS(基本設計)'!$I$7:$I$164,'WBS(基本設計)'!$E$7:$E$164,$B80,'WBS(基本設計)'!$N$7:$N$164,"対象")</f>
        <v>2.5</v>
      </c>
      <c r="D80" s="121">
        <f>SUMIF('WBS(詳細設計_製造)'!$D$6:$D$186,$B80,'WBS(詳細設計_製造)'!$G$6:$G$186)</f>
        <v>1.5</v>
      </c>
      <c r="E80" s="121">
        <f>SUMIF('WBS(詳細設計_製造)'!$D$6:$D$186,$B80,'WBS(詳細設計_製造)'!$H$6:$H$186)</f>
        <v>0</v>
      </c>
      <c r="F80" s="121">
        <f>SUMIF('WBS(テスト)'!$D$6:$D$99,$B80,'WBS(テスト)'!$G$6:$G$99)</f>
        <v>0</v>
      </c>
      <c r="G80" s="121">
        <f t="shared" si="1"/>
        <v>4</v>
      </c>
      <c r="H80" s="130">
        <f>COUNTIF('WBS(詳細設計_製造)'!$D$6:$D$186,$B80)+COUNTIF('WBS(テスト)'!$D$6:$D$99,$B80)</f>
        <v>1</v>
      </c>
    </row>
    <row r="81" spans="1:8">
      <c r="A81" t="s">
        <v>2053</v>
      </c>
      <c r="B81" t="s">
        <v>2145</v>
      </c>
      <c r="C81" s="121">
        <f>SUMIFS('WBS(基本設計)'!$I$7:$I$164,'WBS(基本設計)'!$E$7:$E$164,$B81,'WBS(基本設計)'!$N$7:$N$164,"対象")</f>
        <v>7</v>
      </c>
      <c r="D81" s="121">
        <f>SUMIF('WBS(詳細設計_製造)'!$D$6:$D$186,$B81,'WBS(詳細設計_製造)'!$G$6:$G$186)</f>
        <v>3</v>
      </c>
      <c r="E81" s="121">
        <f>SUMIF('WBS(詳細設計_製造)'!$D$6:$D$186,$B81,'WBS(詳細設計_製造)'!$H$6:$H$186)</f>
        <v>2</v>
      </c>
      <c r="F81" s="121">
        <f>SUMIF('WBS(テスト)'!$D$6:$D$99,$B81,'WBS(テスト)'!$G$6:$G$99)</f>
        <v>6</v>
      </c>
      <c r="G81" s="121">
        <f t="shared" si="1"/>
        <v>18</v>
      </c>
      <c r="H81" s="130">
        <f>COUNTIF('WBS(詳細設計_製造)'!$D$6:$D$186,$B81)+COUNTIF('WBS(テスト)'!$D$6:$D$99,$B81)</f>
        <v>3</v>
      </c>
    </row>
    <row r="82" spans="1:8">
      <c r="A82" t="s">
        <v>2053</v>
      </c>
      <c r="B82" t="s">
        <v>2180</v>
      </c>
      <c r="C82" s="121">
        <f>SUMIFS('WBS(基本設計)'!$I$7:$I$164,'WBS(基本設計)'!$E$7:$E$164,$B82,'WBS(基本設計)'!$N$7:$N$164,"対象")</f>
        <v>15</v>
      </c>
      <c r="D82" s="121">
        <f>SUMIF('WBS(詳細設計_製造)'!$D$6:$D$186,$B82,'WBS(詳細設計_製造)'!$G$6:$G$186)</f>
        <v>9</v>
      </c>
      <c r="E82" s="121">
        <f>SUMIF('WBS(詳細設計_製造)'!$D$6:$D$186,$B82,'WBS(詳細設計_製造)'!$H$6:$H$186)</f>
        <v>6</v>
      </c>
      <c r="F82" s="121">
        <f>SUMIF('WBS(テスト)'!$D$6:$D$99,$B82,'WBS(テスト)'!$G$6:$G$99)</f>
        <v>8</v>
      </c>
      <c r="G82" s="121">
        <f t="shared" si="1"/>
        <v>38</v>
      </c>
      <c r="H82" s="130">
        <f>COUNTIF('WBS(詳細設計_製造)'!$D$6:$D$186,$B82)+COUNTIF('WBS(テスト)'!$D$6:$D$99,$B82)</f>
        <v>3</v>
      </c>
    </row>
    <row r="83" spans="1:8">
      <c r="A83" t="s">
        <v>2054</v>
      </c>
      <c r="B83" t="s">
        <v>2188</v>
      </c>
      <c r="C83" s="121">
        <f>SUMIFS('WBS(基本設計)'!$I$7:$I$164,'WBS(基本設計)'!$E$7:$E$164,$B83,'WBS(基本設計)'!$N$7:$N$164,"対象")</f>
        <v>1</v>
      </c>
      <c r="D83" s="121">
        <f>SUMIF('WBS(詳細設計_製造)'!$D$6:$D$186,$B83,'WBS(詳細設計_製造)'!$G$6:$G$186)</f>
        <v>2</v>
      </c>
      <c r="E83" s="121">
        <f>SUMIF('WBS(詳細設計_製造)'!$D$6:$D$186,$B83,'WBS(詳細設計_製造)'!$H$6:$H$186)</f>
        <v>4</v>
      </c>
      <c r="F83" s="121">
        <f>SUMIF('WBS(テスト)'!$D$6:$D$99,$B83,'WBS(テスト)'!$G$6:$G$99)</f>
        <v>5</v>
      </c>
      <c r="G83" s="121">
        <f t="shared" si="1"/>
        <v>12</v>
      </c>
      <c r="H83" s="130">
        <f>COUNTIF('WBS(詳細設計_製造)'!$D$6:$D$186,$B83)+COUNTIF('WBS(テスト)'!$D$6:$D$99,$B83)</f>
        <v>3</v>
      </c>
    </row>
    <row r="84" spans="1:8">
      <c r="A84" t="s">
        <v>2054</v>
      </c>
      <c r="B84" t="s">
        <v>2184</v>
      </c>
      <c r="C84" s="121">
        <f>SUMIFS('WBS(基本設計)'!$I$7:$I$164,'WBS(基本設計)'!$E$7:$E$164,$B84,'WBS(基本設計)'!$N$7:$N$164,"対象")</f>
        <v>3</v>
      </c>
      <c r="D84" s="121">
        <f>SUMIF('WBS(詳細設計_製造)'!$D$6:$D$186,$B84,'WBS(詳細設計_製造)'!$G$6:$G$186)</f>
        <v>0</v>
      </c>
      <c r="E84" s="121">
        <f>SUMIF('WBS(詳細設計_製造)'!$D$6:$D$186,$B84,'WBS(詳細設計_製造)'!$H$6:$H$186)</f>
        <v>0</v>
      </c>
      <c r="F84" s="121">
        <f>SUMIF('WBS(テスト)'!$D$6:$D$99,$B84,'WBS(テスト)'!$G$6:$G$99)</f>
        <v>0</v>
      </c>
      <c r="G84" s="121">
        <f t="shared" si="1"/>
        <v>3</v>
      </c>
      <c r="H84" s="130">
        <f>COUNTIF('WBS(詳細設計_製造)'!$D$6:$D$186,$B84)+COUNTIF('WBS(テスト)'!$D$6:$D$99,$B84)</f>
        <v>0</v>
      </c>
    </row>
    <row r="85" spans="1:8">
      <c r="C85" s="121"/>
      <c r="D85" s="121"/>
      <c r="E85" s="121"/>
      <c r="F85" s="121"/>
      <c r="G85" s="121"/>
      <c r="H85" s="130"/>
    </row>
    <row r="86" spans="1:8">
      <c r="A86" s="2" t="s">
        <v>3</v>
      </c>
      <c r="B86" s="2"/>
      <c r="C86" s="158">
        <f>SUM(C2:C84)</f>
        <v>220.5</v>
      </c>
      <c r="D86" s="158">
        <f>SUM(D2:D84)</f>
        <v>184</v>
      </c>
      <c r="E86" s="158">
        <f>SUM(E2:E84)</f>
        <v>276.5</v>
      </c>
      <c r="F86" s="158">
        <f>SUM(F2:F84)</f>
        <v>345</v>
      </c>
      <c r="G86" s="158">
        <f>SUM(G2:G84)</f>
        <v>1026</v>
      </c>
      <c r="H86" s="157">
        <f>SUM(H2:H84)</f>
        <v>275</v>
      </c>
    </row>
  </sheetData>
  <autoFilter ref="A1:H84" xr:uid="{F7B7A54F-346E-3646-A1DA-7D48FBCA8819}"/>
  <phoneticPr fontId="2"/>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11</vt:i4>
      </vt:variant>
    </vt:vector>
  </HeadingPairs>
  <TitlesOfParts>
    <vt:vector size="11" baseType="lpstr">
      <vt:lpstr>コスト見積もり</vt:lpstr>
      <vt:lpstr>設計決定一覧</vt:lpstr>
      <vt:lpstr>ADR一覧</vt:lpstr>
      <vt:lpstr>要件マッピング</vt:lpstr>
      <vt:lpstr>WBS(基本設計)</vt:lpstr>
      <vt:lpstr>WBS(詳細設計_製造)</vt:lpstr>
      <vt:lpstr>WBS(テスト)</vt:lpstr>
      <vt:lpstr>運用（定常）</vt:lpstr>
      <vt:lpstr>機能グループ一覧</vt:lpstr>
      <vt:lpstr>機能名一覧</vt:lpstr>
      <vt:lpstr>サマリ(工程別)</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昌平 末永</dc:creator>
  <cp:lastModifiedBy>昌平 末永</cp:lastModifiedBy>
  <dcterms:created xsi:type="dcterms:W3CDTF">2026-08-10T06:54:40Z</dcterms:created>
  <dcterms:modified xsi:type="dcterms:W3CDTF">2026-09-07T08:07:50Z</dcterms:modified>
</cp:coreProperties>
</file>