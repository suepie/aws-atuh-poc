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6D510BD1-98A6-D446-9369-55291F398F75}" xr6:coauthVersionLast="47" xr6:coauthVersionMax="47" xr10:uidLastSave="{00000000-0000-0000-0000-000000000000}"/>
  <bookViews>
    <workbookView xWindow="0" yWindow="780" windowWidth="34200" windowHeight="21460" activeTab="7" xr2:uid="{B021B529-7D79-6D49-8055-5FE1DF3A55F9}"/>
  </bookViews>
  <sheets>
    <sheet name="ダッシュボード" sheetId="7" r:id="rId1"/>
    <sheet name="サマリー" sheetId="2" r:id="rId2"/>
    <sheet name="進捗一覧" sheetId="1" r:id="rId3"/>
    <sheet name="設計決定一覧" sheetId="3" r:id="rId4"/>
    <sheet name="要件→設計" sheetId="4" r:id="rId5"/>
    <sheet name="設計→要件" sheetId="5" r:id="rId6"/>
    <sheet name="ADR一覧" sheetId="6" r:id="rId7"/>
    <sheet name="WBS" sheetId="8" r:id="rId8"/>
  </sheets>
  <definedNames>
    <definedName name="_xlnm._FilterDatabase" localSheetId="6" hidden="1">ADR一覧!$A$5:$E$72</definedName>
    <definedName name="_xlnm._FilterDatabase" localSheetId="7" hidden="1">WBS!$A$5:$P$108</definedName>
    <definedName name="_xlnm._FilterDatabase" localSheetId="2" hidden="1">進捗一覧!$A$6:$L$288</definedName>
    <definedName name="_xlnm._FilterDatabase" localSheetId="5" hidden="1">設計→要件!$A$5:$F$55</definedName>
    <definedName name="_xlnm._FilterDatabase" localSheetId="3" hidden="1">設計決定一覧!$A$4:$E$189</definedName>
    <definedName name="_xlnm._FilterDatabase" localSheetId="4" hidden="1">要件→設計!$A$4:$H$183</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8" i="7" l="1"/>
  <c r="L18" i="7"/>
  <c r="K18" i="7"/>
  <c r="L17" i="7"/>
  <c r="L16" i="7"/>
  <c r="K17" i="7"/>
  <c r="K16" i="7"/>
  <c r="D16" i="7"/>
  <c r="E16" i="7"/>
  <c r="F16" i="7"/>
  <c r="G16" i="7"/>
  <c r="D17" i="7"/>
  <c r="E17" i="7"/>
  <c r="F17" i="7"/>
  <c r="G17" i="7"/>
  <c r="D18" i="7"/>
  <c r="E18" i="7"/>
  <c r="F18" i="7"/>
  <c r="G18" i="7"/>
  <c r="D19" i="7"/>
  <c r="E19" i="7"/>
  <c r="F19" i="7"/>
  <c r="G19" i="7"/>
  <c r="D20" i="7"/>
  <c r="E20" i="7"/>
  <c r="F20" i="7"/>
  <c r="G20" i="7"/>
  <c r="D21" i="7"/>
  <c r="E21" i="7"/>
  <c r="F21" i="7"/>
  <c r="G21" i="7"/>
  <c r="D22" i="7"/>
  <c r="E22" i="7"/>
  <c r="F22" i="7"/>
  <c r="G22" i="7"/>
  <c r="D23" i="7"/>
  <c r="E23" i="7"/>
  <c r="F23" i="7"/>
  <c r="G23" i="7"/>
  <c r="D24" i="7"/>
  <c r="E24" i="7"/>
  <c r="F24" i="7"/>
  <c r="G24" i="7"/>
  <c r="D25" i="7"/>
  <c r="E25" i="7"/>
  <c r="F25" i="7"/>
  <c r="G25" i="7"/>
  <c r="D26" i="7"/>
  <c r="E26" i="7"/>
  <c r="F26" i="7"/>
  <c r="G26" i="7"/>
  <c r="D27" i="7"/>
  <c r="E27" i="7"/>
  <c r="F27" i="7"/>
  <c r="G27" i="7"/>
  <c r="D28" i="7"/>
  <c r="E28" i="7"/>
  <c r="F28" i="7"/>
  <c r="G28" i="7"/>
  <c r="D29" i="7"/>
  <c r="E29" i="7"/>
  <c r="F29" i="7"/>
  <c r="G29" i="7"/>
  <c r="D30" i="7"/>
  <c r="E30" i="7"/>
  <c r="F30" i="7"/>
  <c r="G30" i="7"/>
  <c r="D31" i="7"/>
  <c r="E31" i="7"/>
  <c r="F31" i="7"/>
  <c r="G31" i="7"/>
  <c r="D32" i="7"/>
  <c r="E32" i="7"/>
  <c r="F32" i="7"/>
  <c r="G32" i="7"/>
  <c r="B16" i="7"/>
  <c r="C16" i="7"/>
  <c r="B17" i="7"/>
  <c r="C17" i="7"/>
  <c r="B18" i="7"/>
  <c r="C18" i="7"/>
  <c r="B19" i="7"/>
  <c r="C19" i="7"/>
  <c r="B20" i="7"/>
  <c r="C20" i="7"/>
  <c r="B21" i="7"/>
  <c r="C21" i="7"/>
  <c r="B22" i="7"/>
  <c r="C22" i="7"/>
  <c r="B23" i="7"/>
  <c r="C23" i="7"/>
  <c r="B24" i="7"/>
  <c r="C24" i="7"/>
  <c r="B25" i="7"/>
  <c r="C25" i="7"/>
  <c r="B26" i="7"/>
  <c r="C26" i="7"/>
  <c r="B27" i="7"/>
  <c r="C27" i="7"/>
  <c r="B28" i="7"/>
  <c r="C28" i="7"/>
  <c r="B29" i="7"/>
  <c r="C29" i="7"/>
  <c r="B30" i="7"/>
  <c r="C30" i="7"/>
  <c r="B31" i="7"/>
  <c r="C31" i="7"/>
  <c r="B32" i="7"/>
  <c r="C32" i="7"/>
  <c r="F12" i="7"/>
  <c r="G12" i="7" s="1"/>
  <c r="F11" i="7"/>
  <c r="G11" i="7" s="1"/>
  <c r="F10" i="7"/>
  <c r="G10" i="7" s="1"/>
  <c r="B9" i="7"/>
  <c r="A9" i="7"/>
  <c r="A6" i="7"/>
  <c r="I5" i="7"/>
  <c r="E5" i="7"/>
  <c r="A5" i="7"/>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H13" i="2"/>
  <c r="B7" i="2"/>
  <c r="C7" i="2"/>
  <c r="D7" i="2"/>
  <c r="E7" i="2"/>
  <c r="F7" i="2"/>
  <c r="G7" i="2"/>
  <c r="B8" i="2"/>
  <c r="C8" i="2"/>
  <c r="D8" i="2"/>
  <c r="E8" i="2"/>
  <c r="F8" i="2"/>
  <c r="G8" i="2"/>
  <c r="B9" i="2"/>
  <c r="C9" i="2"/>
  <c r="D9" i="2"/>
  <c r="E9" i="2"/>
  <c r="F9" i="2"/>
  <c r="G9" i="2"/>
  <c r="B10" i="2"/>
  <c r="C10" i="2"/>
  <c r="D10" i="2"/>
  <c r="E10" i="2"/>
  <c r="F10" i="2"/>
  <c r="G10" i="2"/>
  <c r="B11" i="2"/>
  <c r="C11" i="2"/>
  <c r="D11" i="2"/>
  <c r="E11" i="2"/>
  <c r="F11" i="2"/>
  <c r="G11" i="2"/>
  <c r="B12" i="2"/>
  <c r="B13" i="2" s="1"/>
  <c r="C12" i="2"/>
  <c r="D12" i="2"/>
  <c r="E12" i="2"/>
  <c r="F12" i="2"/>
  <c r="G12" i="2"/>
  <c r="I13" i="6"/>
  <c r="H13" i="6"/>
  <c r="H7" i="6"/>
  <c r="H8" i="6"/>
  <c r="H9" i="6"/>
  <c r="H10" i="6"/>
  <c r="H11" i="6"/>
  <c r="H12" i="6"/>
  <c r="U26" i="8"/>
  <c r="S26" i="8"/>
  <c r="S25" i="8"/>
  <c r="S24" i="8"/>
  <c r="S23" i="8"/>
  <c r="S22" i="8"/>
  <c r="S17" i="8"/>
  <c r="T17" i="8"/>
  <c r="U17" i="8"/>
  <c r="V17" i="8"/>
  <c r="W17" i="8"/>
  <c r="X17" i="8"/>
  <c r="X16" i="8"/>
  <c r="X15" i="8"/>
  <c r="X14" i="8"/>
  <c r="X13" i="8"/>
  <c r="X12" i="8"/>
  <c r="X11" i="8"/>
  <c r="X10" i="8"/>
  <c r="X9" i="8"/>
  <c r="X8" i="8"/>
  <c r="X7" i="8"/>
  <c r="X6" i="8"/>
  <c r="S6" i="8"/>
  <c r="T6" i="8"/>
  <c r="U6" i="8"/>
  <c r="V6" i="8"/>
  <c r="S7" i="8"/>
  <c r="T7" i="8"/>
  <c r="U7" i="8"/>
  <c r="V7" i="8"/>
  <c r="S8" i="8"/>
  <c r="T8" i="8"/>
  <c r="U8" i="8"/>
  <c r="V8" i="8"/>
  <c r="S9" i="8"/>
  <c r="T9" i="8"/>
  <c r="U9" i="8"/>
  <c r="V9" i="8"/>
  <c r="S10" i="8"/>
  <c r="T10" i="8"/>
  <c r="U10" i="8"/>
  <c r="V10" i="8"/>
  <c r="S11" i="8"/>
  <c r="T11" i="8"/>
  <c r="U11" i="8"/>
  <c r="V11" i="8"/>
  <c r="S12" i="8"/>
  <c r="T12" i="8"/>
  <c r="U12" i="8"/>
  <c r="V12" i="8"/>
  <c r="S13" i="8"/>
  <c r="T13" i="8"/>
  <c r="U13" i="8"/>
  <c r="V13" i="8"/>
  <c r="S14" i="8"/>
  <c r="T14" i="8"/>
  <c r="U14" i="8"/>
  <c r="V14" i="8"/>
  <c r="S15" i="8"/>
  <c r="T15" i="8"/>
  <c r="U15" i="8"/>
  <c r="V15" i="8"/>
  <c r="A5" i="4"/>
  <c r="B5" i="4"/>
  <c r="C5" i="4"/>
  <c r="D5" i="4"/>
  <c r="A6" i="4"/>
  <c r="B6" i="4"/>
  <c r="C6" i="4"/>
  <c r="D6" i="4"/>
  <c r="A7" i="4"/>
  <c r="B7" i="4"/>
  <c r="C7" i="4"/>
  <c r="D7" i="4"/>
  <c r="A8" i="4"/>
  <c r="B8" i="4"/>
  <c r="C8" i="4"/>
  <c r="D8" i="4"/>
  <c r="A9" i="4"/>
  <c r="B9" i="4"/>
  <c r="C9" i="4"/>
  <c r="D9" i="4"/>
  <c r="A10" i="4"/>
  <c r="B10" i="4"/>
  <c r="C10" i="4"/>
  <c r="D10" i="4"/>
  <c r="A11" i="4"/>
  <c r="B11" i="4"/>
  <c r="C11" i="4"/>
  <c r="D11" i="4"/>
  <c r="A12" i="4"/>
  <c r="B12" i="4"/>
  <c r="C12" i="4"/>
  <c r="D12" i="4"/>
  <c r="A13" i="4"/>
  <c r="B13" i="4"/>
  <c r="C13" i="4"/>
  <c r="D13" i="4"/>
  <c r="A14" i="4"/>
  <c r="B14" i="4"/>
  <c r="C14" i="4"/>
  <c r="D14" i="4"/>
  <c r="A15" i="4"/>
  <c r="B15" i="4"/>
  <c r="C15" i="4"/>
  <c r="D15" i="4"/>
  <c r="A16" i="4"/>
  <c r="B16" i="4"/>
  <c r="C16" i="4"/>
  <c r="D16" i="4"/>
  <c r="A17" i="4"/>
  <c r="B17" i="4"/>
  <c r="C17" i="4"/>
  <c r="D17" i="4"/>
  <c r="A18" i="4"/>
  <c r="B18" i="4"/>
  <c r="C18" i="4"/>
  <c r="D18" i="4"/>
  <c r="A19" i="4"/>
  <c r="B19" i="4"/>
  <c r="C19" i="4"/>
  <c r="D19" i="4"/>
  <c r="A20" i="4"/>
  <c r="B20" i="4"/>
  <c r="C20" i="4"/>
  <c r="D20" i="4"/>
  <c r="A21" i="4"/>
  <c r="B21" i="4"/>
  <c r="C21" i="4"/>
  <c r="D21" i="4"/>
  <c r="A22" i="4"/>
  <c r="B22" i="4"/>
  <c r="C22" i="4"/>
  <c r="D22" i="4"/>
  <c r="A23" i="4"/>
  <c r="B23" i="4"/>
  <c r="C23" i="4"/>
  <c r="D23" i="4"/>
  <c r="A24" i="4"/>
  <c r="B24" i="4"/>
  <c r="C24" i="4"/>
  <c r="D24" i="4"/>
  <c r="A25" i="4"/>
  <c r="B25" i="4"/>
  <c r="C25" i="4"/>
  <c r="D25" i="4"/>
  <c r="A26" i="4"/>
  <c r="B26" i="4"/>
  <c r="C26" i="4"/>
  <c r="D26" i="4"/>
  <c r="A27" i="4"/>
  <c r="B27" i="4"/>
  <c r="C27" i="4"/>
  <c r="D27" i="4"/>
  <c r="A28" i="4"/>
  <c r="B28" i="4"/>
  <c r="C28" i="4"/>
  <c r="D28" i="4"/>
  <c r="A29" i="4"/>
  <c r="B29" i="4"/>
  <c r="C29" i="4"/>
  <c r="D29" i="4"/>
  <c r="A30" i="4"/>
  <c r="B30" i="4"/>
  <c r="C30" i="4"/>
  <c r="D30" i="4"/>
  <c r="A31" i="4"/>
  <c r="B31" i="4"/>
  <c r="C31" i="4"/>
  <c r="D31" i="4"/>
  <c r="A32" i="4"/>
  <c r="B32" i="4"/>
  <c r="C32" i="4"/>
  <c r="D32" i="4"/>
  <c r="A33" i="4"/>
  <c r="B33" i="4"/>
  <c r="C33" i="4"/>
  <c r="D33" i="4"/>
  <c r="A34" i="4"/>
  <c r="B34" i="4"/>
  <c r="C34" i="4"/>
  <c r="D34" i="4"/>
  <c r="A35" i="4"/>
  <c r="B35" i="4"/>
  <c r="C35" i="4"/>
  <c r="D35" i="4"/>
  <c r="A36" i="4"/>
  <c r="B36" i="4"/>
  <c r="C36" i="4"/>
  <c r="D36" i="4"/>
  <c r="A37" i="4"/>
  <c r="B37" i="4"/>
  <c r="C37" i="4"/>
  <c r="D37" i="4"/>
  <c r="A38" i="4"/>
  <c r="B38" i="4"/>
  <c r="C38" i="4"/>
  <c r="D38" i="4"/>
  <c r="A39" i="4"/>
  <c r="B39" i="4"/>
  <c r="C39" i="4"/>
  <c r="D39" i="4"/>
  <c r="A40" i="4"/>
  <c r="B40" i="4"/>
  <c r="C40" i="4"/>
  <c r="D40" i="4"/>
  <c r="A41" i="4"/>
  <c r="B41" i="4"/>
  <c r="C41" i="4"/>
  <c r="D41" i="4"/>
  <c r="A42" i="4"/>
  <c r="B42" i="4"/>
  <c r="C42" i="4"/>
  <c r="D42" i="4"/>
  <c r="A43" i="4"/>
  <c r="B43" i="4"/>
  <c r="C43" i="4"/>
  <c r="D43" i="4"/>
  <c r="A44" i="4"/>
  <c r="B44" i="4"/>
  <c r="C44" i="4"/>
  <c r="D44" i="4"/>
  <c r="A45" i="4"/>
  <c r="B45" i="4"/>
  <c r="C45" i="4"/>
  <c r="D45" i="4"/>
  <c r="A46" i="4"/>
  <c r="B46" i="4"/>
  <c r="C46" i="4"/>
  <c r="D46" i="4"/>
  <c r="A47" i="4"/>
  <c r="B47" i="4"/>
  <c r="C47" i="4"/>
  <c r="D47" i="4"/>
  <c r="A48" i="4"/>
  <c r="B48" i="4"/>
  <c r="C48" i="4"/>
  <c r="D48" i="4"/>
  <c r="A49" i="4"/>
  <c r="B49" i="4"/>
  <c r="C49" i="4"/>
  <c r="D49" i="4"/>
  <c r="A50" i="4"/>
  <c r="B50" i="4"/>
  <c r="C50" i="4"/>
  <c r="D50" i="4"/>
  <c r="A51" i="4"/>
  <c r="B51" i="4"/>
  <c r="C51" i="4"/>
  <c r="D51" i="4"/>
  <c r="A52" i="4"/>
  <c r="B52" i="4"/>
  <c r="C52" i="4"/>
  <c r="D52" i="4"/>
  <c r="A53" i="4"/>
  <c r="B53" i="4"/>
  <c r="C53" i="4"/>
  <c r="D53" i="4"/>
  <c r="A54" i="4"/>
  <c r="B54" i="4"/>
  <c r="C54" i="4"/>
  <c r="D54" i="4"/>
  <c r="A55" i="4"/>
  <c r="B55" i="4"/>
  <c r="C55" i="4"/>
  <c r="D55" i="4"/>
  <c r="A56" i="4"/>
  <c r="B56" i="4"/>
  <c r="C56" i="4"/>
  <c r="D56" i="4"/>
  <c r="A57" i="4"/>
  <c r="B57" i="4"/>
  <c r="C57" i="4"/>
  <c r="D57" i="4"/>
  <c r="A58" i="4"/>
  <c r="B58" i="4"/>
  <c r="C58" i="4"/>
  <c r="D58" i="4"/>
  <c r="A59" i="4"/>
  <c r="B59" i="4"/>
  <c r="C59" i="4"/>
  <c r="D59" i="4"/>
  <c r="A60" i="4"/>
  <c r="B60" i="4"/>
  <c r="C60" i="4"/>
  <c r="D60" i="4"/>
  <c r="A61" i="4"/>
  <c r="B61" i="4"/>
  <c r="C61" i="4"/>
  <c r="D61" i="4"/>
  <c r="A62" i="4"/>
  <c r="B62" i="4"/>
  <c r="C62" i="4"/>
  <c r="D62" i="4"/>
  <c r="A63" i="4"/>
  <c r="B63" i="4"/>
  <c r="C63" i="4"/>
  <c r="D63" i="4"/>
  <c r="A64" i="4"/>
  <c r="B64" i="4"/>
  <c r="C64" i="4"/>
  <c r="D64" i="4"/>
  <c r="A65" i="4"/>
  <c r="B65" i="4"/>
  <c r="C65" i="4"/>
  <c r="D65" i="4"/>
  <c r="A66" i="4"/>
  <c r="B66" i="4"/>
  <c r="C66" i="4"/>
  <c r="D66" i="4"/>
  <c r="A67" i="4"/>
  <c r="B67" i="4"/>
  <c r="C67" i="4"/>
  <c r="D67" i="4"/>
  <c r="A68" i="4"/>
  <c r="B68" i="4"/>
  <c r="C68" i="4"/>
  <c r="D68" i="4"/>
  <c r="A69" i="4"/>
  <c r="B69" i="4"/>
  <c r="C69" i="4"/>
  <c r="D69" i="4"/>
  <c r="A70" i="4"/>
  <c r="B70" i="4"/>
  <c r="C70" i="4"/>
  <c r="D70" i="4"/>
  <c r="A71" i="4"/>
  <c r="B71" i="4"/>
  <c r="C71" i="4"/>
  <c r="D71" i="4"/>
  <c r="A72" i="4"/>
  <c r="B72" i="4"/>
  <c r="C72" i="4"/>
  <c r="D72" i="4"/>
  <c r="A73" i="4"/>
  <c r="B73" i="4"/>
  <c r="C73" i="4"/>
  <c r="D73" i="4"/>
  <c r="A74" i="4"/>
  <c r="B74" i="4"/>
  <c r="C74" i="4"/>
  <c r="D74" i="4"/>
  <c r="A75" i="4"/>
  <c r="B75" i="4"/>
  <c r="C75" i="4"/>
  <c r="D75" i="4"/>
  <c r="A76" i="4"/>
  <c r="B76" i="4"/>
  <c r="C76" i="4"/>
  <c r="D76" i="4"/>
  <c r="A77" i="4"/>
  <c r="B77" i="4"/>
  <c r="C77" i="4"/>
  <c r="D77" i="4"/>
  <c r="A78" i="4"/>
  <c r="B78" i="4"/>
  <c r="C78" i="4"/>
  <c r="D78" i="4"/>
  <c r="A79" i="4"/>
  <c r="B79" i="4"/>
  <c r="C79" i="4"/>
  <c r="D79" i="4"/>
  <c r="A80" i="4"/>
  <c r="B80" i="4"/>
  <c r="C80" i="4"/>
  <c r="D80" i="4"/>
  <c r="A81" i="4"/>
  <c r="B81" i="4"/>
  <c r="C81" i="4"/>
  <c r="D81" i="4"/>
  <c r="A82" i="4"/>
  <c r="B82" i="4"/>
  <c r="C82" i="4"/>
  <c r="D82" i="4"/>
  <c r="A83" i="4"/>
  <c r="B83" i="4"/>
  <c r="C83" i="4"/>
  <c r="D83" i="4"/>
  <c r="A84" i="4"/>
  <c r="B84" i="4"/>
  <c r="C84" i="4"/>
  <c r="D84" i="4"/>
  <c r="A85" i="4"/>
  <c r="B85" i="4"/>
  <c r="C85" i="4"/>
  <c r="D85" i="4"/>
  <c r="A86" i="4"/>
  <c r="B86" i="4"/>
  <c r="C86" i="4"/>
  <c r="D86" i="4"/>
  <c r="A87" i="4"/>
  <c r="B87" i="4"/>
  <c r="C87" i="4"/>
  <c r="D87" i="4"/>
  <c r="A88" i="4"/>
  <c r="B88" i="4"/>
  <c r="C88" i="4"/>
  <c r="D88" i="4"/>
  <c r="A89" i="4"/>
  <c r="B89" i="4"/>
  <c r="C89" i="4"/>
  <c r="D89" i="4"/>
  <c r="A90" i="4"/>
  <c r="B90" i="4"/>
  <c r="C90" i="4"/>
  <c r="D90" i="4"/>
  <c r="A91" i="4"/>
  <c r="B91" i="4"/>
  <c r="C91" i="4"/>
  <c r="D91" i="4"/>
  <c r="A92" i="4"/>
  <c r="B92" i="4"/>
  <c r="C92" i="4"/>
  <c r="D92" i="4"/>
  <c r="A93" i="4"/>
  <c r="B93" i="4"/>
  <c r="C93" i="4"/>
  <c r="D93" i="4"/>
  <c r="A94" i="4"/>
  <c r="B94" i="4"/>
  <c r="C94" i="4"/>
  <c r="D94" i="4"/>
  <c r="A95" i="4"/>
  <c r="B95" i="4"/>
  <c r="C95" i="4"/>
  <c r="D95" i="4"/>
  <c r="A96" i="4"/>
  <c r="B96" i="4"/>
  <c r="C96" i="4"/>
  <c r="D96" i="4"/>
  <c r="A97" i="4"/>
  <c r="B97" i="4"/>
  <c r="C97" i="4"/>
  <c r="D97" i="4"/>
  <c r="A98" i="4"/>
  <c r="B98" i="4"/>
  <c r="C98" i="4"/>
  <c r="D98" i="4"/>
  <c r="A99" i="4"/>
  <c r="B99" i="4"/>
  <c r="C99" i="4"/>
  <c r="D99" i="4"/>
  <c r="A100" i="4"/>
  <c r="B100" i="4"/>
  <c r="C100" i="4"/>
  <c r="D100" i="4"/>
  <c r="A101" i="4"/>
  <c r="B101" i="4"/>
  <c r="C101" i="4"/>
  <c r="D101" i="4"/>
  <c r="A102" i="4"/>
  <c r="B102" i="4"/>
  <c r="C102" i="4"/>
  <c r="D102" i="4"/>
  <c r="A103" i="4"/>
  <c r="B103" i="4"/>
  <c r="C103" i="4"/>
  <c r="D103" i="4"/>
  <c r="A104" i="4"/>
  <c r="B104" i="4"/>
  <c r="C104" i="4"/>
  <c r="D104" i="4"/>
  <c r="A105" i="4"/>
  <c r="B105" i="4"/>
  <c r="C105" i="4"/>
  <c r="D105" i="4"/>
  <c r="A106" i="4"/>
  <c r="B106" i="4"/>
  <c r="C106" i="4"/>
  <c r="D106" i="4"/>
  <c r="A107" i="4"/>
  <c r="B107" i="4"/>
  <c r="C107" i="4"/>
  <c r="D107" i="4"/>
  <c r="A108" i="4"/>
  <c r="B108" i="4"/>
  <c r="C108" i="4"/>
  <c r="D108" i="4"/>
  <c r="A109" i="4"/>
  <c r="B109" i="4"/>
  <c r="C109" i="4"/>
  <c r="D109" i="4"/>
  <c r="A110" i="4"/>
  <c r="B110" i="4"/>
  <c r="C110" i="4"/>
  <c r="D110" i="4"/>
  <c r="A111" i="4"/>
  <c r="B111" i="4"/>
  <c r="C111" i="4"/>
  <c r="D111" i="4"/>
  <c r="A112" i="4"/>
  <c r="B112" i="4"/>
  <c r="C112" i="4"/>
  <c r="D112" i="4"/>
  <c r="A113" i="4"/>
  <c r="B113" i="4"/>
  <c r="C113" i="4"/>
  <c r="D113" i="4"/>
  <c r="A114" i="4"/>
  <c r="B114" i="4"/>
  <c r="C114" i="4"/>
  <c r="D114" i="4"/>
  <c r="A115" i="4"/>
  <c r="B115" i="4"/>
  <c r="C115" i="4"/>
  <c r="D115" i="4"/>
  <c r="A116" i="4"/>
  <c r="B116" i="4"/>
  <c r="C116" i="4"/>
  <c r="D116" i="4"/>
  <c r="A117" i="4"/>
  <c r="B117" i="4"/>
  <c r="C117" i="4"/>
  <c r="D117" i="4"/>
  <c r="A118" i="4"/>
  <c r="B118" i="4"/>
  <c r="C118" i="4"/>
  <c r="D118" i="4"/>
  <c r="A119" i="4"/>
  <c r="B119" i="4"/>
  <c r="C119" i="4"/>
  <c r="D119" i="4"/>
  <c r="A120" i="4"/>
  <c r="B120" i="4"/>
  <c r="C120" i="4"/>
  <c r="D120" i="4"/>
  <c r="A121" i="4"/>
  <c r="B121" i="4"/>
  <c r="C121" i="4"/>
  <c r="D121" i="4"/>
  <c r="A122" i="4"/>
  <c r="B122" i="4"/>
  <c r="C122" i="4"/>
  <c r="D122" i="4"/>
  <c r="A123" i="4"/>
  <c r="B123" i="4"/>
  <c r="C123" i="4"/>
  <c r="D123" i="4"/>
  <c r="A124" i="4"/>
  <c r="B124" i="4"/>
  <c r="C124" i="4"/>
  <c r="D124" i="4"/>
  <c r="A125" i="4"/>
  <c r="B125" i="4"/>
  <c r="C125" i="4"/>
  <c r="D125" i="4"/>
  <c r="A126" i="4"/>
  <c r="B126" i="4"/>
  <c r="C126" i="4"/>
  <c r="D126" i="4"/>
  <c r="A127" i="4"/>
  <c r="B127" i="4"/>
  <c r="C127" i="4"/>
  <c r="D127" i="4"/>
  <c r="A128" i="4"/>
  <c r="B128" i="4"/>
  <c r="C128" i="4"/>
  <c r="D128" i="4"/>
  <c r="A129" i="4"/>
  <c r="B129" i="4"/>
  <c r="C129" i="4"/>
  <c r="D129" i="4"/>
  <c r="A130" i="4"/>
  <c r="B130" i="4"/>
  <c r="C130" i="4"/>
  <c r="D130" i="4"/>
  <c r="A131" i="4"/>
  <c r="B131" i="4"/>
  <c r="C131" i="4"/>
  <c r="D131" i="4"/>
  <c r="A132" i="4"/>
  <c r="B132" i="4"/>
  <c r="C132" i="4"/>
  <c r="D132" i="4"/>
  <c r="A133" i="4"/>
  <c r="B133" i="4"/>
  <c r="C133" i="4"/>
  <c r="D133" i="4"/>
  <c r="A134" i="4"/>
  <c r="B134" i="4"/>
  <c r="C134" i="4"/>
  <c r="D134" i="4"/>
  <c r="A135" i="4"/>
  <c r="B135" i="4"/>
  <c r="C135" i="4"/>
  <c r="D135" i="4"/>
  <c r="A136" i="4"/>
  <c r="B136" i="4"/>
  <c r="C136" i="4"/>
  <c r="D136" i="4"/>
  <c r="A137" i="4"/>
  <c r="B137" i="4"/>
  <c r="C137" i="4"/>
  <c r="D137" i="4"/>
  <c r="A138" i="4"/>
  <c r="B138" i="4"/>
  <c r="C138" i="4"/>
  <c r="D138" i="4"/>
  <c r="A139" i="4"/>
  <c r="B139" i="4"/>
  <c r="C139" i="4"/>
  <c r="D139" i="4"/>
  <c r="A140" i="4"/>
  <c r="B140" i="4"/>
  <c r="C140" i="4"/>
  <c r="D140" i="4"/>
  <c r="A141" i="4"/>
  <c r="B141" i="4"/>
  <c r="C141" i="4"/>
  <c r="D141" i="4"/>
  <c r="A142" i="4"/>
  <c r="B142" i="4"/>
  <c r="C142" i="4"/>
  <c r="D142" i="4"/>
  <c r="A143" i="4"/>
  <c r="B143" i="4"/>
  <c r="C143" i="4"/>
  <c r="D143" i="4"/>
  <c r="A144" i="4"/>
  <c r="B144" i="4"/>
  <c r="C144" i="4"/>
  <c r="D144" i="4"/>
  <c r="A145" i="4"/>
  <c r="B145" i="4"/>
  <c r="C145" i="4"/>
  <c r="D145" i="4"/>
  <c r="A146" i="4"/>
  <c r="B146" i="4"/>
  <c r="C146" i="4"/>
  <c r="D146" i="4"/>
  <c r="A147" i="4"/>
  <c r="B147" i="4"/>
  <c r="C147" i="4"/>
  <c r="D147" i="4"/>
  <c r="A148" i="4"/>
  <c r="B148" i="4"/>
  <c r="C148" i="4"/>
  <c r="D148" i="4"/>
  <c r="A149" i="4"/>
  <c r="B149" i="4"/>
  <c r="C149" i="4"/>
  <c r="D149" i="4"/>
  <c r="A150" i="4"/>
  <c r="B150" i="4"/>
  <c r="C150" i="4"/>
  <c r="D150" i="4"/>
  <c r="A151" i="4"/>
  <c r="B151" i="4"/>
  <c r="C151" i="4"/>
  <c r="D151" i="4"/>
  <c r="A152" i="4"/>
  <c r="B152" i="4"/>
  <c r="C152" i="4"/>
  <c r="D152" i="4"/>
  <c r="A153" i="4"/>
  <c r="B153" i="4"/>
  <c r="C153" i="4"/>
  <c r="D153" i="4"/>
  <c r="A154" i="4"/>
  <c r="B154" i="4"/>
  <c r="C154" i="4"/>
  <c r="D154" i="4"/>
  <c r="A155" i="4"/>
  <c r="B155" i="4"/>
  <c r="C155" i="4"/>
  <c r="D155" i="4"/>
  <c r="A156" i="4"/>
  <c r="B156" i="4"/>
  <c r="C156" i="4"/>
  <c r="D156" i="4"/>
  <c r="A157" i="4"/>
  <c r="B157" i="4"/>
  <c r="C157" i="4"/>
  <c r="D157" i="4"/>
  <c r="A158" i="4"/>
  <c r="B158" i="4"/>
  <c r="C158" i="4"/>
  <c r="D158" i="4"/>
  <c r="A159" i="4"/>
  <c r="B159" i="4"/>
  <c r="C159" i="4"/>
  <c r="D159" i="4"/>
  <c r="A160" i="4"/>
  <c r="B160" i="4"/>
  <c r="C160" i="4"/>
  <c r="D160" i="4"/>
  <c r="A161" i="4"/>
  <c r="B161" i="4"/>
  <c r="C161" i="4"/>
  <c r="D161" i="4"/>
  <c r="A162" i="4"/>
  <c r="B162" i="4"/>
  <c r="C162" i="4"/>
  <c r="D162" i="4"/>
  <c r="A163" i="4"/>
  <c r="B163" i="4"/>
  <c r="C163" i="4"/>
  <c r="D163" i="4"/>
  <c r="A164" i="4"/>
  <c r="B164" i="4"/>
  <c r="C164" i="4"/>
  <c r="D164" i="4"/>
  <c r="A165" i="4"/>
  <c r="B165" i="4"/>
  <c r="C165" i="4"/>
  <c r="D165" i="4"/>
  <c r="A166" i="4"/>
  <c r="B166" i="4"/>
  <c r="C166" i="4"/>
  <c r="D166" i="4"/>
  <c r="A167" i="4"/>
  <c r="B167" i="4"/>
  <c r="C167" i="4"/>
  <c r="D167" i="4"/>
  <c r="A168" i="4"/>
  <c r="B168" i="4"/>
  <c r="C168" i="4"/>
  <c r="D168" i="4"/>
  <c r="A169" i="4"/>
  <c r="B169" i="4"/>
  <c r="C169" i="4"/>
  <c r="D169" i="4"/>
  <c r="A170" i="4"/>
  <c r="B170" i="4"/>
  <c r="C170" i="4"/>
  <c r="D170" i="4"/>
  <c r="A171" i="4"/>
  <c r="B171" i="4"/>
  <c r="C171" i="4"/>
  <c r="D171" i="4"/>
  <c r="A172" i="4"/>
  <c r="B172" i="4"/>
  <c r="C172" i="4"/>
  <c r="D172" i="4"/>
  <c r="A173" i="4"/>
  <c r="B173" i="4"/>
  <c r="C173" i="4"/>
  <c r="D173" i="4"/>
  <c r="A174" i="4"/>
  <c r="B174" i="4"/>
  <c r="C174" i="4"/>
  <c r="D174" i="4"/>
  <c r="A175" i="4"/>
  <c r="B175" i="4"/>
  <c r="C175" i="4"/>
  <c r="D175" i="4"/>
  <c r="A176" i="4"/>
  <c r="B176" i="4"/>
  <c r="C176" i="4"/>
  <c r="D176" i="4"/>
  <c r="A177" i="4"/>
  <c r="B177" i="4"/>
  <c r="C177" i="4"/>
  <c r="D177" i="4"/>
  <c r="A178" i="4"/>
  <c r="B178" i="4"/>
  <c r="C178" i="4"/>
  <c r="D178" i="4"/>
  <c r="A179" i="4"/>
  <c r="B179" i="4"/>
  <c r="C179" i="4"/>
  <c r="D179" i="4"/>
  <c r="A180" i="4"/>
  <c r="B180" i="4"/>
  <c r="C180" i="4"/>
  <c r="D180" i="4"/>
  <c r="A181" i="4"/>
  <c r="B181" i="4"/>
  <c r="C181" i="4"/>
  <c r="D181" i="4"/>
  <c r="A182" i="4"/>
  <c r="B182" i="4"/>
  <c r="C182" i="4"/>
  <c r="D182" i="4"/>
  <c r="A183" i="4"/>
  <c r="B183" i="4"/>
  <c r="C183" i="4"/>
  <c r="D183" i="4"/>
  <c r="B68" i="2"/>
  <c r="B69" i="2"/>
  <c r="B70" i="2"/>
  <c r="B71" i="2"/>
  <c r="B72" i="2"/>
  <c r="B67" i="2"/>
  <c r="B73" i="2" s="1"/>
  <c r="C62" i="2"/>
  <c r="B62" i="2"/>
  <c r="B57" i="2"/>
  <c r="C57" i="2" s="1"/>
  <c r="B58" i="2"/>
  <c r="C58" i="2" s="1"/>
  <c r="B59" i="2"/>
  <c r="C59" i="2" s="1"/>
  <c r="B60" i="2"/>
  <c r="C60" i="2" s="1"/>
  <c r="B61" i="2"/>
  <c r="C61" i="2" s="1"/>
  <c r="F13" i="2" l="1"/>
  <c r="G13" i="2"/>
  <c r="E13" i="2"/>
  <c r="D13" i="2"/>
  <c r="C13" i="2"/>
  <c r="E62" i="2"/>
  <c r="G33" i="7"/>
  <c r="F33" i="7"/>
  <c r="E33" i="7"/>
  <c r="D33" i="7"/>
  <c r="C33" i="7"/>
  <c r="B33" i="7"/>
  <c r="E73" i="2"/>
  <c r="C70" i="2"/>
  <c r="C71" i="2"/>
  <c r="C68" i="2"/>
  <c r="C69" i="2"/>
  <c r="C72" i="2"/>
  <c r="C73" i="2"/>
  <c r="C67" i="2"/>
</calcChain>
</file>

<file path=xl/sharedStrings.xml><?xml version="1.0" encoding="utf-8"?>
<sst xmlns="http://schemas.openxmlformats.org/spreadsheetml/2006/main" count="7324" uniqueCount="3478">
  <si>
    <t>認証基盤 要件定義・基本設計 進捗一覧</t>
  </si>
  <si>
    <t>出典リポジトリ</t>
  </si>
  <si>
    <t>github.com/suepie/aws-atuh-poc  doc/requirements + doc/basic-design</t>
  </si>
  <si>
    <t>コミットSHA</t>
  </si>
  <si>
    <t>位置づけ</t>
  </si>
  <si>
    <t>本表はGitドキュメントからの派生ビュー（読み取り専用スナップショット）。SSOTはGit側。判断・更新はGitで行い、本表は俯瞰用。</t>
  </si>
  <si>
    <t>区分</t>
  </si>
  <si>
    <t>総数</t>
  </si>
  <si>
    <t>確定</t>
  </si>
  <si>
    <t>検討中</t>
  </si>
  <si>
    <t>未着手</t>
  </si>
  <si>
    <t>機能要件</t>
  </si>
  <si>
    <t>非機能要件</t>
  </si>
  <si>
    <t>合計</t>
  </si>
  <si>
    <t>大項目</t>
  </si>
  <si>
    <t>小項目</t>
  </si>
  <si>
    <t>ID</t>
  </si>
  <si>
    <t>概要</t>
  </si>
  <si>
    <t>決定内容・残論点</t>
  </si>
  <si>
    <t>出典</t>
  </si>
  <si>
    <t>FR-AUTH 認証フロー/Grant Type</t>
  </si>
  <si>
    <t>FR-AUTH-001</t>
  </si>
  <si>
    <t>ID/PW認証（ローカルユーザー）</t>
  </si>
  <si>
    <t>Must｜Cognito=Hosted UI / Keycloak=Realm Login Page。PoC検証済</t>
  </si>
  <si>
    <t>requirements/functional-requirements.md §1.1</t>
  </si>
  <si>
    <t>FR-AUTH-002</t>
  </si>
  <si>
    <t>Authorization Code + PKCE（SPA/モバイル）</t>
  </si>
  <si>
    <t>Must｜両者Public Client対応。PoC Phase 1,4,5,6,7で検証済</t>
  </si>
  <si>
    <t>FR-AUTH-003</t>
  </si>
  <si>
    <t>Authorization Code + client_secret（SSR）</t>
  </si>
  <si>
    <t>Must｜両者Confidential Client対応。PoC未検証のため承認要</t>
  </si>
  <si>
    <t>FR-AUTH-004</t>
  </si>
  <si>
    <t>Client Credentials（M2M）</t>
  </si>
  <si>
    <t>Must｜Cognito=Resource Server+custom scope必要 / Keycloak=Service Account。PoC未検証</t>
  </si>
  <si>
    <t>FR-AUTH-005</t>
  </si>
  <si>
    <t>Token Exchange（RFC 8693）</t>
  </si>
  <si>
    <t>TBD｜Cognito非対応 / Keycloakネイティブ。★Keycloak必須要因。ヒアリング優先度2</t>
  </si>
  <si>
    <t>FR-AUTH-006</t>
  </si>
  <si>
    <t>Device Code Flow</t>
  </si>
  <si>
    <t>FR-AUTH-007</t>
  </si>
  <si>
    <t>mTLS Client Authentication（RFC 8705）</t>
  </si>
  <si>
    <t>Could｜Cognito非対応 / Keycloak FAPI Profile。★Keycloak必須要因</t>
  </si>
  <si>
    <t>FR-AUTH-008</t>
  </si>
  <si>
    <t>ROPC（Password Grant）</t>
  </si>
  <si>
    <t>Won't｜不採用で決定。両者対応だが非推奨</t>
  </si>
  <si>
    <t>FR-AUTH パスワード・ローカルユーザー管理</t>
  </si>
  <si>
    <t>FR-AUTH-009</t>
  </si>
  <si>
    <t>パスワードポリシー（最小長・複雑性）</t>
  </si>
  <si>
    <t>Must｜Cognito明示設定済（min 8+大小数字必須）/ Keycloak Realm Policy</t>
  </si>
  <si>
    <t>requirements/functional-requirements.md §1.2</t>
  </si>
  <si>
    <t>FR-AUTH-010</t>
  </si>
  <si>
    <t>パスワード履歴（N個と一致禁止）</t>
  </si>
  <si>
    <t>Should｜Cognito=Essentials+ティア必要（PasswordHistorySize 0〜24、Terraform未対応 #39016）/ Keycloak対応。Cognitoティア選定に影響</t>
  </si>
  <si>
    <t>FR-AUTH-011</t>
  </si>
  <si>
    <t>アカウントロック（連続失敗）</t>
  </si>
  <si>
    <t>Must｜Cognito=全ティア標準保護（パラメータ調整不可）、詳細設定はPlusティア(+$0.02/MAU) / Keycloak=failureFactor等細制御可。PoC Phase 7検証済</t>
  </si>
  <si>
    <t>FR-AUTH-012</t>
  </si>
  <si>
    <t>パスワード有効期限</t>
  </si>
  <si>
    <t>Should｜両者設定可。PoC未検証</t>
  </si>
  <si>
    <t>FR-AUTH-013</t>
  </si>
  <si>
    <t>セルフサービスパスワードリセット</t>
  </si>
  <si>
    <t>Must｜両者Forgot Password対応。PoC未検証</t>
  </si>
  <si>
    <t>FR-AUTH-014</t>
  </si>
  <si>
    <t>初期パスワード強制変更</t>
  </si>
  <si>
    <t>Should｜両者Required Action対応。PoC未検証</t>
  </si>
  <si>
    <t>FR-FED IdP接続種別</t>
  </si>
  <si>
    <t>FR-FED-001</t>
  </si>
  <si>
    <t>Auth0 OIDC IdP連携</t>
  </si>
  <si>
    <t>優先度—｜両者対応。PoC Phase 2,7検証済</t>
  </si>
  <si>
    <t>requirements/functional-requirements.md §2.1</t>
  </si>
  <si>
    <t>FR-FED-002</t>
  </si>
  <si>
    <t>Entra ID（Azure AD）OIDC連携</t>
  </si>
  <si>
    <t>Must｜両者対応だがPoCはAuth0で代替。★ヒアリング最優先(優先度1)：実接続検証が未了</t>
  </si>
  <si>
    <t>FR-FED-003</t>
  </si>
  <si>
    <t>Okta OIDC連携</t>
  </si>
  <si>
    <t>Should｜両者対応。未検証・要ヒアリング</t>
  </si>
  <si>
    <t>FR-FED-004</t>
  </si>
  <si>
    <t>Google Workspace OIDC連携</t>
  </si>
  <si>
    <t>Could｜両者対応。未検証・要ヒアリング</t>
  </si>
  <si>
    <t>FR-FED-005</t>
  </si>
  <si>
    <t>SAML 2.0 IdPとして受け入れ（SPモード）</t>
  </si>
  <si>
    <t>FR-FED-006</t>
  </si>
  <si>
    <t>SAML 2.0 IdPとして発行（IdPモード）</t>
  </si>
  <si>
    <t>TBD｜Cognito非対応 / Keycloak対応。★Keycloak必須要因。ヒアリング優先度2</t>
  </si>
  <si>
    <t>FR-FED-007</t>
  </si>
  <si>
    <t>LDAP / AD 直接連携</t>
  </si>
  <si>
    <t>TBD｜Cognito非対応 / Keycloak User Federation。★Keycloak必須要因。ヒアリング優先度2</t>
  </si>
  <si>
    <t>FR-FED-014</t>
  </si>
  <si>
    <t>Custom Domainでのfederation</t>
  </si>
  <si>
    <t>Should｜Cognito=Hosted UI Custom Domain / Keycloak=Hostname設定。PoC未検証</t>
  </si>
  <si>
    <t>FR-FED フェデレーションユーザー処理</t>
  </si>
  <si>
    <t>FR-FED-008</t>
  </si>
  <si>
    <t>JITプロビジョニング</t>
  </si>
  <si>
    <t>Must｜Cognito=自動 / Keycloak=First Login Flow。PoC Phase 2検証済</t>
  </si>
  <si>
    <t>requirements/functional-requirements.md §2.2</t>
  </si>
  <si>
    <t>FR-FED-009</t>
  </si>
  <si>
    <t>属性マッピング / クレーム変換</t>
  </si>
  <si>
    <t>Must｜Cognito=attribute_mapping / Keycloak=IdP Mapper。PoC Phase 8検証済</t>
  </si>
  <si>
    <t>FR-FED-012</t>
  </si>
  <si>
    <t>フェデレーション時のMFA重複回避</t>
  </si>
  <si>
    <t>Must｜Cognito=個別実装 / Keycloak=Conditional OTP。PoC Phase 7（Keycloakのみ）。MFA責務は外部IdP側に寄せる方針(ADR-009)</t>
  </si>
  <si>
    <t>FR-FED マルチテナント運用</t>
  </si>
  <si>
    <t>FR-FED-010</t>
  </si>
  <si>
    <t>複数IdP並行運用（マルチテナント）</t>
  </si>
  <si>
    <t>Must｜Cognito=User Poolに複数登録 / Keycloak=Realmに複数登録。PoC Phase 4,5検証済</t>
  </si>
  <si>
    <t>requirements/functional-requirements.md §2.3</t>
  </si>
  <si>
    <t>FR-FED-011</t>
  </si>
  <si>
    <t>顧客追加時のオンボーディングフロー</t>
  </si>
  <si>
    <t>Must｜両者設計可（手動/IaC）。PoCは概念設計のみ</t>
  </si>
  <si>
    <t>FR-FED-013</t>
  </si>
  <si>
    <t>ログイン画面でIdP選択UX</t>
  </si>
  <si>
    <t>Should｜Cognito=identity_providerパラメータ必須 / Keycloak=ボタン自動表示。PoC Phase 7検証済</t>
  </si>
  <si>
    <t>FR-MFA MFA要素</t>
  </si>
  <si>
    <t>FR-MFA-001</t>
  </si>
  <si>
    <t>TOTP（Google Authenticator等）</t>
  </si>
  <si>
    <t>Must｜両者対応。PoC Phase 1,7検証済</t>
  </si>
  <si>
    <t>requirements/functional-requirements.md §3.1</t>
  </si>
  <si>
    <t>FR-MFA-002</t>
  </si>
  <si>
    <t>WebAuthn / FIDO2（Passkeys）</t>
  </si>
  <si>
    <t>Should｜両者対応（Cognitoは2024-11〜Essentials+、フェデ利用なら追加コストなし）。PoC未検証。ヒアリング優先度5</t>
  </si>
  <si>
    <t>FR-MFA-003</t>
  </si>
  <si>
    <t>SMS OTP</t>
  </si>
  <si>
    <t>Could｜Cognito=対応（追加課金）/ Keycloak=プラグイン。未検証</t>
  </si>
  <si>
    <t>FR-MFA-004</t>
  </si>
  <si>
    <t>メールOTP</t>
  </si>
  <si>
    <t>Could｜両者対応。未検証</t>
  </si>
  <si>
    <t>FR-MFA-005</t>
  </si>
  <si>
    <t>バックアップコード</t>
  </si>
  <si>
    <t>Should｜Cognito非対応 / Keycloak対応。未検証</t>
  </si>
  <si>
    <t>FR-MFA MFA適用ポリシー</t>
  </si>
  <si>
    <t>FR-MFA-006</t>
  </si>
  <si>
    <t>条件付きMFA（IP / リスクベース）</t>
  </si>
  <si>
    <t>Should｜Cognito=Plusティア(+$0.02/MAU)必要 / Keycloak=Conditional Flow。PoC Phase 7（Keycloak）</t>
  </si>
  <si>
    <t>requirements/functional-requirements.md §3.2</t>
  </si>
  <si>
    <t>FR-MFA-007</t>
  </si>
  <si>
    <t>MFA強制 / 任意の切替（ロール単位）</t>
  </si>
  <si>
    <t>Must｜Cognito=User単位のみ / Keycloak=Flow単位制御可。PoC Phase 7検証済</t>
  </si>
  <si>
    <t>FR-MFA-008</t>
  </si>
  <si>
    <t>端末記憶（Trusted Device）</t>
  </si>
  <si>
    <t>Could｜Cognito=Remember Device / Keycloak=設定要。未検証</t>
  </si>
  <si>
    <t>FR-MFA-009</t>
  </si>
  <si>
    <t>管理者のMFA強制</t>
  </si>
  <si>
    <t>Must｜両者対応。PoC未検証</t>
  </si>
  <si>
    <t>FR-SSO SSO</t>
  </si>
  <si>
    <t>FR-SSO-001</t>
  </si>
  <si>
    <t>同一IdP内の複数Client間SSO</t>
  </si>
  <si>
    <t>Must｜Cognito=User Pool内 / Keycloak=Realm内。PoC Phase 1,7検証済</t>
  </si>
  <si>
    <t>requirements/functional-requirements.md §4.1</t>
  </si>
  <si>
    <t>FR-SSO-002</t>
  </si>
  <si>
    <t>Auth0/Entra経由のクロスIdP SSO</t>
  </si>
  <si>
    <t>Must｜両者対応。PoC Phase 2,7検証済</t>
  </si>
  <si>
    <t>FR-SSO ログアウト</t>
  </si>
  <si>
    <t>FR-SSO-003</t>
  </si>
  <si>
    <t>ローカルログアウト（アプリCookie削除のみ）</t>
  </si>
  <si>
    <t>Must｜両者対応。PoC検証済</t>
  </si>
  <si>
    <t>requirements/functional-requirements.md §4.2</t>
  </si>
  <si>
    <t>FR-SSO-004</t>
  </si>
  <si>
    <t>IdPセッション破棄（OIDC RP-Initiated Logout）</t>
  </si>
  <si>
    <t>FR-SSO-005</t>
  </si>
  <si>
    <t>フェデレーションIdPセッション破棄（連動ログアウト）</t>
  </si>
  <si>
    <t>Should｜Cognito=URLエンコード制約あり / Keycloak=対応。PoC Phase 2,5検証済</t>
  </si>
  <si>
    <t>FR-SSO-006</t>
  </si>
  <si>
    <t>Front-Channel Logout</t>
  </si>
  <si>
    <t>Should｜両者対応。PoC未検証</t>
  </si>
  <si>
    <t>FR-SSO-007</t>
  </si>
  <si>
    <t>Back-Channel Logout（RFC 8606）</t>
  </si>
  <si>
    <t>Should｜Cognito非対応 / Keycloakネイティブ。★Keycloak必須要因。PoC Phase 7（Keycloak）</t>
  </si>
  <si>
    <t>FR-SSO セッション管理</t>
  </si>
  <si>
    <t>FR-SSO-008</t>
  </si>
  <si>
    <t>セッションタイムアウト設定</t>
  </si>
  <si>
    <t>Must｜両者対応。PoCはデフォルトのみ</t>
  </si>
  <si>
    <t>requirements/functional-requirements.md §4.3</t>
  </si>
  <si>
    <t>FR-SSO-009</t>
  </si>
  <si>
    <t>アクセストークン強制無効化（Revocation）</t>
  </si>
  <si>
    <t>Should｜Cognito=Refresh Tokenのみrevoke可 / Keycloak=Token Revocation。未検証</t>
  </si>
  <si>
    <t>FR-SSO-010</t>
  </si>
  <si>
    <t>強制全セッション破棄（管理者操作）</t>
  </si>
  <si>
    <t>Must｜Cognito=AdminUserGlobalSignOut / Keycloak=Admin Console。PoC未検証</t>
  </si>
  <si>
    <t>FR-AUTHZ クレームベース基本認可</t>
  </si>
  <si>
    <t>FR-AUTHZ-001</t>
  </si>
  <si>
    <t>JWTクレームベース認可</t>
  </si>
  <si>
    <t>Must｜両者対応。PoC Phase 3,8,9検証済</t>
  </si>
  <si>
    <t>requirements/functional-requirements.md §5.1</t>
  </si>
  <si>
    <t>FR-AUTHZ-002</t>
  </si>
  <si>
    <t>tenant_idによるテナント分離</t>
  </si>
  <si>
    <t>Must｜Cognito=Pre Token Lambda / Keycloak=Protocol Mapper。PoC Phase 8/9検証済（DR CognitoはPre Token Lambda未設定）</t>
  </si>
  <si>
    <t>FR-AUTHZ-003</t>
  </si>
  <si>
    <t>rolesクレームによるロール認可</t>
  </si>
  <si>
    <t>Must｜Cognito=Pre Token Lambda / Keycloak=Protocol Mapper（Realm Role）。PoC Phase 8/9検証済</t>
  </si>
  <si>
    <t>FR-AUTHZ-004</t>
  </si>
  <si>
    <t>ロール階層（継承）</t>
  </si>
  <si>
    <t>Should｜Cognito=アプリ側実装 / Keycloak=Composite Role。PoC Phase 8（アプリ側）</t>
  </si>
  <si>
    <t>FR-AUTHZ-005</t>
  </si>
  <si>
    <t>scopeベース認可（M2M）</t>
  </si>
  <si>
    <t>Must｜Cognito=Resource Server scope / Keycloak=Client Scope。PoC未検証</t>
  </si>
  <si>
    <t>FR-AUTHZ-006</t>
  </si>
  <si>
    <t>カスタムクレーム注入（任意属性）</t>
  </si>
  <si>
    <t>Must｜Cognito=Pre Token Generation Lambda V2 / Keycloak=Protocol Mapper（宣言的）。PoC Phase 8/9検証済</t>
  </si>
  <si>
    <t>FR-AUTHZ-007</t>
  </si>
  <si>
    <t>API Gateway認可統合（Lambda Authorizer）</t>
  </si>
  <si>
    <t>Must｜両者対応。PoC Phase 3 / VPC版Phase 9検証済</t>
  </si>
  <si>
    <t>FR-AUTHZ-008</t>
  </si>
  <si>
    <t>マルチイシュア対応（複数User Pool / Realm）</t>
  </si>
  <si>
    <t>Must｜両者対応。PoC Phase 4,5,9で4イシュア（central/local/dr/keycloak）検証済</t>
  </si>
  <si>
    <t>FR-AUTHZ 細粒度認可</t>
  </si>
  <si>
    <t>FR-AUTHZ-009</t>
  </si>
  <si>
    <t>リソースレベル認可（UMA 2.0 / Fine-grained）</t>
  </si>
  <si>
    <t>Could｜Cognito非対応 / Keycloak=Authorization Services。★Keycloak必須要因。ヒアリング優先度4</t>
  </si>
  <si>
    <t>requirements/functional-requirements.md §5.2</t>
  </si>
  <si>
    <t>FR-AUTHZ-010</t>
  </si>
  <si>
    <t>動的属性ベース認可（ABAC）</t>
  </si>
  <si>
    <t>Could｜Cognito=Lambda側実装 / Keycloak=Policy Enforcer。ヒアリング優先度4</t>
  </si>
  <si>
    <t>FR-USER ユーザーCRUD</t>
  </si>
  <si>
    <t>FR-USER-001</t>
  </si>
  <si>
    <t>ユーザー作成 / 更新 / 削除（CRUD）</t>
  </si>
  <si>
    <t>Must｜Cognito=Admin API / Keycloak=Admin REST API。PoC検証済</t>
  </si>
  <si>
    <t>requirements/functional-requirements.md §6.1</t>
  </si>
  <si>
    <t>FR-USER-005</t>
  </si>
  <si>
    <t>ユーザー検索・一覧</t>
  </si>
  <si>
    <t>Must｜Cognito=ListUsers API / Keycloak=Search API。PoC検証済</t>
  </si>
  <si>
    <t>FR-USER-006</t>
  </si>
  <si>
    <t>ユーザー有効化 / 無効化（suspend）</t>
  </si>
  <si>
    <t>Must｜Cognito=AdminDisableUser / Keycloak=Enable/Disable。PoC検証済</t>
  </si>
  <si>
    <t>FR-USER-011</t>
  </si>
  <si>
    <t>ユーザー削除時の関連データ削除（GDPR等）</t>
  </si>
  <si>
    <t>FR-USER 属性・ロール</t>
  </si>
  <si>
    <t>FR-USER-002</t>
  </si>
  <si>
    <t>カスタム属性（任意フィールド）</t>
  </si>
  <si>
    <t>Must｜Cognito=Custom Attributes / Keycloak=User Attributes（無制限）。PoC Phase 8検証済</t>
  </si>
  <si>
    <t>requirements/functional-requirements.md §6.2</t>
  </si>
  <si>
    <t>FR-USER-007</t>
  </si>
  <si>
    <t>ユーザーグループ管理</t>
  </si>
  <si>
    <t>Should｜Cognito Groups / Keycloak Realm Groups。PoCは概念のみ</t>
  </si>
  <si>
    <t>FR-USER-008</t>
  </si>
  <si>
    <t>ロール割り当て</t>
  </si>
  <si>
    <t>Must｜Cognito=Custom Attribute or Group / Keycloak=Realm Role Assignment。PoC Phase 8検証済</t>
  </si>
  <si>
    <t>FR-USER セルフサービス</t>
  </si>
  <si>
    <t>FR-USER-004</t>
  </si>
  <si>
    <t>セルフサービスプロフィール編集</t>
  </si>
  <si>
    <t>Must｜Cognito=アプリ側実装 / Keycloak=アカウント設定画面。PoC未検証</t>
  </si>
  <si>
    <t>requirements/functional-requirements.md §6.3</t>
  </si>
  <si>
    <t>FR-USER-012</t>
  </si>
  <si>
    <t>ユーザー作成時の招待メール</t>
  </si>
  <si>
    <t>Should｜Cognito=AdminCreateUser invitation / Keycloak=Email Verification。PoCはデフォルト</t>
  </si>
  <si>
    <t>FR-USER プロビジョニング</t>
  </si>
  <si>
    <t>FR-USER-003</t>
  </si>
  <si>
    <t>SCIM 2.0 プロビジョニング</t>
  </si>
  <si>
    <t>TBD｜Cognito=非ネイティブ（自前実装要）/ Keycloak=プラグイン対応。ヒアリング優先度3。基本設計側はSCIM自作Facade(D3-11)で対応方針</t>
  </si>
  <si>
    <t>requirements/functional-requirements.md §6.4</t>
  </si>
  <si>
    <t>FR-USER-009</t>
  </si>
  <si>
    <t>バルクインポート（CSV / JSON）</t>
  </si>
  <si>
    <t>Should｜Cognito=ImportUsers / Keycloak=Realm Import。PoC未検証</t>
  </si>
  <si>
    <t>FR-USER-010</t>
  </si>
  <si>
    <t>ユーザーパスワード強制リセット</t>
  </si>
  <si>
    <t>Must｜Cognito=AdminSetUserPassword / Keycloak=Admin Console。PoC検証済</t>
  </si>
  <si>
    <t>FR-ADMIN 基盤設定管理</t>
  </si>
  <si>
    <t>FR-ADMIN-001</t>
  </si>
  <si>
    <t>管理コンソールUI</t>
  </si>
  <si>
    <t>Must｜Cognito=AWS Console / Keycloak=Admin Console。PoC Phase 6検証済</t>
  </si>
  <si>
    <t>requirements/functional-requirements.md §7.1</t>
  </si>
  <si>
    <t>FR-ADMIN-002</t>
  </si>
  <si>
    <t>テナント追加・削除</t>
  </si>
  <si>
    <t>Must｜Cognito=User Pool単位/Group / Keycloak=Realm単位/IdP単位。PoCは設計のみ</t>
  </si>
  <si>
    <t>FR-ADMIN-003</t>
  </si>
  <si>
    <t>IdP追加・削除・更新</t>
  </si>
  <si>
    <t>Must｜両者Console/Terraform対応。PoC Phase 2,5,7検証済</t>
  </si>
  <si>
    <t>FR-ADMIN-004</t>
  </si>
  <si>
    <t>クライアント（App）管理</t>
  </si>
  <si>
    <t>Must｜Cognito=App Client / Keycloak=Client。PoC検証済</t>
  </si>
  <si>
    <t>FR-ADMIN-005</t>
  </si>
  <si>
    <t>ロール定義管理</t>
  </si>
  <si>
    <t>Must｜Cognito=Custom Attr/Group / Keycloak=Realm Role/Client Role。PoC Phase 8検証済</t>
  </si>
  <si>
    <t>FR-ADMIN-009</t>
  </si>
  <si>
    <t>テナント別設定の分離</t>
  </si>
  <si>
    <t>Must｜Cognito=User Pool分離 / Keycloak=Realm分離。PoC Phase 4,5検証済</t>
  </si>
  <si>
    <t>FR-ADMIN 監査・可視性</t>
  </si>
  <si>
    <t>FR-ADMIN-007</t>
  </si>
  <si>
    <t>監査ログ閲覧</t>
  </si>
  <si>
    <t>Must｜Cognito=CloudTrail / Keycloak=Event Listener。PoCは設定要</t>
  </si>
  <si>
    <t>requirements/functional-requirements.md §7.2</t>
  </si>
  <si>
    <t>FR-ADMIN-008</t>
  </si>
  <si>
    <t>設定変更履歴</t>
  </si>
  <si>
    <t>Should｜Cognito=CloudTrail / Keycloak=Admin Events。PoC未検証</t>
  </si>
  <si>
    <t>FR-ADMIN 権限委譲・カスタマイズ</t>
  </si>
  <si>
    <t>FR-ADMIN-006</t>
  </si>
  <si>
    <t>パーミッション管理（細粒度）</t>
  </si>
  <si>
    <t>Could｜Cognito=アプリ側 / Keycloak=Authorization Services。未検証</t>
  </si>
  <si>
    <t>requirements/functional-requirements.md §7.3</t>
  </si>
  <si>
    <t>FR-ADMIN-010</t>
  </si>
  <si>
    <t>管理者ロール（RBAC for Admin）</t>
  </si>
  <si>
    <t>Must｜Cognito=IAM / Keycloak=Realm Admin Roles。PoCはデフォルト</t>
  </si>
  <si>
    <t>FR-ADMIN-011</t>
  </si>
  <si>
    <t>テナント管理者の委譲（顧客の自社運用）</t>
  </si>
  <si>
    <t>Should｜Cognito=AWS IAM必要 / Keycloak=Realm-level Admin。未検証</t>
  </si>
  <si>
    <t>FR-ADMIN-012</t>
  </si>
  <si>
    <t>カスタマイズ可能なログインUI</t>
  </si>
  <si>
    <t>Should｜Cognito=CSS/ロゴのみ / Keycloak=Theme（フルカスタム）。基本設計はブランディングA方針</t>
  </si>
  <si>
    <t>FR-INT プロトコル準拠</t>
  </si>
  <si>
    <t>FR-INT-001</t>
  </si>
  <si>
    <t>OIDC 1.0 / OAuth 2.0 標準準拠</t>
  </si>
  <si>
    <t>requirements/functional-requirements.md §8.1</t>
  </si>
  <si>
    <t>FR-INT-002</t>
  </si>
  <si>
    <t>OIDC Discovery（.well-known）</t>
  </si>
  <si>
    <t>FR-INT-003</t>
  </si>
  <si>
    <t>JWKS公開エンドポイント</t>
  </si>
  <si>
    <t>Must｜Cognito=AWS公開 / Keycloak=ALB経由。PoC Phase 3検証済</t>
  </si>
  <si>
    <t>FR-INT-004</t>
  </si>
  <si>
    <t>SAML 2.0 メタデータ</t>
  </si>
  <si>
    <t>FR-INT-007</t>
  </si>
  <si>
    <t>API Gateway / Lambda Authorizer統合</t>
  </si>
  <si>
    <t>Must｜両者対応。PoC Phase 3検証済</t>
  </si>
  <si>
    <t>FR-INT ログ・監視</t>
  </si>
  <si>
    <t>FR-INT-008</t>
  </si>
  <si>
    <t>監査ログ外部出力（CloudWatch / S3 / Kinesis）</t>
  </si>
  <si>
    <t>Must｜Cognito=CloudTrail/CloudWatch / Keycloak=Event Listener自前実装。PoCはデフォルト</t>
  </si>
  <si>
    <t>requirements/functional-requirements.md §8.2</t>
  </si>
  <si>
    <t>FR-INT-009</t>
  </si>
  <si>
    <t>監査ログSIEM連携（Splunk / Datadog）</t>
  </si>
  <si>
    <t>Could｜Cognito=対応 / Keycloak=ログ転送設計要。未検証</t>
  </si>
  <si>
    <t>FR-INT API・IaC・Webhook</t>
  </si>
  <si>
    <t>FR-INT-005</t>
  </si>
  <si>
    <t>Webhookイベント通知（user.created等）</t>
  </si>
  <si>
    <t>Should｜Cognito=Pre Token/Post Conf Lambda / Keycloak=Event Listener。ヒアリング優先度6。基本設計はWebhook(HMAC+DLQ)方針</t>
  </si>
  <si>
    <t>requirements/functional-requirements.md §8.3</t>
  </si>
  <si>
    <t>FR-INT-006</t>
  </si>
  <si>
    <t>管理REST API</t>
  </si>
  <si>
    <t>Must｜Cognito=AWS SDK / Keycloak=Admin REST API</t>
  </si>
  <si>
    <t>FR-INT-010</t>
  </si>
  <si>
    <t>Terraform / IaC管理</t>
  </si>
  <si>
    <t>Must｜Cognito=対応 / Keycloak=Realm部分は別管理。PoC検証済（基本設計でkeycloak-config-cli不採用）</t>
  </si>
  <si>
    <t>NFR-AVL 可用性</t>
  </si>
  <si>
    <t>NFR-AVL-001</t>
  </si>
  <si>
    <t>サービス稼働率 SLA</t>
  </si>
  <si>
    <t>(TBD) 99.9%/99.95%/99.99%｜Cognito=AWS 99.9%保証 / Keycloak=自前HA設計。★最重要：99.9%ならCognito、99.99%なら自前設計</t>
  </si>
  <si>
    <t>requirements/non-functional-requirements.md §1</t>
  </si>
  <si>
    <t>NFR-AVL-002</t>
  </si>
  <si>
    <t>計画メンテナンス窓</t>
  </si>
  <si>
    <t>(TBD) 月N時間｜Cognito=AWS透過 / Keycloak=Realm設定変更時の制約あり</t>
  </si>
  <si>
    <t>NFR-AVL-003</t>
  </si>
  <si>
    <t>マルチAZ配置</t>
  </si>
  <si>
    <t>(D)必須｜Cognito=AWS自動 / Keycloak=ECS Multi-AZ+Aurora Multi-AZ設計要</t>
  </si>
  <si>
    <t>NFR-AVL-004</t>
  </si>
  <si>
    <t>自動復旧（コンテナ障害）</t>
  </si>
  <si>
    <t>(D)必須｜Cognito=AWS自動 / Keycloak=ECS Service Auto Heal。PoC検証済</t>
  </si>
  <si>
    <t>NFR-AVL-005</t>
  </si>
  <si>
    <t>単一障害点の排除</t>
  </si>
  <si>
    <t>(D)必須｜Cognito=対応 / Keycloak=RDS/ALB冗長化要</t>
  </si>
  <si>
    <t>NFR-AVL-006</t>
  </si>
  <si>
    <t>デプロイ時のダウンタイム</t>
  </si>
  <si>
    <t>(D)ゼロダウン（Blue/Green）｜Cognito=透過 / Keycloak=Rolling Update設計</t>
  </si>
  <si>
    <t>NFR-PERF 応答時間/レイテンシ</t>
  </si>
  <si>
    <t>NFR-PERF-001</t>
  </si>
  <si>
    <t>認証応答時間（P50/P95/P99）</t>
  </si>
  <si>
    <t>(D)P95&lt;1s, P99&lt;2s｜Cognito=AWS内 / Keycloak=ECSスペック次第（PoC:数百ms観測）</t>
  </si>
  <si>
    <t>requirements/non-functional-requirements.md §2.1</t>
  </si>
  <si>
    <t>NFR-PERF-003</t>
  </si>
  <si>
    <t>Lambda Authorizer応答時間</t>
  </si>
  <si>
    <t>(D)キャッシュHIT&lt;10ms / MISS&lt;100ms｜PoC Phase 3計測 15-60ms。両者同Lambdaで同性能</t>
  </si>
  <si>
    <t>NFR-PERF-004</t>
  </si>
  <si>
    <t>JWT検証スループット</t>
  </si>
  <si>
    <t>(D)&gt;1,000 req/s｜両者Lambda並列で達成</t>
  </si>
  <si>
    <t>NFR-PERF-005</t>
  </si>
  <si>
    <t>JWKSキャッシュTTL</t>
  </si>
  <si>
    <t>(D)1時間（Lambda内）｜両者対応</t>
  </si>
  <si>
    <t>NFR-PERF-008</t>
  </si>
  <si>
    <t>DB応答時間（Keycloakのみ）</t>
  </si>
  <si>
    <t>(D)P95&lt;50ms｜Keycloak=RDSチューニング要。Cognitoは対象外</t>
  </si>
  <si>
    <t>NFR-PERF スループット/スケール耐性</t>
  </si>
  <si>
    <t>NFR-PERF-002</t>
  </si>
  <si>
    <t>同時認証リクエスト処理能力</t>
  </si>
  <si>
    <t>(TBD) N req/s｜Cognito=一部APIにAccount-level rate limit（InitiateAuth等、Service Quotas要事前確認）/ Keycloak=ECS Auto Scaling設計。★MAUから逆算</t>
  </si>
  <si>
    <t>requirements/non-functional-requirements.md §2.2</t>
  </si>
  <si>
    <t>NFR-PERF-006</t>
  </si>
  <si>
    <t>API Gatewayスロットリング</t>
  </si>
  <si>
    <t>(TBD) 顧客別/全体｜Cognito API Rate Limit別途</t>
  </si>
  <si>
    <t>NFR-PERF-007</t>
  </si>
  <si>
    <t>認証ピーク時間帯への耐性</t>
  </si>
  <si>
    <t>(D)始業時N倍想定｜Cognito=AWS自動スケール / Keycloak=ECS事前スケールアウト設計</t>
  </si>
  <si>
    <t>NFR-SCL 拡張性</t>
  </si>
  <si>
    <t>NFR-SCL-001</t>
  </si>
  <si>
    <t>MAUスケール上限</t>
  </si>
  <si>
    <t>(TBD) 1年後/3年後｜★最重要：コスト損益分岐175,000 MAU(ADR-006)の判断材料。Cognito=数千万MAU実績 / Keycloak=HA設計次第</t>
  </si>
  <si>
    <t>requirements/non-functional-requirements.md §3</t>
  </si>
  <si>
    <t>NFR-SCL-002</t>
  </si>
  <si>
    <t>ピーク時同時セッション数</t>
  </si>
  <si>
    <t>(TBD)｜Cognito=AWS透過 / Keycloak=Sticky Session不要だがECS Task数に依存</t>
  </si>
  <si>
    <t>NFR-SCL-003</t>
  </si>
  <si>
    <t>顧客テナント数（IdP数）スケール</t>
  </si>
  <si>
    <t>(TBD) N顧客/年｜両者複数IdP対応。基本設計側は1000+ IdPを条件付き成立（必須対策7点）と評価</t>
  </si>
  <si>
    <t>NFR-SCL-004</t>
  </si>
  <si>
    <t>IdP追加リードタイム</t>
  </si>
  <si>
    <t>(D)&lt;1営業日｜両者Console/IaC対応。基本設計にIdPオンボーディング6ステップあり</t>
  </si>
  <si>
    <t>NFR-SCL-005</t>
  </si>
  <si>
    <t>自動スケーリング</t>
  </si>
  <si>
    <t>(D)必須（負荷に応じて）｜Cognito=AWS透過 / Keycloak=ECS Auto Scaling設計要</t>
  </si>
  <si>
    <t>NFR-SCL-006</t>
  </si>
  <si>
    <t>マルチリージョン対応</t>
  </si>
  <si>
    <t>(TBD) 必要/不要｜Cognito=User Pool別リージョン / Keycloak=Aurora Global DB設計要</t>
  </si>
  <si>
    <t>NFR-SCL-007</t>
  </si>
  <si>
    <t>データベーススケール（Keycloak）</t>
  </si>
  <si>
    <t>Keycloak=Aurora Auto Scaling。Cognitoは対象外</t>
  </si>
  <si>
    <t>NFR-SEC 暗号化・鍵管理</t>
  </si>
  <si>
    <t>NFR-SEC-001</t>
  </si>
  <si>
    <t>通信暗号化</t>
  </si>
  <si>
    <t>(D)TLS 1.2+｜Cognito=AWS強制 / Keycloak=ACM+ALB設定要（PoCはHTTP）</t>
  </si>
  <si>
    <t>requirements/non-functional-requirements.md §4.1</t>
  </si>
  <si>
    <t>NFR-SEC-002</t>
  </si>
  <si>
    <t>データ暗号化（at-rest）</t>
  </si>
  <si>
    <t>(D)AES-256（KMS）｜Cognito=自動 / Keycloak=RDS storage_encrypted=true。基本設計はKMS 3階層6Acct写像</t>
  </si>
  <si>
    <t>NFR-SEC-003</t>
  </si>
  <si>
    <t>トークン署名アルゴリズム</t>
  </si>
  <si>
    <t>(D)RS256｜両者対応（KeycloakはES256も可）。基本設計でJWT署名=Realm Key 90日に確定</t>
  </si>
  <si>
    <t>NFR-SEC-009</t>
  </si>
  <si>
    <t>パスワード保管アルゴリズム</t>
  </si>
  <si>
    <t>(D)PBKDF2/bcrypt/Argon2｜Cognito=AWS内部 / Keycloak=PBKDF2-SHA512（デフォルト）</t>
  </si>
  <si>
    <t>NFR-SEC-015</t>
  </si>
  <si>
    <t>シークレット管理</t>
  </si>
  <si>
    <t>(D)AWS Secrets Manager｜両者対応</t>
  </si>
  <si>
    <t>NFR-SEC トークン・セッション</t>
  </si>
  <si>
    <t>NFR-SEC-004</t>
  </si>
  <si>
    <t>Access Token TTL</t>
  </si>
  <si>
    <t>(D)15〜60分｜両者設定可。基本設計でAT 30分に最終決定（U5）</t>
  </si>
  <si>
    <t>requirements/non-functional-requirements.md §4.2</t>
  </si>
  <si>
    <t>NFR-SEC-005</t>
  </si>
  <si>
    <t>Refresh Token TTL</t>
  </si>
  <si>
    <t>(D)30日｜両者設定可。基本設計U5でTTL最終決定済</t>
  </si>
  <si>
    <t>NFR-SEC-006</t>
  </si>
  <si>
    <t>ID Token TTL</t>
  </si>
  <si>
    <t>(D)15分｜両者設定可。基本設計U5でTTL最終決定済</t>
  </si>
  <si>
    <t>NFR-SEC-007</t>
  </si>
  <si>
    <t>Refresh Token Rotation</t>
  </si>
  <si>
    <t>(D)有効化｜Cognito=デフォルトOFF（要設定）/ Keycloak=デフォルトON</t>
  </si>
  <si>
    <t>NFR-SEC-008</t>
  </si>
  <si>
    <t>トークン失効（Revocation）</t>
  </si>
  <si>
    <t>(D)対応必須｜Cognito=Refresh Tokenのみ / Keycloak=Token Revocation。基本設計でRevocation/ITDR L4連携方針</t>
  </si>
  <si>
    <t>NFR-SEC-020</t>
  </si>
  <si>
    <t>セッション固定攻撃対策</t>
  </si>
  <si>
    <t>(D)必須｜両者対応</t>
  </si>
  <si>
    <t>NFR-SEC 攻撃対策</t>
  </si>
  <si>
    <t>NFR-SEC-010</t>
  </si>
  <si>
    <t>ブルートフォース対策</t>
  </si>
  <si>
    <t>(D)連続失敗で一時ロック｜Cognito=全ティア標準BF保護（調整不可）、詳細設定はPlusティア(+$0.02/MAU) / Keycloak=Realm Settings</t>
  </si>
  <si>
    <t>requirements/non-functional-requirements.md §4.3</t>
  </si>
  <si>
    <t>NFR-SEC-010-2</t>
  </si>
  <si>
    <t>侵害クレデンシャル検出（HIBP相当）</t>
  </si>
  <si>
    <t>(TBD)｜Cognito=Plusティア(+$0.02/MAU)必要 / Keycloak=プラグイン・カスタム要件。Cognitoティア選定に影響</t>
  </si>
  <si>
    <t>NFR-SEC-012</t>
  </si>
  <si>
    <t>DDoS対策</t>
  </si>
  <si>
    <t>(D)Shield Standard｜両者AWS標準で対応</t>
  </si>
  <si>
    <t>NFR-SEC-013</t>
  </si>
  <si>
    <t>ペネトレーションテスト</t>
  </si>
  <si>
    <t>(TBD) 年N回｜製品非依存。実施体制・頻度を要ヒアリング</t>
  </si>
  <si>
    <t>NFR-SEC-014</t>
  </si>
  <si>
    <t>脆弱性スキャン</t>
  </si>
  <si>
    <t>(D)ECR Image Scan + Inspector｜Keycloak=ECR Scan対応</t>
  </si>
  <si>
    <t>NFR-SEC ネットワーク・境界制御</t>
  </si>
  <si>
    <t>NFR-SEC-011</t>
  </si>
  <si>
    <t>WAF適用</t>
  </si>
  <si>
    <t>(D)AWS WAF（CloudFront）｜Cognito=対応 / Keycloak=ADR-013で計画</t>
  </si>
  <si>
    <t>requirements/non-functional-requirements.md §4.4</t>
  </si>
  <si>
    <t>NFR-SEC-016</t>
  </si>
  <si>
    <t>ネットワーク分離（Private Subnet）</t>
  </si>
  <si>
    <t>(D)必須｜Cognito=AWS透過 / Keycloak=Option B移行済</t>
  </si>
  <si>
    <t>NFR-SEC-017</t>
  </si>
  <si>
    <t>管理画面アクセス制御</t>
  </si>
  <si>
    <t>(D)IP制限+VPN/Bastion｜Cognito=IAM / Keycloak=ADR-011で計画(N2)。基本設計は/admin 3層+hostname-admin</t>
  </si>
  <si>
    <t>NFR-SEC-018</t>
  </si>
  <si>
    <t>JWKSエンドポイント保護</t>
  </si>
  <si>
    <t>(D)公開+WAFレート制限｜Cognito=公開 / Keycloak=ADR-012で対応</t>
  </si>
  <si>
    <t>NFR-SEC-019</t>
  </si>
  <si>
    <t>内部通信の認証（Lambda→Keycloak）</t>
  </si>
  <si>
    <t>(D)VPC内完結｜Cognito=VPCE / Keycloak=Internal ALB（ADR-012）</t>
  </si>
  <si>
    <t>NFR-DR 災害復旧</t>
  </si>
  <si>
    <t>NFR-DR-001</t>
  </si>
  <si>
    <t>RTO（目標復旧時間）</t>
  </si>
  <si>
    <t>(TBD) N分/N時間｜★最重要：DRコスト差($0.50/月 vs $890/月)の判断材料。基本設計はRTO 1h条件付き成立（5条件）</t>
  </si>
  <si>
    <t>requirements/non-functional-requirements.md §5</t>
  </si>
  <si>
    <t>NFR-DR-002</t>
  </si>
  <si>
    <t>RPO（目標復旧地点）</t>
  </si>
  <si>
    <t>(TBD) N分/0｜★最重要。Cognito=ユーザーデータ複製可 / Keycloak=Aurora Global DB（〜1秒）</t>
  </si>
  <si>
    <t>NFR-DR-003</t>
  </si>
  <si>
    <t>フェイルオーバー方式</t>
  </si>
  <si>
    <t>(TBD) 自動/手動｜Cognito=Route 53 Health Check / Keycloak=設計要。基本設計はパイロットライト（KC Scale 0）</t>
  </si>
  <si>
    <t>NFR-DR-004</t>
  </si>
  <si>
    <t>バックアップ保存期間</t>
  </si>
  <si>
    <t>(D)30日｜Cognito=AWS自動 / Keycloak=RDS Automated Backup</t>
  </si>
  <si>
    <t>NFR-DR-005</t>
  </si>
  <si>
    <t>PITR（Point-in-Time Recovery）</t>
  </si>
  <si>
    <t>(D)5分粒度/35日｜両者対応（Keycloak=Aurora PITR）</t>
  </si>
  <si>
    <t>NFR-DR-006</t>
  </si>
  <si>
    <t>クロスリージョンバックアップ</t>
  </si>
  <si>
    <t>(D)必須｜Cognito=User Pool別リージョン / Keycloak=Aurora Cross-Region Replica。基本設計でRealm Export全廃→復元2経路に変更</t>
  </si>
  <si>
    <t>NFR-DR-007</t>
  </si>
  <si>
    <t>DR訓練</t>
  </si>
  <si>
    <t>(TBD) 年N回｜製品非依存。基本設計にRB-DR-00〜05のRunbookあり</t>
  </si>
  <si>
    <t>NFR-DR-008</t>
  </si>
  <si>
    <t>DR切替時のセッション維持</t>
  </si>
  <si>
    <t>(D)可能ならベスト｜Cognito=PoC Phase 5でAuth0 SSO維持確認 / Keycloak=別検証</t>
  </si>
  <si>
    <t>NFR-OPS 監視・ロギング</t>
  </si>
  <si>
    <t>NFR-OPS-001</t>
  </si>
  <si>
    <t>監視・メトリクス</t>
  </si>
  <si>
    <t>(D)CloudWatch Metrics+Dashboard｜両者対応。基本設計はOTel+IdP数関数監視・SLO/Burn Rate</t>
  </si>
  <si>
    <t>requirements/non-functional-requirements.md §6.1</t>
  </si>
  <si>
    <t>NFR-OPS-002</t>
  </si>
  <si>
    <t>アラート通知</t>
  </si>
  <si>
    <t>(D)CloudWatch Alarm+SNS｜両者対応</t>
  </si>
  <si>
    <t>NFR-OPS-003</t>
  </si>
  <si>
    <t>ログ保存期間</t>
  </si>
  <si>
    <t>(TBD) Nヶ月/N年｜★重要：NFR-COMP-007と連動。基本設計はログ3層+SIEM</t>
  </si>
  <si>
    <t>NFR-OPS-004</t>
  </si>
  <si>
    <t>ログ検索性</t>
  </si>
  <si>
    <t>(D)CloudWatch Insights / S3+Athena｜Cognito=対応 / Keycloak=Event Listener自前</t>
  </si>
  <si>
    <t>NFR-OPS デプロイ・パッチ</t>
  </si>
  <si>
    <t>NFR-OPS-005</t>
  </si>
  <si>
    <t>バージョンアップ方針</t>
  </si>
  <si>
    <t>(TBD) Nヶ月毎/LTSのみ｜★重要：Keycloak運用負荷に直結。Cognito=AWS透過 / Keycloak=手動（Docker image更新）</t>
  </si>
  <si>
    <t>requirements/non-functional-requirements.md §6.2</t>
  </si>
  <si>
    <t>NFR-OPS-006</t>
  </si>
  <si>
    <t>パッチ適用（CVE対応）</t>
  </si>
  <si>
    <t>(D)緊急N日以内、定例N週間以内｜Cognito=AWS自動 / Keycloak=手動（CVE監視+Image更新）</t>
  </si>
  <si>
    <t>NFR-OPS-007</t>
  </si>
  <si>
    <t>設定変更プロセス</t>
  </si>
  <si>
    <t>(D)IaC（Terraform）+レビュー｜Keycloak=Realmは別管理。基本設計でIaC 2層・keycloak-config-cli不採用が決定</t>
  </si>
  <si>
    <t>NFR-OPS-010</t>
  </si>
  <si>
    <t>デプロイ自動化（CI/CD）</t>
  </si>
  <si>
    <t>(D)必須｜基本設計でGitHub Actions/GitOps/ECR構成が決定</t>
  </si>
  <si>
    <t>NFR-OPS 体制・運用SLA</t>
  </si>
  <si>
    <t>NFR-OPS-008</t>
  </si>
  <si>
    <t>インシデント対応体制</t>
  </si>
  <si>
    <t>(TBD) 24/7 or 営業時間のみ｜★RHBK採用判断(ADR-015)の決め手。Cognito=AWS Premium Support / Keycloak=自前 or RHBK Premium</t>
  </si>
  <si>
    <t>requirements/non-functional-requirements.md §6.3</t>
  </si>
  <si>
    <t>NFR-OPS-009</t>
  </si>
  <si>
    <t>運用工数（人月）</t>
  </si>
  <si>
    <t>(D)Cognito:1人月 / Keycloak:21時間/月（ADR-006）</t>
  </si>
  <si>
    <t>NFR-OPS-011</t>
  </si>
  <si>
    <t>テナント追加の運用SLA</t>
  </si>
  <si>
    <t>(TBD) N営業日以内｜両者対応可。SLA値の確定が必要</t>
  </si>
  <si>
    <t>NFR-COMP 規制・法令対応</t>
  </si>
  <si>
    <t>NFR-COMP-001</t>
  </si>
  <si>
    <t>個人情報保護法対応</t>
  </si>
  <si>
    <t>requirements/non-functional-requirements.md §7.1</t>
  </si>
  <si>
    <t>NFR-COMP-002</t>
  </si>
  <si>
    <t>GDPR / CCPA（海外展開時）</t>
  </si>
  <si>
    <t>(TBD)｜両者対応。基本設計はDSAR Phase 1手動対応</t>
  </si>
  <si>
    <t>NFR-COMP-008</t>
  </si>
  <si>
    <t>データ所在地（リージョン制限）</t>
  </si>
  <si>
    <t>(TBD) 国内/特定リージョン｜★最重要：リージョン設計の決め手。両者リージョン選択可</t>
  </si>
  <si>
    <t>NFR-COMP 業界認定・監査</t>
  </si>
  <si>
    <t>NFR-COMP-003</t>
  </si>
  <si>
    <t>SOC 2 Type II</t>
  </si>
  <si>
    <t>(TBD)｜Cognito=AWS認定 / Keycloak=自前運用責任</t>
  </si>
  <si>
    <t>requirements/non-functional-requirements.md §7.2</t>
  </si>
  <si>
    <t>NFR-COMP-004</t>
  </si>
  <si>
    <t>ISO 27001</t>
  </si>
  <si>
    <t>NFR-COMP-005</t>
  </si>
  <si>
    <t>PCI DSS（金融）</t>
  </si>
  <si>
    <t>(TBD)｜Cognito=AWS認定 / Keycloak=自前。基本設計でPCIギャップ3点を特定済</t>
  </si>
  <si>
    <t>NFR-COMP-006</t>
  </si>
  <si>
    <t>FIPS 140-2 認定</t>
  </si>
  <si>
    <t>(TBD)｜★最重要：RHBK必須要因。Cognito=FIPS Endpoint利用 / Keycloak=RHBK必須。NFR-COST-006とセット</t>
  </si>
  <si>
    <t>NFR-COMP-007</t>
  </si>
  <si>
    <t>監査ログ保存期間（法令要件）</t>
  </si>
  <si>
    <t>(TBD) 業種次第（〜10年）｜両者S3ライフサイクルで対応。NFR-OPS-003と連動</t>
  </si>
  <si>
    <t>NFR-COMP-010</t>
  </si>
  <si>
    <t>アクセス監査の追跡可能性</t>
  </si>
  <si>
    <t>(D)全認証イベント記録｜Cognito=CloudTrail / Keycloak=Event Listener</t>
  </si>
  <si>
    <t>NFR-COMP データガバナンス</t>
  </si>
  <si>
    <t>NFR-COMP-009</t>
  </si>
  <si>
    <t>個人データ削除権（GDPR Right to Erasure）</t>
  </si>
  <si>
    <t>requirements/non-functional-requirements.md §7.3</t>
  </si>
  <si>
    <t>NFR-COMP-011</t>
  </si>
  <si>
    <t>暗号鍵のローテーション</t>
  </si>
  <si>
    <t>(D)年1回以上｜Cognito=KMS自動 / Keycloak=Realm Key Rotation設定。基本設計でRealm Key 90日に確定</t>
  </si>
  <si>
    <t>NFR-COST コスト</t>
  </si>
  <si>
    <t>NFR-COST-001</t>
  </si>
  <si>
    <t>初期構築費</t>
  </si>
  <si>
    <t>Cognito $5,000 / Keycloak OSS $30,000 / RHBK $30,000+ライセンス</t>
  </si>
  <si>
    <t>requirements/non-functional-requirements.md §8</t>
  </si>
  <si>
    <t>NFR-COST-002</t>
  </si>
  <si>
    <t>月額固定インフラ費</t>
  </si>
  <si>
    <t>Cognito $0 / Keycloak ~$987（Option B+ADR-012）/ RHBK ~$987</t>
  </si>
  <si>
    <t>NFR-COST-003</t>
  </si>
  <si>
    <t>MAUあたりコスト（連携）</t>
  </si>
  <si>
    <t>Cognito $0.015/MAU / Keycloak $0 / RHBK $0</t>
  </si>
  <si>
    <t>NFR-COST-003-PLUS</t>
  </si>
  <si>
    <t>Cognito Plusティア追加課金</t>
  </si>
  <si>
    <t>+$0.02/MAU（無料枠なし、2024-12〜）。FR-AUTH-011 / FR-MFA-002 / FR-MFA-006のいずれかMustの場合に発生</t>
  </si>
  <si>
    <t>NFR-COST-004</t>
  </si>
  <si>
    <t>DR追加月額</t>
  </si>
  <si>
    <t>Cognito $0.50+MAU / Keycloak $890 / RHBK $890+サブスク</t>
  </si>
  <si>
    <t>NFR-COST-005</t>
  </si>
  <si>
    <t>運用人件費</t>
  </si>
  <si>
    <t>(D) Cognito ~$0 / Keycloak ~$1,680/月 / RHBK ~$840/月（半減想定）</t>
  </si>
  <si>
    <t>NFR-COST-006</t>
  </si>
  <si>
    <t>RHBKサブスクリプション</t>
  </si>
  <si>
    <t>(TBD) $5,000〜30,000/年/ノード｜★重要：NFR-COMP-006（FIPS要否）とセットで判断。要ベンダー見積（rhbk-vendor-inquiry.md Q1〜Q10）</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</si>
  <si>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</si>
  <si>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</si>
  <si>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</si>
  <si>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</si>
  <si>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</si>
  <si>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</si>
  <si>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</si>
  <si>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</si>
  <si>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Cognito $54K / Keycloak $124K / RHBK $200K+</t>
  </si>
  <si>
    <t>NFR-COST-009</t>
  </si>
  <si>
    <t>3年TCO（50万MAU想定）</t>
  </si>
  <si>
    <t>Cognito $270K / Keycloak $124K / RHBK $200K+</t>
  </si>
  <si>
    <t>NFR-MIG 移行性</t>
  </si>
  <si>
    <t>NFR-MIG-001</t>
  </si>
  <si>
    <t>既存認証システムからのユーザー移行</t>
  </si>
  <si>
    <t>(TBD)｜Cognito=ImportUsers+Lambda Trigger / Keycloak=Realm Import/SPI。基本設計は移行4集団を定義</t>
  </si>
  <si>
    <t>requirements/non-functional-requirements.md §9</t>
  </si>
  <si>
    <t>NFR-MIG-002</t>
  </si>
  <si>
    <t>パスワード移行（ハッシュ持ち越し）</t>
  </si>
  <si>
    <t>(TBD)｜Cognito=ハッシュ形式制約 / Keycloak=Custom Hash Provider。基本設計でPWハッシュ判定を検討中</t>
  </si>
  <si>
    <t>NFR-MIG-003</t>
  </si>
  <si>
    <t>ベンダーロックイン回避</t>
  </si>
  <si>
    <t>(D)OIDC標準準拠｜Cognito=AWS依存 / Keycloak=OSS・移行可能</t>
  </si>
  <si>
    <t>NFR-MIG-004</t>
  </si>
  <si>
    <t>データエクスポート</t>
  </si>
  <si>
    <t>(D)必要時に可能｜Cognito=ListUsers+S3 Export / Keycloak=Realm Export（※基本設計でRealm Export全廃の決定あり・要整合確認）</t>
  </si>
  <si>
    <t>NFR-MIG-005</t>
  </si>
  <si>
    <t>段階的移行（並行稼働）</t>
  </si>
  <si>
    <t>(D)可能｜両者対応。基本設計はServiceNow並走4Phase</t>
  </si>
  <si>
    <t>プラットフォーム</t>
  </si>
  <si>
    <t>P-01</t>
  </si>
  <si>
    <t>Keycloak / ROSA HCP + RHBK Operator（RHBKサブスクはROSA内包・追加費用なし）</t>
  </si>
  <si>
    <t>2026-07-23ユーザー指示+ADR-056改訂。変更時の影響=全単元</t>
  </si>
  <si>
    <t>basic-design/01-architecture-baseline.md §1.1</t>
  </si>
  <si>
    <t>MAU規模</t>
  </si>
  <si>
    <t>P-02</t>
  </si>
  <si>
    <t>10M MAU上限で設計</t>
  </si>
  <si>
    <t>2026-07-23ユーザー凍結。ADR-032/033整合。影響=U2/U6/U8（サイジング・コスト）。残: NFR-3 §3.0.Aのレンジ記述(1万〜100万)を10M上限に改訂</t>
  </si>
  <si>
    <t>FIPS 140-2</t>
  </si>
  <si>
    <t>P-03</t>
  </si>
  <si>
    <t>不要</t>
  </si>
  <si>
    <t>2026-07-30確定。hearing C-201回答=必須ではない。影響=U7（見直し不要）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</si>
  <si>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</si>
  <si>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</si>
  <si>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</si>
  <si>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</si>
  <si>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</si>
  <si>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</si>
  <si>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</si>
  <si>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</si>
  <si>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2026-07-30転換。2シナリオ=①リージョン災害:大阪再構築+リストア ②論理破壊(IdPデータ破壊・ランサム):PITR・イミュータブルスナップショット(Backup Vault Lock)からリストア。従前のパイロットライトRTO 1h・大阪ウォーム待機は廃止。残: U8/U6/ADR-051 要改訂（D-18）</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</si>
  <si>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</si>
  <si>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</si>
  <si>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</si>
  <si>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</si>
  <si>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</si>
  <si>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</si>
  <si>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</si>
  <si>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</si>
  <si>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</si>
  <si>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P-08</t>
  </si>
  <si>
    <t>3階層（sub UUID / &lt;tenant&gt;-&lt;userid&gt; / IdP sub）、email補助</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</si>
  <si>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</si>
  <si>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</si>
  <si>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</si>
  <si>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</si>
  <si>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</si>
  <si>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</si>
  <si>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</si>
  <si>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</si>
  <si>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</si>
  <si>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</si>
  <si>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</si>
  <si>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</si>
  <si>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</si>
  <si>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</si>
  <si>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</si>
  <si>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</si>
  <si>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</si>
  <si>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</si>
  <si>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</si>
  <si>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</si>
  <si>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</si>
  <si>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</si>
  <si>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</si>
  <si>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</si>
  <si>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</si>
  <si>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</si>
  <si>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</si>
  <si>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</si>
  <si>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</si>
  <si>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</si>
  <si>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</si>
  <si>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</si>
  <si>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G-IdP-Scaleは実測困難のため仮定値（1000/2000 IdP・フェデ:IdP-KC=50:50〔B-BROK-1暫定〕）で設計継続、PoCは後追い検証に格下げ（2026-07-30）。影響=U2/U6/U9</t>
  </si>
  <si>
    <t>アカウント/クラスタ</t>
  </si>
  <si>
    <t>P-17</t>
  </si>
  <si>
    <t>IdP-KCはBrokerと別AWSアカウント、ROSA HCP×2クラスタ</t>
  </si>
  <si>
    <t>2026-07-23ユーザー凍結。同AcctアプリからのユーザCRUD想定だが変更可能性あり。2026-08-06 E判断で「業務アプリは同居させずApp Acct推奨」へ緩める提案（ADR-063）。影響=U3/U6/U7</t>
  </si>
  <si>
    <t>basic-design/01-architecture-baseline.md §1.1/§1.2</t>
  </si>
  <si>
    <t>インターネット境界</t>
  </si>
  <si>
    <t>P-18</t>
  </si>
  <si>
    <t>他組織管理の監査Acct（In: CF+WAF+ALB or NLB+NWFW / Out: NWFWドメインフィルタ）</t>
  </si>
  <si>
    <t>ADR-039 v3。当該設定は要求仕様として起こす。影響=U6/U7/U9</t>
  </si>
  <si>
    <t>U2 Keycloak論理</t>
  </si>
  <si>
    <t>G-IdP-Scale</t>
  </si>
  <si>
    <t>1000/2000 IdP実測PoC P-1〜P-7</t>
  </si>
  <si>
    <t>2026-07-30: 実測困難のため仮定値で設計継続 → ブロッカーでなく「後追い検証」に格下げ。P-16に反映</t>
  </si>
  <si>
    <t>basic-design/01-architecture-baseline.md §1.5</t>
  </si>
  <si>
    <t>G-SPI-Compat</t>
  </si>
  <si>
    <t>RHBK 26.4 × upstream 26.x Custom SPI互換（HRD / Re-Activation）</t>
  </si>
  <si>
    <t>2026-07-30: 「検証する」と判断（実施確定）。A-2継続。未実施</t>
  </si>
  <si>
    <t>basic-design/01-architecture-baseline.md §1.5/§1.4a</t>
  </si>
  <si>
    <t>G-UProfile-Email</t>
  </si>
  <si>
    <t>User Profileでemailを任意化した際のKeycloak既知不具合を回避し、email非保有ユーザーが登録/ログイン/更新を完走できるか実機検証</t>
  </si>
  <si>
    <t>2026-08-03追加（FC-5）。既知不具合=依存属性firstName/lastNameの検証失敗[kc#21265]、UPDATE_EMAIL/Verify Profileのoptional無視[kc#33497]。email非保有顧客（工場系）収容の前提条件（U2 §2.6設計制約4 / §2.8.1）</t>
  </si>
  <si>
    <t>U3 ID・プロビジョニング</t>
  </si>
  <si>
    <t>G-SCIM</t>
  </si>
  <si>
    <t>SCIM FacadeのSCIM 2.0準拠検証（Entra/Okta SCIM Validator + D1/D2 E2E + Soft Delete写像 + deprovisioned_atセット確認）</t>
  </si>
  <si>
    <t>U3 §3.7.2で再定義。2026-07-24拡張（U3 §3.8）: ①スケール次元（500/1000テナントexternalId検索p99 / バルク5万件中の他テナント遅延 / Writer流量制御下Aurora負荷、G-IdP-Scaleと同一データセット併走）②非IdP E2E（D1 SCIM→EventBridge→統合射影→初回ログインsubバックフィル+読取p99）</t>
  </si>
  <si>
    <t>U6 インフラ・NW</t>
  </si>
  <si>
    <t>G-OSAKA</t>
  </si>
  <si>
    <t>大阪インスタンス在庫・vCPUクォータ実確認</t>
  </si>
  <si>
    <t>P-05/P-15の手動DR（大阪オンデマンド再構築）の成立条件。未実施</t>
  </si>
  <si>
    <t>U6/U9</t>
  </si>
  <si>
    <t>G-EGRESS</t>
  </si>
  <si>
    <t>Egress許可ドメインの追加運用方式</t>
  </si>
  <si>
    <t>2026-07-30合意方向: 初期は一括、追加分は都度依頼（先方は依頼次第 当日〜翌日対応）→ 方式①+§NFR-3リードタイム（次営業日以内）は成立。U6 §6.7.3 D-U6-13、U9 §9.7.1</t>
  </si>
  <si>
    <t>U7 セキュリティ</t>
  </si>
  <si>
    <t>G-DPA</t>
  </si>
  <si>
    <t>データ処理契約・越境（APPI 28条）</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</si>
  <si>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</si>
  <si>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</si>
  <si>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</si>
  <si>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</si>
  <si>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</si>
  <si>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</si>
  <si>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G-LDAP</t>
  </si>
  <si>
    <t>LDAP/AD直接連携の検証</t>
  </si>
  <si>
    <t>2026-07-30廃止（LDAP顧客なし）。B-SCIM-13も不要。D3-04 ldap経路 / ADR-025 §Hを対象外化。U2/U3のLDAP記述は「Phase 1対象外」注記</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</si>
  <si>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</si>
  <si>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</si>
  <si>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</si>
  <si>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</si>
  <si>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</si>
  <si>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</si>
  <si>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調査25人日。公式実測が存在せず本PoCが一次検証（keycloak-benchmark#382）。2026-07-30: IdP数決定困難→仮定値（1000/2000・フェデ:IdP-KC=50:50）で設計継続、後追い検証に格下げ・着手優先度↓。依存=E-2の試験計画を先行。包含=G-IdP-Scale P-1〜P-7, O-11, O-U9-2, O-U8-4</t>
  </si>
  <si>
    <t>basic-design/00a-remaining-tasks-and-effort.md §2 A</t>
  </si>
  <si>
    <t>A-2</t>
  </si>
  <si>
    <t>G-SPI-Compat（RHBK 26.4 × Custom SPI 4機能 + HRD Flow配置 + storeToken=false×id_token_hint + 属性ポリシー + Micrometer計装）</t>
  </si>
  <si>
    <t>調査10人日。★実質残ブロッカー①。依存=RHBK環境。包含=U2 §2.8.4 #1/2, §2.2.5 #1, §2.6制約3, CVE-2025-14559, O-U9-5</t>
  </si>
  <si>
    <t>basic-design/00a-remaining-tasks-and-effort.md §2 A/§3.1</t>
  </si>
  <si>
    <t>A-3</t>
  </si>
  <si>
    <t>G-SCIM（自作SCIM Facadeプロトタイプ実装 + Entra/Okta Validator + D1/D2 E2E + Soft Delete写像 + 500/1000テナントp99 + バルク5万件）</t>
  </si>
  <si>
    <t>調査20人日。包含=G-SCIM再定義版（U3 §3.7.2）, Facadeスケール手当て（D3-16）。D-4の入力</t>
  </si>
  <si>
    <t>A-4</t>
  </si>
  <si>
    <t>G-LDAP（B-SCIM-13）</t>
  </si>
  <si>
    <t>廃止（2026-07-30、LDAP顧客なし）。工数0人日。当初はW1最優先だったが対象外化</t>
  </si>
  <si>
    <t>A-5</t>
  </si>
  <si>
    <t>B-SCIM-12: SAML経由JITのSPI検証（NameID handling差）</t>
  </si>
  <si>
    <t>調査4人日。D-11 SAML IdPテンプレートの入力。包含=U3 §3.7.2, U2 §2.8.2</t>
  </si>
  <si>
    <t>A-6</t>
  </si>
  <si>
    <t>B-SCIM-14: 実IdP統合検証（Entra ID / Okta trialでClaims・iss・SPI発火・login_hint・amr差）</t>
  </si>
  <si>
    <t>調査8人日。Phase 1 β前必須。依存=A-5後推奨。包含=U3 §3.7.2, login_hint挙動差, mfa_indicator Mapper（U2 §2.4.2/2.4.4）</t>
  </si>
  <si>
    <t>A-7</t>
  </si>
  <si>
    <t>G-OSAKA: 大阪c7g/c7i在庫・vCPUクォータ・arm64 Machine Pool / RHBK Operator arm64対応</t>
  </si>
  <si>
    <t>調査3人日。包含=O-1, O-U8-2（U6 §6.8.1）</t>
  </si>
  <si>
    <t>A-8</t>
  </si>
  <si>
    <t>Argon2idスループット実測（KCデフォルト m=7MiB/t=5 でのreq/s実測 → サイジング補正）</t>
  </si>
  <si>
    <t>調査2人日。A-1環境相乗り可。包含=U6 §6.5.1, U7 §7.8.2</t>
  </si>
  <si>
    <t>A-9</t>
  </si>
  <si>
    <t>SAMLメタデータ自動更新の実機確認（metadata descriptor URL + Refresh periodが実機に存在・動作するか）</t>
  </si>
  <si>
    <t>調査2人日。外部突合で判明（Discussion #27828未解決＝文書と実装の乖離疑い）。1000+ IdPの証明書ローテ運用の前提。無ければ運用代替（D-12と連動）</t>
  </si>
  <si>
    <t>A-10</t>
  </si>
  <si>
    <t>SPI debounce負荷試験（100 RPS × 24h × 10万ユーザのAurora IOPS / Infinispan invalidate / Podリソース）</t>
  </si>
  <si>
    <t>調査5人日。A-1環境相乗り可。包含=B-SCIM-9（hearing L226）</t>
  </si>
  <si>
    <t>A-11</t>
  </si>
  <si>
    <t>小粒実機確認バンドル（multi-cluster v2版数 / ROSA SA issuer JWKS / Red Hat docs 403分のEUS・Operatorチャネル・監査ログ制約の本文確認）</t>
  </si>
  <si>
    <t>調査2人日。3点セットで1バッチ化。包含=O-U8-6, O-U7-8, E-11</t>
  </si>
  <si>
    <t>A-12</t>
  </si>
  <si>
    <t>ServiceNow SP連携の実機検証（SAML Client CL-SN-01実機 + L1 SCIM→L2 SAML JIT統合フロー + Matching Field突合 + Webhook配信）</t>
  </si>
  <si>
    <t>調査6人日。NameID=username / RSA-SHA256 / IdP-initiated無効。パターン選択B-SN-3未回答のため暫定②で検証。包含=U10 D-U10-01〜06</t>
  </si>
  <si>
    <t>basic-design/00a-remaining-tasks-and-effort.md §2 A/横串</t>
  </si>
  <si>
    <t>B. 他組織・エッジ連携確定</t>
  </si>
  <si>
    <t>B-1</t>
  </si>
  <si>
    <t>要求仕様書v1の発行〜回答反映（既存B部記述を要求仕様書として体裁化・発行、先方QA対応、回答の各単元反映）</t>
  </si>
  <si>
    <t>検討12人日。発行は即可。REQ-IN-01〜11/13・REQ-OUT-01〜06・REQ-DR-01〜05は全件未回答。包含=O-4（In-A/In-B）, O-7（NW Acct管理主体）, O-10（zero-egressのTGW接続可否）。★W0最優先</t>
  </si>
  <si>
    <t>basic-design/00a-remaining-tasks-and-effort.md §2 B</t>
  </si>
  <si>
    <t>B-2</t>
  </si>
  <si>
    <t>CloudFront→エッジLB到達方式 + NFWルート設計の技術詰め</t>
  </si>
  <si>
    <t>検討5人日。custom origin vs VPC origins × NFW ingressルート × In-B（TCPパススルーNLB）の相性整理、先方協議資料。B-1と同時発行。包含=REQ-IN-13, O-APP-1</t>
  </si>
  <si>
    <t>B-3</t>
  </si>
  <si>
    <t>CIDR台帳の凍結（社内NW・他組織・顧客CIDRの入手と衝突確認）</t>
  </si>
  <si>
    <t>検討2人日。install後変更不可のため構築前必須。依存=社内NWチーム。包含=A6a-5（06a §A.5）</t>
  </si>
  <si>
    <t>B-4</t>
  </si>
  <si>
    <t>3ゲート合意の交渉サポート資料（SLA選択肢・未合意時の要件改訂影響を先方向けに整理）</t>
  </si>
  <si>
    <t>検討4人日。依存=B-1。包含=G-EGRESS（O-2/O-U9-1）, G-EDGE-DR（O-U8-1）, G-PCI-WAF（REQ-IN-01明細+ATPフィールド添付）</t>
  </si>
  <si>
    <t>B-5</t>
  </si>
  <si>
    <t>Canary Bot除外合意（Canary送信元のWAF誤検知除外をREQ追補へ）</t>
  </si>
  <si>
    <t>検討1人日。依存=B-1。包含=A6a-3</t>
  </si>
  <si>
    <t>C. 設計是正・文書整合</t>
  </si>
  <si>
    <t>C-1</t>
  </si>
  <si>
    <t>U6サイジング是正（Podモデル+接続予算）</t>
  </si>
  <si>
    <t>検討4人日。「27 Pod」不整合是正、少数大型Podモデルへ寄せる設計判断、D-U6-08に接続予算規約追加。2026-07-30: フェデ:IdP-KC=50:50（B-BROK-1暫定）を入力に再計算（従前70/30→IdP-KC負荷が上がる方向）。公式算定式突合=15 req/s/vCPU・+150%ヘッドルーム・100 req/sあたりAurora 1,400 Write IOPS</t>
  </si>
  <si>
    <t>basic-design/00a-remaining-tasks-and-effort.md §2 C</t>
  </si>
  <si>
    <t>C-2</t>
  </si>
  <si>
    <t>Baseline整合3点（NFR-3 10M改訂 / §C-7改訂ステータスの01・00-index矛盾突合 / P-09「RT 30日」精密化）</t>
  </si>
  <si>
    <t>検討2人日。01 §1.4残タスクの消化</t>
  </si>
  <si>
    <t>C-3</t>
  </si>
  <si>
    <t>ADR反映残の一括処理（ADR-051の12項目 / 053 / 059 / 019 / 048 / 038 / 023 §L.8 + research波及文書修正）</t>
  </si>
  <si>
    <t>検討4人日。各設計書で確定済みの内容をADR側へ反映するのみ</t>
  </si>
  <si>
    <t>C-4</t>
  </si>
  <si>
    <t>小粒登録4点（legacy_spiのD3-04行追加 / REQ-IN-12のU6登録 / REQ-OUT-06起票 / Pod・Service CIDRずらし承認）</t>
  </si>
  <si>
    <t>検討1人日。単純追記。包含=A6a-2</t>
  </si>
  <si>
    <t>C-5</t>
  </si>
  <si>
    <t>宙に浮いた参照8件の解消（idp_priority→D-1 / AAL操作一覧→D-2 / canaryスコープ→D-10 / L4特権JIT API→D-15 / drawio→G-4 / 00計画書のSorry旧記述 / §C-7 / ADR-040・036トリガー追跡→F-4）</t>
  </si>
  <si>
    <t>検討2人日。行き先を確定しトラッカーに載せ直す</t>
  </si>
  <si>
    <t>C-6</t>
  </si>
  <si>
    <t>research波及文書修正（rosa-detailed-analysis §4/§7、rhbk-support-and-pricing §4.5）</t>
  </si>
  <si>
    <t>検討1人日。記述更新のみ</t>
  </si>
  <si>
    <t>C-7</t>
  </si>
  <si>
    <t>PCI DSSスコープのPhase 1除外化</t>
  </si>
  <si>
    <t>検討2人日。2026-07-30 B-PCI-1受け。U7 §7.7/§7.8のPCI対応記述を「Phase 1対象外（将来再開可）」へ降格（削除でなく無効化注記）。G-PCI-WAF/B-MFA-PCI-1の参照除去。注意: pci-dss-* / hearing-checklistは別スレッド編集中のため触らない</t>
  </si>
  <si>
    <t>C-8</t>
  </si>
  <si>
    <t>LDAP経路の対象外化（U2/U3のLDAP記述、ADR-025 §H、D3-04 ldap経路に「Phase 1対象外」注記）</t>
  </si>
  <si>
    <t>検討1人日。2026-07-30 B-LDAP-1受け。削除でなく降格。provisioned_by=ldapは将来用に予約</t>
  </si>
  <si>
    <t>D. 未確定設計の合同確定</t>
  </si>
  <si>
    <t>D-1</t>
  </si>
  <si>
    <t>idp_priority属性 + Orgセレクター表示順（U2×U4合同）</t>
  </si>
  <si>
    <t>検討2人日。包含=U2 §2.1.4, U4 #10</t>
  </si>
  <si>
    <t>basic-design/00a-remaining-tasks-and-effort.md §2 D</t>
  </si>
  <si>
    <t>D-2</t>
  </si>
  <si>
    <t>AAL2/AAL3要求操作一覧（RP契約の前倒し確定）</t>
  </si>
  <si>
    <t>検討3人日。B-APP-STEPUP-1は暫定でよい。包含=U5 §5.9.1 #2, U2 §2.8.4 #9</t>
  </si>
  <si>
    <t>D-3</t>
  </si>
  <si>
    <t>idmap補助DB物理配置</t>
  </si>
  <si>
    <t>検討2人日。包含=O-8, U3-OP-2</t>
  </si>
  <si>
    <t>D-4</t>
  </si>
  <si>
    <t>SCIM Facade実行形態（U3×U6×U9三者）</t>
  </si>
  <si>
    <t>検討3人日。依存=A-3実測が入力。包含=O-9, U3-OP-3, O-U9-4</t>
  </si>
  <si>
    <t>D-5</t>
  </si>
  <si>
    <t>idm-api内部ルート + サービス間認可</t>
  </si>
  <si>
    <t>D-6</t>
  </si>
  <si>
    <t>SES/メール送信設計（サンドボックス解除・SPF/DKIM・realm単位SMTP as-code）</t>
  </si>
  <si>
    <t>検討3人日。包含=A6a-1 + 外部突合（SMTP realm単位）</t>
  </si>
  <si>
    <t>D-7</t>
  </si>
  <si>
    <t>ITDR DynamoDB大阪方式 + Break-Glass大阪実体（U7×U8）</t>
  </si>
  <si>
    <t>検討3人日。包含=O-U7-7, O-U8-9</t>
  </si>
  <si>
    <t>D-8</t>
  </si>
  <si>
    <t>D3-17 portal値 + ext_拡張属性受入枠 + app 90日バッチオプトイン</t>
  </si>
  <si>
    <t>検討2人日。包含=U3 §3.8, U2 §2.6, U3-OP-1</t>
  </si>
  <si>
    <t>D-9</t>
  </si>
  <si>
    <t>idm-api周辺5点（エンタイトルメント×App Registryスキーマ統合 / 監査二重書き / 承認UI共用 / canaryスコープ / SLO境界）</t>
  </si>
  <si>
    <t>検討5人日。包含=U10-OP-3/4/6/7/8 + U9</t>
  </si>
  <si>
    <t>D-10</t>
  </si>
  <si>
    <t>LDAP経路の追加Flow設計</t>
  </si>
  <si>
    <t>廃止（2026-07-30、LDAPなし）。工数0人日</t>
  </si>
  <si>
    <t>D-11</t>
  </si>
  <si>
    <t>SAML IdPテンプレート（Mapper定義）</t>
  </si>
  <si>
    <t>検討2人日。依存=A-5。包含=U2 §2.8.2</t>
  </si>
  <si>
    <t>D-12</t>
  </si>
  <si>
    <t>IdP証明書ローテーション運用設計（SP側SAML鍵ローテ含む）</t>
  </si>
  <si>
    <t>検討3人日。依存=A-9（自動更新機能の実在結果を反映）。包含=U10-OP-1 + 外部突合（Realm鍵3-6ヶ月ローテ・passive保持）</t>
  </si>
  <si>
    <t>D-13</t>
  </si>
  <si>
    <t>ロックアウト×Brokerリスクスコア整合</t>
  </si>
  <si>
    <t>検討2人日。包含=U7 §7.2.1</t>
  </si>
  <si>
    <t>D-14</t>
  </si>
  <si>
    <t>ATPフォームフィールド添付 + HRD文言最終稿</t>
  </si>
  <si>
    <t>検討1人日。包含=U7 §7.8.1, U4 §4.1.3</t>
  </si>
  <si>
    <t>D-15</t>
  </si>
  <si>
    <t>L3昇格API配置</t>
  </si>
  <si>
    <t>検討2人日。依存=F-4（ADR-040完了後）。包含=U7 §7.6.1</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</si>
  <si>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</si>
  <si>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</si>
  <si>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</si>
  <si>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</si>
  <si>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</si>
  <si>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検討5人日。2026-07-30 A-5-2受け（P-07転換）。「管理者=ローカルPW+WebAuthn」をP-1運用者に限定し、P-2テナント管理者はMFA=フェデ側責任へ書換。別レイヤ注意: IdP-KCが収容するIdPなしテナントのエンドユーザはローカルPWだが通常Webログイン経由（踏み台ではない）。provisioned_by=local-adminはP-1運用者作成分に限定。改訂先=U2 §2.3.1, U3 D3-04, U4 D-U4-04, U7 D-U7-14</t>
  </si>
  <si>
    <t>D-18</t>
  </si>
  <si>
    <t>DRコールド化 + データ保全改訂（パイロットライト→手動コールドDR、RTO≈14日。2障害シナリオを区別）</t>
  </si>
  <si>
    <t>検討8人日。2026-07-30 G-EDGE-DR受け（P-05/P-15転換）。①リージョン災害→大阪でROSA再構築+データリストア ②論理破壊（IdPデータ破壊・誤削除・ランサム）→PITR/イミュータブルスナップショットからその場リストア。データ保全=Aurora自動バックアップ+PITR+定期スナップショット（大阪クロスリージョンコピー）+イミュータブルスナップショット（AWS Backup Vault Lock Compliance mode or 別Acctコピーで削除権限分離）。大阪再構築Runbook+リストアRunbook（RB-DR改訂）+U6大阪常時コスト削除。エッジ自動切替（REQ-DR-01/02）撤回。改訂先=U8全体, U6 §6.2, ADR-051, D-U8-06</t>
  </si>
  <si>
    <t>E. 新規検討領域</t>
  </si>
  <si>
    <t>E-1</t>
  </si>
  <si>
    <t>dev/stg環境設計（Acct構成・ROSAクラスタ数/共用方針・テストデータ・コスト）</t>
  </si>
  <si>
    <t>調査2+検討6=8人日。6 Acct体系はprod前提で現状どの単元にも無い。外部突合の薄領域判定①。現状はU9 §9.6.1の断片のみ</t>
  </si>
  <si>
    <t>basic-design/00a-remaining-tasks-and-effort.md §2 E</t>
  </si>
  <si>
    <t>E-2</t>
  </si>
  <si>
    <t>負荷試験一元計画書（keycloak-benchmark/Gatling・dataset投入・合格基準・「Pod増で1Pod性能低下」公式警告の織込み）</t>
  </si>
  <si>
    <t>検討4人日。実施自体はA-1等。★内部クリティカルパスの起点（E-2→A-1→C-1/D系）。根拠=薄領域判定②、keycloak.orgサイジングガイド「必ず自前の負荷試験を」</t>
  </si>
  <si>
    <t>basic-design/00a-remaining-tasks-and-effort.md §2 E/§4</t>
  </si>
  <si>
    <t>E-3</t>
  </si>
  <si>
    <t>FinOps/継続コスト管理（タグ戦略・予算アラート・テナント別原価・3y見積回収）</t>
  </si>
  <si>
    <t>検討4人日。Tag Policyは必須タグを強制できない→SCP/Config補完。包含=O-6。根拠=薄領域判定③、AWS Organizations/Cost公式</t>
  </si>
  <si>
    <t>E-4</t>
  </si>
  <si>
    <t>KC本番設定の詰め漏れ反映（http-max-queued-requests / 公開パス遮断表 / JGroups mTLS 30日自動ローテ / jdbc-ping / persistent-user-sessions前提確認）</t>
  </si>
  <si>
    <t>調査2+検討3=5人日。http-max-queued-requestsはデフォルト無制限→ロードシェディング必須。/admin・/metrics・/health・/realms/masterのプロキシ遮断はhostname分離と別作業。根拠=keycloak.org configuration-production / reverseproxy / caching</t>
  </si>
  <si>
    <t>E-5</t>
  </si>
  <si>
    <t>アップグレード運用の精密化（update-compatibility checkのCI組込み / DB・cache系変更=recreate全停止のメンテ窓設計 / RHBK EUS・チャネル確認）</t>
  </si>
  <si>
    <t>調査2+検討3=5人日。A-11と連動。根拠=keycloak.org update-compatibility、RHBKライフサイクル</t>
  </si>
  <si>
    <t>E-6</t>
  </si>
  <si>
    <t>Aurora接続の公式部品採否（AWS Advanced JDBC Wrapper failoverプラグイン採否 / migration-strategy選定 / WAL・バックアップ暗号化範囲確認）</t>
  </si>
  <si>
    <t>調査2+検討1=3人日。根拠=keycloak.org server/db</t>
  </si>
  <si>
    <t>E-7</t>
  </si>
  <si>
    <t>ROSA監査ログの中央集約制約（CloudWatch別Acct直接転送非サポートの本文確認 + 4.17.2+ OAuthログ肥大）</t>
  </si>
  <si>
    <t>調査2+検討1=3人日。D-U9-01/05の監査Acct集約方針と整合が必要。根拠=access.redhat.com/solutions/7002219（要確認）</t>
  </si>
  <si>
    <t>E-8</t>
  </si>
  <si>
    <t>brute force戦略選定 + アカウント列挙対策の明文化</t>
  </si>
  <si>
    <t>検討1人日。公式4戦略、ロックアウト起点の列挙リスク。根拠=keycloak.org server_admin</t>
  </si>
  <si>
    <t>F. ヒアリング・契約・法務</t>
  </si>
  <si>
    <t>F-1</t>
  </si>
  <si>
    <t>ヒアリング質問状のパッケージ化（127項目を優先度圧縮）</t>
  </si>
  <si>
    <t>検討2人日。2026-07-30で高ブロック6件は解消済み→残りはB-SN/B-MIG/B-TAP/B-DR/UX系が中心。hearing-checklist全127項目中未回答123（回答済はPoC自己解決4件のみ、顧客回答ゼロ）。★W0最優先（外部リードタイムが律速）</t>
  </si>
  <si>
    <t>basic-design/00a-remaining-tasks-and-effort.md §2 F/§0</t>
  </si>
  <si>
    <t>F-2</t>
  </si>
  <si>
    <t>ヒアリング回答反映（P表更新→影響単元改訂）</t>
  </si>
  <si>
    <t>検討8人日。C-201=Yes等の悪い回答時は別途増分。包含=P-03/04/07/17, B-*全群。依存=F-1の回答受領</t>
  </si>
  <si>
    <t>basic-design/00a-remaining-tasks-and-effort.md §2 F</t>
  </si>
  <si>
    <t>F-3</t>
  </si>
  <si>
    <t>法務系の起票と追撃（Red Hat DPA / Key Custodian Agreement / PPC報告雛形 / 契約テンプレ）</t>
  </si>
  <si>
    <t>検討2人日。★実質残ブロッカー②: Red Hat DPA=クラウド利用のAPPI同意は取得方針、残はSRE越境閲覧確認中の1点。契約テンプレ=Responsibility Matrix / MFA責任分界（12.9.2はPCI除外で不要）。包含=O-U7-5, U7 §7.1.2/7.7.3, U10 §10.6.3。★W0最優先</t>
  </si>
  <si>
    <t>basic-design/00a-remaining-tasks-and-effort.md §2 F/§3.1</t>
  </si>
  <si>
    <t>F-4</t>
  </si>
  <si>
    <t>ADR-040/036別スレッド完了後の統合（OOS残存参照整理）</t>
  </si>
  <si>
    <t>検討2人日。D-15の前提。包含=O-U9-9</t>
  </si>
  <si>
    <t>G. 運用実体化</t>
  </si>
  <si>
    <t>G-1</t>
  </si>
  <si>
    <t>Runbook Phase 1必須13冊の執筆（TEN-01/03、SEC-01〜06、DR-00〜05）</t>
  </si>
  <si>
    <t>検討16人日。仕様は各単元確定済み。W1でA系と並行可。包含=D-U9-07。参考: 残り23冊（G-2、20人日）はリリース後3ヶ月以内で可・総計外</t>
  </si>
  <si>
    <t>basic-design/00a-remaining-tasks-and-effort.md §2 G</t>
  </si>
  <si>
    <t>G-2</t>
  </si>
  <si>
    <t>（参考・総計外）Runbook残り23冊 — リリース後3ヶ月以内</t>
  </si>
  <si>
    <t>検討20人日（総計外）。包含=D-U9-07</t>
  </si>
  <si>
    <t>G-3</t>
  </si>
  <si>
    <t>オンコール/アラートRouting実体（PagerDuty契約・ローテーション）</t>
  </si>
  <si>
    <t>検討2人日。包含=O-U9-6</t>
  </si>
  <si>
    <t>G-4</t>
  </si>
  <si>
    <t>drawio清書（mermaid → AWSアイコン版、旧EKS図置換）</t>
  </si>
  <si>
    <t>検討4人日。包含=A6a-4。C-5の宙に浮いた参照の行き先</t>
  </si>
  <si>
    <t>認証基盤 要件定義・基本設計 進捗サマリー</t>
  </si>
  <si>
    <t>本表はGitからの派生ビュー（読み取り専用）。SSOTはGit側。</t>
  </si>
  <si>
    <t>② 系統別 内訳</t>
  </si>
  <si>
    <t>系統</t>
  </si>
  <si>
    <t>IDパターン</t>
  </si>
  <si>
    <t>FR-AUTH 認証フロー/Grant Type・PW管理</t>
  </si>
  <si>
    <t>FR-FED フェデレーション</t>
  </si>
  <si>
    <t>FR-MFA 多要素認証</t>
  </si>
  <si>
    <t>FR-SSO SSO・ログアウト・セッション</t>
  </si>
  <si>
    <t>FR-AUTHZ 認可</t>
  </si>
  <si>
    <t>FR-USER ユーザー管理</t>
  </si>
  <si>
    <t>FR-ADMIN 管理機能</t>
  </si>
  <si>
    <t>FR-INT 連携・標準準拠</t>
  </si>
  <si>
    <t>NFR-PERF 性能</t>
  </si>
  <si>
    <t>NFR-SCL スケーラビリティ</t>
  </si>
  <si>
    <t>NFR-SEC セキュリティ</t>
  </si>
  <si>
    <t>NFR-OPS 運用・監視</t>
  </si>
  <si>
    <t>NFR-COMP コンプライアンス</t>
  </si>
  <si>
    <t>NFR-MIG 移行</t>
  </si>
  <si>
    <t>A. PoC・技術ゲート実測（調査87人日）</t>
  </si>
  <si>
    <t>B. 他組織・エッジ連携確定（検討22人日）</t>
  </si>
  <si>
    <t>C. 設計是正・文書整合（検討17人日）</t>
  </si>
  <si>
    <t>D. 未確定設計の合同確定（検討50人日）</t>
  </si>
  <si>
    <t>E. 新規検討領域（調査10+検討23人日）</t>
  </si>
  <si>
    <t>F. ヒアリング・契約・法務（検討13人日）</t>
  </si>
  <si>
    <t>G. 運用実体化（検討22人日）</t>
  </si>
  <si>
    <t>③ 重点論点（2026-07-30 意思決定後）</t>
  </si>
  <si>
    <t>論点</t>
  </si>
  <si>
    <t>状態</t>
  </si>
  <si>
    <t>実質残ブロッカー①</t>
  </si>
  <si>
    <t>A-2 / G-SPI-Compat</t>
  </si>
  <si>
    <t>RHBK 26.4 × upstream Custom SPI 互換検証（HRD / Re-Activation）</t>
  </si>
  <si>
    <t>未着手（検証実施は確定）</t>
  </si>
  <si>
    <t>実質残ブロッカー②</t>
  </si>
  <si>
    <t>F-3 / G-DPA</t>
  </si>
  <si>
    <t>Red Hat SRE の越境閲覧確認（APPI 28条）。クラウド利用の同意は取得方針</t>
  </si>
  <si>
    <t>確認中</t>
  </si>
  <si>
    <t>W0 最優先（外部依頼）</t>
  </si>
  <si>
    <t>ヒアリング質問状のパッケージ化。全127項目中 未回答123（顧客回答ゼロ）</t>
  </si>
  <si>
    <t>要求仕様書v1の発行。REQ-IN/OUT/DR 全件未回答</t>
  </si>
  <si>
    <t>法務起票（Red Hat DPA 最優先）</t>
  </si>
  <si>
    <t>内部クリティカルパス</t>
  </si>
  <si>
    <t>E-2 → A-1 → C-1/D系</t>
  </si>
  <si>
    <t>負荷試験計画 → G-IdP-Scale実測(25人日) → キャッシュ・Pod・接続予算の最終値</t>
  </si>
  <si>
    <t>決定を受けた改訂タスク</t>
  </si>
  <si>
    <t>アイデンティティモデル改訂（全顧客ユーザーのフェデ化、P-07転換）</t>
  </si>
  <si>
    <t>DRコールド化＋データ保全改訂（RTO≈14日、P-05/P-15転換）</t>
  </si>
  <si>
    <t>スコープ除外</t>
  </si>
  <si>
    <t>A-4 / D-10 / G-LDAP</t>
  </si>
  <si>
    <t>LDAP 経路（LDAP顧客なし）</t>
  </si>
  <si>
    <t>対象外化で決着</t>
  </si>
  <si>
    <t>C-7 / G-PCI-WAF</t>
  </si>
  <si>
    <t>PCI DSS（対応不要）。削除でなく降格・将来再開可</t>
  </si>
  <si>
    <t>決めること（平易な説明）</t>
  </si>
  <si>
    <t>自社で直接持つ利用者に、IDとパスワードでのログインを認めるか。認める対象を誰までに限るか</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</si>
  <si>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</si>
  <si>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</si>
  <si>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</si>
  <si>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</si>
  <si>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</si>
  <si>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</si>
  <si>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</si>
  <si>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</si>
  <si>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</si>
  <si>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</si>
  <si>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</si>
  <si>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</si>
  <si>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</si>
  <si>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</si>
  <si>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</si>
  <si>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</si>
  <si>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</si>
  <si>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</si>
  <si>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</si>
  <si>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</si>
  <si>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</si>
  <si>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初回ログイン時に利用者情報を自動で作るか。作る項目と、既存と重複したときの扱いをどうするか</t>
  </si>
  <si>
    <t>顧客側のID基盤から受け取る項目を、自分たちの項目にどう対応づけるか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</si>
  <si>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</si>
  <si>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</si>
  <si>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</si>
  <si>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</si>
  <si>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</si>
  <si>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</si>
  <si>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</si>
  <si>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</si>
  <si>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</si>
  <si>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</si>
  <si>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</si>
  <si>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</si>
  <si>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</si>
  <si>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</si>
  <si>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</si>
  <si>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</si>
  <si>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</si>
  <si>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</si>
  <si>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</si>
  <si>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</si>
  <si>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</si>
  <si>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</si>
  <si>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</si>
  <si>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</si>
  <si>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</si>
  <si>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</si>
  <si>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</si>
  <si>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</si>
  <si>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</si>
  <si>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</si>
  <si>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通行証の発行元が複数ある状態を、各アプリが受け入れられるようにするか</t>
  </si>
  <si>
    <t>「この書類はこの人だけ」といった個別データ単位の細かい権限管理が必要か</t>
  </si>
  <si>
    <t>部署や職位などの属性を組み合わせて、その場で権限を決める仕組みが必要か</t>
  </si>
  <si>
    <t>利用者情報の登録・変更・削除を、誰がどの画面やAPIから行えるようにするか</t>
  </si>
  <si>
    <t>利用者の検索・一覧表示に必要な検索条件と表示項目をどうするか</t>
  </si>
  <si>
    <t>利用者を削除せず一時停止できる状態を用意するか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</si>
  <si>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</si>
  <si>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</si>
  <si>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</si>
  <si>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</si>
  <si>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</si>
  <si>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</si>
  <si>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顧客のID基盤から利用者情報を自動同期する標準方式に対応するか</t>
  </si>
  <si>
    <t>表形式ファイルによる一括登録を用意するか。1回あたりの上限件数をどうするか</t>
  </si>
  <si>
    <t>管理者が利用者のパスワードを強制的に再設定できるようにするか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</si>
  <si>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</si>
  <si>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</si>
  <si>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</si>
  <si>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</si>
  <si>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</si>
  <si>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顧客ごとの設定が互いに見えない・触れない状態を、どう担保するか</t>
  </si>
  <si>
    <t>誰がいつ何をしたかの記録を、誰がどの画面で見られるようにするか</t>
  </si>
  <si>
    <t>設定変更の履歴をどこまで残し、いつまで保存するか</t>
  </si>
  <si>
    <t>管理画面の操作権限を細かく分ける必要があるか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</si>
  <si>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</si>
  <si>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</si>
  <si>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</si>
  <si>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業界標準の認証仕様に準拠する方針でよいか</t>
  </si>
  <si>
    <t>アプリが接続設定を自動取得できる標準の窓口を公開するか</t>
  </si>
  <si>
    <t>通行証の正しさを検証するための鍵情報を公開する窓口を用意するか</t>
  </si>
  <si>
    <t>旧来方式（SAML）向けの接続情報を公開する必要があるか</t>
  </si>
  <si>
    <t>AWSのAPI入口との接続方法を標準化するか</t>
  </si>
  <si>
    <t>操作記録を外部にどの形式・どの頻度で出すか</t>
  </si>
  <si>
    <t>操作記録をセキュリティ監視製品に送る必要があるか。送り先をどこにするか</t>
  </si>
  <si>
    <t>利用者が作られた等の出来事を他システムに自動通知する必要があるか。通知先と項目をどうするか</t>
  </si>
  <si>
    <t>外部から設定や利用者を操作するためのAPIを、どこまで公開するか</t>
  </si>
  <si>
    <t>設定を手作業ではなくコードで管理する方針でよいか。対象範囲をどこまでにするか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</si>
  <si>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</si>
  <si>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</si>
  <si>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</si>
  <si>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</si>
  <si>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</si>
  <si>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</si>
  <si>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</si>
  <si>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</si>
  <si>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通行証の検証を1秒あたり何件さばく必要があるか</t>
  </si>
  <si>
    <t>検証用の鍵情報を各アプリが何分間覚えておくか</t>
  </si>
  <si>
    <t>データベースの応答時間の目標をどこに置くか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</si>
  <si>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</si>
  <si>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</si>
  <si>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</si>
  <si>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</si>
  <si>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</si>
  <si>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</si>
  <si>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</si>
  <si>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</si>
  <si>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</si>
  <si>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データベースの拡張余地をどこまで確保するか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</si>
  <si>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</si>
  <si>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</si>
  <si>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</si>
  <si>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</si>
  <si>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</si>
  <si>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</si>
  <si>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</si>
  <si>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</si>
  <si>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</si>
  <si>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</si>
  <si>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</si>
  <si>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</si>
  <si>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</si>
  <si>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</si>
  <si>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</si>
  <si>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</si>
  <si>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不正アクセスを入口で遮る仕組みを適用するか。その設定を誰が管理するか</t>
  </si>
  <si>
    <t>サーバーを外部から直接触れない場所に置くか</t>
  </si>
  <si>
    <t>管理画面に誰がどこからアクセスできるようにするか</t>
  </si>
  <si>
    <t>鍵情報の公開窓口をどこまで守るか</t>
  </si>
  <si>
    <t>内部の部品同士の通信でも身元確認を必須にするか</t>
  </si>
  <si>
    <t>大きな障害からどれだけの時間で復旧させるか。最重要の確認事項</t>
  </si>
  <si>
    <t>障害時にどこまでのデータ喪失を許容するか。最重要の確認事項</t>
  </si>
  <si>
    <t>予備側への切替を自動で行うか、人の判断で行うか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</si>
  <si>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</si>
  <si>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</si>
  <si>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</si>
  <si>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</si>
  <si>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</si>
  <si>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</si>
  <si>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</si>
  <si>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</si>
  <si>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</si>
  <si>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</si>
  <si>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</si>
  <si>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</si>
  <si>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</si>
  <si>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</si>
  <si>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</si>
  <si>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顧客追加の作業を何営業日で完了させると約束するか</t>
  </si>
  <si>
    <t>日本の個人情報保護法への対応範囲をどこまでにするか</t>
  </si>
  <si>
    <t>海外展開に伴う規制対応が必要か。対象となる地域はどこか</t>
  </si>
  <si>
    <t>データを日本国内に限定する必要があるか。最重要の確認事項</t>
  </si>
  <si>
    <t>第三者による内部統制の証明が必要か</t>
  </si>
  <si>
    <t>情報セキュリティの認証取得が必要か</t>
  </si>
  <si>
    <t>クレジットカード関連の規格対応が必要か</t>
  </si>
  <si>
    <t>米国政府が認定した暗号方式が必要か。最重要の確認事項</t>
  </si>
  <si>
    <t>法令上、操作記録を何年保存する必要があるか</t>
  </si>
  <si>
    <t>誰がいつ何を見たかを後から追える状態を、どこまで作るか</t>
  </si>
  <si>
    <t>利用者からの削除要求に、どの手順・何日以内で応じるか</t>
  </si>
  <si>
    <t>暗号鍵をどの頻度で入れ替えるか</t>
  </si>
  <si>
    <t>初期構築にいくらかけるか。予算枠をどこに置くか</t>
  </si>
  <si>
    <t>毎月の設備費をいくらまでとするか</t>
  </si>
  <si>
    <t>利用者1人あたりの単価をいくらと見るか</t>
  </si>
  <si>
    <t>上位プランを使う場合の追加費用をどう見るか</t>
  </si>
  <si>
    <t>災害対策のために毎月いくら追加でかけるか</t>
  </si>
  <si>
    <t>運用担当の人件費をいくらと見込むか</t>
  </si>
  <si>
    <t>製品サポート契約の費用をどう扱うか</t>
  </si>
  <si>
    <t>何人以上の規模なら自前で構築するほうが有利になるか</t>
  </si>
  <si>
    <t>上位プランと比べた場合、有利になる規模の境目をどこに置くか</t>
  </si>
  <si>
    <t>10万人規模で3年間の総額をいくらと見るか</t>
  </si>
  <si>
    <t>50万人規模で3年間の総額をいくらと見るか</t>
  </si>
  <si>
    <t>今の認証システムから利用者情報をどう移すか。件数と期間をどう見るか</t>
  </si>
  <si>
    <t>パスワードを再設定させずに引き継げるか。無理な場合、利用者にどう案内するか</t>
  </si>
  <si>
    <t>将来ほかの製品に乗り換えられる状態を、どこまで保つか</t>
  </si>
  <si>
    <t>自分たちのデータをいつでも取り出せる手段を用意するか</t>
  </si>
  <si>
    <t>新旧を並行稼働させて少しずつ移すか。並行期間をどれだけ取るか</t>
  </si>
  <si>
    <t>どの製品を使い、どの基盤の上に認証システムを作るか</t>
  </si>
  <si>
    <t>何人規模の利用を想定して設備の大きさを決めるか</t>
  </si>
  <si>
    <t>米国政府が認定した暗号方式が必要か</t>
  </si>
  <si>
    <t>顧客に約束する稼働率を何％にするか</t>
  </si>
  <si>
    <t>大きな障害からの復旧をどのやり方で行い、何日で元に戻すか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</si>
  <si>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</si>
  <si>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</si>
  <si>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</si>
  <si>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</si>
  <si>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</si>
  <si>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</si>
  <si>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</si>
  <si>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</si>
  <si>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</si>
  <si>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</si>
  <si>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</si>
  <si>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設備をいくつのAWSアカウントに分けるか。業務アプリを同じ場所に置くか</t>
  </si>
  <si>
    <t>インターネットとの出入口を誰が管理するか。相手組織に何を要求として出すか</t>
  </si>
  <si>
    <t>顧客のID基盤を1000件つないでも実際に耐えられるか、動かして測る</t>
  </si>
  <si>
    <t>独自に作り込む部分が、採用する製品の正式版でも動くか実機で確かめる</t>
  </si>
  <si>
    <t>メールアドレスを持たない利用者でも、登録からログインまで完走できるか実機で確かめる</t>
  </si>
  <si>
    <t>顧客のID基盤からの利用者自動同期が、各社の仕様どおり動き、大量件数でも耐えるか確かめる</t>
  </si>
  <si>
    <t>予備の地域で必要な機材が実際に確保できるか確かめる</t>
  </si>
  <si>
    <t>外部への通信許可を追加するとき、誰にどう依頼し、何日で通るかを合意する</t>
  </si>
  <si>
    <t>海外の保守要員がデータを閲覧する可能性について、法令上の扱いを整理し合意する</t>
  </si>
  <si>
    <t>大きな障害が起きたときの切替方式と復旧目標を、顧客・関係組織と合意する</t>
  </si>
  <si>
    <t>社内ディレクトリとの直接連携を検証するか（不要と決着済み）</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</si>
  <si>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</si>
  <si>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</si>
  <si>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</si>
  <si>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</si>
  <si>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</si>
  <si>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</si>
  <si>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</si>
  <si>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</si>
  <si>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</si>
  <si>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</si>
  <si>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</si>
  <si>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</si>
  <si>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</si>
  <si>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</si>
  <si>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</si>
  <si>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</si>
  <si>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</si>
  <si>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</si>
  <si>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</si>
  <si>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</si>
  <si>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</si>
  <si>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</si>
  <si>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</si>
  <si>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</si>
  <si>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</si>
  <si>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</si>
  <si>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</si>
  <si>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</si>
  <si>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</si>
  <si>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</si>
  <si>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</si>
  <si>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</si>
  <si>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</si>
  <si>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</si>
  <si>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</si>
  <si>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</si>
  <si>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</si>
  <si>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</si>
  <si>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</si>
  <si>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</si>
  <si>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</si>
  <si>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</si>
  <si>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</si>
  <si>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復旧を手動・約14日に変えた方針と、誤削除やランサム被害にも備えるバックアップ方式に合わせて設計文書を書き換える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</si>
  <si>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</si>
  <si>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</si>
  <si>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</si>
  <si>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</si>
  <si>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</si>
  <si>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</si>
  <si>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</si>
  <si>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</si>
  <si>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</si>
  <si>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</si>
  <si>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</si>
  <si>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</si>
  <si>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</si>
  <si>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</si>
  <si>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</si>
  <si>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</si>
  <si>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</si>
  <si>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</si>
  <si>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</si>
  <si>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</si>
  <si>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</si>
  <si>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</si>
  <si>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</si>
  <si>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</si>
  <si>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</si>
  <si>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</si>
  <si>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</si>
  <si>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§2.1.3</t>
  </si>
  <si>
    <t>U2 §2.2.2</t>
  </si>
  <si>
    <t>U2 §2.2.3</t>
  </si>
  <si>
    <t>U2 §2.2.4</t>
  </si>
  <si>
    <t>U2 §2.2.5 #3</t>
  </si>
  <si>
    <t>U2 §2.2.5 #4</t>
  </si>
  <si>
    <t>U2 §2.2.5 #5</t>
  </si>
  <si>
    <t>U2 §2.3 共通制約</t>
  </si>
  <si>
    <t>U2 §2.3.1</t>
  </si>
  <si>
    <t>U2 §2.3.2</t>
  </si>
  <si>
    <t>U2 §2.4.1</t>
  </si>
  <si>
    <t>U2 §2.4.2</t>
  </si>
  <si>
    <t>U2 §2.4.3</t>
  </si>
  <si>
    <t>U2 §2.4.4</t>
  </si>
  <si>
    <t>U2 §2.5.1</t>
  </si>
  <si>
    <t>U2 §2.5.2</t>
  </si>
  <si>
    <t>U2 §2.7.5</t>
  </si>
  <si>
    <t>D3-02</t>
  </si>
  <si>
    <t>D3-03</t>
  </si>
  <si>
    <t>D3-04</t>
  </si>
  <si>
    <t>D3-06</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</si>
  <si>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</si>
  <si>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</si>
  <si>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</si>
  <si>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</si>
  <si>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</si>
  <si>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</si>
  <si>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</si>
  <si>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</si>
  <si>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</si>
  <si>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</si>
  <si>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</si>
  <si>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</si>
  <si>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</si>
  <si>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</si>
  <si>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</si>
  <si>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</si>
  <si>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</si>
  <si>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</si>
  <si>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</si>
  <si>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</si>
  <si>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</si>
  <si>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</si>
  <si>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</si>
  <si>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</si>
  <si>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</si>
  <si>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</si>
  <si>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</si>
  <si>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</si>
  <si>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</si>
  <si>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</si>
  <si>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</si>
  <si>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</si>
  <si>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</si>
  <si>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</si>
  <si>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</si>
  <si>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</si>
  <si>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</si>
  <si>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</si>
  <si>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未対応</t>
  </si>
  <si>
    <t>部分</t>
  </si>
  <si>
    <t>Implicit/Hybrid禁止は明記。この方式の明示的な禁止条項は確認できず</t>
  </si>
  <si>
    <t>単元未取込</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</si>
  <si>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</si>
  <si>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</si>
  <si>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</si>
  <si>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</si>
  <si>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</si>
  <si>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</si>
  <si>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</si>
  <si>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</si>
  <si>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</si>
  <si>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</si>
  <si>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</si>
  <si>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</si>
  <si>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</si>
  <si>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</si>
  <si>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</si>
  <si>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</si>
  <si>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</si>
  <si>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</si>
  <si>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</si>
  <si>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</si>
  <si>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</si>
  <si>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</si>
  <si>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</si>
  <si>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</si>
  <si>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</si>
  <si>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</si>
  <si>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</si>
  <si>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</si>
  <si>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</si>
  <si>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</si>
  <si>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</si>
  <si>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</si>
  <si>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</si>
  <si>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</si>
  <si>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</si>
  <si>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</si>
  <si>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</si>
  <si>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</si>
  <si>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</si>
  <si>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</si>
  <si>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</si>
  <si>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</si>
  <si>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</si>
  <si>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</si>
  <si>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</si>
  <si>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</si>
  <si>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</si>
  <si>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</si>
  <si>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</si>
  <si>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</si>
  <si>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</si>
  <si>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</si>
  <si>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</si>
  <si>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</si>
  <si>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</si>
  <si>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</si>
  <si>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</si>
  <si>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</si>
  <si>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</si>
  <si>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</si>
  <si>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</si>
  <si>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</si>
  <si>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</si>
  <si>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</si>
  <si>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</si>
  <si>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</si>
  <si>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</si>
  <si>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</si>
  <si>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</si>
  <si>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</si>
  <si>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</si>
  <si>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</si>
  <si>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</si>
  <si>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</si>
  <si>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</si>
  <si>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</si>
  <si>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</si>
  <si>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</si>
  <si>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</si>
  <si>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</si>
  <si>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</si>
  <si>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</si>
  <si>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</si>
  <si>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</si>
  <si>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</si>
  <si>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</si>
  <si>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</si>
  <si>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</si>
  <si>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</si>
  <si>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</si>
  <si>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</si>
  <si>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</si>
  <si>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</si>
  <si>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</si>
  <si>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</si>
  <si>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</si>
  <si>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④ 要件→設計 対応状況（漏れ探し）</t>
  </si>
  <si>
    <t>件数</t>
  </si>
  <si>
    <t>割合</t>
  </si>
  <si>
    <t>意味</t>
  </si>
  <si>
    <t>対応する設計決定が特定できた</t>
  </si>
  <si>
    <t>一部は決まっているが残りは未確定・他単元待ち</t>
  </si>
  <si>
    <t>取込済の設計書に対応する決定が見当たらない（★要確認）</t>
  </si>
  <si>
    <t>意図的にスコープ外と決着済</t>
  </si>
  <si>
    <t>該当設計書（U4/U6〜U10）未読込のため判定不能</t>
  </si>
  <si>
    <t>U4 認証体験・UX</t>
  </si>
  <si>
    <t>D-U4-05</t>
  </si>
  <si>
    <t>D-U4-06</t>
  </si>
  <si>
    <t>Landing = Pattern 1（許可サービスのみ表示）</t>
  </si>
  <si>
    <t>D-U4-07</t>
  </si>
  <si>
    <t>Sorry = 基盤側SPA主実装</t>
  </si>
  <si>
    <t>D-U4-08</t>
  </si>
  <si>
    <t>アクセシビリティ = WCAG 2.2 AA + JIS AA</t>
  </si>
  <si>
    <t>U4 §4.3.3</t>
    <phoneticPr fontId="2"/>
  </si>
  <si>
    <t>U4</t>
    <phoneticPr fontId="2"/>
  </si>
  <si>
    <t>部分</t>
    <phoneticPr fontId="2"/>
  </si>
  <si>
    <t>追加確認手段のリセット経路（テナント管理者／運用ランブック）は決定済。パスワード自体の自己リセット画面はカスタマイズ対象10ファイルに含まれず未確認</t>
    <phoneticPr fontId="2"/>
  </si>
  <si>
    <t>（なし）</t>
    <phoneticPr fontId="2"/>
  </si>
  <si>
    <t>未対応</t>
    <phoneticPr fontId="2"/>
  </si>
  <si>
    <t>D-U4-03</t>
    <phoneticPr fontId="2"/>
  </si>
  <si>
    <t>顧客別の画面出しはPhase 1不採用。顧客別URL方式はPhase 2オプションとして保留</t>
    <phoneticPr fontId="2"/>
  </si>
  <si>
    <t>U2 §2.3.3 / §2.7.2 ・ D-U4-01 / D-U4-02</t>
    <phoneticPr fontId="2"/>
  </si>
  <si>
    <t>U2+U4</t>
    <phoneticPr fontId="2"/>
  </si>
  <si>
    <t>設計済</t>
    <phoneticPr fontId="2"/>
  </si>
  <si>
    <t>接続先一覧は恒久非表示。識別子先行の2段階＋所属限定セレクター、失敗時の応答同一化まで確定</t>
    <phoneticPr fontId="2"/>
  </si>
  <si>
    <t>D-U4-04 ・ U4 §4.3.2</t>
    <phoneticPr fontId="2"/>
  </si>
  <si>
    <t>自社受け皿収容の利用者にWebAuthn不可時の代替として提供。6桁の自動送信はしない</t>
    <phoneticPr fontId="2"/>
  </si>
  <si>
    <t>D-U4-04 ・ U4 §4.3.2 ・ U2 §2.3.1</t>
    <phoneticPr fontId="2"/>
  </si>
  <si>
    <t>第一候補として提示。運用者は必須、最上位強度はこの方式のみ</t>
    <phoneticPr fontId="2"/>
  </si>
  <si>
    <t>D-U4-04</t>
    <phoneticPr fontId="2"/>
  </si>
  <si>
    <t>対象外</t>
    <phoneticPr fontId="2"/>
  </si>
  <si>
    <t>不採用を確定（推奨されない方式かつ個人情報を持つため）</t>
    <phoneticPr fontId="2"/>
  </si>
  <si>
    <t>基盤側の認証手段を持つ全員に発行。残3以下で再発行誘導、全消費時は強制再発行</t>
    <phoneticPr fontId="2"/>
  </si>
  <si>
    <t>U2 §2.3.5 ・ D-U4-04</t>
    <phoneticPr fontId="2"/>
  </si>
  <si>
    <t>状況に応じた判定はPhase 1対象外。画面の挿入位置も次段階で設計</t>
    <phoneticPr fontId="2"/>
  </si>
  <si>
    <t>対象者の区分で強制範囲を定義（外部フェデは顧客責任、自社受け皿収容と運用者は必須・猶予なし）</t>
    <phoneticPr fontId="2"/>
  </si>
  <si>
    <t>30日スキップの採否は未確定（未実装で設計済み、追加は設定変更のみで可）</t>
    <phoneticPr fontId="2"/>
  </si>
  <si>
    <t>U4 §4.2.3</t>
    <phoneticPr fontId="2"/>
  </si>
  <si>
    <t>アカウント設定画面は標準ベース＋文言/ロゴのみを暫定。編集可能項目の範囲は未確定</t>
    <phoneticPr fontId="2"/>
  </si>
  <si>
    <t>U4 §4.1.4</t>
    <phoneticPr fontId="2"/>
  </si>
  <si>
    <t>D-U4-03 ・ U4 §4.2.3</t>
    <phoneticPr fontId="2"/>
  </si>
  <si>
    <t>統一テーマ1本を採用し顧客別の差し替えはPhase 1不採用。カスタマイズ対象は10ファイルに限定</t>
    <phoneticPr fontId="2"/>
  </si>
  <si>
    <t>D-U7-04</t>
  </si>
  <si>
    <t>不正検知のパイプライン構成と配置</t>
  </si>
  <si>
    <t>D-U7-10b</t>
  </si>
  <si>
    <t>D-U7-19</t>
  </si>
  <si>
    <t>D-U7-17</t>
    <phoneticPr fontId="2"/>
  </si>
  <si>
    <t>U7</t>
    <phoneticPr fontId="2"/>
  </si>
  <si>
    <t>12文字以上＋英数混在＋漏洩パスワード照合を必須と確定</t>
    <phoneticPr fontId="2"/>
  </si>
  <si>
    <t>D-U7-05 / D-U7-17 ・ U2 §2.3.5</t>
    <phoneticPr fontId="2"/>
  </si>
  <si>
    <t>U2+U7</t>
    <phoneticPr fontId="2"/>
  </si>
  <si>
    <t>連続5回で30分ロック。恒久ロックはサービス妨害化を防ぐため不使用と明記</t>
    <phoneticPr fontId="2"/>
  </si>
  <si>
    <t>D-U7-14</t>
    <phoneticPr fontId="2"/>
  </si>
  <si>
    <t>全アクセスで追加確認を必須化することにより、定期変更の要件を適用外化する方針</t>
    <phoneticPr fontId="2"/>
  </si>
  <si>
    <t>D-U7-01 / D-U7-02</t>
    <phoneticPr fontId="2"/>
  </si>
  <si>
    <t>3階層の暗号鍵体系と命名規約、職務分離の鍵ポリシーまで確定</t>
    <phoneticPr fontId="2"/>
  </si>
  <si>
    <t>D-U7-03 ・ U5 §5.2.1</t>
    <phoneticPr fontId="2"/>
  </si>
  <si>
    <t>U5+U7</t>
    <phoneticPr fontId="2"/>
  </si>
  <si>
    <t>署名方式を確定し、標準機能で管理して90日周期で更新（旧鍵は30日並走）</t>
    <phoneticPr fontId="2"/>
  </si>
  <si>
    <t>12文字以上＋英数混在＋漏洩照合を確定。アルゴリズムの詳細値は末尾欠落部にあり未取得</t>
    <phoneticPr fontId="2"/>
  </si>
  <si>
    <t>D-U7-02 / D-U7-09 / D-U7-10a / D-U7-10b</t>
    <phoneticPr fontId="2"/>
  </si>
  <si>
    <t>保管庫管理＋90日自動更新＋設定への直書き禁止（機械検査）。内部は無秘密方式へ移行</t>
    <phoneticPr fontId="2"/>
  </si>
  <si>
    <t>D-U7-05 / D-U7-08 / D-U7-06</t>
    <phoneticPr fontId="2"/>
  </si>
  <si>
    <t>総当たり・横断的な試行・署名鍵悪用の4シグナルまで検知範囲を確定</t>
    <phoneticPr fontId="2"/>
  </si>
  <si>
    <t>D-U7-13</t>
    <phoneticPr fontId="2"/>
  </si>
  <si>
    <t>D-U7-16</t>
    <phoneticPr fontId="2"/>
  </si>
  <si>
    <t>D-U7-13 / D-U7-07</t>
    <phoneticPr fontId="2"/>
  </si>
  <si>
    <t>U7+U9</t>
    <phoneticPr fontId="2"/>
  </si>
  <si>
    <t>即時分析90日＋改ざん不能7年の2層。全ログはマスキング通過後に保存</t>
    <phoneticPr fontId="2"/>
  </si>
  <si>
    <t>検索基盤とデータレイク検索の2段構え。運用ダッシュボード化は運用設計側</t>
    <phoneticPr fontId="2"/>
  </si>
  <si>
    <t>D-U7-15b</t>
    <phoneticPr fontId="2"/>
  </si>
  <si>
    <t>D-U7-12 / D-U7-13</t>
    <phoneticPr fontId="2"/>
  </si>
  <si>
    <t>対象ログ源11種を必須セットとして列挙し、監査アカウントを唯一の集約先に確定</t>
    <phoneticPr fontId="2"/>
  </si>
  <si>
    <t>アカウントの存在有無を返さない汎用エラーと応答時間の均一化は確定。ログイン時の識別子作り替えの明示的な記述は確認できず</t>
    <phoneticPr fontId="2"/>
  </si>
  <si>
    <t>D-U7-05</t>
    <phoneticPr fontId="2"/>
  </si>
  <si>
    <t>漏洩パスワード照合を採用。ログイン成功時と設定変更時に照会し、ヒット時は変更強制／設定拒否</t>
    <phoneticPr fontId="2"/>
  </si>
  <si>
    <t>エッジ側の大規模攻撃防御は他組織へ要求。体積型は保証しないと責任分担表に明記。自管理側は自動増減で吸収余地のみ</t>
    <phoneticPr fontId="2"/>
  </si>
  <si>
    <t>ミラー同期パイプラインに脆弱性スキャンと署名検証を組み込む方針は確定。頻度と合格基準は未確定</t>
    <phoneticPr fontId="2"/>
  </si>
  <si>
    <t>不正自動化対策・認証情報リスト攻撃検知・流量制限（5分2000件/送信元）を要求仕様として明細化。設定管理は他組織</t>
    <phoneticPr fontId="2"/>
  </si>
  <si>
    <t>D-U7-12</t>
    <phoneticPr fontId="2"/>
  </si>
  <si>
    <t>D-U7-03 ・ U5 §5.6.3</t>
    <phoneticPr fontId="2"/>
  </si>
  <si>
    <t>鍵は90日周期で更新し旧鍵30日並走。窓口自体の保護レベルはインフラ側</t>
    <phoneticPr fontId="2"/>
  </si>
  <si>
    <t>前提側で不要と確定済み。本文の該当節も対象外化の改訂待ちと明記されている</t>
    <phoneticPr fontId="2"/>
  </si>
  <si>
    <t>D-U7-09 / D-U7-10a / D-U7-19</t>
    <phoneticPr fontId="2"/>
  </si>
  <si>
    <t>実行主体ごとに1ロール・完全一致の信頼設定。内部は無秘密方式へ移行し、両系統に届く単一権限を作らない</t>
    <phoneticPr fontId="2"/>
  </si>
  <si>
    <t>D-U8-02</t>
  </si>
  <si>
    <t>D-U8-03</t>
  </si>
  <si>
    <t>D-U8-04</t>
  </si>
  <si>
    <t>D-U8-07</t>
  </si>
  <si>
    <t>（廃止）予備地域を温めて待機する方式</t>
  </si>
  <si>
    <t>D-U8-10</t>
  </si>
  <si>
    <t>D-U8-12</t>
  </si>
  <si>
    <t>切り戻しは計画切替（データ喪失ゼロ）</t>
  </si>
  <si>
    <t>D-U8-01</t>
    <phoneticPr fontId="2"/>
  </si>
  <si>
    <t>U8</t>
    <phoneticPr fontId="2"/>
  </si>
  <si>
    <t>月間停止許容枠43.8分。計測は認証成功率で、計画停止と顧客側ID基盤起因は除外。律速は他組織管理のエッジで99.95%以上を要求仕様化</t>
    <phoneticPr fontId="2"/>
  </si>
  <si>
    <t>D-U8-01 / D-U8-04</t>
    <phoneticPr fontId="2"/>
  </si>
  <si>
    <t>月1回・深夜2〜4時・7日前通知で確定。機能追加を伴う版数更新はこの窓で実施</t>
    <phoneticPr fontId="2"/>
  </si>
  <si>
    <t>D-U8-02</t>
    <phoneticPr fontId="2"/>
  </si>
  <si>
    <t>最小3台を拠点ごとに分散配置し偏りを1に制限</t>
    <phoneticPr fontId="2"/>
  </si>
  <si>
    <t>同時停止許容数1、ノード障害は基盤側で自動置換、クラスタ再編も自動</t>
    <phoneticPr fontId="2"/>
  </si>
  <si>
    <t>D-U8-02 / D-U8-03</t>
    <phoneticPr fontId="2"/>
  </si>
  <si>
    <t>負荷分散・接続窓口・データベースをすべて3拠点化。出口装置を持たない構成</t>
    <phoneticPr fontId="2"/>
  </si>
  <si>
    <t>D-U8-04</t>
    <phoneticPr fontId="2"/>
  </si>
  <si>
    <t>設定変更と修正版は無停止（順次再起動）。機能追加を伴う更新のみ計画停止窓</t>
    <phoneticPr fontId="2"/>
  </si>
  <si>
    <t>D-U8-05 / D-U8-14 / D-U8-09</t>
    <phoneticPr fontId="2"/>
  </si>
  <si>
    <t>手動復旧・およそ14日で確定（2026-07-30に「1時間」から全面転換）。工程ごとの内訳と成立条件5点も定義</t>
    <phoneticPr fontId="2"/>
  </si>
  <si>
    <t>D-U8-14 / D-U8-10</t>
    <phoneticPr fontId="2"/>
  </si>
  <si>
    <t>3層で定義（継続複製=約1秒／時点復元=1秒精度／変更不能な控え=取得間隔）。ただし地域災害時にどこまで詰めるかは未決（継続複製の維持か定期取得のみか）</t>
    <phoneticPr fontId="2"/>
  </si>
  <si>
    <t>D-U8-08 / D-U8-05</t>
    <phoneticPr fontId="2"/>
  </si>
  <si>
    <t>判定チェックリストで2系統以上該当なら宣言。昇格・全体切替・切り戻しは手動承認、承認は検知から15分以内</t>
    <phoneticPr fontId="2"/>
  </si>
  <si>
    <t>D-U8-14</t>
    <phoneticPr fontId="2"/>
  </si>
  <si>
    <t>時点復元は1〜35日。定期取得の控えの保持期間は「無期限は永久課金のため避ける」方針のみで具体値は未確定</t>
    <phoneticPr fontId="2"/>
  </si>
  <si>
    <t>D-U8-14 / D-U8-06</t>
    <phoneticPr fontId="2"/>
  </si>
  <si>
    <t>1〜35日・1秒精度。論理破壊時の主たる復元手段と位置づけ</t>
    <phoneticPr fontId="2"/>
  </si>
  <si>
    <t>定期取得の控えを別地域かつ別アカウントへ複製。継続バックアップは別地域複製できない制約を明記</t>
    <phoneticPr fontId="2"/>
  </si>
  <si>
    <t>D-U8-13</t>
    <phoneticPr fontId="2"/>
  </si>
  <si>
    <t>年2回（上期=地域災害の作り直し／下期=論理破壊の復元）。他組織にも年1回以上の参加を要求</t>
    <phoneticPr fontId="2"/>
  </si>
  <si>
    <t>D-U8-10</t>
    <phoneticPr fontId="2"/>
  </si>
  <si>
    <t>維持しない方針を確定。全利用者が再認証となることを製品仕様として明文化し顧客との取り決めに記載</t>
    <phoneticPr fontId="2"/>
  </si>
  <si>
    <t>U8+U9</t>
    <phoneticPr fontId="2"/>
  </si>
  <si>
    <t>D-U8-14 / D-U8-11</t>
    <phoneticPr fontId="2"/>
  </si>
  <si>
    <t>U8+U6</t>
    <phoneticPr fontId="2"/>
  </si>
  <si>
    <t>予備地域の計算資源を平時ゼロにしたことで常時費用は削減。データ保全分の費用は未算定</t>
    <phoneticPr fontId="2"/>
  </si>
  <si>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</si>
  <si>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</si>
  <si>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</si>
  <si>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</si>
  <si>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</si>
  <si>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</si>
  <si>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</si>
  <si>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</si>
  <si>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2"/>
  </si>
  <si>
    <t>U6</t>
    <phoneticPr fontId="2"/>
  </si>
  <si>
    <t>ピーク時1,000〜3,000件/秒を試算前提として設定。応答時間の合格値自体は負荷試験計画で確定予定</t>
    <phoneticPr fontId="2"/>
  </si>
  <si>
    <t>U5+U6</t>
    <phoneticPr fontId="2"/>
  </si>
  <si>
    <t>U5 §5.6.3 ・ D-U6-10</t>
    <phoneticPr fontId="2"/>
  </si>
  <si>
    <t>受け取り側にキャッシュと更新追従を義務付け、基盤側のキャッシュ初期値も明示。保持時間の具体値は未確定</t>
    <phoneticPr fontId="2"/>
  </si>
  <si>
    <t>D-U6-07 / D-U6-08</t>
    <phoneticPr fontId="2"/>
  </si>
  <si>
    <t>構成と接続プールは確定（総接続810に対し上限3,300で余裕）。応答時間の目標値は未確定</t>
    <phoneticPr fontId="2"/>
  </si>
  <si>
    <t>D-U6-04 ・ D-U6-05</t>
    <phoneticPr fontId="2"/>
  </si>
  <si>
    <t>ピーク1,000〜3,000件/秒で必要資源を算定し、上限台数（Broker 9／自社受け皿18）まで確定</t>
    <phoneticPr fontId="2"/>
  </si>
  <si>
    <t>D-U6-13</t>
    <phoneticPr fontId="2"/>
  </si>
  <si>
    <t>入口側の流量制限は他組織への要求仕様として明細化。自管理側の受付上限は未確定</t>
    <phoneticPr fontId="2"/>
  </si>
  <si>
    <t>D-U6-04</t>
    <phoneticPr fontId="2"/>
  </si>
  <si>
    <t>自動増減を採用。自社受け皿側は起動が遅いため、CPUではなく予兆（1台あたり毎秒8件超が3分継続）を優先トリガに</t>
    <phoneticPr fontId="2"/>
  </si>
  <si>
    <t>D-U6-05 ・ D-U6-04</t>
    <phoneticPr fontId="2"/>
  </si>
  <si>
    <t>10M上限で資源を算定。立ち上げ期から上限までの構成変更なしでの吸収可能性まで確認済み</t>
    <phoneticPr fontId="2"/>
  </si>
  <si>
    <t>D-U6-10</t>
    <phoneticPr fontId="2"/>
  </si>
  <si>
    <t>キャッシュ初期値は確定。同時セッション数そのものの見込み値は顧客確認待ち</t>
    <phoneticPr fontId="2"/>
  </si>
  <si>
    <t>委任方式が合意できれば翌営業日以内は成立。合意不成立時は要件自体の改訂へ差し戻す条件を明記</t>
    <phoneticPr fontId="2"/>
  </si>
  <si>
    <t>2系統に分離し、認証製品側のみ動的に増減。管理系は規模と監視量で準静的に調整</t>
    <phoneticPr fontId="2"/>
  </si>
  <si>
    <t>D-U6-03 ・ D-U8-05</t>
    <phoneticPr fontId="2"/>
  </si>
  <si>
    <t>U6+U8</t>
    <phoneticPr fontId="2"/>
  </si>
  <si>
    <t>平時は東京のみ稼働。予備地域は平時に計算資源を持たず被災時に作り直す方式で確定</t>
    <phoneticPr fontId="2"/>
  </si>
  <si>
    <t>D-U6-07 / D-U6-08 / D-U6-09</t>
    <phoneticPr fontId="2"/>
  </si>
  <si>
    <t>3拠点構成＋接続プール等値化。中継サービスは恩恵が薄く当面不採用と判断</t>
    <phoneticPr fontId="2"/>
  </si>
  <si>
    <t>D-U6-06 ・ D-U6-03</t>
    <phoneticPr fontId="2"/>
  </si>
  <si>
    <t>入口方式は通過型を推奨し、平文の出現位置を自管理側に閉じ込める。裏側通信は単方向の私設経路</t>
    <phoneticPr fontId="2"/>
  </si>
  <si>
    <t>U6+U7</t>
    <phoneticPr fontId="2"/>
  </si>
  <si>
    <t>D-U6-05</t>
    <phoneticPr fontId="2"/>
  </si>
  <si>
    <t>基盤部分は月額およそ2,032ドルと算定。データベース等を含む全体額は概算±30%</t>
    <phoneticPr fontId="2"/>
  </si>
  <si>
    <t>D-U6-03 ・ D-U6-05</t>
    <phoneticPr fontId="2"/>
  </si>
  <si>
    <t>製品サポートは基盤に内包され追加費用なしと確定</t>
    <phoneticPr fontId="2"/>
  </si>
  <si>
    <t>月額の内訳は算定済。3年総額としての集計は未実施</t>
    <phoneticPr fontId="2"/>
  </si>
  <si>
    <t>同上。規模別の線形加算の考え方のみ提示</t>
    <phoneticPr fontId="2"/>
  </si>
  <si>
    <t>U9 運用・監視・IaC</t>
  </si>
  <si>
    <t>D-U9-17</t>
  </si>
  <si>
    <t>D-U9-18</t>
  </si>
  <si>
    <t>D-U9-16</t>
  </si>
  <si>
    <t>常時監視用の自動アクセスの配置変更と検知範囲</t>
  </si>
  <si>
    <t>D-U9-05 / D-U9-06 ・ U5 §5.4.2</t>
    <phoneticPr fontId="2"/>
  </si>
  <si>
    <t>U5+U9</t>
    <phoneticPr fontId="2"/>
  </si>
  <si>
    <t>即時参照90日＋検索用1年＋長期7年。管理操作は全量を取込セットに含める</t>
    <phoneticPr fontId="2"/>
  </si>
  <si>
    <t>D-U9-06 / D-U9-11</t>
    <phoneticPr fontId="2"/>
  </si>
  <si>
    <t>U9</t>
    <phoneticPr fontId="2"/>
  </si>
  <si>
    <t>管理操作の全量を記録し、構成のずれ検知の照合元も兼ねる。ずれ検出時は正当／不正の分岐フローまで定義</t>
    <phoneticPr fontId="2"/>
  </si>
  <si>
    <t>D-U9-05</t>
    <phoneticPr fontId="2"/>
  </si>
  <si>
    <t>3層への出力経路を確定（即時参照・検索用・長期の変更不能保管）。全ソースがマスキング通過後に保存</t>
    <phoneticPr fontId="2"/>
  </si>
  <si>
    <t>D-U9-06</t>
    <phoneticPr fontId="2"/>
  </si>
  <si>
    <t>D-U9-01 / D-U9-02 / D-U9-03 ・ D-U8-01</t>
    <phoneticPr fontId="2"/>
  </si>
  <si>
    <t>計装14点と系列数の規約まで確定。接続先件数を注記した時系列で継続計測し基準値比+10%で警戒</t>
    <phoneticPr fontId="2"/>
  </si>
  <si>
    <t>D-U9-04 / D-U9-01</t>
    <phoneticPr fontId="2"/>
  </si>
  <si>
    <t>停止許容枠の消費速度で3段階（急速消費は即時呼出15分応答／緩慢はチャット／予兆は通知）</t>
    <phoneticPr fontId="2"/>
  </si>
  <si>
    <t>D-U9-14 ・ U2 §2.7.1</t>
    <phoneticPr fontId="2"/>
  </si>
  <si>
    <t>U2+U9</t>
    <phoneticPr fontId="2"/>
  </si>
  <si>
    <t>版数固定・イメージは識別子指定・管理ソフトは手動承認。修正版含む全昇格が1000件規模の回帰通過を必須</t>
    <phoneticPr fontId="2"/>
  </si>
  <si>
    <t>D-U9-13 / D-U9-14</t>
    <phoneticPr fontId="2"/>
  </si>
  <si>
    <t>脆弱性は重大24時間・高7日で対処。昇格経路は定例と同じパイプライン</t>
    <phoneticPr fontId="2"/>
  </si>
  <si>
    <t>D-U9-09 / D-U9-10 / D-U9-08</t>
    <phoneticPr fontId="2"/>
  </si>
  <si>
    <t>基盤層はコード管理でPR2名レビュー、顧客層は宣言ファイル＋自作エンジン。管理画面からの直接変更は禁則で機械強制</t>
    <phoneticPr fontId="2"/>
  </si>
  <si>
    <t>D-U9-12 / D-U9-13</t>
    <phoneticPr fontId="2"/>
  </si>
  <si>
    <t>組み立てから配信まで自動化し、本番昇格のみ手動承認。段階投入は15分の様子見＋自動巻き戻し</t>
    <phoneticPr fontId="2"/>
  </si>
  <si>
    <t>D-U9-04 / D-U9-07</t>
    <phoneticPr fontId="2"/>
  </si>
  <si>
    <t>警報の振り分けと手順書体系は確定。当初は業務時間内対応で、24時間体制は次段階</t>
    <phoneticPr fontId="2"/>
  </si>
  <si>
    <t>D-U9-15</t>
    <phoneticPr fontId="2"/>
  </si>
  <si>
    <t>6ステップの内訳と所要時間まで確定。基盤側の純作業2〜3時間で翌営業日以内は成立</t>
    <phoneticPr fontId="2"/>
  </si>
  <si>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</si>
  <si>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</si>
  <si>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</si>
  <si>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</si>
  <si>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</si>
  <si>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</si>
  <si>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</si>
  <si>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</si>
  <si>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</si>
  <si>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</si>
  <si>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</si>
  <si>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</si>
  <si>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</si>
  <si>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</si>
  <si>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D-U10-08 ・ U5 §5.8.1</t>
    <phoneticPr fontId="2"/>
  </si>
  <si>
    <t>U5+U10</t>
    <phoneticPr fontId="2"/>
  </si>
  <si>
    <t>検索条件（文字列・社員番号・有効状態）とカーソル方式のページング（1回200件上限）まで確定</t>
    <phoneticPr fontId="2"/>
  </si>
  <si>
    <t>U3+U10</t>
    <phoneticPr fontId="2"/>
  </si>
  <si>
    <t>D-U10-08 ・ U4 §4.1.4</t>
    <phoneticPr fontId="2"/>
  </si>
  <si>
    <t>U4+U10</t>
    <phoneticPr fontId="2"/>
  </si>
  <si>
    <t>招待リンク発行のAPIは提供操作に含まれる。文面・有効期限とメール送信そのものの設計は未着手</t>
    <phoneticPr fontId="2"/>
  </si>
  <si>
    <t>D-U10-08 ・ U2 §2.1.2 / §2.7.5</t>
    <phoneticPr fontId="2"/>
  </si>
  <si>
    <t>U2+U10</t>
    <phoneticPr fontId="2"/>
  </si>
  <si>
    <t>所属の参照・更新と接続先の追加削除のAPIは確定。顧客の離脱・退出時の扱いは顧客確認が未了</t>
    <phoneticPr fontId="2"/>
  </si>
  <si>
    <t>D-U10-08 / D-U10-09</t>
    <phoneticPr fontId="2"/>
  </si>
  <si>
    <t>U10</t>
    <phoneticPr fontId="2"/>
  </si>
  <si>
    <t>役割一覧の取得と割当のAPIを提供。ただし基盤側の管理系役割のみで、業務権限は各アプリの責務と明確化</t>
    <phoneticPr fontId="2"/>
  </si>
  <si>
    <t>D-U10-09 ・ U5 §5.8.1</t>
    <phoneticPr fontId="2"/>
  </si>
  <si>
    <t>「アプリを使えるか」は管理画面側で持ちAPI照会で配り、アプリ内の詳細権限は各アプリが持つと役割分担を確定</t>
    <phoneticPr fontId="2"/>
  </si>
  <si>
    <t>D-U10-02</t>
    <phoneticPr fontId="2"/>
  </si>
  <si>
    <t>接続定義のテンプレートを新規作成し、識別名・突合属性・署名方式・戻り先URLまで確定</t>
    <phoneticPr fontId="2"/>
  </si>
  <si>
    <t>D-U10-11 ・ D-U9-06</t>
    <phoneticPr fontId="2"/>
  </si>
  <si>
    <t>U9+U10</t>
    <phoneticPr fontId="2"/>
  </si>
  <si>
    <t>正規化イベントを正とする配信機構は確定。顧客側の監視製品への標準形式提供は次段階</t>
    <phoneticPr fontId="2"/>
  </si>
  <si>
    <t>D-U10-11 ・ D3-10</t>
    <phoneticPr fontId="2"/>
  </si>
  <si>
    <t>配信7種・署名方式・重複排除・再送8回約24時間・待避キュー14日まで確定。個人情報は載せず受信側がAPI取得</t>
    <phoneticPr fontId="2"/>
  </si>
  <si>
    <t>D-U10-12</t>
    <phoneticPr fontId="2"/>
  </si>
  <si>
    <t>利用者集団を4分類し方式を割当。切替単位はアプリ単位、並走3〜6ヶ月</t>
    <phoneticPr fontId="2"/>
  </si>
  <si>
    <t>判定フローを確定。既定は並走方式で初回ログイン時に新方式へ再保存＝強制リセットなし。抽出不能や脆弱な方式のみリセット</t>
    <phoneticPr fontId="2"/>
  </si>
  <si>
    <t>D-U10-12 ・ U2 §2.7.4 / §2.7.5 ・ D-U8-06</t>
    <phoneticPr fontId="2"/>
  </si>
  <si>
    <t>U2+U8+U10</t>
    <phoneticPr fontId="2"/>
  </si>
  <si>
    <t>一括書き出し禁止とコード管理を正とする方針、旧IDの対応表記録までは確定。乗り換え評価そのものは未実施</t>
    <phoneticPr fontId="2"/>
  </si>
  <si>
    <t>D-U10-13 ・ D-U8-06</t>
    <phoneticPr fontId="2"/>
  </si>
  <si>
    <t>U8+U10</t>
    <phoneticPr fontId="2"/>
  </si>
  <si>
    <t>標準形式での書き出し手順を確定（秘匿値は含めない）。移転用は業界標準形式でも出力</t>
    <phoneticPr fontId="2"/>
  </si>
  <si>
    <t>D-U10-12 / D-U10-04</t>
    <phoneticPr fontId="2"/>
  </si>
  <si>
    <t>並走4段階と各段階の巻き戻し手段まで確定。並走期間は3〜6ヶ月</t>
    <phoneticPr fontId="2"/>
  </si>
  <si>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</si>
  <si>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</si>
  <si>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</si>
  <si>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</si>
  <si>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</si>
  <si>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</si>
  <si>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</si>
  <si>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</si>
  <si>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</si>
  <si>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</si>
  <si>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</si>
  <si>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</si>
  <si>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</si>
  <si>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</si>
  <si>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</si>
  <si>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</si>
  <si>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</si>
  <si>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</si>
  <si>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</si>
  <si>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</si>
  <si>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</si>
  <si>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</si>
  <si>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</si>
  <si>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</si>
  <si>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</si>
  <si>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</si>
  <si>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</si>
  <si>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</si>
  <si>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</si>
  <si>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</si>
  <si>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</si>
  <si>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</si>
  <si>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</si>
  <si>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</si>
  <si>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</si>
  <si>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</si>
  <si>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</si>
  <si>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</si>
  <si>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</si>
  <si>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</si>
  <si>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</si>
  <si>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</si>
  <si>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</si>
  <si>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</si>
  <si>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</si>
  <si>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</si>
  <si>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</si>
  <si>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</si>
  <si>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</si>
  <si>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</si>
  <si>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</si>
  <si>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</si>
  <si>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</si>
  <si>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</si>
  <si>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</si>
  <si>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</si>
  <si>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</si>
  <si>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</si>
  <si>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</si>
  <si>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</si>
  <si>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</si>
  <si>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</si>
  <si>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</si>
  <si>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</si>
  <si>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</si>
  <si>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</si>
  <si>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</si>
  <si>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</si>
  <si>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</si>
  <si>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</si>
  <si>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</si>
  <si>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</si>
  <si>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</si>
  <si>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</si>
  <si>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</si>
  <si>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</si>
  <si>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</si>
  <si>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</si>
  <si>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</si>
  <si>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</si>
  <si>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</si>
  <si>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</si>
  <si>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</si>
  <si>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</si>
  <si>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</si>
  <si>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</si>
  <si>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</si>
  <si>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</si>
  <si>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</si>
  <si>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</si>
  <si>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</si>
  <si>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</si>
  <si>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</si>
  <si>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</si>
  <si>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</si>
  <si>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</si>
  <si>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</si>
  <si>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</si>
  <si>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</si>
  <si>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</si>
  <si>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</si>
  <si>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</si>
  <si>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</si>
  <si>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2"/>
  </si>
  <si>
    <t>3層防御（他組織側の遮断は保証せず自管理の拒否ルールが生命線）＋管理用ホスト名を公開DNSに載せない分離＋一時昇格経由に限定</t>
    <phoneticPr fontId="2"/>
  </si>
  <si>
    <t>D-U6-03 / D-U6-06 / D-U6-11 ・ D-U7-12</t>
    <phoneticPr fontId="2"/>
  </si>
  <si>
    <t>各アカウント専用の仮想ネットワークで内部限定配置。管理APIは内部限定の接続点経由でインターネットに露出しない</t>
    <phoneticPr fontId="2"/>
  </si>
  <si>
    <t>⑤ 設計→要件 逆マッピング（根拠確認）</t>
  </si>
  <si>
    <t>意味・対応</t>
  </si>
  <si>
    <t>要件から参照あり</t>
  </si>
  <si>
    <t>★要件にないのに機能・工数・運用負荷が発生。要件化か削除かの判断が必要</t>
  </si>
  <si>
    <t>★契約・実装ガイドに落とすべき制約の抜け。要件文の追記が必要</t>
  </si>
  <si>
    <t>前方マッピングの紐付け漏れ。本表作成時に発見し修正済み</t>
  </si>
  <si>
    <t>要件から降りてこない実装判断。確認不要</t>
  </si>
  <si>
    <t>方針転換で無効。確認不要</t>
  </si>
  <si>
    <t>直近5世代の再利用を禁止（2026 コミット 389e87c で反映、07 §7.8.1）。当初は判定不能としていたが真の漏れに再分類のうえ反映済み</t>
    <phoneticPr fontId="2"/>
  </si>
  <si>
    <t>初回ログイン時にパスワード変更を強制。対象は自社受け皿収容のローカルパスワード利用者で、顧客側ID基盤経由の利用者は対象外（2026 コミット 389e87c で反映、07 §7.8.1）</t>
    <phoneticPr fontId="2"/>
  </si>
  <si>
    <t>メールによる追加確認を不採用と明示（メール非保有利用者を受け入れる前提と衝突するため、パスキーと認証アプリの2方式に固定。2026 コミット 389e87c で反映、07 §7.7.2）</t>
    <phoneticPr fontId="2"/>
  </si>
  <si>
    <t>D-U9-04</t>
    <phoneticPr fontId="2"/>
  </si>
  <si>
    <t>権限コンテキスト取得の応答目標を暫定でp99 300ミリ秒未満と設定（2026 コミット 389e87c で反映、09 §9.2.1）。確定値は自動同期の検証ゲートとインフラ側サイジングの実測待ち</t>
    <phoneticPr fontId="2"/>
  </si>
  <si>
    <t>処理能力の律速要因に関する考察を追記（同上）。数値目標の確定はインフラ側サイジング実測待ち</t>
    <phoneticPr fontId="2"/>
  </si>
  <si>
    <t>－</t>
    <phoneticPr fontId="2"/>
  </si>
  <si>
    <t>要件・設計の双方で未確定。据え置き妥当と再監査で合意（キオスク端末でのパスキー利用は顧客確認に連動、機器向けの認証方式は未採用）</t>
    <phoneticPr fontId="2"/>
  </si>
  <si>
    <t>D-U10-01 / D-U10-02 ・ U2 §2.8.2</t>
    <phoneticPr fontId="2"/>
  </si>
  <si>
    <t>本基盤が業務システムに対して旧来方式のID提供元として振る舞う構成を決定（接続定義テンプレート・識別名・突合属性・署名方式まで確定）。当初「未対応」としたが誤判定</t>
    <phoneticPr fontId="2"/>
  </si>
  <si>
    <t>U2 §2.5.4 ・ D3-11 / D3-14</t>
    <phoneticPr fontId="2"/>
  </si>
  <si>
    <t>U2+U3</t>
    <phoneticPr fontId="2"/>
  </si>
  <si>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2"/>
  </si>
  <si>
    <t>D-U10-02 ・ U5 §5.6.3</t>
    <phoneticPr fontId="2"/>
  </si>
  <si>
    <t>接続設定の自動取得窓口は製品標準機能で成立。旧来方式側の接続情報の自動更新機能は実機確認予定（調査タスク A-9）。当初「未対応」としたが標準機能のため誤判定</t>
    <phoneticPr fontId="2"/>
  </si>
  <si>
    <t>D-U7-17 / D-U7-16</t>
    <phoneticPr fontId="2"/>
  </si>
  <si>
    <t>責任分担は決定済（入口側は他組織へ要求、自管理側は実装時に実施）。頻度の数値のみ未確定。当初「未対応」としたが責任の所在は決まっているため部分に再分類</t>
    <phoneticPr fontId="2"/>
  </si>
  <si>
    <t>00a 残タスク棚卸し ・ ADR-040</t>
    <phoneticPr fontId="2"/>
  </si>
  <si>
    <t>（設計書外）</t>
    <phoneticPr fontId="2"/>
  </si>
  <si>
    <t>構築フェーズの概算を16〜22人月と算定、運用体制は10名で別文書に確定済み。技術設計9冊には載せない方針のため、設計書側の欠落ではない</t>
    <phoneticPr fontId="2"/>
  </si>
  <si>
    <t>Trust Center ・ ADR-036</t>
    <phoneticPr fontId="2"/>
  </si>
  <si>
    <t>海外規制対応は第三者監査・情報開示の枠組み側で扱う方針。技術設計9冊の対象外</t>
    <phoneticPr fontId="2"/>
  </si>
  <si>
    <t>第三者による内部統制証明は同枠組み側で扱う方針</t>
    <phoneticPr fontId="2"/>
  </si>
  <si>
    <t>情報セキュリティ認証は同枠組み側で扱う方針</t>
    <phoneticPr fontId="2"/>
  </si>
  <si>
    <t>00a 残タスク棚卸し（B-PCI-1）</t>
    <phoneticPr fontId="2"/>
  </si>
  <si>
    <t>カード決済規格対応は今回スコープから除外を明示決定（削除ではなく降格で将来再開可）。当初「単元未取込」としたが決定済みのため再分類</t>
    <phoneticPr fontId="2"/>
  </si>
  <si>
    <t>proposal 側 ・ ADR-032 / ADR-058</t>
    <phoneticPr fontId="2"/>
  </si>
  <si>
    <t>費用系は提案書側の文書で扱う方針。技術設計9冊の対象外</t>
    <phoneticPr fontId="2"/>
  </si>
  <si>
    <t>同上</t>
    <phoneticPr fontId="2"/>
  </si>
  <si>
    <t>同上。人件費は別文書で決定済みで技術設計の対象外</t>
    <phoneticPr fontId="2"/>
  </si>
  <si>
    <t>⑥ 再監査の取込記録（設計側フル監査の結果）</t>
  </si>
  <si>
    <t>前提</t>
  </si>
  <si>
    <t>設計書9冊を全文（打ち切りなし）で突合し直した結果を反映。当初本表は1ファイル40,000文字の制限で末尾が欠けていたが、打ち切り部が隔していた項目はなかったことを確認済み</t>
  </si>
  <si>
    <t>真の漏れ</t>
  </si>
  <si>
    <t>4件のみ（初回パスワード強制変更・パスワード履歴・メールによる追加確認・応答目標値）。いずれもコミット 389e87c で設計側に反映済み</t>
  </si>
  <si>
    <t>判定見直し</t>
  </si>
  <si>
    <t>8件を再分類（設計側に既に決定あり、または意図的先送り）。以前の「未対応」判定は設計書の読み取り範囲不足による誤判定が主因</t>
  </si>
  <si>
    <t>設計書外</t>
  </si>
  <si>
    <t>費用5件は提案書側、第三者監査・情報開示系3件は別枠組み側、運用工数2件は残タスク棚卸し側で決定済み。技術設計9冊には載せない方針</t>
  </si>
  <si>
    <t>文書同期待ち</t>
  </si>
  <si>
    <t>セキュリティ設計書冒頭の「改訂待ち」注記（カード決済規格の除外・管理者のローカル認証前提）は、残タスク側の改訂2件が未実施のため残存しているもので、網羅性の穴ではない</t>
  </si>
  <si>
    <r>
      <t>根拠が</t>
    </r>
    <r>
      <rPr>
        <sz val="9"/>
        <color theme="1"/>
        <rFont val="游ゴシック"/>
        <family val="2"/>
        <charset val="128"/>
      </rPr>
      <t>辩</t>
    </r>
    <r>
      <rPr>
        <sz val="9"/>
        <color theme="1"/>
        <rFont val="Meiryo UI"/>
        <family val="2"/>
        <charset val="128"/>
      </rPr>
      <t>できる。確認不要</t>
    </r>
  </si>
  <si>
    <t>D-U5-14</t>
  </si>
  <si>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</si>
  <si>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</si>
  <si>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セルフサービスのセッション・端末管理</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</si>
  <si>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</si>
  <si>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</si>
  <si>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</si>
  <si>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</si>
  <si>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</si>
  <si>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</si>
  <si>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</si>
  <si>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</si>
  <si>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</si>
  <si>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</si>
  <si>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</si>
  <si>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</si>
  <si>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継続アクセス評価の実機検証（製品の実験的機能である配信側の動作確認と、自作の送出部品との機能差・性能比較）</t>
  </si>
  <si>
    <t>通行証の取り消しが受け取り側に届かない残余時間（最大30分）を数秒まで縮める仕組みが実際に使えるか、製品標準に乗るか自作を続けるかを判定する</t>
  </si>
  <si>
    <t>2026-08-12 追加。第2段階（製品標準の配信側へ移行）へ進めるかの判定材料。1000万規模でのイベント配信性能も測定対象。あわせて顧客確認 B-CAEP-1（顧客側ID基盤の送信可否／受け取り側への配布範囲）が必要</t>
  </si>
  <si>
    <t>U7 §7.5.3 ・ U2 §2.2.3 ・ D-U5-13</t>
    <phoneticPr fontId="2"/>
  </si>
  <si>
    <t>U2+U5+U7</t>
    <phoneticPr fontId="2"/>
  </si>
  <si>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2"/>
  </si>
  <si>
    <t>U5 §5.2.1 / §5.2.3 ・ U2 §2.2.5 #2 ・ D-U5-11 / D-U4-09</t>
    <phoneticPr fontId="2"/>
  </si>
  <si>
    <t>U2+U4+U5</t>
    <phoneticPr fontId="2"/>
  </si>
  <si>
    <t>無操作1時間・最長24時間。顧客別の短縮は専用の登録枠で、規制対応は分離した領域で実現。2026-08-12追加=管理系に同時セッション数の上限、利用者が自分でセッションと端末を確認・失効できる画面</t>
    <phoneticPr fontId="2"/>
  </si>
  <si>
    <t>U5 §5.4.1 / §5.4.3 / §5.2.4 ・ D-U5-09 / D-U4-09</t>
    <phoneticPr fontId="2"/>
  </si>
  <si>
    <t>U4+U5</t>
    <phoneticPr fontId="2"/>
  </si>
  <si>
    <t>取消の仕組みは用意。最大30分の取り消し漏れ時間が残ることを明示。2026-08-12追加=継続アクセス評価を目標構成に据え、高価値経路は数秒まで短縮する3段階計画。利用者による自己失効も追加</t>
    <phoneticPr fontId="2"/>
  </si>
  <si>
    <t>U5 §5.4.2 ・ D-U5-11 / D-U5-09</t>
    <phoneticPr fontId="2"/>
  </si>
  <si>
    <t>U5</t>
    <phoneticPr fontId="2"/>
  </si>
  <si>
    <t>個別・顧客単位・全体の3粒度。2026-08-12追加=同時セッション数の上限で失効時の影響範囲を縮小、失効イベントの標準配信で受け取り側への伝播を高速化</t>
    <phoneticPr fontId="2"/>
  </si>
  <si>
    <t>D-U7-15 / D-U7-15b / D-U7-21 ・ U2 §2.6</t>
    <phoneticPr fontId="2"/>
  </si>
  <si>
    <t>漏えい報告の7ステップと期限、委託先監督の方針まで確定。2026-08-12追加=同意の記録・撤回・監査証跡（同意レシート）の枠組み。越境や第三者提供が絡む顧客は必須</t>
    <phoneticPr fontId="2"/>
  </si>
  <si>
    <t>D-U7-15b / D-U7-21</t>
    <phoneticPr fontId="2"/>
  </si>
  <si>
    <t>国内2拠点に限定し越境は最小化。保守要員の越境閲覧の扱いが確認中の唯一の論点。2026-08-12追加=越境が絡む顧客には同意レシートを必須化</t>
    <phoneticPr fontId="2"/>
  </si>
  <si>
    <t>D-U9-06 / D-U9-05 / D-U9-20 ・ D-U7-12</t>
    <phoneticPr fontId="2"/>
  </si>
  <si>
    <t>取込イベントセットを確定し監査アカウントを唯一の集約先に。2026-08-12追加=認可判定の決定ログ（誰が・何に・なぜ・ポリシー版）を出力し、最小権限の証明と定期棚卸しの証跡を担保</t>
    <phoneticPr fontId="2"/>
  </si>
  <si>
    <t>D-U10-13 / D-U10-13b ・ D3-09 / D3-17</t>
    <phoneticPr fontId="2"/>
  </si>
  <si>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2"/>
  </si>
  <si>
    <t>継続アクセス評価</t>
  </si>
  <si>
    <t>B-CAEP-1</t>
  </si>
  <si>
    <t>顧客側ID基盤が失効イベントを送信できるか。受け取り側アプリへ受信部品をどこまで配布するか</t>
  </si>
  <si>
    <t>通行証の取り消しが受け取り側に届かない残余時間（最大30分）を数秒に縮める仕組みを、どこまで適用できるかを決める</t>
  </si>
  <si>
    <t>最優先。回答により第3段階（顧客側からの失効受信）の要否と、第1段階の適用対象アプリの範囲が決まる。関連=D-U5-09 / ADR-065 / ゲート G-SSF</t>
  </si>
  <si>
    <t>requirements/hearing-checklist.md §5.6</t>
  </si>
  <si>
    <t>テナント隔離</t>
  </si>
  <si>
    <t>B-TENANT-ISO-1</t>
  </si>
  <si>
    <t>顧客ごとのレート制限・上限の既定値と、大口顧客や規制対象顧客を別領域へ分離する基準</t>
  </si>
  <si>
    <t>一部の顧客の急増が他の顧客に波及しないための上限値と、論理分離から物理分離へ移す判断基準を決める</t>
  </si>
  <si>
    <t>最優先。単一領域構成は資源・障害の隔離を自動的には伴わないため、隔離を契約として明文化する前提となる。関連=D-U6-14</t>
  </si>
  <si>
    <t>非人間ID</t>
  </si>
  <si>
    <t>B-NHI-1</t>
  </si>
  <si>
    <t>顧客側の機械通信アカウントの責任者を顧客と自社のどちらが持つか。棚卸し責任の分界</t>
  </si>
  <si>
    <t>機械同士の通信に使うアカウントが誰の管理下にあるかを決める。責任者が空欄だと孤立検知が機能しない</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</si>
  <si>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</si>
  <si>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</si>
  <si>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</si>
  <si>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</si>
  <si>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</si>
  <si>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</si>
  <si>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</si>
  <si>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</si>
  <si>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</si>
  <si>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</si>
  <si>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</si>
  <si>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</si>
  <si>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</si>
  <si>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</si>
  <si>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</si>
  <si>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</si>
  <si>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</si>
  <si>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</si>
  <si>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過剰な権限や孤立した権限を定期的に是正する枠組みの分担を決める</t>
  </si>
  <si>
    <t>関連=D-U9-20 / ADR-067。既定案=基盤運用者は四半期、顧客テナント管理者は半期、アプリ権限は年次、非人間IDは四半期</t>
  </si>
  <si>
    <t>認可ログ</t>
  </si>
  <si>
    <t>B-AUTHZLOG-1</t>
  </si>
  <si>
    <t>監査人が求める認可証跡の粒度と保持期間</t>
  </si>
  <si>
    <t>「なぜ許可したか」をどこまで記録するかを決める。全件記録は量が律速になる</t>
  </si>
  <si>
    <t>関連=D-U9-20 / ADR-067。既定案=拒否は全件、高権限操作の許可も全件、一般の読み取りは集約</t>
  </si>
  <si>
    <t>登録手続き</t>
  </si>
  <si>
    <t>B-ENROLL-1</t>
  </si>
  <si>
    <t>2台目以降の認証手段の登録に、どこまでの再確認を求めるか</t>
  </si>
  <si>
    <t>盗んだパスワードで攻撃者が自分の認証器を登録し正規利用者を締め出す手口への対策レベルを決める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</si>
  <si>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</si>
  <si>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</si>
  <si>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</si>
  <si>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</si>
  <si>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メールによる追加確認を不採用としたため、メール経由のリセット経路が存在しない状況での復旧手段を決める</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</si>
  <si>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</si>
  <si>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</si>
  <si>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</si>
  <si>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</si>
  <si>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属性の受け渡し・越境・利用目的に対する同意をどこまで形式的に管理するかを決める</t>
  </si>
  <si>
    <t>関連=D-U7-21。既定案=自社が主体のサービスのため同意画面はオフ運用可としつつ、越境や第三者提供が絡む顧客には必須</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</si>
  <si>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</si>
  <si>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</si>
  <si>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</si>
  <si>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</si>
  <si>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</si>
  <si>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</si>
  <si>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</si>
  <si>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</si>
  <si>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人ではないが人の代理で動く主体を、どのIDとして発行し統制するかを決める</t>
  </si>
  <si>
    <t>姿勢のみで今回は実装なし。関連=D-U5-12（委譲制御）/ ADR-066（非人間ID台帳の種別拡張で受ける）</t>
  </si>
  <si>
    <t>B-FAPI-1</t>
  </si>
  <si>
    <t>金融グレードの仕様準拠を求める顧客が存在するか</t>
  </si>
  <si>
    <t>要求内容の事前登録・要求の署名・送信者拘束を必須化するかの判断材料</t>
  </si>
  <si>
    <t>姿勢のみで今回は実装なし。関連=D-U5-13。該当顧客が出た時点で必須化する条件付き採用</t>
  </si>
  <si>
    <t>B-IPSIE-1</t>
  </si>
  <si>
    <t>企業向け相互運用プロファイルへの準拠を求められるか</t>
  </si>
  <si>
    <t>業界標準の相互運用プロファイルにどこまで合わせるかの姿勢を決める</t>
  </si>
  <si>
    <t>姿勢のみで今回は実装なし。設計単元の作業分解でも「姿勢のみ・実装なし・回答待ち」と整理されている</t>
  </si>
  <si>
    <t>出典: github.com/suepie/aws-atuh-poc（doc/requirements + doc/basic-design + doc/adr）/ commit 9511a58 / 明細は「進捗一覧」「設計決定一覧」参照</t>
  </si>
  <si>
    <t>9511a588380a5518ae08d25795cc1a23e074c8ad（2026-08-12 網羅性再監査 反映後）</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</si>
  <si>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</si>
  <si>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</si>
  <si>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</si>
  <si>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</si>
  <si>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推奨値を設定済み。顧客の承認待ち</t>
  </si>
  <si>
    <t>外部待ち</t>
  </si>
  <si>
    <t>顧客ヒアリングの回答待ち（推奨値も未設定）</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</si>
  <si>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</si>
  <si>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</si>
  <si>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</si>
  <si>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</si>
  <si>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</si>
  <si>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</si>
  <si>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</si>
  <si>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</si>
  <si>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</si>
  <si>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</si>
  <si>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</si>
  <si>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</si>
  <si>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</si>
  <si>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</si>
  <si>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</si>
  <si>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暫定値で凍結し設計を継続中。確定は実測または顧客回答待ち</t>
  </si>
  <si>
    <t>検証ゲート</t>
  </si>
  <si>
    <t>自社で実施する検証。着手可能</t>
  </si>
  <si>
    <t>他組織・法務の回答待ち</t>
  </si>
  <si>
    <t>スコープ外として決着済み</t>
  </si>
  <si>
    <t>設計タスク</t>
  </si>
  <si>
    <t>自社で完結する設計・検証タスク。着手可能</t>
  </si>
  <si>
    <t>他組織・顧客・法務の回答待ち（自社の準備は着手可能）</t>
  </si>
  <si>
    <t>全般・プロジェクト進行</t>
  </si>
  <si>
    <t>顧客確認</t>
  </si>
  <si>
    <t>顧客ヒアリングの回答待ち</t>
  </si>
  <si>
    <t>技術領域</t>
  </si>
  <si>
    <t>種別</t>
  </si>
  <si>
    <t>状況（5区分）</t>
  </si>
  <si>
    <t>進捗が低い理由</t>
  </si>
  <si>
    <t>認証基盤 要件定義・基本設計 ダッシュボード</t>
  </si>
  <si>
    <t>Git（github.com/suepie/aws-atuh-poc, commit 9511a58）からの派生ビュー。判断・更新はGit側で行い、本ファイルは俯瞰専用の読み取りスナップショットです。</t>
  </si>
  <si>
    <t>①決まったこと</t>
  </si>
  <si>
    <t>②これから社内で決めること</t>
  </si>
  <si>
    <t>③外部に依存すること</t>
  </si>
  <si>
    <t>件</t>
  </si>
  <si>
    <t>自社だけで判断・検証できる。今すぐ着手可能</t>
  </si>
  <si>
    <t>顧客・他組織・法務の回答が要る。待ち＝遅れではない</t>
  </si>
  <si>
    <t>詰め切りに必要な残数（②＋③）</t>
  </si>
  <si>
    <t>詳細設計に着手する前提の3ゲート</t>
  </si>
  <si>
    <t>ゲート</t>
  </si>
  <si>
    <t>残</t>
  </si>
  <si>
    <t>信号</t>
  </si>
  <si>
    <t>内容</t>
  </si>
  <si>
    <t>① 技術検証（自社実測）</t>
  </si>
  <si>
    <t>② 他組織の要求仕様回答</t>
  </si>
  <si>
    <t>③ 顧客ヒアリング回答</t>
  </si>
  <si>
    <t>自社で実施する実機検証。他者を待たずに着手できる</t>
  </si>
  <si>
    <t>インターネット出入口を管理する他組織への要求と回答</t>
  </si>
  <si>
    <t>顧客への質問状。全127項目中の未回答が主因</t>
  </si>
  <si>
    <t>技術領域別の内訳</t>
  </si>
  <si>
    <t>方向性確定</t>
  </si>
  <si>
    <t>規模と目標値が顧客回答待ちのため。設計は上限10Mで凍結し先行している</t>
  </si>
  <si>
    <t>稼働率と復旧目標が顧客合意待ち。設計側は手動復旧14日で確定済み</t>
  </si>
  <si>
    <t>対象法令と認証取得の要否が顧客回答待ち。多くは提案書側・別枠組み側で扱う</t>
  </si>
  <si>
    <t>体制・工数の合意と手順書の執筆が残るため。方式は決定済み</t>
  </si>
  <si>
    <t>費用は提案書側の文書で扱う方針のため、技術設計側には決定を置いていない</t>
  </si>
  <si>
    <t>現行システムの実態（利用者数・パスワード方式）が顧客回答待ち</t>
  </si>
  <si>
    <t>質問状の発行と回答反映が主。外部リードタイムが律速</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</si>
  <si>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</si>
  <si>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</si>
  <si>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</si>
  <si>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</si>
  <si>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</si>
  <si>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</si>
  <si>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</si>
  <si>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</si>
  <si>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</si>
  <si>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</si>
  <si>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</si>
  <si>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</si>
  <si>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</si>
  <si>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</si>
  <si>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</si>
  <si>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</si>
  <si>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</si>
  <si>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</si>
  <si>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</si>
  <si>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</si>
  <si>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</si>
  <si>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</si>
  <si>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</si>
  <si>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</si>
  <si>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</si>
  <si>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</si>
  <si>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</si>
  <si>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</si>
  <si>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</si>
  <si>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</si>
  <si>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</si>
  <si>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</si>
  <si>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</si>
  <si>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</si>
  <si>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</si>
  <si>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</si>
  <si>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</si>
  <si>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</si>
  <si>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</si>
  <si>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</si>
  <si>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</si>
  <si>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</si>
  <si>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</si>
  <si>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</si>
  <si>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</si>
  <si>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</si>
  <si>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</si>
  <si>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</si>
  <si>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</si>
  <si>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</si>
  <si>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</si>
  <si>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</si>
  <si>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</si>
  <si>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</si>
  <si>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</si>
  <si>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</si>
  <si>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</si>
  <si>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</si>
  <si>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</si>
  <si>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</si>
  <si>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</si>
  <si>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</si>
  <si>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</si>
  <si>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</si>
  <si>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</si>
  <si>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</si>
  <si>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</si>
  <si>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</si>
  <si>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</si>
  <si>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</si>
  <si>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</si>
  <si>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</si>
  <si>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</si>
  <si>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</si>
  <si>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</si>
  <si>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</si>
  <si>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</si>
  <si>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</si>
  <si>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</si>
  <si>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</si>
  <si>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</si>
  <si>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</si>
  <si>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</si>
  <si>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</si>
  <si>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</si>
  <si>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</si>
  <si>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</si>
  <si>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</si>
  <si>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</si>
  <si>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</si>
  <si>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</si>
  <si>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</si>
  <si>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</si>
  <si>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</si>
  <si>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</si>
  <si>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</si>
  <si>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</si>
  <si>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</si>
  <si>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</si>
  <si>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</si>
  <si>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</si>
  <si>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</si>
  <si>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</si>
  <si>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</si>
  <si>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</si>
  <si>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</si>
  <si>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</si>
  <si>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</si>
  <si>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</si>
  <si>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</si>
  <si>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</si>
  <si>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</si>
  <si>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</si>
  <si>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</si>
  <si>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</si>
  <si>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</si>
  <si>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</si>
  <si>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</si>
  <si>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</si>
  <si>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</si>
  <si>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</si>
  <si>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</si>
  <si>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</si>
  <si>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</si>
  <si>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</si>
  <si>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</si>
  <si>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</si>
  <si>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</si>
  <si>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</si>
  <si>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</si>
  <si>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</si>
  <si>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</si>
  <si>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</si>
  <si>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</si>
  <si>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</si>
  <si>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</si>
  <si>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</si>
  <si>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</si>
  <si>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</si>
  <si>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</si>
  <si>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</si>
  <si>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</si>
  <si>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</si>
  <si>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</si>
  <si>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</si>
  <si>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</si>
  <si>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</si>
  <si>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</si>
  <si>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</si>
  <si>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</si>
  <si>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</si>
  <si>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</si>
  <si>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</si>
  <si>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</si>
  <si>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</si>
  <si>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</si>
  <si>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</si>
  <si>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</si>
  <si>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</si>
  <si>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</si>
  <si>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</si>
  <si>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</si>
  <si>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</si>
  <si>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</si>
  <si>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</si>
  <si>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</si>
  <si>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</si>
  <si>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</si>
  <si>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</si>
  <si>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</si>
  <si>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</si>
  <si>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</si>
  <si>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</si>
  <si>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</si>
  <si>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</si>
  <si>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</si>
  <si>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</si>
  <si>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</si>
  <si>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</si>
  <si>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</si>
  <si>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</si>
  <si>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</si>
  <si>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</si>
  <si>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</si>
  <si>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</si>
  <si>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</si>
  <si>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</si>
  <si>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</si>
  <si>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</si>
  <si>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</si>
  <si>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</si>
  <si>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</si>
  <si>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</si>
  <si>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</si>
  <si>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</si>
  <si>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</si>
  <si>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</si>
  <si>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</si>
  <si>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</si>
  <si>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</si>
  <si>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</si>
  <si>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</si>
  <si>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</si>
  <si>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</si>
  <si>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</si>
  <si>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</si>
  <si>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</si>
  <si>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</si>
  <si>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</si>
  <si>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</si>
  <si>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</si>
  <si>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</si>
  <si>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</si>
  <si>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</si>
  <si>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</si>
  <si>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</si>
  <si>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</si>
  <si>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</si>
  <si>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</si>
  <si>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</si>
  <si>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</si>
  <si>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</si>
  <si>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</si>
  <si>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</si>
  <si>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</si>
  <si>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</si>
  <si>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</si>
  <si>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</si>
  <si>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</si>
  <si>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</si>
  <si>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</si>
  <si>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</si>
  <si>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</si>
  <si>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</si>
  <si>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</si>
  <si>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</si>
  <si>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</si>
  <si>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</si>
  <si>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</si>
  <si>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</si>
  <si>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</si>
  <si>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</si>
  <si>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</si>
  <si>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</si>
  <si>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</si>
  <si>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</si>
  <si>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</si>
  <si>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</si>
  <si>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</si>
  <si>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</si>
  <si>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</si>
  <si>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</si>
  <si>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</si>
  <si>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</si>
  <si>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</si>
  <si>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</si>
  <si>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</si>
  <si>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</si>
  <si>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</si>
  <si>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</si>
  <si>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</si>
  <si>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</si>
  <si>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</si>
  <si>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</si>
  <si>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</si>
  <si>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</si>
  <si>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</si>
  <si>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</si>
  <si>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</si>
  <si>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</si>
  <si>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</si>
  <si>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</si>
  <si>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</si>
  <si>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</si>
  <si>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</si>
  <si>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</si>
  <si>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</si>
  <si>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</si>
  <si>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</si>
  <si>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</si>
  <si>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</si>
  <si>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</si>
  <si>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</si>
  <si>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</si>
  <si>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</si>
  <si>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</si>
  <si>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</si>
  <si>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</si>
  <si>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</si>
  <si>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</si>
  <si>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</si>
  <si>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</si>
  <si>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</si>
  <si>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</si>
  <si>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</si>
  <si>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</si>
  <si>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</si>
  <si>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</si>
  <si>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</si>
  <si>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</si>
  <si>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</si>
  <si>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</si>
  <si>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</si>
  <si>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</si>
  <si>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</si>
  <si>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</si>
  <si>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</si>
  <si>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</si>
  <si>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</si>
  <si>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</si>
  <si>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</si>
  <si>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</si>
  <si>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</si>
  <si>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</si>
  <si>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</si>
  <si>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</si>
  <si>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</si>
  <si>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</si>
  <si>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</si>
  <si>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</si>
  <si>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</si>
  <si>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</si>
  <si>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</si>
  <si>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</si>
  <si>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</si>
  <si>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</si>
  <si>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</si>
  <si>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</si>
  <si>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</si>
  <si>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</si>
  <si>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</si>
  <si>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</si>
  <si>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</si>
  <si>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</si>
  <si>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</si>
  <si>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</si>
  <si>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</si>
  <si>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</si>
  <si>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</si>
  <si>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</si>
  <si>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</si>
  <si>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</si>
  <si>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</si>
  <si>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</si>
  <si>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</si>
  <si>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</si>
  <si>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</si>
  <si>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</si>
  <si>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</si>
  <si>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</si>
  <si>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</si>
  <si>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</si>
  <si>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</si>
  <si>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</si>
  <si>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</si>
  <si>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</si>
  <si>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</si>
  <si>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</si>
  <si>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</si>
  <si>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</si>
  <si>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</si>
  <si>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</si>
  <si>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</si>
  <si>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</si>
  <si>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</si>
  <si>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</si>
  <si>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</si>
  <si>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</si>
  <si>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</si>
  <si>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</si>
  <si>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</si>
  <si>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</si>
  <si>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</si>
  <si>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</si>
  <si>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</si>
  <si>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</si>
  <si>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</si>
  <si>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</si>
  <si>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</si>
  <si>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</si>
  <si>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</si>
  <si>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</si>
  <si>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</si>
  <si>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</si>
  <si>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</si>
  <si>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</si>
  <si>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</si>
  <si>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</si>
  <si>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</si>
  <si>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</si>
  <si>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</si>
  <si>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</si>
  <si>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</si>
  <si>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</si>
  <si>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</si>
  <si>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</si>
  <si>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</si>
  <si>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</si>
  <si>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</si>
  <si>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</si>
  <si>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</si>
  <si>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</si>
  <si>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</si>
  <si>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</si>
  <si>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</si>
  <si>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</si>
  <si>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</si>
  <si>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</si>
  <si>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</si>
  <si>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</si>
  <si>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</si>
  <si>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</si>
  <si>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</si>
  <si>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</si>
  <si>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</si>
  <si>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</si>
  <si>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</si>
  <si>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</si>
  <si>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</si>
  <si>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</si>
  <si>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</si>
  <si>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</si>
  <si>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</si>
  <si>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</si>
  <si>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</si>
  <si>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</si>
  <si>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</si>
  <si>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</si>
  <si>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</si>
  <si>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</si>
  <si>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</si>
  <si>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</si>
  <si>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</si>
  <si>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</si>
  <si>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</si>
  <si>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</si>
  <si>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</si>
  <si>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</si>
  <si>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</si>
  <si>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</si>
  <si>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</si>
  <si>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</si>
  <si>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</si>
  <si>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</si>
  <si>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</si>
  <si>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</si>
  <si>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</si>
  <si>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</si>
  <si>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</si>
  <si>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</si>
  <si>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</si>
  <si>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</si>
  <si>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</si>
  <si>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</si>
  <si>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</si>
  <si>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</si>
  <si>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</si>
  <si>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</si>
  <si>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</si>
  <si>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</si>
  <si>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</si>
  <si>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</si>
  <si>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</si>
  <si>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</si>
  <si>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</si>
  <si>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</si>
  <si>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</si>
  <si>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</si>
  <si>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</si>
  <si>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</si>
  <si>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</si>
  <si>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</si>
  <si>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</si>
  <si>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</si>
  <si>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</si>
  <si>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</si>
  <si>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</si>
  <si>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</si>
  <si>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</si>
  <si>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</si>
  <si>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</si>
  <si>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</si>
  <si>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</si>
  <si>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</si>
  <si>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</si>
  <si>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</si>
  <si>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</si>
  <si>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</si>
  <si>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</si>
  <si>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</si>
  <si>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</si>
  <si>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</si>
  <si>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</si>
  <si>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</si>
  <si>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</si>
  <si>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</si>
  <si>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</si>
  <si>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</si>
  <si>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</si>
  <si>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</si>
  <si>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</si>
  <si>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</si>
  <si>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</si>
  <si>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</si>
  <si>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</si>
  <si>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</si>
  <si>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</si>
  <si>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</si>
  <si>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</si>
  <si>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</si>
  <si>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</si>
  <si>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</si>
  <si>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</si>
  <si>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</si>
  <si>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</si>
  <si>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</si>
  <si>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</si>
  <si>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</si>
  <si>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</si>
  <si>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</si>
  <si>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</si>
  <si>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</si>
  <si>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</si>
  <si>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</si>
  <si>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</si>
  <si>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</si>
  <si>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</si>
  <si>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</si>
  <si>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</si>
  <si>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</si>
  <si>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</si>
  <si>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</si>
  <si>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</si>
  <si>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</si>
  <si>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</si>
  <si>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</si>
  <si>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</si>
  <si>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</si>
  <si>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</si>
  <si>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</si>
  <si>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</si>
  <si>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</si>
  <si>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</si>
  <si>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</si>
  <si>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</si>
  <si>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</si>
  <si>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</si>
  <si>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</si>
  <si>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</si>
  <si>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</si>
  <si>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</si>
  <si>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</si>
  <si>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</si>
  <si>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</si>
  <si>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</si>
  <si>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</si>
  <si>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</si>
  <si>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</si>
  <si>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</si>
  <si>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</si>
  <si>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</si>
  <si>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</si>
  <si>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</si>
  <si>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</si>
  <si>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</si>
  <si>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</si>
  <si>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</si>
  <si>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</si>
  <si>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</si>
  <si>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</si>
  <si>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</si>
  <si>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</si>
  <si>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</si>
  <si>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</si>
  <si>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</si>
  <si>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</si>
  <si>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</si>
  <si>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</si>
  <si>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</si>
  <si>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</si>
  <si>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</si>
  <si>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</si>
  <si>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</si>
  <si>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</si>
  <si>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</si>
  <si>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</si>
  <si>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</si>
  <si>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</si>
  <si>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</si>
  <si>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</si>
  <si>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</si>
  <si>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</si>
  <si>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</si>
  <si>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</si>
  <si>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</si>
  <si>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</si>
  <si>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</si>
  <si>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</si>
  <si>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</si>
  <si>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</si>
  <si>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</si>
  <si>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</si>
  <si>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</si>
  <si>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</si>
  <si>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</si>
  <si>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</si>
  <si>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</si>
  <si>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</si>
  <si>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</si>
  <si>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</si>
  <si>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</si>
  <si>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</si>
  <si>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</si>
  <si>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</si>
  <si>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</si>
  <si>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</si>
  <si>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</si>
  <si>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</si>
  <si>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</si>
  <si>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</si>
  <si>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</si>
  <si>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</si>
  <si>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</si>
  <si>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</si>
  <si>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</si>
  <si>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</si>
  <si>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</si>
  <si>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</si>
  <si>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</si>
  <si>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</si>
  <si>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</si>
  <si>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</si>
  <si>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</si>
  <si>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</si>
  <si>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</si>
  <si>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</si>
  <si>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</si>
  <si>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</si>
  <si>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</si>
  <si>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</si>
  <si>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</si>
  <si>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</si>
  <si>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</si>
  <si>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</si>
  <si>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</si>
  <si>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</si>
  <si>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</si>
  <si>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</si>
  <si>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</si>
  <si>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旧・決定状況</t>
  </si>
  <si>
    <t>① 種別別の進捗（状況は5区分）</t>
  </si>
  <si>
    <t>機能要件</t>
    <phoneticPr fontId="2"/>
  </si>
  <si>
    <t>非機能要件</t>
    <phoneticPr fontId="2"/>
  </si>
  <si>
    <t>設計タスク</t>
    <phoneticPr fontId="2"/>
  </si>
  <si>
    <t>総数</t>
    <phoneticPr fontId="2"/>
  </si>
  <si>
    <t>確定</t>
    <phoneticPr fontId="2"/>
  </si>
  <si>
    <t>方向性確定</t>
    <phoneticPr fontId="2"/>
  </si>
  <si>
    <t>検討中</t>
    <phoneticPr fontId="2"/>
  </si>
  <si>
    <t>外部待ち</t>
    <phoneticPr fontId="2"/>
  </si>
  <si>
    <t>要件の状況（5区分）</t>
  </si>
  <si>
    <t>種別</t>
    <phoneticPr fontId="2"/>
  </si>
  <si>
    <t>IDパターン</t>
    <phoneticPr fontId="2"/>
  </si>
  <si>
    <t>FR-AUTH-*</t>
    <phoneticPr fontId="2"/>
  </si>
  <si>
    <t>FR-FED-*</t>
    <phoneticPr fontId="2"/>
  </si>
  <si>
    <t>FR-MFA-*</t>
    <phoneticPr fontId="2"/>
  </si>
  <si>
    <t>FR-SSO-*</t>
    <phoneticPr fontId="2"/>
  </si>
  <si>
    <t>FR-AUTHZ-*</t>
    <phoneticPr fontId="2"/>
  </si>
  <si>
    <t>FR-USER-*</t>
    <phoneticPr fontId="2"/>
  </si>
  <si>
    <t>FR-ADMIN-*</t>
    <phoneticPr fontId="2"/>
  </si>
  <si>
    <t>FR-INT-*</t>
    <phoneticPr fontId="2"/>
  </si>
  <si>
    <t>NFR-AVL-*</t>
    <phoneticPr fontId="2"/>
  </si>
  <si>
    <t>NFR-PERF-*</t>
    <phoneticPr fontId="2"/>
  </si>
  <si>
    <t>NFR-SCL-*</t>
    <phoneticPr fontId="2"/>
  </si>
  <si>
    <t>NFR-SEC-*</t>
    <phoneticPr fontId="2"/>
  </si>
  <si>
    <t>NFR-DR-*</t>
    <phoneticPr fontId="2"/>
  </si>
  <si>
    <t>NFR-OPS-*</t>
    <phoneticPr fontId="2"/>
  </si>
  <si>
    <t>NFR-COMP-*</t>
    <phoneticPr fontId="2"/>
  </si>
  <si>
    <t>NFR-COST-*</t>
    <phoneticPr fontId="2"/>
  </si>
  <si>
    <t>NFR-MIG-*</t>
    <phoneticPr fontId="2"/>
  </si>
  <si>
    <t>A-*</t>
    <phoneticPr fontId="2"/>
  </si>
  <si>
    <t>B-*</t>
    <phoneticPr fontId="2"/>
  </si>
  <si>
    <t>C-*</t>
    <phoneticPr fontId="2"/>
  </si>
  <si>
    <t>D-*</t>
    <phoneticPr fontId="2"/>
  </si>
  <si>
    <t>E-*</t>
    <phoneticPr fontId="2"/>
  </si>
  <si>
    <t>F-*</t>
    <phoneticPr fontId="2"/>
  </si>
  <si>
    <t>G-*</t>
    <phoneticPr fontId="2"/>
  </si>
  <si>
    <t>WBS — 基本設計から詳細設計・構築への作業分解（Design Unit）</t>
  </si>
  <si>
    <t>DU-U2-01</t>
  </si>
  <si>
    <t>Realm/Organizations 構成</t>
  </si>
  <si>
    <t>Config</t>
  </si>
  <si>
    <t>broker/idp の2領域＋所属単位の定義（1顧客=1所属）</t>
  </si>
  <si>
    <t>両領域がコード管理で再現でき、所属の属性は表示名と判定方式のみ</t>
  </si>
  <si>
    <t>DU-U6-01</t>
  </si>
  <si>
    <t>—</t>
  </si>
  <si>
    <t>S</t>
  </si>
  <si>
    <t>🔒 確定</t>
  </si>
  <si>
    <t>v1.0（2026-08-10）</t>
  </si>
  <si>
    <t>DU-U2-02</t>
  </si>
  <si>
    <t>2層間フェデレーション</t>
  </si>
  <si>
    <t>接続枠・属性グループ・変換定義</t>
  </si>
  <si>
    <t>DU-U2-01, DU-U6-05</t>
  </si>
  <si>
    <t>M</t>
  </si>
  <si>
    <t>🟡 ゲート待ち</t>
  </si>
  <si>
    <t>DU-U2-03</t>
  </si>
  <si>
    <t>認証フロー5系統</t>
  </si>
  <si>
    <t>ログイン／所属判定／初回連携／連携後／フォームの各フロー</t>
  </si>
  <si>
    <t>3系統に独自機能を配置し、全経路で初回自動作成が発火する</t>
  </si>
  <si>
    <t>DU-U2-04</t>
  </si>
  <si>
    <t>独自機能（3JAR／4機能）</t>
  </si>
  <si>
    <t>SPI</t>
  </si>
  <si>
    <t>所属判定／再有効化／作成経路の記録／計測の各拡張</t>
  </si>
  <si>
    <t>製品の対象版で4機能が動作し、フロー配置で発火。単体テストで固定</t>
  </si>
  <si>
    <t>L</t>
  </si>
  <si>
    <t>DU-U2-05</t>
  </si>
  <si>
    <t>通行証の項目定義</t>
  </si>
  <si>
    <t>載せる項目の辞書（最小構成、個人情報非搭載）</t>
  </si>
  <si>
    <t>辞書どおりに搭載され、保護対象の属性が上書きされない</t>
  </si>
  <si>
    <t>DU-U2-01, DU-U5-01</t>
  </si>
  <si>
    <t>DU-U2-06</t>
  </si>
  <si>
    <t>利用者項目スキーマの宣言</t>
  </si>
  <si>
    <t>持つ項目の明示宣言（メールは任意）</t>
  </si>
  <si>
    <t>新規・初回自動作成・管理者作成の3経路で、メール非保有の利用者が完走</t>
  </si>
  <si>
    <t>DU-U2-07</t>
  </si>
  <si>
    <t>旧来方式のID提供元テンプレート</t>
  </si>
  <si>
    <t>接続定義の雛形（識別名・署名方式）</t>
  </si>
  <si>
    <t>業務システム等に対してID提供元として振る舞える。変換定義も確定</t>
  </si>
  <si>
    <t>DU-U2-08</t>
  </si>
  <si>
    <t>1000件超のスケール設定</t>
  </si>
  <si>
    <t>Config / IaC</t>
  </si>
  <si>
    <t>必須対策7点（キャッシュ・所属判定・接続予算ほか）</t>
  </si>
  <si>
    <t>実測ゲートの合格基準（基準値比+10%以内）を満たす</t>
  </si>
  <si>
    <t>DU-U6-02</t>
  </si>
  <si>
    <t>DU-U3-01</t>
  </si>
  <si>
    <t>3階層識別子＋ID対応表</t>
  </si>
  <si>
    <t>IaC</t>
  </si>
  <si>
    <t>権限系データベースのスキーマ</t>
  </si>
  <si>
    <t>ブランド識別子を一級キーとし、ブランド跨ぎの結合が構造的に不能。不変条件4点を制約で担保</t>
  </si>
  <si>
    <t>DU-U6-03</t>
  </si>
  <si>
    <t>DU-U3-02</t>
  </si>
  <si>
    <t>作成経路6値＋判別ロジック</t>
  </si>
  <si>
    <t>SPI / Config</t>
  </si>
  <si>
    <t>初回自動作成と自動同期の判別（判定1〜3、6ケース）</t>
  </si>
  <si>
    <t>自動同期フラグが最優先、除外条件と安全側拒否が単体テストで固定</t>
  </si>
  <si>
    <t>DU-U3-03</t>
  </si>
  <si>
    <t>利用者自動同期の受け口（自作）</t>
  </si>
  <si>
    <t>App</t>
  </si>
  <si>
    <t>受信用の関数（2方向）＋属性の正準化</t>
  </si>
  <si>
    <t>各社の検証ツールに合格、削除要求を停止処理へ写像、顧客の二重照合</t>
  </si>
  <si>
    <t>DU-U3-04</t>
  </si>
  <si>
    <t>統合コンテキストの射影</t>
  </si>
  <si>
    <t>App / IaC</t>
  </si>
  <si>
    <t>読み取り専用ストア＋3つの書込経路</t>
  </si>
  <si>
    <t>本人向けの文脈取得が1回の読み取りで完結し越境ゼロ、読取性能がゲート合格</t>
  </si>
  <si>
    <t>DU-U3-01, DU-U3-03</t>
  </si>
  <si>
    <t>DU-U3-05</t>
  </si>
  <si>
    <t>削除・停止の確実な伝播</t>
  </si>
  <si>
    <t>取りこぼし防止の中継関数＋中央の影ユーザ制御関数</t>
  </si>
  <si>
    <t>停止処理と送信記録を1トランザクションで書き、必達送信・冪等・数分で突合</t>
  </si>
  <si>
    <t>DU-U3-01, DU-U6-01, DU-U6-05</t>
  </si>
  <si>
    <t>DU-U3-06</t>
  </si>
  <si>
    <t>状態機械＋3段階削除</t>
  </si>
  <si>
    <t>Config / App</t>
  </si>
  <si>
    <t>4状態の遷移＋遮断・停止・物理削除</t>
  </si>
  <si>
    <t>停止日時を必ず記録し、それを起算とする。影ユーザは対象外</t>
  </si>
  <si>
    <t>DU-U3-07</t>
  </si>
  <si>
    <t>再有効化の統合</t>
  </si>
  <si>
    <t>同一トランザクションでの判定</t>
  </si>
  <si>
    <t>誤発火シナリオを単体テストで固定し、再有効化を監査記録</t>
  </si>
  <si>
    <t>DU-U2-04, DU-U3-02</t>
  </si>
  <si>
    <t>DU-U3-08</t>
  </si>
  <si>
    <t>90日休眠バッチ</t>
  </si>
  <si>
    <t>クラスタ内の定期ジョブ（関数実行は不採用）</t>
  </si>
  <si>
    <t>初回自動作成分のみ対象、影ユーザ除外、1000万規模で完走</t>
  </si>
  <si>
    <t>DU-U6-02, DU-U3-06</t>
  </si>
  <si>
    <t>DU-U4-01</t>
  </si>
  <si>
    <t>識別子先行＋所属判定のUX</t>
  </si>
  <si>
    <t>Config / Theme</t>
  </si>
  <si>
    <t>ログイン画面（接続先一覧非表示）＋判定失敗時の降格</t>
  </si>
  <si>
    <t>応答の同一化・書式ヒント・パスワード画面への降格が全応答で貫徹</t>
  </si>
  <si>
    <t>DU-U4-02</t>
  </si>
  <si>
    <t>ブランディング（統一テーマ1本）</t>
  </si>
  <si>
    <t>Theme</t>
  </si>
  <si>
    <t>中立テーマ（文言集約、直書き禁止）</t>
  </si>
  <si>
    <t>DU-U4-03</t>
  </si>
  <si>
    <t>追加確認のUX 4ケース</t>
  </si>
  <si>
    <t>Theme / Config</t>
  </si>
  <si>
    <t>パスキー／認証アプリの登録画面</t>
  </si>
  <si>
    <t>DU-U4-01, DU-U7-08</t>
  </si>
  <si>
    <t>DU-U4-04</t>
  </si>
  <si>
    <t>着地画面（許可サービス一覧）</t>
  </si>
  <si>
    <t>タイル表示の独立アプリ</t>
  </si>
  <si>
    <t>直接URLからのみ着地し、利用可能アプリ一覧APIで表示判定</t>
  </si>
  <si>
    <t>DU-U10-02</t>
  </si>
  <si>
    <t>DU-U4-05</t>
  </si>
  <si>
    <t>権限不足画面</t>
  </si>
  <si>
    <t>表示必須6項目・表示禁止5項目</t>
  </si>
  <si>
    <t>アプリ側からの誘導規約と実装義務が契約に反映される</t>
  </si>
  <si>
    <t>DU-U5-05</t>
  </si>
  <si>
    <t>DU-U4-06</t>
  </si>
  <si>
    <t>アクセシビリティ準拠</t>
  </si>
  <si>
    <t>Doc / Test</t>
  </si>
  <si>
    <t>準拠＋自動検査＋手動・当事者テスト</t>
  </si>
  <si>
    <t>★要件化またはレベル決定を着手前に行う（監査で要件不在と判明）。全10画面準拠</t>
  </si>
  <si>
    <t>DU-U4-01〜05</t>
  </si>
  <si>
    <t>🆕 新規（要件化が先行）</t>
  </si>
  <si>
    <t>DU-U4-07</t>
  </si>
  <si>
    <t>多言語・日本語ロケールの明示</t>
  </si>
  <si>
    <t>Config / Doc</t>
  </si>
  <si>
    <t>文言集約＋「今回は日本語のみ」の決定</t>
  </si>
  <si>
    <t>将来の多言語化の余地を確認し、決定を明文化</t>
  </si>
  <si>
    <t>🆕 新規（決定化が先行）</t>
  </si>
  <si>
    <t>DU-U4-08</t>
  </si>
  <si>
    <t>セルフサービスのパスワード再設定画面</t>
  </si>
  <si>
    <t>再設定画面</t>
  </si>
  <si>
    <t>自社受け皿収容の利用者が自己再設定を完走（本人確認方式の決定が前提）</t>
  </si>
  <si>
    <t>DU-U4-09</t>
  </si>
  <si>
    <t>App / Theme</t>
  </si>
  <si>
    <t>自分のセッション一覧＋自己失効</t>
  </si>
  <si>
    <t>利用者が自分の端末を失効でき、本基盤のセッションのみが対象</t>
  </si>
  <si>
    <t>v1.1（2026-08-12 再監査）</t>
  </si>
  <si>
    <t>DU-U4-10</t>
  </si>
  <si>
    <t>2台目・再登録時の再確認を必須化</t>
  </si>
  <si>
    <t>第1要素だけでの追加登録を拒否する</t>
  </si>
  <si>
    <t>DU-U5-01</t>
  </si>
  <si>
    <t>項目辞書＋有効時間の確定</t>
  </si>
  <si>
    <t>最小構成の項目＋通行証30分・引換券の更新方式</t>
  </si>
  <si>
    <t>個人情報非搭載の検証7項目が3箇所（レビュー・自動検査・四半期監査）で回る</t>
  </si>
  <si>
    <t>DU-U5-02</t>
  </si>
  <si>
    <t>通行証の引き換え（2方式）</t>
  </si>
  <si>
    <t>引き換え用の登録枠設定</t>
  </si>
  <si>
    <t>委譲となりすましの境界が権限範囲で表現され、監査記録が必須</t>
  </si>
  <si>
    <t>DU-U5-03</t>
  </si>
  <si>
    <t>失効・緊急停止・一括ログアウト</t>
  </si>
  <si>
    <t>一括無効化＋強制失効＋サーバ間ログアウト通知</t>
  </si>
  <si>
    <t>3粒度の強制ログアウトが成立し、取り消し漏れ時間30分以内、緊急手順と連動</t>
  </si>
  <si>
    <t>DU-U5-01, DU-U7-03</t>
  </si>
  <si>
    <t>DU-U5-04</t>
  </si>
  <si>
    <t>管理API の操作範囲＋機械認証</t>
  </si>
  <si>
    <t>操作範囲セット（対象×操作の2軸）</t>
  </si>
  <si>
    <t>読取・書込・停止などが機械認証で開放され、物理削除の範囲は定義しない</t>
  </si>
  <si>
    <t>DU-U5-01, DU-U10-02</t>
  </si>
  <si>
    <t>受け取り側実装ガイド</t>
  </si>
  <si>
    <t>Doc</t>
  </si>
  <si>
    <t>構成規約＋権限不足時の規約＋残余リスクの契約明示</t>
  </si>
  <si>
    <t>アプリ開発者の実装義務（画面誘導、画面だけの構成の限界）が契約とガイドに落ちる</t>
  </si>
  <si>
    <t>DU-U5-06</t>
  </si>
  <si>
    <t>自前のイベント送出＋配信ストリーム管理＋受信部品</t>
  </si>
  <si>
    <t>今回は暫定のつなぎ＋希望する受け取り側へ失効を配信し、高価値経路で数秒化</t>
  </si>
  <si>
    <t>DU-U3-05, DU-U5-03</t>
  </si>
  <si>
    <t>DU-U5-07</t>
  </si>
  <si>
    <t>プロトコル堅牢化</t>
  </si>
  <si>
    <t>検証7点／API層の再認証要求／同時セッション上限／引き換えの委譲制御</t>
  </si>
  <si>
    <t>7点検証＋重要APIのチャレンジ＋管理系のセッション上限が成立</t>
  </si>
  <si>
    <t>DU-U5-01, DU-U2-03</t>
  </si>
  <si>
    <t>6アカウント＋越境8経路</t>
  </si>
  <si>
    <t>組織・アカウント構成＋アカウント跨ぎのイベント連携</t>
  </si>
  <si>
    <t>越境はイベント8経路と私設接続のみ。権限の相互信頼を作らない</t>
  </si>
  <si>
    <t>DU-U9I-01</t>
  </si>
  <si>
    <t>2クラスタ＋ノード群</t>
  </si>
  <si>
    <t>仲介側と自社受け皿側のクラスタ（2系統のノード群・サイジング）</t>
  </si>
  <si>
    <t>少数大型構成、接続予算の規約、規模検証用データセットと併走可能</t>
  </si>
  <si>
    <t>データベース2系統（認証系と権限系の分離）</t>
  </si>
  <si>
    <t>認証用と権限用を別鍵・別権限・別通信許可で分離</t>
  </si>
  <si>
    <t>DU-U6-01, DU-U7-01</t>
  </si>
  <si>
    <t>DU-U6-04</t>
  </si>
  <si>
    <t>入口3系統</t>
  </si>
  <si>
    <t>認証用／API用／画面配信用の各経路</t>
  </si>
  <si>
    <t>要求仕様に準拠し、API用は防御装置の経路外で成立。他組織へ要求仕様を発行</t>
  </si>
  <si>
    <t>DU-U6-05</t>
  </si>
  <si>
    <t>内部接続点＋私設経路</t>
  </si>
  <si>
    <t>管理用の内部限定の接続点＋2層間の裏側通信</t>
  </si>
  <si>
    <t>DU-U6-06</t>
  </si>
  <si>
    <t>管理APIの実行基盤</t>
  </si>
  <si>
    <t>関数実行＋API入口（通行証の一次検証）＋専用サブネット</t>
  </si>
  <si>
    <t>別の障害ドメインに分離し、起動遅延を許容する設計</t>
  </si>
  <si>
    <t>DU-U6-01, DU-U6-04</t>
  </si>
  <si>
    <t>DU-U6-07</t>
  </si>
  <si>
    <t>外部通信を持たない構成／許可ルールの要求</t>
  </si>
  <si>
    <t>IaC / Doc</t>
  </si>
  <si>
    <t>接続点群＋外部通信の許可ルール要求（他組織向け）</t>
  </si>
  <si>
    <t>顧客のID基盤1000件超の許可申請フローが成立。旧方式の撤去も反映</t>
  </si>
  <si>
    <t>DU-U6-08</t>
  </si>
  <si>
    <t>管理画面3層防御＋管理用ホスト名分離</t>
  </si>
  <si>
    <t>IaC / Config</t>
  </si>
  <si>
    <t>負荷分散装置での拒否＋通信許可の限定＋ホスト名分離</t>
  </si>
  <si>
    <t>一般利用者の経路では管理画面が拒否され、専用経路のみ到達可能</t>
  </si>
  <si>
    <t>DU-U6-09</t>
  </si>
  <si>
    <t>ネットワーク番号の割当計画の凍結</t>
  </si>
  <si>
    <t>Doc / IaC</t>
  </si>
  <si>
    <t>番号台帳（自社4系統＋他組織＋顧客）</t>
  </si>
  <si>
    <t>★構築後は変更不可のため構築前に凍結。重複がないことを確認済み</t>
  </si>
  <si>
    <t>DU-U6-10</t>
  </si>
  <si>
    <t>テナント隔離の契約化・公平性</t>
  </si>
  <si>
    <t>認証フローの顧客別レート制限＋所属情報の一貫強制＋領域分離の基準</t>
  </si>
  <si>
    <t>1顧客の急増が他を枯渇させない。分離への脱出条件を明文化</t>
  </si>
  <si>
    <t>DU-U6-02, DU-U6-04</t>
  </si>
  <si>
    <t>DU-U7-01</t>
  </si>
  <si>
    <t>暗号鍵の3階層と6アカウントへの写像</t>
  </si>
  <si>
    <t>鍵の命名と鍵ポリシー3ロール（管理・利用・監査）</t>
  </si>
  <si>
    <t>職務分離が成立し、利用は実行環境の権限のみ。削除・変更は即時通知</t>
  </si>
  <si>
    <t>DU-U7-02</t>
  </si>
  <si>
    <t>署名鍵の90日入れ替え</t>
  </si>
  <si>
    <t>90日周期＋旧鍵30日並走の定期ジョブ</t>
  </si>
  <si>
    <t>入れ替えを監視し、失敗時の手動手順と受け取り側の追随を確認</t>
  </si>
  <si>
    <t>DU-U2-01, DU-U7-01</t>
  </si>
  <si>
    <t>DU-U7-03</t>
  </si>
  <si>
    <t>不正検知エンジン</t>
  </si>
  <si>
    <t>イベント送出→判定エンジン（4シグナル）</t>
  </si>
  <si>
    <t>漏洩パスワード照合と総当たり検知が動作。当初は通知のみ</t>
  </si>
  <si>
    <t>DU-U6-01, DU-U2-04</t>
  </si>
  <si>
    <t>DU-U7-04</t>
  </si>
  <si>
    <t>ログの秘匿情報マスキング辞書</t>
  </si>
  <si>
    <t>App / Config</t>
  </si>
  <si>
    <t>集約役でのマスキング集中適用（14項目）</t>
  </si>
  <si>
    <t>全ソースがマスキング通過後に保存され、平文が残らない</t>
  </si>
  <si>
    <t>DU-U9O-02</t>
  </si>
  <si>
    <t>DU-U7-05</t>
  </si>
  <si>
    <t>実行環境の権限</t>
  </si>
  <si>
    <t>実行主体ごとの権限と信頼設定</t>
  </si>
  <si>
    <t>人間への鍵付与を禁止し、実行主体単位で最小権限</t>
  </si>
  <si>
    <t>DU-U6-02, DU-U7-01</t>
  </si>
  <si>
    <t>DU-U7-06</t>
  </si>
  <si>
    <t>特権管理＋緊急用アカウント</t>
  </si>
  <si>
    <t>権限管理サービス＋セッション管理＋緊急経路</t>
  </si>
  <si>
    <t>初期フェーズの実装10項目、役員承認、監査記録、訓練手順</t>
  </si>
  <si>
    <t>DU-U6-08, DU-U7-01</t>
  </si>
  <si>
    <t>DU-U7-07</t>
  </si>
  <si>
    <t>認証系と権限系の4軸分離</t>
  </si>
  <si>
    <t>データベース・鍵・権限・通信許可の4軸で分離</t>
  </si>
  <si>
    <t>橋渡しコンポーネントを最小権限とし、将来の2アカウント分割の条件を維持</t>
  </si>
  <si>
    <t>DU-U7-08</t>
  </si>
  <si>
    <t>パスワードポリシー／追加確認の要素</t>
  </si>
  <si>
    <t>12文字・履歴5世代・初回強制・パスキー・認証アプリ（メールは除外）</t>
  </si>
  <si>
    <t>決定を反映。顧客側ID基盤の利用者は対象外。両領域にポリシー適用</t>
  </si>
  <si>
    <t>DU-U7-09</t>
  </si>
  <si>
    <t>自動化攻撃・大量アクセス対策</t>
  </si>
  <si>
    <t>Doc / Config</t>
  </si>
  <si>
    <t>他組織への要求明細＋自社側の最低防御線</t>
  </si>
  <si>
    <t>他組織側が不成立でも最低限の防御が成立。次段階への移行条件も定義</t>
  </si>
  <si>
    <t>DU-U7-10</t>
  </si>
  <si>
    <t>非人間IDの台帳</t>
  </si>
  <si>
    <t>台帳＋命名規約＋孤立検知の定期ジョブ＋失効伝播</t>
  </si>
  <si>
    <t>責任者を必須とし、90日で孤立を検知。失効は既存の伝播機構を再利用</t>
  </si>
  <si>
    <t>DU-U3-01, DU-U7-05</t>
  </si>
  <si>
    <t>DU-U7-11</t>
  </si>
  <si>
    <t>App / Doc</t>
  </si>
  <si>
    <t>同意の記録＋撤回＋レシート</t>
  </si>
  <si>
    <t>越境・第三者提供が絡む顧客で記録と撤回ができる</t>
  </si>
  <si>
    <t>DU-U8-01</t>
  </si>
  <si>
    <t>内部目標値＋消費速度の警報</t>
  </si>
  <si>
    <t>4サービスの内部目標＋消費速度による多段警報</t>
  </si>
  <si>
    <t>記録ルールと警報を実装。性能目標（応答時間・処理能力）も反映</t>
  </si>
  <si>
    <t>DU-U9O-01</t>
  </si>
  <si>
    <t>DU-U8-02</t>
  </si>
  <si>
    <t>手動コールド復旧（およそ14日）</t>
  </si>
  <si>
    <t>予備地域のオンデマンド再構築</t>
  </si>
  <si>
    <t>2つの障害シナリオを区別。エッジの自動切替は撤回</t>
  </si>
  <si>
    <t>DU-U8-03</t>
  </si>
  <si>
    <t>データ保全3層</t>
  </si>
  <si>
    <t>継続複製＋時点復元＋変更不能な控え</t>
  </si>
  <si>
    <t>3層が並立し、控えは別地域へ複製される</t>
  </si>
  <si>
    <t>DU-U8-04</t>
  </si>
  <si>
    <t>復旧手順書＋訓練</t>
  </si>
  <si>
    <t>再構築・復元の手順書＋復旧訓練</t>
  </si>
  <si>
    <t>DU-U8-02, DU-U8-03</t>
  </si>
  <si>
    <t>DU-U8-05</t>
  </si>
  <si>
    <t>復元2経路</t>
  </si>
  <si>
    <t>コード再適用＋継続複製（一括書き出しは全廃）</t>
  </si>
  <si>
    <t>両経路が独立に成立し、設定投入ツール不採用と整合</t>
  </si>
  <si>
    <t>DU-U9I-01, DU-U8-03</t>
  </si>
  <si>
    <t>U9 運用・IaC</t>
  </si>
  <si>
    <t>コード管理2層＋管理単位の分離</t>
  </si>
  <si>
    <t>モジュール分割＋管理単位のマトリクス</t>
  </si>
  <si>
    <t>基盤層とテナント層が分離され、日次でずれを検知</t>
  </si>
  <si>
    <t>DU-U9I-02</t>
  </si>
  <si>
    <t>継続的な組み立てと配信</t>
  </si>
  <si>
    <t>自動化サービス＋コードからの同期＋イメージ置き場</t>
  </si>
  <si>
    <t>版数固定、供給網対応、秘密情報の直書きを自動検査で拒否</t>
  </si>
  <si>
    <t>U9 運用・監視</t>
  </si>
  <si>
    <t>計測基盤＋接続先件数の関数監視</t>
  </si>
  <si>
    <t>IaC / App</t>
  </si>
  <si>
    <t>収集役＋計装</t>
  </si>
  <si>
    <t>接続先追加の前後を比較でき、系列数の規約と抽出率も定義</t>
  </si>
  <si>
    <t>ログ3層＋監視製品連携</t>
  </si>
  <si>
    <t>即時参照90日／長期7年（変更不能）／相関</t>
  </si>
  <si>
    <t>全ソースがマスキング後に保存され、予備地域にも配備。週1で監査スキャン</t>
  </si>
  <si>
    <t>DU-U6-01, DU-U7-04</t>
  </si>
  <si>
    <t>DU-U9O-03</t>
  </si>
  <si>
    <t>手順書体系＋禁則集</t>
  </si>
  <si>
    <t>手順書35冊（必須13冊）＋禁則11項目</t>
  </si>
  <si>
    <t>各DU</t>
  </si>
  <si>
    <t>DU-U9O-04</t>
  </si>
  <si>
    <t>顧客追加パイプライン</t>
  </si>
  <si>
    <t>6ステップの自動化（自作API）</t>
  </si>
  <si>
    <t>接続情報の自動更新を実機確認し、証明書の入れ替え運用も確立</t>
  </si>
  <si>
    <t>DU-U2-01, DU-U9I-01</t>
  </si>
  <si>
    <t>DU-U9O-05</t>
  </si>
  <si>
    <t>常時監視用の自動アクセス</t>
  </si>
  <si>
    <t>外形監視＋認証実装漏れの検知</t>
  </si>
  <si>
    <t>自社の監査アカウントに集約し、アプリ台帳と連携</t>
  </si>
  <si>
    <t>DU-U9O-06</t>
  </si>
  <si>
    <t>決定ログ（サンプリング）＋3層の定期棚卸し</t>
  </si>
  <si>
    <t>拒否と高権限は全件記録。棚卸しの完了記録を残す</t>
  </si>
  <si>
    <t>DU-U10-02, DU-U9O-02</t>
  </si>
  <si>
    <t>DU-U9O-07</t>
  </si>
  <si>
    <t>非本番の個人情報マスキング</t>
  </si>
  <si>
    <t>IaC / CI</t>
  </si>
  <si>
    <t>マスキングまたは合成データ＋平文非着地の機械検査</t>
  </si>
  <si>
    <t>非本番に本番の個人情報が入らない。負荷試験データも合成</t>
  </si>
  <si>
    <t>DU-U10-01</t>
  </si>
  <si>
    <t>業務システム連携</t>
  </si>
  <si>
    <t>Config / Test</t>
  </si>
  <si>
    <t>接続定義＋自動同期から旧来方式への連携</t>
  </si>
  <si>
    <t>突合項目の一致、基盤起点の遷移を無効化、実機検証を実施</t>
  </si>
  <si>
    <t>DU-U2-07, DU-U3-03</t>
  </si>
  <si>
    <t>管理API v1</t>
  </si>
  <si>
    <t>管理API の関数実行＋仕様定義2本＋本人向けAPI</t>
  </si>
  <si>
    <t>DU-U6-06, DU-U3-01, DU-U5-04</t>
  </si>
  <si>
    <t>DU-U10-03</t>
  </si>
  <si>
    <t>出来事通知の配信</t>
  </si>
  <si>
    <t>署名＋待避キュー＋再送8回24時間＋保管14日</t>
  </si>
  <si>
    <t>配信7種、個人情報非搭載、冪等、リプレイ防止</t>
  </si>
  <si>
    <t>DU-U10-04</t>
  </si>
  <si>
    <t>移行4集団</t>
  </si>
  <si>
    <t>Doc / App</t>
  </si>
  <si>
    <t>パスワード方式の判定＋旧ID対応＋引き当て</t>
  </si>
  <si>
    <t>突合項目の選定、内部IDの保全、集団別の移行手順</t>
  </si>
  <si>
    <t>DU-U10-05</t>
  </si>
  <si>
    <t>データ主体の権利対応（手動）</t>
  </si>
  <si>
    <t>消去要求対応の手順書（仮名化＋7年保管、応答期限の決定）</t>
  </si>
  <si>
    <t>物理削除しない方針。応答日数を契約で確定</t>
  </si>
  <si>
    <t>DU-U10-06</t>
  </si>
  <si>
    <t>退職時の遮断連鎖</t>
  </si>
  <si>
    <t>遮断連鎖＋一括ログアウト＋残余時間の契約明示</t>
  </si>
  <si>
    <t>業務システム側の利用者を残置しつつ認証チェーンで遮断。残余30分を契約化</t>
  </si>
  <si>
    <t>DU-U10-07</t>
  </si>
  <si>
    <t>消去と監査保持の境界</t>
  </si>
  <si>
    <t>消去対象と仮名化保持の境界＋決定ログの仮名化</t>
  </si>
  <si>
    <t>都度判断ではなく境界を契約に明記</t>
  </si>
  <si>
    <t>DU数</t>
  </si>
  <si>
    <t>フェーズ</t>
  </si>
  <si>
    <t>要件定義</t>
  </si>
  <si>
    <t>基本設計</t>
  </si>
  <si>
    <t>フェーズ別の残り</t>
  </si>
  <si>
    <t>残り（検討中＋外部待ち）</t>
  </si>
  <si>
    <t>DU-ID</t>
    <phoneticPr fontId="2"/>
  </si>
  <si>
    <t>単元グループ</t>
    <phoneticPr fontId="2"/>
  </si>
  <si>
    <t>単元名</t>
    <phoneticPr fontId="2"/>
  </si>
  <si>
    <t>成果物種別</t>
    <phoneticPr fontId="2"/>
  </si>
  <si>
    <t>主要成果物</t>
    <phoneticPr fontId="2"/>
  </si>
  <si>
    <t>完了定義（DoD）</t>
    <phoneticPr fontId="2"/>
  </si>
  <si>
    <t>依存DU</t>
    <phoneticPr fontId="2"/>
  </si>
  <si>
    <t>PoCゲート</t>
    <phoneticPr fontId="2"/>
  </si>
  <si>
    <t>工数(S/M/L)</t>
    <phoneticPr fontId="2"/>
  </si>
  <si>
    <t>人日（詳細設計＋構築）</t>
    <phoneticPr fontId="2"/>
  </si>
  <si>
    <t>②詳細設計</t>
  </si>
  <si>
    <t>②詳細設計</t>
    <phoneticPr fontId="2"/>
  </si>
  <si>
    <t>③構築</t>
  </si>
  <si>
    <t>③構築</t>
    <phoneticPr fontId="2"/>
  </si>
  <si>
    <t>区分</t>
    <phoneticPr fontId="2"/>
  </si>
  <si>
    <t>状態</t>
    <phoneticPr fontId="2"/>
  </si>
  <si>
    <t>追加時期</t>
    <phoneticPr fontId="2"/>
  </si>
  <si>
    <t>出典（決定）</t>
    <phoneticPr fontId="2"/>
  </si>
  <si>
    <t>🔴 Phase 1 必須</t>
  </si>
  <si>
    <t>00b（v1.0/1.1）</t>
  </si>
  <si>
    <t>仲介側から自社受け皿への認可コード／鍵情報／利用者情報の取得が私設経路で成立。【2026-08-12 監査で追記】ログアウト連鎖時の本人確認情報の受け渡しを明示（§2.2.5）</t>
  </si>
  <si>
    <t>DU-U2-09</t>
  </si>
  <si>
    <t>ブランド＝領域のマルチ領域モデリング</t>
  </si>
  <si>
    <t>ブランドごとに領域を分ける方式の設計</t>
  </si>
  <si>
    <t>★着手前の先行判断が必要。現行の単一領域・単一発行元の前提と正面衝突する</t>
  </si>
  <si>
    <t>🟡 将来・条件付</t>
  </si>
  <si>
    <t>🟡 将来（先行判断要）</t>
  </si>
  <si>
    <t>v1.2（2026-08-12 GAP監査）</t>
  </si>
  <si>
    <t>§3.8.0 / ADR-063</t>
  </si>
  <si>
    <t>DU-U2-10</t>
  </si>
  <si>
    <t>2層間のセッション整合</t>
  </si>
  <si>
    <t>ログアウト連鎖・有効時間・強度・入力補助値の整合（5つの課題）</t>
  </si>
  <si>
    <t>2層をまたいでセッションの状態と強度が矛盾なく伝わる</t>
  </si>
  <si>
    <t>§2.2.5 GAP-1〜5</t>
  </si>
  <si>
    <t>DU-U3-09</t>
  </si>
  <si>
    <t>再有効化の対称伝播</t>
  </si>
  <si>
    <t>自社受け皿側で復活したとき仲介側の影ユーザも有効化する</t>
  </si>
  <si>
    <t>停止と復活の双方向が同じ確実さで伝播する</t>
  </si>
  <si>
    <t>DU-U3-10</t>
  </si>
  <si>
    <t>初回の識別子通知の整合設計</t>
  </si>
  <si>
    <t>顧客側ID基盤経由の利用者の初回識別子をブランド側へ通知</t>
  </si>
  <si>
    <t>越境は書込時のみ・冪等・取りこぼしなし</t>
  </si>
  <si>
    <t>DU-U3-11</t>
  </si>
  <si>
    <t>属性の正準化ソース台帳</t>
  </si>
  <si>
    <t>顧客×属性ごとに正となる供給元を定義</t>
  </si>
  <si>
    <t>顧客写像・基盤付与・不要の3ケースが全属性で決まっている</t>
  </si>
  <si>
    <t>改ざん防止の隠しフィールドを変更しないことをレビュー必須項目に。【2026-08-12 監査で追記】外部連携利用者向けのテーマ上書きを明示</t>
  </si>
  <si>
    <t>4区分の利用者すべてでUXが完走し、代替手段への導線が成立。【2026-08-12 監査で追記】操作単位の再認証の専用文言を含める</t>
  </si>
  <si>
    <t>DU-U4-11</t>
  </si>
  <si>
    <t>認証器のみ・メール非保有の復旧</t>
  </si>
  <si>
    <t>2台目の事前登録推奨＋強度を下げない復旧経路</t>
  </si>
  <si>
    <t>永久的な締め出しが起きない</t>
  </si>
  <si>
    <t>DU-U5-08</t>
  </si>
  <si>
    <t>送信者拘束方式の運用サイジング準備</t>
  </si>
  <si>
    <t>使い捨て値の提供と再生防止キャッシュの容量設計</t>
  </si>
  <si>
    <t>1000万規模での容量と応答時間の見積りが出ている</t>
  </si>
  <si>
    <t>🟡 将来（次段階）</t>
  </si>
  <si>
    <t>両方に届く単一の権限や通信許可が存在しない。読み取り複製の余地も確保。【2026-08-12 監査で追記】接続プールの等値化を含める</t>
  </si>
  <si>
    <t>管理APIはインターネット非露出。通信許可を関数のみに限定し通信も暗号化。【2026-08-12 監査で追記】仲介側の影ユーザ制御も内部接続点経由であることを明示</t>
  </si>
  <si>
    <t>DU-U6-11</t>
  </si>
  <si>
    <t>内部接続点の通信暗号化基盤</t>
  </si>
  <si>
    <t>自社認証局・私設DNS・信頼設定＋通信制御</t>
  </si>
  <si>
    <t>管理APIへの経路が証明書で保護され、通信元も限定される</t>
  </si>
  <si>
    <t>ADR-062 / D-U6-11</t>
  </si>
  <si>
    <t>DU-U6-12</t>
  </si>
  <si>
    <t>メール送信基盤</t>
  </si>
  <si>
    <t>送信ドメイン認証3種＋接続点</t>
  </si>
  <si>
    <t>なりすまし対策が有効化され、通知メールが届く</t>
  </si>
  <si>
    <t>§A.4 A6a-1</t>
  </si>
  <si>
    <t>DU-U6-13</t>
  </si>
  <si>
    <t>名前解決の設計</t>
  </si>
  <si>
    <t>内外で解決結果を分ける構成＋共有・転送</t>
  </si>
  <si>
    <t>内部名は外部から引けず、必要な経路だけ解決できる</t>
  </si>
  <si>
    <t>DNS 3役割 / REQ-OUT-04</t>
  </si>
  <si>
    <t>DU-U7-12</t>
  </si>
  <si>
    <t>秘密情報の90日自動入れ替え</t>
  </si>
  <si>
    <t>2世代並走での無停止入れ替え</t>
  </si>
  <si>
    <t>期限超過がなくなり、入れ替え中もサービスが止まらない</t>
  </si>
  <si>
    <t>DU-U7-13</t>
  </si>
  <si>
    <t>供給網の検証点</t>
  </si>
  <si>
    <t>イメージ置き場と製品配布に脆弱性検査と署名検証を組み込む</t>
  </si>
  <si>
    <t>未検証のイメージがクラスタに到達する経路が構造的に消える</t>
  </si>
  <si>
    <t>D-U7-16 / ADR-046</t>
  </si>
  <si>
    <t>DU-U7-14</t>
  </si>
  <si>
    <t>漏えい報告の手順＋委託先監督</t>
  </si>
  <si>
    <t>報告7ステップ＋海外委託先の監督</t>
  </si>
  <si>
    <t>期限内の報告が回り、越境の扱いが契約で担保される</t>
  </si>
  <si>
    <t>D-U7-15 / 15b</t>
  </si>
  <si>
    <t>DU-U7-15</t>
  </si>
  <si>
    <t>管理API用クライアントの最小権限化</t>
  </si>
  <si>
    <t>権限を絞ったクライアント＋ブランド側の堅牢化</t>
  </si>
  <si>
    <t>橋渡しコンポーネントが乗っ取られても影響が限定される</t>
  </si>
  <si>
    <t>復旧目標を演習で実証。切り戻しは計画切替（喪失ゼロ）。【2026-08-12 監査で追記】論理破壊シナリオの訓練を下期に実施</t>
  </si>
  <si>
    <t>DU-U8-06</t>
  </si>
  <si>
    <t>地域内の可用性</t>
  </si>
  <si>
    <t>最小3台・同時停止許容・分散配置・自動増減・死活確認</t>
  </si>
  <si>
    <t>1拠点障害でサービスが継続する</t>
  </si>
  <si>
    <t>DU-U8-07</t>
  </si>
  <si>
    <t>データベースの地域内切替の調整</t>
  </si>
  <si>
    <t>切替時間の短縮と接続の早期再確立</t>
  </si>
  <si>
    <t>1分未満で自動切替が完了する</t>
  </si>
  <si>
    <t>DU-U8-08</t>
  </si>
  <si>
    <t>無停止デプロイ戦略</t>
  </si>
  <si>
    <t>製品更新・管理ソフト・独自機能の差し替え手順</t>
  </si>
  <si>
    <t>設定変更と修正版が無停止で当たる</t>
  </si>
  <si>
    <t>DU-U8-09</t>
  </si>
  <si>
    <t>セッション連続性と顧客への明示</t>
  </si>
  <si>
    <t>切替時は再認証となることの契約明記</t>
  </si>
  <si>
    <t>顧客との取り決めに残余の影響が書かれている</t>
  </si>
  <si>
    <t>DU-U8-10</t>
  </si>
  <si>
    <t>ブランド側の災害復旧対象化</t>
  </si>
  <si>
    <t>権限系データベースの時点復元と予備地域への保全</t>
  </si>
  <si>
    <t>ブランド側のデータも復旧対象に含まれる</t>
  </si>
  <si>
    <t>§8.2.2</t>
  </si>
  <si>
    <t>DU-U8-11</t>
  </si>
  <si>
    <t>削除伝播の災害復旧整合</t>
  </si>
  <si>
    <t>切替時に重複も欠落もなく1回だけ処理される</t>
  </si>
  <si>
    <t>切替をまたいでも停止処理が確実に1回伝播する</t>
  </si>
  <si>
    <t>DU-U3-05, DU-U8-02</t>
  </si>
  <si>
    <t>ADR-064</t>
  </si>
  <si>
    <t>DU-U8-12</t>
  </si>
  <si>
    <t>復旧方針の決定記録の改訂</t>
  </si>
  <si>
    <t>手動復旧への転換を決定記録に反映</t>
  </si>
  <si>
    <t>記録と設計書の記述が一致する</t>
  </si>
  <si>
    <t>§8.8</t>
  </si>
  <si>
    <t>DU-U9I-03</t>
  </si>
  <si>
    <t>管理API・糊付け関数の配信経路</t>
  </si>
  <si>
    <t>2アカウント向けの検証・本番パイプライン</t>
  </si>
  <si>
    <t>認証製品とは別系統で配信でき、障害範囲が分離される</t>
  </si>
  <si>
    <t>禁則が自動検査とレビューで機械強制される。【2026-08-12 監査で追記】社内ネットワーク経路との切替手順を含める</t>
  </si>
  <si>
    <t>DU-U9O-08</t>
  </si>
  <si>
    <t>管理API・影ユーザ制御・伝播関数の監視</t>
  </si>
  <si>
    <t>関数群の計測と警報</t>
  </si>
  <si>
    <t>糊付け部分の異常が検知できる</t>
  </si>
  <si>
    <t>§9.6.4</t>
  </si>
  <si>
    <t>DU-U9O-09</t>
  </si>
  <si>
    <t>管理操作ログの配置・保持の決定</t>
  </si>
  <si>
    <t>ブランド別か中央かの決定</t>
  </si>
  <si>
    <t>★決定が先行。配置と保持年数が確定している</t>
  </si>
  <si>
    <t>🔒 確定（決定先行）</t>
  </si>
  <si>
    <t>§9.3.2 / §9.3.3</t>
  </si>
  <si>
    <t>作成・変更・権限・射影の実体。利用者経路と機械経路で認可を差し替え。【2026-08-12 監査で追記】顧客開示用の監査ログ射影を含める</t>
  </si>
  <si>
    <t>DU-U10-08</t>
  </si>
  <si>
    <t>業務システム移行の並走4段階</t>
  </si>
  <si>
    <t>準備・試行・全社・パスワード無効化の手順書</t>
  </si>
  <si>
    <t>各段階の巻き戻し手段まで手順化されている</t>
  </si>
  <si>
    <t>DU-U10-09</t>
  </si>
  <si>
    <t>業務システム側の緊急用アカウント構成</t>
  </si>
  <si>
    <t>2〜3名分の緊急経路と統制</t>
  </si>
  <si>
    <t>本基盤の障害時も業務システムに入れる</t>
  </si>
  <si>
    <t>DU-U10-10</t>
  </si>
  <si>
    <t>業務システムから他アプリへの貫通</t>
  </si>
  <si>
    <t>機械認証での通行証取得と画面遷移の2フロー</t>
  </si>
  <si>
    <t>業務システムの先のAPIと画面に再ログインなしで到達できる</t>
  </si>
  <si>
    <t>§10.1.7</t>
  </si>
  <si>
    <t>DU-U10-11</t>
  </si>
  <si>
    <t>独自のパスワード方式変換部品</t>
  </si>
  <si>
    <t>旧方式を維持する場合のみ追加</t>
  </si>
  <si>
    <t>旧方式の利用者が再設定なしで移行できる</t>
  </si>
  <si>
    <t>🟡 将来（条件付）</t>
  </si>
  <si>
    <t>§10.4.2</t>
  </si>
  <si>
    <t>出典: doc/basic-design/00b-design-unit-breakdown.md ＋ research/wbs-gap-audit-2026-08-12.md（GAP監査 2026-08-12）。Gitからの派生ビュー（読み取り専用）</t>
  </si>
  <si>
    <t>1 DU = 1チームが1〜数スプリントで着手・完了を判定できる作業単位。人日は詳細設計＋構築の合算（バンド S≒3-5／M≒8-12／L≒15-25、±40%バッファ込み・テストとPoC環境費は別）。②詳細設計＝人日×0.40／③構築＝人日×0.60。④テストは単元別＋横断で別掲（右表）。①基本設計244人日はDUに配分しない別枠</t>
  </si>
  <si>
    <t>単元別 4工程内訳（④テストは単元別＋横断で別掲）</t>
  </si>
  <si>
    <t>単元</t>
  </si>
  <si>
    <t>人日（②+③）</t>
  </si>
  <si>
    <t>④テスト</t>
  </si>
  <si>
    <t>小計（②③④）</t>
  </si>
  <si>
    <t>横断（負荷試験・災害復旧訓練・疑似攻撃検査）</t>
  </si>
  <si>
    <t>工程4分割の全体像</t>
  </si>
  <si>
    <t>工程</t>
  </si>
  <si>
    <t>人日</t>
  </si>
  <si>
    <t>出典・スコープ</t>
  </si>
  <si>
    <t>① 基本設計クローズ</t>
  </si>
  <si>
    <t>00a §1-4（調査97＋検討147）。DUに配分しない横断作業で進行中。PoCゲート87を含む</t>
  </si>
  <si>
    <t>② 詳細設計</t>
  </si>
  <si>
    <t>③ 構築（実装＋単体）</t>
  </si>
  <si>
    <t>④ テスト</t>
  </si>
  <si>
    <t>単元別＋横断で別掲。PoCゲート（①に含む87）と重複調整済み</t>
  </si>
  <si>
    <t>②＋③＋④（これから作る工数）</t>
  </si>
  <si>
    <t>総計（①含む）</t>
  </si>
  <si>
    <t>重要な注記</t>
  </si>
  <si>
    <t>① GAP 28件の性質</t>
  </si>
  <si>
    <t>新規要件ではなく「既存決定の作業単位化漏れ」。すべて設計書またはADRに決定根拠がある。要件が増えたわけではない</t>
  </si>
  <si>
    <t>② 工数枠の比較不可</t>
  </si>
  <si>
    <t>本表の1,044人日は「詳細設計＋構築」。00a §6の325〜455人日は「構築＋テスト」で詳細設計を含まない。スコープが違うため単純比較・合算はできない</t>
  </si>
  <si>
    <t>③ 見積りの精度</t>
  </si>
  <si>
    <t>S/M/Lから人日への変換バンドは粗く上振れ傾向。ボトムアップ値をそのまま採るか、目標枠に合わせてバンドを縮小するか（例: 600人日台）は未決定でユーザー判断待ち</t>
  </si>
  <si>
    <t>④ 先行判断が必要 1</t>
  </si>
  <si>
    <t>「単一の領域」か「ブランドごとに領域を分ける」か。DU-U2-09 とエッジ側の発行元検証は、現行の単一領域・単一発行元の前提と正面衝突する。今回は1ブランドのため急がないが、方式だけ先に固定しないと将来の移行が発生する</t>
  </si>
  <si>
    <t>⑤ 先行判断が必要 2</t>
  </si>
  <si>
    <t>DU-U9O-09（管理操作ログをブランド別に置くか中央に置くか）も決定が先行する</t>
  </si>
  <si>
    <t>⑥ テストの扱い</t>
  </si>
  <si>
    <t>④テストは各DUに割らず、単元行と横断行で持つ。PoCゲート（①の244人日に含まれる87人日）と重複しないよう調整済み</t>
  </si>
  <si>
    <t>⑦ ①は別枠</t>
  </si>
  <si>
    <t>①基本設計244人日はDUに配分しない横断作業で、大半が進行中または完了。②〜④が新規に発生する工数</t>
  </si>
  <si>
    <t>GAP監査レポート §8 の per-DU 人日 合計1,044 × 40%。IaC・設定・文書系のDUは②と③がほぼ同一作業</t>
  </si>
  <si>
    <t>同 ×60%。独自機能・アプリ系のDUは③が厚め</t>
  </si>
  <si>
    <t>ADR（アーキテクチャ決定記録）一覧 — 全67本</t>
  </si>
  <si>
    <t>出典: doc/adr/00-index.md ＋ 各ADRファイル（commit 9511a58 時点）。Gitからの派生ビュー（読み取り専用）</t>
  </si>
  <si>
    <t>★ADR-061は索引（00-index.md）に未登録。ファイルは存在し内容も確定済みのため、本表では実ファイルから補って収録している（Git側の索引更新を推奨）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</si>
  <si>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</si>
  <si>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</si>
  <si>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</si>
  <si>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</si>
  <si>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</si>
  <si>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</si>
  <si>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</si>
  <si>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</si>
  <si>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</si>
  <si>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</si>
  <si>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</si>
  <si>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</si>
  <si>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</si>
  <si>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</si>
  <si>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</si>
  <si>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</si>
  <si>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</si>
  <si>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</si>
  <si>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</si>
  <si>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</si>
  <si>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</si>
  <si>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</si>
  <si>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</si>
  <si>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</si>
  <si>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</si>
  <si>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</si>
  <si>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</si>
  <si>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</si>
  <si>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</si>
  <si>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</si>
  <si>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</si>
  <si>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</si>
  <si>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</si>
  <si>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</si>
  <si>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</si>
  <si>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</si>
  <si>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</si>
  <si>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</si>
  <si>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</si>
  <si>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</si>
  <si>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</si>
  <si>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</si>
  <si>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</si>
  <si>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</si>
  <si>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</si>
  <si>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</si>
  <si>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</si>
  <si>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</si>
  <si>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</si>
  <si>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</si>
  <si>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</si>
  <si>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</si>
  <si>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</si>
  <si>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</si>
  <si>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</si>
  <si>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</si>
  <si>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</si>
  <si>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</si>
  <si>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</si>
  <si>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</si>
  <si>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</si>
  <si>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</si>
  <si>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</si>
  <si>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</si>
  <si>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</si>
  <si>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</si>
  <si>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</si>
  <si>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</si>
  <si>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</si>
  <si>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</si>
  <si>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</si>
  <si>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</si>
  <si>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</si>
  <si>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</si>
  <si>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</si>
  <si>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</si>
  <si>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</si>
  <si>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</si>
  <si>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</si>
  <si>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</si>
  <si>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</si>
  <si>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</si>
  <si>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</si>
  <si>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</si>
  <si>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</si>
  <si>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</si>
  <si>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</si>
  <si>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</si>
  <si>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</si>
  <si>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</si>
  <si>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</si>
  <si>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</si>
  <si>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</si>
  <si>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</si>
  <si>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</si>
  <si>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</si>
  <si>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</si>
  <si>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</si>
  <si>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</si>
  <si>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</si>
  <si>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</si>
  <si>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</si>
  <si>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</si>
  <si>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</si>
  <si>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</si>
  <si>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</si>
  <si>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</si>
  <si>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</si>
  <si>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</si>
  <si>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</si>
  <si>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</si>
  <si>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</si>
  <si>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</si>
  <si>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</si>
  <si>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</si>
  <si>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</si>
  <si>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</si>
  <si>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</si>
  <si>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</si>
  <si>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</si>
  <si>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</si>
  <si>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</si>
  <si>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</si>
  <si>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</si>
  <si>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</si>
  <si>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2026-06-24縮小: 認証APIのみ。その他はAPIプラットフォーム側</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</si>
  <si>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</si>
  <si>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</si>
  <si>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</si>
  <si>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</si>
  <si>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</si>
  <si>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</si>
  <si>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</si>
  <si>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</si>
  <si>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</si>
  <si>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</si>
  <si>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</si>
  <si>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</si>
  <si>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</si>
  <si>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</si>
  <si>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</si>
  <si>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</si>
  <si>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</si>
  <si>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</si>
  <si>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</si>
  <si>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</si>
  <si>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</si>
  <si>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</si>
  <si>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</si>
  <si>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</si>
  <si>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</si>
  <si>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</si>
  <si>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</si>
  <si>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</si>
  <si>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</si>
  <si>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</si>
  <si>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</si>
  <si>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</si>
  <si>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</si>
  <si>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</si>
  <si>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</si>
  <si>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</si>
  <si>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</si>
  <si>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</si>
  <si>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</si>
  <si>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</si>
  <si>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</si>
  <si>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</si>
  <si>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</si>
  <si>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</si>
  <si>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</si>
  <si>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</si>
  <si>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</si>
  <si>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</si>
  <si>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</si>
  <si>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</si>
  <si>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</si>
  <si>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</si>
  <si>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</si>
  <si>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</si>
  <si>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</si>
  <si>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</si>
  <si>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</si>
  <si>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</si>
  <si>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</si>
  <si>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</si>
  <si>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</si>
  <si>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</si>
  <si>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</si>
  <si>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将来のブランド拡張に備えてブランドをどの単位で隔離するか（現行の単一領域＋顧客所属のままか、ブランドごとに領域を分けるか）。権限系とID対応表をブランド側に置くか。物理分離をいつ判断するか</t>
  </si>
  <si>
    <t>ブランドユニット・アーキテクチャ（共有の仲介＋ブランド別のバックエンド）</t>
  </si>
  <si>
    <t>ADR-063。仲介は共有1つとし、権限系・ID対応表・射影はブランド側に配置。仲介は権限系を持たない。今回は1ブランドで、物理的なブランド別分割は将来。不変条件4点（識別子はグローバルに安定／ブランド識別子を一級キー／ブランド跨ぎの結合を作らない／仲介は共有関心のみ）。★先行判断=単一領域かブランド別領域かをU2・U6の着手前に確定する必要がある。影響=U2/U3/U6/U9</t>
  </si>
  <si>
    <t>方針は確定済み。ただし着手前の先行判断が残る</t>
  </si>
  <si>
    <t>ブランド隔離の単位</t>
  </si>
  <si>
    <t>P-BRAND-1</t>
  </si>
  <si>
    <t>adr/063-brand-unit-architecture.md</t>
  </si>
  <si>
    <t>管理コントロールプレーン（利用者管理API）をクラスタ常駐にするか関数実行にするか。認証製品の管理APIへの到達方式をどうするか</t>
  </si>
  <si>
    <t>管理APIの実行形態と到達方式</t>
  </si>
  <si>
    <t>ADR-062。管理APIは関数実行で確定。決め手は認証製品（最優先）と管理ツール（次位）を別の障害ドメインに分離すること。入口はAPI入口サービスのネイティブ統合、認証製品の管理APIへは内部限定の接続点（インターネット非露出＋通信元をSG限定＋通信暗号化＋アプリ層認証）。ブランド側を主役とし、中央には影ユーザ制御のみを置く（ADR-063）。残論点=内部接続点の証明書基盤、最小権限クライアント、起動遅延の緩和。影響=U6/U7/U9/U10</t>
  </si>
  <si>
    <t>方針は確定済み。実装面の残論点3点あり</t>
  </si>
  <si>
    <t>管理コントロールプレーン</t>
  </si>
  <si>
    <t>D-IDMAPI-1</t>
  </si>
  <si>
    <t>adr/062-idm-api-execution-form-lambda.md</t>
  </si>
  <si>
    <t>利用者の無効化（削除）を仲介側の影ユーザへどう確実に伝播させるか。再有効化も同じ確実さで対称に扱うか</t>
  </si>
  <si>
    <t>無効化の影ユーザへの確実な伝播</t>
  </si>
  <si>
    <t>ADR-064。自社受け皿側の停止処理をトリガーに、同一トランザクションで送信記録を書き、必達の中継を経て中央の影ユーザ制御が仲介側を無効化する（無効化＋発行時刻以前の無効化＋セッション取消）。数分間隔で突合。再有効化も対称に扱う（復活すれば影ユーザも有効化）。顧客側ID基盤の利用者は自動同期の削除要求または90日休眠バッチで処理。今回は停止処理までで、物理削除は次段階。影響=U3/U8/U9</t>
  </si>
  <si>
    <t>削除・停止の伝播</t>
  </si>
  <si>
    <t>D-DEPROV-1</t>
  </si>
  <si>
    <t>adr/064-deprovisioning-propagation-outbox.md</t>
  </si>
  <si>
    <t>ブランド分離のもとで、管理操作（書込・削除・権限変更）の監査ログをブランドごとに持つか中央の監査アカウントに集約するか。保持年数をどうするか</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</si>
  <si>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</si>
  <si>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</si>
  <si>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顧客・監査人の要求水準の確認待ち</t>
  </si>
  <si>
    <t>管理操作ログ</t>
  </si>
  <si>
    <t>B-AUDITLOG-BRAND-1</t>
  </si>
  <si>
    <t>09-operations-observability-design.md / adr/063</t>
  </si>
  <si>
    <t>検討3人日。包含=O-12（U6 §6.3.2）, U5 §5.8。【2026-08 決定を反映】実行形態＝関数実行（ADR-062）、ブランド側を主役とする入口構成（ADR-063）が確定。残論点＝アカウント跨ぎのイベント（削除伝播・初回識別子通知）のサービス間認可の再定義</t>
  </si>
  <si>
    <t>Should｜Cognito=AdminDeleteUser / Keycloak=Cascade Delete。PoC未検証。【2026-08 決定を反映】削除の伝播は取りこぼし防止方式で必達（ADR-064、D-DEPROV-1）。再有効化も対称に扱う</t>
  </si>
  <si>
    <t>(TBD)｜Cognito=AdminDeleteUser / Keycloak=Cascade Delete。基本設計は3段階削除。【2026-08 決定を反映】削除の伝播は取りこぼし防止方式で必達（ADR-064、D-DEPROV-1）。再有効化も対称に扱う</t>
  </si>
  <si>
    <t>検討4人日。削除連鎖=L1 Soft Delete→SAML拒否でL2遮断・sys_user残置。依存=B-SN群（暫定で骨子可）。包含=U10 §10.4, D-U10-06, B-SN-9/10/18/19。【2026-08 決定を反映】削除の伝播は取りこぼし防止方式で必達（ADR-064、D-DEPROV-1）。再有効化も対称に扱う</t>
  </si>
  <si>
    <t>方針は確定済み。サービス間認可の再定義が残る</t>
  </si>
  <si>
    <t>機能要件91＋非機能要件88＋顧客確認16。残りは主に顧客ヒアリング回答待ち</t>
  </si>
  <si>
    <t>前提21＋検証ゲート11＋設計タスク59。基本設計を閉じるまでの残作業</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</si>
</sst>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
    <numFmt numFmtId="180" formatCode="0.0"/>
  </numFmts>
  <fonts count="55">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9"/>
      <color rgb="FF0B6B2F"/>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sz val="8"/>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b/>
      <sz val="9"/>
      <color rgb="FFFFFFFF"/>
      <name val="Meiryo UI"/>
      <family val="2"/>
      <charset val="128"/>
    </font>
    <font>
      <b/>
      <sz val="12"/>
      <color theme="1"/>
      <name val="Meiryo UI"/>
      <family val="2"/>
      <charset val="128"/>
    </font>
    <font>
      <sz val="9"/>
      <color rgb="FF9C0006"/>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i/>
      <sz val="10"/>
      <color rgb="FFFF0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808080"/>
      <name val="Meiryo UI"/>
      <family val="2"/>
      <charset val="128"/>
    </font>
    <font>
      <sz val="9"/>
      <color theme="1"/>
      <name val="游ゴシック"/>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sz val="8"/>
      <color rgb="FF843C0C"/>
      <name val="Meiryo UI"/>
      <family val="2"/>
      <charset val="128"/>
    </font>
    <font>
      <sz val="8"/>
      <color rgb="FFBFBFBF"/>
      <name val="Meiryo UI"/>
      <family val="2"/>
      <charset val="128"/>
    </font>
    <font>
      <b/>
      <sz val="11"/>
      <color rgb="FFFFFFFF"/>
      <name val="游ゴシック"/>
      <family val="2"/>
      <charset val="128"/>
      <scheme val="minor"/>
    </font>
    <font>
      <b/>
      <sz val="11"/>
      <color theme="1"/>
      <name val="游ゴシック"/>
      <family val="2"/>
      <charset val="128"/>
      <scheme val="minor"/>
    </font>
    <font>
      <sz val="8"/>
      <color theme="1"/>
      <name val="游ゴシック"/>
      <family val="2"/>
      <charset val="128"/>
      <scheme val="minor"/>
    </font>
    <font>
      <sz val="8"/>
      <color rgb="FF595959"/>
      <name val="游ゴシック"/>
      <family val="2"/>
      <charset val="128"/>
      <scheme val="minor"/>
    </font>
  </fonts>
  <fills count="4">
    <fill>
      <patternFill patternType="none"/>
    </fill>
    <fill>
      <patternFill patternType="gray125"/>
    </fill>
    <fill>
      <patternFill patternType="solid">
        <fgColor rgb="FF1F3864"/>
        <bgColor indexed="64"/>
      </patternFill>
    </fill>
    <fill>
      <patternFill patternType="solid">
        <fgColor rgb="FF375623"/>
        <bgColor indexed="64"/>
      </patternFill>
    </fill>
  </fills>
  <borders count="19">
    <border>
      <left/>
      <right/>
      <top/>
      <bottom/>
      <diagonal/>
    </border>
    <border>
      <left/>
      <right style="thin">
        <color auto="1"/>
      </right>
      <top style="thin">
        <color rgb="FFD9D9D9"/>
      </top>
      <bottom style="thin">
        <color rgb="FFD9D9D9"/>
      </bottom>
      <diagonal/>
    </border>
    <border>
      <left style="thin">
        <color auto="1"/>
      </left>
      <right style="thin">
        <color auto="1"/>
      </right>
      <top style="thin">
        <color rgb="FFD9D9D9"/>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right style="thin">
        <color auto="1"/>
      </right>
      <top style="thin">
        <color auto="1"/>
      </top>
      <bottom style="thin">
        <color rgb="FFD9D9D9"/>
      </bottom>
      <diagonal/>
    </border>
    <border>
      <left/>
      <right style="thin">
        <color auto="1"/>
      </right>
      <top style="thin">
        <color rgb="FFD9D9D9"/>
      </top>
      <bottom style="thin">
        <color auto="1"/>
      </bottom>
      <diagonal/>
    </border>
    <border>
      <left style="thin">
        <color auto="1"/>
      </left>
      <right style="thin">
        <color auto="1"/>
      </right>
      <top style="thin">
        <color auto="1"/>
      </top>
      <bottom style="thin">
        <color rgb="FFD9D9D9"/>
      </bottom>
      <diagonal/>
    </border>
    <border>
      <left style="thin">
        <color auto="1"/>
      </left>
      <right style="thin">
        <color auto="1"/>
      </right>
      <top style="thin">
        <color rgb="FFD9D9D9"/>
      </top>
      <bottom style="thin">
        <color auto="1"/>
      </bottom>
      <diagonal/>
    </border>
  </borders>
  <cellStyleXfs count="1">
    <xf numFmtId="0" fontId="0" fillId="0" borderId="0">
      <alignment vertical="center"/>
    </xf>
  </cellStyleXfs>
  <cellXfs count="178">
    <xf numFmtId="0" fontId="0" fillId="0" borderId="0" xfId="0">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0" fontId="1" fillId="0" borderId="0" xfId="0" applyFont="1">
      <alignment vertical="center"/>
    </xf>
    <xf numFmtId="0" fontId="3" fillId="0" borderId="6" xfId="0" applyFont="1" applyBorder="1" applyAlignment="1">
      <alignment vertical="top"/>
    </xf>
    <xf numFmtId="0" fontId="3" fillId="0" borderId="10" xfId="0" applyFont="1" applyBorder="1" applyAlignment="1">
      <alignment vertical="top"/>
    </xf>
    <xf numFmtId="0" fontId="6" fillId="2" borderId="12" xfId="0" applyFont="1" applyFill="1" applyBorder="1" applyAlignment="1">
      <alignment horizontal="center" vertical="top"/>
    </xf>
    <xf numFmtId="0" fontId="6" fillId="2" borderId="13" xfId="0" applyFont="1" applyFill="1" applyBorder="1" applyAlignment="1">
      <alignment horizontal="center" vertical="top"/>
    </xf>
    <xf numFmtId="0" fontId="6" fillId="2" borderId="14" xfId="0" applyFont="1" applyFill="1" applyBorder="1" applyAlignment="1">
      <alignment horizontal="center" vertical="top"/>
    </xf>
    <xf numFmtId="0" fontId="3" fillId="0" borderId="6" xfId="0" applyFont="1" applyBorder="1" applyAlignment="1">
      <alignment horizontal="center" vertical="top"/>
    </xf>
    <xf numFmtId="0" fontId="3" fillId="0" borderId="10" xfId="0" applyFont="1" applyBorder="1" applyAlignment="1">
      <alignment horizontal="center" vertical="top"/>
    </xf>
    <xf numFmtId="0" fontId="7" fillId="2" borderId="12" xfId="0" applyFont="1" applyFill="1" applyBorder="1" applyAlignment="1">
      <alignment horizontal="center" vertical="center"/>
    </xf>
    <xf numFmtId="0" fontId="7" fillId="2" borderId="13" xfId="0" applyFont="1" applyFill="1" applyBorder="1" applyAlignment="1">
      <alignment horizontal="center" vertical="center"/>
    </xf>
    <xf numFmtId="0" fontId="7" fillId="2" borderId="14" xfId="0" applyFont="1" applyFill="1" applyBorder="1" applyAlignment="1">
      <alignment horizontal="center" vertical="center"/>
    </xf>
    <xf numFmtId="0" fontId="6" fillId="2" borderId="12" xfId="0" applyFont="1" applyFill="1" applyBorder="1" applyAlignment="1">
      <alignment horizontal="center" vertical="center"/>
    </xf>
    <xf numFmtId="0" fontId="6" fillId="2" borderId="13" xfId="0" applyFont="1" applyFill="1" applyBorder="1" applyAlignment="1">
      <alignment horizontal="center" vertical="center"/>
    </xf>
    <xf numFmtId="0" fontId="6" fillId="2" borderId="14" xfId="0" applyFont="1" applyFill="1" applyBorder="1" applyAlignment="1">
      <alignment horizontal="center" vertical="center"/>
    </xf>
    <xf numFmtId="0" fontId="3" fillId="0" borderId="5" xfId="0" applyFont="1" applyBorder="1">
      <alignment vertical="center"/>
    </xf>
    <xf numFmtId="0" fontId="4" fillId="0" borderId="9" xfId="0" applyFont="1" applyBorder="1">
      <alignment vertical="center"/>
    </xf>
    <xf numFmtId="0" fontId="3" fillId="0" borderId="9" xfId="0" applyFont="1" applyBorder="1">
      <alignment vertical="center"/>
    </xf>
    <xf numFmtId="0" fontId="3" fillId="0" borderId="7" xfId="0" applyFont="1" applyBorder="1">
      <alignment vertical="center"/>
    </xf>
    <xf numFmtId="0" fontId="3" fillId="0" borderId="11" xfId="0" applyFont="1" applyBorder="1">
      <alignment vertical="center"/>
    </xf>
    <xf numFmtId="0" fontId="3" fillId="0" borderId="6" xfId="0" applyFont="1" applyBorder="1" applyAlignment="1">
      <alignment horizontal="center" vertical="center"/>
    </xf>
    <xf numFmtId="0" fontId="4" fillId="0" borderId="10" xfId="0" applyFont="1" applyBorder="1" applyAlignment="1">
      <alignment horizontal="center" vertical="center"/>
    </xf>
    <xf numFmtId="0" fontId="12" fillId="0" borderId="0" xfId="0" applyFont="1">
      <alignment vertical="center"/>
    </xf>
    <xf numFmtId="0" fontId="13" fillId="0" borderId="0" xfId="0" applyFont="1">
      <alignment vertical="center"/>
    </xf>
    <xf numFmtId="0" fontId="15" fillId="0" borderId="0" xfId="0" applyFont="1">
      <alignment vertical="center"/>
    </xf>
    <xf numFmtId="0" fontId="16" fillId="0" borderId="0" xfId="0" applyFont="1">
      <alignment vertical="center"/>
    </xf>
    <xf numFmtId="0" fontId="17" fillId="2" borderId="12" xfId="0" applyFont="1" applyFill="1" applyBorder="1" applyAlignment="1">
      <alignment horizontal="center" vertical="center"/>
    </xf>
    <xf numFmtId="0" fontId="17" fillId="2" borderId="13" xfId="0" applyFont="1" applyFill="1" applyBorder="1" applyAlignment="1">
      <alignment horizontal="center" vertical="center"/>
    </xf>
    <xf numFmtId="0" fontId="17" fillId="2" borderId="14" xfId="0" applyFont="1" applyFill="1" applyBorder="1" applyAlignment="1">
      <alignment horizontal="center" vertical="center"/>
    </xf>
    <xf numFmtId="0" fontId="18" fillId="0" borderId="6" xfId="0" applyFont="1" applyBorder="1" applyAlignment="1">
      <alignment vertical="top"/>
    </xf>
    <xf numFmtId="0" fontId="18" fillId="0" borderId="6" xfId="0" applyFont="1" applyBorder="1" applyAlignment="1">
      <alignment horizontal="center" vertical="top"/>
    </xf>
    <xf numFmtId="0" fontId="19" fillId="0" borderId="7" xfId="0" applyFont="1" applyBorder="1" applyAlignment="1">
      <alignment vertical="top"/>
    </xf>
    <xf numFmtId="0" fontId="18" fillId="0" borderId="10" xfId="0" applyFont="1" applyBorder="1" applyAlignment="1">
      <alignment vertical="top"/>
    </xf>
    <xf numFmtId="0" fontId="18" fillId="0" borderId="10" xfId="0" applyFont="1" applyBorder="1" applyAlignment="1">
      <alignment horizontal="center" vertical="top"/>
    </xf>
    <xf numFmtId="0" fontId="19" fillId="0" borderId="11" xfId="0" applyFont="1" applyBorder="1" applyAlignment="1">
      <alignment vertical="top"/>
    </xf>
    <xf numFmtId="0" fontId="18" fillId="0" borderId="6" xfId="0" applyFont="1" applyBorder="1" applyAlignment="1">
      <alignment vertical="top" wrapText="1"/>
    </xf>
    <xf numFmtId="0" fontId="18" fillId="0" borderId="10" xfId="0" applyFont="1" applyBorder="1" applyAlignment="1">
      <alignment vertical="top" wrapText="1"/>
    </xf>
    <xf numFmtId="0" fontId="24" fillId="0" borderId="0" xfId="0" applyFont="1">
      <alignment vertical="center"/>
    </xf>
    <xf numFmtId="0" fontId="10" fillId="0" borderId="0" xfId="0" applyFont="1">
      <alignment vertical="center"/>
    </xf>
    <xf numFmtId="0" fontId="4" fillId="0" borderId="5" xfId="0" applyFont="1" applyBorder="1" applyAlignment="1">
      <alignment vertical="top"/>
    </xf>
    <xf numFmtId="0" fontId="4" fillId="0" borderId="9" xfId="0" applyFont="1" applyBorder="1" applyAlignment="1">
      <alignment vertical="top"/>
    </xf>
    <xf numFmtId="0" fontId="25" fillId="0" borderId="0" xfId="0" applyFont="1">
      <alignment vertical="center"/>
    </xf>
    <xf numFmtId="0" fontId="9" fillId="0" borderId="0" xfId="0" applyFont="1">
      <alignment vertical="center"/>
    </xf>
    <xf numFmtId="0" fontId="4" fillId="0" borderId="0" xfId="0" applyFont="1" applyAlignment="1">
      <alignment vertical="top"/>
    </xf>
    <xf numFmtId="0" fontId="3" fillId="0" borderId="0" xfId="0" applyFont="1" applyAlignment="1">
      <alignment vertical="top" wrapText="1"/>
    </xf>
    <xf numFmtId="0" fontId="26" fillId="2" borderId="12" xfId="0" applyFont="1" applyFill="1" applyBorder="1" applyAlignment="1">
      <alignment horizontal="center" vertical="center"/>
    </xf>
    <xf numFmtId="0" fontId="26" fillId="2" borderId="13" xfId="0" applyFont="1" applyFill="1" applyBorder="1" applyAlignment="1">
      <alignment horizontal="center" vertical="center"/>
    </xf>
    <xf numFmtId="0" fontId="26" fillId="2" borderId="14" xfId="0" applyFont="1" applyFill="1" applyBorder="1" applyAlignment="1">
      <alignment horizontal="center" vertical="center"/>
    </xf>
    <xf numFmtId="0" fontId="14" fillId="0" borderId="5" xfId="0" applyFont="1" applyBorder="1" applyAlignment="1">
      <alignment vertical="top"/>
    </xf>
    <xf numFmtId="0" fontId="14" fillId="0" borderId="9" xfId="0" applyFont="1" applyBorder="1" applyAlignment="1">
      <alignment vertical="top"/>
    </xf>
    <xf numFmtId="0" fontId="22" fillId="0" borderId="0" xfId="0" applyFont="1">
      <alignment vertical="center"/>
    </xf>
    <xf numFmtId="0" fontId="29" fillId="0" borderId="0" xfId="0" applyFont="1">
      <alignment vertical="center"/>
    </xf>
    <xf numFmtId="0" fontId="30" fillId="0" borderId="0" xfId="0" applyFont="1">
      <alignment vertical="center"/>
    </xf>
    <xf numFmtId="0" fontId="31" fillId="0" borderId="0" xfId="0" applyFont="1">
      <alignment vertical="center"/>
    </xf>
    <xf numFmtId="0" fontId="32" fillId="0" borderId="0" xfId="0" applyFont="1">
      <alignment vertical="center"/>
    </xf>
    <xf numFmtId="0" fontId="30" fillId="0" borderId="5" xfId="0" applyFont="1" applyBorder="1" applyAlignment="1">
      <alignment vertical="top"/>
    </xf>
    <xf numFmtId="0" fontId="30" fillId="0" borderId="6" xfId="0" applyFont="1" applyBorder="1" applyAlignment="1">
      <alignment vertical="top"/>
    </xf>
    <xf numFmtId="0" fontId="30" fillId="0" borderId="6" xfId="0" applyFont="1" applyBorder="1" applyAlignment="1">
      <alignment vertical="top" wrapText="1"/>
    </xf>
    <xf numFmtId="0" fontId="30" fillId="0" borderId="6" xfId="0" applyFont="1" applyBorder="1" applyAlignment="1">
      <alignment horizontal="center" vertical="top"/>
    </xf>
    <xf numFmtId="0" fontId="30" fillId="0" borderId="9" xfId="0" applyFont="1" applyBorder="1" applyAlignment="1">
      <alignment vertical="top"/>
    </xf>
    <xf numFmtId="0" fontId="30" fillId="0" borderId="10" xfId="0" applyFont="1" applyBorder="1" applyAlignment="1">
      <alignment vertical="top"/>
    </xf>
    <xf numFmtId="0" fontId="30" fillId="0" borderId="10" xfId="0" applyFont="1" applyBorder="1" applyAlignment="1">
      <alignment vertical="top" wrapText="1"/>
    </xf>
    <xf numFmtId="0" fontId="30" fillId="0" borderId="10" xfId="0" applyFont="1" applyBorder="1" applyAlignment="1">
      <alignment horizontal="center" vertical="top"/>
    </xf>
    <xf numFmtId="0" fontId="29" fillId="0" borderId="5" xfId="0" applyFont="1" applyBorder="1" applyAlignment="1">
      <alignment vertical="top"/>
    </xf>
    <xf numFmtId="0" fontId="29" fillId="0" borderId="9" xfId="0" applyFont="1" applyBorder="1" applyAlignment="1">
      <alignment vertical="top"/>
    </xf>
    <xf numFmtId="0" fontId="34" fillId="0" borderId="0" xfId="0" applyFont="1">
      <alignment vertical="center"/>
    </xf>
    <xf numFmtId="0" fontId="30" fillId="0" borderId="7" xfId="0" applyFont="1" applyBorder="1" applyAlignment="1">
      <alignment vertical="top"/>
    </xf>
    <xf numFmtId="0" fontId="30" fillId="0" borderId="11" xfId="0" applyFont="1" applyBorder="1" applyAlignment="1">
      <alignment vertical="top"/>
    </xf>
    <xf numFmtId="0" fontId="26" fillId="2" borderId="12" xfId="0" applyFont="1" applyFill="1" applyBorder="1" applyAlignment="1">
      <alignment horizontal="center" vertical="top"/>
    </xf>
    <xf numFmtId="0" fontId="26" fillId="2" borderId="13" xfId="0" applyFont="1" applyFill="1" applyBorder="1" applyAlignment="1">
      <alignment horizontal="center" vertical="top"/>
    </xf>
    <xf numFmtId="0" fontId="33" fillId="0" borderId="0" xfId="0" applyFont="1">
      <alignment vertical="center"/>
    </xf>
    <xf numFmtId="0" fontId="17" fillId="2" borderId="12" xfId="0" applyFont="1" applyFill="1" applyBorder="1" applyAlignment="1">
      <alignment horizontal="center" vertical="top"/>
    </xf>
    <xf numFmtId="0" fontId="17" fillId="2" borderId="13" xfId="0" applyFont="1" applyFill="1" applyBorder="1" applyAlignment="1">
      <alignment horizontal="center" vertical="top"/>
    </xf>
    <xf numFmtId="0" fontId="17" fillId="2" borderId="14" xfId="0" applyFont="1" applyFill="1" applyBorder="1" applyAlignment="1">
      <alignment horizontal="center" vertical="top"/>
    </xf>
    <xf numFmtId="0" fontId="27" fillId="0" borderId="0" xfId="0" applyFont="1">
      <alignment vertical="center"/>
    </xf>
    <xf numFmtId="0" fontId="18" fillId="0" borderId="5" xfId="0" applyFont="1" applyBorder="1">
      <alignment vertical="center"/>
    </xf>
    <xf numFmtId="0" fontId="18" fillId="0" borderId="6" xfId="0" applyFont="1" applyBorder="1" applyAlignment="1">
      <alignment horizontal="center" vertical="center"/>
    </xf>
    <xf numFmtId="0" fontId="14" fillId="0" borderId="9" xfId="0" applyFont="1" applyBorder="1">
      <alignment vertical="center"/>
    </xf>
    <xf numFmtId="0" fontId="14" fillId="0" borderId="10" xfId="0" applyFont="1" applyBorder="1" applyAlignment="1">
      <alignment horizontal="center" vertical="center"/>
    </xf>
    <xf numFmtId="0" fontId="18" fillId="0" borderId="6" xfId="0" applyFont="1" applyBorder="1">
      <alignment vertical="center"/>
    </xf>
    <xf numFmtId="1" fontId="18" fillId="0" borderId="6" xfId="0" applyNumberFormat="1" applyFont="1" applyBorder="1" applyAlignment="1">
      <alignment horizontal="center" vertical="center"/>
    </xf>
    <xf numFmtId="0" fontId="18" fillId="0" borderId="9" xfId="0" applyFont="1" applyBorder="1">
      <alignment vertical="center"/>
    </xf>
    <xf numFmtId="0" fontId="18" fillId="0" borderId="10" xfId="0" applyFont="1" applyBorder="1">
      <alignment vertical="center"/>
    </xf>
    <xf numFmtId="1" fontId="18" fillId="0" borderId="10" xfId="0" applyNumberFormat="1" applyFont="1" applyBorder="1" applyAlignment="1">
      <alignment horizontal="center" vertical="center"/>
    </xf>
    <xf numFmtId="0" fontId="18" fillId="0" borderId="7" xfId="0" applyFont="1" applyBorder="1">
      <alignment vertical="center"/>
    </xf>
    <xf numFmtId="0" fontId="18" fillId="0" borderId="11" xfId="0" applyFont="1" applyBorder="1">
      <alignment vertical="center"/>
    </xf>
    <xf numFmtId="0" fontId="27" fillId="0" borderId="0" xfId="0" applyFont="1" applyFill="1" applyBorder="1">
      <alignment vertical="center"/>
    </xf>
    <xf numFmtId="176" fontId="18" fillId="0" borderId="6" xfId="0" applyNumberFormat="1" applyFont="1" applyBorder="1" applyAlignment="1">
      <alignment horizontal="center" vertical="center"/>
    </xf>
    <xf numFmtId="0" fontId="28" fillId="0" borderId="7" xfId="0" applyFont="1" applyBorder="1">
      <alignment vertical="center"/>
    </xf>
    <xf numFmtId="0" fontId="21" fillId="0" borderId="7" xfId="0" applyFont="1" applyBorder="1">
      <alignment vertical="center"/>
    </xf>
    <xf numFmtId="176" fontId="14" fillId="0" borderId="10" xfId="0" applyNumberFormat="1" applyFont="1" applyBorder="1" applyAlignment="1">
      <alignment horizontal="center" vertical="center"/>
    </xf>
    <xf numFmtId="0" fontId="35" fillId="0" borderId="7" xfId="0" applyFont="1" applyBorder="1">
      <alignment vertical="center"/>
    </xf>
    <xf numFmtId="0" fontId="27" fillId="0" borderId="0" xfId="0" applyFont="1" applyFill="1" applyBorder="1" applyAlignment="1">
      <alignment vertical="top"/>
    </xf>
    <xf numFmtId="0" fontId="13" fillId="0" borderId="0" xfId="0" applyFont="1" applyAlignment="1">
      <alignment vertical="top"/>
    </xf>
    <xf numFmtId="0" fontId="14" fillId="0" borderId="0" xfId="0" applyFont="1" applyAlignment="1">
      <alignment vertical="top"/>
    </xf>
    <xf numFmtId="0" fontId="18" fillId="0" borderId="0" xfId="0" applyFont="1" applyAlignment="1">
      <alignment vertical="top" wrapText="1"/>
    </xf>
    <xf numFmtId="0" fontId="20" fillId="0" borderId="0" xfId="0" applyFont="1" applyAlignment="1">
      <alignment vertical="top" wrapText="1"/>
    </xf>
    <xf numFmtId="0" fontId="14" fillId="0" borderId="0" xfId="0" applyFont="1" applyFill="1" applyBorder="1" applyAlignment="1">
      <alignment vertical="top"/>
    </xf>
    <xf numFmtId="0" fontId="21" fillId="0" borderId="0" xfId="0" applyFont="1" applyAlignment="1">
      <alignment vertical="top" wrapText="1"/>
    </xf>
    <xf numFmtId="0" fontId="18" fillId="0" borderId="8" xfId="0" applyFont="1" applyBorder="1">
      <alignment vertical="center"/>
    </xf>
    <xf numFmtId="176" fontId="13" fillId="0" borderId="0" xfId="0" applyNumberFormat="1" applyFont="1">
      <alignment vertical="center"/>
    </xf>
    <xf numFmtId="0" fontId="18" fillId="0" borderId="0" xfId="0" applyFont="1">
      <alignment vertical="center"/>
    </xf>
    <xf numFmtId="0" fontId="38" fillId="0" borderId="0" xfId="0" applyFont="1">
      <alignment vertical="center"/>
    </xf>
    <xf numFmtId="0" fontId="39" fillId="0" borderId="0" xfId="0" applyFont="1">
      <alignment vertical="center"/>
    </xf>
    <xf numFmtId="0" fontId="40" fillId="0" borderId="0" xfId="0" applyFont="1">
      <alignment vertical="center"/>
    </xf>
    <xf numFmtId="0" fontId="41"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3" fillId="0" borderId="10" xfId="0" applyFont="1" applyBorder="1" applyAlignment="1">
      <alignment horizontal="center" vertical="center"/>
    </xf>
    <xf numFmtId="0" fontId="47" fillId="0" borderId="7" xfId="0" applyFont="1" applyBorder="1">
      <alignment vertical="center"/>
    </xf>
    <xf numFmtId="0" fontId="48" fillId="0" borderId="5" xfId="0" applyFont="1" applyBorder="1" applyAlignment="1">
      <alignment vertical="top"/>
    </xf>
    <xf numFmtId="0" fontId="48" fillId="0" borderId="9" xfId="0" applyFont="1" applyBorder="1" applyAlignment="1">
      <alignment vertical="top"/>
    </xf>
    <xf numFmtId="0" fontId="48" fillId="0" borderId="0" xfId="0" applyFont="1">
      <alignment vertical="center"/>
    </xf>
    <xf numFmtId="0" fontId="23" fillId="0" borderId="6" xfId="0" applyFont="1" applyBorder="1" applyAlignment="1">
      <alignment horizontal="left" vertical="top"/>
    </xf>
    <xf numFmtId="0" fontId="23" fillId="0" borderId="10" xfId="0" applyFont="1" applyBorder="1" applyAlignment="1">
      <alignment horizontal="left" vertical="top"/>
    </xf>
    <xf numFmtId="0" fontId="23" fillId="0" borderId="0" xfId="0" applyFont="1" applyAlignment="1">
      <alignment horizontal="left" vertical="center"/>
    </xf>
    <xf numFmtId="0" fontId="19" fillId="0" borderId="0" xfId="0" applyFont="1">
      <alignment vertical="center"/>
    </xf>
    <xf numFmtId="0" fontId="26" fillId="3" borderId="15" xfId="0" applyFont="1" applyFill="1" applyBorder="1" applyAlignment="1">
      <alignment horizontal="center" vertical="top"/>
    </xf>
    <xf numFmtId="0" fontId="23" fillId="0" borderId="1" xfId="0" applyFont="1" applyBorder="1" applyAlignment="1">
      <alignment vertical="top"/>
    </xf>
    <xf numFmtId="0" fontId="23" fillId="0" borderId="16" xfId="0" applyFont="1" applyBorder="1" applyAlignment="1">
      <alignment vertical="top"/>
    </xf>
    <xf numFmtId="0" fontId="15" fillId="0" borderId="6" xfId="0" applyFont="1" applyBorder="1" applyAlignment="1">
      <alignment vertical="top"/>
    </xf>
    <xf numFmtId="0" fontId="15" fillId="0" borderId="10" xfId="0" applyFont="1" applyBorder="1" applyAlignment="1">
      <alignment vertical="top"/>
    </xf>
    <xf numFmtId="0" fontId="50" fillId="0" borderId="6" xfId="0" applyFont="1" applyBorder="1" applyAlignment="1">
      <alignment horizontal="center" vertical="top"/>
    </xf>
    <xf numFmtId="0" fontId="50" fillId="0" borderId="10" xfId="0" applyFont="1" applyBorder="1" applyAlignment="1">
      <alignment horizontal="center" vertical="top"/>
    </xf>
    <xf numFmtId="0" fontId="49" fillId="0" borderId="6" xfId="0" applyFont="1" applyBorder="1" applyAlignment="1">
      <alignment vertical="top"/>
    </xf>
    <xf numFmtId="0" fontId="49" fillId="0" borderId="10" xfId="0" applyFont="1" applyBorder="1" applyAlignment="1">
      <alignment vertical="top"/>
    </xf>
    <xf numFmtId="0" fontId="19" fillId="0" borderId="6" xfId="0" applyFont="1" applyBorder="1" applyAlignment="1">
      <alignment vertical="top"/>
    </xf>
    <xf numFmtId="0" fontId="19" fillId="0" borderId="10" xfId="0" applyFont="1" applyBorder="1" applyAlignment="1">
      <alignment vertical="top"/>
    </xf>
    <xf numFmtId="176" fontId="18" fillId="0" borderId="7" xfId="0" applyNumberFormat="1" applyFont="1" applyBorder="1" applyAlignment="1">
      <alignment horizontal="center" vertical="center"/>
    </xf>
    <xf numFmtId="176" fontId="14" fillId="0" borderId="11" xfId="0" applyNumberFormat="1" applyFont="1" applyBorder="1" applyAlignment="1">
      <alignment horizontal="center" vertical="center"/>
    </xf>
    <xf numFmtId="0" fontId="36" fillId="0" borderId="0" xfId="0" applyFont="1" applyAlignment="1">
      <alignment horizontal="center" vertical="center"/>
    </xf>
    <xf numFmtId="0" fontId="26" fillId="2" borderId="0" xfId="0" applyFont="1" applyFill="1" applyAlignment="1">
      <alignment horizontal="center" vertical="center"/>
    </xf>
    <xf numFmtId="0" fontId="18" fillId="0" borderId="0" xfId="0" applyFont="1" applyAlignment="1">
      <alignment horizontal="center" vertical="center"/>
    </xf>
    <xf numFmtId="0" fontId="14" fillId="0" borderId="0" xfId="0" applyFont="1" applyAlignment="1">
      <alignment horizontal="center" vertical="center"/>
    </xf>
    <xf numFmtId="176" fontId="14" fillId="0" borderId="0" xfId="0" applyNumberFormat="1" applyFont="1" applyAlignment="1">
      <alignment horizontal="center" vertical="center"/>
    </xf>
    <xf numFmtId="1" fontId="26" fillId="2" borderId="6" xfId="0" applyNumberFormat="1" applyFont="1" applyFill="1" applyBorder="1" applyAlignment="1">
      <alignment horizontal="center" vertical="center"/>
    </xf>
    <xf numFmtId="0" fontId="26" fillId="2" borderId="6" xfId="0" applyFont="1" applyFill="1" applyBorder="1" applyAlignment="1">
      <alignment horizontal="center" vertical="center"/>
    </xf>
    <xf numFmtId="1" fontId="26" fillId="2" borderId="7" xfId="0" applyNumberFormat="1" applyFont="1" applyFill="1" applyBorder="1" applyAlignment="1">
      <alignment horizontal="center" vertical="center"/>
    </xf>
    <xf numFmtId="1" fontId="18" fillId="0" borderId="7" xfId="0" applyNumberFormat="1" applyFont="1" applyBorder="1" applyAlignment="1">
      <alignment horizontal="center" vertical="center"/>
    </xf>
    <xf numFmtId="1" fontId="18" fillId="0" borderId="11" xfId="0" applyNumberFormat="1" applyFont="1" applyBorder="1" applyAlignment="1">
      <alignment horizontal="center" vertical="center"/>
    </xf>
    <xf numFmtId="1" fontId="18" fillId="0" borderId="0" xfId="0" applyNumberFormat="1" applyFont="1" applyAlignment="1">
      <alignment horizontal="center" vertical="center"/>
    </xf>
    <xf numFmtId="0" fontId="11" fillId="0" borderId="6" xfId="0" applyFont="1" applyBorder="1" applyAlignment="1">
      <alignment vertical="top"/>
    </xf>
    <xf numFmtId="0" fontId="11" fillId="0" borderId="10" xfId="0" applyFont="1" applyBorder="1" applyAlignment="1">
      <alignment vertical="top"/>
    </xf>
    <xf numFmtId="0" fontId="11" fillId="0" borderId="7" xfId="0" applyFont="1" applyBorder="1" applyAlignment="1">
      <alignment vertical="top"/>
    </xf>
    <xf numFmtId="0" fontId="11" fillId="0" borderId="11" xfId="0" applyFont="1" applyBorder="1" applyAlignment="1">
      <alignment vertical="top"/>
    </xf>
    <xf numFmtId="0" fontId="51" fillId="2" borderId="0" xfId="0" applyFont="1" applyFill="1" applyBorder="1" applyAlignment="1">
      <alignment horizontal="center" vertical="top"/>
    </xf>
    <xf numFmtId="0" fontId="3" fillId="0" borderId="7" xfId="0" applyFont="1" applyBorder="1" applyAlignment="1">
      <alignment horizontal="center" vertical="center"/>
    </xf>
    <xf numFmtId="0" fontId="4" fillId="0" borderId="11" xfId="0" applyFont="1" applyBorder="1" applyAlignment="1">
      <alignment horizontal="center" vertical="center"/>
    </xf>
    <xf numFmtId="0" fontId="17" fillId="2" borderId="17" xfId="0" applyFont="1" applyFill="1" applyBorder="1" applyAlignment="1">
      <alignment horizontal="center" vertical="center"/>
    </xf>
    <xf numFmtId="0" fontId="14" fillId="0" borderId="2" xfId="0" applyFont="1" applyBorder="1" applyAlignment="1">
      <alignment horizontal="center" vertical="top"/>
    </xf>
    <xf numFmtId="0" fontId="14" fillId="0" borderId="18" xfId="0" applyFont="1" applyBorder="1" applyAlignment="1">
      <alignment horizontal="center" vertical="top"/>
    </xf>
    <xf numFmtId="0" fontId="4" fillId="0" borderId="6" xfId="0" applyFont="1" applyBorder="1" applyAlignment="1">
      <alignment horizontal="center" vertical="center"/>
    </xf>
    <xf numFmtId="0" fontId="3" fillId="0" borderId="3" xfId="0" applyFont="1" applyBorder="1" applyAlignment="1">
      <alignment horizontal="center" vertical="center"/>
    </xf>
    <xf numFmtId="0" fontId="47" fillId="0" borderId="4" xfId="0" applyFont="1" applyBorder="1">
      <alignment vertical="center"/>
    </xf>
    <xf numFmtId="0" fontId="4" fillId="0" borderId="6" xfId="0" applyFont="1" applyFill="1" applyBorder="1" applyAlignment="1">
      <alignment horizontal="center" vertical="top"/>
    </xf>
    <xf numFmtId="0" fontId="25" fillId="0" borderId="6" xfId="0" applyFont="1" applyBorder="1" applyAlignment="1">
      <alignment horizontal="center" vertical="top"/>
    </xf>
    <xf numFmtId="0" fontId="8" fillId="0" borderId="6" xfId="0" applyFont="1" applyBorder="1" applyAlignment="1">
      <alignment horizontal="center" vertical="top"/>
    </xf>
    <xf numFmtId="180" fontId="3" fillId="0" borderId="6" xfId="0" applyNumberFormat="1" applyFont="1" applyBorder="1" applyAlignment="1">
      <alignment horizontal="center" vertical="top"/>
    </xf>
    <xf numFmtId="180" fontId="3" fillId="0" borderId="10" xfId="0" applyNumberFormat="1" applyFont="1" applyBorder="1" applyAlignment="1">
      <alignment horizontal="center" vertical="top"/>
    </xf>
    <xf numFmtId="1" fontId="4" fillId="0" borderId="6" xfId="0" applyNumberFormat="1" applyFont="1" applyBorder="1" applyAlignment="1">
      <alignment horizontal="center" vertical="top"/>
    </xf>
    <xf numFmtId="1" fontId="4" fillId="0" borderId="10" xfId="0" applyNumberFormat="1" applyFont="1" applyBorder="1" applyAlignment="1">
      <alignment horizontal="center" vertical="top"/>
    </xf>
    <xf numFmtId="0" fontId="52" fillId="0" borderId="0" xfId="0" applyFont="1">
      <alignment vertical="center"/>
    </xf>
    <xf numFmtId="0" fontId="4" fillId="0" borderId="5" xfId="0" applyFont="1" applyBorder="1">
      <alignment vertical="center"/>
    </xf>
    <xf numFmtId="0" fontId="4" fillId="0" borderId="7" xfId="0" applyFont="1" applyBorder="1">
      <alignment vertical="center"/>
    </xf>
    <xf numFmtId="0" fontId="3" fillId="0" borderId="12" xfId="0" applyFont="1" applyBorder="1">
      <alignment vertical="center"/>
    </xf>
    <xf numFmtId="0" fontId="3" fillId="0" borderId="13" xfId="0" applyFont="1" applyBorder="1">
      <alignment vertical="center"/>
    </xf>
    <xf numFmtId="0" fontId="3" fillId="0" borderId="14" xfId="0" applyFont="1" applyBorder="1">
      <alignment vertical="center"/>
    </xf>
    <xf numFmtId="0" fontId="4" fillId="0" borderId="11" xfId="0" applyFont="1" applyBorder="1">
      <alignment vertical="center"/>
    </xf>
    <xf numFmtId="0" fontId="54" fillId="0" borderId="7" xfId="0" applyFont="1" applyBorder="1" applyAlignment="1">
      <alignment vertical="top"/>
    </xf>
    <xf numFmtId="0" fontId="54" fillId="0" borderId="11" xfId="0" applyFont="1" applyBorder="1" applyAlignment="1">
      <alignment vertical="top"/>
    </xf>
    <xf numFmtId="49" fontId="53" fillId="0" borderId="6" xfId="0" applyNumberFormat="1" applyFont="1" applyBorder="1" applyAlignment="1">
      <alignment horizontal="center" vertical="top"/>
    </xf>
    <xf numFmtId="49" fontId="53" fillId="0" borderId="10" xfId="0" applyNumberFormat="1" applyFont="1" applyBorder="1" applyAlignment="1">
      <alignment horizontal="center" vertical="top"/>
    </xf>
  </cellXfs>
  <cellStyles count="1">
    <cellStyle name="標準" xfId="0" builtinId="0"/>
  </cellStyles>
  <dxfs count="60">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7F6000"/>
      </font>
      <fill>
        <patternFill patternType="solid">
          <fgColor indexed="64"/>
          <bgColor rgb="FFFFEB9C"/>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7F6000"/>
      </font>
      <fill>
        <patternFill patternType="solid">
          <fgColor indexed="64"/>
          <bgColor rgb="FFFFEB9C"/>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7F6000"/>
      </font>
      <fill>
        <patternFill patternType="solid">
          <fgColor indexed="64"/>
          <bgColor rgb="FFFFEB9C"/>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7F6000"/>
      </font>
      <fill>
        <patternFill patternType="solid">
          <fgColor indexed="64"/>
          <bgColor rgb="FFFFEB9C"/>
        </patternFill>
      </fill>
    </dxf>
    <dxf>
      <font>
        <color rgb="FF0B6B2F"/>
      </font>
      <fill>
        <patternFill patternType="solid">
          <fgColor indexed="64"/>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33"/>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05" t="s">
        <v>1980</v>
      </c>
    </row>
    <row r="2" spans="1:13">
      <c r="A2" s="41" t="s">
        <v>1981</v>
      </c>
    </row>
    <row r="4" spans="1:13" ht="23">
      <c r="A4" s="106" t="s">
        <v>1982</v>
      </c>
      <c r="E4" s="107" t="s">
        <v>1983</v>
      </c>
      <c r="I4" s="108" t="s">
        <v>1984</v>
      </c>
    </row>
    <row r="5" spans="1:13" ht="61">
      <c r="A5" s="109">
        <f>COUNTIF(進捗一覧!$D$7:$D$292,"確定")+COUNTIF(進捗一覧!$D$7:$D$292,"方向性確定（条件付き）")</f>
        <v>155</v>
      </c>
      <c r="B5" t="s">
        <v>1985</v>
      </c>
      <c r="E5" s="110">
        <f>COUNTIF(進捗一覧!$D$7:$D$292,"検討中")</f>
        <v>54</v>
      </c>
      <c r="F5" t="s">
        <v>1985</v>
      </c>
      <c r="I5" s="111">
        <f>COUNTIF(進捗一覧!$D$7:$D$292,"外部待ち")</f>
        <v>73</v>
      </c>
      <c r="J5" t="s">
        <v>1985</v>
      </c>
    </row>
    <row r="6" spans="1:13">
      <c r="A6" s="112" t="str">
        <f>"うち完全に確定 "&amp;COUNTIF(進捗一覧!$D$7:$D$292,"確定")&amp;"件／推奨値ありで承認待ち "&amp;COUNTIF(進捗一覧!$D$7:$D$292,"方向性確定（条件付き）")&amp;"件"</f>
        <v>うち完全に確定 73件／推奨値ありで承認待ち 82件</v>
      </c>
      <c r="E6" s="112" t="s">
        <v>1986</v>
      </c>
      <c r="I6" s="112" t="s">
        <v>1987</v>
      </c>
    </row>
    <row r="8" spans="1:13">
      <c r="A8" s="4" t="s">
        <v>1988</v>
      </c>
      <c r="E8" s="4" t="s">
        <v>1989</v>
      </c>
    </row>
    <row r="9" spans="1:13" ht="47">
      <c r="A9" s="113">
        <f>COUNTIF(進捗一覧!$D$7:$D$292,"検討中")+COUNTIF(進捗一覧!$D$7:$D$292,"外部待ち")</f>
        <v>127</v>
      </c>
      <c r="B9" s="112" t="str">
        <f>"件（要件定義 "&amp;COUNTIFS(進捗一覧!$A$7:$A$292,"要件定義",進捗一覧!$D$7:$D$292,"検討中")+COUNTIFS(進捗一覧!$A$7:$A$292,"要件定義",進捗一覧!$D$7:$D$292,"外部待ち")&amp;" ＋ 基本設計 "&amp;COUNTIFS(進捗一覧!$A$7:$A$292,"基本設計",進捗一覧!$D$7:$D$292,"検討中")+COUNTIFS(進捗一覧!$A$7:$A$292,"基本設計",進捗一覧!$D$7:$D$292,"外部待ち")&amp;"）／ 全"&amp;COUNTA(進捗一覧!$J$7:$J$292)&amp;"件中"</f>
        <v>件（要件定義 64 ＋ 基本設計 63）／ 全286件中</v>
      </c>
      <c r="E9" s="12" t="s">
        <v>1990</v>
      </c>
      <c r="F9" s="13" t="s">
        <v>1991</v>
      </c>
      <c r="G9" s="13" t="s">
        <v>1992</v>
      </c>
      <c r="H9" s="14" t="s">
        <v>1993</v>
      </c>
    </row>
    <row r="10" spans="1:13">
      <c r="E10" s="18" t="s">
        <v>1994</v>
      </c>
      <c r="F10" s="23">
        <f>COUNTIFS(進捗一覧!$C$7:$C$292,"検証ゲート",進捗一覧!$D$7:$D$292,"検討中")</f>
        <v>6</v>
      </c>
      <c r="G10" s="23" t="str">
        <f>IF(F10=0,"● 充足",IF(F10&lt;=5,"▲ あと少し","× 未充足"))</f>
        <v>× 未充足</v>
      </c>
      <c r="H10" s="21" t="s">
        <v>1997</v>
      </c>
    </row>
    <row r="11" spans="1:13">
      <c r="E11" s="18" t="s">
        <v>1995</v>
      </c>
      <c r="F11" s="23">
        <f>COUNTIFS(進捗一覧!$C$7:$C$292,"設計タスク",進捗一覧!$D$7:$D$292,"外部待ち")</f>
        <v>8</v>
      </c>
      <c r="G11" s="23" t="str">
        <f>IF(F11=0,"● 充足",IF(F11&lt;=5,"▲ あと少し","× 未充足"))</f>
        <v>× 未充足</v>
      </c>
      <c r="H11" s="21" t="s">
        <v>1998</v>
      </c>
    </row>
    <row r="12" spans="1:13">
      <c r="E12" s="20" t="s">
        <v>1996</v>
      </c>
      <c r="F12" s="114">
        <f>COUNTIFS(進捗一覧!$C$7:$C$292,"顧客確認",進捗一覧!$D$7:$D$292,"外部待ち")+COUNTIFS(進捗一覧!$C$7:$C$292,"機能要件",進捗一覧!$D$7:$D$292,"外部待ち")+COUNTIFS(進捗一覧!$C$7:$C$292,"非機能要件",進捗一覧!$D$7:$D$292,"外部待ち")</f>
        <v>64</v>
      </c>
      <c r="G12" s="114" t="str">
        <f>IF(F12=0,"● 充足",IF(F12&lt;=5,"▲ あと少し","× 未充足"))</f>
        <v>× 未充足</v>
      </c>
      <c r="H12" s="22" t="s">
        <v>1999</v>
      </c>
    </row>
    <row r="14" spans="1:13">
      <c r="A14" s="4" t="s">
        <v>2000</v>
      </c>
      <c r="J14" s="4" t="s">
        <v>3052</v>
      </c>
    </row>
    <row r="15" spans="1:13">
      <c r="A15" s="15" t="s">
        <v>1976</v>
      </c>
      <c r="B15" s="16" t="s">
        <v>7</v>
      </c>
      <c r="C15" s="16" t="s">
        <v>8</v>
      </c>
      <c r="D15" s="17" t="s">
        <v>2001</v>
      </c>
      <c r="J15" s="15" t="s">
        <v>3049</v>
      </c>
      <c r="K15" s="16" t="s">
        <v>7</v>
      </c>
      <c r="L15" s="16" t="s">
        <v>3053</v>
      </c>
      <c r="M15" s="17" t="s">
        <v>1993</v>
      </c>
    </row>
    <row r="16" spans="1:13">
      <c r="A16" s="18" t="s">
        <v>1945</v>
      </c>
      <c r="B16" s="23">
        <f>COUNTIF(進捗一覧!$B$7:$B$292,$A16)</f>
        <v>17</v>
      </c>
      <c r="C16" s="23">
        <f>COUNTIFS(進捗一覧!$B$7:$B$292,$A16,進捗一覧!$D$7:$D$292,"確定")</f>
        <v>4</v>
      </c>
      <c r="D16" s="152">
        <f>COUNTIFS(進捗一覧!$B$7:$B$292,$A16,進捗一覧!$D$7:$D$292,"方向性確定（条件付き）")</f>
        <v>6</v>
      </c>
      <c r="E16">
        <f>COUNTIFS(進捗一覧!$B$7:$B$292,$A16,進捗一覧!$D$7:$D$292,"検討中")</f>
        <v>2</v>
      </c>
      <c r="F16">
        <f>COUNTIFS(進捗一覧!$B$7:$B$292,$A16,進捗一覧!$D$7:$D$292,"外部待ち")</f>
        <v>5</v>
      </c>
      <c r="G16">
        <f>COUNTIFS(進捗一覧!$B$7:$B$292,$A16,進捗一覧!$D$7:$D$292,"対象外")</f>
        <v>0</v>
      </c>
      <c r="J16" s="18" t="s">
        <v>3050</v>
      </c>
      <c r="K16" s="23">
        <f>COUNTIF(進捗一覧!$A$7:$A$292,$J16)</f>
        <v>195</v>
      </c>
      <c r="L16" s="23">
        <f>COUNTIFS(進捗一覧!$A$7:$A$292,$J16,進捗一覧!$D$7:$D$292,"検討中")+COUNTIFS(進捗一覧!$A$7:$A$292,$J16,進捗一覧!$D$7:$D$292,"外部待ち")</f>
        <v>64</v>
      </c>
      <c r="M16" s="21" t="s">
        <v>3476</v>
      </c>
    </row>
    <row r="17" spans="1:14">
      <c r="A17" s="18" t="s">
        <v>1950</v>
      </c>
      <c r="B17" s="23">
        <f>COUNTIF(進捗一覧!$B$7:$B$292,$A17)</f>
        <v>22</v>
      </c>
      <c r="C17" s="23">
        <f>COUNTIFS(進捗一覧!$B$7:$B$292,$A17,進捗一覧!$D$7:$D$292,"確定")</f>
        <v>4</v>
      </c>
      <c r="D17" s="152">
        <f>COUNTIFS(進捗一覧!$B$7:$B$292,$A17,進捗一覧!$D$7:$D$292,"方向性確定（条件付き）")</f>
        <v>4</v>
      </c>
      <c r="E17">
        <f>COUNTIFS(進捗一覧!$B$7:$B$292,$A17,進捗一覧!$D$7:$D$292,"検討中")</f>
        <v>5</v>
      </c>
      <c r="F17">
        <f>COUNTIFS(進捗一覧!$B$7:$B$292,$A17,進捗一覧!$D$7:$D$292,"外部待ち")</f>
        <v>6</v>
      </c>
      <c r="G17">
        <f>COUNTIFS(進捗一覧!$B$7:$B$292,$A17,進捗一覧!$D$7:$D$292,"対象外")</f>
        <v>3</v>
      </c>
      <c r="J17" s="18" t="s">
        <v>3051</v>
      </c>
      <c r="K17" s="23">
        <f>COUNTIF(進捗一覧!$A$7:$A$292,$J17)</f>
        <v>91</v>
      </c>
      <c r="L17" s="23">
        <f>COUNTIFS(進捗一覧!$A$7:$A$292,$J17,進捗一覧!$D$7:$D$292,"検討中")+COUNTIFS(進捗一覧!$A$7:$A$292,$J17,進捗一覧!$D$7:$D$292,"外部待ち")</f>
        <v>63</v>
      </c>
      <c r="M17" s="21" t="s">
        <v>3477</v>
      </c>
    </row>
    <row r="18" spans="1:14">
      <c r="A18" s="18" t="s">
        <v>1951</v>
      </c>
      <c r="B18" s="23">
        <f>COUNTIF(進捗一覧!$B$7:$B$292,$A18)</f>
        <v>12</v>
      </c>
      <c r="C18" s="23">
        <f>COUNTIFS(進捗一覧!$B$7:$B$292,$A18,進捗一覧!$D$7:$D$292,"確定")</f>
        <v>1</v>
      </c>
      <c r="D18" s="152">
        <f>COUNTIFS(進捗一覧!$B$7:$B$292,$A18,進捗一覧!$D$7:$D$292,"方向性確定（条件付き）")</f>
        <v>5</v>
      </c>
      <c r="E18">
        <f>COUNTIFS(進捗一覧!$B$7:$B$292,$A18,進捗一覧!$D$7:$D$292,"検討中")</f>
        <v>1</v>
      </c>
      <c r="F18">
        <f>COUNTIFS(進捗一覧!$B$7:$B$292,$A18,進捗一覧!$D$7:$D$292,"外部待ち")</f>
        <v>5</v>
      </c>
      <c r="G18">
        <f>COUNTIFS(進捗一覧!$B$7:$B$292,$A18,進捗一覧!$D$7:$D$292,"対象外")</f>
        <v>0</v>
      </c>
      <c r="J18" s="19" t="s">
        <v>13</v>
      </c>
      <c r="K18" s="24">
        <f>SUM(K16:K17)</f>
        <v>286</v>
      </c>
      <c r="L18" s="24">
        <f>SUM(L16:L17)</f>
        <v>127</v>
      </c>
      <c r="M18" s="173"/>
      <c r="N18" s="41" t="str">
        <f>IF(K18=COUNTA(進捗一覧!$J$7:$J$292),"✓ 明細行数と一致","⚠ 不一致")</f>
        <v>✓ 明細行数と一致</v>
      </c>
    </row>
    <row r="19" spans="1:14">
      <c r="A19" s="18" t="s">
        <v>1952</v>
      </c>
      <c r="B19" s="23">
        <f>COUNTIF(進捗一覧!$B$7:$B$292,$A19)</f>
        <v>16</v>
      </c>
      <c r="C19" s="23">
        <f>COUNTIFS(進捗一覧!$B$7:$B$292,$A19,進捗一覧!$D$7:$D$292,"確定")</f>
        <v>6</v>
      </c>
      <c r="D19" s="23">
        <f>COUNTIFS(進捗一覧!$B$7:$B$292,$A19,進捗一覧!$D$7:$D$292,"方向性確定（条件付き）")</f>
        <v>5</v>
      </c>
      <c r="E19" s="158">
        <f>COUNTIFS(進捗一覧!$B$7:$B$292,$A19,進捗一覧!$D$7:$D$292,"検討中")</f>
        <v>1</v>
      </c>
      <c r="F19" s="158">
        <f>COUNTIFS(進捗一覧!$B$7:$B$292,$A19,進捗一覧!$D$7:$D$292,"外部待ち")</f>
        <v>4</v>
      </c>
      <c r="G19" s="158">
        <f>COUNTIFS(進捗一覧!$B$7:$B$292,$A19,進捗一覧!$D$7:$D$292,"対象外")</f>
        <v>0</v>
      </c>
      <c r="H19" s="159"/>
    </row>
    <row r="20" spans="1:14">
      <c r="A20" s="18" t="s">
        <v>1953</v>
      </c>
      <c r="B20" s="23">
        <f>COUNTIF(進捗一覧!$B$7:$B$292,$A20)</f>
        <v>15</v>
      </c>
      <c r="C20" s="23">
        <f>COUNTIFS(進捗一覧!$B$7:$B$292,$A20,進捗一覧!$D$7:$D$292,"確定")</f>
        <v>8</v>
      </c>
      <c r="D20" s="23">
        <f>COUNTIFS(進捗一覧!$B$7:$B$292,$A20,進捗一覧!$D$7:$D$292,"方向性確定（条件付き）")</f>
        <v>2</v>
      </c>
      <c r="E20" s="23">
        <f>COUNTIFS(進捗一覧!$B$7:$B$292,$A20,進捗一覧!$D$7:$D$292,"検討中")</f>
        <v>1</v>
      </c>
      <c r="F20" s="23">
        <f>COUNTIFS(進捗一覧!$B$7:$B$292,$A20,進捗一覧!$D$7:$D$292,"外部待ち")</f>
        <v>4</v>
      </c>
      <c r="G20" s="23">
        <f>COUNTIFS(進捗一覧!$B$7:$B$292,$A20,進捗一覧!$D$7:$D$292,"対象外")</f>
        <v>0</v>
      </c>
      <c r="H20" s="115"/>
    </row>
    <row r="21" spans="1:14">
      <c r="A21" s="18" t="s">
        <v>1954</v>
      </c>
      <c r="B21" s="23">
        <f>COUNTIF(進捗一覧!$B$7:$B$292,$A21)</f>
        <v>23</v>
      </c>
      <c r="C21" s="23">
        <f>COUNTIFS(進捗一覧!$B$7:$B$292,$A21,進捗一覧!$D$7:$D$292,"確定")</f>
        <v>9</v>
      </c>
      <c r="D21" s="23">
        <f>COUNTIFS(進捗一覧!$B$7:$B$292,$A21,進捗一覧!$D$7:$D$292,"方向性確定（条件付き）")</f>
        <v>6</v>
      </c>
      <c r="E21" s="23">
        <f>COUNTIFS(進捗一覧!$B$7:$B$292,$A21,進捗一覧!$D$7:$D$292,"検討中")</f>
        <v>7</v>
      </c>
      <c r="F21" s="23">
        <f>COUNTIFS(進捗一覧!$B$7:$B$292,$A21,進捗一覧!$D$7:$D$292,"外部待ち")</f>
        <v>1</v>
      </c>
      <c r="G21" s="23">
        <f>COUNTIFS(進捗一覧!$B$7:$B$292,$A21,進捗一覧!$D$7:$D$292,"対象外")</f>
        <v>0</v>
      </c>
      <c r="H21" s="115"/>
    </row>
    <row r="22" spans="1:14">
      <c r="A22" s="18" t="s">
        <v>1955</v>
      </c>
      <c r="B22" s="23">
        <f>COUNTIF(進捗一覧!$B$7:$B$292,$A22)</f>
        <v>14</v>
      </c>
      <c r="C22" s="23">
        <f>COUNTIFS(進捗一覧!$B$7:$B$292,$A22,進捗一覧!$D$7:$D$292,"確定")</f>
        <v>4</v>
      </c>
      <c r="D22" s="23">
        <f>COUNTIFS(進捗一覧!$B$7:$B$292,$A22,進捗一覧!$D$7:$D$292,"方向性確定（条件付き）")</f>
        <v>7</v>
      </c>
      <c r="E22" s="23">
        <f>COUNTIFS(進捗一覧!$B$7:$B$292,$A22,進捗一覧!$D$7:$D$292,"検討中")</f>
        <v>0</v>
      </c>
      <c r="F22" s="23">
        <f>COUNTIFS(進捗一覧!$B$7:$B$292,$A22,進捗一覧!$D$7:$D$292,"外部待ち")</f>
        <v>3</v>
      </c>
      <c r="G22" s="23">
        <f>COUNTIFS(進捗一覧!$B$7:$B$292,$A22,進捗一覧!$D$7:$D$292,"対象外")</f>
        <v>0</v>
      </c>
      <c r="H22" s="115"/>
    </row>
    <row r="23" spans="1:14">
      <c r="A23" s="18" t="s">
        <v>1956</v>
      </c>
      <c r="B23" s="23">
        <f>COUNTIF(進捗一覧!$B$7:$B$292,$A23)</f>
        <v>18</v>
      </c>
      <c r="C23" s="23">
        <f>COUNTIFS(進捗一覧!$B$7:$B$292,$A23,進捗一覧!$D$7:$D$292,"確定")</f>
        <v>7</v>
      </c>
      <c r="D23" s="23">
        <f>COUNTIFS(進捗一覧!$B$7:$B$292,$A23,進捗一覧!$D$7:$D$292,"方向性確定（条件付き）")</f>
        <v>4</v>
      </c>
      <c r="E23" s="23">
        <f>COUNTIFS(進捗一覧!$B$7:$B$292,$A23,進捗一覧!$D$7:$D$292,"検討中")</f>
        <v>4</v>
      </c>
      <c r="F23" s="23">
        <f>COUNTIFS(進捗一覧!$B$7:$B$292,$A23,進捗一覧!$D$7:$D$292,"外部待ち")</f>
        <v>3</v>
      </c>
      <c r="G23" s="23">
        <f>COUNTIFS(進捗一覧!$B$7:$B$292,$A23,進捗一覧!$D$7:$D$292,"対象外")</f>
        <v>0</v>
      </c>
      <c r="H23" s="115"/>
    </row>
    <row r="24" spans="1:14">
      <c r="A24" s="18" t="s">
        <v>1964</v>
      </c>
      <c r="B24" s="23">
        <f>COUNTIF(進捗一覧!$B$7:$B$292,$A24)</f>
        <v>11</v>
      </c>
      <c r="C24" s="23">
        <f>COUNTIFS(進捗一覧!$B$7:$B$292,$A24,進捗一覧!$D$7:$D$292,"確定")</f>
        <v>3</v>
      </c>
      <c r="D24" s="23">
        <f>COUNTIFS(進捗一覧!$B$7:$B$292,$A24,進捗一覧!$D$7:$D$292,"方向性確定（条件付き）")</f>
        <v>2</v>
      </c>
      <c r="E24" s="23">
        <f>COUNTIFS(進捗一覧!$B$7:$B$292,$A24,進捗一覧!$D$7:$D$292,"検討中")</f>
        <v>1</v>
      </c>
      <c r="F24" s="23">
        <f>COUNTIFS(進捗一覧!$B$7:$B$292,$A24,進捗一覧!$D$7:$D$292,"外部待ち")</f>
        <v>5</v>
      </c>
      <c r="G24" s="23">
        <f>COUNTIFS(進捗一覧!$B$7:$B$292,$A24,進捗一覧!$D$7:$D$292,"対象外")</f>
        <v>0</v>
      </c>
      <c r="H24" s="115"/>
    </row>
    <row r="25" spans="1:14">
      <c r="A25" s="18" t="s">
        <v>1958</v>
      </c>
      <c r="B25" s="23">
        <f>COUNTIF(進捗一覧!$B$7:$B$292,$A25)</f>
        <v>24</v>
      </c>
      <c r="C25" s="23">
        <f>COUNTIFS(進捗一覧!$B$7:$B$292,$A25,進捗一覧!$D$7:$D$292,"確定")</f>
        <v>4</v>
      </c>
      <c r="D25" s="23">
        <f>COUNTIFS(進捗一覧!$B$7:$B$292,$A25,進捗一覧!$D$7:$D$292,"方向性確定（条件付き）")</f>
        <v>8</v>
      </c>
      <c r="E25" s="23">
        <f>COUNTIFS(進捗一覧!$B$7:$B$292,$A25,進捗一覧!$D$7:$D$292,"検討中")</f>
        <v>7</v>
      </c>
      <c r="F25" s="23">
        <f>COUNTIFS(進捗一覧!$B$7:$B$292,$A25,進捗一覧!$D$7:$D$292,"外部待ち")</f>
        <v>5</v>
      </c>
      <c r="G25" s="23">
        <f>COUNTIFS(進捗一覧!$B$7:$B$292,$A25,進捗一覧!$D$7:$D$292,"対象外")</f>
        <v>0</v>
      </c>
      <c r="H25" s="115" t="s">
        <v>2002</v>
      </c>
    </row>
    <row r="26" spans="1:14">
      <c r="A26" s="18" t="s">
        <v>1957</v>
      </c>
      <c r="B26" s="23">
        <f>COUNTIF(進捗一覧!$B$7:$B$292,$A26)</f>
        <v>21</v>
      </c>
      <c r="C26" s="23">
        <f>COUNTIFS(進捗一覧!$B$7:$B$292,$A26,進捗一覧!$D$7:$D$292,"確定")</f>
        <v>4</v>
      </c>
      <c r="D26" s="23">
        <f>COUNTIFS(進捗一覧!$B$7:$B$292,$A26,進捗一覧!$D$7:$D$292,"方向性確定（条件付き）")</f>
        <v>8</v>
      </c>
      <c r="E26" s="23">
        <f>COUNTIFS(進捗一覧!$B$7:$B$292,$A26,進捗一覧!$D$7:$D$292,"検討中")</f>
        <v>3</v>
      </c>
      <c r="F26" s="23">
        <f>COUNTIFS(進捗一覧!$B$7:$B$292,$A26,進捗一覧!$D$7:$D$292,"外部待ち")</f>
        <v>6</v>
      </c>
      <c r="G26" s="23">
        <f>COUNTIFS(進捗一覧!$B$7:$B$292,$A26,進捗一覧!$D$7:$D$292,"対象外")</f>
        <v>0</v>
      </c>
      <c r="H26" s="115" t="s">
        <v>2003</v>
      </c>
    </row>
    <row r="27" spans="1:14">
      <c r="A27" s="18" t="s">
        <v>1959</v>
      </c>
      <c r="B27" s="23">
        <f>COUNTIF(進捗一覧!$B$7:$B$292,$A27)</f>
        <v>29</v>
      </c>
      <c r="C27" s="23">
        <f>COUNTIFS(進捗一覧!$B$7:$B$292,$A27,進捗一覧!$D$7:$D$292,"確定")</f>
        <v>9</v>
      </c>
      <c r="D27" s="23">
        <f>COUNTIFS(進捗一覧!$B$7:$B$292,$A27,進捗一覧!$D$7:$D$292,"方向性確定（条件付き）")</f>
        <v>10</v>
      </c>
      <c r="E27" s="23">
        <f>COUNTIFS(進捗一覧!$B$7:$B$292,$A27,進捗一覧!$D$7:$D$292,"検討中")</f>
        <v>6</v>
      </c>
      <c r="F27" s="23">
        <f>COUNTIFS(進捗一覧!$B$7:$B$292,$A27,進捗一覧!$D$7:$D$292,"外部待ち")</f>
        <v>4</v>
      </c>
      <c r="G27" s="23">
        <f>COUNTIFS(進捗一覧!$B$7:$B$292,$A27,進捗一覧!$D$7:$D$292,"対象外")</f>
        <v>0</v>
      </c>
      <c r="H27" s="115"/>
    </row>
    <row r="28" spans="1:14">
      <c r="A28" s="18" t="s">
        <v>1961</v>
      </c>
      <c r="B28" s="23">
        <f>COUNTIF(進捗一覧!$B$7:$B$292,$A28)</f>
        <v>18</v>
      </c>
      <c r="C28" s="23">
        <f>COUNTIFS(進捗一覧!$B$7:$B$292,$A28,進捗一覧!$D$7:$D$292,"確定")</f>
        <v>1</v>
      </c>
      <c r="D28" s="23">
        <f>COUNTIFS(進捗一覧!$B$7:$B$292,$A28,進捗一覧!$D$7:$D$292,"方向性確定（条件付き）")</f>
        <v>4</v>
      </c>
      <c r="E28" s="23">
        <f>COUNTIFS(進捗一覧!$B$7:$B$292,$A28,進捗一覧!$D$7:$D$292,"検討中")</f>
        <v>1</v>
      </c>
      <c r="F28" s="23">
        <f>COUNTIFS(進捗一覧!$B$7:$B$292,$A28,進捗一覧!$D$7:$D$292,"外部待ち")</f>
        <v>11</v>
      </c>
      <c r="G28" s="23">
        <f>COUNTIFS(進捗一覧!$B$7:$B$292,$A28,進捗一覧!$D$7:$D$292,"対象外")</f>
        <v>1</v>
      </c>
      <c r="H28" s="115" t="s">
        <v>2004</v>
      </c>
    </row>
    <row r="29" spans="1:14">
      <c r="A29" s="18" t="s">
        <v>1960</v>
      </c>
      <c r="B29" s="23">
        <f>COUNTIF(進捗一覧!$B$7:$B$292,$A29)</f>
        <v>21</v>
      </c>
      <c r="C29" s="23">
        <f>COUNTIFS(進捗一覧!$B$7:$B$292,$A29,進捗一覧!$D$7:$D$292,"確定")</f>
        <v>0</v>
      </c>
      <c r="D29" s="23">
        <f>COUNTIFS(進捗一覧!$B$7:$B$292,$A29,進捗一覧!$D$7:$D$292,"方向性確定（条件付き）")</f>
        <v>7</v>
      </c>
      <c r="E29" s="23">
        <f>COUNTIFS(進捗一覧!$B$7:$B$292,$A29,進捗一覧!$D$7:$D$292,"検討中")</f>
        <v>8</v>
      </c>
      <c r="F29" s="23">
        <f>COUNTIFS(進捗一覧!$B$7:$B$292,$A29,進捗一覧!$D$7:$D$292,"外部待ち")</f>
        <v>6</v>
      </c>
      <c r="G29" s="23">
        <f>COUNTIFS(進捗一覧!$B$7:$B$292,$A29,進捗一覧!$D$7:$D$292,"対象外")</f>
        <v>0</v>
      </c>
      <c r="H29" s="115" t="s">
        <v>2005</v>
      </c>
    </row>
    <row r="30" spans="1:14">
      <c r="A30" s="18" t="s">
        <v>1962</v>
      </c>
      <c r="B30" s="23">
        <f>COUNTIF(進捗一覧!$B$7:$B$292,$A30)</f>
        <v>12</v>
      </c>
      <c r="C30" s="23">
        <f>COUNTIFS(進捗一覧!$B$7:$B$292,$A30,進捗一覧!$D$7:$D$292,"確定")</f>
        <v>8</v>
      </c>
      <c r="D30" s="23">
        <f>COUNTIFS(進捗一覧!$B$7:$B$292,$A30,進捗一覧!$D$7:$D$292,"方向性確定（条件付き）")</f>
        <v>2</v>
      </c>
      <c r="E30" s="23">
        <f>COUNTIFS(進捗一覧!$B$7:$B$292,$A30,進捗一覧!$D$7:$D$292,"検討中")</f>
        <v>1</v>
      </c>
      <c r="F30" s="23">
        <f>COUNTIFS(進捗一覧!$B$7:$B$292,$A30,進捗一覧!$D$7:$D$292,"外部待ち")</f>
        <v>1</v>
      </c>
      <c r="G30" s="23">
        <f>COUNTIFS(進捗一覧!$B$7:$B$292,$A30,進捗一覧!$D$7:$D$292,"対象外")</f>
        <v>0</v>
      </c>
      <c r="H30" s="115" t="s">
        <v>2006</v>
      </c>
    </row>
    <row r="31" spans="1:14">
      <c r="A31" s="18" t="s">
        <v>1963</v>
      </c>
      <c r="B31" s="23">
        <f>COUNTIF(進捗一覧!$B$7:$B$292,$A31)</f>
        <v>5</v>
      </c>
      <c r="C31" s="23">
        <f>COUNTIFS(進捗一覧!$B$7:$B$292,$A31,進捗一覧!$D$7:$D$292,"確定")</f>
        <v>1</v>
      </c>
      <c r="D31" s="23">
        <f>COUNTIFS(進捗一覧!$B$7:$B$292,$A31,進捗一覧!$D$7:$D$292,"方向性確定（条件付き）")</f>
        <v>2</v>
      </c>
      <c r="E31" s="23">
        <f>COUNTIFS(進捗一覧!$B$7:$B$292,$A31,進捗一覧!$D$7:$D$292,"検討中")</f>
        <v>0</v>
      </c>
      <c r="F31" s="23">
        <f>COUNTIFS(進捗一覧!$B$7:$B$292,$A31,進捗一覧!$D$7:$D$292,"外部待ち")</f>
        <v>2</v>
      </c>
      <c r="G31" s="23">
        <f>COUNTIFS(進捗一覧!$B$7:$B$292,$A31,進捗一覧!$D$7:$D$292,"対象外")</f>
        <v>0</v>
      </c>
      <c r="H31" s="115" t="s">
        <v>2007</v>
      </c>
    </row>
    <row r="32" spans="1:14">
      <c r="A32" s="18" t="s">
        <v>1973</v>
      </c>
      <c r="B32" s="23">
        <f>COUNTIF(進捗一覧!$B$7:$B$292,$A32)</f>
        <v>8</v>
      </c>
      <c r="C32" s="23">
        <f>COUNTIFS(進捗一覧!$B$7:$B$292,$A32,進捗一覧!$D$7:$D$292,"確定")</f>
        <v>0</v>
      </c>
      <c r="D32" s="23">
        <f>COUNTIFS(進捗一覧!$B$7:$B$292,$A32,進捗一覧!$D$7:$D$292,"方向性確定（条件付き）")</f>
        <v>0</v>
      </c>
      <c r="E32" s="23">
        <f>COUNTIFS(進捗一覧!$B$7:$B$292,$A32,進捗一覧!$D$7:$D$292,"検討中")</f>
        <v>6</v>
      </c>
      <c r="F32" s="23">
        <f>COUNTIFS(進捗一覧!$B$7:$B$292,$A32,進捗一覧!$D$7:$D$292,"外部待ち")</f>
        <v>2</v>
      </c>
      <c r="G32" s="23">
        <f>COUNTIFS(進捗一覧!$B$7:$B$292,$A32,進捗一覧!$D$7:$D$292,"対象外")</f>
        <v>0</v>
      </c>
      <c r="H32" s="115" t="s">
        <v>2008</v>
      </c>
    </row>
    <row r="33" spans="1:8">
      <c r="A33" s="19" t="s">
        <v>13</v>
      </c>
      <c r="B33" s="24">
        <f>SUM(B16:B32)</f>
        <v>286</v>
      </c>
      <c r="C33" s="24">
        <f>SUM(C16:C32)</f>
        <v>73</v>
      </c>
      <c r="D33" s="24">
        <f>SUM(D16:D32)</f>
        <v>82</v>
      </c>
      <c r="E33" s="24">
        <f>SUM(E16:E32)</f>
        <v>54</v>
      </c>
      <c r="F33" s="24">
        <f>SUM(F16:F32)</f>
        <v>73</v>
      </c>
      <c r="G33" s="24">
        <f>SUM(G16:G32)</f>
        <v>4</v>
      </c>
      <c r="H33" s="22"/>
    </row>
  </sheetData>
  <phoneticPr fontId="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H80"/>
  <sheetViews>
    <sheetView topLeftCell="A61" zoomScale="132" workbookViewId="0">
      <selection activeCell="B31" sqref="B31"/>
    </sheetView>
  </sheetViews>
  <sheetFormatPr baseColWidth="10" defaultRowHeight="18"/>
  <cols>
    <col min="1" max="1" width="38.5703125" style="26" customWidth="1"/>
    <col min="2" max="2" width="24.28515625" style="26" customWidth="1"/>
    <col min="3" max="3" width="74.28515625" style="26" customWidth="1"/>
    <col min="4" max="4" width="24.28515625" style="26" customWidth="1"/>
    <col min="5" max="5" width="10.7109375" style="26"/>
    <col min="6" max="7" width="11.42578125" style="26" customWidth="1"/>
    <col min="8" max="16384" width="10.7109375" style="26"/>
  </cols>
  <sheetData>
    <row r="1" spans="1:8" ht="22">
      <c r="A1" s="25" t="s">
        <v>934</v>
      </c>
    </row>
    <row r="2" spans="1:8">
      <c r="A2" s="27" t="s">
        <v>1941</v>
      </c>
    </row>
    <row r="3" spans="1:8">
      <c r="A3" s="28" t="s">
        <v>935</v>
      </c>
    </row>
    <row r="5" spans="1:8">
      <c r="A5" s="77" t="s">
        <v>2659</v>
      </c>
    </row>
    <row r="6" spans="1:8">
      <c r="A6" s="48" t="s">
        <v>1977</v>
      </c>
      <c r="B6" s="49" t="s">
        <v>7</v>
      </c>
      <c r="C6" s="49" t="s">
        <v>8</v>
      </c>
      <c r="D6" s="49" t="s">
        <v>2001</v>
      </c>
      <c r="E6" s="49" t="s">
        <v>9</v>
      </c>
      <c r="F6" s="50" t="s">
        <v>1948</v>
      </c>
      <c r="G6" s="137" t="s">
        <v>1336</v>
      </c>
    </row>
    <row r="7" spans="1:8">
      <c r="A7" s="78" t="s">
        <v>11</v>
      </c>
      <c r="B7" s="79">
        <f>COUNTIF(進捗一覧!$C$7:$C$292,$A7)</f>
        <v>91</v>
      </c>
      <c r="C7" s="79">
        <f>COUNTIFS(進捗一覧!$C$7:$C$292,$A7,進捗一覧!$D$7:$D$292,"確定")</f>
        <v>33</v>
      </c>
      <c r="D7" s="79">
        <f>COUNTIFS(進捗一覧!$C$7:$C$292,$A7,進捗一覧!$D$7:$D$292,"方向性確定（条件付き）")</f>
        <v>37</v>
      </c>
      <c r="E7" s="79">
        <f>COUNTIFS(進捗一覧!$C$7:$C$292,$A7,進捗一覧!$D$7:$D$292,"検討中")</f>
        <v>0</v>
      </c>
      <c r="F7" s="134">
        <f>COUNTIFS(進捗一覧!$C$7:$C$292,$A7,進捗一覧!$D$7:$D$292,"外部待ち")</f>
        <v>21</v>
      </c>
      <c r="G7" s="138">
        <f>COUNTIFS(進捗一覧!$C$7:$C$292,$A7,進捗一覧!$D$7:$D$292,"対象外")</f>
        <v>0</v>
      </c>
    </row>
    <row r="8" spans="1:8">
      <c r="A8" s="78" t="s">
        <v>12</v>
      </c>
      <c r="B8" s="79">
        <f>COUNTIF(進捗一覧!$C$7:$C$292,$A8)</f>
        <v>88</v>
      </c>
      <c r="C8" s="79">
        <f>COUNTIFS(進捗一覧!$C$7:$C$292,$A8,進捗一覧!$D$7:$D$292,"確定")</f>
        <v>22</v>
      </c>
      <c r="D8" s="79">
        <f>COUNTIFS(進捗一覧!$C$7:$C$292,$A8,進捗一覧!$D$7:$D$292,"方向性確定（条件付き）")</f>
        <v>39</v>
      </c>
      <c r="E8" s="79">
        <f>COUNTIFS(進捗一覧!$C$7:$C$292,$A8,進捗一覧!$D$7:$D$292,"検討中")</f>
        <v>0</v>
      </c>
      <c r="F8" s="134">
        <f>COUNTIFS(進捗一覧!$C$7:$C$292,$A8,進捗一覧!$D$7:$D$292,"外部待ち")</f>
        <v>27</v>
      </c>
      <c r="G8" s="138">
        <f>COUNTIFS(進捗一覧!$C$7:$C$292,$A8,進捗一覧!$D$7:$D$292,"対象外")</f>
        <v>0</v>
      </c>
    </row>
    <row r="9" spans="1:8">
      <c r="A9" s="78" t="s">
        <v>1818</v>
      </c>
      <c r="B9" s="79">
        <f>COUNTIF(進捗一覧!$C$7:$C$292,$A9)</f>
        <v>21</v>
      </c>
      <c r="C9" s="79">
        <f>COUNTIFS(進捗一覧!$C$7:$C$292,$A9,進捗一覧!$D$7:$D$292,"確定")</f>
        <v>16</v>
      </c>
      <c r="D9" s="79">
        <f>COUNTIFS(進捗一覧!$C$7:$C$292,$A9,進捗一覧!$D$7:$D$292,"方向性確定（条件付き）")</f>
        <v>5</v>
      </c>
      <c r="E9" s="79">
        <f>COUNTIFS(進捗一覧!$C$7:$C$292,$A9,進捗一覧!$D$7:$D$292,"検討中")</f>
        <v>0</v>
      </c>
      <c r="F9" s="134">
        <f>COUNTIFS(進捗一覧!$C$7:$C$292,$A9,進捗一覧!$D$7:$D$292,"外部待ち")</f>
        <v>0</v>
      </c>
      <c r="G9" s="138">
        <f>COUNTIFS(進捗一覧!$C$7:$C$292,$A9,進捗一覧!$D$7:$D$292,"対象外")</f>
        <v>0</v>
      </c>
    </row>
    <row r="10" spans="1:8">
      <c r="A10" s="78" t="s">
        <v>1966</v>
      </c>
      <c r="B10" s="79">
        <f>COUNTIF(進捗一覧!$C$7:$C$292,$A10)</f>
        <v>11</v>
      </c>
      <c r="C10" s="79">
        <f>COUNTIFS(進捗一覧!$C$7:$C$292,$A10,進捗一覧!$D$7:$D$292,"確定")</f>
        <v>2</v>
      </c>
      <c r="D10" s="79">
        <f>COUNTIFS(進捗一覧!$C$7:$C$292,$A10,進捗一覧!$D$7:$D$292,"方向性確定（条件付き）")</f>
        <v>0</v>
      </c>
      <c r="E10" s="79">
        <f>COUNTIFS(進捗一覧!$C$7:$C$292,$A10,進捗一覧!$D$7:$D$292,"検討中")</f>
        <v>6</v>
      </c>
      <c r="F10" s="134">
        <f>COUNTIFS(進捗一覧!$C$7:$C$292,$A10,進捗一覧!$D$7:$D$292,"外部待ち")</f>
        <v>1</v>
      </c>
      <c r="G10" s="138">
        <f>COUNTIFS(進捗一覧!$C$7:$C$292,$A10,進捗一覧!$D$7:$D$292,"対象外")</f>
        <v>2</v>
      </c>
    </row>
    <row r="11" spans="1:8">
      <c r="A11" s="78" t="s">
        <v>1970</v>
      </c>
      <c r="B11" s="79">
        <f>COUNTIF(進捗一覧!$C$7:$C$292,$A11)</f>
        <v>59</v>
      </c>
      <c r="C11" s="79">
        <f>COUNTIFS(進捗一覧!$C$7:$C$292,$A11,進捗一覧!$D$7:$D$292,"確定")</f>
        <v>0</v>
      </c>
      <c r="D11" s="79">
        <f>COUNTIFS(進捗一覧!$C$7:$C$292,$A11,進捗一覧!$D$7:$D$292,"方向性確定（条件付き）")</f>
        <v>1</v>
      </c>
      <c r="E11" s="79">
        <f>COUNTIFS(進捗一覧!$C$7:$C$292,$A11,進捗一覧!$D$7:$D$292,"検討中")</f>
        <v>48</v>
      </c>
      <c r="F11" s="134">
        <f>COUNTIFS(進捗一覧!$C$7:$C$292,$A11,進捗一覧!$D$7:$D$292,"外部待ち")</f>
        <v>8</v>
      </c>
      <c r="G11" s="138">
        <f>COUNTIFS(進捗一覧!$C$7:$C$292,$A11,進捗一覧!$D$7:$D$292,"対象外")</f>
        <v>2</v>
      </c>
    </row>
    <row r="12" spans="1:8">
      <c r="A12" s="102" t="s">
        <v>1974</v>
      </c>
      <c r="B12" s="81">
        <f>COUNTIF(進捗一覧!$C$7:$C$292,$A12)</f>
        <v>16</v>
      </c>
      <c r="C12" s="81">
        <f>COUNTIFS(進捗一覧!$C$7:$C$292,$A12,進捗一覧!$D$7:$D$292,"確定")</f>
        <v>0</v>
      </c>
      <c r="D12" s="81">
        <f>COUNTIFS(進捗一覧!$C$7:$C$292,$A12,進捗一覧!$D$7:$D$292,"方向性確定（条件付き）")</f>
        <v>0</v>
      </c>
      <c r="E12" s="81">
        <f>COUNTIFS(進捗一覧!$C$7:$C$292,$A12,進捗一覧!$D$7:$D$292,"検討中")</f>
        <v>0</v>
      </c>
      <c r="F12" s="135">
        <f>COUNTIFS(進捗一覧!$C$7:$C$292,$A12,進捗一覧!$D$7:$D$292,"外部待ち")</f>
        <v>16</v>
      </c>
      <c r="G12" s="136">
        <f>COUNTIFS(進捗一覧!$C$7:$C$292,$A12,進捗一覧!$D$7:$D$292,"対象外")</f>
        <v>0</v>
      </c>
    </row>
    <row r="13" spans="1:8">
      <c r="A13" s="80" t="s">
        <v>13</v>
      </c>
      <c r="B13" s="139">
        <f>SUM(B7:B12)</f>
        <v>286</v>
      </c>
      <c r="C13" s="139">
        <f>SUM(C7:C12)</f>
        <v>73</v>
      </c>
      <c r="D13" s="139">
        <f>SUM(D7:D12)</f>
        <v>82</v>
      </c>
      <c r="E13" s="139">
        <f>SUM(E7:E12)</f>
        <v>54</v>
      </c>
      <c r="F13" s="140">
        <f>SUM(F7:F12)</f>
        <v>73</v>
      </c>
      <c r="G13" s="139">
        <f>SUM(G7:G12)</f>
        <v>4</v>
      </c>
      <c r="H13" s="53" t="str">
        <f>IF(B13=COUNTA(進捗一覧!$J$7:$J$292),"✓ 明細行数と一致","⚠ 不一致")</f>
        <v>✓ 明細行数と一致</v>
      </c>
    </row>
    <row r="15" spans="1:8">
      <c r="A15" s="77" t="s">
        <v>936</v>
      </c>
      <c r="B15" s="49" t="s">
        <v>14</v>
      </c>
      <c r="C15" s="49" t="s">
        <v>938</v>
      </c>
      <c r="D15" s="49" t="s">
        <v>2663</v>
      </c>
      <c r="E15" s="49" t="s">
        <v>2664</v>
      </c>
      <c r="F15" s="49" t="s">
        <v>2665</v>
      </c>
      <c r="G15" s="49" t="s">
        <v>2666</v>
      </c>
      <c r="H15" s="50" t="s">
        <v>2667</v>
      </c>
    </row>
    <row r="16" spans="1:8">
      <c r="A16" s="48" t="s">
        <v>937</v>
      </c>
      <c r="B16" s="142" t="s">
        <v>2669</v>
      </c>
      <c r="C16" s="142" t="s">
        <v>2670</v>
      </c>
      <c r="D16" s="141" t="s">
        <v>7</v>
      </c>
      <c r="E16" s="141" t="s">
        <v>8</v>
      </c>
      <c r="F16" s="141" t="s">
        <v>2001</v>
      </c>
      <c r="G16" s="141" t="s">
        <v>9</v>
      </c>
      <c r="H16" s="143" t="s">
        <v>1948</v>
      </c>
    </row>
    <row r="17" spans="1:8">
      <c r="A17" s="78" t="s">
        <v>939</v>
      </c>
      <c r="B17" s="82" t="s">
        <v>2660</v>
      </c>
      <c r="C17" s="82" t="s">
        <v>2671</v>
      </c>
      <c r="D17" s="83">
        <f>COUNTIFS(進捗一覧!$C$7:$C$292,$B17,進捗一覧!$J$7:$J$292,$C17)</f>
        <v>14</v>
      </c>
      <c r="E17" s="83">
        <f>COUNTIFS(進捗一覧!$C$7:$C$292,$B17,進捗一覧!$J$7:$J$292,$C17,進捗一覧!$D$7:$D$292,"確定")</f>
        <v>4</v>
      </c>
      <c r="F17" s="83">
        <f>COUNTIFS(進捗一覧!$C$7:$C$292,$B17,進捗一覧!$J$7:$J$292,$C17,進捗一覧!$D$7:$D$292,"方向性確定（条件付き）")</f>
        <v>6</v>
      </c>
      <c r="G17" s="83">
        <f>COUNTIFS(進捗一覧!$C$7:$C$292,$B17,進捗一覧!$J$7:$J$292,$C17,進捗一覧!$D$7:$D$292,"検討中")</f>
        <v>0</v>
      </c>
      <c r="H17" s="144">
        <f>COUNTIFS(進捗一覧!$C$7:$C$292,$B17,進捗一覧!$J$7:$J$292,$C17,進捗一覧!$D$7:$D$292,"外部待ち")</f>
        <v>4</v>
      </c>
    </row>
    <row r="18" spans="1:8">
      <c r="A18" s="78" t="s">
        <v>940</v>
      </c>
      <c r="B18" s="82" t="s">
        <v>2660</v>
      </c>
      <c r="C18" s="82" t="s">
        <v>2672</v>
      </c>
      <c r="D18" s="83">
        <f>COUNTIFS(進捗一覧!$C$7:$C$292,$B18,進捗一覧!$J$7:$J$292,$C18)</f>
        <v>14</v>
      </c>
      <c r="E18" s="83">
        <f>COUNTIFS(進捗一覧!$C$7:$C$292,$B18,進捗一覧!$J$7:$J$292,$C18,進捗一覧!$D$7:$D$292,"確定")</f>
        <v>4</v>
      </c>
      <c r="F18" s="83">
        <f>COUNTIFS(進捗一覧!$C$7:$C$292,$B18,進捗一覧!$J$7:$J$292,$C18,進捗一覧!$D$7:$D$292,"方向性確定（条件付き）")</f>
        <v>4</v>
      </c>
      <c r="G18" s="83">
        <f>COUNTIFS(進捗一覧!$C$7:$C$292,$B18,進捗一覧!$J$7:$J$292,$C18,進捗一覧!$D$7:$D$292,"検討中")</f>
        <v>0</v>
      </c>
      <c r="H18" s="144">
        <f>COUNTIFS(進捗一覧!$C$7:$C$292,$B18,進捗一覧!$J$7:$J$292,$C18,進捗一覧!$D$7:$D$292,"外部待ち")</f>
        <v>6</v>
      </c>
    </row>
    <row r="19" spans="1:8">
      <c r="A19" s="78" t="s">
        <v>941</v>
      </c>
      <c r="B19" s="82" t="s">
        <v>2660</v>
      </c>
      <c r="C19" s="82" t="s">
        <v>2673</v>
      </c>
      <c r="D19" s="83">
        <f>COUNTIFS(進捗一覧!$C$7:$C$292,$B19,進捗一覧!$J$7:$J$292,$C19)</f>
        <v>9</v>
      </c>
      <c r="E19" s="83">
        <f>COUNTIFS(進捗一覧!$C$7:$C$292,$B19,進捗一覧!$J$7:$J$292,$C19,進捗一覧!$D$7:$D$292,"確定")</f>
        <v>1</v>
      </c>
      <c r="F19" s="83">
        <f>COUNTIFS(進捗一覧!$C$7:$C$292,$B19,進捗一覧!$J$7:$J$292,$C19,進捗一覧!$D$7:$D$292,"方向性確定（条件付き）")</f>
        <v>5</v>
      </c>
      <c r="G19" s="83">
        <f>COUNTIFS(進捗一覧!$C$7:$C$292,$B19,進捗一覧!$J$7:$J$292,$C19,進捗一覧!$D$7:$D$292,"検討中")</f>
        <v>0</v>
      </c>
      <c r="H19" s="144">
        <f>COUNTIFS(進捗一覧!$C$7:$C$292,$B19,進捗一覧!$J$7:$J$292,$C19,進捗一覧!$D$7:$D$292,"外部待ち")</f>
        <v>3</v>
      </c>
    </row>
    <row r="20" spans="1:8">
      <c r="A20" s="78" t="s">
        <v>942</v>
      </c>
      <c r="B20" s="82" t="s">
        <v>2660</v>
      </c>
      <c r="C20" s="82" t="s">
        <v>2674</v>
      </c>
      <c r="D20" s="83">
        <f>COUNTIFS(進捗一覧!$C$7:$C$292,$B20,進捗一覧!$J$7:$J$292,$C20)</f>
        <v>10</v>
      </c>
      <c r="E20" s="83">
        <f>COUNTIFS(進捗一覧!$C$7:$C$292,$B20,進捗一覧!$J$7:$J$292,$C20,進捗一覧!$D$7:$D$292,"確定")</f>
        <v>4</v>
      </c>
      <c r="F20" s="83">
        <f>COUNTIFS(進捗一覧!$C$7:$C$292,$B20,進捗一覧!$J$7:$J$292,$C20,進捗一覧!$D$7:$D$292,"方向性確定（条件付き）")</f>
        <v>5</v>
      </c>
      <c r="G20" s="83">
        <f>COUNTIFS(進捗一覧!$C$7:$C$292,$B20,進捗一覧!$J$7:$J$292,$C20,進捗一覧!$D$7:$D$292,"検討中")</f>
        <v>0</v>
      </c>
      <c r="H20" s="144">
        <f>COUNTIFS(進捗一覧!$C$7:$C$292,$B20,進捗一覧!$J$7:$J$292,$C20,進捗一覧!$D$7:$D$292,"外部待ち")</f>
        <v>1</v>
      </c>
    </row>
    <row r="21" spans="1:8">
      <c r="A21" s="78" t="s">
        <v>943</v>
      </c>
      <c r="B21" s="82" t="s">
        <v>2660</v>
      </c>
      <c r="C21" s="82" t="s">
        <v>2675</v>
      </c>
      <c r="D21" s="83">
        <f>COUNTIFS(進捗一覧!$C$7:$C$292,$B21,進捗一覧!$J$7:$J$292,$C21)</f>
        <v>10</v>
      </c>
      <c r="E21" s="83">
        <f>COUNTIFS(進捗一覧!$C$7:$C$292,$B21,進捗一覧!$J$7:$J$292,$C21,進捗一覧!$D$7:$D$292,"確定")</f>
        <v>6</v>
      </c>
      <c r="F21" s="83">
        <f>COUNTIFS(進捗一覧!$C$7:$C$292,$B21,進捗一覧!$J$7:$J$292,$C21,進捗一覧!$D$7:$D$292,"方向性確定（条件付き）")</f>
        <v>2</v>
      </c>
      <c r="G21" s="83">
        <f>COUNTIFS(進捗一覧!$C$7:$C$292,$B21,進捗一覧!$J$7:$J$292,$C21,進捗一覧!$D$7:$D$292,"検討中")</f>
        <v>0</v>
      </c>
      <c r="H21" s="144">
        <f>COUNTIFS(進捗一覧!$C$7:$C$292,$B21,進捗一覧!$J$7:$J$292,$C21,進捗一覧!$D$7:$D$292,"外部待ち")</f>
        <v>2</v>
      </c>
    </row>
    <row r="22" spans="1:8">
      <c r="A22" s="78" t="s">
        <v>944</v>
      </c>
      <c r="B22" s="82" t="s">
        <v>2660</v>
      </c>
      <c r="C22" s="82" t="s">
        <v>2676</v>
      </c>
      <c r="D22" s="83">
        <f>COUNTIFS(進捗一覧!$C$7:$C$292,$B22,進捗一覧!$J$7:$J$292,$C22)</f>
        <v>12</v>
      </c>
      <c r="E22" s="83">
        <f>COUNTIFS(進捗一覧!$C$7:$C$292,$B22,進捗一覧!$J$7:$J$292,$C22,進捗一覧!$D$7:$D$292,"確定")</f>
        <v>5</v>
      </c>
      <c r="F22" s="83">
        <f>COUNTIFS(進捗一覧!$C$7:$C$292,$B22,進捗一覧!$J$7:$J$292,$C22,進捗一覧!$D$7:$D$292,"方向性確定（条件付き）")</f>
        <v>6</v>
      </c>
      <c r="G22" s="83">
        <f>COUNTIFS(進捗一覧!$C$7:$C$292,$B22,進捗一覧!$J$7:$J$292,$C22,進捗一覧!$D$7:$D$292,"検討中")</f>
        <v>0</v>
      </c>
      <c r="H22" s="144">
        <f>COUNTIFS(進捗一覧!$C$7:$C$292,$B22,進捗一覧!$J$7:$J$292,$C22,進捗一覧!$D$7:$D$292,"外部待ち")</f>
        <v>1</v>
      </c>
    </row>
    <row r="23" spans="1:8">
      <c r="A23" s="78" t="s">
        <v>945</v>
      </c>
      <c r="B23" s="82" t="s">
        <v>2660</v>
      </c>
      <c r="C23" s="82" t="s">
        <v>2677</v>
      </c>
      <c r="D23" s="83">
        <f>COUNTIFS(進捗一覧!$C$7:$C$292,$B23,進捗一覧!$J$7:$J$292,$C23)</f>
        <v>12</v>
      </c>
      <c r="E23" s="83">
        <f>COUNTIFS(進捗一覧!$C$7:$C$292,$B23,進捗一覧!$J$7:$J$292,$C23,進捗一覧!$D$7:$D$292,"確定")</f>
        <v>4</v>
      </c>
      <c r="F23" s="83">
        <f>COUNTIFS(進捗一覧!$C$7:$C$292,$B23,進捗一覧!$J$7:$J$292,$C23,進捗一覧!$D$7:$D$292,"方向性確定（条件付き）")</f>
        <v>6</v>
      </c>
      <c r="G23" s="83">
        <f>COUNTIFS(進捗一覧!$C$7:$C$292,$B23,進捗一覧!$J$7:$J$292,$C23,進捗一覧!$D$7:$D$292,"検討中")</f>
        <v>0</v>
      </c>
      <c r="H23" s="144">
        <f>COUNTIFS(進捗一覧!$C$7:$C$292,$B23,進捗一覧!$J$7:$J$292,$C23,進捗一覧!$D$7:$D$292,"外部待ち")</f>
        <v>2</v>
      </c>
    </row>
    <row r="24" spans="1:8">
      <c r="A24" s="78" t="s">
        <v>946</v>
      </c>
      <c r="B24" s="82" t="s">
        <v>2660</v>
      </c>
      <c r="C24" s="82" t="s">
        <v>2678</v>
      </c>
      <c r="D24" s="83">
        <f>COUNTIFS(進捗一覧!$C$7:$C$292,$B24,進捗一覧!$J$7:$J$292,$C24)</f>
        <v>10</v>
      </c>
      <c r="E24" s="83">
        <f>COUNTIFS(進捗一覧!$C$7:$C$292,$B24,進捗一覧!$J$7:$J$292,$C24,進捗一覧!$D$7:$D$292,"確定")</f>
        <v>5</v>
      </c>
      <c r="F24" s="83">
        <f>COUNTIFS(進捗一覧!$C$7:$C$292,$B24,進捗一覧!$J$7:$J$292,$C24,進捗一覧!$D$7:$D$292,"方向性確定（条件付き）")</f>
        <v>3</v>
      </c>
      <c r="G24" s="83">
        <f>COUNTIFS(進捗一覧!$C$7:$C$292,$B24,進捗一覧!$J$7:$J$292,$C24,進捗一覧!$D$7:$D$292,"検討中")</f>
        <v>0</v>
      </c>
      <c r="H24" s="144">
        <f>COUNTIFS(進捗一覧!$C$7:$C$292,$B24,進捗一覧!$J$7:$J$292,$C24,進捗一覧!$D$7:$D$292,"外部待ち")</f>
        <v>2</v>
      </c>
    </row>
    <row r="25" spans="1:8">
      <c r="A25" s="78" t="s">
        <v>330</v>
      </c>
      <c r="B25" s="82" t="s">
        <v>2661</v>
      </c>
      <c r="C25" s="82" t="s">
        <v>2679</v>
      </c>
      <c r="D25" s="83">
        <f>COUNTIFS(進捗一覧!$C$7:$C$292,$B25,進捗一覧!$J$7:$J$292,$C25)</f>
        <v>6</v>
      </c>
      <c r="E25" s="83">
        <f>COUNTIFS(進捗一覧!$C$7:$C$292,$B25,進捗一覧!$J$7:$J$292,$C25,進捗一覧!$D$7:$D$292,"確定")</f>
        <v>1</v>
      </c>
      <c r="F25" s="83">
        <f>COUNTIFS(進捗一覧!$C$7:$C$292,$B25,進捗一覧!$J$7:$J$292,$C25,進捗一覧!$D$7:$D$292,"方向性確定（条件付き）")</f>
        <v>3</v>
      </c>
      <c r="G25" s="83">
        <f>COUNTIFS(進捗一覧!$C$7:$C$292,$B25,進捗一覧!$J$7:$J$292,$C25,進捗一覧!$D$7:$D$292,"検討中")</f>
        <v>0</v>
      </c>
      <c r="H25" s="144">
        <f>COUNTIFS(進捗一覧!$C$7:$C$292,$B25,進捗一覧!$J$7:$J$292,$C25,進捗一覧!$D$7:$D$292,"外部待ち")</f>
        <v>2</v>
      </c>
    </row>
    <row r="26" spans="1:8">
      <c r="A26" s="78" t="s">
        <v>947</v>
      </c>
      <c r="B26" s="82" t="s">
        <v>2661</v>
      </c>
      <c r="C26" s="82" t="s">
        <v>2680</v>
      </c>
      <c r="D26" s="83">
        <f>COUNTIFS(進捗一覧!$C$7:$C$292,$B26,進捗一覧!$J$7:$J$292,$C26)</f>
        <v>8</v>
      </c>
      <c r="E26" s="83">
        <f>COUNTIFS(進捗一覧!$C$7:$C$292,$B26,進捗一覧!$J$7:$J$292,$C26,進捗一覧!$D$7:$D$292,"確定")</f>
        <v>3</v>
      </c>
      <c r="F26" s="83">
        <f>COUNTIFS(進捗一覧!$C$7:$C$292,$B26,進捗一覧!$J$7:$J$292,$C26,進捗一覧!$D$7:$D$292,"方向性確定（条件付き）")</f>
        <v>3</v>
      </c>
      <c r="G26" s="83">
        <f>COUNTIFS(進捗一覧!$C$7:$C$292,$B26,進捗一覧!$J$7:$J$292,$C26,進捗一覧!$D$7:$D$292,"検討中")</f>
        <v>0</v>
      </c>
      <c r="H26" s="144">
        <f>COUNTIFS(進捗一覧!$C$7:$C$292,$B26,進捗一覧!$J$7:$J$292,$C26,進捗一覧!$D$7:$D$292,"外部待ち")</f>
        <v>2</v>
      </c>
    </row>
    <row r="27" spans="1:8">
      <c r="A27" s="78" t="s">
        <v>948</v>
      </c>
      <c r="B27" s="82" t="s">
        <v>2661</v>
      </c>
      <c r="C27" s="82" t="s">
        <v>2681</v>
      </c>
      <c r="D27" s="83">
        <f>COUNTIFS(進捗一覧!$C$7:$C$292,$B27,進捗一覧!$J$7:$J$292,$C27)</f>
        <v>7</v>
      </c>
      <c r="E27" s="83">
        <f>COUNTIFS(進捗一覧!$C$7:$C$292,$B27,進捗一覧!$J$7:$J$292,$C27,進捗一覧!$D$7:$D$292,"確定")</f>
        <v>0</v>
      </c>
      <c r="F27" s="83">
        <f>COUNTIFS(進捗一覧!$C$7:$C$292,$B27,進捗一覧!$J$7:$J$292,$C27,進捗一覧!$D$7:$D$292,"方向性確定（条件付き）")</f>
        <v>4</v>
      </c>
      <c r="G27" s="83">
        <f>COUNTIFS(進捗一覧!$C$7:$C$292,$B27,進捗一覧!$J$7:$J$292,$C27,進捗一覧!$D$7:$D$292,"検討中")</f>
        <v>0</v>
      </c>
      <c r="H27" s="144">
        <f>COUNTIFS(進捗一覧!$C$7:$C$292,$B27,進捗一覧!$J$7:$J$292,$C27,進捗一覧!$D$7:$D$292,"外部待ち")</f>
        <v>3</v>
      </c>
    </row>
    <row r="28" spans="1:8">
      <c r="A28" s="78" t="s">
        <v>949</v>
      </c>
      <c r="B28" s="82" t="s">
        <v>2661</v>
      </c>
      <c r="C28" s="82" t="s">
        <v>2682</v>
      </c>
      <c r="D28" s="83">
        <f>COUNTIFS(進捗一覧!$C$7:$C$292,$B28,進捗一覧!$J$7:$J$292,$C28)</f>
        <v>21</v>
      </c>
      <c r="E28" s="83">
        <f>COUNTIFS(進捗一覧!$C$7:$C$292,$B28,進捗一覧!$J$7:$J$292,$C28,進捗一覧!$D$7:$D$292,"確定")</f>
        <v>9</v>
      </c>
      <c r="F28" s="83">
        <f>COUNTIFS(進捗一覧!$C$7:$C$292,$B28,進捗一覧!$J$7:$J$292,$C28,進捗一覧!$D$7:$D$292,"方向性確定（条件付き）")</f>
        <v>10</v>
      </c>
      <c r="G28" s="83">
        <f>COUNTIFS(進捗一覧!$C$7:$C$292,$B28,進捗一覧!$J$7:$J$292,$C28,進捗一覧!$D$7:$D$292,"検討中")</f>
        <v>0</v>
      </c>
      <c r="H28" s="144">
        <f>COUNTIFS(進捗一覧!$C$7:$C$292,$B28,進捗一覧!$J$7:$J$292,$C28,進捗一覧!$D$7:$D$292,"外部待ち")</f>
        <v>2</v>
      </c>
    </row>
    <row r="29" spans="1:8">
      <c r="A29" s="78" t="s">
        <v>472</v>
      </c>
      <c r="B29" s="82" t="s">
        <v>2661</v>
      </c>
      <c r="C29" s="82" t="s">
        <v>2683</v>
      </c>
      <c r="D29" s="83">
        <f>COUNTIFS(進捗一覧!$C$7:$C$292,$B29,進捗一覧!$J$7:$J$292,$C29)</f>
        <v>8</v>
      </c>
      <c r="E29" s="83">
        <f>COUNTIFS(進捗一覧!$C$7:$C$292,$B29,進捗一覧!$J$7:$J$292,$C29,進捗一覧!$D$7:$D$292,"確定")</f>
        <v>0</v>
      </c>
      <c r="F29" s="83">
        <f>COUNTIFS(進捗一覧!$C$7:$C$292,$B29,進捗一覧!$J$7:$J$292,$C29,進捗一覧!$D$7:$D$292,"方向性確定（条件付き）")</f>
        <v>4</v>
      </c>
      <c r="G29" s="83">
        <f>COUNTIFS(進捗一覧!$C$7:$C$292,$B29,進捗一覧!$J$7:$J$292,$C29,進捗一覧!$D$7:$D$292,"検討中")</f>
        <v>0</v>
      </c>
      <c r="H29" s="144">
        <f>COUNTIFS(進捗一覧!$C$7:$C$292,$B29,進捗一覧!$J$7:$J$292,$C29,進捗一覧!$D$7:$D$292,"外部待ち")</f>
        <v>4</v>
      </c>
    </row>
    <row r="30" spans="1:8">
      <c r="A30" s="78" t="s">
        <v>950</v>
      </c>
      <c r="B30" s="82" t="s">
        <v>2661</v>
      </c>
      <c r="C30" s="82" t="s">
        <v>2684</v>
      </c>
      <c r="D30" s="83">
        <f>COUNTIFS(進捗一覧!$C$7:$C$292,$B30,進捗一覧!$J$7:$J$292,$C30)</f>
        <v>11</v>
      </c>
      <c r="E30" s="83">
        <f>COUNTIFS(進捗一覧!$C$7:$C$292,$B30,進捗一覧!$J$7:$J$292,$C30,進捗一覧!$D$7:$D$292,"確定")</f>
        <v>0</v>
      </c>
      <c r="F30" s="83">
        <f>COUNTIFS(進捗一覧!$C$7:$C$292,$B30,進捗一覧!$J$7:$J$292,$C30,進捗一覧!$D$7:$D$292,"方向性確定（条件付き）")</f>
        <v>7</v>
      </c>
      <c r="G30" s="83">
        <f>COUNTIFS(進捗一覧!$C$7:$C$292,$B30,進捗一覧!$J$7:$J$292,$C30,進捗一覧!$D$7:$D$292,"検討中")</f>
        <v>0</v>
      </c>
      <c r="H30" s="144">
        <f>COUNTIFS(進捗一覧!$C$7:$C$292,$B30,進捗一覧!$J$7:$J$292,$C30,進捗一覧!$D$7:$D$292,"外部待ち")</f>
        <v>4</v>
      </c>
    </row>
    <row r="31" spans="1:8">
      <c r="A31" s="78" t="s">
        <v>951</v>
      </c>
      <c r="B31" s="82" t="s">
        <v>2661</v>
      </c>
      <c r="C31" s="82" t="s">
        <v>2685</v>
      </c>
      <c r="D31" s="83">
        <f>COUNTIFS(進捗一覧!$C$7:$C$292,$B31,進捗一覧!$J$7:$J$292,$C31)</f>
        <v>11</v>
      </c>
      <c r="E31" s="83">
        <f>COUNTIFS(進捗一覧!$C$7:$C$292,$B31,進捗一覧!$J$7:$J$292,$C31,進捗一覧!$D$7:$D$292,"確定")</f>
        <v>0</v>
      </c>
      <c r="F31" s="83">
        <f>COUNTIFS(進捗一覧!$C$7:$C$292,$B31,進捗一覧!$J$7:$J$292,$C31,進捗一覧!$D$7:$D$292,"方向性確定（条件付き）")</f>
        <v>4</v>
      </c>
      <c r="G31" s="83">
        <f>COUNTIFS(進捗一覧!$C$7:$C$292,$B31,進捗一覧!$J$7:$J$292,$C31,進捗一覧!$D$7:$D$292,"検討中")</f>
        <v>0</v>
      </c>
      <c r="H31" s="144">
        <f>COUNTIFS(進捗一覧!$C$7:$C$292,$B31,進捗一覧!$J$7:$J$292,$C31,進捗一覧!$D$7:$D$292,"外部待ち")</f>
        <v>7</v>
      </c>
    </row>
    <row r="32" spans="1:8">
      <c r="A32" s="78" t="s">
        <v>573</v>
      </c>
      <c r="B32" s="82" t="s">
        <v>2661</v>
      </c>
      <c r="C32" s="82" t="s">
        <v>2686</v>
      </c>
      <c r="D32" s="83">
        <f>COUNTIFS(進捗一覧!$C$7:$C$292,$B32,進捗一覧!$J$7:$J$292,$C32)</f>
        <v>11</v>
      </c>
      <c r="E32" s="83">
        <f>COUNTIFS(進捗一覧!$C$7:$C$292,$B32,進捗一覧!$J$7:$J$292,$C32,進捗一覧!$D$7:$D$292,"確定")</f>
        <v>8</v>
      </c>
      <c r="F32" s="83">
        <f>COUNTIFS(進捗一覧!$C$7:$C$292,$B32,進捗一覧!$J$7:$J$292,$C32,進捗一覧!$D$7:$D$292,"方向性確定（条件付き）")</f>
        <v>2</v>
      </c>
      <c r="G32" s="83">
        <f>COUNTIFS(進捗一覧!$C$7:$C$292,$B32,進捗一覧!$J$7:$J$292,$C32,進捗一覧!$D$7:$D$292,"検討中")</f>
        <v>0</v>
      </c>
      <c r="H32" s="144">
        <f>COUNTIFS(進捗一覧!$C$7:$C$292,$B32,進捗一覧!$J$7:$J$292,$C32,進捗一覧!$D$7:$D$292,"外部待ち")</f>
        <v>1</v>
      </c>
    </row>
    <row r="33" spans="1:8">
      <c r="A33" s="78" t="s">
        <v>952</v>
      </c>
      <c r="B33" s="82" t="s">
        <v>2661</v>
      </c>
      <c r="C33" s="82" t="s">
        <v>2687</v>
      </c>
      <c r="D33" s="83">
        <f>COUNTIFS(進捗一覧!$C$7:$C$292,$B33,進捗一覧!$J$7:$J$292,$C33)</f>
        <v>5</v>
      </c>
      <c r="E33" s="83">
        <f>COUNTIFS(進捗一覧!$C$7:$C$292,$B33,進捗一覧!$J$7:$J$292,$C33,進捗一覧!$D$7:$D$292,"確定")</f>
        <v>1</v>
      </c>
      <c r="F33" s="83">
        <f>COUNTIFS(進捗一覧!$C$7:$C$292,$B33,進捗一覧!$J$7:$J$292,$C33,進捗一覧!$D$7:$D$292,"方向性確定（条件付き）")</f>
        <v>2</v>
      </c>
      <c r="G33" s="83">
        <f>COUNTIFS(進捗一覧!$C$7:$C$292,$B33,進捗一覧!$J$7:$J$292,$C33,進捗一覧!$D$7:$D$292,"検討中")</f>
        <v>0</v>
      </c>
      <c r="H33" s="144">
        <f>COUNTIFS(進捗一覧!$C$7:$C$292,$B33,進捗一覧!$J$7:$J$292,$C33,進捗一覧!$D$7:$D$292,"外部待ち")</f>
        <v>2</v>
      </c>
    </row>
    <row r="34" spans="1:8">
      <c r="A34" s="78" t="s">
        <v>953</v>
      </c>
      <c r="B34" s="82" t="s">
        <v>2662</v>
      </c>
      <c r="C34" s="82" t="s">
        <v>2688</v>
      </c>
      <c r="D34" s="83">
        <f>COUNTIFS(進捗一覧!$C$7:$C$292,$B34,進捗一覧!$J$7:$J$292,$C34)</f>
        <v>12</v>
      </c>
      <c r="E34" s="83">
        <f>COUNTIFS(進捗一覧!$C$7:$C$292,$B34,進捗一覧!$J$7:$J$292,$C34,進捗一覧!$D$7:$D$292,"確定")</f>
        <v>0</v>
      </c>
      <c r="F34" s="83">
        <f>COUNTIFS(進捗一覧!$C$7:$C$292,$B34,進捗一覧!$J$7:$J$292,$C34,進捗一覧!$D$7:$D$292,"方向性確定（条件付き）")</f>
        <v>0</v>
      </c>
      <c r="G34" s="83">
        <f>COUNTIFS(進捗一覧!$C$7:$C$292,$B34,進捗一覧!$J$7:$J$292,$C34,進捗一覧!$D$7:$D$292,"検討中")</f>
        <v>11</v>
      </c>
      <c r="H34" s="144">
        <f>COUNTIFS(進捗一覧!$C$7:$C$292,$B34,進捗一覧!$J$7:$J$292,$C34,進捗一覧!$D$7:$D$292,"外部待ち")</f>
        <v>0</v>
      </c>
    </row>
    <row r="35" spans="1:8">
      <c r="A35" s="78" t="s">
        <v>954</v>
      </c>
      <c r="B35" s="82" t="s">
        <v>2662</v>
      </c>
      <c r="C35" s="82" t="s">
        <v>2689</v>
      </c>
      <c r="D35" s="83">
        <f>COUNTIFS(進捗一覧!$C$7:$C$292,$B35,進捗一覧!$J$7:$J$292,$C35)</f>
        <v>5</v>
      </c>
      <c r="E35" s="83">
        <f>COUNTIFS(進捗一覧!$C$7:$C$292,$B35,進捗一覧!$J$7:$J$292,$C35,進捗一覧!$D$7:$D$292,"確定")</f>
        <v>0</v>
      </c>
      <c r="F35" s="83">
        <f>COUNTIFS(進捗一覧!$C$7:$C$292,$B35,進捗一覧!$J$7:$J$292,$C35,進捗一覧!$D$7:$D$292,"方向性確定（条件付き）")</f>
        <v>0</v>
      </c>
      <c r="G35" s="83">
        <f>COUNTIFS(進捗一覧!$C$7:$C$292,$B35,進捗一覧!$J$7:$J$292,$C35,進捗一覧!$D$7:$D$292,"検討中")</f>
        <v>0</v>
      </c>
      <c r="H35" s="144">
        <f>COUNTIFS(進捗一覧!$C$7:$C$292,$B35,進捗一覧!$J$7:$J$292,$C35,進捗一覧!$D$7:$D$292,"外部待ち")</f>
        <v>5</v>
      </c>
    </row>
    <row r="36" spans="1:8">
      <c r="A36" s="78" t="s">
        <v>955</v>
      </c>
      <c r="B36" s="82" t="s">
        <v>2662</v>
      </c>
      <c r="C36" s="82" t="s">
        <v>2690</v>
      </c>
      <c r="D36" s="83">
        <f>COUNTIFS(進捗一覧!$C$7:$C$292,$B36,進捗一覧!$J$7:$J$292,$C36)</f>
        <v>8</v>
      </c>
      <c r="E36" s="83">
        <f>COUNTIFS(進捗一覧!$C$7:$C$292,$B36,進捗一覧!$J$7:$J$292,$C36,進捗一覧!$D$7:$D$292,"確定")</f>
        <v>0</v>
      </c>
      <c r="F36" s="83">
        <f>COUNTIFS(進捗一覧!$C$7:$C$292,$B36,進捗一覧!$J$7:$J$292,$C36,進捗一覧!$D$7:$D$292,"方向性確定（条件付き）")</f>
        <v>0</v>
      </c>
      <c r="G36" s="83">
        <f>COUNTIFS(進捗一覧!$C$7:$C$292,$B36,進捗一覧!$J$7:$J$292,$C36,進捗一覧!$D$7:$D$292,"検討中")</f>
        <v>8</v>
      </c>
      <c r="H36" s="144">
        <f>COUNTIFS(進捗一覧!$C$7:$C$292,$B36,進捗一覧!$J$7:$J$292,$C36,進捗一覧!$D$7:$D$292,"外部待ち")</f>
        <v>0</v>
      </c>
    </row>
    <row r="37" spans="1:8">
      <c r="A37" s="78" t="s">
        <v>956</v>
      </c>
      <c r="B37" s="82" t="s">
        <v>2662</v>
      </c>
      <c r="C37" s="82" t="s">
        <v>2691</v>
      </c>
      <c r="D37" s="83">
        <f>COUNTIFS(進捗一覧!$C$7:$C$292,$B37,進捗一覧!$J$7:$J$292,$C37)</f>
        <v>18</v>
      </c>
      <c r="E37" s="83">
        <f>COUNTIFS(進捗一覧!$C$7:$C$292,$B37,進捗一覧!$J$7:$J$292,$C37,進捗一覧!$D$7:$D$292,"確定")</f>
        <v>0</v>
      </c>
      <c r="F37" s="83">
        <f>COUNTIFS(進捗一覧!$C$7:$C$292,$B37,進捗一覧!$J$7:$J$292,$C37,進捗一覧!$D$7:$D$292,"方向性確定（条件付き）")</f>
        <v>1</v>
      </c>
      <c r="G37" s="83">
        <f>COUNTIFS(進捗一覧!$C$7:$C$292,$B37,進捗一覧!$J$7:$J$292,$C37,進捗一覧!$D$7:$D$292,"検討中")</f>
        <v>16</v>
      </c>
      <c r="H37" s="144">
        <f>COUNTIFS(進捗一覧!$C$7:$C$292,$B37,進捗一覧!$J$7:$J$292,$C37,進捗一覧!$D$7:$D$292,"外部待ち")</f>
        <v>0</v>
      </c>
    </row>
    <row r="38" spans="1:8">
      <c r="A38" s="78" t="s">
        <v>957</v>
      </c>
      <c r="B38" s="82" t="s">
        <v>2662</v>
      </c>
      <c r="C38" s="82" t="s">
        <v>2692</v>
      </c>
      <c r="D38" s="83">
        <f>COUNTIFS(進捗一覧!$C$7:$C$292,$B38,進捗一覧!$J$7:$J$292,$C38)</f>
        <v>8</v>
      </c>
      <c r="E38" s="83">
        <f>COUNTIFS(進捗一覧!$C$7:$C$292,$B38,進捗一覧!$J$7:$J$292,$C38,進捗一覧!$D$7:$D$292,"確定")</f>
        <v>0</v>
      </c>
      <c r="F38" s="83">
        <f>COUNTIFS(進捗一覧!$C$7:$C$292,$B38,進捗一覧!$J$7:$J$292,$C38,進捗一覧!$D$7:$D$292,"方向性確定（条件付き）")</f>
        <v>0</v>
      </c>
      <c r="G38" s="83">
        <f>COUNTIFS(進捗一覧!$C$7:$C$292,$B38,進捗一覧!$J$7:$J$292,$C38,進捗一覧!$D$7:$D$292,"検討中")</f>
        <v>8</v>
      </c>
      <c r="H38" s="144">
        <f>COUNTIFS(進捗一覧!$C$7:$C$292,$B38,進捗一覧!$J$7:$J$292,$C38,進捗一覧!$D$7:$D$292,"外部待ち")</f>
        <v>0</v>
      </c>
    </row>
    <row r="39" spans="1:8">
      <c r="A39" s="78" t="s">
        <v>958</v>
      </c>
      <c r="B39" s="85" t="s">
        <v>2662</v>
      </c>
      <c r="C39" s="85" t="s">
        <v>2693</v>
      </c>
      <c r="D39" s="86">
        <f>COUNTIFS(進捗一覧!$C$7:$C$292,$B39,進捗一覧!$J$7:$J$292,$C39)</f>
        <v>4</v>
      </c>
      <c r="E39" s="86">
        <f>COUNTIFS(進捗一覧!$C$7:$C$292,$B39,進捗一覧!$J$7:$J$292,$C39,進捗一覧!$D$7:$D$292,"確定")</f>
        <v>0</v>
      </c>
      <c r="F39" s="86">
        <f>COUNTIFS(進捗一覧!$C$7:$C$292,$B39,進捗一覧!$J$7:$J$292,$C39,進捗一覧!$D$7:$D$292,"方向性確定（条件付き）")</f>
        <v>0</v>
      </c>
      <c r="G39" s="86">
        <f>COUNTIFS(進捗一覧!$C$7:$C$292,$B39,進捗一覧!$J$7:$J$292,$C39,進捗一覧!$D$7:$D$292,"検討中")</f>
        <v>1</v>
      </c>
      <c r="H39" s="145">
        <f>COUNTIFS(進捗一覧!$C$7:$C$292,$B39,進捗一覧!$J$7:$J$292,$C39,進捗一覧!$D$7:$D$292,"外部待ち")</f>
        <v>3</v>
      </c>
    </row>
    <row r="40" spans="1:8">
      <c r="A40" s="84" t="s">
        <v>959</v>
      </c>
      <c r="B40" s="104" t="s">
        <v>2662</v>
      </c>
      <c r="C40" s="104" t="s">
        <v>2694</v>
      </c>
      <c r="D40" s="146">
        <f>COUNTIFS(進捗一覧!$C$7:$C$292,$B40,進捗一覧!$J$7:$J$292,$C40)</f>
        <v>4</v>
      </c>
      <c r="E40" s="146">
        <f>COUNTIFS(進捗一覧!$C$7:$C$292,$B40,進捗一覧!$J$7:$J$292,$C40,進捗一覧!$D$7:$D$292,"確定")</f>
        <v>0</v>
      </c>
      <c r="F40" s="146">
        <f>COUNTIFS(進捗一覧!$C$7:$C$292,$B40,進捗一覧!$J$7:$J$292,$C40,進捗一覧!$D$7:$D$292,"方向性確定（条件付き）")</f>
        <v>0</v>
      </c>
      <c r="G40" s="146">
        <f>COUNTIFS(進捗一覧!$C$7:$C$292,$B40,進捗一覧!$J$7:$J$292,$C40,進捗一覧!$D$7:$D$292,"検討中")</f>
        <v>4</v>
      </c>
      <c r="H40" s="146">
        <f>COUNTIFS(進捗一覧!$C$7:$C$292,$B40,進捗一覧!$J$7:$J$292,$C40,進捗一覧!$D$7:$D$292,"外部待ち")</f>
        <v>0</v>
      </c>
    </row>
    <row r="42" spans="1:8">
      <c r="A42" s="77" t="s">
        <v>960</v>
      </c>
      <c r="B42" s="49" t="s">
        <v>16</v>
      </c>
      <c r="C42" s="49" t="s">
        <v>961</v>
      </c>
      <c r="D42" s="50" t="s">
        <v>962</v>
      </c>
    </row>
    <row r="43" spans="1:8">
      <c r="A43" s="48" t="s">
        <v>6</v>
      </c>
      <c r="B43" s="82" t="s">
        <v>964</v>
      </c>
      <c r="C43" s="82" t="s">
        <v>965</v>
      </c>
      <c r="D43" s="87" t="s">
        <v>966</v>
      </c>
    </row>
    <row r="44" spans="1:8">
      <c r="A44" s="78" t="s">
        <v>963</v>
      </c>
      <c r="B44" s="82" t="s">
        <v>968</v>
      </c>
      <c r="C44" s="82" t="s">
        <v>969</v>
      </c>
      <c r="D44" s="87" t="s">
        <v>970</v>
      </c>
    </row>
    <row r="45" spans="1:8">
      <c r="A45" s="78" t="s">
        <v>967</v>
      </c>
      <c r="B45" s="82" t="s">
        <v>905</v>
      </c>
      <c r="C45" s="82" t="s">
        <v>972</v>
      </c>
      <c r="D45" s="87" t="s">
        <v>10</v>
      </c>
    </row>
    <row r="46" spans="1:8">
      <c r="A46" s="78" t="s">
        <v>971</v>
      </c>
      <c r="B46" s="82" t="s">
        <v>780</v>
      </c>
      <c r="C46" s="82" t="s">
        <v>973</v>
      </c>
      <c r="D46" s="87" t="s">
        <v>10</v>
      </c>
    </row>
    <row r="47" spans="1:8">
      <c r="A47" s="78" t="s">
        <v>971</v>
      </c>
      <c r="B47" s="82" t="s">
        <v>913</v>
      </c>
      <c r="C47" s="82" t="s">
        <v>974</v>
      </c>
      <c r="D47" s="87" t="s">
        <v>970</v>
      </c>
    </row>
    <row r="48" spans="1:8">
      <c r="A48" s="78" t="s">
        <v>971</v>
      </c>
      <c r="B48" s="82" t="s">
        <v>976</v>
      </c>
      <c r="C48" s="82" t="s">
        <v>977</v>
      </c>
      <c r="D48" s="87" t="s">
        <v>10</v>
      </c>
    </row>
    <row r="49" spans="1:5">
      <c r="A49" s="78" t="s">
        <v>975</v>
      </c>
      <c r="B49" s="82" t="s">
        <v>871</v>
      </c>
      <c r="C49" s="82" t="s">
        <v>979</v>
      </c>
      <c r="D49" s="87" t="s">
        <v>10</v>
      </c>
    </row>
    <row r="50" spans="1:5">
      <c r="A50" s="78" t="s">
        <v>978</v>
      </c>
      <c r="B50" s="82" t="s">
        <v>874</v>
      </c>
      <c r="C50" s="82" t="s">
        <v>980</v>
      </c>
      <c r="D50" s="87" t="s">
        <v>10</v>
      </c>
    </row>
    <row r="51" spans="1:5">
      <c r="A51" s="78" t="s">
        <v>978</v>
      </c>
      <c r="B51" s="82" t="s">
        <v>982</v>
      </c>
      <c r="C51" s="82" t="s">
        <v>983</v>
      </c>
      <c r="D51" s="87" t="s">
        <v>984</v>
      </c>
    </row>
    <row r="52" spans="1:5">
      <c r="A52" s="78" t="s">
        <v>981</v>
      </c>
      <c r="B52" s="85" t="s">
        <v>985</v>
      </c>
      <c r="C52" s="85" t="s">
        <v>986</v>
      </c>
      <c r="D52" s="88" t="s">
        <v>984</v>
      </c>
    </row>
    <row r="53" spans="1:5">
      <c r="A53" s="84" t="s">
        <v>981</v>
      </c>
    </row>
    <row r="55" spans="1:5">
      <c r="A55" s="89" t="s">
        <v>1424</v>
      </c>
      <c r="B55" s="49" t="s">
        <v>1425</v>
      </c>
      <c r="C55" s="49" t="s">
        <v>1426</v>
      </c>
      <c r="D55" s="50" t="s">
        <v>1427</v>
      </c>
    </row>
    <row r="56" spans="1:5">
      <c r="A56" s="48" t="s">
        <v>1263</v>
      </c>
      <c r="B56" s="79"/>
      <c r="C56" s="90"/>
      <c r="D56" s="87" t="s">
        <v>1428</v>
      </c>
    </row>
    <row r="57" spans="1:5">
      <c r="A57" s="78" t="s">
        <v>1314</v>
      </c>
      <c r="B57" s="79">
        <f>COUNTIF(要件→設計!$G$5:$G$183,$A57)</f>
        <v>114</v>
      </c>
      <c r="C57" s="90">
        <f>IFERROR(B57/$B$62,"-")</f>
        <v>0.63687150837988826</v>
      </c>
      <c r="D57" s="87" t="s">
        <v>1429</v>
      </c>
    </row>
    <row r="58" spans="1:5">
      <c r="A58" s="78" t="s">
        <v>1325</v>
      </c>
      <c r="B58" s="79">
        <f>COUNTIF(要件→設計!$G$5:$G$183,$A58)</f>
        <v>47</v>
      </c>
      <c r="C58" s="90">
        <f>IFERROR(B58/$B$62,"-")</f>
        <v>0.26256983240223464</v>
      </c>
      <c r="D58" s="91" t="s">
        <v>1430</v>
      </c>
    </row>
    <row r="59" spans="1:5">
      <c r="A59" s="78" t="s">
        <v>1324</v>
      </c>
      <c r="B59" s="79">
        <f>COUNTIF(要件→設計!$G$5:$G$183,$A59)</f>
        <v>1</v>
      </c>
      <c r="C59" s="90">
        <f>IFERROR(B59/$B$62,"-")</f>
        <v>5.5865921787709499E-3</v>
      </c>
      <c r="D59" s="87" t="s">
        <v>1431</v>
      </c>
    </row>
    <row r="60" spans="1:5">
      <c r="A60" s="78" t="s">
        <v>1336</v>
      </c>
      <c r="B60" s="79">
        <f>COUNTIF(要件→設計!$G$5:$G$183,$A60)</f>
        <v>17</v>
      </c>
      <c r="C60" s="90">
        <f>IFERROR(B60/$B$62,"-")</f>
        <v>9.4972067039106142E-2</v>
      </c>
      <c r="D60" s="92" t="s">
        <v>1432</v>
      </c>
    </row>
    <row r="61" spans="1:5">
      <c r="A61" s="78" t="s">
        <v>1327</v>
      </c>
      <c r="B61" s="81">
        <f>COUNTIF(要件→設計!$G$5:$G$183,$A61)</f>
        <v>0</v>
      </c>
      <c r="C61" s="93">
        <f>IFERROR(B61/$B$62,"-")</f>
        <v>0</v>
      </c>
      <c r="D61" s="88"/>
      <c r="E61" s="53"/>
    </row>
    <row r="62" spans="1:5">
      <c r="A62" s="80" t="s">
        <v>13</v>
      </c>
      <c r="B62" s="26">
        <f>SUM(B57:B61)</f>
        <v>179</v>
      </c>
      <c r="C62" s="103">
        <f>IFERROR(B62/B62,"-")</f>
        <v>1</v>
      </c>
      <c r="E62" s="26" t="str">
        <f>IF(B62=COUNTA(要件→設計!$A$5:$A$183),"✓ マッピング行数と一致","⚠ 不一致")</f>
        <v>✓ マッピング行数と一致</v>
      </c>
    </row>
    <row r="65" spans="1:5">
      <c r="A65" s="77" t="s">
        <v>1779</v>
      </c>
      <c r="B65" s="49" t="s">
        <v>1425</v>
      </c>
      <c r="C65" s="49" t="s">
        <v>1426</v>
      </c>
      <c r="D65" s="50" t="s">
        <v>1780</v>
      </c>
    </row>
    <row r="66" spans="1:5">
      <c r="A66" s="48" t="s">
        <v>6</v>
      </c>
      <c r="B66" s="79"/>
      <c r="C66" s="90"/>
      <c r="D66" s="87" t="s">
        <v>1828</v>
      </c>
    </row>
    <row r="67" spans="1:5">
      <c r="A67" s="78" t="s">
        <v>1781</v>
      </c>
      <c r="B67" s="79">
        <f>COUNTA(設計決定一覧!$A$5:$A$189)-COUNTA(設計→要件!$A$6:$A$55)</f>
        <v>135</v>
      </c>
      <c r="C67" s="90">
        <f>IFERROR(B67/$B$73,"-")</f>
        <v>0.72972972972972971</v>
      </c>
      <c r="D67" s="91" t="s">
        <v>1782</v>
      </c>
    </row>
    <row r="68" spans="1:5">
      <c r="A68" s="78" t="s">
        <v>1677</v>
      </c>
      <c r="B68" s="79">
        <f>COUNTIF(設計→要件!$D$6:$D$55,$A68)</f>
        <v>11</v>
      </c>
      <c r="C68" s="90">
        <f>IFERROR(B68/$B$73,"-")</f>
        <v>5.9459459459459463E-2</v>
      </c>
      <c r="D68" s="92" t="s">
        <v>1783</v>
      </c>
    </row>
    <row r="69" spans="1:5">
      <c r="A69" s="78" t="s">
        <v>1694</v>
      </c>
      <c r="B69" s="79">
        <f>COUNTIF(設計→要件!$D$6:$D$55,$A69)</f>
        <v>14</v>
      </c>
      <c r="C69" s="90">
        <f>IFERROR(B69/$B$73,"-")</f>
        <v>7.567567567567568E-2</v>
      </c>
      <c r="D69" s="94" t="s">
        <v>1784</v>
      </c>
    </row>
    <row r="70" spans="1:5">
      <c r="A70" s="78" t="s">
        <v>1725</v>
      </c>
      <c r="B70" s="79">
        <f>COUNTIF(設計→要件!$D$6:$D$55,$A70)</f>
        <v>1</v>
      </c>
      <c r="C70" s="90">
        <f>IFERROR(B70/$B$73,"-")</f>
        <v>5.4054054054054057E-3</v>
      </c>
      <c r="D70" s="87" t="s">
        <v>1785</v>
      </c>
    </row>
    <row r="71" spans="1:5">
      <c r="A71" s="78" t="s">
        <v>1731</v>
      </c>
      <c r="B71" s="79">
        <f>COUNTIF(設計→要件!$D$6:$D$55,$A71)</f>
        <v>23</v>
      </c>
      <c r="C71" s="90">
        <f>IFERROR(B71/$B$73,"-")</f>
        <v>0.12432432432432433</v>
      </c>
      <c r="D71" s="87" t="s">
        <v>1786</v>
      </c>
    </row>
    <row r="72" spans="1:5">
      <c r="A72" s="78" t="s">
        <v>1728</v>
      </c>
      <c r="B72" s="81">
        <f>COUNTIF(設計→要件!$D$6:$D$55,$A72)</f>
        <v>1</v>
      </c>
      <c r="C72" s="93">
        <f>IFERROR(B72/$B$73,"-")</f>
        <v>5.4054054054054057E-3</v>
      </c>
      <c r="D72" s="88"/>
      <c r="E72" s="53"/>
    </row>
    <row r="73" spans="1:5">
      <c r="A73" s="80" t="s">
        <v>13</v>
      </c>
      <c r="B73" s="26">
        <f>SUM(B67:B72)</f>
        <v>185</v>
      </c>
      <c r="C73" s="103">
        <f>IFERROR(B73/$B$73,"-")</f>
        <v>1</v>
      </c>
      <c r="E73" s="26" t="str">
        <f>IF(B73=COUNTA(設計決定一覧!$A$5:$A$189),"✓ 設計決定の総数と一致","⚠ 不一致")</f>
        <v>✓ 設計決定の総数と一致</v>
      </c>
    </row>
    <row r="74" spans="1:5">
      <c r="B74" s="96"/>
    </row>
    <row r="75" spans="1:5" ht="75">
      <c r="A75" s="95" t="s">
        <v>1817</v>
      </c>
      <c r="B75" s="98" t="s">
        <v>1819</v>
      </c>
    </row>
    <row r="76" spans="1:5" ht="60">
      <c r="A76" s="97" t="s">
        <v>1818</v>
      </c>
      <c r="B76" s="99" t="s">
        <v>1821</v>
      </c>
    </row>
    <row r="77" spans="1:5" ht="60">
      <c r="A77" s="97" t="s">
        <v>1820</v>
      </c>
      <c r="B77" s="98" t="s">
        <v>1823</v>
      </c>
    </row>
    <row r="78" spans="1:5" ht="60">
      <c r="A78" s="100" t="s">
        <v>1822</v>
      </c>
      <c r="B78" s="98" t="s">
        <v>1825</v>
      </c>
    </row>
    <row r="79" spans="1:5" ht="75">
      <c r="A79" s="100" t="s">
        <v>1824</v>
      </c>
      <c r="B79" s="101" t="s">
        <v>1827</v>
      </c>
    </row>
    <row r="80" spans="1:5">
      <c r="A80" s="100" t="s">
        <v>1826</v>
      </c>
    </row>
  </sheetData>
  <phoneticPr fontId="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M292"/>
  <sheetViews>
    <sheetView zoomScale="140" workbookViewId="0">
      <pane ySplit="6" topLeftCell="A266" activePane="bottomLeft" state="frozen"/>
      <selection pane="bottomLeft" activeCell="H42" sqref="H42"/>
    </sheetView>
  </sheetViews>
  <sheetFormatPr baseColWidth="10" defaultRowHeight="15"/>
  <cols>
    <col min="1" max="1" width="13.5703125" style="55" customWidth="1"/>
    <col min="2" max="2" width="21.42578125" style="55" customWidth="1"/>
    <col min="3" max="3" width="14.28515625" style="55" customWidth="1"/>
    <col min="4" max="4" width="20" style="55" customWidth="1"/>
    <col min="5" max="5" width="61.42578125" style="55" customWidth="1"/>
    <col min="6" max="6" width="47.140625" style="55" customWidth="1"/>
    <col min="7" max="7" width="74.28515625" style="55" customWidth="1"/>
    <col min="8" max="8" width="42.85546875" style="55" customWidth="1"/>
    <col min="9" max="9" width="27.140625" style="55" customWidth="1"/>
    <col min="10" max="10" width="15" style="55" customWidth="1"/>
    <col min="11" max="11" width="35.7109375" style="55" customWidth="1"/>
    <col min="12" max="12" width="12.140625" style="55" customWidth="1"/>
    <col min="13" max="13" width="24.42578125" style="55" customWidth="1"/>
    <col min="14" max="16384" width="10.7109375" style="55"/>
  </cols>
  <sheetData>
    <row r="1" spans="1:13">
      <c r="B1" s="54" t="s">
        <v>0</v>
      </c>
    </row>
    <row r="2" spans="1:13">
      <c r="B2" s="54" t="s">
        <v>1</v>
      </c>
      <c r="C2" s="56" t="s">
        <v>2</v>
      </c>
    </row>
    <row r="3" spans="1:13">
      <c r="B3" s="54" t="s">
        <v>3</v>
      </c>
      <c r="C3" s="56" t="s">
        <v>1942</v>
      </c>
    </row>
    <row r="4" spans="1:13">
      <c r="B4" s="54" t="s">
        <v>4</v>
      </c>
      <c r="C4" s="57" t="s">
        <v>5</v>
      </c>
    </row>
    <row r="6" spans="1:13" ht="24" customHeight="1">
      <c r="A6" s="154" t="s">
        <v>3049</v>
      </c>
      <c r="B6" s="71" t="s">
        <v>1976</v>
      </c>
      <c r="C6" s="72" t="s">
        <v>1977</v>
      </c>
      <c r="D6" s="72" t="s">
        <v>1978</v>
      </c>
      <c r="E6" s="72" t="s">
        <v>987</v>
      </c>
      <c r="F6" s="72" t="s">
        <v>17</v>
      </c>
      <c r="G6" s="72" t="s">
        <v>18</v>
      </c>
      <c r="H6" s="72" t="s">
        <v>1979</v>
      </c>
      <c r="I6" s="72" t="s">
        <v>15</v>
      </c>
      <c r="J6" s="72" t="s">
        <v>16</v>
      </c>
      <c r="K6" s="72" t="s">
        <v>19</v>
      </c>
      <c r="L6" s="72" t="s">
        <v>2658</v>
      </c>
      <c r="M6" s="123"/>
    </row>
    <row r="7" spans="1:13">
      <c r="A7" s="155" t="s">
        <v>3050</v>
      </c>
      <c r="B7" s="51" t="s">
        <v>1945</v>
      </c>
      <c r="C7" s="32" t="s">
        <v>11</v>
      </c>
      <c r="D7" s="33" t="s">
        <v>8</v>
      </c>
      <c r="E7" s="38" t="s">
        <v>988</v>
      </c>
      <c r="F7" s="32" t="s">
        <v>22</v>
      </c>
      <c r="G7" s="33" t="s">
        <v>23</v>
      </c>
      <c r="H7" s="130"/>
      <c r="I7" s="126" t="s">
        <v>20</v>
      </c>
      <c r="J7" s="32" t="s">
        <v>21</v>
      </c>
      <c r="K7" s="132" t="s">
        <v>24</v>
      </c>
      <c r="L7" s="128" t="s">
        <v>8</v>
      </c>
      <c r="M7" s="124"/>
    </row>
    <row r="8" spans="1:13">
      <c r="A8" s="155" t="s">
        <v>3050</v>
      </c>
      <c r="B8" s="51" t="s">
        <v>1945</v>
      </c>
      <c r="C8" s="32" t="s">
        <v>11</v>
      </c>
      <c r="D8" s="33" t="s">
        <v>8</v>
      </c>
      <c r="E8" s="38" t="s">
        <v>989</v>
      </c>
      <c r="F8" s="32" t="s">
        <v>26</v>
      </c>
      <c r="G8" s="33" t="s">
        <v>27</v>
      </c>
      <c r="H8" s="130"/>
      <c r="I8" s="126" t="s">
        <v>20</v>
      </c>
      <c r="J8" s="32" t="s">
        <v>25</v>
      </c>
      <c r="K8" s="132" t="s">
        <v>24</v>
      </c>
      <c r="L8" s="128" t="s">
        <v>8</v>
      </c>
      <c r="M8" s="124"/>
    </row>
    <row r="9" spans="1:13">
      <c r="A9" s="155" t="s">
        <v>3050</v>
      </c>
      <c r="B9" s="51" t="s">
        <v>1945</v>
      </c>
      <c r="C9" s="32" t="s">
        <v>11</v>
      </c>
      <c r="D9" s="33" t="s">
        <v>1946</v>
      </c>
      <c r="E9" s="38" t="s">
        <v>990</v>
      </c>
      <c r="F9" s="32" t="s">
        <v>29</v>
      </c>
      <c r="G9" s="33" t="s">
        <v>30</v>
      </c>
      <c r="H9" s="130" t="s">
        <v>1947</v>
      </c>
      <c r="I9" s="126" t="s">
        <v>20</v>
      </c>
      <c r="J9" s="32" t="s">
        <v>28</v>
      </c>
      <c r="K9" s="132" t="s">
        <v>24</v>
      </c>
      <c r="L9" s="128" t="s">
        <v>9</v>
      </c>
      <c r="M9" s="124"/>
    </row>
    <row r="10" spans="1:13">
      <c r="A10" s="155" t="s">
        <v>3050</v>
      </c>
      <c r="B10" s="51" t="s">
        <v>1945</v>
      </c>
      <c r="C10" s="32" t="s">
        <v>11</v>
      </c>
      <c r="D10" s="33" t="s">
        <v>1946</v>
      </c>
      <c r="E10" s="38" t="s">
        <v>991</v>
      </c>
      <c r="F10" s="32" t="s">
        <v>32</v>
      </c>
      <c r="G10" s="33" t="s">
        <v>33</v>
      </c>
      <c r="H10" s="130" t="s">
        <v>1947</v>
      </c>
      <c r="I10" s="126" t="s">
        <v>20</v>
      </c>
      <c r="J10" s="32" t="s">
        <v>31</v>
      </c>
      <c r="K10" s="132" t="s">
        <v>24</v>
      </c>
      <c r="L10" s="128" t="s">
        <v>9</v>
      </c>
      <c r="M10" s="124"/>
    </row>
    <row r="11" spans="1:13">
      <c r="A11" s="155" t="s">
        <v>3050</v>
      </c>
      <c r="B11" s="51" t="s">
        <v>1945</v>
      </c>
      <c r="C11" s="32" t="s">
        <v>11</v>
      </c>
      <c r="D11" s="33" t="s">
        <v>1948</v>
      </c>
      <c r="E11" s="38" t="s">
        <v>992</v>
      </c>
      <c r="F11" s="32" t="s">
        <v>35</v>
      </c>
      <c r="G11" s="33" t="s">
        <v>36</v>
      </c>
      <c r="H11" s="130" t="s">
        <v>1949</v>
      </c>
      <c r="I11" s="126" t="s">
        <v>20</v>
      </c>
      <c r="J11" s="32" t="s">
        <v>34</v>
      </c>
      <c r="K11" s="132" t="s">
        <v>24</v>
      </c>
      <c r="L11" s="128" t="s">
        <v>10</v>
      </c>
      <c r="M11" s="124"/>
    </row>
    <row r="12" spans="1:13">
      <c r="A12" s="155" t="s">
        <v>3050</v>
      </c>
      <c r="B12" s="51" t="s">
        <v>1945</v>
      </c>
      <c r="C12" s="32" t="s">
        <v>11</v>
      </c>
      <c r="D12" s="33" t="s">
        <v>1948</v>
      </c>
      <c r="E12" s="38" t="s">
        <v>993</v>
      </c>
      <c r="F12" s="32" t="s">
        <v>38</v>
      </c>
      <c r="G12" s="33" t="s">
        <v>36</v>
      </c>
      <c r="H12" s="130" t="s">
        <v>1949</v>
      </c>
      <c r="I12" s="126" t="s">
        <v>20</v>
      </c>
      <c r="J12" s="32" t="s">
        <v>37</v>
      </c>
      <c r="K12" s="132" t="s">
        <v>24</v>
      </c>
      <c r="L12" s="128" t="s">
        <v>10</v>
      </c>
      <c r="M12" s="124"/>
    </row>
    <row r="13" spans="1:13">
      <c r="A13" s="155" t="s">
        <v>3050</v>
      </c>
      <c r="B13" s="51" t="s">
        <v>1945</v>
      </c>
      <c r="C13" s="32" t="s">
        <v>11</v>
      </c>
      <c r="D13" s="33" t="s">
        <v>1948</v>
      </c>
      <c r="E13" s="38" t="s">
        <v>994</v>
      </c>
      <c r="F13" s="32" t="s">
        <v>40</v>
      </c>
      <c r="G13" s="33" t="s">
        <v>41</v>
      </c>
      <c r="H13" s="130" t="s">
        <v>1949</v>
      </c>
      <c r="I13" s="126" t="s">
        <v>20</v>
      </c>
      <c r="J13" s="32" t="s">
        <v>39</v>
      </c>
      <c r="K13" s="132" t="s">
        <v>24</v>
      </c>
      <c r="L13" s="128" t="s">
        <v>10</v>
      </c>
      <c r="M13" s="124"/>
    </row>
    <row r="14" spans="1:13">
      <c r="A14" s="155" t="s">
        <v>3050</v>
      </c>
      <c r="B14" s="51" t="s">
        <v>1945</v>
      </c>
      <c r="C14" s="32" t="s">
        <v>11</v>
      </c>
      <c r="D14" s="33" t="s">
        <v>8</v>
      </c>
      <c r="E14" s="38" t="s">
        <v>995</v>
      </c>
      <c r="F14" s="32" t="s">
        <v>43</v>
      </c>
      <c r="G14" s="33" t="s">
        <v>44</v>
      </c>
      <c r="H14" s="130"/>
      <c r="I14" s="126" t="s">
        <v>20</v>
      </c>
      <c r="J14" s="32" t="s">
        <v>42</v>
      </c>
      <c r="K14" s="132" t="s">
        <v>24</v>
      </c>
      <c r="L14" s="128" t="s">
        <v>8</v>
      </c>
      <c r="M14" s="124"/>
    </row>
    <row r="15" spans="1:13">
      <c r="A15" s="155" t="s">
        <v>3050</v>
      </c>
      <c r="B15" s="51" t="s">
        <v>1945</v>
      </c>
      <c r="C15" s="32" t="s">
        <v>11</v>
      </c>
      <c r="D15" s="33" t="s">
        <v>8</v>
      </c>
      <c r="E15" s="38" t="s">
        <v>996</v>
      </c>
      <c r="F15" s="32" t="s">
        <v>47</v>
      </c>
      <c r="G15" s="33" t="s">
        <v>48</v>
      </c>
      <c r="H15" s="130"/>
      <c r="I15" s="126" t="s">
        <v>45</v>
      </c>
      <c r="J15" s="32" t="s">
        <v>46</v>
      </c>
      <c r="K15" s="132" t="s">
        <v>49</v>
      </c>
      <c r="L15" s="128" t="s">
        <v>8</v>
      </c>
      <c r="M15" s="124"/>
    </row>
    <row r="16" spans="1:13">
      <c r="A16" s="155" t="s">
        <v>3050</v>
      </c>
      <c r="B16" s="51" t="s">
        <v>1945</v>
      </c>
      <c r="C16" s="32" t="s">
        <v>11</v>
      </c>
      <c r="D16" s="33" t="s">
        <v>1948</v>
      </c>
      <c r="E16" s="38" t="s">
        <v>997</v>
      </c>
      <c r="F16" s="32" t="s">
        <v>51</v>
      </c>
      <c r="G16" s="33" t="s">
        <v>52</v>
      </c>
      <c r="H16" s="130" t="s">
        <v>1949</v>
      </c>
      <c r="I16" s="126" t="s">
        <v>45</v>
      </c>
      <c r="J16" s="32" t="s">
        <v>50</v>
      </c>
      <c r="K16" s="132" t="s">
        <v>49</v>
      </c>
      <c r="L16" s="128" t="s">
        <v>10</v>
      </c>
      <c r="M16" s="124"/>
    </row>
    <row r="17" spans="1:13">
      <c r="A17" s="155" t="s">
        <v>3050</v>
      </c>
      <c r="B17" s="51" t="s">
        <v>1945</v>
      </c>
      <c r="C17" s="32" t="s">
        <v>11</v>
      </c>
      <c r="D17" s="33" t="s">
        <v>1946</v>
      </c>
      <c r="E17" s="38" t="s">
        <v>998</v>
      </c>
      <c r="F17" s="32" t="s">
        <v>54</v>
      </c>
      <c r="G17" s="33" t="s">
        <v>55</v>
      </c>
      <c r="H17" s="130" t="s">
        <v>1947</v>
      </c>
      <c r="I17" s="126" t="s">
        <v>45</v>
      </c>
      <c r="J17" s="32" t="s">
        <v>53</v>
      </c>
      <c r="K17" s="132" t="s">
        <v>49</v>
      </c>
      <c r="L17" s="128" t="s">
        <v>9</v>
      </c>
      <c r="M17" s="124"/>
    </row>
    <row r="18" spans="1:13">
      <c r="A18" s="155" t="s">
        <v>3050</v>
      </c>
      <c r="B18" s="51" t="s">
        <v>1945</v>
      </c>
      <c r="C18" s="32" t="s">
        <v>11</v>
      </c>
      <c r="D18" s="33" t="s">
        <v>1946</v>
      </c>
      <c r="E18" s="38" t="s">
        <v>999</v>
      </c>
      <c r="F18" s="32" t="s">
        <v>57</v>
      </c>
      <c r="G18" s="33" t="s">
        <v>58</v>
      </c>
      <c r="H18" s="130" t="s">
        <v>1947</v>
      </c>
      <c r="I18" s="126" t="s">
        <v>45</v>
      </c>
      <c r="J18" s="32" t="s">
        <v>56</v>
      </c>
      <c r="K18" s="132" t="s">
        <v>49</v>
      </c>
      <c r="L18" s="128" t="s">
        <v>9</v>
      </c>
      <c r="M18" s="124"/>
    </row>
    <row r="19" spans="1:13">
      <c r="A19" s="155" t="s">
        <v>3050</v>
      </c>
      <c r="B19" s="51" t="s">
        <v>1945</v>
      </c>
      <c r="C19" s="32" t="s">
        <v>11</v>
      </c>
      <c r="D19" s="33" t="s">
        <v>1946</v>
      </c>
      <c r="E19" s="38" t="s">
        <v>1000</v>
      </c>
      <c r="F19" s="32" t="s">
        <v>60</v>
      </c>
      <c r="G19" s="33" t="s">
        <v>61</v>
      </c>
      <c r="H19" s="130" t="s">
        <v>1947</v>
      </c>
      <c r="I19" s="126" t="s">
        <v>45</v>
      </c>
      <c r="J19" s="32" t="s">
        <v>59</v>
      </c>
      <c r="K19" s="132" t="s">
        <v>49</v>
      </c>
      <c r="L19" s="128" t="s">
        <v>9</v>
      </c>
      <c r="M19" s="124"/>
    </row>
    <row r="20" spans="1:13">
      <c r="A20" s="155" t="s">
        <v>3050</v>
      </c>
      <c r="B20" s="51" t="s">
        <v>1945</v>
      </c>
      <c r="C20" s="32" t="s">
        <v>11</v>
      </c>
      <c r="D20" s="33" t="s">
        <v>1946</v>
      </c>
      <c r="E20" s="38" t="s">
        <v>1001</v>
      </c>
      <c r="F20" s="32" t="s">
        <v>63</v>
      </c>
      <c r="G20" s="33" t="s">
        <v>64</v>
      </c>
      <c r="H20" s="130" t="s">
        <v>1947</v>
      </c>
      <c r="I20" s="126" t="s">
        <v>45</v>
      </c>
      <c r="J20" s="32" t="s">
        <v>62</v>
      </c>
      <c r="K20" s="132" t="s">
        <v>49</v>
      </c>
      <c r="L20" s="128" t="s">
        <v>9</v>
      </c>
      <c r="M20" s="124"/>
    </row>
    <row r="21" spans="1:13">
      <c r="A21" s="155" t="s">
        <v>3050</v>
      </c>
      <c r="B21" s="51" t="s">
        <v>1950</v>
      </c>
      <c r="C21" s="32" t="s">
        <v>11</v>
      </c>
      <c r="D21" s="33" t="s">
        <v>8</v>
      </c>
      <c r="E21" s="38" t="s">
        <v>1002</v>
      </c>
      <c r="F21" s="32" t="s">
        <v>67</v>
      </c>
      <c r="G21" s="33" t="s">
        <v>68</v>
      </c>
      <c r="H21" s="130"/>
      <c r="I21" s="126" t="s">
        <v>65</v>
      </c>
      <c r="J21" s="32" t="s">
        <v>66</v>
      </c>
      <c r="K21" s="132" t="s">
        <v>69</v>
      </c>
      <c r="L21" s="128" t="s">
        <v>8</v>
      </c>
      <c r="M21" s="124"/>
    </row>
    <row r="22" spans="1:13">
      <c r="A22" s="155" t="s">
        <v>3050</v>
      </c>
      <c r="B22" s="51" t="s">
        <v>1950</v>
      </c>
      <c r="C22" s="32" t="s">
        <v>11</v>
      </c>
      <c r="D22" s="33" t="s">
        <v>1948</v>
      </c>
      <c r="E22" s="38" t="s">
        <v>1003</v>
      </c>
      <c r="F22" s="32" t="s">
        <v>71</v>
      </c>
      <c r="G22" s="33" t="s">
        <v>72</v>
      </c>
      <c r="H22" s="130" t="s">
        <v>1949</v>
      </c>
      <c r="I22" s="126" t="s">
        <v>65</v>
      </c>
      <c r="J22" s="32" t="s">
        <v>70</v>
      </c>
      <c r="K22" s="132" t="s">
        <v>69</v>
      </c>
      <c r="L22" s="128" t="s">
        <v>10</v>
      </c>
      <c r="M22" s="124"/>
    </row>
    <row r="23" spans="1:13">
      <c r="A23" s="155" t="s">
        <v>3050</v>
      </c>
      <c r="B23" s="51" t="s">
        <v>1950</v>
      </c>
      <c r="C23" s="32" t="s">
        <v>11</v>
      </c>
      <c r="D23" s="33" t="s">
        <v>1948</v>
      </c>
      <c r="E23" s="38" t="s">
        <v>1004</v>
      </c>
      <c r="F23" s="32" t="s">
        <v>74</v>
      </c>
      <c r="G23" s="33" t="s">
        <v>75</v>
      </c>
      <c r="H23" s="130" t="s">
        <v>1949</v>
      </c>
      <c r="I23" s="126" t="s">
        <v>65</v>
      </c>
      <c r="J23" s="32" t="s">
        <v>73</v>
      </c>
      <c r="K23" s="132" t="s">
        <v>69</v>
      </c>
      <c r="L23" s="128" t="s">
        <v>10</v>
      </c>
      <c r="M23" s="124"/>
    </row>
    <row r="24" spans="1:13">
      <c r="A24" s="155" t="s">
        <v>3050</v>
      </c>
      <c r="B24" s="51" t="s">
        <v>1950</v>
      </c>
      <c r="C24" s="32" t="s">
        <v>11</v>
      </c>
      <c r="D24" s="33" t="s">
        <v>1948</v>
      </c>
      <c r="E24" s="38" t="s">
        <v>1005</v>
      </c>
      <c r="F24" s="32" t="s">
        <v>77</v>
      </c>
      <c r="G24" s="33" t="s">
        <v>78</v>
      </c>
      <c r="H24" s="130" t="s">
        <v>1949</v>
      </c>
      <c r="I24" s="126" t="s">
        <v>65</v>
      </c>
      <c r="J24" s="32" t="s">
        <v>76</v>
      </c>
      <c r="K24" s="132" t="s">
        <v>69</v>
      </c>
      <c r="L24" s="128" t="s">
        <v>10</v>
      </c>
      <c r="M24" s="124"/>
    </row>
    <row r="25" spans="1:13">
      <c r="A25" s="155" t="s">
        <v>3050</v>
      </c>
      <c r="B25" s="51" t="s">
        <v>1950</v>
      </c>
      <c r="C25" s="32" t="s">
        <v>11</v>
      </c>
      <c r="D25" s="33" t="s">
        <v>1948</v>
      </c>
      <c r="E25" s="38" t="s">
        <v>1006</v>
      </c>
      <c r="F25" s="32" t="s">
        <v>80</v>
      </c>
      <c r="G25" s="33" t="s">
        <v>75</v>
      </c>
      <c r="H25" s="130" t="s">
        <v>1949</v>
      </c>
      <c r="I25" s="126" t="s">
        <v>65</v>
      </c>
      <c r="J25" s="32" t="s">
        <v>79</v>
      </c>
      <c r="K25" s="132" t="s">
        <v>69</v>
      </c>
      <c r="L25" s="128" t="s">
        <v>10</v>
      </c>
      <c r="M25" s="124"/>
    </row>
    <row r="26" spans="1:13">
      <c r="A26" s="155" t="s">
        <v>3050</v>
      </c>
      <c r="B26" s="51" t="s">
        <v>1950</v>
      </c>
      <c r="C26" s="32" t="s">
        <v>11</v>
      </c>
      <c r="D26" s="33" t="s">
        <v>1948</v>
      </c>
      <c r="E26" s="38" t="s">
        <v>1007</v>
      </c>
      <c r="F26" s="32" t="s">
        <v>82</v>
      </c>
      <c r="G26" s="33" t="s">
        <v>83</v>
      </c>
      <c r="H26" s="130" t="s">
        <v>1949</v>
      </c>
      <c r="I26" s="126" t="s">
        <v>65</v>
      </c>
      <c r="J26" s="32" t="s">
        <v>81</v>
      </c>
      <c r="K26" s="132" t="s">
        <v>69</v>
      </c>
      <c r="L26" s="128" t="s">
        <v>10</v>
      </c>
      <c r="M26" s="124"/>
    </row>
    <row r="27" spans="1:13">
      <c r="A27" s="155" t="s">
        <v>3050</v>
      </c>
      <c r="B27" s="51" t="s">
        <v>1950</v>
      </c>
      <c r="C27" s="32" t="s">
        <v>11</v>
      </c>
      <c r="D27" s="33" t="s">
        <v>1948</v>
      </c>
      <c r="E27" s="38" t="s">
        <v>1008</v>
      </c>
      <c r="F27" s="32" t="s">
        <v>85</v>
      </c>
      <c r="G27" s="33" t="s">
        <v>86</v>
      </c>
      <c r="H27" s="130" t="s">
        <v>1949</v>
      </c>
      <c r="I27" s="126" t="s">
        <v>65</v>
      </c>
      <c r="J27" s="32" t="s">
        <v>84</v>
      </c>
      <c r="K27" s="132" t="s">
        <v>69</v>
      </c>
      <c r="L27" s="128" t="s">
        <v>10</v>
      </c>
      <c r="M27" s="124"/>
    </row>
    <row r="28" spans="1:13">
      <c r="A28" s="155" t="s">
        <v>3050</v>
      </c>
      <c r="B28" s="51" t="s">
        <v>1950</v>
      </c>
      <c r="C28" s="32" t="s">
        <v>11</v>
      </c>
      <c r="D28" s="33" t="s">
        <v>1946</v>
      </c>
      <c r="E28" s="38" t="s">
        <v>1009</v>
      </c>
      <c r="F28" s="32" t="s">
        <v>88</v>
      </c>
      <c r="G28" s="33" t="s">
        <v>89</v>
      </c>
      <c r="H28" s="130" t="s">
        <v>1947</v>
      </c>
      <c r="I28" s="126" t="s">
        <v>65</v>
      </c>
      <c r="J28" s="32" t="s">
        <v>87</v>
      </c>
      <c r="K28" s="132" t="s">
        <v>69</v>
      </c>
      <c r="L28" s="128" t="s">
        <v>9</v>
      </c>
      <c r="M28" s="124"/>
    </row>
    <row r="29" spans="1:13">
      <c r="A29" s="155" t="s">
        <v>3050</v>
      </c>
      <c r="B29" s="51" t="s">
        <v>1950</v>
      </c>
      <c r="C29" s="32" t="s">
        <v>11</v>
      </c>
      <c r="D29" s="33" t="s">
        <v>8</v>
      </c>
      <c r="E29" s="38" t="s">
        <v>1010</v>
      </c>
      <c r="F29" s="32" t="s">
        <v>92</v>
      </c>
      <c r="G29" s="33" t="s">
        <v>93</v>
      </c>
      <c r="H29" s="130"/>
      <c r="I29" s="126" t="s">
        <v>90</v>
      </c>
      <c r="J29" s="32" t="s">
        <v>91</v>
      </c>
      <c r="K29" s="132" t="s">
        <v>94</v>
      </c>
      <c r="L29" s="128" t="s">
        <v>8</v>
      </c>
      <c r="M29" s="124"/>
    </row>
    <row r="30" spans="1:13">
      <c r="A30" s="155" t="s">
        <v>3050</v>
      </c>
      <c r="B30" s="51" t="s">
        <v>1950</v>
      </c>
      <c r="C30" s="32" t="s">
        <v>11</v>
      </c>
      <c r="D30" s="33" t="s">
        <v>8</v>
      </c>
      <c r="E30" s="38" t="s">
        <v>1011</v>
      </c>
      <c r="F30" s="32" t="s">
        <v>96</v>
      </c>
      <c r="G30" s="33" t="s">
        <v>97</v>
      </c>
      <c r="H30" s="130"/>
      <c r="I30" s="126" t="s">
        <v>90</v>
      </c>
      <c r="J30" s="32" t="s">
        <v>95</v>
      </c>
      <c r="K30" s="132" t="s">
        <v>94</v>
      </c>
      <c r="L30" s="128" t="s">
        <v>8</v>
      </c>
      <c r="M30" s="124"/>
    </row>
    <row r="31" spans="1:13">
      <c r="A31" s="155" t="s">
        <v>3050</v>
      </c>
      <c r="B31" s="51" t="s">
        <v>1950</v>
      </c>
      <c r="C31" s="32" t="s">
        <v>11</v>
      </c>
      <c r="D31" s="33" t="s">
        <v>1946</v>
      </c>
      <c r="E31" s="38" t="s">
        <v>1012</v>
      </c>
      <c r="F31" s="32" t="s">
        <v>99</v>
      </c>
      <c r="G31" s="33" t="s">
        <v>100</v>
      </c>
      <c r="H31" s="130" t="s">
        <v>1947</v>
      </c>
      <c r="I31" s="126" t="s">
        <v>90</v>
      </c>
      <c r="J31" s="32" t="s">
        <v>98</v>
      </c>
      <c r="K31" s="132" t="s">
        <v>94</v>
      </c>
      <c r="L31" s="128" t="s">
        <v>9</v>
      </c>
      <c r="M31" s="124"/>
    </row>
    <row r="32" spans="1:13">
      <c r="A32" s="155" t="s">
        <v>3050</v>
      </c>
      <c r="B32" s="51" t="s">
        <v>1950</v>
      </c>
      <c r="C32" s="32" t="s">
        <v>11</v>
      </c>
      <c r="D32" s="33" t="s">
        <v>8</v>
      </c>
      <c r="E32" s="38" t="s">
        <v>1013</v>
      </c>
      <c r="F32" s="32" t="s">
        <v>103</v>
      </c>
      <c r="G32" s="33" t="s">
        <v>104</v>
      </c>
      <c r="H32" s="130"/>
      <c r="I32" s="126" t="s">
        <v>101</v>
      </c>
      <c r="J32" s="32" t="s">
        <v>102</v>
      </c>
      <c r="K32" s="132" t="s">
        <v>105</v>
      </c>
      <c r="L32" s="128" t="s">
        <v>8</v>
      </c>
      <c r="M32" s="124"/>
    </row>
    <row r="33" spans="1:13">
      <c r="A33" s="155" t="s">
        <v>3050</v>
      </c>
      <c r="B33" s="51" t="s">
        <v>1950</v>
      </c>
      <c r="C33" s="32" t="s">
        <v>11</v>
      </c>
      <c r="D33" s="33" t="s">
        <v>1946</v>
      </c>
      <c r="E33" s="38" t="s">
        <v>1014</v>
      </c>
      <c r="F33" s="32" t="s">
        <v>107</v>
      </c>
      <c r="G33" s="33" t="s">
        <v>108</v>
      </c>
      <c r="H33" s="130" t="s">
        <v>1947</v>
      </c>
      <c r="I33" s="126" t="s">
        <v>101</v>
      </c>
      <c r="J33" s="32" t="s">
        <v>106</v>
      </c>
      <c r="K33" s="132" t="s">
        <v>105</v>
      </c>
      <c r="L33" s="128" t="s">
        <v>9</v>
      </c>
      <c r="M33" s="124"/>
    </row>
    <row r="34" spans="1:13">
      <c r="A34" s="155" t="s">
        <v>3050</v>
      </c>
      <c r="B34" s="51" t="s">
        <v>1950</v>
      </c>
      <c r="C34" s="32" t="s">
        <v>11</v>
      </c>
      <c r="D34" s="33" t="s">
        <v>1946</v>
      </c>
      <c r="E34" s="38" t="s">
        <v>1015</v>
      </c>
      <c r="F34" s="32" t="s">
        <v>110</v>
      </c>
      <c r="G34" s="33" t="s">
        <v>111</v>
      </c>
      <c r="H34" s="130" t="s">
        <v>1947</v>
      </c>
      <c r="I34" s="126" t="s">
        <v>101</v>
      </c>
      <c r="J34" s="32" t="s">
        <v>109</v>
      </c>
      <c r="K34" s="132" t="s">
        <v>105</v>
      </c>
      <c r="L34" s="128" t="s">
        <v>9</v>
      </c>
      <c r="M34" s="124"/>
    </row>
    <row r="35" spans="1:13">
      <c r="A35" s="155" t="s">
        <v>3050</v>
      </c>
      <c r="B35" s="51" t="s">
        <v>1951</v>
      </c>
      <c r="C35" s="32" t="s">
        <v>11</v>
      </c>
      <c r="D35" s="33" t="s">
        <v>8</v>
      </c>
      <c r="E35" s="38" t="s">
        <v>1016</v>
      </c>
      <c r="F35" s="32" t="s">
        <v>114</v>
      </c>
      <c r="G35" s="33" t="s">
        <v>115</v>
      </c>
      <c r="H35" s="130"/>
      <c r="I35" s="126" t="s">
        <v>112</v>
      </c>
      <c r="J35" s="32" t="s">
        <v>113</v>
      </c>
      <c r="K35" s="132" t="s">
        <v>116</v>
      </c>
      <c r="L35" s="128" t="s">
        <v>8</v>
      </c>
      <c r="M35" s="124"/>
    </row>
    <row r="36" spans="1:13">
      <c r="A36" s="155" t="s">
        <v>3050</v>
      </c>
      <c r="B36" s="51" t="s">
        <v>1951</v>
      </c>
      <c r="C36" s="32" t="s">
        <v>11</v>
      </c>
      <c r="D36" s="33" t="s">
        <v>1946</v>
      </c>
      <c r="E36" s="38" t="s">
        <v>1017</v>
      </c>
      <c r="F36" s="32" t="s">
        <v>118</v>
      </c>
      <c r="G36" s="33" t="s">
        <v>119</v>
      </c>
      <c r="H36" s="130" t="s">
        <v>1947</v>
      </c>
      <c r="I36" s="126" t="s">
        <v>112</v>
      </c>
      <c r="J36" s="32" t="s">
        <v>117</v>
      </c>
      <c r="K36" s="132" t="s">
        <v>116</v>
      </c>
      <c r="L36" s="128" t="s">
        <v>9</v>
      </c>
      <c r="M36" s="124"/>
    </row>
    <row r="37" spans="1:13">
      <c r="A37" s="155" t="s">
        <v>3050</v>
      </c>
      <c r="B37" s="51" t="s">
        <v>1951</v>
      </c>
      <c r="C37" s="32" t="s">
        <v>11</v>
      </c>
      <c r="D37" s="33" t="s">
        <v>1948</v>
      </c>
      <c r="E37" s="38" t="s">
        <v>1018</v>
      </c>
      <c r="F37" s="32" t="s">
        <v>121</v>
      </c>
      <c r="G37" s="33" t="s">
        <v>122</v>
      </c>
      <c r="H37" s="130" t="s">
        <v>1949</v>
      </c>
      <c r="I37" s="126" t="s">
        <v>112</v>
      </c>
      <c r="J37" s="32" t="s">
        <v>120</v>
      </c>
      <c r="K37" s="132" t="s">
        <v>116</v>
      </c>
      <c r="L37" s="128" t="s">
        <v>10</v>
      </c>
      <c r="M37" s="124"/>
    </row>
    <row r="38" spans="1:13">
      <c r="A38" s="155" t="s">
        <v>3050</v>
      </c>
      <c r="B38" s="51" t="s">
        <v>1951</v>
      </c>
      <c r="C38" s="32" t="s">
        <v>11</v>
      </c>
      <c r="D38" s="33" t="s">
        <v>1948</v>
      </c>
      <c r="E38" s="38" t="s">
        <v>1019</v>
      </c>
      <c r="F38" s="32" t="s">
        <v>124</v>
      </c>
      <c r="G38" s="33" t="s">
        <v>125</v>
      </c>
      <c r="H38" s="130" t="s">
        <v>1949</v>
      </c>
      <c r="I38" s="126" t="s">
        <v>112</v>
      </c>
      <c r="J38" s="32" t="s">
        <v>123</v>
      </c>
      <c r="K38" s="132" t="s">
        <v>116</v>
      </c>
      <c r="L38" s="128" t="s">
        <v>10</v>
      </c>
      <c r="M38" s="124"/>
    </row>
    <row r="39" spans="1:13">
      <c r="A39" s="155" t="s">
        <v>3050</v>
      </c>
      <c r="B39" s="51" t="s">
        <v>1951</v>
      </c>
      <c r="C39" s="32" t="s">
        <v>11</v>
      </c>
      <c r="D39" s="33" t="s">
        <v>1946</v>
      </c>
      <c r="E39" s="38" t="s">
        <v>1020</v>
      </c>
      <c r="F39" s="32" t="s">
        <v>127</v>
      </c>
      <c r="G39" s="33" t="s">
        <v>128</v>
      </c>
      <c r="H39" s="130" t="s">
        <v>1947</v>
      </c>
      <c r="I39" s="126" t="s">
        <v>112</v>
      </c>
      <c r="J39" s="32" t="s">
        <v>126</v>
      </c>
      <c r="K39" s="132" t="s">
        <v>116</v>
      </c>
      <c r="L39" s="128" t="s">
        <v>9</v>
      </c>
      <c r="M39" s="124"/>
    </row>
    <row r="40" spans="1:13">
      <c r="A40" s="155" t="s">
        <v>3050</v>
      </c>
      <c r="B40" s="51" t="s">
        <v>1951</v>
      </c>
      <c r="C40" s="32" t="s">
        <v>11</v>
      </c>
      <c r="D40" s="33" t="s">
        <v>1946</v>
      </c>
      <c r="E40" s="38" t="s">
        <v>1021</v>
      </c>
      <c r="F40" s="32" t="s">
        <v>131</v>
      </c>
      <c r="G40" s="33" t="s">
        <v>132</v>
      </c>
      <c r="H40" s="130" t="s">
        <v>1947</v>
      </c>
      <c r="I40" s="126" t="s">
        <v>129</v>
      </c>
      <c r="J40" s="32" t="s">
        <v>130</v>
      </c>
      <c r="K40" s="132" t="s">
        <v>133</v>
      </c>
      <c r="L40" s="128" t="s">
        <v>9</v>
      </c>
      <c r="M40" s="124"/>
    </row>
    <row r="41" spans="1:13">
      <c r="A41" s="155" t="s">
        <v>3050</v>
      </c>
      <c r="B41" s="51" t="s">
        <v>1951</v>
      </c>
      <c r="C41" s="32" t="s">
        <v>11</v>
      </c>
      <c r="D41" s="33" t="s">
        <v>1946</v>
      </c>
      <c r="E41" s="38" t="s">
        <v>1022</v>
      </c>
      <c r="F41" s="32" t="s">
        <v>135</v>
      </c>
      <c r="G41" s="33" t="s">
        <v>136</v>
      </c>
      <c r="H41" s="130" t="s">
        <v>1947</v>
      </c>
      <c r="I41" s="126" t="s">
        <v>129</v>
      </c>
      <c r="J41" s="32" t="s">
        <v>134</v>
      </c>
      <c r="K41" s="132" t="s">
        <v>133</v>
      </c>
      <c r="L41" s="128" t="s">
        <v>9</v>
      </c>
      <c r="M41" s="124"/>
    </row>
    <row r="42" spans="1:13">
      <c r="A42" s="155" t="s">
        <v>3050</v>
      </c>
      <c r="B42" s="51" t="s">
        <v>1951</v>
      </c>
      <c r="C42" s="32" t="s">
        <v>11</v>
      </c>
      <c r="D42" s="33" t="s">
        <v>1948</v>
      </c>
      <c r="E42" s="38" t="s">
        <v>1023</v>
      </c>
      <c r="F42" s="32" t="s">
        <v>138</v>
      </c>
      <c r="G42" s="33" t="s">
        <v>139</v>
      </c>
      <c r="H42" s="130" t="s">
        <v>1949</v>
      </c>
      <c r="I42" s="126" t="s">
        <v>129</v>
      </c>
      <c r="J42" s="32" t="s">
        <v>137</v>
      </c>
      <c r="K42" s="132" t="s">
        <v>133</v>
      </c>
      <c r="L42" s="128" t="s">
        <v>10</v>
      </c>
      <c r="M42" s="124"/>
    </row>
    <row r="43" spans="1:13">
      <c r="A43" s="155" t="s">
        <v>3050</v>
      </c>
      <c r="B43" s="51" t="s">
        <v>1951</v>
      </c>
      <c r="C43" s="32" t="s">
        <v>11</v>
      </c>
      <c r="D43" s="33" t="s">
        <v>1946</v>
      </c>
      <c r="E43" s="38" t="s">
        <v>1024</v>
      </c>
      <c r="F43" s="32" t="s">
        <v>141</v>
      </c>
      <c r="G43" s="33" t="s">
        <v>142</v>
      </c>
      <c r="H43" s="130" t="s">
        <v>1947</v>
      </c>
      <c r="I43" s="126" t="s">
        <v>129</v>
      </c>
      <c r="J43" s="32" t="s">
        <v>140</v>
      </c>
      <c r="K43" s="132" t="s">
        <v>133</v>
      </c>
      <c r="L43" s="128" t="s">
        <v>9</v>
      </c>
      <c r="M43" s="124"/>
    </row>
    <row r="44" spans="1:13">
      <c r="A44" s="155" t="s">
        <v>3050</v>
      </c>
      <c r="B44" s="51" t="s">
        <v>1952</v>
      </c>
      <c r="C44" s="32" t="s">
        <v>11</v>
      </c>
      <c r="D44" s="33" t="s">
        <v>8</v>
      </c>
      <c r="E44" s="38" t="s">
        <v>1025</v>
      </c>
      <c r="F44" s="32" t="s">
        <v>145</v>
      </c>
      <c r="G44" s="33" t="s">
        <v>146</v>
      </c>
      <c r="H44" s="130"/>
      <c r="I44" s="126" t="s">
        <v>143</v>
      </c>
      <c r="J44" s="32" t="s">
        <v>144</v>
      </c>
      <c r="K44" s="132" t="s">
        <v>147</v>
      </c>
      <c r="L44" s="128" t="s">
        <v>8</v>
      </c>
      <c r="M44" s="124"/>
    </row>
    <row r="45" spans="1:13">
      <c r="A45" s="155" t="s">
        <v>3050</v>
      </c>
      <c r="B45" s="51" t="s">
        <v>1952</v>
      </c>
      <c r="C45" s="32" t="s">
        <v>11</v>
      </c>
      <c r="D45" s="33" t="s">
        <v>8</v>
      </c>
      <c r="E45" s="38" t="s">
        <v>1026</v>
      </c>
      <c r="F45" s="32" t="s">
        <v>149</v>
      </c>
      <c r="G45" s="33" t="s">
        <v>150</v>
      </c>
      <c r="H45" s="130"/>
      <c r="I45" s="126" t="s">
        <v>143</v>
      </c>
      <c r="J45" s="32" t="s">
        <v>148</v>
      </c>
      <c r="K45" s="132" t="s">
        <v>147</v>
      </c>
      <c r="L45" s="128" t="s">
        <v>8</v>
      </c>
      <c r="M45" s="124"/>
    </row>
    <row r="46" spans="1:13">
      <c r="A46" s="155" t="s">
        <v>3050</v>
      </c>
      <c r="B46" s="51" t="s">
        <v>1952</v>
      </c>
      <c r="C46" s="32" t="s">
        <v>11</v>
      </c>
      <c r="D46" s="33" t="s">
        <v>8</v>
      </c>
      <c r="E46" s="38" t="s">
        <v>1027</v>
      </c>
      <c r="F46" s="32" t="s">
        <v>153</v>
      </c>
      <c r="G46" s="33" t="s">
        <v>154</v>
      </c>
      <c r="H46" s="130"/>
      <c r="I46" s="126" t="s">
        <v>151</v>
      </c>
      <c r="J46" s="32" t="s">
        <v>152</v>
      </c>
      <c r="K46" s="132" t="s">
        <v>155</v>
      </c>
      <c r="L46" s="128" t="s">
        <v>8</v>
      </c>
      <c r="M46" s="124"/>
    </row>
    <row r="47" spans="1:13">
      <c r="A47" s="155" t="s">
        <v>3050</v>
      </c>
      <c r="B47" s="51" t="s">
        <v>1952</v>
      </c>
      <c r="C47" s="32" t="s">
        <v>11</v>
      </c>
      <c r="D47" s="33" t="s">
        <v>8</v>
      </c>
      <c r="E47" s="38" t="s">
        <v>1028</v>
      </c>
      <c r="F47" s="32" t="s">
        <v>157</v>
      </c>
      <c r="G47" s="33" t="s">
        <v>154</v>
      </c>
      <c r="H47" s="130"/>
      <c r="I47" s="126" t="s">
        <v>151</v>
      </c>
      <c r="J47" s="32" t="s">
        <v>156</v>
      </c>
      <c r="K47" s="132" t="s">
        <v>155</v>
      </c>
      <c r="L47" s="128" t="s">
        <v>8</v>
      </c>
      <c r="M47" s="124"/>
    </row>
    <row r="48" spans="1:13">
      <c r="A48" s="155" t="s">
        <v>3050</v>
      </c>
      <c r="B48" s="51" t="s">
        <v>1952</v>
      </c>
      <c r="C48" s="32" t="s">
        <v>11</v>
      </c>
      <c r="D48" s="33" t="s">
        <v>1946</v>
      </c>
      <c r="E48" s="38" t="s">
        <v>1029</v>
      </c>
      <c r="F48" s="32" t="s">
        <v>159</v>
      </c>
      <c r="G48" s="33" t="s">
        <v>160</v>
      </c>
      <c r="H48" s="130" t="s">
        <v>1947</v>
      </c>
      <c r="I48" s="126" t="s">
        <v>151</v>
      </c>
      <c r="J48" s="32" t="s">
        <v>158</v>
      </c>
      <c r="K48" s="132" t="s">
        <v>155</v>
      </c>
      <c r="L48" s="128" t="s">
        <v>9</v>
      </c>
      <c r="M48" s="124"/>
    </row>
    <row r="49" spans="1:13">
      <c r="A49" s="155" t="s">
        <v>3050</v>
      </c>
      <c r="B49" s="51" t="s">
        <v>1952</v>
      </c>
      <c r="C49" s="32" t="s">
        <v>11</v>
      </c>
      <c r="D49" s="33" t="s">
        <v>1946</v>
      </c>
      <c r="E49" s="38" t="s">
        <v>1030</v>
      </c>
      <c r="F49" s="32" t="s">
        <v>162</v>
      </c>
      <c r="G49" s="33" t="s">
        <v>163</v>
      </c>
      <c r="H49" s="130" t="s">
        <v>1947</v>
      </c>
      <c r="I49" s="126" t="s">
        <v>151</v>
      </c>
      <c r="J49" s="32" t="s">
        <v>161</v>
      </c>
      <c r="K49" s="132" t="s">
        <v>155</v>
      </c>
      <c r="L49" s="128" t="s">
        <v>9</v>
      </c>
      <c r="M49" s="124"/>
    </row>
    <row r="50" spans="1:13">
      <c r="A50" s="155" t="s">
        <v>3050</v>
      </c>
      <c r="B50" s="51" t="s">
        <v>1952</v>
      </c>
      <c r="C50" s="32" t="s">
        <v>11</v>
      </c>
      <c r="D50" s="33" t="s">
        <v>1946</v>
      </c>
      <c r="E50" s="38" t="s">
        <v>1031</v>
      </c>
      <c r="F50" s="32" t="s">
        <v>165</v>
      </c>
      <c r="G50" s="33" t="s">
        <v>166</v>
      </c>
      <c r="H50" s="130" t="s">
        <v>1947</v>
      </c>
      <c r="I50" s="126" t="s">
        <v>151</v>
      </c>
      <c r="J50" s="32" t="s">
        <v>164</v>
      </c>
      <c r="K50" s="132" t="s">
        <v>155</v>
      </c>
      <c r="L50" s="128" t="s">
        <v>9</v>
      </c>
      <c r="M50" s="124"/>
    </row>
    <row r="51" spans="1:13">
      <c r="A51" s="155" t="s">
        <v>3050</v>
      </c>
      <c r="B51" s="51" t="s">
        <v>1952</v>
      </c>
      <c r="C51" s="32" t="s">
        <v>11</v>
      </c>
      <c r="D51" s="33" t="s">
        <v>1946</v>
      </c>
      <c r="E51" s="38" t="s">
        <v>1032</v>
      </c>
      <c r="F51" s="32" t="s">
        <v>169</v>
      </c>
      <c r="G51" s="33" t="s">
        <v>170</v>
      </c>
      <c r="H51" s="130" t="s">
        <v>1947</v>
      </c>
      <c r="I51" s="126" t="s">
        <v>167</v>
      </c>
      <c r="J51" s="32" t="s">
        <v>168</v>
      </c>
      <c r="K51" s="132" t="s">
        <v>171</v>
      </c>
      <c r="L51" s="128" t="s">
        <v>9</v>
      </c>
      <c r="M51" s="124"/>
    </row>
    <row r="52" spans="1:13">
      <c r="A52" s="155" t="s">
        <v>3050</v>
      </c>
      <c r="B52" s="51" t="s">
        <v>1952</v>
      </c>
      <c r="C52" s="32" t="s">
        <v>11</v>
      </c>
      <c r="D52" s="33" t="s">
        <v>1948</v>
      </c>
      <c r="E52" s="38" t="s">
        <v>1033</v>
      </c>
      <c r="F52" s="32" t="s">
        <v>173</v>
      </c>
      <c r="G52" s="33" t="s">
        <v>174</v>
      </c>
      <c r="H52" s="130" t="s">
        <v>1949</v>
      </c>
      <c r="I52" s="126" t="s">
        <v>167</v>
      </c>
      <c r="J52" s="32" t="s">
        <v>172</v>
      </c>
      <c r="K52" s="132" t="s">
        <v>171</v>
      </c>
      <c r="L52" s="128" t="s">
        <v>10</v>
      </c>
      <c r="M52" s="124"/>
    </row>
    <row r="53" spans="1:13">
      <c r="A53" s="155" t="s">
        <v>3050</v>
      </c>
      <c r="B53" s="51" t="s">
        <v>1952</v>
      </c>
      <c r="C53" s="32" t="s">
        <v>11</v>
      </c>
      <c r="D53" s="33" t="s">
        <v>1946</v>
      </c>
      <c r="E53" s="38" t="s">
        <v>1034</v>
      </c>
      <c r="F53" s="32" t="s">
        <v>176</v>
      </c>
      <c r="G53" s="33" t="s">
        <v>177</v>
      </c>
      <c r="H53" s="130" t="s">
        <v>1947</v>
      </c>
      <c r="I53" s="126" t="s">
        <v>167</v>
      </c>
      <c r="J53" s="32" t="s">
        <v>175</v>
      </c>
      <c r="K53" s="132" t="s">
        <v>171</v>
      </c>
      <c r="L53" s="128" t="s">
        <v>9</v>
      </c>
      <c r="M53" s="124"/>
    </row>
    <row r="54" spans="1:13">
      <c r="A54" s="155" t="s">
        <v>3050</v>
      </c>
      <c r="B54" s="51" t="s">
        <v>1953</v>
      </c>
      <c r="C54" s="32" t="s">
        <v>11</v>
      </c>
      <c r="D54" s="33" t="s">
        <v>8</v>
      </c>
      <c r="E54" s="38" t="s">
        <v>1035</v>
      </c>
      <c r="F54" s="32" t="s">
        <v>180</v>
      </c>
      <c r="G54" s="33" t="s">
        <v>181</v>
      </c>
      <c r="H54" s="130"/>
      <c r="I54" s="126" t="s">
        <v>178</v>
      </c>
      <c r="J54" s="32" t="s">
        <v>179</v>
      </c>
      <c r="K54" s="132" t="s">
        <v>182</v>
      </c>
      <c r="L54" s="128" t="s">
        <v>8</v>
      </c>
      <c r="M54" s="124"/>
    </row>
    <row r="55" spans="1:13">
      <c r="A55" s="155" t="s">
        <v>3050</v>
      </c>
      <c r="B55" s="51" t="s">
        <v>1953</v>
      </c>
      <c r="C55" s="32" t="s">
        <v>11</v>
      </c>
      <c r="D55" s="33" t="s">
        <v>8</v>
      </c>
      <c r="E55" s="38" t="s">
        <v>1036</v>
      </c>
      <c r="F55" s="32" t="s">
        <v>184</v>
      </c>
      <c r="G55" s="33" t="s">
        <v>185</v>
      </c>
      <c r="H55" s="130"/>
      <c r="I55" s="126" t="s">
        <v>178</v>
      </c>
      <c r="J55" s="32" t="s">
        <v>183</v>
      </c>
      <c r="K55" s="132" t="s">
        <v>182</v>
      </c>
      <c r="L55" s="128" t="s">
        <v>8</v>
      </c>
      <c r="M55" s="124"/>
    </row>
    <row r="56" spans="1:13">
      <c r="A56" s="155" t="s">
        <v>3050</v>
      </c>
      <c r="B56" s="51" t="s">
        <v>1953</v>
      </c>
      <c r="C56" s="32" t="s">
        <v>11</v>
      </c>
      <c r="D56" s="33" t="s">
        <v>8</v>
      </c>
      <c r="E56" s="38" t="s">
        <v>1037</v>
      </c>
      <c r="F56" s="32" t="s">
        <v>187</v>
      </c>
      <c r="G56" s="33" t="s">
        <v>188</v>
      </c>
      <c r="H56" s="130"/>
      <c r="I56" s="126" t="s">
        <v>178</v>
      </c>
      <c r="J56" s="32" t="s">
        <v>186</v>
      </c>
      <c r="K56" s="132" t="s">
        <v>182</v>
      </c>
      <c r="L56" s="128" t="s">
        <v>8</v>
      </c>
      <c r="M56" s="124"/>
    </row>
    <row r="57" spans="1:13">
      <c r="A57" s="155" t="s">
        <v>3050</v>
      </c>
      <c r="B57" s="51" t="s">
        <v>1953</v>
      </c>
      <c r="C57" s="32" t="s">
        <v>11</v>
      </c>
      <c r="D57" s="33" t="s">
        <v>1946</v>
      </c>
      <c r="E57" s="38" t="s">
        <v>1038</v>
      </c>
      <c r="F57" s="32" t="s">
        <v>190</v>
      </c>
      <c r="G57" s="33" t="s">
        <v>191</v>
      </c>
      <c r="H57" s="130" t="s">
        <v>1947</v>
      </c>
      <c r="I57" s="126" t="s">
        <v>178</v>
      </c>
      <c r="J57" s="32" t="s">
        <v>189</v>
      </c>
      <c r="K57" s="132" t="s">
        <v>182</v>
      </c>
      <c r="L57" s="128" t="s">
        <v>9</v>
      </c>
      <c r="M57" s="124"/>
    </row>
    <row r="58" spans="1:13">
      <c r="A58" s="155" t="s">
        <v>3050</v>
      </c>
      <c r="B58" s="51" t="s">
        <v>1953</v>
      </c>
      <c r="C58" s="32" t="s">
        <v>11</v>
      </c>
      <c r="D58" s="33" t="s">
        <v>1946</v>
      </c>
      <c r="E58" s="38" t="s">
        <v>1039</v>
      </c>
      <c r="F58" s="32" t="s">
        <v>193</v>
      </c>
      <c r="G58" s="33" t="s">
        <v>194</v>
      </c>
      <c r="H58" s="130" t="s">
        <v>1947</v>
      </c>
      <c r="I58" s="126" t="s">
        <v>178</v>
      </c>
      <c r="J58" s="32" t="s">
        <v>192</v>
      </c>
      <c r="K58" s="132" t="s">
        <v>182</v>
      </c>
      <c r="L58" s="128" t="s">
        <v>9</v>
      </c>
      <c r="M58" s="124"/>
    </row>
    <row r="59" spans="1:13">
      <c r="A59" s="155" t="s">
        <v>3050</v>
      </c>
      <c r="B59" s="51" t="s">
        <v>1953</v>
      </c>
      <c r="C59" s="32" t="s">
        <v>11</v>
      </c>
      <c r="D59" s="33" t="s">
        <v>8</v>
      </c>
      <c r="E59" s="38" t="s">
        <v>1040</v>
      </c>
      <c r="F59" s="32" t="s">
        <v>196</v>
      </c>
      <c r="G59" s="33" t="s">
        <v>197</v>
      </c>
      <c r="H59" s="130"/>
      <c r="I59" s="126" t="s">
        <v>178</v>
      </c>
      <c r="J59" s="32" t="s">
        <v>195</v>
      </c>
      <c r="K59" s="132" t="s">
        <v>182</v>
      </c>
      <c r="L59" s="128" t="s">
        <v>8</v>
      </c>
      <c r="M59" s="124"/>
    </row>
    <row r="60" spans="1:13">
      <c r="A60" s="155" t="s">
        <v>3050</v>
      </c>
      <c r="B60" s="51" t="s">
        <v>1953</v>
      </c>
      <c r="C60" s="32" t="s">
        <v>11</v>
      </c>
      <c r="D60" s="33" t="s">
        <v>8</v>
      </c>
      <c r="E60" s="38" t="s">
        <v>1041</v>
      </c>
      <c r="F60" s="32" t="s">
        <v>199</v>
      </c>
      <c r="G60" s="33" t="s">
        <v>200</v>
      </c>
      <c r="H60" s="130"/>
      <c r="I60" s="126" t="s">
        <v>178</v>
      </c>
      <c r="J60" s="32" t="s">
        <v>198</v>
      </c>
      <c r="K60" s="132" t="s">
        <v>182</v>
      </c>
      <c r="L60" s="128" t="s">
        <v>8</v>
      </c>
      <c r="M60" s="124"/>
    </row>
    <row r="61" spans="1:13">
      <c r="A61" s="155" t="s">
        <v>3050</v>
      </c>
      <c r="B61" s="51" t="s">
        <v>1953</v>
      </c>
      <c r="C61" s="32" t="s">
        <v>11</v>
      </c>
      <c r="D61" s="33" t="s">
        <v>8</v>
      </c>
      <c r="E61" s="38" t="s">
        <v>1042</v>
      </c>
      <c r="F61" s="32" t="s">
        <v>202</v>
      </c>
      <c r="G61" s="33" t="s">
        <v>203</v>
      </c>
      <c r="H61" s="130"/>
      <c r="I61" s="126" t="s">
        <v>178</v>
      </c>
      <c r="J61" s="32" t="s">
        <v>201</v>
      </c>
      <c r="K61" s="132" t="s">
        <v>182</v>
      </c>
      <c r="L61" s="128" t="s">
        <v>8</v>
      </c>
      <c r="M61" s="124"/>
    </row>
    <row r="62" spans="1:13">
      <c r="A62" s="155" t="s">
        <v>3050</v>
      </c>
      <c r="B62" s="51" t="s">
        <v>1953</v>
      </c>
      <c r="C62" s="32" t="s">
        <v>11</v>
      </c>
      <c r="D62" s="33" t="s">
        <v>1948</v>
      </c>
      <c r="E62" s="38" t="s">
        <v>1043</v>
      </c>
      <c r="F62" s="32" t="s">
        <v>206</v>
      </c>
      <c r="G62" s="33" t="s">
        <v>207</v>
      </c>
      <c r="H62" s="130" t="s">
        <v>1949</v>
      </c>
      <c r="I62" s="126" t="s">
        <v>204</v>
      </c>
      <c r="J62" s="32" t="s">
        <v>205</v>
      </c>
      <c r="K62" s="132" t="s">
        <v>208</v>
      </c>
      <c r="L62" s="128" t="s">
        <v>10</v>
      </c>
      <c r="M62" s="124"/>
    </row>
    <row r="63" spans="1:13">
      <c r="A63" s="155" t="s">
        <v>3050</v>
      </c>
      <c r="B63" s="51" t="s">
        <v>1953</v>
      </c>
      <c r="C63" s="32" t="s">
        <v>11</v>
      </c>
      <c r="D63" s="33" t="s">
        <v>1948</v>
      </c>
      <c r="E63" s="38" t="s">
        <v>1044</v>
      </c>
      <c r="F63" s="32" t="s">
        <v>210</v>
      </c>
      <c r="G63" s="33" t="s">
        <v>211</v>
      </c>
      <c r="H63" s="130" t="s">
        <v>1949</v>
      </c>
      <c r="I63" s="126" t="s">
        <v>204</v>
      </c>
      <c r="J63" s="32" t="s">
        <v>209</v>
      </c>
      <c r="K63" s="132" t="s">
        <v>208</v>
      </c>
      <c r="L63" s="128" t="s">
        <v>10</v>
      </c>
      <c r="M63" s="124"/>
    </row>
    <row r="64" spans="1:13">
      <c r="A64" s="155" t="s">
        <v>3050</v>
      </c>
      <c r="B64" s="51" t="s">
        <v>1954</v>
      </c>
      <c r="C64" s="32" t="s">
        <v>11</v>
      </c>
      <c r="D64" s="33" t="s">
        <v>8</v>
      </c>
      <c r="E64" s="38" t="s">
        <v>1045</v>
      </c>
      <c r="F64" s="32" t="s">
        <v>214</v>
      </c>
      <c r="G64" s="33" t="s">
        <v>215</v>
      </c>
      <c r="H64" s="130"/>
      <c r="I64" s="126" t="s">
        <v>212</v>
      </c>
      <c r="J64" s="32" t="s">
        <v>213</v>
      </c>
      <c r="K64" s="132" t="s">
        <v>216</v>
      </c>
      <c r="L64" s="128" t="s">
        <v>8</v>
      </c>
      <c r="M64" s="124"/>
    </row>
    <row r="65" spans="1:13">
      <c r="A65" s="155" t="s">
        <v>3050</v>
      </c>
      <c r="B65" s="51" t="s">
        <v>1954</v>
      </c>
      <c r="C65" s="32" t="s">
        <v>11</v>
      </c>
      <c r="D65" s="33" t="s">
        <v>8</v>
      </c>
      <c r="E65" s="38" t="s">
        <v>1046</v>
      </c>
      <c r="F65" s="32" t="s">
        <v>218</v>
      </c>
      <c r="G65" s="33" t="s">
        <v>219</v>
      </c>
      <c r="H65" s="130"/>
      <c r="I65" s="126" t="s">
        <v>212</v>
      </c>
      <c r="J65" s="32" t="s">
        <v>217</v>
      </c>
      <c r="K65" s="132" t="s">
        <v>216</v>
      </c>
      <c r="L65" s="128" t="s">
        <v>8</v>
      </c>
      <c r="M65" s="124"/>
    </row>
    <row r="66" spans="1:13">
      <c r="A66" s="155" t="s">
        <v>3050</v>
      </c>
      <c r="B66" s="51" t="s">
        <v>1954</v>
      </c>
      <c r="C66" s="32" t="s">
        <v>11</v>
      </c>
      <c r="D66" s="33" t="s">
        <v>8</v>
      </c>
      <c r="E66" s="38" t="s">
        <v>1047</v>
      </c>
      <c r="F66" s="32" t="s">
        <v>221</v>
      </c>
      <c r="G66" s="33" t="s">
        <v>222</v>
      </c>
      <c r="H66" s="130"/>
      <c r="I66" s="126" t="s">
        <v>212</v>
      </c>
      <c r="J66" s="32" t="s">
        <v>220</v>
      </c>
      <c r="K66" s="132" t="s">
        <v>216</v>
      </c>
      <c r="L66" s="128" t="s">
        <v>8</v>
      </c>
      <c r="M66" s="124"/>
    </row>
    <row r="67" spans="1:13">
      <c r="A67" s="155" t="s">
        <v>3050</v>
      </c>
      <c r="B67" s="51" t="s">
        <v>1954</v>
      </c>
      <c r="C67" s="32" t="s">
        <v>11</v>
      </c>
      <c r="D67" s="33" t="s">
        <v>1946</v>
      </c>
      <c r="E67" s="38" t="s">
        <v>1048</v>
      </c>
      <c r="F67" s="32" t="s">
        <v>224</v>
      </c>
      <c r="G67" s="33" t="s">
        <v>3472</v>
      </c>
      <c r="H67" s="130" t="s">
        <v>1947</v>
      </c>
      <c r="I67" s="126" t="s">
        <v>212</v>
      </c>
      <c r="J67" s="32" t="s">
        <v>223</v>
      </c>
      <c r="K67" s="132" t="s">
        <v>216</v>
      </c>
      <c r="L67" s="128" t="s">
        <v>9</v>
      </c>
      <c r="M67" s="124"/>
    </row>
    <row r="68" spans="1:13">
      <c r="A68" s="155" t="s">
        <v>3050</v>
      </c>
      <c r="B68" s="51" t="s">
        <v>1954</v>
      </c>
      <c r="C68" s="32" t="s">
        <v>11</v>
      </c>
      <c r="D68" s="33" t="s">
        <v>8</v>
      </c>
      <c r="E68" s="38" t="s">
        <v>1049</v>
      </c>
      <c r="F68" s="32" t="s">
        <v>227</v>
      </c>
      <c r="G68" s="33" t="s">
        <v>228</v>
      </c>
      <c r="H68" s="130"/>
      <c r="I68" s="126" t="s">
        <v>225</v>
      </c>
      <c r="J68" s="32" t="s">
        <v>226</v>
      </c>
      <c r="K68" s="132" t="s">
        <v>229</v>
      </c>
      <c r="L68" s="128" t="s">
        <v>8</v>
      </c>
      <c r="M68" s="124"/>
    </row>
    <row r="69" spans="1:13">
      <c r="A69" s="155" t="s">
        <v>3050</v>
      </c>
      <c r="B69" s="51" t="s">
        <v>1954</v>
      </c>
      <c r="C69" s="32" t="s">
        <v>11</v>
      </c>
      <c r="D69" s="33" t="s">
        <v>1946</v>
      </c>
      <c r="E69" s="38" t="s">
        <v>1050</v>
      </c>
      <c r="F69" s="32" t="s">
        <v>231</v>
      </c>
      <c r="G69" s="33" t="s">
        <v>232</v>
      </c>
      <c r="H69" s="130" t="s">
        <v>1947</v>
      </c>
      <c r="I69" s="126" t="s">
        <v>225</v>
      </c>
      <c r="J69" s="32" t="s">
        <v>230</v>
      </c>
      <c r="K69" s="132" t="s">
        <v>229</v>
      </c>
      <c r="L69" s="128" t="s">
        <v>9</v>
      </c>
      <c r="M69" s="124"/>
    </row>
    <row r="70" spans="1:13">
      <c r="A70" s="155" t="s">
        <v>3050</v>
      </c>
      <c r="B70" s="51" t="s">
        <v>1954</v>
      </c>
      <c r="C70" s="32" t="s">
        <v>11</v>
      </c>
      <c r="D70" s="33" t="s">
        <v>1946</v>
      </c>
      <c r="E70" s="38" t="s">
        <v>1051</v>
      </c>
      <c r="F70" s="32" t="s">
        <v>234</v>
      </c>
      <c r="G70" s="33" t="s">
        <v>235</v>
      </c>
      <c r="H70" s="130" t="s">
        <v>1947</v>
      </c>
      <c r="I70" s="126" t="s">
        <v>225</v>
      </c>
      <c r="J70" s="32" t="s">
        <v>233</v>
      </c>
      <c r="K70" s="132" t="s">
        <v>229</v>
      </c>
      <c r="L70" s="128" t="s">
        <v>9</v>
      </c>
      <c r="M70" s="124"/>
    </row>
    <row r="71" spans="1:13">
      <c r="A71" s="155" t="s">
        <v>3050</v>
      </c>
      <c r="B71" s="51" t="s">
        <v>1954</v>
      </c>
      <c r="C71" s="32" t="s">
        <v>11</v>
      </c>
      <c r="D71" s="33" t="s">
        <v>1946</v>
      </c>
      <c r="E71" s="38" t="s">
        <v>1052</v>
      </c>
      <c r="F71" s="32" t="s">
        <v>238</v>
      </c>
      <c r="G71" s="33" t="s">
        <v>239</v>
      </c>
      <c r="H71" s="130" t="s">
        <v>1947</v>
      </c>
      <c r="I71" s="126" t="s">
        <v>236</v>
      </c>
      <c r="J71" s="32" t="s">
        <v>237</v>
      </c>
      <c r="K71" s="132" t="s">
        <v>240</v>
      </c>
      <c r="L71" s="128" t="s">
        <v>9</v>
      </c>
      <c r="M71" s="124"/>
    </row>
    <row r="72" spans="1:13">
      <c r="A72" s="155" t="s">
        <v>3050</v>
      </c>
      <c r="B72" s="51" t="s">
        <v>1954</v>
      </c>
      <c r="C72" s="32" t="s">
        <v>11</v>
      </c>
      <c r="D72" s="33" t="s">
        <v>1946</v>
      </c>
      <c r="E72" s="38" t="s">
        <v>1053</v>
      </c>
      <c r="F72" s="32" t="s">
        <v>242</v>
      </c>
      <c r="G72" s="33" t="s">
        <v>243</v>
      </c>
      <c r="H72" s="130" t="s">
        <v>1947</v>
      </c>
      <c r="I72" s="126" t="s">
        <v>236</v>
      </c>
      <c r="J72" s="32" t="s">
        <v>241</v>
      </c>
      <c r="K72" s="132" t="s">
        <v>240</v>
      </c>
      <c r="L72" s="128" t="s">
        <v>9</v>
      </c>
      <c r="M72" s="124"/>
    </row>
    <row r="73" spans="1:13">
      <c r="A73" s="155" t="s">
        <v>3050</v>
      </c>
      <c r="B73" s="51" t="s">
        <v>1954</v>
      </c>
      <c r="C73" s="32" t="s">
        <v>11</v>
      </c>
      <c r="D73" s="33" t="s">
        <v>1948</v>
      </c>
      <c r="E73" s="38" t="s">
        <v>1054</v>
      </c>
      <c r="F73" s="32" t="s">
        <v>246</v>
      </c>
      <c r="G73" s="33" t="s">
        <v>247</v>
      </c>
      <c r="H73" s="130" t="s">
        <v>1949</v>
      </c>
      <c r="I73" s="126" t="s">
        <v>244</v>
      </c>
      <c r="J73" s="32" t="s">
        <v>245</v>
      </c>
      <c r="K73" s="132" t="s">
        <v>248</v>
      </c>
      <c r="L73" s="128" t="s">
        <v>10</v>
      </c>
      <c r="M73" s="124"/>
    </row>
    <row r="74" spans="1:13">
      <c r="A74" s="155" t="s">
        <v>3050</v>
      </c>
      <c r="B74" s="51" t="s">
        <v>1954</v>
      </c>
      <c r="C74" s="32" t="s">
        <v>11</v>
      </c>
      <c r="D74" s="33" t="s">
        <v>1946</v>
      </c>
      <c r="E74" s="38" t="s">
        <v>1055</v>
      </c>
      <c r="F74" s="32" t="s">
        <v>250</v>
      </c>
      <c r="G74" s="33" t="s">
        <v>251</v>
      </c>
      <c r="H74" s="130" t="s">
        <v>1947</v>
      </c>
      <c r="I74" s="126" t="s">
        <v>244</v>
      </c>
      <c r="J74" s="32" t="s">
        <v>249</v>
      </c>
      <c r="K74" s="132" t="s">
        <v>248</v>
      </c>
      <c r="L74" s="128" t="s">
        <v>9</v>
      </c>
      <c r="M74" s="124"/>
    </row>
    <row r="75" spans="1:13">
      <c r="A75" s="155" t="s">
        <v>3050</v>
      </c>
      <c r="B75" s="51" t="s">
        <v>1954</v>
      </c>
      <c r="C75" s="32" t="s">
        <v>11</v>
      </c>
      <c r="D75" s="33" t="s">
        <v>8</v>
      </c>
      <c r="E75" s="38" t="s">
        <v>1056</v>
      </c>
      <c r="F75" s="32" t="s">
        <v>253</v>
      </c>
      <c r="G75" s="33" t="s">
        <v>254</v>
      </c>
      <c r="H75" s="130"/>
      <c r="I75" s="126" t="s">
        <v>244</v>
      </c>
      <c r="J75" s="32" t="s">
        <v>252</v>
      </c>
      <c r="K75" s="132" t="s">
        <v>248</v>
      </c>
      <c r="L75" s="128" t="s">
        <v>8</v>
      </c>
      <c r="M75" s="124"/>
    </row>
    <row r="76" spans="1:13">
      <c r="A76" s="155" t="s">
        <v>3050</v>
      </c>
      <c r="B76" s="51" t="s">
        <v>1955</v>
      </c>
      <c r="C76" s="32" t="s">
        <v>11</v>
      </c>
      <c r="D76" s="33" t="s">
        <v>8</v>
      </c>
      <c r="E76" s="38" t="s">
        <v>1057</v>
      </c>
      <c r="F76" s="32" t="s">
        <v>257</v>
      </c>
      <c r="G76" s="33" t="s">
        <v>258</v>
      </c>
      <c r="H76" s="130"/>
      <c r="I76" s="126" t="s">
        <v>255</v>
      </c>
      <c r="J76" s="32" t="s">
        <v>256</v>
      </c>
      <c r="K76" s="132" t="s">
        <v>259</v>
      </c>
      <c r="L76" s="128" t="s">
        <v>8</v>
      </c>
      <c r="M76" s="124"/>
    </row>
    <row r="77" spans="1:13">
      <c r="A77" s="155" t="s">
        <v>3050</v>
      </c>
      <c r="B77" s="51" t="s">
        <v>1955</v>
      </c>
      <c r="C77" s="32" t="s">
        <v>11</v>
      </c>
      <c r="D77" s="33" t="s">
        <v>1946</v>
      </c>
      <c r="E77" s="38" t="s">
        <v>1058</v>
      </c>
      <c r="F77" s="32" t="s">
        <v>261</v>
      </c>
      <c r="G77" s="33" t="s">
        <v>262</v>
      </c>
      <c r="H77" s="130" t="s">
        <v>1947</v>
      </c>
      <c r="I77" s="126" t="s">
        <v>255</v>
      </c>
      <c r="J77" s="32" t="s">
        <v>260</v>
      </c>
      <c r="K77" s="132" t="s">
        <v>259</v>
      </c>
      <c r="L77" s="128" t="s">
        <v>9</v>
      </c>
      <c r="M77" s="124"/>
    </row>
    <row r="78" spans="1:13">
      <c r="A78" s="155" t="s">
        <v>3050</v>
      </c>
      <c r="B78" s="51" t="s">
        <v>1955</v>
      </c>
      <c r="C78" s="32" t="s">
        <v>11</v>
      </c>
      <c r="D78" s="33" t="s">
        <v>8</v>
      </c>
      <c r="E78" s="38" t="s">
        <v>1059</v>
      </c>
      <c r="F78" s="32" t="s">
        <v>264</v>
      </c>
      <c r="G78" s="33" t="s">
        <v>265</v>
      </c>
      <c r="H78" s="130"/>
      <c r="I78" s="126" t="s">
        <v>255</v>
      </c>
      <c r="J78" s="32" t="s">
        <v>263</v>
      </c>
      <c r="K78" s="132" t="s">
        <v>259</v>
      </c>
      <c r="L78" s="128" t="s">
        <v>8</v>
      </c>
      <c r="M78" s="124"/>
    </row>
    <row r="79" spans="1:13">
      <c r="A79" s="155" t="s">
        <v>3050</v>
      </c>
      <c r="B79" s="51" t="s">
        <v>1955</v>
      </c>
      <c r="C79" s="32" t="s">
        <v>11</v>
      </c>
      <c r="D79" s="33" t="s">
        <v>8</v>
      </c>
      <c r="E79" s="38" t="s">
        <v>1060</v>
      </c>
      <c r="F79" s="32" t="s">
        <v>267</v>
      </c>
      <c r="G79" s="33" t="s">
        <v>268</v>
      </c>
      <c r="H79" s="130"/>
      <c r="I79" s="126" t="s">
        <v>255</v>
      </c>
      <c r="J79" s="32" t="s">
        <v>266</v>
      </c>
      <c r="K79" s="132" t="s">
        <v>259</v>
      </c>
      <c r="L79" s="128" t="s">
        <v>8</v>
      </c>
      <c r="M79" s="124"/>
    </row>
    <row r="80" spans="1:13">
      <c r="A80" s="155" t="s">
        <v>3050</v>
      </c>
      <c r="B80" s="51" t="s">
        <v>1955</v>
      </c>
      <c r="C80" s="32" t="s">
        <v>11</v>
      </c>
      <c r="D80" s="33" t="s">
        <v>1946</v>
      </c>
      <c r="E80" s="38" t="s">
        <v>1061</v>
      </c>
      <c r="F80" s="32" t="s">
        <v>270</v>
      </c>
      <c r="G80" s="33" t="s">
        <v>271</v>
      </c>
      <c r="H80" s="130" t="s">
        <v>1947</v>
      </c>
      <c r="I80" s="126" t="s">
        <v>255</v>
      </c>
      <c r="J80" s="32" t="s">
        <v>269</v>
      </c>
      <c r="K80" s="132" t="s">
        <v>259</v>
      </c>
      <c r="L80" s="128" t="s">
        <v>9</v>
      </c>
      <c r="M80" s="124"/>
    </row>
    <row r="81" spans="1:13">
      <c r="A81" s="155" t="s">
        <v>3050</v>
      </c>
      <c r="B81" s="51" t="s">
        <v>1955</v>
      </c>
      <c r="C81" s="32" t="s">
        <v>11</v>
      </c>
      <c r="D81" s="33" t="s">
        <v>8</v>
      </c>
      <c r="E81" s="38" t="s">
        <v>1062</v>
      </c>
      <c r="F81" s="32" t="s">
        <v>273</v>
      </c>
      <c r="G81" s="33" t="s">
        <v>274</v>
      </c>
      <c r="H81" s="130"/>
      <c r="I81" s="126" t="s">
        <v>255</v>
      </c>
      <c r="J81" s="32" t="s">
        <v>272</v>
      </c>
      <c r="K81" s="132" t="s">
        <v>259</v>
      </c>
      <c r="L81" s="128" t="s">
        <v>8</v>
      </c>
      <c r="M81" s="124"/>
    </row>
    <row r="82" spans="1:13">
      <c r="A82" s="155" t="s">
        <v>3050</v>
      </c>
      <c r="B82" s="51" t="s">
        <v>1955</v>
      </c>
      <c r="C82" s="32" t="s">
        <v>11</v>
      </c>
      <c r="D82" s="33" t="s">
        <v>1946</v>
      </c>
      <c r="E82" s="38" t="s">
        <v>1063</v>
      </c>
      <c r="F82" s="32" t="s">
        <v>277</v>
      </c>
      <c r="G82" s="33" t="s">
        <v>278</v>
      </c>
      <c r="H82" s="130" t="s">
        <v>1947</v>
      </c>
      <c r="I82" s="126" t="s">
        <v>275</v>
      </c>
      <c r="J82" s="32" t="s">
        <v>276</v>
      </c>
      <c r="K82" s="132" t="s">
        <v>279</v>
      </c>
      <c r="L82" s="128" t="s">
        <v>9</v>
      </c>
      <c r="M82" s="124"/>
    </row>
    <row r="83" spans="1:13">
      <c r="A83" s="155" t="s">
        <v>3050</v>
      </c>
      <c r="B83" s="51" t="s">
        <v>1955</v>
      </c>
      <c r="C83" s="32" t="s">
        <v>11</v>
      </c>
      <c r="D83" s="33" t="s">
        <v>1946</v>
      </c>
      <c r="E83" s="38" t="s">
        <v>1064</v>
      </c>
      <c r="F83" s="32" t="s">
        <v>281</v>
      </c>
      <c r="G83" s="33" t="s">
        <v>282</v>
      </c>
      <c r="H83" s="130" t="s">
        <v>1947</v>
      </c>
      <c r="I83" s="126" t="s">
        <v>275</v>
      </c>
      <c r="J83" s="32" t="s">
        <v>280</v>
      </c>
      <c r="K83" s="132" t="s">
        <v>279</v>
      </c>
      <c r="L83" s="128" t="s">
        <v>9</v>
      </c>
      <c r="M83" s="124"/>
    </row>
    <row r="84" spans="1:13">
      <c r="A84" s="155" t="s">
        <v>3050</v>
      </c>
      <c r="B84" s="51" t="s">
        <v>1955</v>
      </c>
      <c r="C84" s="32" t="s">
        <v>11</v>
      </c>
      <c r="D84" s="33" t="s">
        <v>1948</v>
      </c>
      <c r="E84" s="38" t="s">
        <v>1065</v>
      </c>
      <c r="F84" s="32" t="s">
        <v>285</v>
      </c>
      <c r="G84" s="33" t="s">
        <v>286</v>
      </c>
      <c r="H84" s="130" t="s">
        <v>1949</v>
      </c>
      <c r="I84" s="126" t="s">
        <v>283</v>
      </c>
      <c r="J84" s="32" t="s">
        <v>284</v>
      </c>
      <c r="K84" s="132" t="s">
        <v>287</v>
      </c>
      <c r="L84" s="128" t="s">
        <v>10</v>
      </c>
      <c r="M84" s="124"/>
    </row>
    <row r="85" spans="1:13">
      <c r="A85" s="155" t="s">
        <v>3050</v>
      </c>
      <c r="B85" s="51" t="s">
        <v>1955</v>
      </c>
      <c r="C85" s="32" t="s">
        <v>11</v>
      </c>
      <c r="D85" s="33" t="s">
        <v>1946</v>
      </c>
      <c r="E85" s="38" t="s">
        <v>1066</v>
      </c>
      <c r="F85" s="32" t="s">
        <v>289</v>
      </c>
      <c r="G85" s="33" t="s">
        <v>290</v>
      </c>
      <c r="H85" s="130" t="s">
        <v>1947</v>
      </c>
      <c r="I85" s="126" t="s">
        <v>283</v>
      </c>
      <c r="J85" s="32" t="s">
        <v>288</v>
      </c>
      <c r="K85" s="132" t="s">
        <v>287</v>
      </c>
      <c r="L85" s="128" t="s">
        <v>9</v>
      </c>
      <c r="M85" s="124"/>
    </row>
    <row r="86" spans="1:13">
      <c r="A86" s="155" t="s">
        <v>3050</v>
      </c>
      <c r="B86" s="51" t="s">
        <v>1955</v>
      </c>
      <c r="C86" s="32" t="s">
        <v>11</v>
      </c>
      <c r="D86" s="33" t="s">
        <v>1948</v>
      </c>
      <c r="E86" s="38" t="s">
        <v>1067</v>
      </c>
      <c r="F86" s="32" t="s">
        <v>292</v>
      </c>
      <c r="G86" s="33" t="s">
        <v>293</v>
      </c>
      <c r="H86" s="130" t="s">
        <v>1949</v>
      </c>
      <c r="I86" s="126" t="s">
        <v>283</v>
      </c>
      <c r="J86" s="32" t="s">
        <v>291</v>
      </c>
      <c r="K86" s="132" t="s">
        <v>287</v>
      </c>
      <c r="L86" s="128" t="s">
        <v>10</v>
      </c>
      <c r="M86" s="124"/>
    </row>
    <row r="87" spans="1:13">
      <c r="A87" s="155" t="s">
        <v>3050</v>
      </c>
      <c r="B87" s="51" t="s">
        <v>1955</v>
      </c>
      <c r="C87" s="32" t="s">
        <v>11</v>
      </c>
      <c r="D87" s="33" t="s">
        <v>1946</v>
      </c>
      <c r="E87" s="38" t="s">
        <v>1068</v>
      </c>
      <c r="F87" s="32" t="s">
        <v>295</v>
      </c>
      <c r="G87" s="33" t="s">
        <v>296</v>
      </c>
      <c r="H87" s="130" t="s">
        <v>1947</v>
      </c>
      <c r="I87" s="126" t="s">
        <v>283</v>
      </c>
      <c r="J87" s="32" t="s">
        <v>294</v>
      </c>
      <c r="K87" s="132" t="s">
        <v>287</v>
      </c>
      <c r="L87" s="128" t="s">
        <v>9</v>
      </c>
      <c r="M87" s="124"/>
    </row>
    <row r="88" spans="1:13">
      <c r="A88" s="155" t="s">
        <v>3050</v>
      </c>
      <c r="B88" s="51" t="s">
        <v>1956</v>
      </c>
      <c r="C88" s="32" t="s">
        <v>11</v>
      </c>
      <c r="D88" s="33" t="s">
        <v>8</v>
      </c>
      <c r="E88" s="38" t="s">
        <v>1069</v>
      </c>
      <c r="F88" s="32" t="s">
        <v>299</v>
      </c>
      <c r="G88" s="33" t="s">
        <v>154</v>
      </c>
      <c r="H88" s="130"/>
      <c r="I88" s="126" t="s">
        <v>297</v>
      </c>
      <c r="J88" s="32" t="s">
        <v>298</v>
      </c>
      <c r="K88" s="132" t="s">
        <v>300</v>
      </c>
      <c r="L88" s="128" t="s">
        <v>8</v>
      </c>
      <c r="M88" s="124"/>
    </row>
    <row r="89" spans="1:13">
      <c r="A89" s="155" t="s">
        <v>3050</v>
      </c>
      <c r="B89" s="51" t="s">
        <v>1956</v>
      </c>
      <c r="C89" s="32" t="s">
        <v>11</v>
      </c>
      <c r="D89" s="33" t="s">
        <v>8</v>
      </c>
      <c r="E89" s="38" t="s">
        <v>1070</v>
      </c>
      <c r="F89" s="32" t="s">
        <v>302</v>
      </c>
      <c r="G89" s="33" t="s">
        <v>154</v>
      </c>
      <c r="H89" s="130"/>
      <c r="I89" s="126" t="s">
        <v>297</v>
      </c>
      <c r="J89" s="32" t="s">
        <v>301</v>
      </c>
      <c r="K89" s="132" t="s">
        <v>300</v>
      </c>
      <c r="L89" s="128" t="s">
        <v>8</v>
      </c>
      <c r="M89" s="124"/>
    </row>
    <row r="90" spans="1:13">
      <c r="A90" s="155" t="s">
        <v>3050</v>
      </c>
      <c r="B90" s="51" t="s">
        <v>1956</v>
      </c>
      <c r="C90" s="32" t="s">
        <v>11</v>
      </c>
      <c r="D90" s="33" t="s">
        <v>8</v>
      </c>
      <c r="E90" s="38" t="s">
        <v>1071</v>
      </c>
      <c r="F90" s="32" t="s">
        <v>304</v>
      </c>
      <c r="G90" s="33" t="s">
        <v>305</v>
      </c>
      <c r="H90" s="130"/>
      <c r="I90" s="126" t="s">
        <v>297</v>
      </c>
      <c r="J90" s="32" t="s">
        <v>303</v>
      </c>
      <c r="K90" s="132" t="s">
        <v>300</v>
      </c>
      <c r="L90" s="128" t="s">
        <v>8</v>
      </c>
      <c r="M90" s="124"/>
    </row>
    <row r="91" spans="1:13">
      <c r="A91" s="155" t="s">
        <v>3050</v>
      </c>
      <c r="B91" s="51" t="s">
        <v>1956</v>
      </c>
      <c r="C91" s="32" t="s">
        <v>11</v>
      </c>
      <c r="D91" s="33" t="s">
        <v>1946</v>
      </c>
      <c r="E91" s="38" t="s">
        <v>1072</v>
      </c>
      <c r="F91" s="32" t="s">
        <v>307</v>
      </c>
      <c r="G91" s="33" t="s">
        <v>163</v>
      </c>
      <c r="H91" s="130" t="s">
        <v>1947</v>
      </c>
      <c r="I91" s="126" t="s">
        <v>297</v>
      </c>
      <c r="J91" s="32" t="s">
        <v>306</v>
      </c>
      <c r="K91" s="132" t="s">
        <v>300</v>
      </c>
      <c r="L91" s="128" t="s">
        <v>9</v>
      </c>
      <c r="M91" s="124"/>
    </row>
    <row r="92" spans="1:13">
      <c r="A92" s="155" t="s">
        <v>3050</v>
      </c>
      <c r="B92" s="51" t="s">
        <v>1956</v>
      </c>
      <c r="C92" s="32" t="s">
        <v>11</v>
      </c>
      <c r="D92" s="33" t="s">
        <v>8</v>
      </c>
      <c r="E92" s="38" t="s">
        <v>1073</v>
      </c>
      <c r="F92" s="32" t="s">
        <v>309</v>
      </c>
      <c r="G92" s="33" t="s">
        <v>310</v>
      </c>
      <c r="H92" s="130"/>
      <c r="I92" s="126" t="s">
        <v>297</v>
      </c>
      <c r="J92" s="32" t="s">
        <v>308</v>
      </c>
      <c r="K92" s="132" t="s">
        <v>300</v>
      </c>
      <c r="L92" s="128" t="s">
        <v>8</v>
      </c>
      <c r="M92" s="124"/>
    </row>
    <row r="93" spans="1:13">
      <c r="A93" s="155" t="s">
        <v>3050</v>
      </c>
      <c r="B93" s="51" t="s">
        <v>1956</v>
      </c>
      <c r="C93" s="32" t="s">
        <v>11</v>
      </c>
      <c r="D93" s="33" t="s">
        <v>1946</v>
      </c>
      <c r="E93" s="38" t="s">
        <v>1074</v>
      </c>
      <c r="F93" s="32" t="s">
        <v>313</v>
      </c>
      <c r="G93" s="33" t="s">
        <v>314</v>
      </c>
      <c r="H93" s="130" t="s">
        <v>1947</v>
      </c>
      <c r="I93" s="126" t="s">
        <v>311</v>
      </c>
      <c r="J93" s="32" t="s">
        <v>312</v>
      </c>
      <c r="K93" s="132" t="s">
        <v>315</v>
      </c>
      <c r="L93" s="128" t="s">
        <v>9</v>
      </c>
      <c r="M93" s="124"/>
    </row>
    <row r="94" spans="1:13">
      <c r="A94" s="155" t="s">
        <v>3050</v>
      </c>
      <c r="B94" s="51" t="s">
        <v>1956</v>
      </c>
      <c r="C94" s="32" t="s">
        <v>11</v>
      </c>
      <c r="D94" s="33" t="s">
        <v>1948</v>
      </c>
      <c r="E94" s="38" t="s">
        <v>1075</v>
      </c>
      <c r="F94" s="32" t="s">
        <v>317</v>
      </c>
      <c r="G94" s="33" t="s">
        <v>318</v>
      </c>
      <c r="H94" s="130" t="s">
        <v>1949</v>
      </c>
      <c r="I94" s="126" t="s">
        <v>311</v>
      </c>
      <c r="J94" s="32" t="s">
        <v>316</v>
      </c>
      <c r="K94" s="132" t="s">
        <v>315</v>
      </c>
      <c r="L94" s="128" t="s">
        <v>10</v>
      </c>
      <c r="M94" s="124"/>
    </row>
    <row r="95" spans="1:13">
      <c r="A95" s="155" t="s">
        <v>3050</v>
      </c>
      <c r="B95" s="51" t="s">
        <v>1956</v>
      </c>
      <c r="C95" s="32" t="s">
        <v>11</v>
      </c>
      <c r="D95" s="33" t="s">
        <v>1948</v>
      </c>
      <c r="E95" s="38" t="s">
        <v>1076</v>
      </c>
      <c r="F95" s="32" t="s">
        <v>321</v>
      </c>
      <c r="G95" s="33" t="s">
        <v>322</v>
      </c>
      <c r="H95" s="130" t="s">
        <v>1949</v>
      </c>
      <c r="I95" s="126" t="s">
        <v>319</v>
      </c>
      <c r="J95" s="32" t="s">
        <v>320</v>
      </c>
      <c r="K95" s="132" t="s">
        <v>323</v>
      </c>
      <c r="L95" s="128" t="s">
        <v>10</v>
      </c>
      <c r="M95" s="124"/>
    </row>
    <row r="96" spans="1:13">
      <c r="A96" s="155" t="s">
        <v>3050</v>
      </c>
      <c r="B96" s="51" t="s">
        <v>1956</v>
      </c>
      <c r="C96" s="32" t="s">
        <v>11</v>
      </c>
      <c r="D96" s="33" t="s">
        <v>1946</v>
      </c>
      <c r="E96" s="38" t="s">
        <v>1077</v>
      </c>
      <c r="F96" s="32" t="s">
        <v>325</v>
      </c>
      <c r="G96" s="33" t="s">
        <v>326</v>
      </c>
      <c r="H96" s="130" t="s">
        <v>1947</v>
      </c>
      <c r="I96" s="126" t="s">
        <v>319</v>
      </c>
      <c r="J96" s="32" t="s">
        <v>324</v>
      </c>
      <c r="K96" s="132" t="s">
        <v>323</v>
      </c>
      <c r="L96" s="128" t="s">
        <v>9</v>
      </c>
      <c r="M96" s="124"/>
    </row>
    <row r="97" spans="1:13">
      <c r="A97" s="155" t="s">
        <v>3050</v>
      </c>
      <c r="B97" s="51" t="s">
        <v>1956</v>
      </c>
      <c r="C97" s="32" t="s">
        <v>11</v>
      </c>
      <c r="D97" s="33" t="s">
        <v>8</v>
      </c>
      <c r="E97" s="38" t="s">
        <v>1078</v>
      </c>
      <c r="F97" s="32" t="s">
        <v>328</v>
      </c>
      <c r="G97" s="33" t="s">
        <v>329</v>
      </c>
      <c r="H97" s="130"/>
      <c r="I97" s="126" t="s">
        <v>319</v>
      </c>
      <c r="J97" s="32" t="s">
        <v>327</v>
      </c>
      <c r="K97" s="132" t="s">
        <v>323</v>
      </c>
      <c r="L97" s="128" t="s">
        <v>8</v>
      </c>
      <c r="M97" s="124"/>
    </row>
    <row r="98" spans="1:13">
      <c r="A98" s="155" t="s">
        <v>3050</v>
      </c>
      <c r="B98" s="51" t="s">
        <v>1957</v>
      </c>
      <c r="C98" s="32" t="s">
        <v>12</v>
      </c>
      <c r="D98" s="33" t="s">
        <v>1948</v>
      </c>
      <c r="E98" s="38" t="s">
        <v>1079</v>
      </c>
      <c r="F98" s="32" t="s">
        <v>332</v>
      </c>
      <c r="G98" s="33" t="s">
        <v>333</v>
      </c>
      <c r="H98" s="130" t="s">
        <v>1949</v>
      </c>
      <c r="I98" s="126" t="s">
        <v>330</v>
      </c>
      <c r="J98" s="32" t="s">
        <v>331</v>
      </c>
      <c r="K98" s="132" t="s">
        <v>334</v>
      </c>
      <c r="L98" s="128" t="s">
        <v>10</v>
      </c>
      <c r="M98" s="124"/>
    </row>
    <row r="99" spans="1:13">
      <c r="A99" s="155" t="s">
        <v>3050</v>
      </c>
      <c r="B99" s="51" t="s">
        <v>1957</v>
      </c>
      <c r="C99" s="32" t="s">
        <v>12</v>
      </c>
      <c r="D99" s="33" t="s">
        <v>1948</v>
      </c>
      <c r="E99" s="38" t="s">
        <v>1080</v>
      </c>
      <c r="F99" s="32" t="s">
        <v>336</v>
      </c>
      <c r="G99" s="33" t="s">
        <v>337</v>
      </c>
      <c r="H99" s="130" t="s">
        <v>1949</v>
      </c>
      <c r="I99" s="126" t="s">
        <v>330</v>
      </c>
      <c r="J99" s="32" t="s">
        <v>335</v>
      </c>
      <c r="K99" s="132" t="s">
        <v>334</v>
      </c>
      <c r="L99" s="128" t="s">
        <v>10</v>
      </c>
      <c r="M99" s="124"/>
    </row>
    <row r="100" spans="1:13">
      <c r="A100" s="155" t="s">
        <v>3050</v>
      </c>
      <c r="B100" s="51" t="s">
        <v>1957</v>
      </c>
      <c r="C100" s="32" t="s">
        <v>12</v>
      </c>
      <c r="D100" s="33" t="s">
        <v>1946</v>
      </c>
      <c r="E100" s="38" t="s">
        <v>1081</v>
      </c>
      <c r="F100" s="32" t="s">
        <v>339</v>
      </c>
      <c r="G100" s="33" t="s">
        <v>340</v>
      </c>
      <c r="H100" s="130" t="s">
        <v>1947</v>
      </c>
      <c r="I100" s="126" t="s">
        <v>330</v>
      </c>
      <c r="J100" s="32" t="s">
        <v>338</v>
      </c>
      <c r="K100" s="132" t="s">
        <v>334</v>
      </c>
      <c r="L100" s="128" t="s">
        <v>9</v>
      </c>
      <c r="M100" s="124"/>
    </row>
    <row r="101" spans="1:13">
      <c r="A101" s="155" t="s">
        <v>3050</v>
      </c>
      <c r="B101" s="51" t="s">
        <v>1957</v>
      </c>
      <c r="C101" s="32" t="s">
        <v>12</v>
      </c>
      <c r="D101" s="33" t="s">
        <v>8</v>
      </c>
      <c r="E101" s="38" t="s">
        <v>1082</v>
      </c>
      <c r="F101" s="32" t="s">
        <v>342</v>
      </c>
      <c r="G101" s="33" t="s">
        <v>343</v>
      </c>
      <c r="H101" s="130"/>
      <c r="I101" s="126" t="s">
        <v>330</v>
      </c>
      <c r="J101" s="32" t="s">
        <v>341</v>
      </c>
      <c r="K101" s="132" t="s">
        <v>334</v>
      </c>
      <c r="L101" s="128" t="s">
        <v>8</v>
      </c>
      <c r="M101" s="124"/>
    </row>
    <row r="102" spans="1:13">
      <c r="A102" s="155" t="s">
        <v>3050</v>
      </c>
      <c r="B102" s="51" t="s">
        <v>1957</v>
      </c>
      <c r="C102" s="32" t="s">
        <v>12</v>
      </c>
      <c r="D102" s="33" t="s">
        <v>1946</v>
      </c>
      <c r="E102" s="38" t="s">
        <v>1083</v>
      </c>
      <c r="F102" s="32" t="s">
        <v>345</v>
      </c>
      <c r="G102" s="33" t="s">
        <v>346</v>
      </c>
      <c r="H102" s="130" t="s">
        <v>1947</v>
      </c>
      <c r="I102" s="126" t="s">
        <v>330</v>
      </c>
      <c r="J102" s="32" t="s">
        <v>344</v>
      </c>
      <c r="K102" s="132" t="s">
        <v>334</v>
      </c>
      <c r="L102" s="128" t="s">
        <v>9</v>
      </c>
      <c r="M102" s="124"/>
    </row>
    <row r="103" spans="1:13">
      <c r="A103" s="155" t="s">
        <v>3050</v>
      </c>
      <c r="B103" s="51" t="s">
        <v>1957</v>
      </c>
      <c r="C103" s="32" t="s">
        <v>12</v>
      </c>
      <c r="D103" s="33" t="s">
        <v>1946</v>
      </c>
      <c r="E103" s="38" t="s">
        <v>1084</v>
      </c>
      <c r="F103" s="32" t="s">
        <v>348</v>
      </c>
      <c r="G103" s="33" t="s">
        <v>349</v>
      </c>
      <c r="H103" s="130" t="s">
        <v>1947</v>
      </c>
      <c r="I103" s="126" t="s">
        <v>330</v>
      </c>
      <c r="J103" s="32" t="s">
        <v>347</v>
      </c>
      <c r="K103" s="132" t="s">
        <v>334</v>
      </c>
      <c r="L103" s="128" t="s">
        <v>9</v>
      </c>
      <c r="M103" s="124"/>
    </row>
    <row r="104" spans="1:13">
      <c r="A104" s="155" t="s">
        <v>3050</v>
      </c>
      <c r="B104" s="51" t="s">
        <v>1958</v>
      </c>
      <c r="C104" s="32" t="s">
        <v>12</v>
      </c>
      <c r="D104" s="33" t="s">
        <v>1946</v>
      </c>
      <c r="E104" s="38" t="s">
        <v>1085</v>
      </c>
      <c r="F104" s="32" t="s">
        <v>352</v>
      </c>
      <c r="G104" s="33" t="s">
        <v>353</v>
      </c>
      <c r="H104" s="130" t="s">
        <v>1947</v>
      </c>
      <c r="I104" s="126" t="s">
        <v>350</v>
      </c>
      <c r="J104" s="32" t="s">
        <v>351</v>
      </c>
      <c r="K104" s="132" t="s">
        <v>354</v>
      </c>
      <c r="L104" s="128" t="s">
        <v>9</v>
      </c>
      <c r="M104" s="124"/>
    </row>
    <row r="105" spans="1:13">
      <c r="A105" s="155" t="s">
        <v>3050</v>
      </c>
      <c r="B105" s="51" t="s">
        <v>1958</v>
      </c>
      <c r="C105" s="32" t="s">
        <v>12</v>
      </c>
      <c r="D105" s="33" t="s">
        <v>8</v>
      </c>
      <c r="E105" s="38" t="s">
        <v>1086</v>
      </c>
      <c r="F105" s="32" t="s">
        <v>356</v>
      </c>
      <c r="G105" s="33" t="s">
        <v>357</v>
      </c>
      <c r="H105" s="130"/>
      <c r="I105" s="126" t="s">
        <v>350</v>
      </c>
      <c r="J105" s="32" t="s">
        <v>355</v>
      </c>
      <c r="K105" s="132" t="s">
        <v>354</v>
      </c>
      <c r="L105" s="128" t="s">
        <v>8</v>
      </c>
      <c r="M105" s="124"/>
    </row>
    <row r="106" spans="1:13">
      <c r="A106" s="155" t="s">
        <v>3050</v>
      </c>
      <c r="B106" s="51" t="s">
        <v>1958</v>
      </c>
      <c r="C106" s="32" t="s">
        <v>12</v>
      </c>
      <c r="D106" s="33" t="s">
        <v>8</v>
      </c>
      <c r="E106" s="38" t="s">
        <v>1087</v>
      </c>
      <c r="F106" s="32" t="s">
        <v>359</v>
      </c>
      <c r="G106" s="33" t="s">
        <v>360</v>
      </c>
      <c r="H106" s="130"/>
      <c r="I106" s="126" t="s">
        <v>350</v>
      </c>
      <c r="J106" s="32" t="s">
        <v>358</v>
      </c>
      <c r="K106" s="132" t="s">
        <v>354</v>
      </c>
      <c r="L106" s="128" t="s">
        <v>8</v>
      </c>
      <c r="M106" s="124"/>
    </row>
    <row r="107" spans="1:13">
      <c r="A107" s="155" t="s">
        <v>3050</v>
      </c>
      <c r="B107" s="51" t="s">
        <v>1958</v>
      </c>
      <c r="C107" s="32" t="s">
        <v>12</v>
      </c>
      <c r="D107" s="33" t="s">
        <v>8</v>
      </c>
      <c r="E107" s="38" t="s">
        <v>1088</v>
      </c>
      <c r="F107" s="32" t="s">
        <v>362</v>
      </c>
      <c r="G107" s="33" t="s">
        <v>363</v>
      </c>
      <c r="H107" s="130"/>
      <c r="I107" s="126" t="s">
        <v>350</v>
      </c>
      <c r="J107" s="32" t="s">
        <v>361</v>
      </c>
      <c r="K107" s="132" t="s">
        <v>354</v>
      </c>
      <c r="L107" s="128" t="s">
        <v>8</v>
      </c>
      <c r="M107" s="124"/>
    </row>
    <row r="108" spans="1:13">
      <c r="A108" s="155" t="s">
        <v>3050</v>
      </c>
      <c r="B108" s="51" t="s">
        <v>1958</v>
      </c>
      <c r="C108" s="32" t="s">
        <v>12</v>
      </c>
      <c r="D108" s="33" t="s">
        <v>1946</v>
      </c>
      <c r="E108" s="38" t="s">
        <v>1089</v>
      </c>
      <c r="F108" s="32" t="s">
        <v>365</v>
      </c>
      <c r="G108" s="33" t="s">
        <v>366</v>
      </c>
      <c r="H108" s="130" t="s">
        <v>1947</v>
      </c>
      <c r="I108" s="126" t="s">
        <v>350</v>
      </c>
      <c r="J108" s="32" t="s">
        <v>364</v>
      </c>
      <c r="K108" s="132" t="s">
        <v>354</v>
      </c>
      <c r="L108" s="128" t="s">
        <v>9</v>
      </c>
      <c r="M108" s="124"/>
    </row>
    <row r="109" spans="1:13">
      <c r="A109" s="155" t="s">
        <v>3050</v>
      </c>
      <c r="B109" s="51" t="s">
        <v>1958</v>
      </c>
      <c r="C109" s="32" t="s">
        <v>12</v>
      </c>
      <c r="D109" s="33" t="s">
        <v>1948</v>
      </c>
      <c r="E109" s="38" t="s">
        <v>1090</v>
      </c>
      <c r="F109" s="32" t="s">
        <v>369</v>
      </c>
      <c r="G109" s="33" t="s">
        <v>370</v>
      </c>
      <c r="H109" s="130" t="s">
        <v>1949</v>
      </c>
      <c r="I109" s="126" t="s">
        <v>367</v>
      </c>
      <c r="J109" s="32" t="s">
        <v>368</v>
      </c>
      <c r="K109" s="132" t="s">
        <v>371</v>
      </c>
      <c r="L109" s="128" t="s">
        <v>10</v>
      </c>
      <c r="M109" s="124"/>
    </row>
    <row r="110" spans="1:13">
      <c r="A110" s="155" t="s">
        <v>3050</v>
      </c>
      <c r="B110" s="51" t="s">
        <v>1958</v>
      </c>
      <c r="C110" s="32" t="s">
        <v>12</v>
      </c>
      <c r="D110" s="33" t="s">
        <v>1948</v>
      </c>
      <c r="E110" s="38" t="s">
        <v>1091</v>
      </c>
      <c r="F110" s="32" t="s">
        <v>373</v>
      </c>
      <c r="G110" s="33" t="s">
        <v>374</v>
      </c>
      <c r="H110" s="130" t="s">
        <v>1949</v>
      </c>
      <c r="I110" s="126" t="s">
        <v>367</v>
      </c>
      <c r="J110" s="32" t="s">
        <v>372</v>
      </c>
      <c r="K110" s="132" t="s">
        <v>371</v>
      </c>
      <c r="L110" s="128" t="s">
        <v>10</v>
      </c>
      <c r="M110" s="124"/>
    </row>
    <row r="111" spans="1:13">
      <c r="A111" s="155" t="s">
        <v>3050</v>
      </c>
      <c r="B111" s="51" t="s">
        <v>1958</v>
      </c>
      <c r="C111" s="32" t="s">
        <v>12</v>
      </c>
      <c r="D111" s="33" t="s">
        <v>1946</v>
      </c>
      <c r="E111" s="38" t="s">
        <v>1092</v>
      </c>
      <c r="F111" s="32" t="s">
        <v>376</v>
      </c>
      <c r="G111" s="33" t="s">
        <v>377</v>
      </c>
      <c r="H111" s="130" t="s">
        <v>1947</v>
      </c>
      <c r="I111" s="126" t="s">
        <v>367</v>
      </c>
      <c r="J111" s="32" t="s">
        <v>375</v>
      </c>
      <c r="K111" s="132" t="s">
        <v>371</v>
      </c>
      <c r="L111" s="128" t="s">
        <v>9</v>
      </c>
      <c r="M111" s="124"/>
    </row>
    <row r="112" spans="1:13">
      <c r="A112" s="155" t="s">
        <v>3050</v>
      </c>
      <c r="B112" s="51" t="s">
        <v>1958</v>
      </c>
      <c r="C112" s="32" t="s">
        <v>12</v>
      </c>
      <c r="D112" s="33" t="s">
        <v>1948</v>
      </c>
      <c r="E112" s="38" t="s">
        <v>1093</v>
      </c>
      <c r="F112" s="32" t="s">
        <v>380</v>
      </c>
      <c r="G112" s="33" t="s">
        <v>381</v>
      </c>
      <c r="H112" s="130" t="s">
        <v>1949</v>
      </c>
      <c r="I112" s="126" t="s">
        <v>378</v>
      </c>
      <c r="J112" s="32" t="s">
        <v>379</v>
      </c>
      <c r="K112" s="132" t="s">
        <v>382</v>
      </c>
      <c r="L112" s="128" t="s">
        <v>10</v>
      </c>
      <c r="M112" s="124"/>
    </row>
    <row r="113" spans="1:13">
      <c r="A113" s="155" t="s">
        <v>3050</v>
      </c>
      <c r="B113" s="51" t="s">
        <v>1958</v>
      </c>
      <c r="C113" s="32" t="s">
        <v>12</v>
      </c>
      <c r="D113" s="33" t="s">
        <v>1948</v>
      </c>
      <c r="E113" s="38" t="s">
        <v>1094</v>
      </c>
      <c r="F113" s="32" t="s">
        <v>384</v>
      </c>
      <c r="G113" s="33" t="s">
        <v>385</v>
      </c>
      <c r="H113" s="130" t="s">
        <v>1949</v>
      </c>
      <c r="I113" s="126" t="s">
        <v>378</v>
      </c>
      <c r="J113" s="32" t="s">
        <v>383</v>
      </c>
      <c r="K113" s="132" t="s">
        <v>382</v>
      </c>
      <c r="L113" s="128" t="s">
        <v>10</v>
      </c>
      <c r="M113" s="124"/>
    </row>
    <row r="114" spans="1:13">
      <c r="A114" s="155" t="s">
        <v>3050</v>
      </c>
      <c r="B114" s="51" t="s">
        <v>1958</v>
      </c>
      <c r="C114" s="32" t="s">
        <v>12</v>
      </c>
      <c r="D114" s="33" t="s">
        <v>1946</v>
      </c>
      <c r="E114" s="38" t="s">
        <v>1095</v>
      </c>
      <c r="F114" s="32" t="s">
        <v>387</v>
      </c>
      <c r="G114" s="33" t="s">
        <v>388</v>
      </c>
      <c r="H114" s="130" t="s">
        <v>1947</v>
      </c>
      <c r="I114" s="126" t="s">
        <v>378</v>
      </c>
      <c r="J114" s="32" t="s">
        <v>386</v>
      </c>
      <c r="K114" s="132" t="s">
        <v>382</v>
      </c>
      <c r="L114" s="128" t="s">
        <v>9</v>
      </c>
      <c r="M114" s="124"/>
    </row>
    <row r="115" spans="1:13">
      <c r="A115" s="155" t="s">
        <v>3050</v>
      </c>
      <c r="B115" s="51" t="s">
        <v>1958</v>
      </c>
      <c r="C115" s="32" t="s">
        <v>12</v>
      </c>
      <c r="D115" s="33" t="s">
        <v>1946</v>
      </c>
      <c r="E115" s="38" t="s">
        <v>1096</v>
      </c>
      <c r="F115" s="32" t="s">
        <v>390</v>
      </c>
      <c r="G115" s="33" t="s">
        <v>391</v>
      </c>
      <c r="H115" s="130" t="s">
        <v>1947</v>
      </c>
      <c r="I115" s="126" t="s">
        <v>378</v>
      </c>
      <c r="J115" s="32" t="s">
        <v>389</v>
      </c>
      <c r="K115" s="132" t="s">
        <v>382</v>
      </c>
      <c r="L115" s="128" t="s">
        <v>9</v>
      </c>
      <c r="M115" s="124"/>
    </row>
    <row r="116" spans="1:13">
      <c r="A116" s="155" t="s">
        <v>3050</v>
      </c>
      <c r="B116" s="51" t="s">
        <v>1958</v>
      </c>
      <c r="C116" s="32" t="s">
        <v>12</v>
      </c>
      <c r="D116" s="33" t="s">
        <v>1946</v>
      </c>
      <c r="E116" s="38" t="s">
        <v>1097</v>
      </c>
      <c r="F116" s="32" t="s">
        <v>393</v>
      </c>
      <c r="G116" s="33" t="s">
        <v>394</v>
      </c>
      <c r="H116" s="130" t="s">
        <v>1947</v>
      </c>
      <c r="I116" s="126" t="s">
        <v>378</v>
      </c>
      <c r="J116" s="32" t="s">
        <v>392</v>
      </c>
      <c r="K116" s="132" t="s">
        <v>382</v>
      </c>
      <c r="L116" s="128" t="s">
        <v>9</v>
      </c>
      <c r="M116" s="124"/>
    </row>
    <row r="117" spans="1:13">
      <c r="A117" s="155" t="s">
        <v>3050</v>
      </c>
      <c r="B117" s="51" t="s">
        <v>1958</v>
      </c>
      <c r="C117" s="32" t="s">
        <v>12</v>
      </c>
      <c r="D117" s="33" t="s">
        <v>1948</v>
      </c>
      <c r="E117" s="38" t="s">
        <v>1098</v>
      </c>
      <c r="F117" s="32" t="s">
        <v>396</v>
      </c>
      <c r="G117" s="33" t="s">
        <v>397</v>
      </c>
      <c r="H117" s="130" t="s">
        <v>1949</v>
      </c>
      <c r="I117" s="126" t="s">
        <v>378</v>
      </c>
      <c r="J117" s="32" t="s">
        <v>395</v>
      </c>
      <c r="K117" s="132" t="s">
        <v>382</v>
      </c>
      <c r="L117" s="128" t="s">
        <v>10</v>
      </c>
      <c r="M117" s="124"/>
    </row>
    <row r="118" spans="1:13">
      <c r="A118" s="155" t="s">
        <v>3050</v>
      </c>
      <c r="B118" s="51" t="s">
        <v>1958</v>
      </c>
      <c r="C118" s="32" t="s">
        <v>12</v>
      </c>
      <c r="D118" s="33" t="s">
        <v>1946</v>
      </c>
      <c r="E118" s="38" t="s">
        <v>1099</v>
      </c>
      <c r="F118" s="32" t="s">
        <v>399</v>
      </c>
      <c r="G118" s="33" t="s">
        <v>400</v>
      </c>
      <c r="H118" s="130" t="s">
        <v>1947</v>
      </c>
      <c r="I118" s="126" t="s">
        <v>378</v>
      </c>
      <c r="J118" s="32" t="s">
        <v>398</v>
      </c>
      <c r="K118" s="132" t="s">
        <v>382</v>
      </c>
      <c r="L118" s="128" t="s">
        <v>9</v>
      </c>
      <c r="M118" s="124"/>
    </row>
    <row r="119" spans="1:13">
      <c r="A119" s="155" t="s">
        <v>3050</v>
      </c>
      <c r="B119" s="51" t="s">
        <v>1959</v>
      </c>
      <c r="C119" s="32" t="s">
        <v>12</v>
      </c>
      <c r="D119" s="33" t="s">
        <v>1946</v>
      </c>
      <c r="E119" s="38" t="s">
        <v>1100</v>
      </c>
      <c r="F119" s="32" t="s">
        <v>403</v>
      </c>
      <c r="G119" s="33" t="s">
        <v>404</v>
      </c>
      <c r="H119" s="130" t="s">
        <v>1947</v>
      </c>
      <c r="I119" s="126" t="s">
        <v>401</v>
      </c>
      <c r="J119" s="32" t="s">
        <v>402</v>
      </c>
      <c r="K119" s="132" t="s">
        <v>405</v>
      </c>
      <c r="L119" s="128" t="s">
        <v>9</v>
      </c>
      <c r="M119" s="124"/>
    </row>
    <row r="120" spans="1:13">
      <c r="A120" s="155" t="s">
        <v>3050</v>
      </c>
      <c r="B120" s="51" t="s">
        <v>1959</v>
      </c>
      <c r="C120" s="32" t="s">
        <v>12</v>
      </c>
      <c r="D120" s="33" t="s">
        <v>8</v>
      </c>
      <c r="E120" s="38" t="s">
        <v>1101</v>
      </c>
      <c r="F120" s="32" t="s">
        <v>407</v>
      </c>
      <c r="G120" s="33" t="s">
        <v>408</v>
      </c>
      <c r="H120" s="130"/>
      <c r="I120" s="126" t="s">
        <v>401</v>
      </c>
      <c r="J120" s="32" t="s">
        <v>406</v>
      </c>
      <c r="K120" s="132" t="s">
        <v>405</v>
      </c>
      <c r="L120" s="128" t="s">
        <v>8</v>
      </c>
      <c r="M120" s="124"/>
    </row>
    <row r="121" spans="1:13">
      <c r="A121" s="155" t="s">
        <v>3050</v>
      </c>
      <c r="B121" s="51" t="s">
        <v>1959</v>
      </c>
      <c r="C121" s="32" t="s">
        <v>12</v>
      </c>
      <c r="D121" s="33" t="s">
        <v>8</v>
      </c>
      <c r="E121" s="38" t="s">
        <v>1102</v>
      </c>
      <c r="F121" s="32" t="s">
        <v>410</v>
      </c>
      <c r="G121" s="33" t="s">
        <v>411</v>
      </c>
      <c r="H121" s="130"/>
      <c r="I121" s="126" t="s">
        <v>401</v>
      </c>
      <c r="J121" s="32" t="s">
        <v>409</v>
      </c>
      <c r="K121" s="132" t="s">
        <v>405</v>
      </c>
      <c r="L121" s="128" t="s">
        <v>8</v>
      </c>
      <c r="M121" s="124"/>
    </row>
    <row r="122" spans="1:13">
      <c r="A122" s="155" t="s">
        <v>3050</v>
      </c>
      <c r="B122" s="51" t="s">
        <v>1959</v>
      </c>
      <c r="C122" s="32" t="s">
        <v>12</v>
      </c>
      <c r="D122" s="33" t="s">
        <v>8</v>
      </c>
      <c r="E122" s="38" t="s">
        <v>1103</v>
      </c>
      <c r="F122" s="32" t="s">
        <v>413</v>
      </c>
      <c r="G122" s="33" t="s">
        <v>414</v>
      </c>
      <c r="H122" s="130"/>
      <c r="I122" s="126" t="s">
        <v>401</v>
      </c>
      <c r="J122" s="32" t="s">
        <v>412</v>
      </c>
      <c r="K122" s="132" t="s">
        <v>405</v>
      </c>
      <c r="L122" s="128" t="s">
        <v>8</v>
      </c>
      <c r="M122" s="124"/>
    </row>
    <row r="123" spans="1:13">
      <c r="A123" s="155" t="s">
        <v>3050</v>
      </c>
      <c r="B123" s="51" t="s">
        <v>1959</v>
      </c>
      <c r="C123" s="32" t="s">
        <v>12</v>
      </c>
      <c r="D123" s="33" t="s">
        <v>8</v>
      </c>
      <c r="E123" s="38" t="s">
        <v>1104</v>
      </c>
      <c r="F123" s="32" t="s">
        <v>416</v>
      </c>
      <c r="G123" s="33" t="s">
        <v>417</v>
      </c>
      <c r="H123" s="130"/>
      <c r="I123" s="126" t="s">
        <v>401</v>
      </c>
      <c r="J123" s="32" t="s">
        <v>415</v>
      </c>
      <c r="K123" s="132" t="s">
        <v>405</v>
      </c>
      <c r="L123" s="128" t="s">
        <v>8</v>
      </c>
      <c r="M123" s="124"/>
    </row>
    <row r="124" spans="1:13">
      <c r="A124" s="155" t="s">
        <v>3050</v>
      </c>
      <c r="B124" s="51" t="s">
        <v>1959</v>
      </c>
      <c r="C124" s="32" t="s">
        <v>12</v>
      </c>
      <c r="D124" s="33" t="s">
        <v>1946</v>
      </c>
      <c r="E124" s="38" t="s">
        <v>1105</v>
      </c>
      <c r="F124" s="32" t="s">
        <v>420</v>
      </c>
      <c r="G124" s="33" t="s">
        <v>421</v>
      </c>
      <c r="H124" s="130" t="s">
        <v>1947</v>
      </c>
      <c r="I124" s="126" t="s">
        <v>418</v>
      </c>
      <c r="J124" s="32" t="s">
        <v>419</v>
      </c>
      <c r="K124" s="132" t="s">
        <v>422</v>
      </c>
      <c r="L124" s="128" t="s">
        <v>9</v>
      </c>
      <c r="M124" s="124"/>
    </row>
    <row r="125" spans="1:13">
      <c r="A125" s="155" t="s">
        <v>3050</v>
      </c>
      <c r="B125" s="51" t="s">
        <v>1959</v>
      </c>
      <c r="C125" s="32" t="s">
        <v>12</v>
      </c>
      <c r="D125" s="33" t="s">
        <v>1946</v>
      </c>
      <c r="E125" s="38" t="s">
        <v>1106</v>
      </c>
      <c r="F125" s="32" t="s">
        <v>424</v>
      </c>
      <c r="G125" s="33" t="s">
        <v>425</v>
      </c>
      <c r="H125" s="130" t="s">
        <v>1947</v>
      </c>
      <c r="I125" s="126" t="s">
        <v>418</v>
      </c>
      <c r="J125" s="32" t="s">
        <v>423</v>
      </c>
      <c r="K125" s="132" t="s">
        <v>422</v>
      </c>
      <c r="L125" s="128" t="s">
        <v>9</v>
      </c>
      <c r="M125" s="124"/>
    </row>
    <row r="126" spans="1:13">
      <c r="A126" s="155" t="s">
        <v>3050</v>
      </c>
      <c r="B126" s="51" t="s">
        <v>1959</v>
      </c>
      <c r="C126" s="32" t="s">
        <v>12</v>
      </c>
      <c r="D126" s="33" t="s">
        <v>1946</v>
      </c>
      <c r="E126" s="38" t="s">
        <v>1107</v>
      </c>
      <c r="F126" s="32" t="s">
        <v>427</v>
      </c>
      <c r="G126" s="33" t="s">
        <v>428</v>
      </c>
      <c r="H126" s="130" t="s">
        <v>1947</v>
      </c>
      <c r="I126" s="126" t="s">
        <v>418</v>
      </c>
      <c r="J126" s="32" t="s">
        <v>426</v>
      </c>
      <c r="K126" s="132" t="s">
        <v>422</v>
      </c>
      <c r="L126" s="128" t="s">
        <v>9</v>
      </c>
      <c r="M126" s="124"/>
    </row>
    <row r="127" spans="1:13">
      <c r="A127" s="155" t="s">
        <v>3050</v>
      </c>
      <c r="B127" s="51" t="s">
        <v>1959</v>
      </c>
      <c r="C127" s="32" t="s">
        <v>12</v>
      </c>
      <c r="D127" s="33" t="s">
        <v>1946</v>
      </c>
      <c r="E127" s="38" t="s">
        <v>1108</v>
      </c>
      <c r="F127" s="32" t="s">
        <v>430</v>
      </c>
      <c r="G127" s="33" t="s">
        <v>431</v>
      </c>
      <c r="H127" s="130" t="s">
        <v>1947</v>
      </c>
      <c r="I127" s="126" t="s">
        <v>418</v>
      </c>
      <c r="J127" s="32" t="s">
        <v>429</v>
      </c>
      <c r="K127" s="132" t="s">
        <v>422</v>
      </c>
      <c r="L127" s="128" t="s">
        <v>9</v>
      </c>
      <c r="M127" s="124"/>
    </row>
    <row r="128" spans="1:13">
      <c r="A128" s="155" t="s">
        <v>3050</v>
      </c>
      <c r="B128" s="51" t="s">
        <v>1959</v>
      </c>
      <c r="C128" s="32" t="s">
        <v>12</v>
      </c>
      <c r="D128" s="33" t="s">
        <v>1946</v>
      </c>
      <c r="E128" s="38" t="s">
        <v>1109</v>
      </c>
      <c r="F128" s="32" t="s">
        <v>433</v>
      </c>
      <c r="G128" s="33" t="s">
        <v>434</v>
      </c>
      <c r="H128" s="130" t="s">
        <v>1947</v>
      </c>
      <c r="I128" s="126" t="s">
        <v>418</v>
      </c>
      <c r="J128" s="32" t="s">
        <v>432</v>
      </c>
      <c r="K128" s="132" t="s">
        <v>422</v>
      </c>
      <c r="L128" s="128" t="s">
        <v>9</v>
      </c>
      <c r="M128" s="124"/>
    </row>
    <row r="129" spans="1:13">
      <c r="A129" s="155" t="s">
        <v>3050</v>
      </c>
      <c r="B129" s="51" t="s">
        <v>1959</v>
      </c>
      <c r="C129" s="32" t="s">
        <v>12</v>
      </c>
      <c r="D129" s="33" t="s">
        <v>8</v>
      </c>
      <c r="E129" s="38" t="s">
        <v>1110</v>
      </c>
      <c r="F129" s="32" t="s">
        <v>436</v>
      </c>
      <c r="G129" s="33" t="s">
        <v>437</v>
      </c>
      <c r="H129" s="130"/>
      <c r="I129" s="126" t="s">
        <v>418</v>
      </c>
      <c r="J129" s="32" t="s">
        <v>435</v>
      </c>
      <c r="K129" s="132" t="s">
        <v>422</v>
      </c>
      <c r="L129" s="128" t="s">
        <v>8</v>
      </c>
      <c r="M129" s="124"/>
    </row>
    <row r="130" spans="1:13">
      <c r="A130" s="155" t="s">
        <v>3050</v>
      </c>
      <c r="B130" s="51" t="s">
        <v>1959</v>
      </c>
      <c r="C130" s="32" t="s">
        <v>12</v>
      </c>
      <c r="D130" s="33" t="s">
        <v>1946</v>
      </c>
      <c r="E130" s="38" t="s">
        <v>1111</v>
      </c>
      <c r="F130" s="32" t="s">
        <v>440</v>
      </c>
      <c r="G130" s="33" t="s">
        <v>441</v>
      </c>
      <c r="H130" s="130" t="s">
        <v>1947</v>
      </c>
      <c r="I130" s="126" t="s">
        <v>438</v>
      </c>
      <c r="J130" s="32" t="s">
        <v>439</v>
      </c>
      <c r="K130" s="132" t="s">
        <v>442</v>
      </c>
      <c r="L130" s="128" t="s">
        <v>9</v>
      </c>
      <c r="M130" s="124"/>
    </row>
    <row r="131" spans="1:13">
      <c r="A131" s="155" t="s">
        <v>3050</v>
      </c>
      <c r="B131" s="51" t="s">
        <v>1959</v>
      </c>
      <c r="C131" s="32" t="s">
        <v>12</v>
      </c>
      <c r="D131" s="33" t="s">
        <v>1948</v>
      </c>
      <c r="E131" s="38" t="s">
        <v>1112</v>
      </c>
      <c r="F131" s="32" t="s">
        <v>444</v>
      </c>
      <c r="G131" s="33" t="s">
        <v>445</v>
      </c>
      <c r="H131" s="130" t="s">
        <v>1949</v>
      </c>
      <c r="I131" s="126" t="s">
        <v>438</v>
      </c>
      <c r="J131" s="32" t="s">
        <v>443</v>
      </c>
      <c r="K131" s="132" t="s">
        <v>442</v>
      </c>
      <c r="L131" s="128" t="s">
        <v>10</v>
      </c>
      <c r="M131" s="124"/>
    </row>
    <row r="132" spans="1:13">
      <c r="A132" s="155" t="s">
        <v>3050</v>
      </c>
      <c r="B132" s="51" t="s">
        <v>1959</v>
      </c>
      <c r="C132" s="32" t="s">
        <v>12</v>
      </c>
      <c r="D132" s="33" t="s">
        <v>8</v>
      </c>
      <c r="E132" s="38" t="s">
        <v>1113</v>
      </c>
      <c r="F132" s="32" t="s">
        <v>447</v>
      </c>
      <c r="G132" s="33" t="s">
        <v>448</v>
      </c>
      <c r="H132" s="130"/>
      <c r="I132" s="126" t="s">
        <v>438</v>
      </c>
      <c r="J132" s="32" t="s">
        <v>446</v>
      </c>
      <c r="K132" s="132" t="s">
        <v>442</v>
      </c>
      <c r="L132" s="128" t="s">
        <v>8</v>
      </c>
      <c r="M132" s="124"/>
    </row>
    <row r="133" spans="1:13">
      <c r="A133" s="155" t="s">
        <v>3050</v>
      </c>
      <c r="B133" s="51" t="s">
        <v>1959</v>
      </c>
      <c r="C133" s="32" t="s">
        <v>12</v>
      </c>
      <c r="D133" s="33" t="s">
        <v>1948</v>
      </c>
      <c r="E133" s="38" t="s">
        <v>1114</v>
      </c>
      <c r="F133" s="32" t="s">
        <v>450</v>
      </c>
      <c r="G133" s="33" t="s">
        <v>451</v>
      </c>
      <c r="H133" s="130" t="s">
        <v>1949</v>
      </c>
      <c r="I133" s="126" t="s">
        <v>438</v>
      </c>
      <c r="J133" s="32" t="s">
        <v>449</v>
      </c>
      <c r="K133" s="132" t="s">
        <v>442</v>
      </c>
      <c r="L133" s="128" t="s">
        <v>10</v>
      </c>
      <c r="M133" s="124"/>
    </row>
    <row r="134" spans="1:13">
      <c r="A134" s="155" t="s">
        <v>3050</v>
      </c>
      <c r="B134" s="51" t="s">
        <v>1959</v>
      </c>
      <c r="C134" s="32" t="s">
        <v>12</v>
      </c>
      <c r="D134" s="33" t="s">
        <v>1946</v>
      </c>
      <c r="E134" s="38" t="s">
        <v>1115</v>
      </c>
      <c r="F134" s="32" t="s">
        <v>453</v>
      </c>
      <c r="G134" s="33" t="s">
        <v>454</v>
      </c>
      <c r="H134" s="130" t="s">
        <v>1947</v>
      </c>
      <c r="I134" s="126" t="s">
        <v>438</v>
      </c>
      <c r="J134" s="32" t="s">
        <v>452</v>
      </c>
      <c r="K134" s="132" t="s">
        <v>442</v>
      </c>
      <c r="L134" s="128" t="s">
        <v>9</v>
      </c>
      <c r="M134" s="124"/>
    </row>
    <row r="135" spans="1:13">
      <c r="A135" s="155" t="s">
        <v>3050</v>
      </c>
      <c r="B135" s="51" t="s">
        <v>1959</v>
      </c>
      <c r="C135" s="32" t="s">
        <v>12</v>
      </c>
      <c r="D135" s="33" t="s">
        <v>1946</v>
      </c>
      <c r="E135" s="38" t="s">
        <v>1116</v>
      </c>
      <c r="F135" s="32" t="s">
        <v>457</v>
      </c>
      <c r="G135" s="33" t="s">
        <v>458</v>
      </c>
      <c r="H135" s="130" t="s">
        <v>1947</v>
      </c>
      <c r="I135" s="126" t="s">
        <v>455</v>
      </c>
      <c r="J135" s="32" t="s">
        <v>456</v>
      </c>
      <c r="K135" s="132" t="s">
        <v>459</v>
      </c>
      <c r="L135" s="128" t="s">
        <v>9</v>
      </c>
      <c r="M135" s="124"/>
    </row>
    <row r="136" spans="1:13">
      <c r="A136" s="155" t="s">
        <v>3050</v>
      </c>
      <c r="B136" s="51" t="s">
        <v>1959</v>
      </c>
      <c r="C136" s="32" t="s">
        <v>12</v>
      </c>
      <c r="D136" s="33" t="s">
        <v>8</v>
      </c>
      <c r="E136" s="38" t="s">
        <v>1117</v>
      </c>
      <c r="F136" s="32" t="s">
        <v>461</v>
      </c>
      <c r="G136" s="33" t="s">
        <v>462</v>
      </c>
      <c r="H136" s="130"/>
      <c r="I136" s="126" t="s">
        <v>455</v>
      </c>
      <c r="J136" s="32" t="s">
        <v>460</v>
      </c>
      <c r="K136" s="132" t="s">
        <v>459</v>
      </c>
      <c r="L136" s="128" t="s">
        <v>8</v>
      </c>
      <c r="M136" s="124"/>
    </row>
    <row r="137" spans="1:13">
      <c r="A137" s="155" t="s">
        <v>3050</v>
      </c>
      <c r="B137" s="51" t="s">
        <v>1959</v>
      </c>
      <c r="C137" s="32" t="s">
        <v>12</v>
      </c>
      <c r="D137" s="33" t="s">
        <v>1946</v>
      </c>
      <c r="E137" s="38" t="s">
        <v>1118</v>
      </c>
      <c r="F137" s="32" t="s">
        <v>464</v>
      </c>
      <c r="G137" s="33" t="s">
        <v>465</v>
      </c>
      <c r="H137" s="130" t="s">
        <v>1947</v>
      </c>
      <c r="I137" s="126" t="s">
        <v>455</v>
      </c>
      <c r="J137" s="32" t="s">
        <v>463</v>
      </c>
      <c r="K137" s="132" t="s">
        <v>459</v>
      </c>
      <c r="L137" s="128" t="s">
        <v>9</v>
      </c>
      <c r="M137" s="124"/>
    </row>
    <row r="138" spans="1:13">
      <c r="A138" s="155" t="s">
        <v>3050</v>
      </c>
      <c r="B138" s="51" t="s">
        <v>1959</v>
      </c>
      <c r="C138" s="32" t="s">
        <v>12</v>
      </c>
      <c r="D138" s="33" t="s">
        <v>8</v>
      </c>
      <c r="E138" s="38" t="s">
        <v>1119</v>
      </c>
      <c r="F138" s="32" t="s">
        <v>467</v>
      </c>
      <c r="G138" s="33" t="s">
        <v>468</v>
      </c>
      <c r="H138" s="130"/>
      <c r="I138" s="126" t="s">
        <v>455</v>
      </c>
      <c r="J138" s="32" t="s">
        <v>466</v>
      </c>
      <c r="K138" s="132" t="s">
        <v>459</v>
      </c>
      <c r="L138" s="128" t="s">
        <v>8</v>
      </c>
      <c r="M138" s="124"/>
    </row>
    <row r="139" spans="1:13">
      <c r="A139" s="155" t="s">
        <v>3050</v>
      </c>
      <c r="B139" s="51" t="s">
        <v>1959</v>
      </c>
      <c r="C139" s="32" t="s">
        <v>12</v>
      </c>
      <c r="D139" s="33" t="s">
        <v>8</v>
      </c>
      <c r="E139" s="38" t="s">
        <v>1120</v>
      </c>
      <c r="F139" s="32" t="s">
        <v>470</v>
      </c>
      <c r="G139" s="33" t="s">
        <v>471</v>
      </c>
      <c r="H139" s="130"/>
      <c r="I139" s="126" t="s">
        <v>455</v>
      </c>
      <c r="J139" s="32" t="s">
        <v>469</v>
      </c>
      <c r="K139" s="132" t="s">
        <v>459</v>
      </c>
      <c r="L139" s="128" t="s">
        <v>8</v>
      </c>
      <c r="M139" s="124"/>
    </row>
    <row r="140" spans="1:13">
      <c r="A140" s="155" t="s">
        <v>3050</v>
      </c>
      <c r="B140" s="51" t="s">
        <v>1957</v>
      </c>
      <c r="C140" s="32" t="s">
        <v>12</v>
      </c>
      <c r="D140" s="33" t="s">
        <v>1948</v>
      </c>
      <c r="E140" s="38" t="s">
        <v>1121</v>
      </c>
      <c r="F140" s="32" t="s">
        <v>474</v>
      </c>
      <c r="G140" s="33" t="s">
        <v>475</v>
      </c>
      <c r="H140" s="130" t="s">
        <v>1949</v>
      </c>
      <c r="I140" s="126" t="s">
        <v>472</v>
      </c>
      <c r="J140" s="32" t="s">
        <v>473</v>
      </c>
      <c r="K140" s="132" t="s">
        <v>476</v>
      </c>
      <c r="L140" s="128" t="s">
        <v>10</v>
      </c>
      <c r="M140" s="124"/>
    </row>
    <row r="141" spans="1:13">
      <c r="A141" s="155" t="s">
        <v>3050</v>
      </c>
      <c r="B141" s="51" t="s">
        <v>1957</v>
      </c>
      <c r="C141" s="32" t="s">
        <v>12</v>
      </c>
      <c r="D141" s="33" t="s">
        <v>1948</v>
      </c>
      <c r="E141" s="38" t="s">
        <v>1122</v>
      </c>
      <c r="F141" s="32" t="s">
        <v>478</v>
      </c>
      <c r="G141" s="33" t="s">
        <v>479</v>
      </c>
      <c r="H141" s="130" t="s">
        <v>1949</v>
      </c>
      <c r="I141" s="126" t="s">
        <v>472</v>
      </c>
      <c r="J141" s="32" t="s">
        <v>477</v>
      </c>
      <c r="K141" s="132" t="s">
        <v>476</v>
      </c>
      <c r="L141" s="128" t="s">
        <v>10</v>
      </c>
      <c r="M141" s="124"/>
    </row>
    <row r="142" spans="1:13">
      <c r="A142" s="155" t="s">
        <v>3050</v>
      </c>
      <c r="B142" s="51" t="s">
        <v>1957</v>
      </c>
      <c r="C142" s="32" t="s">
        <v>12</v>
      </c>
      <c r="D142" s="33" t="s">
        <v>1948</v>
      </c>
      <c r="E142" s="38" t="s">
        <v>1123</v>
      </c>
      <c r="F142" s="32" t="s">
        <v>481</v>
      </c>
      <c r="G142" s="33" t="s">
        <v>482</v>
      </c>
      <c r="H142" s="130" t="s">
        <v>1949</v>
      </c>
      <c r="I142" s="126" t="s">
        <v>472</v>
      </c>
      <c r="J142" s="32" t="s">
        <v>480</v>
      </c>
      <c r="K142" s="132" t="s">
        <v>476</v>
      </c>
      <c r="L142" s="128" t="s">
        <v>10</v>
      </c>
      <c r="M142" s="124"/>
    </row>
    <row r="143" spans="1:13">
      <c r="A143" s="155" t="s">
        <v>3050</v>
      </c>
      <c r="B143" s="51" t="s">
        <v>1957</v>
      </c>
      <c r="C143" s="32" t="s">
        <v>12</v>
      </c>
      <c r="D143" s="33" t="s">
        <v>1946</v>
      </c>
      <c r="E143" s="38" t="s">
        <v>1124</v>
      </c>
      <c r="F143" s="32" t="s">
        <v>484</v>
      </c>
      <c r="G143" s="33" t="s">
        <v>485</v>
      </c>
      <c r="H143" s="130" t="s">
        <v>1947</v>
      </c>
      <c r="I143" s="126" t="s">
        <v>472</v>
      </c>
      <c r="J143" s="32" t="s">
        <v>483</v>
      </c>
      <c r="K143" s="132" t="s">
        <v>476</v>
      </c>
      <c r="L143" s="128" t="s">
        <v>9</v>
      </c>
      <c r="M143" s="124"/>
    </row>
    <row r="144" spans="1:13">
      <c r="A144" s="155" t="s">
        <v>3050</v>
      </c>
      <c r="B144" s="51" t="s">
        <v>1957</v>
      </c>
      <c r="C144" s="32" t="s">
        <v>12</v>
      </c>
      <c r="D144" s="33" t="s">
        <v>1946</v>
      </c>
      <c r="E144" s="38" t="s">
        <v>1125</v>
      </c>
      <c r="F144" s="32" t="s">
        <v>487</v>
      </c>
      <c r="G144" s="33" t="s">
        <v>488</v>
      </c>
      <c r="H144" s="130" t="s">
        <v>1947</v>
      </c>
      <c r="I144" s="126" t="s">
        <v>472</v>
      </c>
      <c r="J144" s="32" t="s">
        <v>486</v>
      </c>
      <c r="K144" s="132" t="s">
        <v>476</v>
      </c>
      <c r="L144" s="128" t="s">
        <v>9</v>
      </c>
      <c r="M144" s="124"/>
    </row>
    <row r="145" spans="1:13">
      <c r="A145" s="155" t="s">
        <v>3050</v>
      </c>
      <c r="B145" s="51" t="s">
        <v>1957</v>
      </c>
      <c r="C145" s="32" t="s">
        <v>12</v>
      </c>
      <c r="D145" s="33" t="s">
        <v>1946</v>
      </c>
      <c r="E145" s="38" t="s">
        <v>1126</v>
      </c>
      <c r="F145" s="32" t="s">
        <v>490</v>
      </c>
      <c r="G145" s="33" t="s">
        <v>491</v>
      </c>
      <c r="H145" s="130" t="s">
        <v>1947</v>
      </c>
      <c r="I145" s="126" t="s">
        <v>472</v>
      </c>
      <c r="J145" s="32" t="s">
        <v>489</v>
      </c>
      <c r="K145" s="132" t="s">
        <v>476</v>
      </c>
      <c r="L145" s="128" t="s">
        <v>9</v>
      </c>
      <c r="M145" s="124"/>
    </row>
    <row r="146" spans="1:13">
      <c r="A146" s="155" t="s">
        <v>3050</v>
      </c>
      <c r="B146" s="51" t="s">
        <v>1957</v>
      </c>
      <c r="C146" s="32" t="s">
        <v>12</v>
      </c>
      <c r="D146" s="33" t="s">
        <v>1948</v>
      </c>
      <c r="E146" s="38" t="s">
        <v>1127</v>
      </c>
      <c r="F146" s="32" t="s">
        <v>493</v>
      </c>
      <c r="G146" s="33" t="s">
        <v>494</v>
      </c>
      <c r="H146" s="130" t="s">
        <v>1949</v>
      </c>
      <c r="I146" s="126" t="s">
        <v>472</v>
      </c>
      <c r="J146" s="32" t="s">
        <v>492</v>
      </c>
      <c r="K146" s="132" t="s">
        <v>476</v>
      </c>
      <c r="L146" s="128" t="s">
        <v>10</v>
      </c>
      <c r="M146" s="124"/>
    </row>
    <row r="147" spans="1:13">
      <c r="A147" s="155" t="s">
        <v>3050</v>
      </c>
      <c r="B147" s="51" t="s">
        <v>1957</v>
      </c>
      <c r="C147" s="32" t="s">
        <v>12</v>
      </c>
      <c r="D147" s="33" t="s">
        <v>1946</v>
      </c>
      <c r="E147" s="38" t="s">
        <v>1128</v>
      </c>
      <c r="F147" s="32" t="s">
        <v>496</v>
      </c>
      <c r="G147" s="33" t="s">
        <v>497</v>
      </c>
      <c r="H147" s="130" t="s">
        <v>1947</v>
      </c>
      <c r="I147" s="126" t="s">
        <v>472</v>
      </c>
      <c r="J147" s="32" t="s">
        <v>495</v>
      </c>
      <c r="K147" s="132" t="s">
        <v>476</v>
      </c>
      <c r="L147" s="128" t="s">
        <v>9</v>
      </c>
      <c r="M147" s="124"/>
    </row>
    <row r="148" spans="1:13">
      <c r="A148" s="155" t="s">
        <v>3050</v>
      </c>
      <c r="B148" s="51" t="s">
        <v>1960</v>
      </c>
      <c r="C148" s="32" t="s">
        <v>12</v>
      </c>
      <c r="D148" s="33" t="s">
        <v>1946</v>
      </c>
      <c r="E148" s="38" t="s">
        <v>1129</v>
      </c>
      <c r="F148" s="32" t="s">
        <v>500</v>
      </c>
      <c r="G148" s="33" t="s">
        <v>501</v>
      </c>
      <c r="H148" s="130" t="s">
        <v>1947</v>
      </c>
      <c r="I148" s="126" t="s">
        <v>498</v>
      </c>
      <c r="J148" s="32" t="s">
        <v>499</v>
      </c>
      <c r="K148" s="132" t="s">
        <v>502</v>
      </c>
      <c r="L148" s="128" t="s">
        <v>9</v>
      </c>
      <c r="M148" s="124"/>
    </row>
    <row r="149" spans="1:13">
      <c r="A149" s="155" t="s">
        <v>3050</v>
      </c>
      <c r="B149" s="51" t="s">
        <v>1960</v>
      </c>
      <c r="C149" s="32" t="s">
        <v>12</v>
      </c>
      <c r="D149" s="33" t="s">
        <v>1946</v>
      </c>
      <c r="E149" s="38" t="s">
        <v>1130</v>
      </c>
      <c r="F149" s="32" t="s">
        <v>504</v>
      </c>
      <c r="G149" s="33" t="s">
        <v>505</v>
      </c>
      <c r="H149" s="130" t="s">
        <v>1947</v>
      </c>
      <c r="I149" s="126" t="s">
        <v>498</v>
      </c>
      <c r="J149" s="32" t="s">
        <v>503</v>
      </c>
      <c r="K149" s="132" t="s">
        <v>502</v>
      </c>
      <c r="L149" s="128" t="s">
        <v>9</v>
      </c>
      <c r="M149" s="124"/>
    </row>
    <row r="150" spans="1:13">
      <c r="A150" s="155" t="s">
        <v>3050</v>
      </c>
      <c r="B150" s="51" t="s">
        <v>1960</v>
      </c>
      <c r="C150" s="32" t="s">
        <v>12</v>
      </c>
      <c r="D150" s="33" t="s">
        <v>1948</v>
      </c>
      <c r="E150" s="38" t="s">
        <v>1131</v>
      </c>
      <c r="F150" s="32" t="s">
        <v>507</v>
      </c>
      <c r="G150" s="33" t="s">
        <v>508</v>
      </c>
      <c r="H150" s="130" t="s">
        <v>1949</v>
      </c>
      <c r="I150" s="126" t="s">
        <v>498</v>
      </c>
      <c r="J150" s="32" t="s">
        <v>506</v>
      </c>
      <c r="K150" s="132" t="s">
        <v>502</v>
      </c>
      <c r="L150" s="128" t="s">
        <v>10</v>
      </c>
      <c r="M150" s="124"/>
    </row>
    <row r="151" spans="1:13">
      <c r="A151" s="155" t="s">
        <v>3050</v>
      </c>
      <c r="B151" s="51" t="s">
        <v>1960</v>
      </c>
      <c r="C151" s="32" t="s">
        <v>12</v>
      </c>
      <c r="D151" s="33" t="s">
        <v>1946</v>
      </c>
      <c r="E151" s="38" t="s">
        <v>1132</v>
      </c>
      <c r="F151" s="32" t="s">
        <v>510</v>
      </c>
      <c r="G151" s="33" t="s">
        <v>511</v>
      </c>
      <c r="H151" s="130" t="s">
        <v>1947</v>
      </c>
      <c r="I151" s="126" t="s">
        <v>498</v>
      </c>
      <c r="J151" s="32" t="s">
        <v>509</v>
      </c>
      <c r="K151" s="132" t="s">
        <v>502</v>
      </c>
      <c r="L151" s="128" t="s">
        <v>9</v>
      </c>
      <c r="M151" s="124"/>
    </row>
    <row r="152" spans="1:13">
      <c r="A152" s="155" t="s">
        <v>3050</v>
      </c>
      <c r="B152" s="51" t="s">
        <v>1960</v>
      </c>
      <c r="C152" s="32" t="s">
        <v>12</v>
      </c>
      <c r="D152" s="33" t="s">
        <v>1948</v>
      </c>
      <c r="E152" s="38" t="s">
        <v>1133</v>
      </c>
      <c r="F152" s="32" t="s">
        <v>514</v>
      </c>
      <c r="G152" s="33" t="s">
        <v>515</v>
      </c>
      <c r="H152" s="130" t="s">
        <v>1949</v>
      </c>
      <c r="I152" s="126" t="s">
        <v>512</v>
      </c>
      <c r="J152" s="32" t="s">
        <v>513</v>
      </c>
      <c r="K152" s="132" t="s">
        <v>516</v>
      </c>
      <c r="L152" s="128" t="s">
        <v>10</v>
      </c>
      <c r="M152" s="124"/>
    </row>
    <row r="153" spans="1:13">
      <c r="A153" s="155" t="s">
        <v>3050</v>
      </c>
      <c r="B153" s="51" t="s">
        <v>1960</v>
      </c>
      <c r="C153" s="32" t="s">
        <v>12</v>
      </c>
      <c r="D153" s="33" t="s">
        <v>1946</v>
      </c>
      <c r="E153" s="38" t="s">
        <v>1134</v>
      </c>
      <c r="F153" s="32" t="s">
        <v>518</v>
      </c>
      <c r="G153" s="33" t="s">
        <v>519</v>
      </c>
      <c r="H153" s="130" t="s">
        <v>1947</v>
      </c>
      <c r="I153" s="126" t="s">
        <v>512</v>
      </c>
      <c r="J153" s="32" t="s">
        <v>517</v>
      </c>
      <c r="K153" s="132" t="s">
        <v>516</v>
      </c>
      <c r="L153" s="128" t="s">
        <v>9</v>
      </c>
      <c r="M153" s="124"/>
    </row>
    <row r="154" spans="1:13">
      <c r="A154" s="155" t="s">
        <v>3050</v>
      </c>
      <c r="B154" s="51" t="s">
        <v>1960</v>
      </c>
      <c r="C154" s="32" t="s">
        <v>12</v>
      </c>
      <c r="D154" s="33" t="s">
        <v>1946</v>
      </c>
      <c r="E154" s="38" t="s">
        <v>1135</v>
      </c>
      <c r="F154" s="32" t="s">
        <v>521</v>
      </c>
      <c r="G154" s="33" t="s">
        <v>522</v>
      </c>
      <c r="H154" s="130" t="s">
        <v>1947</v>
      </c>
      <c r="I154" s="126" t="s">
        <v>512</v>
      </c>
      <c r="J154" s="32" t="s">
        <v>520</v>
      </c>
      <c r="K154" s="132" t="s">
        <v>516</v>
      </c>
      <c r="L154" s="128" t="s">
        <v>9</v>
      </c>
      <c r="M154" s="124"/>
    </row>
    <row r="155" spans="1:13">
      <c r="A155" s="155" t="s">
        <v>3050</v>
      </c>
      <c r="B155" s="51" t="s">
        <v>1960</v>
      </c>
      <c r="C155" s="32" t="s">
        <v>12</v>
      </c>
      <c r="D155" s="33" t="s">
        <v>1946</v>
      </c>
      <c r="E155" s="38" t="s">
        <v>1136</v>
      </c>
      <c r="F155" s="32" t="s">
        <v>524</v>
      </c>
      <c r="G155" s="33" t="s">
        <v>525</v>
      </c>
      <c r="H155" s="130" t="s">
        <v>1947</v>
      </c>
      <c r="I155" s="126" t="s">
        <v>512</v>
      </c>
      <c r="J155" s="32" t="s">
        <v>523</v>
      </c>
      <c r="K155" s="132" t="s">
        <v>516</v>
      </c>
      <c r="L155" s="128" t="s">
        <v>9</v>
      </c>
      <c r="M155" s="124"/>
    </row>
    <row r="156" spans="1:13">
      <c r="A156" s="155" t="s">
        <v>3050</v>
      </c>
      <c r="B156" s="51" t="s">
        <v>1960</v>
      </c>
      <c r="C156" s="32" t="s">
        <v>12</v>
      </c>
      <c r="D156" s="33" t="s">
        <v>1948</v>
      </c>
      <c r="E156" s="38" t="s">
        <v>1137</v>
      </c>
      <c r="F156" s="32" t="s">
        <v>528</v>
      </c>
      <c r="G156" s="33" t="s">
        <v>529</v>
      </c>
      <c r="H156" s="130" t="s">
        <v>1949</v>
      </c>
      <c r="I156" s="126" t="s">
        <v>526</v>
      </c>
      <c r="J156" s="32" t="s">
        <v>527</v>
      </c>
      <c r="K156" s="132" t="s">
        <v>530</v>
      </c>
      <c r="L156" s="128" t="s">
        <v>10</v>
      </c>
      <c r="M156" s="124"/>
    </row>
    <row r="157" spans="1:13">
      <c r="A157" s="155" t="s">
        <v>3050</v>
      </c>
      <c r="B157" s="51" t="s">
        <v>1960</v>
      </c>
      <c r="C157" s="32" t="s">
        <v>12</v>
      </c>
      <c r="D157" s="33" t="s">
        <v>1946</v>
      </c>
      <c r="E157" s="38" t="s">
        <v>1138</v>
      </c>
      <c r="F157" s="32" t="s">
        <v>532</v>
      </c>
      <c r="G157" s="33" t="s">
        <v>533</v>
      </c>
      <c r="H157" s="130" t="s">
        <v>1947</v>
      </c>
      <c r="I157" s="126" t="s">
        <v>526</v>
      </c>
      <c r="J157" s="32" t="s">
        <v>531</v>
      </c>
      <c r="K157" s="132" t="s">
        <v>530</v>
      </c>
      <c r="L157" s="128" t="s">
        <v>9</v>
      </c>
      <c r="M157" s="124"/>
    </row>
    <row r="158" spans="1:13">
      <c r="A158" s="155" t="s">
        <v>3050</v>
      </c>
      <c r="B158" s="51" t="s">
        <v>1960</v>
      </c>
      <c r="C158" s="32" t="s">
        <v>12</v>
      </c>
      <c r="D158" s="33" t="s">
        <v>1948</v>
      </c>
      <c r="E158" s="38" t="s">
        <v>1139</v>
      </c>
      <c r="F158" s="32" t="s">
        <v>535</v>
      </c>
      <c r="G158" s="33" t="s">
        <v>536</v>
      </c>
      <c r="H158" s="130" t="s">
        <v>1949</v>
      </c>
      <c r="I158" s="126" t="s">
        <v>526</v>
      </c>
      <c r="J158" s="32" t="s">
        <v>534</v>
      </c>
      <c r="K158" s="132" t="s">
        <v>530</v>
      </c>
      <c r="L158" s="128" t="s">
        <v>10</v>
      </c>
      <c r="M158" s="124"/>
    </row>
    <row r="159" spans="1:13">
      <c r="A159" s="155" t="s">
        <v>3050</v>
      </c>
      <c r="B159" s="51" t="s">
        <v>1961</v>
      </c>
      <c r="C159" s="32" t="s">
        <v>12</v>
      </c>
      <c r="D159" s="33" t="s">
        <v>1946</v>
      </c>
      <c r="E159" s="38" t="s">
        <v>1140</v>
      </c>
      <c r="F159" s="32" t="s">
        <v>539</v>
      </c>
      <c r="G159" s="33" t="s">
        <v>437</v>
      </c>
      <c r="H159" s="130" t="s">
        <v>1947</v>
      </c>
      <c r="I159" s="126" t="s">
        <v>537</v>
      </c>
      <c r="J159" s="32" t="s">
        <v>538</v>
      </c>
      <c r="K159" s="132" t="s">
        <v>540</v>
      </c>
      <c r="L159" s="128" t="s">
        <v>9</v>
      </c>
      <c r="M159" s="124"/>
    </row>
    <row r="160" spans="1:13">
      <c r="A160" s="155" t="s">
        <v>3050</v>
      </c>
      <c r="B160" s="51" t="s">
        <v>1961</v>
      </c>
      <c r="C160" s="32" t="s">
        <v>12</v>
      </c>
      <c r="D160" s="33" t="s">
        <v>1948</v>
      </c>
      <c r="E160" s="38" t="s">
        <v>1141</v>
      </c>
      <c r="F160" s="32" t="s">
        <v>542</v>
      </c>
      <c r="G160" s="33" t="s">
        <v>543</v>
      </c>
      <c r="H160" s="130" t="s">
        <v>1949</v>
      </c>
      <c r="I160" s="126" t="s">
        <v>537</v>
      </c>
      <c r="J160" s="32" t="s">
        <v>541</v>
      </c>
      <c r="K160" s="132" t="s">
        <v>540</v>
      </c>
      <c r="L160" s="128" t="s">
        <v>10</v>
      </c>
      <c r="M160" s="124"/>
    </row>
    <row r="161" spans="1:13">
      <c r="A161" s="155" t="s">
        <v>3050</v>
      </c>
      <c r="B161" s="51" t="s">
        <v>1961</v>
      </c>
      <c r="C161" s="32" t="s">
        <v>12</v>
      </c>
      <c r="D161" s="33" t="s">
        <v>1948</v>
      </c>
      <c r="E161" s="38" t="s">
        <v>1142</v>
      </c>
      <c r="F161" s="32" t="s">
        <v>545</v>
      </c>
      <c r="G161" s="33" t="s">
        <v>546</v>
      </c>
      <c r="H161" s="130" t="s">
        <v>1949</v>
      </c>
      <c r="I161" s="126" t="s">
        <v>537</v>
      </c>
      <c r="J161" s="32" t="s">
        <v>544</v>
      </c>
      <c r="K161" s="132" t="s">
        <v>540</v>
      </c>
      <c r="L161" s="128" t="s">
        <v>10</v>
      </c>
      <c r="M161" s="124"/>
    </row>
    <row r="162" spans="1:13">
      <c r="A162" s="155" t="s">
        <v>3050</v>
      </c>
      <c r="B162" s="51" t="s">
        <v>1961</v>
      </c>
      <c r="C162" s="32" t="s">
        <v>12</v>
      </c>
      <c r="D162" s="33" t="s">
        <v>1948</v>
      </c>
      <c r="E162" s="38" t="s">
        <v>1143</v>
      </c>
      <c r="F162" s="32" t="s">
        <v>549</v>
      </c>
      <c r="G162" s="33" t="s">
        <v>550</v>
      </c>
      <c r="H162" s="130" t="s">
        <v>1949</v>
      </c>
      <c r="I162" s="126" t="s">
        <v>547</v>
      </c>
      <c r="J162" s="32" t="s">
        <v>548</v>
      </c>
      <c r="K162" s="132" t="s">
        <v>551</v>
      </c>
      <c r="L162" s="128" t="s">
        <v>10</v>
      </c>
      <c r="M162" s="124"/>
    </row>
    <row r="163" spans="1:13">
      <c r="A163" s="155" t="s">
        <v>3050</v>
      </c>
      <c r="B163" s="51" t="s">
        <v>1961</v>
      </c>
      <c r="C163" s="32" t="s">
        <v>12</v>
      </c>
      <c r="D163" s="33" t="s">
        <v>1948</v>
      </c>
      <c r="E163" s="38" t="s">
        <v>1144</v>
      </c>
      <c r="F163" s="32" t="s">
        <v>553</v>
      </c>
      <c r="G163" s="33" t="s">
        <v>550</v>
      </c>
      <c r="H163" s="130" t="s">
        <v>1949</v>
      </c>
      <c r="I163" s="126" t="s">
        <v>547</v>
      </c>
      <c r="J163" s="32" t="s">
        <v>552</v>
      </c>
      <c r="K163" s="132" t="s">
        <v>551</v>
      </c>
      <c r="L163" s="128" t="s">
        <v>10</v>
      </c>
      <c r="M163" s="124"/>
    </row>
    <row r="164" spans="1:13">
      <c r="A164" s="155" t="s">
        <v>3050</v>
      </c>
      <c r="B164" s="51" t="s">
        <v>1961</v>
      </c>
      <c r="C164" s="32" t="s">
        <v>12</v>
      </c>
      <c r="D164" s="33" t="s">
        <v>1948</v>
      </c>
      <c r="E164" s="38" t="s">
        <v>1145</v>
      </c>
      <c r="F164" s="32" t="s">
        <v>555</v>
      </c>
      <c r="G164" s="33" t="s">
        <v>556</v>
      </c>
      <c r="H164" s="130" t="s">
        <v>1949</v>
      </c>
      <c r="I164" s="126" t="s">
        <v>547</v>
      </c>
      <c r="J164" s="32" t="s">
        <v>554</v>
      </c>
      <c r="K164" s="132" t="s">
        <v>551</v>
      </c>
      <c r="L164" s="128" t="s">
        <v>10</v>
      </c>
      <c r="M164" s="124"/>
    </row>
    <row r="165" spans="1:13">
      <c r="A165" s="155" t="s">
        <v>3050</v>
      </c>
      <c r="B165" s="51" t="s">
        <v>1961</v>
      </c>
      <c r="C165" s="32" t="s">
        <v>12</v>
      </c>
      <c r="D165" s="33" t="s">
        <v>1948</v>
      </c>
      <c r="E165" s="38" t="s">
        <v>1146</v>
      </c>
      <c r="F165" s="32" t="s">
        <v>558</v>
      </c>
      <c r="G165" s="33" t="s">
        <v>559</v>
      </c>
      <c r="H165" s="130" t="s">
        <v>1949</v>
      </c>
      <c r="I165" s="126" t="s">
        <v>547</v>
      </c>
      <c r="J165" s="32" t="s">
        <v>557</v>
      </c>
      <c r="K165" s="132" t="s">
        <v>551</v>
      </c>
      <c r="L165" s="128" t="s">
        <v>10</v>
      </c>
      <c r="M165" s="124"/>
    </row>
    <row r="166" spans="1:13">
      <c r="A166" s="155" t="s">
        <v>3050</v>
      </c>
      <c r="B166" s="51" t="s">
        <v>1961</v>
      </c>
      <c r="C166" s="32" t="s">
        <v>12</v>
      </c>
      <c r="D166" s="33" t="s">
        <v>1948</v>
      </c>
      <c r="E166" s="38" t="s">
        <v>1147</v>
      </c>
      <c r="F166" s="32" t="s">
        <v>561</v>
      </c>
      <c r="G166" s="33" t="s">
        <v>562</v>
      </c>
      <c r="H166" s="130" t="s">
        <v>1949</v>
      </c>
      <c r="I166" s="126" t="s">
        <v>547</v>
      </c>
      <c r="J166" s="32" t="s">
        <v>560</v>
      </c>
      <c r="K166" s="132" t="s">
        <v>551</v>
      </c>
      <c r="L166" s="128" t="s">
        <v>10</v>
      </c>
      <c r="M166" s="124"/>
    </row>
    <row r="167" spans="1:13">
      <c r="A167" s="155" t="s">
        <v>3050</v>
      </c>
      <c r="B167" s="51" t="s">
        <v>1961</v>
      </c>
      <c r="C167" s="32" t="s">
        <v>12</v>
      </c>
      <c r="D167" s="33" t="s">
        <v>1946</v>
      </c>
      <c r="E167" s="38" t="s">
        <v>1148</v>
      </c>
      <c r="F167" s="32" t="s">
        <v>564</v>
      </c>
      <c r="G167" s="33" t="s">
        <v>565</v>
      </c>
      <c r="H167" s="130" t="s">
        <v>1947</v>
      </c>
      <c r="I167" s="126" t="s">
        <v>547</v>
      </c>
      <c r="J167" s="32" t="s">
        <v>563</v>
      </c>
      <c r="K167" s="132" t="s">
        <v>551</v>
      </c>
      <c r="L167" s="128" t="s">
        <v>9</v>
      </c>
      <c r="M167" s="124"/>
    </row>
    <row r="168" spans="1:13">
      <c r="A168" s="155" t="s">
        <v>3050</v>
      </c>
      <c r="B168" s="51" t="s">
        <v>1961</v>
      </c>
      <c r="C168" s="32" t="s">
        <v>12</v>
      </c>
      <c r="D168" s="33" t="s">
        <v>1946</v>
      </c>
      <c r="E168" s="38" t="s">
        <v>1149</v>
      </c>
      <c r="F168" s="32" t="s">
        <v>568</v>
      </c>
      <c r="G168" s="33" t="s">
        <v>3473</v>
      </c>
      <c r="H168" s="130" t="s">
        <v>1947</v>
      </c>
      <c r="I168" s="126" t="s">
        <v>566</v>
      </c>
      <c r="J168" s="32" t="s">
        <v>567</v>
      </c>
      <c r="K168" s="132" t="s">
        <v>569</v>
      </c>
      <c r="L168" s="128" t="s">
        <v>9</v>
      </c>
      <c r="M168" s="124"/>
    </row>
    <row r="169" spans="1:13">
      <c r="A169" s="155" t="s">
        <v>3050</v>
      </c>
      <c r="B169" s="51" t="s">
        <v>1961</v>
      </c>
      <c r="C169" s="32" t="s">
        <v>12</v>
      </c>
      <c r="D169" s="33" t="s">
        <v>1946</v>
      </c>
      <c r="E169" s="38" t="s">
        <v>1150</v>
      </c>
      <c r="F169" s="32" t="s">
        <v>571</v>
      </c>
      <c r="G169" s="33" t="s">
        <v>572</v>
      </c>
      <c r="H169" s="130" t="s">
        <v>1947</v>
      </c>
      <c r="I169" s="126" t="s">
        <v>566</v>
      </c>
      <c r="J169" s="32" t="s">
        <v>570</v>
      </c>
      <c r="K169" s="132" t="s">
        <v>569</v>
      </c>
      <c r="L169" s="128" t="s">
        <v>9</v>
      </c>
      <c r="M169" s="124"/>
    </row>
    <row r="170" spans="1:13">
      <c r="A170" s="155" t="s">
        <v>3050</v>
      </c>
      <c r="B170" s="51" t="s">
        <v>1962</v>
      </c>
      <c r="C170" s="32" t="s">
        <v>12</v>
      </c>
      <c r="D170" s="33" t="s">
        <v>8</v>
      </c>
      <c r="E170" s="38" t="s">
        <v>1151</v>
      </c>
      <c r="F170" s="32" t="s">
        <v>575</v>
      </c>
      <c r="G170" s="33" t="s">
        <v>576</v>
      </c>
      <c r="H170" s="130"/>
      <c r="I170" s="126" t="s">
        <v>573</v>
      </c>
      <c r="J170" s="32" t="s">
        <v>574</v>
      </c>
      <c r="K170" s="132" t="s">
        <v>577</v>
      </c>
      <c r="L170" s="128" t="s">
        <v>8</v>
      </c>
      <c r="M170" s="124"/>
    </row>
    <row r="171" spans="1:13">
      <c r="A171" s="155" t="s">
        <v>3050</v>
      </c>
      <c r="B171" s="51" t="s">
        <v>1962</v>
      </c>
      <c r="C171" s="32" t="s">
        <v>12</v>
      </c>
      <c r="D171" s="33" t="s">
        <v>8</v>
      </c>
      <c r="E171" s="38" t="s">
        <v>1152</v>
      </c>
      <c r="F171" s="32" t="s">
        <v>579</v>
      </c>
      <c r="G171" s="33" t="s">
        <v>580</v>
      </c>
      <c r="H171" s="130"/>
      <c r="I171" s="126" t="s">
        <v>573</v>
      </c>
      <c r="J171" s="32" t="s">
        <v>578</v>
      </c>
      <c r="K171" s="132" t="s">
        <v>577</v>
      </c>
      <c r="L171" s="128" t="s">
        <v>8</v>
      </c>
      <c r="M171" s="124"/>
    </row>
    <row r="172" spans="1:13">
      <c r="A172" s="155" t="s">
        <v>3050</v>
      </c>
      <c r="B172" s="51" t="s">
        <v>1962</v>
      </c>
      <c r="C172" s="32" t="s">
        <v>12</v>
      </c>
      <c r="D172" s="33" t="s">
        <v>8</v>
      </c>
      <c r="E172" s="38" t="s">
        <v>1153</v>
      </c>
      <c r="F172" s="32" t="s">
        <v>582</v>
      </c>
      <c r="G172" s="33" t="s">
        <v>583</v>
      </c>
      <c r="H172" s="130"/>
      <c r="I172" s="126" t="s">
        <v>573</v>
      </c>
      <c r="J172" s="32" t="s">
        <v>581</v>
      </c>
      <c r="K172" s="132" t="s">
        <v>577</v>
      </c>
      <c r="L172" s="128" t="s">
        <v>8</v>
      </c>
      <c r="M172" s="124"/>
    </row>
    <row r="173" spans="1:13">
      <c r="A173" s="155" t="s">
        <v>3050</v>
      </c>
      <c r="B173" s="51" t="s">
        <v>1962</v>
      </c>
      <c r="C173" s="32" t="s">
        <v>12</v>
      </c>
      <c r="D173" s="33" t="s">
        <v>1946</v>
      </c>
      <c r="E173" s="38" t="s">
        <v>1154</v>
      </c>
      <c r="F173" s="32" t="s">
        <v>585</v>
      </c>
      <c r="G173" s="33" t="s">
        <v>586</v>
      </c>
      <c r="H173" s="130" t="s">
        <v>1947</v>
      </c>
      <c r="I173" s="126" t="s">
        <v>573</v>
      </c>
      <c r="J173" s="32" t="s">
        <v>584</v>
      </c>
      <c r="K173" s="132" t="s">
        <v>577</v>
      </c>
      <c r="L173" s="128" t="s">
        <v>9</v>
      </c>
      <c r="M173" s="124"/>
    </row>
    <row r="174" spans="1:13">
      <c r="A174" s="155" t="s">
        <v>3050</v>
      </c>
      <c r="B174" s="51" t="s">
        <v>1962</v>
      </c>
      <c r="C174" s="32" t="s">
        <v>12</v>
      </c>
      <c r="D174" s="33" t="s">
        <v>8</v>
      </c>
      <c r="E174" s="38" t="s">
        <v>1155</v>
      </c>
      <c r="F174" s="32" t="s">
        <v>588</v>
      </c>
      <c r="G174" s="33" t="s">
        <v>589</v>
      </c>
      <c r="H174" s="130"/>
      <c r="I174" s="126" t="s">
        <v>573</v>
      </c>
      <c r="J174" s="32" t="s">
        <v>587</v>
      </c>
      <c r="K174" s="132" t="s">
        <v>577</v>
      </c>
      <c r="L174" s="128" t="s">
        <v>8</v>
      </c>
      <c r="M174" s="124"/>
    </row>
    <row r="175" spans="1:13">
      <c r="A175" s="155" t="s">
        <v>3050</v>
      </c>
      <c r="B175" s="51" t="s">
        <v>1962</v>
      </c>
      <c r="C175" s="32" t="s">
        <v>12</v>
      </c>
      <c r="D175" s="33" t="s">
        <v>1946</v>
      </c>
      <c r="E175" s="38" t="s">
        <v>1156</v>
      </c>
      <c r="F175" s="32" t="s">
        <v>591</v>
      </c>
      <c r="G175" s="33" t="s">
        <v>592</v>
      </c>
      <c r="H175" s="130" t="s">
        <v>1947</v>
      </c>
      <c r="I175" s="126" t="s">
        <v>573</v>
      </c>
      <c r="J175" s="32" t="s">
        <v>590</v>
      </c>
      <c r="K175" s="132" t="s">
        <v>577</v>
      </c>
      <c r="L175" s="128" t="s">
        <v>9</v>
      </c>
      <c r="M175" s="124"/>
    </row>
    <row r="176" spans="1:13">
      <c r="A176" s="155" t="s">
        <v>3050</v>
      </c>
      <c r="B176" s="51" t="s">
        <v>1962</v>
      </c>
      <c r="C176" s="32" t="s">
        <v>12</v>
      </c>
      <c r="D176" s="33" t="s">
        <v>1948</v>
      </c>
      <c r="E176" s="38" t="s">
        <v>1157</v>
      </c>
      <c r="F176" s="32" t="s">
        <v>594</v>
      </c>
      <c r="G176" s="33" t="s">
        <v>595</v>
      </c>
      <c r="H176" s="130" t="s">
        <v>1949</v>
      </c>
      <c r="I176" s="126" t="s">
        <v>573</v>
      </c>
      <c r="J176" s="32" t="s">
        <v>593</v>
      </c>
      <c r="K176" s="132" t="s">
        <v>577</v>
      </c>
      <c r="L176" s="128" t="s">
        <v>10</v>
      </c>
      <c r="M176" s="124"/>
    </row>
    <row r="177" spans="1:13">
      <c r="A177" s="155" t="s">
        <v>3050</v>
      </c>
      <c r="B177" s="51" t="s">
        <v>1962</v>
      </c>
      <c r="C177" s="32" t="s">
        <v>12</v>
      </c>
      <c r="D177" s="33" t="s">
        <v>8</v>
      </c>
      <c r="E177" s="38" t="s">
        <v>1158</v>
      </c>
      <c r="F177" s="32" t="s">
        <v>597</v>
      </c>
      <c r="G177" s="33" t="s">
        <v>598</v>
      </c>
      <c r="H177" s="130"/>
      <c r="I177" s="126" t="s">
        <v>573</v>
      </c>
      <c r="J177" s="32" t="s">
        <v>596</v>
      </c>
      <c r="K177" s="132" t="s">
        <v>577</v>
      </c>
      <c r="L177" s="128" t="s">
        <v>8</v>
      </c>
      <c r="M177" s="124"/>
    </row>
    <row r="178" spans="1:13">
      <c r="A178" s="155" t="s">
        <v>3050</v>
      </c>
      <c r="B178" s="51" t="s">
        <v>1962</v>
      </c>
      <c r="C178" s="32" t="s">
        <v>12</v>
      </c>
      <c r="D178" s="33" t="s">
        <v>8</v>
      </c>
      <c r="E178" s="38" t="s">
        <v>1159</v>
      </c>
      <c r="F178" s="32" t="s">
        <v>600</v>
      </c>
      <c r="G178" s="33" t="s">
        <v>601</v>
      </c>
      <c r="H178" s="130"/>
      <c r="I178" s="126" t="s">
        <v>573</v>
      </c>
      <c r="J178" s="32" t="s">
        <v>599</v>
      </c>
      <c r="K178" s="132" t="s">
        <v>577</v>
      </c>
      <c r="L178" s="128" t="s">
        <v>8</v>
      </c>
      <c r="M178" s="124"/>
    </row>
    <row r="179" spans="1:13">
      <c r="A179" s="155" t="s">
        <v>3050</v>
      </c>
      <c r="B179" s="51" t="s">
        <v>1962</v>
      </c>
      <c r="C179" s="32" t="s">
        <v>12</v>
      </c>
      <c r="D179" s="33" t="s">
        <v>8</v>
      </c>
      <c r="E179" s="38" t="s">
        <v>1160</v>
      </c>
      <c r="F179" s="32" t="s">
        <v>603</v>
      </c>
      <c r="G179" s="33" t="s">
        <v>604</v>
      </c>
      <c r="H179" s="130"/>
      <c r="I179" s="126" t="s">
        <v>573</v>
      </c>
      <c r="J179" s="32" t="s">
        <v>602</v>
      </c>
      <c r="K179" s="132" t="s">
        <v>577</v>
      </c>
      <c r="L179" s="128" t="s">
        <v>8</v>
      </c>
      <c r="M179" s="124"/>
    </row>
    <row r="180" spans="1:13">
      <c r="A180" s="155" t="s">
        <v>3050</v>
      </c>
      <c r="B180" s="51" t="s">
        <v>1962</v>
      </c>
      <c r="C180" s="32" t="s">
        <v>12</v>
      </c>
      <c r="D180" s="33" t="s">
        <v>8</v>
      </c>
      <c r="E180" s="38" t="s">
        <v>1161</v>
      </c>
      <c r="F180" s="32" t="s">
        <v>606</v>
      </c>
      <c r="G180" s="33" t="s">
        <v>607</v>
      </c>
      <c r="H180" s="130"/>
      <c r="I180" s="126" t="s">
        <v>573</v>
      </c>
      <c r="J180" s="32" t="s">
        <v>605</v>
      </c>
      <c r="K180" s="132" t="s">
        <v>577</v>
      </c>
      <c r="L180" s="128" t="s">
        <v>8</v>
      </c>
      <c r="M180" s="124"/>
    </row>
    <row r="181" spans="1:13">
      <c r="A181" s="155" t="s">
        <v>3050</v>
      </c>
      <c r="B181" s="51" t="s">
        <v>1963</v>
      </c>
      <c r="C181" s="32" t="s">
        <v>12</v>
      </c>
      <c r="D181" s="33" t="s">
        <v>1948</v>
      </c>
      <c r="E181" s="38" t="s">
        <v>1162</v>
      </c>
      <c r="F181" s="32" t="s">
        <v>610</v>
      </c>
      <c r="G181" s="33" t="s">
        <v>611</v>
      </c>
      <c r="H181" s="130" t="s">
        <v>1949</v>
      </c>
      <c r="I181" s="126" t="s">
        <v>608</v>
      </c>
      <c r="J181" s="32" t="s">
        <v>609</v>
      </c>
      <c r="K181" s="132" t="s">
        <v>612</v>
      </c>
      <c r="L181" s="128" t="s">
        <v>10</v>
      </c>
      <c r="M181" s="124"/>
    </row>
    <row r="182" spans="1:13">
      <c r="A182" s="155" t="s">
        <v>3050</v>
      </c>
      <c r="B182" s="51" t="s">
        <v>1963</v>
      </c>
      <c r="C182" s="32" t="s">
        <v>12</v>
      </c>
      <c r="D182" s="33" t="s">
        <v>1948</v>
      </c>
      <c r="E182" s="38" t="s">
        <v>1163</v>
      </c>
      <c r="F182" s="32" t="s">
        <v>614</v>
      </c>
      <c r="G182" s="33" t="s">
        <v>615</v>
      </c>
      <c r="H182" s="130" t="s">
        <v>1949</v>
      </c>
      <c r="I182" s="126" t="s">
        <v>608</v>
      </c>
      <c r="J182" s="32" t="s">
        <v>613</v>
      </c>
      <c r="K182" s="132" t="s">
        <v>612</v>
      </c>
      <c r="L182" s="128" t="s">
        <v>10</v>
      </c>
      <c r="M182" s="124"/>
    </row>
    <row r="183" spans="1:13">
      <c r="A183" s="155" t="s">
        <v>3050</v>
      </c>
      <c r="B183" s="51" t="s">
        <v>1963</v>
      </c>
      <c r="C183" s="32" t="s">
        <v>12</v>
      </c>
      <c r="D183" s="33" t="s">
        <v>8</v>
      </c>
      <c r="E183" s="38" t="s">
        <v>1164</v>
      </c>
      <c r="F183" s="32" t="s">
        <v>617</v>
      </c>
      <c r="G183" s="33" t="s">
        <v>618</v>
      </c>
      <c r="H183" s="130"/>
      <c r="I183" s="126" t="s">
        <v>608</v>
      </c>
      <c r="J183" s="32" t="s">
        <v>616</v>
      </c>
      <c r="K183" s="132" t="s">
        <v>612</v>
      </c>
      <c r="L183" s="128" t="s">
        <v>8</v>
      </c>
      <c r="M183" s="124"/>
    </row>
    <row r="184" spans="1:13">
      <c r="A184" s="155" t="s">
        <v>3050</v>
      </c>
      <c r="B184" s="51" t="s">
        <v>1963</v>
      </c>
      <c r="C184" s="32" t="s">
        <v>12</v>
      </c>
      <c r="D184" s="33" t="s">
        <v>1946</v>
      </c>
      <c r="E184" s="38" t="s">
        <v>1165</v>
      </c>
      <c r="F184" s="32" t="s">
        <v>620</v>
      </c>
      <c r="G184" s="33" t="s">
        <v>621</v>
      </c>
      <c r="H184" s="130" t="s">
        <v>1947</v>
      </c>
      <c r="I184" s="126" t="s">
        <v>608</v>
      </c>
      <c r="J184" s="32" t="s">
        <v>619</v>
      </c>
      <c r="K184" s="132" t="s">
        <v>612</v>
      </c>
      <c r="L184" s="128" t="s">
        <v>9</v>
      </c>
      <c r="M184" s="124"/>
    </row>
    <row r="185" spans="1:13">
      <c r="A185" s="155" t="s">
        <v>3050</v>
      </c>
      <c r="B185" s="51" t="s">
        <v>1963</v>
      </c>
      <c r="C185" s="32" t="s">
        <v>12</v>
      </c>
      <c r="D185" s="33" t="s">
        <v>1946</v>
      </c>
      <c r="E185" s="38" t="s">
        <v>1166</v>
      </c>
      <c r="F185" s="32" t="s">
        <v>623</v>
      </c>
      <c r="G185" s="33" t="s">
        <v>624</v>
      </c>
      <c r="H185" s="130" t="s">
        <v>1947</v>
      </c>
      <c r="I185" s="126" t="s">
        <v>608</v>
      </c>
      <c r="J185" s="32" t="s">
        <v>622</v>
      </c>
      <c r="K185" s="132" t="s">
        <v>612</v>
      </c>
      <c r="L185" s="128" t="s">
        <v>9</v>
      </c>
      <c r="M185" s="124"/>
    </row>
    <row r="186" spans="1:13">
      <c r="A186" s="155" t="s">
        <v>3051</v>
      </c>
      <c r="B186" s="51" t="s">
        <v>1964</v>
      </c>
      <c r="C186" s="32" t="s">
        <v>1818</v>
      </c>
      <c r="D186" s="33" t="s">
        <v>8</v>
      </c>
      <c r="E186" s="38" t="s">
        <v>1167</v>
      </c>
      <c r="F186" s="32" t="s">
        <v>627</v>
      </c>
      <c r="G186" s="33" t="s">
        <v>628</v>
      </c>
      <c r="H186" s="130"/>
      <c r="I186" s="126" t="s">
        <v>625</v>
      </c>
      <c r="J186" s="32" t="s">
        <v>626</v>
      </c>
      <c r="K186" s="132" t="s">
        <v>629</v>
      </c>
      <c r="L186" s="128" t="s">
        <v>8</v>
      </c>
      <c r="M186" s="124"/>
    </row>
    <row r="187" spans="1:13">
      <c r="A187" s="155" t="s">
        <v>3051</v>
      </c>
      <c r="B187" s="51" t="s">
        <v>1958</v>
      </c>
      <c r="C187" s="32" t="s">
        <v>1818</v>
      </c>
      <c r="D187" s="33" t="s">
        <v>8</v>
      </c>
      <c r="E187" s="38" t="s">
        <v>1168</v>
      </c>
      <c r="F187" s="32" t="s">
        <v>632</v>
      </c>
      <c r="G187" s="33" t="s">
        <v>633</v>
      </c>
      <c r="H187" s="130"/>
      <c r="I187" s="126" t="s">
        <v>630</v>
      </c>
      <c r="J187" s="32" t="s">
        <v>631</v>
      </c>
      <c r="K187" s="132" t="s">
        <v>629</v>
      </c>
      <c r="L187" s="128" t="s">
        <v>8</v>
      </c>
      <c r="M187" s="124"/>
    </row>
    <row r="188" spans="1:13">
      <c r="A188" s="155" t="s">
        <v>3051</v>
      </c>
      <c r="B188" s="51" t="s">
        <v>1961</v>
      </c>
      <c r="C188" s="32" t="s">
        <v>1818</v>
      </c>
      <c r="D188" s="33" t="s">
        <v>8</v>
      </c>
      <c r="E188" s="38" t="s">
        <v>1169</v>
      </c>
      <c r="F188" s="32" t="s">
        <v>636</v>
      </c>
      <c r="G188" s="33" t="s">
        <v>637</v>
      </c>
      <c r="H188" s="130"/>
      <c r="I188" s="126" t="s">
        <v>634</v>
      </c>
      <c r="J188" s="32" t="s">
        <v>635</v>
      </c>
      <c r="K188" s="132" t="s">
        <v>638</v>
      </c>
      <c r="L188" s="128" t="s">
        <v>8</v>
      </c>
      <c r="M188" s="124"/>
    </row>
    <row r="189" spans="1:13">
      <c r="A189" s="155" t="s">
        <v>3051</v>
      </c>
      <c r="B189" s="51" t="s">
        <v>1957</v>
      </c>
      <c r="C189" s="32" t="s">
        <v>1818</v>
      </c>
      <c r="D189" s="33" t="s">
        <v>1946</v>
      </c>
      <c r="E189" s="38" t="s">
        <v>1170</v>
      </c>
      <c r="F189" s="32" t="s">
        <v>641</v>
      </c>
      <c r="G189" s="33" t="s">
        <v>642</v>
      </c>
      <c r="H189" s="130" t="s">
        <v>1965</v>
      </c>
      <c r="I189" s="126" t="s">
        <v>639</v>
      </c>
      <c r="J189" s="32" t="s">
        <v>640</v>
      </c>
      <c r="K189" s="132" t="s">
        <v>629</v>
      </c>
      <c r="L189" s="128" t="s">
        <v>9</v>
      </c>
      <c r="M189" s="124"/>
    </row>
    <row r="190" spans="1:13">
      <c r="A190" s="155" t="s">
        <v>3051</v>
      </c>
      <c r="B190" s="51" t="s">
        <v>1957</v>
      </c>
      <c r="C190" s="32" t="s">
        <v>1818</v>
      </c>
      <c r="D190" s="33" t="s">
        <v>8</v>
      </c>
      <c r="E190" s="38" t="s">
        <v>1171</v>
      </c>
      <c r="F190" s="32" t="s">
        <v>645</v>
      </c>
      <c r="G190" s="33" t="s">
        <v>646</v>
      </c>
      <c r="H190" s="130"/>
      <c r="I190" s="126" t="s">
        <v>643</v>
      </c>
      <c r="J190" s="32" t="s">
        <v>644</v>
      </c>
      <c r="K190" s="132" t="s">
        <v>638</v>
      </c>
      <c r="L190" s="128" t="s">
        <v>8</v>
      </c>
      <c r="M190" s="124"/>
    </row>
    <row r="191" spans="1:13">
      <c r="A191" s="155" t="s">
        <v>3051</v>
      </c>
      <c r="B191" s="51" t="s">
        <v>1953</v>
      </c>
      <c r="C191" s="32" t="s">
        <v>1818</v>
      </c>
      <c r="D191" s="33" t="s">
        <v>8</v>
      </c>
      <c r="E191" s="38" t="s">
        <v>1172</v>
      </c>
      <c r="F191" s="32" t="s">
        <v>649</v>
      </c>
      <c r="G191" s="33" t="s">
        <v>650</v>
      </c>
      <c r="H191" s="130"/>
      <c r="I191" s="126" t="s">
        <v>647</v>
      </c>
      <c r="J191" s="32" t="s">
        <v>648</v>
      </c>
      <c r="K191" s="132" t="s">
        <v>629</v>
      </c>
      <c r="L191" s="128" t="s">
        <v>8</v>
      </c>
      <c r="M191" s="124"/>
    </row>
    <row r="192" spans="1:13">
      <c r="A192" s="155" t="s">
        <v>3051</v>
      </c>
      <c r="B192" s="51" t="s">
        <v>1954</v>
      </c>
      <c r="C192" s="32" t="s">
        <v>1818</v>
      </c>
      <c r="D192" s="33" t="s">
        <v>8</v>
      </c>
      <c r="E192" s="38" t="s">
        <v>1173</v>
      </c>
      <c r="F192" s="32" t="s">
        <v>653</v>
      </c>
      <c r="G192" s="33" t="s">
        <v>654</v>
      </c>
      <c r="H192" s="130"/>
      <c r="I192" s="126" t="s">
        <v>651</v>
      </c>
      <c r="J192" s="32" t="s">
        <v>652</v>
      </c>
      <c r="K192" s="132" t="s">
        <v>638</v>
      </c>
      <c r="L192" s="128" t="s">
        <v>8</v>
      </c>
      <c r="M192" s="124"/>
    </row>
    <row r="193" spans="1:13">
      <c r="A193" s="155" t="s">
        <v>3051</v>
      </c>
      <c r="B193" s="51" t="s">
        <v>1954</v>
      </c>
      <c r="C193" s="32" t="s">
        <v>1818</v>
      </c>
      <c r="D193" s="33" t="s">
        <v>8</v>
      </c>
      <c r="E193" s="38" t="s">
        <v>1174</v>
      </c>
      <c r="F193" s="32" t="s">
        <v>657</v>
      </c>
      <c r="G193" s="33" t="s">
        <v>658</v>
      </c>
      <c r="H193" s="130"/>
      <c r="I193" s="126" t="s">
        <v>655</v>
      </c>
      <c r="J193" s="32" t="s">
        <v>656</v>
      </c>
      <c r="K193" s="132" t="s">
        <v>629</v>
      </c>
      <c r="L193" s="128" t="s">
        <v>8</v>
      </c>
      <c r="M193" s="124"/>
    </row>
    <row r="194" spans="1:13">
      <c r="A194" s="155" t="s">
        <v>3051</v>
      </c>
      <c r="B194" s="51" t="s">
        <v>1952</v>
      </c>
      <c r="C194" s="32" t="s">
        <v>1818</v>
      </c>
      <c r="D194" s="33" t="s">
        <v>8</v>
      </c>
      <c r="E194" s="38" t="s">
        <v>1175</v>
      </c>
      <c r="F194" s="32" t="s">
        <v>661</v>
      </c>
      <c r="G194" s="33" t="s">
        <v>662</v>
      </c>
      <c r="H194" s="130"/>
      <c r="I194" s="126" t="s">
        <v>659</v>
      </c>
      <c r="J194" s="32" t="s">
        <v>660</v>
      </c>
      <c r="K194" s="132" t="s">
        <v>629</v>
      </c>
      <c r="L194" s="128" t="s">
        <v>8</v>
      </c>
      <c r="M194" s="124"/>
    </row>
    <row r="195" spans="1:13">
      <c r="A195" s="155" t="s">
        <v>3051</v>
      </c>
      <c r="B195" s="51" t="s">
        <v>1953</v>
      </c>
      <c r="C195" s="32" t="s">
        <v>1818</v>
      </c>
      <c r="D195" s="33" t="s">
        <v>8</v>
      </c>
      <c r="E195" s="38" t="s">
        <v>1176</v>
      </c>
      <c r="F195" s="32" t="s">
        <v>665</v>
      </c>
      <c r="G195" s="33" t="s">
        <v>666</v>
      </c>
      <c r="H195" s="130"/>
      <c r="I195" s="126" t="s">
        <v>663</v>
      </c>
      <c r="J195" s="32" t="s">
        <v>664</v>
      </c>
      <c r="K195" s="132" t="s">
        <v>629</v>
      </c>
      <c r="L195" s="128" t="s">
        <v>8</v>
      </c>
      <c r="M195" s="124"/>
    </row>
    <row r="196" spans="1:13">
      <c r="A196" s="155" t="s">
        <v>3051</v>
      </c>
      <c r="B196" s="51" t="s">
        <v>1952</v>
      </c>
      <c r="C196" s="32" t="s">
        <v>1818</v>
      </c>
      <c r="D196" s="33" t="s">
        <v>8</v>
      </c>
      <c r="E196" s="38" t="s">
        <v>1177</v>
      </c>
      <c r="F196" s="32" t="s">
        <v>669</v>
      </c>
      <c r="G196" s="33" t="s">
        <v>670</v>
      </c>
      <c r="H196" s="130"/>
      <c r="I196" s="126" t="s">
        <v>667</v>
      </c>
      <c r="J196" s="32" t="s">
        <v>668</v>
      </c>
      <c r="K196" s="132" t="s">
        <v>629</v>
      </c>
      <c r="L196" s="128" t="s">
        <v>8</v>
      </c>
      <c r="M196" s="124"/>
    </row>
    <row r="197" spans="1:13">
      <c r="A197" s="155" t="s">
        <v>3051</v>
      </c>
      <c r="B197" s="51" t="s">
        <v>1954</v>
      </c>
      <c r="C197" s="32" t="s">
        <v>1818</v>
      </c>
      <c r="D197" s="33" t="s">
        <v>8</v>
      </c>
      <c r="E197" s="38" t="s">
        <v>1178</v>
      </c>
      <c r="F197" s="32" t="s">
        <v>673</v>
      </c>
      <c r="G197" s="33" t="s">
        <v>674</v>
      </c>
      <c r="H197" s="130"/>
      <c r="I197" s="126" t="s">
        <v>671</v>
      </c>
      <c r="J197" s="32" t="s">
        <v>672</v>
      </c>
      <c r="K197" s="132" t="s">
        <v>629</v>
      </c>
      <c r="L197" s="128" t="s">
        <v>8</v>
      </c>
      <c r="M197" s="124"/>
    </row>
    <row r="198" spans="1:13">
      <c r="A198" s="155" t="s">
        <v>3051</v>
      </c>
      <c r="B198" s="51" t="s">
        <v>1956</v>
      </c>
      <c r="C198" s="32" t="s">
        <v>1818</v>
      </c>
      <c r="D198" s="33" t="s">
        <v>8</v>
      </c>
      <c r="E198" s="38" t="s">
        <v>1179</v>
      </c>
      <c r="F198" s="32" t="s">
        <v>677</v>
      </c>
      <c r="G198" s="33" t="s">
        <v>678</v>
      </c>
      <c r="H198" s="130"/>
      <c r="I198" s="126" t="s">
        <v>675</v>
      </c>
      <c r="J198" s="32" t="s">
        <v>676</v>
      </c>
      <c r="K198" s="132" t="s">
        <v>629</v>
      </c>
      <c r="L198" s="128" t="s">
        <v>8</v>
      </c>
      <c r="M198" s="124"/>
    </row>
    <row r="199" spans="1:13">
      <c r="A199" s="155" t="s">
        <v>3051</v>
      </c>
      <c r="B199" s="51" t="s">
        <v>1956</v>
      </c>
      <c r="C199" s="32" t="s">
        <v>1818</v>
      </c>
      <c r="D199" s="33" t="s">
        <v>8</v>
      </c>
      <c r="E199" s="38" t="s">
        <v>1180</v>
      </c>
      <c r="F199" s="32" t="s">
        <v>681</v>
      </c>
      <c r="G199" s="33" t="s">
        <v>682</v>
      </c>
      <c r="H199" s="130"/>
      <c r="I199" s="126" t="s">
        <v>679</v>
      </c>
      <c r="J199" s="32" t="s">
        <v>680</v>
      </c>
      <c r="K199" s="132" t="s">
        <v>629</v>
      </c>
      <c r="L199" s="128" t="s">
        <v>8</v>
      </c>
      <c r="M199" s="124"/>
    </row>
    <row r="200" spans="1:13">
      <c r="A200" s="155" t="s">
        <v>3051</v>
      </c>
      <c r="B200" s="51" t="s">
        <v>1957</v>
      </c>
      <c r="C200" s="32" t="s">
        <v>1818</v>
      </c>
      <c r="D200" s="33" t="s">
        <v>8</v>
      </c>
      <c r="E200" s="38" t="s">
        <v>1181</v>
      </c>
      <c r="F200" s="32" t="s">
        <v>685</v>
      </c>
      <c r="G200" s="33" t="s">
        <v>686</v>
      </c>
      <c r="H200" s="130"/>
      <c r="I200" s="126" t="s">
        <v>683</v>
      </c>
      <c r="J200" s="32" t="s">
        <v>684</v>
      </c>
      <c r="K200" s="132" t="s">
        <v>629</v>
      </c>
      <c r="L200" s="128" t="s">
        <v>8</v>
      </c>
      <c r="M200" s="124"/>
    </row>
    <row r="201" spans="1:13">
      <c r="A201" s="155" t="s">
        <v>3051</v>
      </c>
      <c r="B201" s="51" t="s">
        <v>1958</v>
      </c>
      <c r="C201" s="32" t="s">
        <v>1818</v>
      </c>
      <c r="D201" s="33" t="s">
        <v>1946</v>
      </c>
      <c r="E201" s="38" t="s">
        <v>1182</v>
      </c>
      <c r="F201" s="32" t="s">
        <v>689</v>
      </c>
      <c r="G201" s="33" t="s">
        <v>690</v>
      </c>
      <c r="H201" s="130" t="s">
        <v>1965</v>
      </c>
      <c r="I201" s="126" t="s">
        <v>687</v>
      </c>
      <c r="J201" s="32" t="s">
        <v>688</v>
      </c>
      <c r="K201" s="132" t="s">
        <v>629</v>
      </c>
      <c r="L201" s="128" t="s">
        <v>9</v>
      </c>
      <c r="M201" s="124"/>
    </row>
    <row r="202" spans="1:13">
      <c r="A202" s="155" t="s">
        <v>3051</v>
      </c>
      <c r="B202" s="51" t="s">
        <v>1964</v>
      </c>
      <c r="C202" s="32" t="s">
        <v>1818</v>
      </c>
      <c r="D202" s="33" t="s">
        <v>1946</v>
      </c>
      <c r="E202" s="38" t="s">
        <v>1183</v>
      </c>
      <c r="F202" s="32" t="s">
        <v>693</v>
      </c>
      <c r="G202" s="33" t="s">
        <v>694</v>
      </c>
      <c r="H202" s="130" t="s">
        <v>1965</v>
      </c>
      <c r="I202" s="126" t="s">
        <v>691</v>
      </c>
      <c r="J202" s="32" t="s">
        <v>692</v>
      </c>
      <c r="K202" s="132" t="s">
        <v>695</v>
      </c>
      <c r="L202" s="128" t="s">
        <v>9</v>
      </c>
      <c r="M202" s="124"/>
    </row>
    <row r="203" spans="1:13">
      <c r="A203" s="155" t="s">
        <v>3051</v>
      </c>
      <c r="B203" s="51" t="s">
        <v>1964</v>
      </c>
      <c r="C203" s="32" t="s">
        <v>1818</v>
      </c>
      <c r="D203" s="33" t="s">
        <v>8</v>
      </c>
      <c r="E203" s="38" t="s">
        <v>1184</v>
      </c>
      <c r="F203" s="32" t="s">
        <v>698</v>
      </c>
      <c r="G203" s="33" t="s">
        <v>699</v>
      </c>
      <c r="H203" s="130"/>
      <c r="I203" s="126" t="s">
        <v>696</v>
      </c>
      <c r="J203" s="32" t="s">
        <v>697</v>
      </c>
      <c r="K203" s="132" t="s">
        <v>629</v>
      </c>
      <c r="L203" s="128" t="s">
        <v>8</v>
      </c>
      <c r="M203" s="124"/>
    </row>
    <row r="204" spans="1:13">
      <c r="A204" s="155" t="s">
        <v>3051</v>
      </c>
      <c r="B204" s="51" t="s">
        <v>1958</v>
      </c>
      <c r="C204" s="32" t="s">
        <v>1966</v>
      </c>
      <c r="D204" s="33" t="s">
        <v>9</v>
      </c>
      <c r="E204" s="38" t="s">
        <v>1185</v>
      </c>
      <c r="F204" s="32" t="s">
        <v>702</v>
      </c>
      <c r="G204" s="33" t="s">
        <v>703</v>
      </c>
      <c r="H204" s="130" t="s">
        <v>1967</v>
      </c>
      <c r="I204" s="126" t="s">
        <v>700</v>
      </c>
      <c r="J204" s="32" t="s">
        <v>701</v>
      </c>
      <c r="K204" s="132" t="s">
        <v>704</v>
      </c>
      <c r="L204" s="128" t="s">
        <v>9</v>
      </c>
      <c r="M204" s="124"/>
    </row>
    <row r="205" spans="1:13">
      <c r="A205" s="155" t="s">
        <v>3051</v>
      </c>
      <c r="B205" s="51" t="s">
        <v>1945</v>
      </c>
      <c r="C205" s="32" t="s">
        <v>1966</v>
      </c>
      <c r="D205" s="33" t="s">
        <v>9</v>
      </c>
      <c r="E205" s="38" t="s">
        <v>1186</v>
      </c>
      <c r="F205" s="32" t="s">
        <v>706</v>
      </c>
      <c r="G205" s="33" t="s">
        <v>707</v>
      </c>
      <c r="H205" s="130" t="s">
        <v>1967</v>
      </c>
      <c r="I205" s="126" t="s">
        <v>700</v>
      </c>
      <c r="J205" s="32" t="s">
        <v>705</v>
      </c>
      <c r="K205" s="132" t="s">
        <v>708</v>
      </c>
      <c r="L205" s="128" t="s">
        <v>9</v>
      </c>
      <c r="M205" s="124"/>
    </row>
    <row r="206" spans="1:13">
      <c r="A206" s="155" t="s">
        <v>3051</v>
      </c>
      <c r="B206" s="51" t="s">
        <v>1954</v>
      </c>
      <c r="C206" s="32" t="s">
        <v>1966</v>
      </c>
      <c r="D206" s="33" t="s">
        <v>9</v>
      </c>
      <c r="E206" s="38" t="s">
        <v>1187</v>
      </c>
      <c r="F206" s="32" t="s">
        <v>710</v>
      </c>
      <c r="G206" s="33" t="s">
        <v>711</v>
      </c>
      <c r="H206" s="130" t="s">
        <v>1967</v>
      </c>
      <c r="I206" s="126" t="s">
        <v>700</v>
      </c>
      <c r="J206" s="32" t="s">
        <v>709</v>
      </c>
      <c r="K206" s="132" t="s">
        <v>704</v>
      </c>
      <c r="L206" s="128" t="s">
        <v>10</v>
      </c>
      <c r="M206" s="124"/>
    </row>
    <row r="207" spans="1:13">
      <c r="A207" s="155" t="s">
        <v>3051</v>
      </c>
      <c r="B207" s="51" t="s">
        <v>1954</v>
      </c>
      <c r="C207" s="32" t="s">
        <v>1966</v>
      </c>
      <c r="D207" s="33" t="s">
        <v>9</v>
      </c>
      <c r="E207" s="38" t="s">
        <v>1188</v>
      </c>
      <c r="F207" s="32" t="s">
        <v>714</v>
      </c>
      <c r="G207" s="33" t="s">
        <v>715</v>
      </c>
      <c r="H207" s="130" t="s">
        <v>1967</v>
      </c>
      <c r="I207" s="126" t="s">
        <v>712</v>
      </c>
      <c r="J207" s="32" t="s">
        <v>713</v>
      </c>
      <c r="K207" s="132" t="s">
        <v>704</v>
      </c>
      <c r="L207" s="128" t="s">
        <v>9</v>
      </c>
      <c r="M207" s="124"/>
    </row>
    <row r="208" spans="1:13">
      <c r="A208" s="155" t="s">
        <v>3051</v>
      </c>
      <c r="B208" s="51" t="s">
        <v>1957</v>
      </c>
      <c r="C208" s="32" t="s">
        <v>1966</v>
      </c>
      <c r="D208" s="33" t="s">
        <v>9</v>
      </c>
      <c r="E208" s="38" t="s">
        <v>1189</v>
      </c>
      <c r="F208" s="32" t="s">
        <v>718</v>
      </c>
      <c r="G208" s="33" t="s">
        <v>719</v>
      </c>
      <c r="H208" s="130" t="s">
        <v>1967</v>
      </c>
      <c r="I208" s="126" t="s">
        <v>716</v>
      </c>
      <c r="J208" s="32" t="s">
        <v>717</v>
      </c>
      <c r="K208" s="132" t="s">
        <v>704</v>
      </c>
      <c r="L208" s="128" t="s">
        <v>10</v>
      </c>
      <c r="M208" s="124"/>
    </row>
    <row r="209" spans="1:13">
      <c r="A209" s="155" t="s">
        <v>3051</v>
      </c>
      <c r="B209" s="51" t="s">
        <v>1964</v>
      </c>
      <c r="C209" s="32" t="s">
        <v>1966</v>
      </c>
      <c r="D209" s="33" t="s">
        <v>8</v>
      </c>
      <c r="E209" s="38" t="s">
        <v>1190</v>
      </c>
      <c r="F209" s="32" t="s">
        <v>722</v>
      </c>
      <c r="G209" s="33" t="s">
        <v>723</v>
      </c>
      <c r="H209" s="130"/>
      <c r="I209" s="126" t="s">
        <v>720</v>
      </c>
      <c r="J209" s="32" t="s">
        <v>721</v>
      </c>
      <c r="K209" s="132" t="s">
        <v>708</v>
      </c>
      <c r="L209" s="128" t="s">
        <v>8</v>
      </c>
      <c r="M209" s="124"/>
    </row>
    <row r="210" spans="1:13">
      <c r="A210" s="155" t="s">
        <v>3051</v>
      </c>
      <c r="B210" s="51" t="s">
        <v>1961</v>
      </c>
      <c r="C210" s="32" t="s">
        <v>1966</v>
      </c>
      <c r="D210" s="33" t="s">
        <v>1948</v>
      </c>
      <c r="E210" s="38" t="s">
        <v>1191</v>
      </c>
      <c r="F210" s="32" t="s">
        <v>726</v>
      </c>
      <c r="G210" s="33" t="s">
        <v>727</v>
      </c>
      <c r="H210" s="130" t="s">
        <v>1968</v>
      </c>
      <c r="I210" s="126" t="s">
        <v>724</v>
      </c>
      <c r="J210" s="32" t="s">
        <v>725</v>
      </c>
      <c r="K210" s="132" t="s">
        <v>708</v>
      </c>
      <c r="L210" s="128" t="s">
        <v>9</v>
      </c>
      <c r="M210" s="124"/>
    </row>
    <row r="211" spans="1:13">
      <c r="A211" s="155" t="s">
        <v>3051</v>
      </c>
      <c r="B211" s="51" t="s">
        <v>1957</v>
      </c>
      <c r="C211" s="32" t="s">
        <v>1966</v>
      </c>
      <c r="D211" s="33" t="s">
        <v>8</v>
      </c>
      <c r="E211" s="38" t="s">
        <v>1192</v>
      </c>
      <c r="F211" s="32" t="s">
        <v>730</v>
      </c>
      <c r="G211" s="33" t="s">
        <v>731</v>
      </c>
      <c r="H211" s="130"/>
      <c r="I211" s="126" t="s">
        <v>728</v>
      </c>
      <c r="J211" s="32" t="s">
        <v>729</v>
      </c>
      <c r="K211" s="132" t="s">
        <v>708</v>
      </c>
      <c r="L211" s="128" t="s">
        <v>8</v>
      </c>
      <c r="M211" s="124"/>
    </row>
    <row r="212" spans="1:13">
      <c r="A212" s="155" t="s">
        <v>3051</v>
      </c>
      <c r="B212" s="51" t="s">
        <v>1950</v>
      </c>
      <c r="C212" s="32" t="s">
        <v>1966</v>
      </c>
      <c r="D212" s="33" t="s">
        <v>1336</v>
      </c>
      <c r="E212" s="38" t="s">
        <v>1193</v>
      </c>
      <c r="F212" s="32" t="s">
        <v>734</v>
      </c>
      <c r="G212" s="33" t="s">
        <v>735</v>
      </c>
      <c r="H212" s="130" t="s">
        <v>1969</v>
      </c>
      <c r="I212" s="126" t="s">
        <v>732</v>
      </c>
      <c r="J212" s="32" t="s">
        <v>733</v>
      </c>
      <c r="K212" s="132" t="s">
        <v>708</v>
      </c>
      <c r="L212" s="128" t="s">
        <v>8</v>
      </c>
      <c r="M212" s="124"/>
    </row>
    <row r="213" spans="1:13">
      <c r="A213" s="155" t="s">
        <v>3051</v>
      </c>
      <c r="B213" s="51" t="s">
        <v>1961</v>
      </c>
      <c r="C213" s="32" t="s">
        <v>1966</v>
      </c>
      <c r="D213" s="33" t="s">
        <v>1336</v>
      </c>
      <c r="E213" s="38" t="s">
        <v>1194</v>
      </c>
      <c r="F213" s="32" t="s">
        <v>737</v>
      </c>
      <c r="G213" s="33" t="s">
        <v>738</v>
      </c>
      <c r="H213" s="130" t="s">
        <v>1969</v>
      </c>
      <c r="I213" s="126" t="s">
        <v>732</v>
      </c>
      <c r="J213" s="32" t="s">
        <v>736</v>
      </c>
      <c r="K213" s="132" t="s">
        <v>708</v>
      </c>
      <c r="L213" s="128" t="s">
        <v>8</v>
      </c>
      <c r="M213" s="124"/>
    </row>
    <row r="214" spans="1:13" ht="30">
      <c r="A214" s="155" t="s">
        <v>3051</v>
      </c>
      <c r="B214" s="51" t="s">
        <v>1952</v>
      </c>
      <c r="C214" s="32" t="s">
        <v>1966</v>
      </c>
      <c r="D214" s="33" t="s">
        <v>9</v>
      </c>
      <c r="E214" s="38" t="s">
        <v>1846</v>
      </c>
      <c r="F214" s="32" t="s">
        <v>1845</v>
      </c>
      <c r="G214" s="33" t="s">
        <v>1847</v>
      </c>
      <c r="H214" s="130" t="s">
        <v>1967</v>
      </c>
      <c r="I214" s="126" t="s">
        <v>1293</v>
      </c>
      <c r="J214" s="32" t="s">
        <v>1844</v>
      </c>
      <c r="K214" s="132" t="s">
        <v>704</v>
      </c>
      <c r="L214" s="128" t="s">
        <v>10</v>
      </c>
      <c r="M214" s="124"/>
    </row>
    <row r="215" spans="1:13" ht="30">
      <c r="A215" s="155" t="s">
        <v>3051</v>
      </c>
      <c r="B215" s="51" t="s">
        <v>1958</v>
      </c>
      <c r="C215" s="32" t="s">
        <v>1970</v>
      </c>
      <c r="D215" s="33" t="s">
        <v>9</v>
      </c>
      <c r="E215" s="38" t="s">
        <v>1195</v>
      </c>
      <c r="F215" s="32" t="s">
        <v>741</v>
      </c>
      <c r="G215" s="33" t="s">
        <v>742</v>
      </c>
      <c r="H215" s="130" t="s">
        <v>1971</v>
      </c>
      <c r="I215" s="126" t="s">
        <v>739</v>
      </c>
      <c r="J215" s="32" t="s">
        <v>740</v>
      </c>
      <c r="K215" s="132" t="s">
        <v>743</v>
      </c>
      <c r="L215" s="128" t="s">
        <v>9</v>
      </c>
      <c r="M215" s="124"/>
    </row>
    <row r="216" spans="1:13">
      <c r="A216" s="155" t="s">
        <v>3051</v>
      </c>
      <c r="B216" s="51" t="s">
        <v>1945</v>
      </c>
      <c r="C216" s="32" t="s">
        <v>1970</v>
      </c>
      <c r="D216" s="33" t="s">
        <v>9</v>
      </c>
      <c r="E216" s="38" t="s">
        <v>1196</v>
      </c>
      <c r="F216" s="32" t="s">
        <v>745</v>
      </c>
      <c r="G216" s="33" t="s">
        <v>746</v>
      </c>
      <c r="H216" s="130" t="s">
        <v>1971</v>
      </c>
      <c r="I216" s="126" t="s">
        <v>739</v>
      </c>
      <c r="J216" s="32" t="s">
        <v>744</v>
      </c>
      <c r="K216" s="132" t="s">
        <v>747</v>
      </c>
      <c r="L216" s="128" t="s">
        <v>10</v>
      </c>
      <c r="M216" s="124"/>
    </row>
    <row r="217" spans="1:13">
      <c r="A217" s="155" t="s">
        <v>3051</v>
      </c>
      <c r="B217" s="51" t="s">
        <v>1954</v>
      </c>
      <c r="C217" s="32" t="s">
        <v>1970</v>
      </c>
      <c r="D217" s="33" t="s">
        <v>9</v>
      </c>
      <c r="E217" s="38" t="s">
        <v>1197</v>
      </c>
      <c r="F217" s="32" t="s">
        <v>749</v>
      </c>
      <c r="G217" s="33" t="s">
        <v>750</v>
      </c>
      <c r="H217" s="130" t="s">
        <v>1971</v>
      </c>
      <c r="I217" s="126" t="s">
        <v>739</v>
      </c>
      <c r="J217" s="32" t="s">
        <v>748</v>
      </c>
      <c r="K217" s="132" t="s">
        <v>743</v>
      </c>
      <c r="L217" s="128" t="s">
        <v>10</v>
      </c>
      <c r="M217" s="124"/>
    </row>
    <row r="218" spans="1:13">
      <c r="A218" s="155" t="s">
        <v>3051</v>
      </c>
      <c r="B218" s="51" t="s">
        <v>1950</v>
      </c>
      <c r="C218" s="32" t="s">
        <v>1970</v>
      </c>
      <c r="D218" s="33" t="s">
        <v>1336</v>
      </c>
      <c r="E218" s="38" t="s">
        <v>1198</v>
      </c>
      <c r="F218" s="32" t="s">
        <v>752</v>
      </c>
      <c r="G218" s="33" t="s">
        <v>753</v>
      </c>
      <c r="H218" s="130" t="s">
        <v>1969</v>
      </c>
      <c r="I218" s="126" t="s">
        <v>739</v>
      </c>
      <c r="J218" s="32" t="s">
        <v>751</v>
      </c>
      <c r="K218" s="132" t="s">
        <v>743</v>
      </c>
      <c r="L218" s="128" t="s">
        <v>8</v>
      </c>
      <c r="M218" s="124"/>
    </row>
    <row r="219" spans="1:13">
      <c r="A219" s="155" t="s">
        <v>3051</v>
      </c>
      <c r="B219" s="51" t="s">
        <v>1950</v>
      </c>
      <c r="C219" s="32" t="s">
        <v>1970</v>
      </c>
      <c r="D219" s="33" t="s">
        <v>9</v>
      </c>
      <c r="E219" s="38" t="s">
        <v>1199</v>
      </c>
      <c r="F219" s="32" t="s">
        <v>755</v>
      </c>
      <c r="G219" s="33" t="s">
        <v>756</v>
      </c>
      <c r="H219" s="130" t="s">
        <v>1971</v>
      </c>
      <c r="I219" s="126" t="s">
        <v>739</v>
      </c>
      <c r="J219" s="32" t="s">
        <v>754</v>
      </c>
      <c r="K219" s="132" t="s">
        <v>743</v>
      </c>
      <c r="L219" s="128" t="s">
        <v>10</v>
      </c>
      <c r="M219" s="124"/>
    </row>
    <row r="220" spans="1:13">
      <c r="A220" s="155" t="s">
        <v>3051</v>
      </c>
      <c r="B220" s="51" t="s">
        <v>1950</v>
      </c>
      <c r="C220" s="32" t="s">
        <v>1970</v>
      </c>
      <c r="D220" s="33" t="s">
        <v>9</v>
      </c>
      <c r="E220" s="38" t="s">
        <v>1200</v>
      </c>
      <c r="F220" s="32" t="s">
        <v>758</v>
      </c>
      <c r="G220" s="33" t="s">
        <v>759</v>
      </c>
      <c r="H220" s="130" t="s">
        <v>1971</v>
      </c>
      <c r="I220" s="126" t="s">
        <v>739</v>
      </c>
      <c r="J220" s="32" t="s">
        <v>757</v>
      </c>
      <c r="K220" s="132" t="s">
        <v>743</v>
      </c>
      <c r="L220" s="128" t="s">
        <v>10</v>
      </c>
      <c r="M220" s="124"/>
    </row>
    <row r="221" spans="1:13">
      <c r="A221" s="155" t="s">
        <v>3051</v>
      </c>
      <c r="B221" s="51" t="s">
        <v>1957</v>
      </c>
      <c r="C221" s="32" t="s">
        <v>1970</v>
      </c>
      <c r="D221" s="33" t="s">
        <v>9</v>
      </c>
      <c r="E221" s="38" t="s">
        <v>1201</v>
      </c>
      <c r="F221" s="32" t="s">
        <v>761</v>
      </c>
      <c r="G221" s="33" t="s">
        <v>762</v>
      </c>
      <c r="H221" s="130" t="s">
        <v>1971</v>
      </c>
      <c r="I221" s="126" t="s">
        <v>739</v>
      </c>
      <c r="J221" s="32" t="s">
        <v>760</v>
      </c>
      <c r="K221" s="132" t="s">
        <v>743</v>
      </c>
      <c r="L221" s="128" t="s">
        <v>10</v>
      </c>
      <c r="M221" s="124"/>
    </row>
    <row r="222" spans="1:13">
      <c r="A222" s="155" t="s">
        <v>3051</v>
      </c>
      <c r="B222" s="51" t="s">
        <v>1958</v>
      </c>
      <c r="C222" s="32" t="s">
        <v>1970</v>
      </c>
      <c r="D222" s="33" t="s">
        <v>9</v>
      </c>
      <c r="E222" s="38" t="s">
        <v>1202</v>
      </c>
      <c r="F222" s="32" t="s">
        <v>764</v>
      </c>
      <c r="G222" s="33" t="s">
        <v>765</v>
      </c>
      <c r="H222" s="130" t="s">
        <v>1971</v>
      </c>
      <c r="I222" s="126" t="s">
        <v>739</v>
      </c>
      <c r="J222" s="32" t="s">
        <v>763</v>
      </c>
      <c r="K222" s="132" t="s">
        <v>743</v>
      </c>
      <c r="L222" s="128" t="s">
        <v>10</v>
      </c>
      <c r="M222" s="124"/>
    </row>
    <row r="223" spans="1:13">
      <c r="A223" s="155" t="s">
        <v>3051</v>
      </c>
      <c r="B223" s="51" t="s">
        <v>1956</v>
      </c>
      <c r="C223" s="32" t="s">
        <v>1970</v>
      </c>
      <c r="D223" s="33" t="s">
        <v>9</v>
      </c>
      <c r="E223" s="38" t="s">
        <v>1203</v>
      </c>
      <c r="F223" s="32" t="s">
        <v>767</v>
      </c>
      <c r="G223" s="33" t="s">
        <v>768</v>
      </c>
      <c r="H223" s="130" t="s">
        <v>1971</v>
      </c>
      <c r="I223" s="126" t="s">
        <v>739</v>
      </c>
      <c r="J223" s="32" t="s">
        <v>766</v>
      </c>
      <c r="K223" s="132" t="s">
        <v>743</v>
      </c>
      <c r="L223" s="128" t="s">
        <v>10</v>
      </c>
      <c r="M223" s="124"/>
    </row>
    <row r="224" spans="1:13">
      <c r="A224" s="155" t="s">
        <v>3051</v>
      </c>
      <c r="B224" s="51" t="s">
        <v>1958</v>
      </c>
      <c r="C224" s="32" t="s">
        <v>1970</v>
      </c>
      <c r="D224" s="33" t="s">
        <v>9</v>
      </c>
      <c r="E224" s="38" t="s">
        <v>1204</v>
      </c>
      <c r="F224" s="32" t="s">
        <v>770</v>
      </c>
      <c r="G224" s="33" t="s">
        <v>771</v>
      </c>
      <c r="H224" s="130" t="s">
        <v>1971</v>
      </c>
      <c r="I224" s="126" t="s">
        <v>739</v>
      </c>
      <c r="J224" s="32" t="s">
        <v>769</v>
      </c>
      <c r="K224" s="132" t="s">
        <v>743</v>
      </c>
      <c r="L224" s="128" t="s">
        <v>10</v>
      </c>
      <c r="M224" s="124"/>
    </row>
    <row r="225" spans="1:13">
      <c r="A225" s="155" t="s">
        <v>3051</v>
      </c>
      <c r="B225" s="51" t="s">
        <v>1960</v>
      </c>
      <c r="C225" s="32" t="s">
        <v>1970</v>
      </c>
      <c r="D225" s="33" t="s">
        <v>9</v>
      </c>
      <c r="E225" s="38" t="s">
        <v>1205</v>
      </c>
      <c r="F225" s="32" t="s">
        <v>773</v>
      </c>
      <c r="G225" s="33" t="s">
        <v>774</v>
      </c>
      <c r="H225" s="130" t="s">
        <v>1971</v>
      </c>
      <c r="I225" s="126" t="s">
        <v>739</v>
      </c>
      <c r="J225" s="32" t="s">
        <v>772</v>
      </c>
      <c r="K225" s="132" t="s">
        <v>743</v>
      </c>
      <c r="L225" s="128" t="s">
        <v>10</v>
      </c>
      <c r="M225" s="124"/>
    </row>
    <row r="226" spans="1:13">
      <c r="A226" s="155" t="s">
        <v>3051</v>
      </c>
      <c r="B226" s="51" t="s">
        <v>1956</v>
      </c>
      <c r="C226" s="32" t="s">
        <v>1970</v>
      </c>
      <c r="D226" s="33" t="s">
        <v>9</v>
      </c>
      <c r="E226" s="38" t="s">
        <v>1206</v>
      </c>
      <c r="F226" s="32" t="s">
        <v>776</v>
      </c>
      <c r="G226" s="33" t="s">
        <v>777</v>
      </c>
      <c r="H226" s="130" t="s">
        <v>1971</v>
      </c>
      <c r="I226" s="126" t="s">
        <v>739</v>
      </c>
      <c r="J226" s="32" t="s">
        <v>775</v>
      </c>
      <c r="K226" s="132" t="s">
        <v>778</v>
      </c>
      <c r="L226" s="128" t="s">
        <v>10</v>
      </c>
      <c r="M226" s="124"/>
    </row>
    <row r="227" spans="1:13">
      <c r="A227" s="155" t="s">
        <v>3051</v>
      </c>
      <c r="B227" s="51" t="s">
        <v>1964</v>
      </c>
      <c r="C227" s="32" t="s">
        <v>1970</v>
      </c>
      <c r="D227" s="33" t="s">
        <v>1948</v>
      </c>
      <c r="E227" s="38" t="s">
        <v>1207</v>
      </c>
      <c r="F227" s="32" t="s">
        <v>781</v>
      </c>
      <c r="G227" s="33" t="s">
        <v>782</v>
      </c>
      <c r="H227" s="130" t="s">
        <v>1972</v>
      </c>
      <c r="I227" s="126" t="s">
        <v>779</v>
      </c>
      <c r="J227" s="32" t="s">
        <v>780</v>
      </c>
      <c r="K227" s="132" t="s">
        <v>783</v>
      </c>
      <c r="L227" s="128" t="s">
        <v>10</v>
      </c>
      <c r="M227" s="124"/>
    </row>
    <row r="228" spans="1:13">
      <c r="A228" s="155" t="s">
        <v>3051</v>
      </c>
      <c r="B228" s="51" t="s">
        <v>1964</v>
      </c>
      <c r="C228" s="32" t="s">
        <v>1970</v>
      </c>
      <c r="D228" s="33" t="s">
        <v>1948</v>
      </c>
      <c r="E228" s="38" t="s">
        <v>1208</v>
      </c>
      <c r="F228" s="32" t="s">
        <v>785</v>
      </c>
      <c r="G228" s="33" t="s">
        <v>786</v>
      </c>
      <c r="H228" s="130" t="s">
        <v>1972</v>
      </c>
      <c r="I228" s="126" t="s">
        <v>779</v>
      </c>
      <c r="J228" s="32" t="s">
        <v>784</v>
      </c>
      <c r="K228" s="132" t="s">
        <v>783</v>
      </c>
      <c r="L228" s="128" t="s">
        <v>10</v>
      </c>
      <c r="M228" s="124"/>
    </row>
    <row r="229" spans="1:13">
      <c r="A229" s="155" t="s">
        <v>3051</v>
      </c>
      <c r="B229" s="51" t="s">
        <v>1964</v>
      </c>
      <c r="C229" s="32" t="s">
        <v>1970</v>
      </c>
      <c r="D229" s="33" t="s">
        <v>1948</v>
      </c>
      <c r="E229" s="38" t="s">
        <v>1209</v>
      </c>
      <c r="F229" s="32" t="s">
        <v>788</v>
      </c>
      <c r="G229" s="33" t="s">
        <v>789</v>
      </c>
      <c r="H229" s="130" t="s">
        <v>1972</v>
      </c>
      <c r="I229" s="126" t="s">
        <v>779</v>
      </c>
      <c r="J229" s="32" t="s">
        <v>787</v>
      </c>
      <c r="K229" s="132" t="s">
        <v>783</v>
      </c>
      <c r="L229" s="128" t="s">
        <v>10</v>
      </c>
      <c r="M229" s="124"/>
    </row>
    <row r="230" spans="1:13">
      <c r="A230" s="155" t="s">
        <v>3051</v>
      </c>
      <c r="B230" s="51" t="s">
        <v>1964</v>
      </c>
      <c r="C230" s="32" t="s">
        <v>1970</v>
      </c>
      <c r="D230" s="33" t="s">
        <v>1948</v>
      </c>
      <c r="E230" s="38" t="s">
        <v>1210</v>
      </c>
      <c r="F230" s="32" t="s">
        <v>791</v>
      </c>
      <c r="G230" s="33" t="s">
        <v>792</v>
      </c>
      <c r="H230" s="130" t="s">
        <v>1972</v>
      </c>
      <c r="I230" s="126" t="s">
        <v>779</v>
      </c>
      <c r="J230" s="32" t="s">
        <v>790</v>
      </c>
      <c r="K230" s="132" t="s">
        <v>783</v>
      </c>
      <c r="L230" s="128" t="s">
        <v>10</v>
      </c>
      <c r="M230" s="124"/>
    </row>
    <row r="231" spans="1:13">
      <c r="A231" s="155" t="s">
        <v>3051</v>
      </c>
      <c r="B231" s="51" t="s">
        <v>1964</v>
      </c>
      <c r="C231" s="32" t="s">
        <v>1970</v>
      </c>
      <c r="D231" s="33" t="s">
        <v>1948</v>
      </c>
      <c r="E231" s="38" t="s">
        <v>1211</v>
      </c>
      <c r="F231" s="32" t="s">
        <v>794</v>
      </c>
      <c r="G231" s="33" t="s">
        <v>795</v>
      </c>
      <c r="H231" s="130" t="s">
        <v>1972</v>
      </c>
      <c r="I231" s="126" t="s">
        <v>779</v>
      </c>
      <c r="J231" s="32" t="s">
        <v>793</v>
      </c>
      <c r="K231" s="132" t="s">
        <v>783</v>
      </c>
      <c r="L231" s="128" t="s">
        <v>10</v>
      </c>
      <c r="M231" s="124"/>
    </row>
    <row r="232" spans="1:13">
      <c r="A232" s="155" t="s">
        <v>3051</v>
      </c>
      <c r="B232" s="51" t="s">
        <v>1958</v>
      </c>
      <c r="C232" s="32" t="s">
        <v>1970</v>
      </c>
      <c r="D232" s="33" t="s">
        <v>9</v>
      </c>
      <c r="E232" s="38" t="s">
        <v>1212</v>
      </c>
      <c r="F232" s="32" t="s">
        <v>798</v>
      </c>
      <c r="G232" s="33" t="s">
        <v>799</v>
      </c>
      <c r="H232" s="130" t="s">
        <v>1971</v>
      </c>
      <c r="I232" s="126" t="s">
        <v>796</v>
      </c>
      <c r="J232" s="32" t="s">
        <v>797</v>
      </c>
      <c r="K232" s="132" t="s">
        <v>800</v>
      </c>
      <c r="L232" s="128" t="s">
        <v>10</v>
      </c>
      <c r="M232" s="124"/>
    </row>
    <row r="233" spans="1:13">
      <c r="A233" s="155" t="s">
        <v>3051</v>
      </c>
      <c r="B233" s="51" t="s">
        <v>1973</v>
      </c>
      <c r="C233" s="32" t="s">
        <v>1970</v>
      </c>
      <c r="D233" s="33" t="s">
        <v>9</v>
      </c>
      <c r="E233" s="38" t="s">
        <v>1213</v>
      </c>
      <c r="F233" s="32" t="s">
        <v>802</v>
      </c>
      <c r="G233" s="33" t="s">
        <v>803</v>
      </c>
      <c r="H233" s="130" t="s">
        <v>1971</v>
      </c>
      <c r="I233" s="126" t="s">
        <v>796</v>
      </c>
      <c r="J233" s="32" t="s">
        <v>801</v>
      </c>
      <c r="K233" s="132" t="s">
        <v>800</v>
      </c>
      <c r="L233" s="128" t="s">
        <v>10</v>
      </c>
      <c r="M233" s="124"/>
    </row>
    <row r="234" spans="1:13">
      <c r="A234" s="155" t="s">
        <v>3051</v>
      </c>
      <c r="B234" s="51" t="s">
        <v>1973</v>
      </c>
      <c r="C234" s="32" t="s">
        <v>1970</v>
      </c>
      <c r="D234" s="33" t="s">
        <v>9</v>
      </c>
      <c r="E234" s="38" t="s">
        <v>1214</v>
      </c>
      <c r="F234" s="32" t="s">
        <v>805</v>
      </c>
      <c r="G234" s="33" t="s">
        <v>806</v>
      </c>
      <c r="H234" s="130" t="s">
        <v>1971</v>
      </c>
      <c r="I234" s="126" t="s">
        <v>796</v>
      </c>
      <c r="J234" s="32" t="s">
        <v>804</v>
      </c>
      <c r="K234" s="132" t="s">
        <v>800</v>
      </c>
      <c r="L234" s="128" t="s">
        <v>10</v>
      </c>
      <c r="M234" s="124"/>
    </row>
    <row r="235" spans="1:13">
      <c r="A235" s="155" t="s">
        <v>3051</v>
      </c>
      <c r="B235" s="51" t="s">
        <v>1973</v>
      </c>
      <c r="C235" s="32" t="s">
        <v>1970</v>
      </c>
      <c r="D235" s="33" t="s">
        <v>9</v>
      </c>
      <c r="E235" s="38" t="s">
        <v>1215</v>
      </c>
      <c r="F235" s="32" t="s">
        <v>808</v>
      </c>
      <c r="G235" s="33" t="s">
        <v>809</v>
      </c>
      <c r="H235" s="130" t="s">
        <v>1971</v>
      </c>
      <c r="I235" s="126" t="s">
        <v>796</v>
      </c>
      <c r="J235" s="32" t="s">
        <v>807</v>
      </c>
      <c r="K235" s="132" t="s">
        <v>800</v>
      </c>
      <c r="L235" s="128" t="s">
        <v>10</v>
      </c>
      <c r="M235" s="124"/>
    </row>
    <row r="236" spans="1:13">
      <c r="A236" s="155" t="s">
        <v>3051</v>
      </c>
      <c r="B236" s="51" t="s">
        <v>1973</v>
      </c>
      <c r="C236" s="32" t="s">
        <v>1970</v>
      </c>
      <c r="D236" s="33" t="s">
        <v>9</v>
      </c>
      <c r="E236" s="38" t="s">
        <v>1216</v>
      </c>
      <c r="F236" s="32" t="s">
        <v>811</v>
      </c>
      <c r="G236" s="33" t="s">
        <v>812</v>
      </c>
      <c r="H236" s="130" t="s">
        <v>1971</v>
      </c>
      <c r="I236" s="126" t="s">
        <v>796</v>
      </c>
      <c r="J236" s="32" t="s">
        <v>810</v>
      </c>
      <c r="K236" s="132" t="s">
        <v>800</v>
      </c>
      <c r="L236" s="128" t="s">
        <v>10</v>
      </c>
      <c r="M236" s="124"/>
    </row>
    <row r="237" spans="1:13">
      <c r="A237" s="155" t="s">
        <v>3051</v>
      </c>
      <c r="B237" s="51" t="s">
        <v>1973</v>
      </c>
      <c r="C237" s="32" t="s">
        <v>1970</v>
      </c>
      <c r="D237" s="33" t="s">
        <v>9</v>
      </c>
      <c r="E237" s="38" t="s">
        <v>1217</v>
      </c>
      <c r="F237" s="32" t="s">
        <v>814</v>
      </c>
      <c r="G237" s="33" t="s">
        <v>815</v>
      </c>
      <c r="H237" s="130" t="s">
        <v>1971</v>
      </c>
      <c r="I237" s="126" t="s">
        <v>796</v>
      </c>
      <c r="J237" s="32" t="s">
        <v>813</v>
      </c>
      <c r="K237" s="132" t="s">
        <v>800</v>
      </c>
      <c r="L237" s="128" t="s">
        <v>10</v>
      </c>
      <c r="M237" s="124"/>
    </row>
    <row r="238" spans="1:13">
      <c r="A238" s="155" t="s">
        <v>3051</v>
      </c>
      <c r="B238" s="51" t="s">
        <v>1961</v>
      </c>
      <c r="C238" s="32" t="s">
        <v>1970</v>
      </c>
      <c r="D238" s="33" t="s">
        <v>9</v>
      </c>
      <c r="E238" s="38" t="s">
        <v>1218</v>
      </c>
      <c r="F238" s="32" t="s">
        <v>817</v>
      </c>
      <c r="G238" s="33" t="s">
        <v>818</v>
      </c>
      <c r="H238" s="130" t="s">
        <v>1971</v>
      </c>
      <c r="I238" s="126" t="s">
        <v>796</v>
      </c>
      <c r="J238" s="32" t="s">
        <v>816</v>
      </c>
      <c r="K238" s="132" t="s">
        <v>800</v>
      </c>
      <c r="L238" s="128" t="s">
        <v>10</v>
      </c>
      <c r="M238" s="124"/>
    </row>
    <row r="239" spans="1:13">
      <c r="A239" s="155" t="s">
        <v>3051</v>
      </c>
      <c r="B239" s="51" t="s">
        <v>1950</v>
      </c>
      <c r="C239" s="32" t="s">
        <v>1970</v>
      </c>
      <c r="D239" s="33" t="s">
        <v>9</v>
      </c>
      <c r="E239" s="38" t="s">
        <v>1219</v>
      </c>
      <c r="F239" s="32" t="s">
        <v>820</v>
      </c>
      <c r="G239" s="33" t="s">
        <v>821</v>
      </c>
      <c r="H239" s="130" t="s">
        <v>1971</v>
      </c>
      <c r="I239" s="126" t="s">
        <v>796</v>
      </c>
      <c r="J239" s="32" t="s">
        <v>819</v>
      </c>
      <c r="K239" s="132" t="s">
        <v>800</v>
      </c>
      <c r="L239" s="128" t="s">
        <v>10</v>
      </c>
      <c r="M239" s="124"/>
    </row>
    <row r="240" spans="1:13">
      <c r="A240" s="155" t="s">
        <v>3051</v>
      </c>
      <c r="B240" s="51" t="s">
        <v>1950</v>
      </c>
      <c r="C240" s="32" t="s">
        <v>1970</v>
      </c>
      <c r="D240" s="33" t="s">
        <v>9</v>
      </c>
      <c r="E240" s="38" t="s">
        <v>1220</v>
      </c>
      <c r="F240" s="32" t="s">
        <v>824</v>
      </c>
      <c r="G240" s="33" t="s">
        <v>825</v>
      </c>
      <c r="H240" s="130" t="s">
        <v>1971</v>
      </c>
      <c r="I240" s="126" t="s">
        <v>822</v>
      </c>
      <c r="J240" s="32" t="s">
        <v>823</v>
      </c>
      <c r="K240" s="132" t="s">
        <v>826</v>
      </c>
      <c r="L240" s="128" t="s">
        <v>10</v>
      </c>
      <c r="M240" s="124"/>
    </row>
    <row r="241" spans="1:13">
      <c r="A241" s="155" t="s">
        <v>3051</v>
      </c>
      <c r="B241" s="51" t="s">
        <v>1951</v>
      </c>
      <c r="C241" s="32" t="s">
        <v>1970</v>
      </c>
      <c r="D241" s="33" t="s">
        <v>9</v>
      </c>
      <c r="E241" s="38" t="s">
        <v>1221</v>
      </c>
      <c r="F241" s="32" t="s">
        <v>828</v>
      </c>
      <c r="G241" s="33" t="s">
        <v>829</v>
      </c>
      <c r="H241" s="130" t="s">
        <v>1971</v>
      </c>
      <c r="I241" s="126" t="s">
        <v>822</v>
      </c>
      <c r="J241" s="32" t="s">
        <v>827</v>
      </c>
      <c r="K241" s="132" t="s">
        <v>826</v>
      </c>
      <c r="L241" s="128" t="s">
        <v>10</v>
      </c>
      <c r="M241" s="124"/>
    </row>
    <row r="242" spans="1:13">
      <c r="A242" s="155" t="s">
        <v>3051</v>
      </c>
      <c r="B242" s="51" t="s">
        <v>1954</v>
      </c>
      <c r="C242" s="32" t="s">
        <v>1970</v>
      </c>
      <c r="D242" s="33" t="s">
        <v>9</v>
      </c>
      <c r="E242" s="38" t="s">
        <v>1222</v>
      </c>
      <c r="F242" s="32" t="s">
        <v>831</v>
      </c>
      <c r="G242" s="33" t="s">
        <v>832</v>
      </c>
      <c r="H242" s="130" t="s">
        <v>1971</v>
      </c>
      <c r="I242" s="126" t="s">
        <v>822</v>
      </c>
      <c r="J242" s="32" t="s">
        <v>830</v>
      </c>
      <c r="K242" s="132" t="s">
        <v>826</v>
      </c>
      <c r="L242" s="128" t="s">
        <v>10</v>
      </c>
      <c r="M242" s="124"/>
    </row>
    <row r="243" spans="1:13">
      <c r="A243" s="155" t="s">
        <v>3051</v>
      </c>
      <c r="B243" s="51" t="s">
        <v>1954</v>
      </c>
      <c r="C243" s="32" t="s">
        <v>1970</v>
      </c>
      <c r="D243" s="33" t="s">
        <v>9</v>
      </c>
      <c r="E243" s="38" t="s">
        <v>1223</v>
      </c>
      <c r="F243" s="32" t="s">
        <v>834</v>
      </c>
      <c r="G243" s="33" t="s">
        <v>835</v>
      </c>
      <c r="H243" s="130" t="s">
        <v>1971</v>
      </c>
      <c r="I243" s="126" t="s">
        <v>822</v>
      </c>
      <c r="J243" s="32" t="s">
        <v>833</v>
      </c>
      <c r="K243" s="132" t="s">
        <v>826</v>
      </c>
      <c r="L243" s="128" t="s">
        <v>10</v>
      </c>
      <c r="M243" s="124"/>
    </row>
    <row r="244" spans="1:13">
      <c r="A244" s="155" t="s">
        <v>3051</v>
      </c>
      <c r="B244" s="51" t="s">
        <v>1956</v>
      </c>
      <c r="C244" s="32" t="s">
        <v>1970</v>
      </c>
      <c r="D244" s="33" t="s">
        <v>1946</v>
      </c>
      <c r="E244" s="38" t="s">
        <v>1224</v>
      </c>
      <c r="F244" s="32" t="s">
        <v>837</v>
      </c>
      <c r="G244" s="33" t="s">
        <v>3471</v>
      </c>
      <c r="H244" s="130" t="s">
        <v>3475</v>
      </c>
      <c r="I244" s="126" t="s">
        <v>822</v>
      </c>
      <c r="J244" s="32" t="s">
        <v>836</v>
      </c>
      <c r="K244" s="132" t="s">
        <v>826</v>
      </c>
      <c r="L244" s="128" t="s">
        <v>10</v>
      </c>
      <c r="M244" s="124"/>
    </row>
    <row r="245" spans="1:13">
      <c r="A245" s="155" t="s">
        <v>3051</v>
      </c>
      <c r="B245" s="51" t="s">
        <v>1960</v>
      </c>
      <c r="C245" s="32" t="s">
        <v>1970</v>
      </c>
      <c r="D245" s="33" t="s">
        <v>9</v>
      </c>
      <c r="E245" s="38" t="s">
        <v>1225</v>
      </c>
      <c r="F245" s="32" t="s">
        <v>839</v>
      </c>
      <c r="G245" s="33" t="s">
        <v>840</v>
      </c>
      <c r="H245" s="130" t="s">
        <v>1971</v>
      </c>
      <c r="I245" s="126" t="s">
        <v>822</v>
      </c>
      <c r="J245" s="32" t="s">
        <v>838</v>
      </c>
      <c r="K245" s="132" t="s">
        <v>826</v>
      </c>
      <c r="L245" s="128" t="s">
        <v>10</v>
      </c>
      <c r="M245" s="124"/>
    </row>
    <row r="246" spans="1:13">
      <c r="A246" s="155" t="s">
        <v>3051</v>
      </c>
      <c r="B246" s="51" t="s">
        <v>1959</v>
      </c>
      <c r="C246" s="32" t="s">
        <v>1970</v>
      </c>
      <c r="D246" s="33" t="s">
        <v>9</v>
      </c>
      <c r="E246" s="38" t="s">
        <v>1226</v>
      </c>
      <c r="F246" s="32" t="s">
        <v>842</v>
      </c>
      <c r="G246" s="33" t="s">
        <v>843</v>
      </c>
      <c r="H246" s="130" t="s">
        <v>1971</v>
      </c>
      <c r="I246" s="126" t="s">
        <v>822</v>
      </c>
      <c r="J246" s="32" t="s">
        <v>841</v>
      </c>
      <c r="K246" s="132" t="s">
        <v>826</v>
      </c>
      <c r="L246" s="128" t="s">
        <v>10</v>
      </c>
      <c r="M246" s="124"/>
    </row>
    <row r="247" spans="1:13">
      <c r="A247" s="155" t="s">
        <v>3051</v>
      </c>
      <c r="B247" s="51" t="s">
        <v>1954</v>
      </c>
      <c r="C247" s="32" t="s">
        <v>1970</v>
      </c>
      <c r="D247" s="33" t="s">
        <v>9</v>
      </c>
      <c r="E247" s="38" t="s">
        <v>1227</v>
      </c>
      <c r="F247" s="32" t="s">
        <v>845</v>
      </c>
      <c r="G247" s="33" t="s">
        <v>846</v>
      </c>
      <c r="H247" s="130" t="s">
        <v>1971</v>
      </c>
      <c r="I247" s="126" t="s">
        <v>822</v>
      </c>
      <c r="J247" s="32" t="s">
        <v>844</v>
      </c>
      <c r="K247" s="132" t="s">
        <v>826</v>
      </c>
      <c r="L247" s="128" t="s">
        <v>10</v>
      </c>
      <c r="M247" s="124"/>
    </row>
    <row r="248" spans="1:13">
      <c r="A248" s="155" t="s">
        <v>3051</v>
      </c>
      <c r="B248" s="51" t="s">
        <v>1956</v>
      </c>
      <c r="C248" s="32" t="s">
        <v>1970</v>
      </c>
      <c r="D248" s="33" t="s">
        <v>9</v>
      </c>
      <c r="E248" s="38" t="s">
        <v>1228</v>
      </c>
      <c r="F248" s="32" t="s">
        <v>848</v>
      </c>
      <c r="G248" s="33" t="s">
        <v>849</v>
      </c>
      <c r="H248" s="130" t="s">
        <v>1971</v>
      </c>
      <c r="I248" s="126" t="s">
        <v>822</v>
      </c>
      <c r="J248" s="32" t="s">
        <v>847</v>
      </c>
      <c r="K248" s="132" t="s">
        <v>826</v>
      </c>
      <c r="L248" s="128" t="s">
        <v>10</v>
      </c>
      <c r="M248" s="124"/>
    </row>
    <row r="249" spans="1:13">
      <c r="A249" s="155" t="s">
        <v>3051</v>
      </c>
      <c r="B249" s="51" t="s">
        <v>1950</v>
      </c>
      <c r="C249" s="32" t="s">
        <v>1970</v>
      </c>
      <c r="D249" s="33" t="s">
        <v>1336</v>
      </c>
      <c r="E249" s="38" t="s">
        <v>1229</v>
      </c>
      <c r="F249" s="32" t="s">
        <v>851</v>
      </c>
      <c r="G249" s="33" t="s">
        <v>852</v>
      </c>
      <c r="H249" s="130" t="s">
        <v>1969</v>
      </c>
      <c r="I249" s="126" t="s">
        <v>822</v>
      </c>
      <c r="J249" s="32" t="s">
        <v>850</v>
      </c>
      <c r="K249" s="132" t="s">
        <v>826</v>
      </c>
      <c r="L249" s="128" t="s">
        <v>8</v>
      </c>
      <c r="M249" s="124"/>
    </row>
    <row r="250" spans="1:13">
      <c r="A250" s="155" t="s">
        <v>3051</v>
      </c>
      <c r="B250" s="51" t="s">
        <v>1950</v>
      </c>
      <c r="C250" s="32" t="s">
        <v>1970</v>
      </c>
      <c r="D250" s="33" t="s">
        <v>9</v>
      </c>
      <c r="E250" s="38" t="s">
        <v>1230</v>
      </c>
      <c r="F250" s="32" t="s">
        <v>854</v>
      </c>
      <c r="G250" s="33" t="s">
        <v>855</v>
      </c>
      <c r="H250" s="130" t="s">
        <v>1971</v>
      </c>
      <c r="I250" s="126" t="s">
        <v>822</v>
      </c>
      <c r="J250" s="32" t="s">
        <v>853</v>
      </c>
      <c r="K250" s="132" t="s">
        <v>826</v>
      </c>
      <c r="L250" s="128" t="s">
        <v>10</v>
      </c>
      <c r="M250" s="124"/>
    </row>
    <row r="251" spans="1:13">
      <c r="A251" s="155" t="s">
        <v>3051</v>
      </c>
      <c r="B251" s="51" t="s">
        <v>1959</v>
      </c>
      <c r="C251" s="32" t="s">
        <v>1970</v>
      </c>
      <c r="D251" s="33" t="s">
        <v>9</v>
      </c>
      <c r="E251" s="38" t="s">
        <v>1231</v>
      </c>
      <c r="F251" s="32" t="s">
        <v>857</v>
      </c>
      <c r="G251" s="33" t="s">
        <v>858</v>
      </c>
      <c r="H251" s="130" t="s">
        <v>1971</v>
      </c>
      <c r="I251" s="126" t="s">
        <v>822</v>
      </c>
      <c r="J251" s="32" t="s">
        <v>856</v>
      </c>
      <c r="K251" s="132" t="s">
        <v>826</v>
      </c>
      <c r="L251" s="128" t="s">
        <v>10</v>
      </c>
      <c r="M251" s="124"/>
    </row>
    <row r="252" spans="1:13">
      <c r="A252" s="155" t="s">
        <v>3051</v>
      </c>
      <c r="B252" s="51" t="s">
        <v>1959</v>
      </c>
      <c r="C252" s="32" t="s">
        <v>1970</v>
      </c>
      <c r="D252" s="33" t="s">
        <v>9</v>
      </c>
      <c r="E252" s="38" t="s">
        <v>1232</v>
      </c>
      <c r="F252" s="32" t="s">
        <v>860</v>
      </c>
      <c r="G252" s="33" t="s">
        <v>861</v>
      </c>
      <c r="H252" s="130" t="s">
        <v>1971</v>
      </c>
      <c r="I252" s="126" t="s">
        <v>822</v>
      </c>
      <c r="J252" s="32" t="s">
        <v>859</v>
      </c>
      <c r="K252" s="132" t="s">
        <v>826</v>
      </c>
      <c r="L252" s="128" t="s">
        <v>10</v>
      </c>
      <c r="M252" s="124"/>
    </row>
    <row r="253" spans="1:13">
      <c r="A253" s="155" t="s">
        <v>3051</v>
      </c>
      <c r="B253" s="51" t="s">
        <v>1959</v>
      </c>
      <c r="C253" s="32" t="s">
        <v>1970</v>
      </c>
      <c r="D253" s="33" t="s">
        <v>9</v>
      </c>
      <c r="E253" s="38" t="s">
        <v>1233</v>
      </c>
      <c r="F253" s="32" t="s">
        <v>863</v>
      </c>
      <c r="G253" s="33" t="s">
        <v>864</v>
      </c>
      <c r="H253" s="130" t="s">
        <v>1971</v>
      </c>
      <c r="I253" s="126" t="s">
        <v>822</v>
      </c>
      <c r="J253" s="32" t="s">
        <v>862</v>
      </c>
      <c r="K253" s="132" t="s">
        <v>826</v>
      </c>
      <c r="L253" s="128" t="s">
        <v>10</v>
      </c>
      <c r="M253" s="124"/>
    </row>
    <row r="254" spans="1:13">
      <c r="A254" s="155" t="s">
        <v>3051</v>
      </c>
      <c r="B254" s="51" t="s">
        <v>1953</v>
      </c>
      <c r="C254" s="32" t="s">
        <v>1970</v>
      </c>
      <c r="D254" s="33" t="s">
        <v>9</v>
      </c>
      <c r="E254" s="38" t="s">
        <v>1234</v>
      </c>
      <c r="F254" s="32" t="s">
        <v>866</v>
      </c>
      <c r="G254" s="33" t="s">
        <v>867</v>
      </c>
      <c r="H254" s="130" t="s">
        <v>1971</v>
      </c>
      <c r="I254" s="126" t="s">
        <v>822</v>
      </c>
      <c r="J254" s="32" t="s">
        <v>865</v>
      </c>
      <c r="K254" s="132" t="s">
        <v>826</v>
      </c>
      <c r="L254" s="128" t="s">
        <v>10</v>
      </c>
      <c r="M254" s="124"/>
    </row>
    <row r="255" spans="1:13">
      <c r="A255" s="155" t="s">
        <v>3051</v>
      </c>
      <c r="B255" s="51" t="s">
        <v>1956</v>
      </c>
      <c r="C255" s="32" t="s">
        <v>1970</v>
      </c>
      <c r="D255" s="33" t="s">
        <v>9</v>
      </c>
      <c r="E255" s="38" t="s">
        <v>1235</v>
      </c>
      <c r="F255" s="32" t="s">
        <v>869</v>
      </c>
      <c r="G255" s="33" t="s">
        <v>3474</v>
      </c>
      <c r="H255" s="130" t="s">
        <v>1971</v>
      </c>
      <c r="I255" s="126" t="s">
        <v>822</v>
      </c>
      <c r="J255" s="32" t="s">
        <v>868</v>
      </c>
      <c r="K255" s="132" t="s">
        <v>870</v>
      </c>
      <c r="L255" s="128" t="s">
        <v>10</v>
      </c>
      <c r="M255" s="124"/>
    </row>
    <row r="256" spans="1:13">
      <c r="A256" s="155" t="s">
        <v>3051</v>
      </c>
      <c r="B256" s="51" t="s">
        <v>1954</v>
      </c>
      <c r="C256" s="32" t="s">
        <v>1970</v>
      </c>
      <c r="D256" s="33" t="s">
        <v>9</v>
      </c>
      <c r="E256" s="38" t="s">
        <v>1236</v>
      </c>
      <c r="F256" s="32" t="s">
        <v>872</v>
      </c>
      <c r="G256" s="33" t="s">
        <v>873</v>
      </c>
      <c r="H256" s="130" t="s">
        <v>1971</v>
      </c>
      <c r="I256" s="126" t="s">
        <v>822</v>
      </c>
      <c r="J256" s="32" t="s">
        <v>871</v>
      </c>
      <c r="K256" s="132" t="s">
        <v>826</v>
      </c>
      <c r="L256" s="128" t="s">
        <v>10</v>
      </c>
      <c r="M256" s="124"/>
    </row>
    <row r="257" spans="1:13" ht="30">
      <c r="A257" s="155" t="s">
        <v>3051</v>
      </c>
      <c r="B257" s="51" t="s">
        <v>1957</v>
      </c>
      <c r="C257" s="32" t="s">
        <v>1970</v>
      </c>
      <c r="D257" s="33" t="s">
        <v>9</v>
      </c>
      <c r="E257" s="38" t="s">
        <v>1237</v>
      </c>
      <c r="F257" s="32" t="s">
        <v>875</v>
      </c>
      <c r="G257" s="33" t="s">
        <v>876</v>
      </c>
      <c r="H257" s="130" t="s">
        <v>1971</v>
      </c>
      <c r="I257" s="126" t="s">
        <v>822</v>
      </c>
      <c r="J257" s="32" t="s">
        <v>874</v>
      </c>
      <c r="K257" s="132" t="s">
        <v>826</v>
      </c>
      <c r="L257" s="128" t="s">
        <v>10</v>
      </c>
      <c r="M257" s="124"/>
    </row>
    <row r="258" spans="1:13">
      <c r="A258" s="155" t="s">
        <v>3051</v>
      </c>
      <c r="B258" s="51" t="s">
        <v>1960</v>
      </c>
      <c r="C258" s="32" t="s">
        <v>1970</v>
      </c>
      <c r="D258" s="33" t="s">
        <v>9</v>
      </c>
      <c r="E258" s="38" t="s">
        <v>1238</v>
      </c>
      <c r="F258" s="32" t="s">
        <v>879</v>
      </c>
      <c r="G258" s="33" t="s">
        <v>880</v>
      </c>
      <c r="H258" s="130" t="s">
        <v>1971</v>
      </c>
      <c r="I258" s="126" t="s">
        <v>877</v>
      </c>
      <c r="J258" s="32" t="s">
        <v>878</v>
      </c>
      <c r="K258" s="132" t="s">
        <v>881</v>
      </c>
      <c r="L258" s="128" t="s">
        <v>10</v>
      </c>
      <c r="M258" s="124"/>
    </row>
    <row r="259" spans="1:13">
      <c r="A259" s="155" t="s">
        <v>3051</v>
      </c>
      <c r="B259" s="51" t="s">
        <v>1958</v>
      </c>
      <c r="C259" s="32" t="s">
        <v>1970</v>
      </c>
      <c r="D259" s="33" t="s">
        <v>9</v>
      </c>
      <c r="E259" s="38" t="s">
        <v>1239</v>
      </c>
      <c r="F259" s="32" t="s">
        <v>883</v>
      </c>
      <c r="G259" s="33" t="s">
        <v>884</v>
      </c>
      <c r="H259" s="130" t="s">
        <v>1971</v>
      </c>
      <c r="I259" s="126" t="s">
        <v>877</v>
      </c>
      <c r="J259" s="32" t="s">
        <v>882</v>
      </c>
      <c r="K259" s="132" t="s">
        <v>885</v>
      </c>
      <c r="L259" s="128" t="s">
        <v>10</v>
      </c>
      <c r="M259" s="124"/>
    </row>
    <row r="260" spans="1:13">
      <c r="A260" s="155" t="s">
        <v>3051</v>
      </c>
      <c r="B260" s="51" t="s">
        <v>1962</v>
      </c>
      <c r="C260" s="32" t="s">
        <v>1970</v>
      </c>
      <c r="D260" s="33" t="s">
        <v>9</v>
      </c>
      <c r="E260" s="38" t="s">
        <v>1240</v>
      </c>
      <c r="F260" s="32" t="s">
        <v>887</v>
      </c>
      <c r="G260" s="33" t="s">
        <v>888</v>
      </c>
      <c r="H260" s="130" t="s">
        <v>1971</v>
      </c>
      <c r="I260" s="126" t="s">
        <v>877</v>
      </c>
      <c r="J260" s="32" t="s">
        <v>886</v>
      </c>
      <c r="K260" s="132" t="s">
        <v>881</v>
      </c>
      <c r="L260" s="128" t="s">
        <v>10</v>
      </c>
      <c r="M260" s="124"/>
    </row>
    <row r="261" spans="1:13">
      <c r="A261" s="155" t="s">
        <v>3051</v>
      </c>
      <c r="B261" s="51" t="s">
        <v>1958</v>
      </c>
      <c r="C261" s="32" t="s">
        <v>1970</v>
      </c>
      <c r="D261" s="33" t="s">
        <v>9</v>
      </c>
      <c r="E261" s="38" t="s">
        <v>1241</v>
      </c>
      <c r="F261" s="32" t="s">
        <v>890</v>
      </c>
      <c r="G261" s="33" t="s">
        <v>891</v>
      </c>
      <c r="H261" s="130" t="s">
        <v>1971</v>
      </c>
      <c r="I261" s="126" t="s">
        <v>877</v>
      </c>
      <c r="J261" s="32" t="s">
        <v>889</v>
      </c>
      <c r="K261" s="132" t="s">
        <v>881</v>
      </c>
      <c r="L261" s="128" t="s">
        <v>10</v>
      </c>
      <c r="M261" s="124"/>
    </row>
    <row r="262" spans="1:13">
      <c r="A262" s="155" t="s">
        <v>3051</v>
      </c>
      <c r="B262" s="51" t="s">
        <v>1960</v>
      </c>
      <c r="C262" s="32" t="s">
        <v>1970</v>
      </c>
      <c r="D262" s="33" t="s">
        <v>9</v>
      </c>
      <c r="E262" s="38" t="s">
        <v>1242</v>
      </c>
      <c r="F262" s="32" t="s">
        <v>893</v>
      </c>
      <c r="G262" s="33" t="s">
        <v>894</v>
      </c>
      <c r="H262" s="130" t="s">
        <v>1971</v>
      </c>
      <c r="I262" s="126" t="s">
        <v>877</v>
      </c>
      <c r="J262" s="32" t="s">
        <v>892</v>
      </c>
      <c r="K262" s="132" t="s">
        <v>881</v>
      </c>
      <c r="L262" s="128" t="s">
        <v>10</v>
      </c>
      <c r="M262" s="124"/>
    </row>
    <row r="263" spans="1:13">
      <c r="A263" s="155" t="s">
        <v>3051</v>
      </c>
      <c r="B263" s="51" t="s">
        <v>1964</v>
      </c>
      <c r="C263" s="32" t="s">
        <v>1970</v>
      </c>
      <c r="D263" s="33" t="s">
        <v>9</v>
      </c>
      <c r="E263" s="38" t="s">
        <v>1243</v>
      </c>
      <c r="F263" s="32" t="s">
        <v>896</v>
      </c>
      <c r="G263" s="33" t="s">
        <v>897</v>
      </c>
      <c r="H263" s="130" t="s">
        <v>1971</v>
      </c>
      <c r="I263" s="126" t="s">
        <v>877</v>
      </c>
      <c r="J263" s="32" t="s">
        <v>895</v>
      </c>
      <c r="K263" s="132" t="s">
        <v>881</v>
      </c>
      <c r="L263" s="128" t="s">
        <v>10</v>
      </c>
      <c r="M263" s="124"/>
    </row>
    <row r="264" spans="1:13">
      <c r="A264" s="155" t="s">
        <v>3051</v>
      </c>
      <c r="B264" s="51" t="s">
        <v>1960</v>
      </c>
      <c r="C264" s="32" t="s">
        <v>1970</v>
      </c>
      <c r="D264" s="33" t="s">
        <v>9</v>
      </c>
      <c r="E264" s="38" t="s">
        <v>1244</v>
      </c>
      <c r="F264" s="32" t="s">
        <v>899</v>
      </c>
      <c r="G264" s="33" t="s">
        <v>900</v>
      </c>
      <c r="H264" s="130" t="s">
        <v>1971</v>
      </c>
      <c r="I264" s="126" t="s">
        <v>877</v>
      </c>
      <c r="J264" s="32" t="s">
        <v>898</v>
      </c>
      <c r="K264" s="132" t="s">
        <v>881</v>
      </c>
      <c r="L264" s="128" t="s">
        <v>10</v>
      </c>
      <c r="M264" s="124"/>
    </row>
    <row r="265" spans="1:13">
      <c r="A265" s="155" t="s">
        <v>3051</v>
      </c>
      <c r="B265" s="51" t="s">
        <v>1959</v>
      </c>
      <c r="C265" s="32" t="s">
        <v>1970</v>
      </c>
      <c r="D265" s="33" t="s">
        <v>9</v>
      </c>
      <c r="E265" s="38" t="s">
        <v>1245</v>
      </c>
      <c r="F265" s="32" t="s">
        <v>902</v>
      </c>
      <c r="G265" s="33" t="s">
        <v>903</v>
      </c>
      <c r="H265" s="130" t="s">
        <v>1971</v>
      </c>
      <c r="I265" s="126" t="s">
        <v>877</v>
      </c>
      <c r="J265" s="32" t="s">
        <v>901</v>
      </c>
      <c r="K265" s="132" t="s">
        <v>881</v>
      </c>
      <c r="L265" s="128" t="s">
        <v>10</v>
      </c>
      <c r="M265" s="124"/>
    </row>
    <row r="266" spans="1:13">
      <c r="A266" s="155" t="s">
        <v>3051</v>
      </c>
      <c r="B266" s="51" t="s">
        <v>1973</v>
      </c>
      <c r="C266" s="32" t="s">
        <v>1970</v>
      </c>
      <c r="D266" s="33" t="s">
        <v>1948</v>
      </c>
      <c r="E266" s="38" t="s">
        <v>1246</v>
      </c>
      <c r="F266" s="32" t="s">
        <v>906</v>
      </c>
      <c r="G266" s="33" t="s">
        <v>907</v>
      </c>
      <c r="H266" s="130" t="s">
        <v>1972</v>
      </c>
      <c r="I266" s="126" t="s">
        <v>904</v>
      </c>
      <c r="J266" s="32" t="s">
        <v>905</v>
      </c>
      <c r="K266" s="132" t="s">
        <v>908</v>
      </c>
      <c r="L266" s="128" t="s">
        <v>10</v>
      </c>
      <c r="M266" s="124"/>
    </row>
    <row r="267" spans="1:13">
      <c r="A267" s="155" t="s">
        <v>3051</v>
      </c>
      <c r="B267" s="51" t="s">
        <v>1973</v>
      </c>
      <c r="C267" s="32" t="s">
        <v>1970</v>
      </c>
      <c r="D267" s="33" t="s">
        <v>1948</v>
      </c>
      <c r="E267" s="38" t="s">
        <v>1247</v>
      </c>
      <c r="F267" s="32" t="s">
        <v>910</v>
      </c>
      <c r="G267" s="33" t="s">
        <v>911</v>
      </c>
      <c r="H267" s="130" t="s">
        <v>1972</v>
      </c>
      <c r="I267" s="126" t="s">
        <v>904</v>
      </c>
      <c r="J267" s="32" t="s">
        <v>909</v>
      </c>
      <c r="K267" s="132" t="s">
        <v>912</v>
      </c>
      <c r="L267" s="128" t="s">
        <v>10</v>
      </c>
      <c r="M267" s="124"/>
    </row>
    <row r="268" spans="1:13">
      <c r="A268" s="155" t="s">
        <v>3051</v>
      </c>
      <c r="B268" s="51" t="s">
        <v>1961</v>
      </c>
      <c r="C268" s="32" t="s">
        <v>1970</v>
      </c>
      <c r="D268" s="33" t="s">
        <v>1948</v>
      </c>
      <c r="E268" s="38" t="s">
        <v>1248</v>
      </c>
      <c r="F268" s="32" t="s">
        <v>914</v>
      </c>
      <c r="G268" s="33" t="s">
        <v>915</v>
      </c>
      <c r="H268" s="130" t="s">
        <v>1972</v>
      </c>
      <c r="I268" s="126" t="s">
        <v>904</v>
      </c>
      <c r="J268" s="32" t="s">
        <v>913</v>
      </c>
      <c r="K268" s="132" t="s">
        <v>916</v>
      </c>
      <c r="L268" s="128" t="s">
        <v>9</v>
      </c>
      <c r="M268" s="124"/>
    </row>
    <row r="269" spans="1:13">
      <c r="A269" s="155" t="s">
        <v>3051</v>
      </c>
      <c r="B269" s="51" t="s">
        <v>1959</v>
      </c>
      <c r="C269" s="32" t="s">
        <v>1970</v>
      </c>
      <c r="D269" s="33" t="s">
        <v>9</v>
      </c>
      <c r="E269" s="38" t="s">
        <v>1249</v>
      </c>
      <c r="F269" s="32" t="s">
        <v>918</v>
      </c>
      <c r="G269" s="33" t="s">
        <v>919</v>
      </c>
      <c r="H269" s="130" t="s">
        <v>1971</v>
      </c>
      <c r="I269" s="126" t="s">
        <v>904</v>
      </c>
      <c r="J269" s="32" t="s">
        <v>917</v>
      </c>
      <c r="K269" s="132" t="s">
        <v>912</v>
      </c>
      <c r="L269" s="128" t="s">
        <v>10</v>
      </c>
      <c r="M269" s="124"/>
    </row>
    <row r="270" spans="1:13">
      <c r="A270" s="155" t="s">
        <v>3051</v>
      </c>
      <c r="B270" s="51" t="s">
        <v>1960</v>
      </c>
      <c r="C270" s="32" t="s">
        <v>1970</v>
      </c>
      <c r="D270" s="33" t="s">
        <v>9</v>
      </c>
      <c r="E270" s="38" t="s">
        <v>1250</v>
      </c>
      <c r="F270" s="32" t="s">
        <v>922</v>
      </c>
      <c r="G270" s="33" t="s">
        <v>923</v>
      </c>
      <c r="H270" s="130" t="s">
        <v>1971</v>
      </c>
      <c r="I270" s="126" t="s">
        <v>920</v>
      </c>
      <c r="J270" s="32" t="s">
        <v>921</v>
      </c>
      <c r="K270" s="132" t="s">
        <v>924</v>
      </c>
      <c r="L270" s="128" t="s">
        <v>10</v>
      </c>
      <c r="M270" s="124"/>
    </row>
    <row r="271" spans="1:13">
      <c r="A271" s="155" t="s">
        <v>3051</v>
      </c>
      <c r="B271" s="51" t="s">
        <v>1960</v>
      </c>
      <c r="C271" s="32" t="s">
        <v>1970</v>
      </c>
      <c r="D271" s="33" t="s">
        <v>9</v>
      </c>
      <c r="E271" s="38" t="s">
        <v>1251</v>
      </c>
      <c r="F271" s="32" t="s">
        <v>926</v>
      </c>
      <c r="G271" s="33" t="s">
        <v>927</v>
      </c>
      <c r="H271" s="130" t="s">
        <v>1971</v>
      </c>
      <c r="I271" s="126" t="s">
        <v>920</v>
      </c>
      <c r="J271" s="32" t="s">
        <v>925</v>
      </c>
      <c r="K271" s="132" t="s">
        <v>924</v>
      </c>
      <c r="L271" s="128" t="s">
        <v>10</v>
      </c>
      <c r="M271" s="124"/>
    </row>
    <row r="272" spans="1:13">
      <c r="A272" s="155" t="s">
        <v>3051</v>
      </c>
      <c r="B272" s="51" t="s">
        <v>1960</v>
      </c>
      <c r="C272" s="32" t="s">
        <v>1970</v>
      </c>
      <c r="D272" s="33" t="s">
        <v>9</v>
      </c>
      <c r="E272" s="38" t="s">
        <v>1252</v>
      </c>
      <c r="F272" s="32" t="s">
        <v>929</v>
      </c>
      <c r="G272" s="33" t="s">
        <v>930</v>
      </c>
      <c r="H272" s="130" t="s">
        <v>1971</v>
      </c>
      <c r="I272" s="126" t="s">
        <v>920</v>
      </c>
      <c r="J272" s="32" t="s">
        <v>928</v>
      </c>
      <c r="K272" s="132" t="s">
        <v>924</v>
      </c>
      <c r="L272" s="128" t="s">
        <v>10</v>
      </c>
      <c r="M272" s="124"/>
    </row>
    <row r="273" spans="1:13">
      <c r="A273" s="155" t="s">
        <v>3051</v>
      </c>
      <c r="B273" s="51" t="s">
        <v>1973</v>
      </c>
      <c r="C273" s="32" t="s">
        <v>1970</v>
      </c>
      <c r="D273" s="33" t="s">
        <v>9</v>
      </c>
      <c r="E273" s="38" t="s">
        <v>1253</v>
      </c>
      <c r="F273" s="32" t="s">
        <v>932</v>
      </c>
      <c r="G273" s="33" t="s">
        <v>933</v>
      </c>
      <c r="H273" s="130" t="s">
        <v>1971</v>
      </c>
      <c r="I273" s="126" t="s">
        <v>920</v>
      </c>
      <c r="J273" s="32" t="s">
        <v>931</v>
      </c>
      <c r="K273" s="132" t="s">
        <v>924</v>
      </c>
      <c r="L273" s="128" t="s">
        <v>10</v>
      </c>
      <c r="M273" s="124"/>
    </row>
    <row r="274" spans="1:13" ht="30">
      <c r="A274" s="155" t="s">
        <v>3050</v>
      </c>
      <c r="B274" s="51" t="s">
        <v>1952</v>
      </c>
      <c r="C274" s="32" t="s">
        <v>1974</v>
      </c>
      <c r="D274" s="33" t="s">
        <v>1948</v>
      </c>
      <c r="E274" s="38" t="s">
        <v>1871</v>
      </c>
      <c r="F274" s="32" t="s">
        <v>1870</v>
      </c>
      <c r="G274" s="33" t="s">
        <v>1872</v>
      </c>
      <c r="H274" s="130" t="s">
        <v>1975</v>
      </c>
      <c r="I274" s="126" t="s">
        <v>1868</v>
      </c>
      <c r="J274" s="32" t="s">
        <v>1869</v>
      </c>
      <c r="K274" s="132" t="s">
        <v>1873</v>
      </c>
      <c r="L274" s="128" t="s">
        <v>10</v>
      </c>
      <c r="M274" s="124"/>
    </row>
    <row r="275" spans="1:13">
      <c r="A275" s="155" t="s">
        <v>3050</v>
      </c>
      <c r="B275" s="51" t="s">
        <v>1953</v>
      </c>
      <c r="C275" s="32" t="s">
        <v>1974</v>
      </c>
      <c r="D275" s="33" t="s">
        <v>1948</v>
      </c>
      <c r="E275" s="38" t="s">
        <v>1877</v>
      </c>
      <c r="F275" s="32" t="s">
        <v>1876</v>
      </c>
      <c r="G275" s="33" t="s">
        <v>1878</v>
      </c>
      <c r="H275" s="130" t="s">
        <v>1975</v>
      </c>
      <c r="I275" s="126" t="s">
        <v>1874</v>
      </c>
      <c r="J275" s="32" t="s">
        <v>1875</v>
      </c>
      <c r="K275" s="132" t="s">
        <v>1873</v>
      </c>
      <c r="L275" s="128" t="s">
        <v>10</v>
      </c>
      <c r="M275" s="124"/>
    </row>
    <row r="276" spans="1:13">
      <c r="A276" s="155" t="s">
        <v>3050</v>
      </c>
      <c r="B276" s="51" t="s">
        <v>1959</v>
      </c>
      <c r="C276" s="32" t="s">
        <v>1974</v>
      </c>
      <c r="D276" s="33" t="s">
        <v>1948</v>
      </c>
      <c r="E276" s="38" t="s">
        <v>1882</v>
      </c>
      <c r="F276" s="32" t="s">
        <v>1881</v>
      </c>
      <c r="G276" s="33" t="s">
        <v>1883</v>
      </c>
      <c r="H276" s="130" t="s">
        <v>1975</v>
      </c>
      <c r="I276" s="126" t="s">
        <v>1879</v>
      </c>
      <c r="J276" s="32" t="s">
        <v>1880</v>
      </c>
      <c r="K276" s="132" t="s">
        <v>1873</v>
      </c>
      <c r="L276" s="128" t="s">
        <v>10</v>
      </c>
      <c r="M276" s="124"/>
    </row>
    <row r="277" spans="1:13">
      <c r="A277" s="155" t="s">
        <v>3050</v>
      </c>
      <c r="B277" s="51" t="s">
        <v>1952</v>
      </c>
      <c r="C277" s="32" t="s">
        <v>1974</v>
      </c>
      <c r="D277" s="33" t="s">
        <v>1948</v>
      </c>
      <c r="E277" s="38" t="s">
        <v>1887</v>
      </c>
      <c r="F277" s="32" t="s">
        <v>1886</v>
      </c>
      <c r="G277" s="33" t="s">
        <v>1888</v>
      </c>
      <c r="H277" s="130" t="s">
        <v>1975</v>
      </c>
      <c r="I277" s="126" t="s">
        <v>1884</v>
      </c>
      <c r="J277" s="32" t="s">
        <v>1885</v>
      </c>
      <c r="K277" s="132" t="s">
        <v>1873</v>
      </c>
      <c r="L277" s="128" t="s">
        <v>10</v>
      </c>
      <c r="M277" s="124"/>
    </row>
    <row r="278" spans="1:13">
      <c r="A278" s="155" t="s">
        <v>3050</v>
      </c>
      <c r="B278" s="51" t="s">
        <v>1952</v>
      </c>
      <c r="C278" s="32" t="s">
        <v>1974</v>
      </c>
      <c r="D278" s="33" t="s">
        <v>1948</v>
      </c>
      <c r="E278" s="38" t="s">
        <v>1891</v>
      </c>
      <c r="F278" s="32" t="s">
        <v>1890</v>
      </c>
      <c r="G278" s="33" t="s">
        <v>1892</v>
      </c>
      <c r="H278" s="130" t="s">
        <v>1975</v>
      </c>
      <c r="I278" s="126" t="s">
        <v>1884</v>
      </c>
      <c r="J278" s="32" t="s">
        <v>1889</v>
      </c>
      <c r="K278" s="132" t="s">
        <v>1873</v>
      </c>
      <c r="L278" s="128" t="s">
        <v>10</v>
      </c>
      <c r="M278" s="124"/>
    </row>
    <row r="279" spans="1:13">
      <c r="A279" s="155" t="s">
        <v>3050</v>
      </c>
      <c r="B279" s="51" t="s">
        <v>1960</v>
      </c>
      <c r="C279" s="32" t="s">
        <v>1974</v>
      </c>
      <c r="D279" s="33" t="s">
        <v>1948</v>
      </c>
      <c r="E279" s="38" t="s">
        <v>1896</v>
      </c>
      <c r="F279" s="32" t="s">
        <v>1895</v>
      </c>
      <c r="G279" s="33" t="s">
        <v>1897</v>
      </c>
      <c r="H279" s="130" t="s">
        <v>1975</v>
      </c>
      <c r="I279" s="126" t="s">
        <v>1893</v>
      </c>
      <c r="J279" s="32" t="s">
        <v>1894</v>
      </c>
      <c r="K279" s="132" t="s">
        <v>1873</v>
      </c>
      <c r="L279" s="128" t="s">
        <v>10</v>
      </c>
      <c r="M279" s="124"/>
    </row>
    <row r="280" spans="1:13">
      <c r="A280" s="155" t="s">
        <v>3050</v>
      </c>
      <c r="B280" s="51" t="s">
        <v>1953</v>
      </c>
      <c r="C280" s="32" t="s">
        <v>1974</v>
      </c>
      <c r="D280" s="33" t="s">
        <v>1948</v>
      </c>
      <c r="E280" s="38" t="s">
        <v>1901</v>
      </c>
      <c r="F280" s="32" t="s">
        <v>1900</v>
      </c>
      <c r="G280" s="33" t="s">
        <v>1902</v>
      </c>
      <c r="H280" s="130" t="s">
        <v>1975</v>
      </c>
      <c r="I280" s="126" t="s">
        <v>1898</v>
      </c>
      <c r="J280" s="32" t="s">
        <v>1899</v>
      </c>
      <c r="K280" s="132" t="s">
        <v>1873</v>
      </c>
      <c r="L280" s="128" t="s">
        <v>10</v>
      </c>
      <c r="M280" s="124"/>
    </row>
    <row r="281" spans="1:13">
      <c r="A281" s="155" t="s">
        <v>3050</v>
      </c>
      <c r="B281" s="51" t="s">
        <v>1960</v>
      </c>
      <c r="C281" s="32" t="s">
        <v>1974</v>
      </c>
      <c r="D281" s="33" t="s">
        <v>1948</v>
      </c>
      <c r="E281" s="38" t="s">
        <v>1906</v>
      </c>
      <c r="F281" s="32" t="s">
        <v>1905</v>
      </c>
      <c r="G281" s="33" t="s">
        <v>1907</v>
      </c>
      <c r="H281" s="130" t="s">
        <v>1975</v>
      </c>
      <c r="I281" s="126" t="s">
        <v>1903</v>
      </c>
      <c r="J281" s="32" t="s">
        <v>1904</v>
      </c>
      <c r="K281" s="132" t="s">
        <v>1873</v>
      </c>
      <c r="L281" s="128" t="s">
        <v>10</v>
      </c>
      <c r="M281" s="124"/>
    </row>
    <row r="282" spans="1:13">
      <c r="A282" s="155" t="s">
        <v>3050</v>
      </c>
      <c r="B282" s="51" t="s">
        <v>1951</v>
      </c>
      <c r="C282" s="32" t="s">
        <v>1974</v>
      </c>
      <c r="D282" s="33" t="s">
        <v>1948</v>
      </c>
      <c r="E282" s="38" t="s">
        <v>1911</v>
      </c>
      <c r="F282" s="32" t="s">
        <v>1910</v>
      </c>
      <c r="G282" s="33" t="s">
        <v>1912</v>
      </c>
      <c r="H282" s="130" t="s">
        <v>1975</v>
      </c>
      <c r="I282" s="126" t="s">
        <v>1908</v>
      </c>
      <c r="J282" s="32" t="s">
        <v>1909</v>
      </c>
      <c r="K282" s="132" t="s">
        <v>1873</v>
      </c>
      <c r="L282" s="128" t="s">
        <v>10</v>
      </c>
      <c r="M282" s="124"/>
    </row>
    <row r="283" spans="1:13">
      <c r="A283" s="155" t="s">
        <v>3050</v>
      </c>
      <c r="B283" s="51" t="s">
        <v>1951</v>
      </c>
      <c r="C283" s="32" t="s">
        <v>1974</v>
      </c>
      <c r="D283" s="33" t="s">
        <v>1948</v>
      </c>
      <c r="E283" s="38" t="s">
        <v>1916</v>
      </c>
      <c r="F283" s="32" t="s">
        <v>1915</v>
      </c>
      <c r="G283" s="33" t="s">
        <v>1917</v>
      </c>
      <c r="H283" s="130" t="s">
        <v>1975</v>
      </c>
      <c r="I283" s="126" t="s">
        <v>1913</v>
      </c>
      <c r="J283" s="32" t="s">
        <v>1914</v>
      </c>
      <c r="K283" s="132" t="s">
        <v>1873</v>
      </c>
      <c r="L283" s="128" t="s">
        <v>10</v>
      </c>
      <c r="M283" s="124"/>
    </row>
    <row r="284" spans="1:13">
      <c r="A284" s="155" t="s">
        <v>3050</v>
      </c>
      <c r="B284" s="51" t="s">
        <v>1961</v>
      </c>
      <c r="C284" s="32" t="s">
        <v>1974</v>
      </c>
      <c r="D284" s="33" t="s">
        <v>1948</v>
      </c>
      <c r="E284" s="38" t="s">
        <v>1921</v>
      </c>
      <c r="F284" s="32" t="s">
        <v>1920</v>
      </c>
      <c r="G284" s="33" t="s">
        <v>1922</v>
      </c>
      <c r="H284" s="130" t="s">
        <v>1975</v>
      </c>
      <c r="I284" s="126" t="s">
        <v>1918</v>
      </c>
      <c r="J284" s="32" t="s">
        <v>1919</v>
      </c>
      <c r="K284" s="132" t="s">
        <v>1873</v>
      </c>
      <c r="L284" s="128" t="s">
        <v>10</v>
      </c>
      <c r="M284" s="124"/>
    </row>
    <row r="285" spans="1:13">
      <c r="A285" s="155" t="s">
        <v>3050</v>
      </c>
      <c r="B285" s="51" t="s">
        <v>1961</v>
      </c>
      <c r="C285" s="32" t="s">
        <v>1974</v>
      </c>
      <c r="D285" s="33" t="s">
        <v>1948</v>
      </c>
      <c r="E285" s="38" t="s">
        <v>1926</v>
      </c>
      <c r="F285" s="32" t="s">
        <v>1925</v>
      </c>
      <c r="G285" s="33" t="s">
        <v>1927</v>
      </c>
      <c r="H285" s="130" t="s">
        <v>1975</v>
      </c>
      <c r="I285" s="126" t="s">
        <v>1923</v>
      </c>
      <c r="J285" s="32" t="s">
        <v>1924</v>
      </c>
      <c r="K285" s="132" t="s">
        <v>1873</v>
      </c>
      <c r="L285" s="128" t="s">
        <v>10</v>
      </c>
      <c r="M285" s="124"/>
    </row>
    <row r="286" spans="1:13">
      <c r="A286" s="155" t="s">
        <v>3050</v>
      </c>
      <c r="B286" s="51" t="s">
        <v>1959</v>
      </c>
      <c r="C286" s="32" t="s">
        <v>1974</v>
      </c>
      <c r="D286" s="33" t="s">
        <v>1948</v>
      </c>
      <c r="E286" s="38" t="s">
        <v>1931</v>
      </c>
      <c r="F286" s="32" t="s">
        <v>1930</v>
      </c>
      <c r="G286" s="33" t="s">
        <v>1932</v>
      </c>
      <c r="H286" s="130" t="s">
        <v>1975</v>
      </c>
      <c r="I286" s="126" t="s">
        <v>1928</v>
      </c>
      <c r="J286" s="32" t="s">
        <v>1929</v>
      </c>
      <c r="K286" s="132" t="s">
        <v>1873</v>
      </c>
      <c r="L286" s="128" t="s">
        <v>10</v>
      </c>
      <c r="M286" s="124"/>
    </row>
    <row r="287" spans="1:13">
      <c r="A287" s="155" t="s">
        <v>3050</v>
      </c>
      <c r="B287" s="51" t="s">
        <v>1945</v>
      </c>
      <c r="C287" s="32" t="s">
        <v>1974</v>
      </c>
      <c r="D287" s="33" t="s">
        <v>1948</v>
      </c>
      <c r="E287" s="38" t="s">
        <v>1935</v>
      </c>
      <c r="F287" s="32" t="s">
        <v>1934</v>
      </c>
      <c r="G287" s="33" t="s">
        <v>1936</v>
      </c>
      <c r="H287" s="130" t="s">
        <v>1975</v>
      </c>
      <c r="I287" s="126" t="s">
        <v>1928</v>
      </c>
      <c r="J287" s="32" t="s">
        <v>1933</v>
      </c>
      <c r="K287" s="132" t="s">
        <v>1873</v>
      </c>
      <c r="L287" s="128" t="s">
        <v>10</v>
      </c>
      <c r="M287" s="124"/>
    </row>
    <row r="288" spans="1:13">
      <c r="A288" s="156" t="s">
        <v>3050</v>
      </c>
      <c r="B288" s="52" t="s">
        <v>1956</v>
      </c>
      <c r="C288" s="35" t="s">
        <v>1974</v>
      </c>
      <c r="D288" s="36" t="s">
        <v>1948</v>
      </c>
      <c r="E288" s="39" t="s">
        <v>1939</v>
      </c>
      <c r="F288" s="35" t="s">
        <v>1938</v>
      </c>
      <c r="G288" s="36" t="s">
        <v>1940</v>
      </c>
      <c r="H288" s="131" t="s">
        <v>1975</v>
      </c>
      <c r="I288" s="127" t="s">
        <v>1928</v>
      </c>
      <c r="J288" s="35" t="s">
        <v>1937</v>
      </c>
      <c r="K288" s="133" t="s">
        <v>1873</v>
      </c>
      <c r="L288" s="129" t="s">
        <v>10</v>
      </c>
      <c r="M288" s="125"/>
    </row>
    <row r="289" spans="1:12" ht="30">
      <c r="A289" s="156" t="s">
        <v>3051</v>
      </c>
      <c r="B289" s="52" t="s">
        <v>1964</v>
      </c>
      <c r="C289" s="35" t="s">
        <v>1818</v>
      </c>
      <c r="D289" s="36" t="s">
        <v>1946</v>
      </c>
      <c r="E289" s="39" t="s">
        <v>3444</v>
      </c>
      <c r="F289" s="35" t="s">
        <v>3445</v>
      </c>
      <c r="G289" s="36" t="s">
        <v>3446</v>
      </c>
      <c r="H289" s="131" t="s">
        <v>3447</v>
      </c>
      <c r="I289" s="127" t="s">
        <v>3448</v>
      </c>
      <c r="J289" s="35" t="s">
        <v>3449</v>
      </c>
      <c r="K289" s="133" t="s">
        <v>3450</v>
      </c>
      <c r="L289" s="129" t="s">
        <v>2702</v>
      </c>
    </row>
    <row r="290" spans="1:12" ht="30">
      <c r="A290" s="156" t="s">
        <v>3051</v>
      </c>
      <c r="B290" s="52" t="s">
        <v>1955</v>
      </c>
      <c r="C290" s="35" t="s">
        <v>1818</v>
      </c>
      <c r="D290" s="36" t="s">
        <v>1946</v>
      </c>
      <c r="E290" s="39" t="s">
        <v>3451</v>
      </c>
      <c r="F290" s="35" t="s">
        <v>3452</v>
      </c>
      <c r="G290" s="36" t="s">
        <v>3453</v>
      </c>
      <c r="H290" s="131" t="s">
        <v>3454</v>
      </c>
      <c r="I290" s="127" t="s">
        <v>3455</v>
      </c>
      <c r="J290" s="35" t="s">
        <v>3456</v>
      </c>
      <c r="K290" s="133" t="s">
        <v>3457</v>
      </c>
      <c r="L290" s="129" t="s">
        <v>2702</v>
      </c>
    </row>
    <row r="291" spans="1:12">
      <c r="A291" s="156" t="s">
        <v>3051</v>
      </c>
      <c r="B291" s="52" t="s">
        <v>1954</v>
      </c>
      <c r="C291" s="35" t="s">
        <v>1818</v>
      </c>
      <c r="D291" s="36" t="s">
        <v>8</v>
      </c>
      <c r="E291" s="39" t="s">
        <v>3458</v>
      </c>
      <c r="F291" s="35" t="s">
        <v>3459</v>
      </c>
      <c r="G291" s="36" t="s">
        <v>3460</v>
      </c>
      <c r="H291" s="131"/>
      <c r="I291" s="127" t="s">
        <v>3461</v>
      </c>
      <c r="J291" s="35" t="s">
        <v>3462</v>
      </c>
      <c r="K291" s="133" t="s">
        <v>3463</v>
      </c>
      <c r="L291" s="129" t="s">
        <v>2702</v>
      </c>
    </row>
    <row r="292" spans="1:12" ht="30">
      <c r="A292" s="156" t="s">
        <v>3050</v>
      </c>
      <c r="B292" s="52" t="s">
        <v>1955</v>
      </c>
      <c r="C292" s="35" t="s">
        <v>1974</v>
      </c>
      <c r="D292" s="36" t="s">
        <v>1948</v>
      </c>
      <c r="E292" s="39" t="s">
        <v>3464</v>
      </c>
      <c r="F292" s="35" t="s">
        <v>3465</v>
      </c>
      <c r="G292" s="36" t="s">
        <v>3466</v>
      </c>
      <c r="H292" s="131" t="s">
        <v>3467</v>
      </c>
      <c r="I292" s="127" t="s">
        <v>3468</v>
      </c>
      <c r="J292" s="35" t="s">
        <v>3469</v>
      </c>
      <c r="K292" s="133" t="s">
        <v>3470</v>
      </c>
      <c r="L292" s="129" t="s">
        <v>2702</v>
      </c>
    </row>
  </sheetData>
  <autoFilter ref="A6:L288" xr:uid="{4F6F187A-C144-EF41-838F-8FD30632C19C}"/>
  <phoneticPr fontId="2"/>
  <conditionalFormatting sqref="B7:L288">
    <cfRule type="expression" dxfId="42" priority="6">
      <formula>$D7="確定"</formula>
    </cfRule>
  </conditionalFormatting>
  <conditionalFormatting sqref="B7:L288">
    <cfRule type="expression" dxfId="41" priority="7">
      <formula>$D7="方向性確定（条件付き）"</formula>
    </cfRule>
  </conditionalFormatting>
  <conditionalFormatting sqref="B7:L288">
    <cfRule type="expression" dxfId="40" priority="8">
      <formula>$D7="検討中"</formula>
    </cfRule>
  </conditionalFormatting>
  <conditionalFormatting sqref="B7:L288">
    <cfRule type="expression" dxfId="39" priority="9">
      <formula>$D7="外部待ち"</formula>
    </cfRule>
  </conditionalFormatting>
  <conditionalFormatting sqref="B7:L288">
    <cfRule type="expression" dxfId="38" priority="10">
      <formula>$D7="対象外"</formula>
    </cfRule>
  </conditionalFormatting>
  <conditionalFormatting sqref="B289:L292">
    <cfRule type="expression" dxfId="4" priority="1">
      <formula>$D289="確定"</formula>
    </cfRule>
  </conditionalFormatting>
  <conditionalFormatting sqref="B289:L292">
    <cfRule type="expression" dxfId="3" priority="2">
      <formula>$D289="方向性確定（条件付き）"</formula>
    </cfRule>
  </conditionalFormatting>
  <conditionalFormatting sqref="B289:L292">
    <cfRule type="expression" dxfId="2" priority="3">
      <formula>$D289="検討中"</formula>
    </cfRule>
  </conditionalFormatting>
  <conditionalFormatting sqref="B289:L292">
    <cfRule type="expression" dxfId="1" priority="4">
      <formula>$D289="外部待ち"</formula>
    </cfRule>
  </conditionalFormatting>
  <conditionalFormatting sqref="B289:L292">
    <cfRule type="expression" dxfId="0" priority="5">
      <formula>$D289="対象外"</formula>
    </cfRule>
  </conditionalFormatting>
  <pageMargins left="0.7" right="0.7" top="0.75" bottom="0.75" header="0.3" footer="0.3"/>
  <pageSetup paperSize="9"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25" workbookViewId="0">
      <pane ySplit="4" topLeftCell="A156" activePane="bottomLeft" state="frozen"/>
      <selection pane="bottomLeft" activeCell="D19" sqref="D19"/>
    </sheetView>
  </sheetViews>
  <sheetFormatPr baseColWidth="10" defaultRowHeight="15"/>
  <cols>
    <col min="1" max="1" width="42.85546875" style="55" customWidth="1"/>
    <col min="2" max="2" width="24.28515625" style="55" customWidth="1"/>
    <col min="3" max="3" width="100" style="55" customWidth="1"/>
    <col min="4" max="4" width="18.5703125" style="55" customWidth="1"/>
    <col min="5" max="5" width="40" style="55" customWidth="1"/>
    <col min="6" max="16384" width="10.7109375" style="55"/>
  </cols>
  <sheetData>
    <row r="1" spans="1:5">
      <c r="A1" s="54" t="s">
        <v>1254</v>
      </c>
    </row>
    <row r="2" spans="1:5">
      <c r="A2" s="56" t="s">
        <v>1943</v>
      </c>
    </row>
    <row r="4" spans="1:5" ht="22" customHeight="1">
      <c r="A4" s="29" t="s">
        <v>2009</v>
      </c>
      <c r="B4" s="30" t="s">
        <v>2010</v>
      </c>
      <c r="C4" s="30" t="s">
        <v>2011</v>
      </c>
      <c r="D4" s="30" t="s">
        <v>2012</v>
      </c>
      <c r="E4" s="31" t="s">
        <v>2013</v>
      </c>
    </row>
    <row r="5" spans="1:5">
      <c r="A5" s="116" t="s">
        <v>2014</v>
      </c>
      <c r="B5" s="59" t="s">
        <v>2015</v>
      </c>
      <c r="C5" s="59" t="s">
        <v>2016</v>
      </c>
      <c r="D5" s="119" t="s">
        <v>2017</v>
      </c>
      <c r="E5" s="34" t="s">
        <v>2018</v>
      </c>
    </row>
    <row r="6" spans="1:5">
      <c r="A6" s="116" t="s">
        <v>2019</v>
      </c>
      <c r="B6" s="59" t="s">
        <v>2015</v>
      </c>
      <c r="C6" s="59" t="s">
        <v>2020</v>
      </c>
      <c r="D6" s="119" t="s">
        <v>2021</v>
      </c>
      <c r="E6" s="34" t="s">
        <v>2018</v>
      </c>
    </row>
    <row r="7" spans="1:5">
      <c r="A7" s="116" t="s">
        <v>2022</v>
      </c>
      <c r="B7" s="59" t="s">
        <v>2015</v>
      </c>
      <c r="C7" s="59" t="s">
        <v>2023</v>
      </c>
      <c r="D7" s="119" t="s">
        <v>2024</v>
      </c>
      <c r="E7" s="34" t="s">
        <v>2018</v>
      </c>
    </row>
    <row r="8" spans="1:5">
      <c r="A8" s="116" t="s">
        <v>2025</v>
      </c>
      <c r="B8" s="59" t="s">
        <v>2015</v>
      </c>
      <c r="C8" s="59" t="s">
        <v>2026</v>
      </c>
      <c r="D8" s="119" t="s">
        <v>2027</v>
      </c>
      <c r="E8" s="34" t="s">
        <v>2018</v>
      </c>
    </row>
    <row r="9" spans="1:5">
      <c r="A9" s="116" t="s">
        <v>2028</v>
      </c>
      <c r="B9" s="59" t="s">
        <v>2015</v>
      </c>
      <c r="C9" s="59" t="s">
        <v>2029</v>
      </c>
      <c r="D9" s="119" t="s">
        <v>2030</v>
      </c>
      <c r="E9" s="34" t="s">
        <v>2018</v>
      </c>
    </row>
    <row r="10" spans="1:5">
      <c r="A10" s="116" t="s">
        <v>2031</v>
      </c>
      <c r="B10" s="59" t="s">
        <v>2015</v>
      </c>
      <c r="C10" s="59" t="s">
        <v>2032</v>
      </c>
      <c r="D10" s="119" t="s">
        <v>2033</v>
      </c>
      <c r="E10" s="34" t="s">
        <v>2018</v>
      </c>
    </row>
    <row r="11" spans="1:5">
      <c r="A11" s="116" t="s">
        <v>2034</v>
      </c>
      <c r="B11" s="59" t="s">
        <v>2015</v>
      </c>
      <c r="C11" s="59" t="s">
        <v>2035</v>
      </c>
      <c r="D11" s="119" t="s">
        <v>2036</v>
      </c>
      <c r="E11" s="34" t="s">
        <v>2018</v>
      </c>
    </row>
    <row r="12" spans="1:5">
      <c r="A12" s="116" t="s">
        <v>2037</v>
      </c>
      <c r="B12" s="59" t="s">
        <v>2015</v>
      </c>
      <c r="C12" s="59" t="s">
        <v>2038</v>
      </c>
      <c r="D12" s="119" t="s">
        <v>2039</v>
      </c>
      <c r="E12" s="34" t="s">
        <v>2018</v>
      </c>
    </row>
    <row r="13" spans="1:5">
      <c r="A13" s="116" t="s">
        <v>2040</v>
      </c>
      <c r="B13" s="59" t="s">
        <v>2015</v>
      </c>
      <c r="C13" s="59" t="s">
        <v>2041</v>
      </c>
      <c r="D13" s="119" t="s">
        <v>2042</v>
      </c>
      <c r="E13" s="34" t="s">
        <v>2018</v>
      </c>
    </row>
    <row r="14" spans="1:5">
      <c r="A14" s="116" t="s">
        <v>2043</v>
      </c>
      <c r="B14" s="59" t="s">
        <v>2015</v>
      </c>
      <c r="C14" s="59" t="s">
        <v>2044</v>
      </c>
      <c r="D14" s="119" t="s">
        <v>2045</v>
      </c>
      <c r="E14" s="34" t="s">
        <v>2018</v>
      </c>
    </row>
    <row r="15" spans="1:5">
      <c r="A15" s="116" t="s">
        <v>2046</v>
      </c>
      <c r="B15" s="59" t="s">
        <v>2015</v>
      </c>
      <c r="C15" s="59" t="s">
        <v>2047</v>
      </c>
      <c r="D15" s="119" t="s">
        <v>2048</v>
      </c>
      <c r="E15" s="34" t="s">
        <v>2018</v>
      </c>
    </row>
    <row r="16" spans="1:5">
      <c r="A16" s="116" t="s">
        <v>2049</v>
      </c>
      <c r="B16" s="59" t="s">
        <v>2015</v>
      </c>
      <c r="C16" s="59" t="s">
        <v>2050</v>
      </c>
      <c r="D16" s="119" t="s">
        <v>2051</v>
      </c>
      <c r="E16" s="34" t="s">
        <v>2018</v>
      </c>
    </row>
    <row r="17" spans="1:5">
      <c r="A17" s="116" t="s">
        <v>2052</v>
      </c>
      <c r="B17" s="59" t="s">
        <v>2015</v>
      </c>
      <c r="C17" s="59" t="s">
        <v>2053</v>
      </c>
      <c r="D17" s="119" t="s">
        <v>2054</v>
      </c>
      <c r="E17" s="34" t="s">
        <v>2018</v>
      </c>
    </row>
    <row r="18" spans="1:5">
      <c r="A18" s="116" t="s">
        <v>2055</v>
      </c>
      <c r="B18" s="59" t="s">
        <v>2015</v>
      </c>
      <c r="C18" s="59" t="s">
        <v>2056</v>
      </c>
      <c r="D18" s="119" t="s">
        <v>2057</v>
      </c>
      <c r="E18" s="34" t="s">
        <v>2018</v>
      </c>
    </row>
    <row r="19" spans="1:5">
      <c r="A19" s="116" t="s">
        <v>2058</v>
      </c>
      <c r="B19" s="59" t="s">
        <v>2015</v>
      </c>
      <c r="C19" s="59" t="s">
        <v>2059</v>
      </c>
      <c r="D19" s="119" t="s">
        <v>2060</v>
      </c>
      <c r="E19" s="34" t="s">
        <v>2018</v>
      </c>
    </row>
    <row r="20" spans="1:5">
      <c r="A20" s="116" t="s">
        <v>2061</v>
      </c>
      <c r="B20" s="59" t="s">
        <v>2015</v>
      </c>
      <c r="C20" s="59" t="s">
        <v>2062</v>
      </c>
      <c r="D20" s="119" t="s">
        <v>2063</v>
      </c>
      <c r="E20" s="34" t="s">
        <v>2018</v>
      </c>
    </row>
    <row r="21" spans="1:5">
      <c r="A21" s="116" t="s">
        <v>2064</v>
      </c>
      <c r="B21" s="59" t="s">
        <v>2015</v>
      </c>
      <c r="C21" s="59" t="s">
        <v>2065</v>
      </c>
      <c r="D21" s="119" t="s">
        <v>2066</v>
      </c>
      <c r="E21" s="34" t="s">
        <v>2018</v>
      </c>
    </row>
    <row r="22" spans="1:5">
      <c r="A22" s="116" t="s">
        <v>2067</v>
      </c>
      <c r="B22" s="59" t="s">
        <v>2015</v>
      </c>
      <c r="C22" s="59" t="s">
        <v>2068</v>
      </c>
      <c r="D22" s="119" t="s">
        <v>2069</v>
      </c>
      <c r="E22" s="34" t="s">
        <v>2018</v>
      </c>
    </row>
    <row r="23" spans="1:5">
      <c r="A23" s="116" t="s">
        <v>2070</v>
      </c>
      <c r="B23" s="59" t="s">
        <v>2015</v>
      </c>
      <c r="C23" s="59" t="s">
        <v>2071</v>
      </c>
      <c r="D23" s="119" t="s">
        <v>2072</v>
      </c>
      <c r="E23" s="34" t="s">
        <v>2018</v>
      </c>
    </row>
    <row r="24" spans="1:5">
      <c r="A24" s="116" t="s">
        <v>2073</v>
      </c>
      <c r="B24" s="59" t="s">
        <v>2015</v>
      </c>
      <c r="C24" s="59" t="s">
        <v>2074</v>
      </c>
      <c r="D24" s="119" t="s">
        <v>2075</v>
      </c>
      <c r="E24" s="34" t="s">
        <v>2018</v>
      </c>
    </row>
    <row r="25" spans="1:5">
      <c r="A25" s="116" t="s">
        <v>2076</v>
      </c>
      <c r="B25" s="59" t="s">
        <v>2015</v>
      </c>
      <c r="C25" s="59" t="s">
        <v>2077</v>
      </c>
      <c r="D25" s="119" t="s">
        <v>2078</v>
      </c>
      <c r="E25" s="34" t="s">
        <v>2018</v>
      </c>
    </row>
    <row r="26" spans="1:5">
      <c r="A26" s="116" t="s">
        <v>2079</v>
      </c>
      <c r="B26" s="59" t="s">
        <v>2015</v>
      </c>
      <c r="C26" s="59" t="s">
        <v>2080</v>
      </c>
      <c r="D26" s="119" t="s">
        <v>2081</v>
      </c>
      <c r="E26" s="34" t="s">
        <v>2018</v>
      </c>
    </row>
    <row r="27" spans="1:5">
      <c r="A27" s="116" t="s">
        <v>2082</v>
      </c>
      <c r="B27" s="59" t="s">
        <v>2015</v>
      </c>
      <c r="C27" s="59" t="s">
        <v>2083</v>
      </c>
      <c r="D27" s="119" t="s">
        <v>2084</v>
      </c>
      <c r="E27" s="34" t="s">
        <v>2018</v>
      </c>
    </row>
    <row r="28" spans="1:5">
      <c r="A28" s="116" t="s">
        <v>2085</v>
      </c>
      <c r="B28" s="59" t="s">
        <v>2015</v>
      </c>
      <c r="C28" s="59" t="s">
        <v>2086</v>
      </c>
      <c r="D28" s="119" t="s">
        <v>2087</v>
      </c>
      <c r="E28" s="34" t="s">
        <v>2018</v>
      </c>
    </row>
    <row r="29" spans="1:5">
      <c r="A29" s="116" t="s">
        <v>2088</v>
      </c>
      <c r="B29" s="59" t="s">
        <v>2015</v>
      </c>
      <c r="C29" s="59" t="s">
        <v>2089</v>
      </c>
      <c r="D29" s="119" t="s">
        <v>2090</v>
      </c>
      <c r="E29" s="34" t="s">
        <v>2018</v>
      </c>
    </row>
    <row r="30" spans="1:5">
      <c r="A30" s="116" t="s">
        <v>2091</v>
      </c>
      <c r="B30" s="59" t="s">
        <v>2015</v>
      </c>
      <c r="C30" s="59" t="s">
        <v>2092</v>
      </c>
      <c r="D30" s="119" t="s">
        <v>2093</v>
      </c>
      <c r="E30" s="34" t="s">
        <v>2018</v>
      </c>
    </row>
    <row r="31" spans="1:5">
      <c r="A31" s="116" t="s">
        <v>2094</v>
      </c>
      <c r="B31" s="59" t="s">
        <v>2015</v>
      </c>
      <c r="C31" s="59" t="s">
        <v>2095</v>
      </c>
      <c r="D31" s="119" t="s">
        <v>2096</v>
      </c>
      <c r="E31" s="34" t="s">
        <v>2018</v>
      </c>
    </row>
    <row r="32" spans="1:5">
      <c r="A32" s="116" t="s">
        <v>2097</v>
      </c>
      <c r="B32" s="59" t="s">
        <v>2015</v>
      </c>
      <c r="C32" s="59" t="s">
        <v>2098</v>
      </c>
      <c r="D32" s="119" t="s">
        <v>2099</v>
      </c>
      <c r="E32" s="34" t="s">
        <v>2018</v>
      </c>
    </row>
    <row r="33" spans="1:5">
      <c r="A33" s="116" t="s">
        <v>2100</v>
      </c>
      <c r="B33" s="59" t="s">
        <v>2015</v>
      </c>
      <c r="C33" s="59" t="s">
        <v>2101</v>
      </c>
      <c r="D33" s="119" t="s">
        <v>2102</v>
      </c>
      <c r="E33" s="34" t="s">
        <v>2018</v>
      </c>
    </row>
    <row r="34" spans="1:5">
      <c r="A34" s="116" t="s">
        <v>2103</v>
      </c>
      <c r="B34" s="59" t="s">
        <v>2015</v>
      </c>
      <c r="C34" s="59" t="s">
        <v>2104</v>
      </c>
      <c r="D34" s="119" t="s">
        <v>2105</v>
      </c>
      <c r="E34" s="34" t="s">
        <v>2018</v>
      </c>
    </row>
    <row r="35" spans="1:5">
      <c r="A35" s="116" t="s">
        <v>2106</v>
      </c>
      <c r="B35" s="59" t="s">
        <v>2015</v>
      </c>
      <c r="C35" s="59" t="s">
        <v>2107</v>
      </c>
      <c r="D35" s="119" t="s">
        <v>2108</v>
      </c>
      <c r="E35" s="34" t="s">
        <v>2018</v>
      </c>
    </row>
    <row r="36" spans="1:5">
      <c r="A36" s="116" t="s">
        <v>2109</v>
      </c>
      <c r="B36" s="59" t="s">
        <v>2015</v>
      </c>
      <c r="C36" s="59" t="s">
        <v>2110</v>
      </c>
      <c r="D36" s="119" t="s">
        <v>2111</v>
      </c>
      <c r="E36" s="34" t="s">
        <v>2018</v>
      </c>
    </row>
    <row r="37" spans="1:5">
      <c r="A37" s="116" t="s">
        <v>2112</v>
      </c>
      <c r="B37" s="59" t="s">
        <v>2015</v>
      </c>
      <c r="C37" s="59" t="s">
        <v>2113</v>
      </c>
      <c r="D37" s="119" t="s">
        <v>2114</v>
      </c>
      <c r="E37" s="34" t="s">
        <v>2018</v>
      </c>
    </row>
    <row r="38" spans="1:5">
      <c r="A38" s="116" t="s">
        <v>2115</v>
      </c>
      <c r="B38" s="59" t="s">
        <v>2015</v>
      </c>
      <c r="C38" s="59" t="s">
        <v>2116</v>
      </c>
      <c r="D38" s="119" t="s">
        <v>2117</v>
      </c>
      <c r="E38" s="34" t="s">
        <v>2018</v>
      </c>
    </row>
    <row r="39" spans="1:5">
      <c r="A39" s="116" t="s">
        <v>2118</v>
      </c>
      <c r="B39" s="59" t="s">
        <v>2015</v>
      </c>
      <c r="C39" s="59" t="s">
        <v>2119</v>
      </c>
      <c r="D39" s="119" t="s">
        <v>2120</v>
      </c>
      <c r="E39" s="34" t="s">
        <v>2018</v>
      </c>
    </row>
    <row r="40" spans="1:5">
      <c r="A40" s="116" t="s">
        <v>2121</v>
      </c>
      <c r="B40" s="59" t="s">
        <v>2015</v>
      </c>
      <c r="C40" s="59" t="s">
        <v>2122</v>
      </c>
      <c r="D40" s="119" t="s">
        <v>2123</v>
      </c>
      <c r="E40" s="34" t="s">
        <v>2018</v>
      </c>
    </row>
    <row r="41" spans="1:5">
      <c r="A41" s="116" t="s">
        <v>2124</v>
      </c>
      <c r="B41" s="59" t="s">
        <v>2015</v>
      </c>
      <c r="C41" s="59" t="s">
        <v>2125</v>
      </c>
      <c r="D41" s="119" t="s">
        <v>2126</v>
      </c>
      <c r="E41" s="34" t="s">
        <v>2018</v>
      </c>
    </row>
    <row r="42" spans="1:5">
      <c r="A42" s="116" t="s">
        <v>2127</v>
      </c>
      <c r="B42" s="59" t="s">
        <v>2128</v>
      </c>
      <c r="C42" s="59" t="s">
        <v>2129</v>
      </c>
      <c r="D42" s="119" t="s">
        <v>2130</v>
      </c>
      <c r="E42" s="34" t="s">
        <v>2131</v>
      </c>
    </row>
    <row r="43" spans="1:5">
      <c r="A43" s="116" t="s">
        <v>2132</v>
      </c>
      <c r="B43" s="59" t="s">
        <v>2128</v>
      </c>
      <c r="C43" s="59" t="s">
        <v>2133</v>
      </c>
      <c r="D43" s="119" t="s">
        <v>2134</v>
      </c>
      <c r="E43" s="34" t="s">
        <v>2131</v>
      </c>
    </row>
    <row r="44" spans="1:5">
      <c r="A44" s="116" t="s">
        <v>2135</v>
      </c>
      <c r="B44" s="59" t="s">
        <v>2128</v>
      </c>
      <c r="C44" s="59" t="s">
        <v>2136</v>
      </c>
      <c r="D44" s="119" t="s">
        <v>2137</v>
      </c>
      <c r="E44" s="34" t="s">
        <v>2131</v>
      </c>
    </row>
    <row r="45" spans="1:5">
      <c r="A45" s="116" t="s">
        <v>2138</v>
      </c>
      <c r="B45" s="59" t="s">
        <v>2128</v>
      </c>
      <c r="C45" s="59" t="s">
        <v>2139</v>
      </c>
      <c r="D45" s="119" t="s">
        <v>2140</v>
      </c>
      <c r="E45" s="34" t="s">
        <v>2141</v>
      </c>
    </row>
    <row r="46" spans="1:5">
      <c r="A46" s="116" t="s">
        <v>2142</v>
      </c>
      <c r="B46" s="59" t="s">
        <v>2128</v>
      </c>
      <c r="C46" s="59" t="s">
        <v>2143</v>
      </c>
      <c r="D46" s="119" t="s">
        <v>2144</v>
      </c>
      <c r="E46" s="34" t="s">
        <v>2141</v>
      </c>
    </row>
    <row r="47" spans="1:5">
      <c r="A47" s="116" t="s">
        <v>2145</v>
      </c>
      <c r="B47" s="59" t="s">
        <v>2128</v>
      </c>
      <c r="C47" s="59" t="s">
        <v>2146</v>
      </c>
      <c r="D47" s="119" t="s">
        <v>2147</v>
      </c>
      <c r="E47" s="34" t="s">
        <v>2141</v>
      </c>
    </row>
    <row r="48" spans="1:5">
      <c r="A48" s="116" t="s">
        <v>2148</v>
      </c>
      <c r="B48" s="59" t="s">
        <v>2128</v>
      </c>
      <c r="C48" s="59" t="s">
        <v>2149</v>
      </c>
      <c r="D48" s="119" t="s">
        <v>2150</v>
      </c>
      <c r="E48" s="34" t="s">
        <v>2151</v>
      </c>
    </row>
    <row r="49" spans="1:5">
      <c r="A49" s="116" t="s">
        <v>2152</v>
      </c>
      <c r="B49" s="59" t="s">
        <v>2128</v>
      </c>
      <c r="C49" s="59" t="s">
        <v>2153</v>
      </c>
      <c r="D49" s="119" t="s">
        <v>2154</v>
      </c>
      <c r="E49" s="34" t="s">
        <v>2151</v>
      </c>
    </row>
    <row r="50" spans="1:5">
      <c r="A50" s="116" t="s">
        <v>2155</v>
      </c>
      <c r="B50" s="59" t="s">
        <v>2128</v>
      </c>
      <c r="C50" s="59" t="s">
        <v>2156</v>
      </c>
      <c r="D50" s="119" t="s">
        <v>2157</v>
      </c>
      <c r="E50" s="34" t="s">
        <v>2158</v>
      </c>
    </row>
    <row r="51" spans="1:5">
      <c r="A51" s="116" t="s">
        <v>2159</v>
      </c>
      <c r="B51" s="59" t="s">
        <v>2128</v>
      </c>
      <c r="C51" s="59" t="s">
        <v>2160</v>
      </c>
      <c r="D51" s="119" t="s">
        <v>2161</v>
      </c>
      <c r="E51" s="34" t="s">
        <v>2158</v>
      </c>
    </row>
    <row r="52" spans="1:5">
      <c r="A52" s="116" t="s">
        <v>2162</v>
      </c>
      <c r="B52" s="59" t="s">
        <v>2128</v>
      </c>
      <c r="C52" s="59" t="s">
        <v>2163</v>
      </c>
      <c r="D52" s="119" t="s">
        <v>2164</v>
      </c>
      <c r="E52" s="34" t="s">
        <v>2165</v>
      </c>
    </row>
    <row r="53" spans="1:5">
      <c r="A53" s="116" t="s">
        <v>2166</v>
      </c>
      <c r="B53" s="59" t="s">
        <v>2128</v>
      </c>
      <c r="C53" s="59" t="s">
        <v>2167</v>
      </c>
      <c r="D53" s="119" t="s">
        <v>2168</v>
      </c>
      <c r="E53" s="34" t="s">
        <v>2158</v>
      </c>
    </row>
    <row r="54" spans="1:5">
      <c r="A54" s="116" t="s">
        <v>2169</v>
      </c>
      <c r="B54" s="59" t="s">
        <v>2128</v>
      </c>
      <c r="C54" s="59" t="s">
        <v>2170</v>
      </c>
      <c r="D54" s="119" t="s">
        <v>2171</v>
      </c>
      <c r="E54" s="34" t="s">
        <v>2172</v>
      </c>
    </row>
    <row r="55" spans="1:5">
      <c r="A55" s="116" t="s">
        <v>2173</v>
      </c>
      <c r="B55" s="59" t="s">
        <v>2128</v>
      </c>
      <c r="C55" s="59" t="s">
        <v>2174</v>
      </c>
      <c r="D55" s="119" t="s">
        <v>2175</v>
      </c>
      <c r="E55" s="34" t="s">
        <v>2176</v>
      </c>
    </row>
    <row r="56" spans="1:5">
      <c r="A56" s="116" t="s">
        <v>2177</v>
      </c>
      <c r="B56" s="59" t="s">
        <v>2128</v>
      </c>
      <c r="C56" s="59" t="s">
        <v>2178</v>
      </c>
      <c r="D56" s="119" t="s">
        <v>2179</v>
      </c>
      <c r="E56" s="34" t="s">
        <v>2176</v>
      </c>
    </row>
    <row r="57" spans="1:5">
      <c r="A57" s="116" t="s">
        <v>2180</v>
      </c>
      <c r="B57" s="59" t="s">
        <v>2128</v>
      </c>
      <c r="C57" s="59" t="s">
        <v>2181</v>
      </c>
      <c r="D57" s="119" t="s">
        <v>2182</v>
      </c>
      <c r="E57" s="34" t="s">
        <v>2176</v>
      </c>
    </row>
    <row r="58" spans="1:5">
      <c r="A58" s="116" t="s">
        <v>2183</v>
      </c>
      <c r="B58" s="59" t="s">
        <v>2128</v>
      </c>
      <c r="C58" s="59" t="s">
        <v>2184</v>
      </c>
      <c r="D58" s="119" t="s">
        <v>2185</v>
      </c>
      <c r="E58" s="34" t="s">
        <v>2176</v>
      </c>
    </row>
    <row r="59" spans="1:5">
      <c r="A59" s="116" t="s">
        <v>2186</v>
      </c>
      <c r="B59" s="59" t="s">
        <v>2187</v>
      </c>
      <c r="C59" s="59" t="s">
        <v>2188</v>
      </c>
      <c r="D59" s="119" t="s">
        <v>2189</v>
      </c>
      <c r="E59" s="34" t="s">
        <v>2190</v>
      </c>
    </row>
    <row r="60" spans="1:5">
      <c r="A60" s="116" t="s">
        <v>2191</v>
      </c>
      <c r="B60" s="59" t="s">
        <v>2187</v>
      </c>
      <c r="C60" s="59" t="s">
        <v>2192</v>
      </c>
      <c r="D60" s="119" t="s">
        <v>2193</v>
      </c>
      <c r="E60" s="34" t="s">
        <v>2190</v>
      </c>
    </row>
    <row r="61" spans="1:5">
      <c r="A61" s="116" t="s">
        <v>2194</v>
      </c>
      <c r="B61" s="59" t="s">
        <v>2187</v>
      </c>
      <c r="C61" s="59" t="s">
        <v>2195</v>
      </c>
      <c r="D61" s="119" t="s">
        <v>2196</v>
      </c>
      <c r="E61" s="34" t="s">
        <v>2190</v>
      </c>
    </row>
    <row r="62" spans="1:5">
      <c r="A62" s="116" t="s">
        <v>2197</v>
      </c>
      <c r="B62" s="59" t="s">
        <v>2187</v>
      </c>
      <c r="C62" s="59" t="s">
        <v>2198</v>
      </c>
      <c r="D62" s="119" t="s">
        <v>2199</v>
      </c>
      <c r="E62" s="34" t="s">
        <v>2190</v>
      </c>
    </row>
    <row r="63" spans="1:5">
      <c r="A63" s="116" t="s">
        <v>2200</v>
      </c>
      <c r="B63" s="59" t="s">
        <v>2187</v>
      </c>
      <c r="C63" s="59" t="s">
        <v>2201</v>
      </c>
      <c r="D63" s="119" t="s">
        <v>2202</v>
      </c>
      <c r="E63" s="34" t="s">
        <v>2190</v>
      </c>
    </row>
    <row r="64" spans="1:5">
      <c r="A64" s="116" t="s">
        <v>2203</v>
      </c>
      <c r="B64" s="59" t="s">
        <v>2187</v>
      </c>
      <c r="C64" s="59" t="s">
        <v>2204</v>
      </c>
      <c r="D64" s="119" t="s">
        <v>2205</v>
      </c>
      <c r="E64" s="34" t="s">
        <v>2190</v>
      </c>
    </row>
    <row r="65" spans="1:5">
      <c r="A65" s="116" t="s">
        <v>2206</v>
      </c>
      <c r="B65" s="59" t="s">
        <v>2187</v>
      </c>
      <c r="C65" s="59" t="s">
        <v>2207</v>
      </c>
      <c r="D65" s="119" t="s">
        <v>2208</v>
      </c>
      <c r="E65" s="34" t="s">
        <v>2190</v>
      </c>
    </row>
    <row r="66" spans="1:5">
      <c r="A66" s="116" t="s">
        <v>2209</v>
      </c>
      <c r="B66" s="59" t="s">
        <v>2187</v>
      </c>
      <c r="C66" s="59" t="s">
        <v>2210</v>
      </c>
      <c r="D66" s="119" t="s">
        <v>2211</v>
      </c>
      <c r="E66" s="34" t="s">
        <v>2190</v>
      </c>
    </row>
    <row r="67" spans="1:5">
      <c r="A67" s="116" t="s">
        <v>2212</v>
      </c>
      <c r="B67" s="59" t="s">
        <v>2187</v>
      </c>
      <c r="C67" s="59" t="s">
        <v>2213</v>
      </c>
      <c r="D67" s="119" t="s">
        <v>2214</v>
      </c>
      <c r="E67" s="34" t="s">
        <v>2190</v>
      </c>
    </row>
    <row r="68" spans="1:5">
      <c r="A68" s="116" t="s">
        <v>2215</v>
      </c>
      <c r="B68" s="59" t="s">
        <v>2187</v>
      </c>
      <c r="C68" s="59" t="s">
        <v>2216</v>
      </c>
      <c r="D68" s="119" t="s">
        <v>2217</v>
      </c>
      <c r="E68" s="34" t="s">
        <v>2190</v>
      </c>
    </row>
    <row r="69" spans="1:5">
      <c r="A69" s="116" t="s">
        <v>2218</v>
      </c>
      <c r="B69" s="59" t="s">
        <v>2187</v>
      </c>
      <c r="C69" s="59" t="s">
        <v>2219</v>
      </c>
      <c r="D69" s="119" t="s">
        <v>2220</v>
      </c>
      <c r="E69" s="34" t="s">
        <v>2190</v>
      </c>
    </row>
    <row r="70" spans="1:5">
      <c r="A70" s="116" t="s">
        <v>2221</v>
      </c>
      <c r="B70" s="59" t="s">
        <v>2187</v>
      </c>
      <c r="C70" s="59" t="s">
        <v>2222</v>
      </c>
      <c r="D70" s="119" t="s">
        <v>2223</v>
      </c>
      <c r="E70" s="34" t="s">
        <v>2190</v>
      </c>
    </row>
    <row r="71" spans="1:5">
      <c r="A71" s="116" t="s">
        <v>2224</v>
      </c>
      <c r="B71" s="59" t="s">
        <v>2187</v>
      </c>
      <c r="C71" s="59" t="s">
        <v>2225</v>
      </c>
      <c r="D71" s="119" t="s">
        <v>2226</v>
      </c>
      <c r="E71" s="34" t="s">
        <v>2190</v>
      </c>
    </row>
    <row r="72" spans="1:5">
      <c r="A72" s="116" t="s">
        <v>2227</v>
      </c>
      <c r="B72" s="59" t="s">
        <v>2187</v>
      </c>
      <c r="C72" s="59" t="s">
        <v>2228</v>
      </c>
      <c r="D72" s="119" t="s">
        <v>2229</v>
      </c>
      <c r="E72" s="34" t="s">
        <v>2190</v>
      </c>
    </row>
    <row r="73" spans="1:5">
      <c r="A73" s="116" t="s">
        <v>2230</v>
      </c>
      <c r="B73" s="59" t="s">
        <v>2187</v>
      </c>
      <c r="C73" s="59" t="s">
        <v>2231</v>
      </c>
      <c r="D73" s="119" t="s">
        <v>2232</v>
      </c>
      <c r="E73" s="34" t="s">
        <v>2190</v>
      </c>
    </row>
    <row r="74" spans="1:5">
      <c r="A74" s="116" t="s">
        <v>2233</v>
      </c>
      <c r="B74" s="59" t="s">
        <v>2187</v>
      </c>
      <c r="C74" s="59" t="s">
        <v>2234</v>
      </c>
      <c r="D74" s="119" t="s">
        <v>2235</v>
      </c>
      <c r="E74" s="34" t="s">
        <v>2190</v>
      </c>
    </row>
    <row r="75" spans="1:5">
      <c r="A75" s="116" t="s">
        <v>2236</v>
      </c>
      <c r="B75" s="59" t="s">
        <v>2187</v>
      </c>
      <c r="C75" s="59" t="s">
        <v>2237</v>
      </c>
      <c r="D75" s="119" t="s">
        <v>2238</v>
      </c>
      <c r="E75" s="34" t="s">
        <v>2190</v>
      </c>
    </row>
    <row r="76" spans="1:5">
      <c r="A76" s="116" t="s">
        <v>2239</v>
      </c>
      <c r="B76" s="59" t="s">
        <v>2187</v>
      </c>
      <c r="C76" s="59" t="s">
        <v>2240</v>
      </c>
      <c r="D76" s="119" t="s">
        <v>2241</v>
      </c>
      <c r="E76" s="34" t="s">
        <v>2190</v>
      </c>
    </row>
    <row r="77" spans="1:5">
      <c r="A77" s="116" t="s">
        <v>2242</v>
      </c>
      <c r="B77" s="59" t="s">
        <v>2187</v>
      </c>
      <c r="C77" s="59" t="s">
        <v>2243</v>
      </c>
      <c r="D77" s="119" t="s">
        <v>2244</v>
      </c>
      <c r="E77" s="34" t="s">
        <v>2190</v>
      </c>
    </row>
    <row r="78" spans="1:5">
      <c r="A78" s="116" t="s">
        <v>2245</v>
      </c>
      <c r="B78" s="59" t="s">
        <v>2187</v>
      </c>
      <c r="C78" s="59" t="s">
        <v>2246</v>
      </c>
      <c r="D78" s="119" t="s">
        <v>2247</v>
      </c>
      <c r="E78" s="34" t="s">
        <v>2190</v>
      </c>
    </row>
    <row r="79" spans="1:5">
      <c r="A79" s="116" t="s">
        <v>1830</v>
      </c>
      <c r="B79" s="59" t="s">
        <v>2187</v>
      </c>
      <c r="C79" s="59" t="s">
        <v>1831</v>
      </c>
      <c r="D79" s="119" t="s">
        <v>2248</v>
      </c>
      <c r="E79" s="34" t="s">
        <v>2190</v>
      </c>
    </row>
    <row r="80" spans="1:5">
      <c r="A80" s="116" t="s">
        <v>2249</v>
      </c>
      <c r="B80" s="59" t="s">
        <v>2187</v>
      </c>
      <c r="C80" s="59" t="s">
        <v>2250</v>
      </c>
      <c r="D80" s="119" t="s">
        <v>2251</v>
      </c>
      <c r="E80" s="34" t="s">
        <v>2190</v>
      </c>
    </row>
    <row r="81" spans="1:5">
      <c r="A81" s="116" t="s">
        <v>2252</v>
      </c>
      <c r="B81" s="59" t="s">
        <v>2187</v>
      </c>
      <c r="C81" s="59" t="s">
        <v>2253</v>
      </c>
      <c r="D81" s="119" t="s">
        <v>2254</v>
      </c>
      <c r="E81" s="34" t="s">
        <v>2190</v>
      </c>
    </row>
    <row r="82" spans="1:5">
      <c r="A82" s="116" t="s">
        <v>2255</v>
      </c>
      <c r="B82" s="59" t="s">
        <v>2187</v>
      </c>
      <c r="C82" s="59" t="s">
        <v>2256</v>
      </c>
      <c r="D82" s="119" t="s">
        <v>2257</v>
      </c>
      <c r="E82" s="34" t="s">
        <v>2190</v>
      </c>
    </row>
    <row r="83" spans="1:5">
      <c r="A83" s="116" t="s">
        <v>2258</v>
      </c>
      <c r="B83" s="59" t="s">
        <v>2187</v>
      </c>
      <c r="C83" s="59" t="s">
        <v>2259</v>
      </c>
      <c r="D83" s="119" t="s">
        <v>2260</v>
      </c>
      <c r="E83" s="34" t="s">
        <v>2190</v>
      </c>
    </row>
    <row r="84" spans="1:5">
      <c r="A84" s="117" t="s">
        <v>2261</v>
      </c>
      <c r="B84" s="63" t="s">
        <v>2187</v>
      </c>
      <c r="C84" s="63" t="s">
        <v>2262</v>
      </c>
      <c r="D84" s="120" t="s">
        <v>2263</v>
      </c>
      <c r="E84" s="37" t="s">
        <v>2190</v>
      </c>
    </row>
    <row r="85" spans="1:5">
      <c r="A85" s="118" t="s">
        <v>2264</v>
      </c>
      <c r="B85" s="55" t="s">
        <v>2265</v>
      </c>
      <c r="C85" s="55" t="s">
        <v>2266</v>
      </c>
      <c r="D85" s="121" t="s">
        <v>2267</v>
      </c>
      <c r="E85" s="122" t="s">
        <v>2268</v>
      </c>
    </row>
    <row r="86" spans="1:5">
      <c r="A86" s="118" t="s">
        <v>2269</v>
      </c>
      <c r="B86" s="55" t="s">
        <v>2265</v>
      </c>
      <c r="C86" s="55" t="s">
        <v>2270</v>
      </c>
      <c r="D86" s="121" t="s">
        <v>2271</v>
      </c>
      <c r="E86" s="122" t="s">
        <v>2272</v>
      </c>
    </row>
    <row r="87" spans="1:5">
      <c r="A87" s="118" t="s">
        <v>2273</v>
      </c>
      <c r="B87" s="55" t="s">
        <v>2265</v>
      </c>
      <c r="C87" s="55" t="s">
        <v>2274</v>
      </c>
      <c r="D87" s="121" t="s">
        <v>1447</v>
      </c>
      <c r="E87" s="122" t="s">
        <v>2275</v>
      </c>
    </row>
    <row r="88" spans="1:5">
      <c r="A88" s="118" t="s">
        <v>2276</v>
      </c>
      <c r="B88" s="55" t="s">
        <v>2265</v>
      </c>
      <c r="C88" s="55" t="s">
        <v>2277</v>
      </c>
      <c r="D88" s="121" t="s">
        <v>1457</v>
      </c>
      <c r="E88" s="122" t="s">
        <v>2278</v>
      </c>
    </row>
    <row r="89" spans="1:5">
      <c r="A89" s="118" t="s">
        <v>2279</v>
      </c>
      <c r="B89" s="55" t="s">
        <v>2265</v>
      </c>
      <c r="C89" s="55" t="s">
        <v>2280</v>
      </c>
      <c r="D89" s="121" t="s">
        <v>2281</v>
      </c>
      <c r="E89" s="122" t="s">
        <v>2282</v>
      </c>
    </row>
    <row r="90" spans="1:5">
      <c r="A90" s="118" t="s">
        <v>2283</v>
      </c>
      <c r="B90" s="55" t="s">
        <v>2265</v>
      </c>
      <c r="C90" s="55" t="s">
        <v>2284</v>
      </c>
      <c r="D90" s="121" t="s">
        <v>1441</v>
      </c>
      <c r="E90" s="122" t="s">
        <v>2285</v>
      </c>
    </row>
    <row r="91" spans="1:5">
      <c r="A91" s="118" t="s">
        <v>2286</v>
      </c>
      <c r="B91" s="55" t="s">
        <v>2265</v>
      </c>
      <c r="C91" s="55" t="s">
        <v>2287</v>
      </c>
      <c r="D91" s="121" t="s">
        <v>2288</v>
      </c>
      <c r="E91" s="122" t="s">
        <v>2289</v>
      </c>
    </row>
    <row r="92" spans="1:5">
      <c r="A92" s="118" t="s">
        <v>2290</v>
      </c>
      <c r="B92" s="55" t="s">
        <v>2265</v>
      </c>
      <c r="C92" s="55" t="s">
        <v>2291</v>
      </c>
      <c r="D92" s="121" t="s">
        <v>2292</v>
      </c>
      <c r="E92" s="122" t="s">
        <v>2293</v>
      </c>
    </row>
    <row r="93" spans="1:5">
      <c r="A93" s="118" t="s">
        <v>2294</v>
      </c>
      <c r="B93" s="55" t="s">
        <v>2265</v>
      </c>
      <c r="C93" s="55" t="s">
        <v>2295</v>
      </c>
      <c r="D93" s="121" t="s">
        <v>2296</v>
      </c>
      <c r="E93" s="122" t="s">
        <v>2297</v>
      </c>
    </row>
    <row r="94" spans="1:5">
      <c r="A94" s="118" t="s">
        <v>2298</v>
      </c>
      <c r="B94" s="55" t="s">
        <v>2265</v>
      </c>
      <c r="C94" s="55" t="s">
        <v>2299</v>
      </c>
      <c r="D94" s="121" t="s">
        <v>2300</v>
      </c>
      <c r="E94" s="122" t="s">
        <v>2301</v>
      </c>
    </row>
    <row r="95" spans="1:5">
      <c r="A95" s="118" t="s">
        <v>2302</v>
      </c>
      <c r="B95" s="55" t="s">
        <v>2265</v>
      </c>
      <c r="C95" s="55" t="s">
        <v>2303</v>
      </c>
      <c r="D95" s="121" t="s">
        <v>1467</v>
      </c>
      <c r="E95" s="122" t="s">
        <v>2304</v>
      </c>
    </row>
    <row r="96" spans="1:5">
      <c r="A96" s="118" t="s">
        <v>2305</v>
      </c>
      <c r="B96" s="55" t="s">
        <v>2265</v>
      </c>
      <c r="C96" s="55" t="s">
        <v>2306</v>
      </c>
      <c r="D96" s="121" t="s">
        <v>1465</v>
      </c>
      <c r="E96" s="122" t="s">
        <v>2307</v>
      </c>
    </row>
    <row r="97" spans="1:5">
      <c r="A97" s="118" t="s">
        <v>2308</v>
      </c>
      <c r="B97" s="55" t="s">
        <v>2309</v>
      </c>
      <c r="C97" s="55" t="s">
        <v>2310</v>
      </c>
      <c r="D97" s="121" t="s">
        <v>2311</v>
      </c>
      <c r="E97" s="122" t="s">
        <v>2312</v>
      </c>
    </row>
    <row r="98" spans="1:5">
      <c r="A98" s="118" t="s">
        <v>2313</v>
      </c>
      <c r="B98" s="55" t="s">
        <v>2309</v>
      </c>
      <c r="C98" s="55" t="s">
        <v>2314</v>
      </c>
      <c r="D98" s="121" t="s">
        <v>2315</v>
      </c>
      <c r="E98" s="122" t="s">
        <v>2316</v>
      </c>
    </row>
    <row r="99" spans="1:5">
      <c r="A99" s="118" t="s">
        <v>2317</v>
      </c>
      <c r="B99" s="55" t="s">
        <v>2309</v>
      </c>
      <c r="C99" s="55" t="s">
        <v>2318</v>
      </c>
      <c r="D99" s="121" t="s">
        <v>2319</v>
      </c>
      <c r="E99" s="122" t="s">
        <v>2320</v>
      </c>
    </row>
    <row r="100" spans="1:5">
      <c r="A100" s="118" t="s">
        <v>2321</v>
      </c>
      <c r="B100" s="55" t="s">
        <v>2309</v>
      </c>
      <c r="C100" s="55" t="s">
        <v>2322</v>
      </c>
      <c r="D100" s="121" t="s">
        <v>2323</v>
      </c>
      <c r="E100" s="122" t="s">
        <v>2324</v>
      </c>
    </row>
    <row r="101" spans="1:5">
      <c r="A101" s="118" t="s">
        <v>2325</v>
      </c>
      <c r="B101" s="55" t="s">
        <v>2309</v>
      </c>
      <c r="C101" s="55" t="s">
        <v>2326</v>
      </c>
      <c r="D101" s="121" t="s">
        <v>1502</v>
      </c>
      <c r="E101" s="122" t="s">
        <v>2327</v>
      </c>
    </row>
    <row r="102" spans="1:5">
      <c r="A102" s="118" t="s">
        <v>2328</v>
      </c>
      <c r="B102" s="55" t="s">
        <v>2309</v>
      </c>
      <c r="C102" s="55" t="s">
        <v>2329</v>
      </c>
      <c r="D102" s="121" t="s">
        <v>2330</v>
      </c>
      <c r="E102" s="122" t="s">
        <v>2331</v>
      </c>
    </row>
    <row r="103" spans="1:5">
      <c r="A103" s="118" t="s">
        <v>2332</v>
      </c>
      <c r="B103" s="55" t="s">
        <v>2309</v>
      </c>
      <c r="C103" s="55" t="s">
        <v>2333</v>
      </c>
      <c r="D103" s="121" t="s">
        <v>2334</v>
      </c>
      <c r="E103" s="122" t="s">
        <v>2335</v>
      </c>
    </row>
    <row r="104" spans="1:5">
      <c r="A104" s="118" t="s">
        <v>2336</v>
      </c>
      <c r="B104" s="55" t="s">
        <v>2309</v>
      </c>
      <c r="C104" s="55" t="s">
        <v>2337</v>
      </c>
      <c r="D104" s="121" t="s">
        <v>2338</v>
      </c>
      <c r="E104" s="122" t="s">
        <v>2339</v>
      </c>
    </row>
    <row r="105" spans="1:5">
      <c r="A105" s="118" t="s">
        <v>2340</v>
      </c>
      <c r="B105" s="55" t="s">
        <v>2309</v>
      </c>
      <c r="C105" s="55" t="s">
        <v>2341</v>
      </c>
      <c r="D105" s="121" t="s">
        <v>2342</v>
      </c>
      <c r="E105" s="122" t="s">
        <v>2343</v>
      </c>
    </row>
    <row r="106" spans="1:5">
      <c r="A106" s="118" t="s">
        <v>2344</v>
      </c>
      <c r="B106" s="55" t="s">
        <v>2309</v>
      </c>
      <c r="C106" s="55" t="s">
        <v>2345</v>
      </c>
      <c r="D106" s="121" t="s">
        <v>2346</v>
      </c>
      <c r="E106" s="122" t="s">
        <v>2347</v>
      </c>
    </row>
    <row r="107" spans="1:5">
      <c r="A107" s="118" t="s">
        <v>2348</v>
      </c>
      <c r="B107" s="55" t="s">
        <v>2309</v>
      </c>
      <c r="C107" s="55" t="s">
        <v>2349</v>
      </c>
      <c r="D107" s="121" t="s">
        <v>2350</v>
      </c>
      <c r="E107" s="122" t="s">
        <v>2351</v>
      </c>
    </row>
    <row r="108" spans="1:5">
      <c r="A108" s="118" t="s">
        <v>2352</v>
      </c>
      <c r="B108" s="55" t="s">
        <v>2309</v>
      </c>
      <c r="C108" s="55" t="s">
        <v>2353</v>
      </c>
      <c r="D108" s="121" t="s">
        <v>2354</v>
      </c>
      <c r="E108" s="122" t="s">
        <v>2355</v>
      </c>
    </row>
    <row r="109" spans="1:5">
      <c r="A109" s="118" t="s">
        <v>2356</v>
      </c>
      <c r="B109" s="55" t="s">
        <v>2309</v>
      </c>
      <c r="C109" s="55" t="s">
        <v>2357</v>
      </c>
      <c r="D109" s="121" t="s">
        <v>2358</v>
      </c>
      <c r="E109" s="122" t="s">
        <v>2359</v>
      </c>
    </row>
    <row r="110" spans="1:5">
      <c r="A110" s="118" t="s">
        <v>2360</v>
      </c>
      <c r="B110" s="55" t="s">
        <v>2309</v>
      </c>
      <c r="C110" s="55" t="s">
        <v>2361</v>
      </c>
      <c r="D110" s="121" t="s">
        <v>1507</v>
      </c>
      <c r="E110" s="122" t="s">
        <v>2362</v>
      </c>
    </row>
    <row r="111" spans="1:5">
      <c r="A111" s="118" t="s">
        <v>2363</v>
      </c>
      <c r="B111" s="55" t="s">
        <v>2309</v>
      </c>
      <c r="C111" s="55" t="s">
        <v>2364</v>
      </c>
      <c r="D111" s="121" t="s">
        <v>1492</v>
      </c>
      <c r="E111" s="122" t="s">
        <v>2365</v>
      </c>
    </row>
    <row r="112" spans="1:5">
      <c r="A112" s="118" t="s">
        <v>2366</v>
      </c>
      <c r="B112" s="55" t="s">
        <v>2309</v>
      </c>
      <c r="C112" s="55" t="s">
        <v>2367</v>
      </c>
      <c r="D112" s="121" t="s">
        <v>1480</v>
      </c>
      <c r="E112" s="122" t="s">
        <v>2368</v>
      </c>
    </row>
    <row r="113" spans="1:5">
      <c r="A113" s="118" t="s">
        <v>2369</v>
      </c>
      <c r="B113" s="55" t="s">
        <v>2309</v>
      </c>
      <c r="C113" s="55" t="s">
        <v>2370</v>
      </c>
      <c r="D113" s="121" t="s">
        <v>2371</v>
      </c>
      <c r="E113" s="122" t="s">
        <v>2372</v>
      </c>
    </row>
    <row r="114" spans="1:5">
      <c r="A114" s="118" t="s">
        <v>2373</v>
      </c>
      <c r="B114" s="55" t="s">
        <v>2309</v>
      </c>
      <c r="C114" s="55" t="s">
        <v>2374</v>
      </c>
      <c r="D114" s="121" t="s">
        <v>1498</v>
      </c>
      <c r="E114" s="122" t="s">
        <v>2375</v>
      </c>
    </row>
    <row r="115" spans="1:5">
      <c r="A115" s="118" t="s">
        <v>2376</v>
      </c>
      <c r="B115" s="55" t="s">
        <v>2309</v>
      </c>
      <c r="C115" s="55" t="s">
        <v>2377</v>
      </c>
      <c r="D115" s="121" t="s">
        <v>1493</v>
      </c>
      <c r="E115" s="122" t="s">
        <v>2378</v>
      </c>
    </row>
    <row r="116" spans="1:5">
      <c r="A116" s="118" t="s">
        <v>2379</v>
      </c>
      <c r="B116" s="55" t="s">
        <v>2309</v>
      </c>
      <c r="C116" s="55" t="s">
        <v>2380</v>
      </c>
      <c r="D116" s="121" t="s">
        <v>1474</v>
      </c>
      <c r="E116" s="122" t="s">
        <v>2381</v>
      </c>
    </row>
    <row r="117" spans="1:5">
      <c r="A117" s="118" t="s">
        <v>2382</v>
      </c>
      <c r="B117" s="55" t="s">
        <v>2383</v>
      </c>
      <c r="C117" s="55" t="s">
        <v>2384</v>
      </c>
      <c r="D117" s="121" t="s">
        <v>1521</v>
      </c>
      <c r="E117" s="122" t="s">
        <v>2385</v>
      </c>
    </row>
    <row r="118" spans="1:5">
      <c r="A118" s="118" t="s">
        <v>2386</v>
      </c>
      <c r="B118" s="55" t="s">
        <v>2383</v>
      </c>
      <c r="C118" s="55" t="s">
        <v>2387</v>
      </c>
      <c r="D118" s="121" t="s">
        <v>1526</v>
      </c>
      <c r="E118" s="122" t="s">
        <v>2388</v>
      </c>
    </row>
    <row r="119" spans="1:5">
      <c r="A119" s="118" t="s">
        <v>2389</v>
      </c>
      <c r="B119" s="55" t="s">
        <v>2383</v>
      </c>
      <c r="C119" s="55" t="s">
        <v>2390</v>
      </c>
      <c r="D119" s="121" t="s">
        <v>2391</v>
      </c>
      <c r="E119" s="122" t="s">
        <v>2392</v>
      </c>
    </row>
    <row r="120" spans="1:5">
      <c r="A120" s="118" t="s">
        <v>2393</v>
      </c>
      <c r="B120" s="55" t="s">
        <v>2383</v>
      </c>
      <c r="C120" s="55" t="s">
        <v>2394</v>
      </c>
      <c r="D120" s="121" t="s">
        <v>1531</v>
      </c>
      <c r="E120" s="122" t="s">
        <v>2395</v>
      </c>
    </row>
    <row r="121" spans="1:5">
      <c r="A121" s="118" t="s">
        <v>2396</v>
      </c>
      <c r="B121" s="55" t="s">
        <v>2383</v>
      </c>
      <c r="C121" s="55" t="s">
        <v>2397</v>
      </c>
      <c r="D121" s="121" t="s">
        <v>2398</v>
      </c>
      <c r="E121" s="122" t="s">
        <v>2399</v>
      </c>
    </row>
    <row r="122" spans="1:5">
      <c r="A122" s="118" t="s">
        <v>2400</v>
      </c>
      <c r="B122" s="55" t="s">
        <v>2383</v>
      </c>
      <c r="C122" s="55" t="s">
        <v>2401</v>
      </c>
      <c r="D122" s="121" t="s">
        <v>2402</v>
      </c>
      <c r="E122" s="122" t="s">
        <v>2403</v>
      </c>
    </row>
    <row r="123" spans="1:5">
      <c r="A123" s="118" t="s">
        <v>2404</v>
      </c>
      <c r="B123" s="55" t="s">
        <v>2383</v>
      </c>
      <c r="C123" s="55" t="s">
        <v>2405</v>
      </c>
      <c r="D123" s="121" t="s">
        <v>1539</v>
      </c>
      <c r="E123" s="122" t="s">
        <v>2406</v>
      </c>
    </row>
    <row r="124" spans="1:5">
      <c r="A124" s="118" t="s">
        <v>2407</v>
      </c>
      <c r="B124" s="55" t="s">
        <v>2383</v>
      </c>
      <c r="C124" s="55" t="s">
        <v>2408</v>
      </c>
      <c r="D124" s="121" t="s">
        <v>2409</v>
      </c>
      <c r="E124" s="122" t="s">
        <v>2406</v>
      </c>
    </row>
    <row r="125" spans="1:5">
      <c r="A125" s="118" t="s">
        <v>2410</v>
      </c>
      <c r="B125" s="55" t="s">
        <v>2383</v>
      </c>
      <c r="C125" s="55" t="s">
        <v>2411</v>
      </c>
      <c r="D125" s="121" t="s">
        <v>2412</v>
      </c>
      <c r="E125" s="122" t="s">
        <v>2413</v>
      </c>
    </row>
    <row r="126" spans="1:5">
      <c r="A126" s="118" t="s">
        <v>2414</v>
      </c>
      <c r="B126" s="55" t="s">
        <v>2383</v>
      </c>
      <c r="C126" s="55" t="s">
        <v>2415</v>
      </c>
      <c r="D126" s="121" t="s">
        <v>2416</v>
      </c>
      <c r="E126" s="122" t="s">
        <v>2417</v>
      </c>
    </row>
    <row r="127" spans="1:5">
      <c r="A127" s="118" t="s">
        <v>2418</v>
      </c>
      <c r="B127" s="55" t="s">
        <v>2383</v>
      </c>
      <c r="C127" s="55" t="s">
        <v>2419</v>
      </c>
      <c r="D127" s="121" t="s">
        <v>1546</v>
      </c>
      <c r="E127" s="122" t="s">
        <v>2420</v>
      </c>
    </row>
    <row r="128" spans="1:5">
      <c r="A128" s="118" t="s">
        <v>2421</v>
      </c>
      <c r="B128" s="55" t="s">
        <v>2383</v>
      </c>
      <c r="C128" s="55" t="s">
        <v>2422</v>
      </c>
      <c r="D128" s="121" t="s">
        <v>2423</v>
      </c>
      <c r="E128" s="122" t="s">
        <v>2424</v>
      </c>
    </row>
    <row r="129" spans="1:5">
      <c r="A129" s="118" t="s">
        <v>2425</v>
      </c>
      <c r="B129" s="55" t="s">
        <v>2383</v>
      </c>
      <c r="C129" s="55" t="s">
        <v>2426</v>
      </c>
      <c r="D129" s="121" t="s">
        <v>1544</v>
      </c>
      <c r="E129" s="122" t="s">
        <v>2427</v>
      </c>
    </row>
    <row r="130" spans="1:5">
      <c r="A130" s="118" t="s">
        <v>2428</v>
      </c>
      <c r="B130" s="55" t="s">
        <v>2383</v>
      </c>
      <c r="C130" s="55" t="s">
        <v>2429</v>
      </c>
      <c r="D130" s="121" t="s">
        <v>2430</v>
      </c>
      <c r="E130" s="122" t="s">
        <v>2431</v>
      </c>
    </row>
    <row r="131" spans="1:5">
      <c r="A131" s="118" t="s">
        <v>2432</v>
      </c>
      <c r="B131" s="55" t="s">
        <v>2433</v>
      </c>
      <c r="C131" s="55" t="s">
        <v>2434</v>
      </c>
      <c r="D131" s="121" t="s">
        <v>2435</v>
      </c>
      <c r="E131" s="122" t="s">
        <v>2436</v>
      </c>
    </row>
    <row r="132" spans="1:5">
      <c r="A132" s="118" t="s">
        <v>2437</v>
      </c>
      <c r="B132" s="55" t="s">
        <v>2433</v>
      </c>
      <c r="C132" s="55" t="s">
        <v>2438</v>
      </c>
      <c r="D132" s="121" t="s">
        <v>2439</v>
      </c>
      <c r="E132" s="122" t="s">
        <v>2440</v>
      </c>
    </row>
    <row r="133" spans="1:5">
      <c r="A133" s="118" t="s">
        <v>2441</v>
      </c>
      <c r="B133" s="55" t="s">
        <v>2433</v>
      </c>
      <c r="C133" s="55" t="s">
        <v>2442</v>
      </c>
      <c r="D133" s="121" t="s">
        <v>2443</v>
      </c>
      <c r="E133" s="122" t="s">
        <v>2444</v>
      </c>
    </row>
    <row r="134" spans="1:5">
      <c r="A134" s="118" t="s">
        <v>2445</v>
      </c>
      <c r="B134" s="55" t="s">
        <v>2433</v>
      </c>
      <c r="C134" s="55" t="s">
        <v>2446</v>
      </c>
      <c r="D134" s="121" t="s">
        <v>1572</v>
      </c>
      <c r="E134" s="122" t="s">
        <v>2447</v>
      </c>
    </row>
    <row r="135" spans="1:5">
      <c r="A135" s="118" t="s">
        <v>2448</v>
      </c>
      <c r="B135" s="55" t="s">
        <v>2433</v>
      </c>
      <c r="C135" s="55" t="s">
        <v>2449</v>
      </c>
      <c r="D135" s="121" t="s">
        <v>1588</v>
      </c>
      <c r="E135" s="122" t="s">
        <v>2450</v>
      </c>
    </row>
    <row r="136" spans="1:5">
      <c r="A136" s="118" t="s">
        <v>2451</v>
      </c>
      <c r="B136" s="55" t="s">
        <v>2433</v>
      </c>
      <c r="C136" s="55" t="s">
        <v>2452</v>
      </c>
      <c r="D136" s="121" t="s">
        <v>2453</v>
      </c>
      <c r="E136" s="122" t="s">
        <v>2454</v>
      </c>
    </row>
    <row r="137" spans="1:5">
      <c r="A137" s="118" t="s">
        <v>2455</v>
      </c>
      <c r="B137" s="55" t="s">
        <v>2433</v>
      </c>
      <c r="C137" s="55" t="s">
        <v>2456</v>
      </c>
      <c r="D137" s="121" t="s">
        <v>2457</v>
      </c>
      <c r="E137" s="122" t="s">
        <v>2458</v>
      </c>
    </row>
    <row r="138" spans="1:5">
      <c r="A138" s="118" t="s">
        <v>2459</v>
      </c>
      <c r="B138" s="55" t="s">
        <v>2433</v>
      </c>
      <c r="C138" s="55" t="s">
        <v>2460</v>
      </c>
      <c r="D138" s="121" t="s">
        <v>2461</v>
      </c>
      <c r="E138" s="122" t="s">
        <v>2462</v>
      </c>
    </row>
    <row r="139" spans="1:5">
      <c r="A139" s="118" t="s">
        <v>2463</v>
      </c>
      <c r="B139" s="55" t="s">
        <v>2433</v>
      </c>
      <c r="C139" s="55" t="s">
        <v>2464</v>
      </c>
      <c r="D139" s="121" t="s">
        <v>2465</v>
      </c>
      <c r="E139" s="122" t="s">
        <v>2466</v>
      </c>
    </row>
    <row r="140" spans="1:5">
      <c r="A140" s="118" t="s">
        <v>2467</v>
      </c>
      <c r="B140" s="55" t="s">
        <v>2433</v>
      </c>
      <c r="C140" s="55" t="s">
        <v>2468</v>
      </c>
      <c r="D140" s="121" t="s">
        <v>1576</v>
      </c>
      <c r="E140" s="122" t="s">
        <v>2469</v>
      </c>
    </row>
    <row r="141" spans="1:5">
      <c r="A141" s="118" t="s">
        <v>2470</v>
      </c>
      <c r="B141" s="55" t="s">
        <v>2433</v>
      </c>
      <c r="C141" s="55" t="s">
        <v>2471</v>
      </c>
      <c r="D141" s="121" t="s">
        <v>2472</v>
      </c>
      <c r="E141" s="122" t="s">
        <v>2473</v>
      </c>
    </row>
    <row r="142" spans="1:5">
      <c r="A142" s="118" t="s">
        <v>2474</v>
      </c>
      <c r="B142" s="55" t="s">
        <v>2433</v>
      </c>
      <c r="C142" s="55" t="s">
        <v>2475</v>
      </c>
      <c r="D142" s="121" t="s">
        <v>2476</v>
      </c>
      <c r="E142" s="122" t="s">
        <v>2477</v>
      </c>
    </row>
    <row r="143" spans="1:5">
      <c r="A143" s="118" t="s">
        <v>2478</v>
      </c>
      <c r="B143" s="55" t="s">
        <v>2433</v>
      </c>
      <c r="C143" s="55" t="s">
        <v>2479</v>
      </c>
      <c r="D143" s="121" t="s">
        <v>1570</v>
      </c>
      <c r="E143" s="122" t="s">
        <v>2480</v>
      </c>
    </row>
    <row r="144" spans="1:5">
      <c r="A144" s="118" t="s">
        <v>2481</v>
      </c>
      <c r="B144" s="55" t="s">
        <v>2482</v>
      </c>
      <c r="C144" s="55" t="s">
        <v>2483</v>
      </c>
      <c r="D144" s="121" t="s">
        <v>2484</v>
      </c>
      <c r="E144" s="122" t="s">
        <v>2485</v>
      </c>
    </row>
    <row r="145" spans="1:5">
      <c r="A145" s="118" t="s">
        <v>2486</v>
      </c>
      <c r="B145" s="55" t="s">
        <v>2482</v>
      </c>
      <c r="C145" s="55" t="s">
        <v>2487</v>
      </c>
      <c r="D145" s="121" t="s">
        <v>2488</v>
      </c>
      <c r="E145" s="122" t="s">
        <v>2489</v>
      </c>
    </row>
    <row r="146" spans="1:5">
      <c r="A146" s="118" t="s">
        <v>2490</v>
      </c>
      <c r="B146" s="55" t="s">
        <v>2482</v>
      </c>
      <c r="C146" s="55" t="s">
        <v>2491</v>
      </c>
      <c r="D146" s="121" t="s">
        <v>2492</v>
      </c>
      <c r="E146" s="122" t="s">
        <v>2493</v>
      </c>
    </row>
    <row r="147" spans="1:5">
      <c r="A147" s="118" t="s">
        <v>2494</v>
      </c>
      <c r="B147" s="55" t="s">
        <v>2482</v>
      </c>
      <c r="C147" s="55" t="s">
        <v>2495</v>
      </c>
      <c r="D147" s="121" t="s">
        <v>1790</v>
      </c>
      <c r="E147" s="122" t="s">
        <v>2496</v>
      </c>
    </row>
    <row r="148" spans="1:5">
      <c r="A148" s="118" t="s">
        <v>2497</v>
      </c>
      <c r="B148" s="55" t="s">
        <v>2482</v>
      </c>
      <c r="C148" s="55" t="s">
        <v>2498</v>
      </c>
      <c r="D148" s="121" t="s">
        <v>1605</v>
      </c>
      <c r="E148" s="122" t="s">
        <v>2499</v>
      </c>
    </row>
    <row r="149" spans="1:5">
      <c r="A149" s="118" t="s">
        <v>2500</v>
      </c>
      <c r="B149" s="55" t="s">
        <v>2482</v>
      </c>
      <c r="C149" s="55" t="s">
        <v>2501</v>
      </c>
      <c r="D149" s="121" t="s">
        <v>1607</v>
      </c>
      <c r="E149" s="122" t="s">
        <v>2502</v>
      </c>
    </row>
    <row r="150" spans="1:5">
      <c r="A150" s="118" t="s">
        <v>2503</v>
      </c>
      <c r="B150" s="55" t="s">
        <v>2482</v>
      </c>
      <c r="C150" s="55" t="s">
        <v>2504</v>
      </c>
      <c r="D150" s="121" t="s">
        <v>2505</v>
      </c>
      <c r="E150" s="122" t="s">
        <v>2506</v>
      </c>
    </row>
    <row r="151" spans="1:5">
      <c r="A151" s="118" t="s">
        <v>2507</v>
      </c>
      <c r="B151" s="55" t="s">
        <v>2482</v>
      </c>
      <c r="C151" s="55" t="s">
        <v>2508</v>
      </c>
      <c r="D151" s="121" t="s">
        <v>2509</v>
      </c>
      <c r="E151" s="122" t="s">
        <v>2510</v>
      </c>
    </row>
    <row r="152" spans="1:5">
      <c r="A152" s="118" t="s">
        <v>2511</v>
      </c>
      <c r="B152" s="55" t="s">
        <v>2482</v>
      </c>
      <c r="C152" s="55" t="s">
        <v>2512</v>
      </c>
      <c r="D152" s="121" t="s">
        <v>2513</v>
      </c>
      <c r="E152" s="122" t="s">
        <v>2514</v>
      </c>
    </row>
    <row r="153" spans="1:5">
      <c r="A153" s="118" t="s">
        <v>2515</v>
      </c>
      <c r="B153" s="55" t="s">
        <v>2482</v>
      </c>
      <c r="C153" s="55" t="s">
        <v>2516</v>
      </c>
      <c r="D153" s="121" t="s">
        <v>2517</v>
      </c>
      <c r="E153" s="122" t="s">
        <v>2518</v>
      </c>
    </row>
    <row r="154" spans="1:5">
      <c r="A154" s="118" t="s">
        <v>2519</v>
      </c>
      <c r="B154" s="55" t="s">
        <v>2482</v>
      </c>
      <c r="C154" s="55" t="s">
        <v>2520</v>
      </c>
      <c r="D154" s="121" t="s">
        <v>2521</v>
      </c>
      <c r="E154" s="122" t="s">
        <v>2522</v>
      </c>
    </row>
    <row r="155" spans="1:5">
      <c r="A155" s="118" t="s">
        <v>2523</v>
      </c>
      <c r="B155" s="55" t="s">
        <v>2482</v>
      </c>
      <c r="C155" s="55" t="s">
        <v>2524</v>
      </c>
      <c r="D155" s="121" t="s">
        <v>2525</v>
      </c>
      <c r="E155" s="122" t="s">
        <v>2526</v>
      </c>
    </row>
    <row r="156" spans="1:5">
      <c r="A156" s="118" t="s">
        <v>2527</v>
      </c>
      <c r="B156" s="55" t="s">
        <v>2482</v>
      </c>
      <c r="C156" s="55" t="s">
        <v>2528</v>
      </c>
      <c r="D156" s="121" t="s">
        <v>2529</v>
      </c>
      <c r="E156" s="122" t="s">
        <v>2530</v>
      </c>
    </row>
    <row r="157" spans="1:5">
      <c r="A157" s="118" t="s">
        <v>2531</v>
      </c>
      <c r="B157" s="55" t="s">
        <v>2482</v>
      </c>
      <c r="C157" s="55" t="s">
        <v>2532</v>
      </c>
      <c r="D157" s="121" t="s">
        <v>2533</v>
      </c>
      <c r="E157" s="122" t="s">
        <v>2534</v>
      </c>
    </row>
    <row r="158" spans="1:5">
      <c r="A158" s="118" t="s">
        <v>2535</v>
      </c>
      <c r="B158" s="55" t="s">
        <v>2482</v>
      </c>
      <c r="C158" s="55" t="s">
        <v>2536</v>
      </c>
      <c r="D158" s="121" t="s">
        <v>2537</v>
      </c>
      <c r="E158" s="122" t="s">
        <v>2538</v>
      </c>
    </row>
    <row r="159" spans="1:5">
      <c r="A159" s="118" t="s">
        <v>2539</v>
      </c>
      <c r="B159" s="55" t="s">
        <v>2482</v>
      </c>
      <c r="C159" s="55" t="s">
        <v>2540</v>
      </c>
      <c r="D159" s="121" t="s">
        <v>2541</v>
      </c>
      <c r="E159" s="122" t="s">
        <v>2542</v>
      </c>
    </row>
    <row r="160" spans="1:5">
      <c r="A160" s="118" t="s">
        <v>2543</v>
      </c>
      <c r="B160" s="55" t="s">
        <v>2482</v>
      </c>
      <c r="C160" s="55" t="s">
        <v>2544</v>
      </c>
      <c r="D160" s="121" t="s">
        <v>1623</v>
      </c>
      <c r="E160" s="122" t="s">
        <v>2545</v>
      </c>
    </row>
    <row r="161" spans="1:5">
      <c r="A161" s="118" t="s">
        <v>2546</v>
      </c>
      <c r="B161" s="55" t="s">
        <v>2482</v>
      </c>
      <c r="C161" s="55" t="s">
        <v>2547</v>
      </c>
      <c r="D161" s="121" t="s">
        <v>2548</v>
      </c>
      <c r="E161" s="122" t="s">
        <v>2549</v>
      </c>
    </row>
    <row r="162" spans="1:5">
      <c r="A162" s="118" t="s">
        <v>2550</v>
      </c>
      <c r="B162" s="55" t="s">
        <v>2551</v>
      </c>
      <c r="C162" s="55" t="s">
        <v>2552</v>
      </c>
      <c r="D162" s="121" t="s">
        <v>2553</v>
      </c>
      <c r="E162" s="122" t="s">
        <v>2554</v>
      </c>
    </row>
    <row r="163" spans="1:5">
      <c r="A163" s="118" t="s">
        <v>2555</v>
      </c>
      <c r="B163" s="55" t="s">
        <v>2551</v>
      </c>
      <c r="C163" s="55" t="s">
        <v>2556</v>
      </c>
      <c r="D163" s="121" t="s">
        <v>1654</v>
      </c>
      <c r="E163" s="122" t="s">
        <v>2557</v>
      </c>
    </row>
    <row r="164" spans="1:5">
      <c r="A164" s="118" t="s">
        <v>2558</v>
      </c>
      <c r="B164" s="55" t="s">
        <v>2551</v>
      </c>
      <c r="C164" s="55" t="s">
        <v>2559</v>
      </c>
      <c r="D164" s="121" t="s">
        <v>2560</v>
      </c>
      <c r="E164" s="122" t="s">
        <v>2561</v>
      </c>
    </row>
    <row r="165" spans="1:5">
      <c r="A165" s="118" t="s">
        <v>2562</v>
      </c>
      <c r="B165" s="55" t="s">
        <v>2551</v>
      </c>
      <c r="C165" s="55" t="s">
        <v>2563</v>
      </c>
      <c r="D165" s="121" t="s">
        <v>2564</v>
      </c>
      <c r="E165" s="122" t="s">
        <v>2565</v>
      </c>
    </row>
    <row r="166" spans="1:5">
      <c r="A166" s="118" t="s">
        <v>2566</v>
      </c>
      <c r="B166" s="55" t="s">
        <v>2551</v>
      </c>
      <c r="C166" s="55" t="s">
        <v>2567</v>
      </c>
      <c r="D166" s="121" t="s">
        <v>2568</v>
      </c>
      <c r="E166" s="122" t="s">
        <v>2569</v>
      </c>
    </row>
    <row r="167" spans="1:5">
      <c r="A167" s="118" t="s">
        <v>2570</v>
      </c>
      <c r="B167" s="55" t="s">
        <v>2551</v>
      </c>
      <c r="C167" s="55" t="s">
        <v>2571</v>
      </c>
      <c r="D167" s="121" t="s">
        <v>2572</v>
      </c>
      <c r="E167" s="122" t="s">
        <v>2573</v>
      </c>
    </row>
    <row r="168" spans="1:5">
      <c r="A168" s="118" t="s">
        <v>2574</v>
      </c>
      <c r="B168" s="55" t="s">
        <v>2551</v>
      </c>
      <c r="C168" s="55" t="s">
        <v>2575</v>
      </c>
      <c r="D168" s="121" t="s">
        <v>2576</v>
      </c>
      <c r="E168" s="122" t="s">
        <v>2577</v>
      </c>
    </row>
    <row r="169" spans="1:5">
      <c r="A169" s="118" t="s">
        <v>2578</v>
      </c>
      <c r="B169" s="55" t="s">
        <v>2551</v>
      </c>
      <c r="C169" s="55" t="s">
        <v>2579</v>
      </c>
      <c r="D169" s="121" t="s">
        <v>2580</v>
      </c>
      <c r="E169" s="122" t="s">
        <v>2581</v>
      </c>
    </row>
    <row r="170" spans="1:5">
      <c r="A170" s="118" t="s">
        <v>2582</v>
      </c>
      <c r="B170" s="55" t="s">
        <v>2551</v>
      </c>
      <c r="C170" s="55" t="s">
        <v>2583</v>
      </c>
      <c r="D170" s="121" t="s">
        <v>2584</v>
      </c>
      <c r="E170" s="122" t="s">
        <v>2585</v>
      </c>
    </row>
    <row r="171" spans="1:5">
      <c r="A171" s="118" t="s">
        <v>2586</v>
      </c>
      <c r="B171" s="55" t="s">
        <v>2551</v>
      </c>
      <c r="C171" s="55" t="s">
        <v>2587</v>
      </c>
      <c r="D171" s="121" t="s">
        <v>2588</v>
      </c>
      <c r="E171" s="122" t="s">
        <v>2589</v>
      </c>
    </row>
    <row r="172" spans="1:5">
      <c r="A172" s="118" t="s">
        <v>2590</v>
      </c>
      <c r="B172" s="55" t="s">
        <v>2551</v>
      </c>
      <c r="C172" s="55" t="s">
        <v>2591</v>
      </c>
      <c r="D172" s="121" t="s">
        <v>2592</v>
      </c>
      <c r="E172" s="122" t="s">
        <v>2593</v>
      </c>
    </row>
    <row r="173" spans="1:5">
      <c r="A173" s="118" t="s">
        <v>2594</v>
      </c>
      <c r="B173" s="55" t="s">
        <v>2551</v>
      </c>
      <c r="C173" s="55" t="s">
        <v>2595</v>
      </c>
      <c r="D173" s="121" t="s">
        <v>1661</v>
      </c>
      <c r="E173" s="122" t="s">
        <v>2596</v>
      </c>
    </row>
    <row r="174" spans="1:5">
      <c r="A174" s="118" t="s">
        <v>2597</v>
      </c>
      <c r="B174" s="55" t="s">
        <v>2551</v>
      </c>
      <c r="C174" s="55" t="s">
        <v>2598</v>
      </c>
      <c r="D174" s="121" t="s">
        <v>2599</v>
      </c>
      <c r="E174" s="122" t="s">
        <v>2600</v>
      </c>
    </row>
    <row r="175" spans="1:5">
      <c r="A175" s="118" t="s">
        <v>2601</v>
      </c>
      <c r="B175" s="55" t="s">
        <v>2187</v>
      </c>
      <c r="C175" s="55" t="s">
        <v>2602</v>
      </c>
      <c r="D175" s="121" t="s">
        <v>2603</v>
      </c>
      <c r="E175" s="122" t="s">
        <v>2604</v>
      </c>
    </row>
    <row r="176" spans="1:5">
      <c r="A176" s="118" t="s">
        <v>2605</v>
      </c>
      <c r="B176" s="55" t="s">
        <v>2187</v>
      </c>
      <c r="C176" s="55" t="s">
        <v>2606</v>
      </c>
      <c r="D176" s="121" t="s">
        <v>2607</v>
      </c>
      <c r="E176" s="122" t="s">
        <v>2608</v>
      </c>
    </row>
    <row r="177" spans="1:5">
      <c r="A177" s="118" t="s">
        <v>2609</v>
      </c>
      <c r="B177" s="55" t="s">
        <v>2187</v>
      </c>
      <c r="C177" s="55" t="s">
        <v>2610</v>
      </c>
      <c r="D177" s="121" t="s">
        <v>2611</v>
      </c>
      <c r="E177" s="122" t="s">
        <v>2612</v>
      </c>
    </row>
    <row r="178" spans="1:5">
      <c r="A178" s="118" t="s">
        <v>2613</v>
      </c>
      <c r="B178" s="55" t="s">
        <v>2187</v>
      </c>
      <c r="C178" s="55" t="s">
        <v>2614</v>
      </c>
      <c r="D178" s="121" t="s">
        <v>2615</v>
      </c>
      <c r="E178" s="122" t="s">
        <v>2616</v>
      </c>
    </row>
    <row r="179" spans="1:5">
      <c r="A179" s="118" t="s">
        <v>2617</v>
      </c>
      <c r="B179" s="55" t="s">
        <v>2187</v>
      </c>
      <c r="C179" s="55" t="s">
        <v>2618</v>
      </c>
      <c r="D179" s="121" t="s">
        <v>2619</v>
      </c>
      <c r="E179" s="122" t="s">
        <v>2620</v>
      </c>
    </row>
    <row r="180" spans="1:5">
      <c r="A180" s="118" t="s">
        <v>2621</v>
      </c>
      <c r="B180" s="55" t="s">
        <v>2187</v>
      </c>
      <c r="C180" s="55" t="s">
        <v>2622</v>
      </c>
      <c r="D180" s="121" t="s">
        <v>2623</v>
      </c>
      <c r="E180" s="122" t="s">
        <v>2624</v>
      </c>
    </row>
    <row r="181" spans="1:5">
      <c r="A181" s="118" t="s">
        <v>2625</v>
      </c>
      <c r="B181" s="55" t="s">
        <v>2265</v>
      </c>
      <c r="C181" s="55" t="s">
        <v>2626</v>
      </c>
      <c r="D181" s="121" t="s">
        <v>2627</v>
      </c>
      <c r="E181" s="122" t="s">
        <v>2628</v>
      </c>
    </row>
    <row r="182" spans="1:5">
      <c r="A182" s="118" t="s">
        <v>2629</v>
      </c>
      <c r="B182" s="55" t="s">
        <v>2265</v>
      </c>
      <c r="C182" s="55" t="s">
        <v>2630</v>
      </c>
      <c r="D182" s="121" t="s">
        <v>2631</v>
      </c>
      <c r="E182" s="122" t="s">
        <v>2282</v>
      </c>
    </row>
    <row r="183" spans="1:5">
      <c r="A183" s="118" t="s">
        <v>2632</v>
      </c>
      <c r="B183" s="55" t="s">
        <v>2265</v>
      </c>
      <c r="C183" s="55" t="s">
        <v>2633</v>
      </c>
      <c r="D183" s="121" t="s">
        <v>2634</v>
      </c>
      <c r="E183" s="122" t="s">
        <v>2285</v>
      </c>
    </row>
    <row r="184" spans="1:5">
      <c r="A184" s="118" t="s">
        <v>2635</v>
      </c>
      <c r="B184" s="55" t="s">
        <v>2309</v>
      </c>
      <c r="C184" s="55" t="s">
        <v>2636</v>
      </c>
      <c r="D184" s="121" t="s">
        <v>2637</v>
      </c>
      <c r="E184" s="122" t="s">
        <v>2638</v>
      </c>
    </row>
    <row r="185" spans="1:5">
      <c r="A185" s="118" t="s">
        <v>2639</v>
      </c>
      <c r="B185" s="55" t="s">
        <v>2309</v>
      </c>
      <c r="C185" s="55" t="s">
        <v>2640</v>
      </c>
      <c r="D185" s="121" t="s">
        <v>2641</v>
      </c>
      <c r="E185" s="122" t="s">
        <v>2642</v>
      </c>
    </row>
    <row r="186" spans="1:5">
      <c r="A186" s="118" t="s">
        <v>2643</v>
      </c>
      <c r="B186" s="55" t="s">
        <v>2482</v>
      </c>
      <c r="C186" s="55" t="s">
        <v>2644</v>
      </c>
      <c r="D186" s="121" t="s">
        <v>2645</v>
      </c>
      <c r="E186" s="122" t="s">
        <v>2646</v>
      </c>
    </row>
    <row r="187" spans="1:5">
      <c r="A187" s="118" t="s">
        <v>2647</v>
      </c>
      <c r="B187" s="55" t="s">
        <v>2482</v>
      </c>
      <c r="C187" s="55" t="s">
        <v>2648</v>
      </c>
      <c r="D187" s="121" t="s">
        <v>2649</v>
      </c>
      <c r="E187" s="122" t="s">
        <v>2650</v>
      </c>
    </row>
    <row r="188" spans="1:5">
      <c r="A188" s="118" t="s">
        <v>2651</v>
      </c>
      <c r="B188" s="55" t="s">
        <v>2433</v>
      </c>
      <c r="C188" s="55" t="s">
        <v>2652</v>
      </c>
      <c r="D188" s="121" t="s">
        <v>2653</v>
      </c>
      <c r="E188" s="122" t="s">
        <v>2654</v>
      </c>
    </row>
    <row r="189" spans="1:5">
      <c r="A189" s="118" t="s">
        <v>2655</v>
      </c>
      <c r="B189" s="55" t="s">
        <v>2551</v>
      </c>
      <c r="C189" s="55" t="s">
        <v>2656</v>
      </c>
      <c r="D189" s="121" t="s">
        <v>2657</v>
      </c>
      <c r="E189" s="122" t="s">
        <v>2600</v>
      </c>
    </row>
  </sheetData>
  <autoFilter ref="A4:E189" xr:uid="{310581F7-ECDF-C64A-A7B0-C540D55B3FA1}"/>
  <phoneticPr fontId="2"/>
  <conditionalFormatting sqref="A5:E189">
    <cfRule type="expression" dxfId="34" priority="1">
      <formula>$B5="U2 Keycloak論理"</formula>
    </cfRule>
  </conditionalFormatting>
  <conditionalFormatting sqref="A5:E189">
    <cfRule type="expression" dxfId="33" priority="2">
      <formula>$B5="U3 ID・プロビジョニング"</formula>
    </cfRule>
  </conditionalFormatting>
  <conditionalFormatting sqref="A5:E189">
    <cfRule type="expression" dxfId="32" priority="3">
      <formula>$B5="U5 トークン・認可"</formula>
    </cfRule>
  </conditionalFormatting>
  <conditionalFormatting sqref="A5:E189">
    <cfRule type="expression" dxfId="31" priority="4">
      <formula>$B5="U4 認証体験・UX"</formula>
    </cfRule>
  </conditionalFormatting>
  <conditionalFormatting sqref="A5:E189">
    <cfRule type="expression" dxfId="30" priority="5">
      <formula>$B5="U7 セキュリティ"</formula>
    </cfRule>
  </conditionalFormatting>
  <conditionalFormatting sqref="A5:E189">
    <cfRule type="expression" dxfId="29" priority="6">
      <formula>$B5="U8 可用性・DR"</formula>
    </cfRule>
  </conditionalFormatting>
  <conditionalFormatting sqref="A5:E189">
    <cfRule type="expression" dxfId="28" priority="7">
      <formula>$B5="U6 インフラ・NW"</formula>
    </cfRule>
  </conditionalFormatting>
  <conditionalFormatting sqref="A5:E189">
    <cfRule type="expression" dxfId="27" priority="8">
      <formula>$B5="U9 運用・監視・IaC"</formula>
    </cfRule>
  </conditionalFormatting>
  <conditionalFormatting sqref="A5:E189">
    <cfRule type="expression" dxfId="26" priority="9">
      <formula>$B5="U10 連携・移行"</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zoomScale="125" workbookViewId="0">
      <pane ySplit="4" topLeftCell="A97" activePane="bottomLeft" state="frozen"/>
      <selection pane="bottomLeft" activeCell="E18" sqref="E18"/>
    </sheetView>
  </sheetViews>
  <sheetFormatPr baseColWidth="10" defaultRowHeight="15"/>
  <cols>
    <col min="1" max="1" width="15.7109375" style="55" customWidth="1"/>
    <col min="2" max="2" width="28.5703125" style="55" customWidth="1"/>
    <col min="3" max="3" width="61.42578125" style="55" customWidth="1"/>
    <col min="4" max="4" width="11.42578125" style="55" customWidth="1"/>
    <col min="5" max="5" width="32.85546875" style="55" customWidth="1"/>
    <col min="6" max="6" width="12.85546875" style="55" customWidth="1"/>
    <col min="7" max="7" width="14.28515625" style="55" customWidth="1"/>
    <col min="8" max="8" width="57.140625" style="55" customWidth="1"/>
    <col min="9" max="16384" width="10.7109375" style="55"/>
  </cols>
  <sheetData>
    <row r="1" spans="1:8">
      <c r="A1" s="54" t="s">
        <v>1258</v>
      </c>
    </row>
    <row r="2" spans="1:8">
      <c r="A2" s="68" t="s">
        <v>1259</v>
      </c>
    </row>
    <row r="4" spans="1:8" ht="22" customHeight="1">
      <c r="A4" s="29" t="s">
        <v>1260</v>
      </c>
      <c r="B4" s="30" t="s">
        <v>1261</v>
      </c>
      <c r="C4" s="30" t="s">
        <v>987</v>
      </c>
      <c r="D4" s="30" t="s">
        <v>2668</v>
      </c>
      <c r="E4" s="30" t="s">
        <v>1262</v>
      </c>
      <c r="F4" s="30" t="s">
        <v>1256</v>
      </c>
      <c r="G4" s="30" t="s">
        <v>1263</v>
      </c>
      <c r="H4" s="31" t="s">
        <v>1264</v>
      </c>
    </row>
    <row r="5" spans="1:8" ht="16">
      <c r="A5" s="58" t="str">
        <f>進捗一覧!J7</f>
        <v>FR-AUTH-001</v>
      </c>
      <c r="B5" s="59" t="str">
        <f>進捗一覧!I7</f>
        <v>FR-AUTH 認証フロー/Grant Type</v>
      </c>
      <c r="C5" s="60" t="str">
        <f>進捗一覧!E7</f>
        <v>自社で直接持つ利用者に、IDとパスワードでのログインを認めるか。認める対象を誰までに限るか</v>
      </c>
      <c r="D5" s="61" t="str">
        <f>進捗一覧!D7</f>
        <v>確定</v>
      </c>
      <c r="E5" s="59" t="s">
        <v>1273</v>
      </c>
      <c r="F5" s="61" t="s">
        <v>1313</v>
      </c>
      <c r="G5" s="61" t="s">
        <v>1314</v>
      </c>
      <c r="H5" s="69" t="s">
        <v>1315</v>
      </c>
    </row>
    <row r="6" spans="1:8" ht="16">
      <c r="A6" s="58" t="str">
        <f>進捗一覧!J8</f>
        <v>FR-AUTH-002</v>
      </c>
      <c r="B6" s="59" t="str">
        <f>進捗一覧!I8</f>
        <v>FR-AUTH 認証フロー/Grant Type</v>
      </c>
      <c r="C6" s="60" t="str">
        <f>進捗一覧!E8</f>
        <v>スマホアプリや画面だけで動くWebアプリから安全にログインさせる標準方式を採用するか</v>
      </c>
      <c r="D6" s="61" t="str">
        <f>進捗一覧!D8</f>
        <v>確定</v>
      </c>
      <c r="E6" s="59" t="s">
        <v>1316</v>
      </c>
      <c r="F6" s="61" t="s">
        <v>1317</v>
      </c>
      <c r="G6" s="61" t="s">
        <v>1314</v>
      </c>
      <c r="H6" s="69" t="s">
        <v>1318</v>
      </c>
    </row>
    <row r="7" spans="1:8" ht="16">
      <c r="A7" s="58" t="str">
        <f>進捗一覧!J9</f>
        <v>FR-AUTH-003</v>
      </c>
      <c r="B7" s="59" t="str">
        <f>進捗一覧!I9</f>
        <v>FR-AUTH 認証フロー/Grant Type</v>
      </c>
      <c r="C7" s="60" t="str">
        <f>進捗一覧!E9</f>
        <v>サーバー側で画面を組み立てるWebアプリのログイン方式をどうするか</v>
      </c>
      <c r="D7" s="61" t="str">
        <f>進捗一覧!D9</f>
        <v>方向性確定（条件付き）</v>
      </c>
      <c r="E7" s="59" t="s">
        <v>1307</v>
      </c>
      <c r="F7" s="61" t="s">
        <v>1317</v>
      </c>
      <c r="G7" s="61" t="s">
        <v>1314</v>
      </c>
      <c r="H7" s="69" t="s">
        <v>1319</v>
      </c>
    </row>
    <row r="8" spans="1:8" ht="16">
      <c r="A8" s="58" t="str">
        <f>進捗一覧!J10</f>
        <v>FR-AUTH-004</v>
      </c>
      <c r="B8" s="59" t="str">
        <f>進捗一覧!I10</f>
        <v>FR-AUTH 認証フロー/Grant Type</v>
      </c>
      <c r="C8" s="60" t="str">
        <f>進捗一覧!E10</f>
        <v>人を介さないシステム同士の通信で、機械が自分の身元を証明する仕組みを用意するか</v>
      </c>
      <c r="D8" s="61" t="str">
        <f>進捗一覧!D10</f>
        <v>方向性確定（条件付き）</v>
      </c>
      <c r="E8" s="59" t="s">
        <v>1312</v>
      </c>
      <c r="F8" s="61" t="s">
        <v>1317</v>
      </c>
      <c r="G8" s="61" t="s">
        <v>1314</v>
      </c>
      <c r="H8" s="69" t="s">
        <v>1320</v>
      </c>
    </row>
    <row r="9" spans="1:8" ht="16">
      <c r="A9" s="58" t="str">
        <f>進捗一覧!J11</f>
        <v>FR-AUTH-005</v>
      </c>
      <c r="B9" s="59" t="str">
        <f>進捗一覧!I11</f>
        <v>FR-AUTH 認証フロー/Grant Type</v>
      </c>
      <c r="C9" s="60" t="str">
        <f>進捗一覧!E11</f>
        <v>あるシステム向けの通行証を別システム向けに引き換える仕組みが必要か</v>
      </c>
      <c r="D9" s="61" t="str">
        <f>進捗一覧!D11</f>
        <v>外部待ち</v>
      </c>
      <c r="E9" s="59" t="s">
        <v>1321</v>
      </c>
      <c r="F9" s="61" t="s">
        <v>1317</v>
      </c>
      <c r="G9" s="61" t="s">
        <v>1314</v>
      </c>
      <c r="H9" s="69" t="s">
        <v>1322</v>
      </c>
    </row>
    <row r="10" spans="1:8" ht="16">
      <c r="A10" s="58" t="str">
        <f>進捗一覧!J12</f>
        <v>FR-AUTH-006</v>
      </c>
      <c r="B10" s="59" t="str">
        <f>進捗一覧!I12</f>
        <v>FR-AUTH 認証フロー/Grant Type</v>
      </c>
      <c r="C10" s="60" t="str">
        <f>進捗一覧!E12</f>
        <v>テレビやプリンタのように文字入力が難しい機器からログインする必要があるか</v>
      </c>
      <c r="D10" s="61" t="str">
        <f>進捗一覧!D12</f>
        <v>外部待ち</v>
      </c>
      <c r="E10" s="59" t="s">
        <v>1445</v>
      </c>
      <c r="F10" s="61" t="s">
        <v>1793</v>
      </c>
      <c r="G10" s="61" t="s">
        <v>1446</v>
      </c>
      <c r="H10" s="69" t="s">
        <v>1794</v>
      </c>
    </row>
    <row r="11" spans="1:8" ht="16">
      <c r="A11" s="58" t="str">
        <f>進捗一覧!J13</f>
        <v>FR-AUTH-007</v>
      </c>
      <c r="B11" s="59" t="str">
        <f>進捗一覧!I13</f>
        <v>FR-AUTH 認証フロー/Grant Type</v>
      </c>
      <c r="C11" s="60" t="str">
        <f>進捗一覧!E13</f>
        <v>電子証明書を使ってアプリ自身の身元を証明させる必要があるか</v>
      </c>
      <c r="D11" s="61" t="str">
        <f>進捗一覧!D13</f>
        <v>外部待ち</v>
      </c>
      <c r="E11" s="59" t="s">
        <v>1848</v>
      </c>
      <c r="F11" s="61" t="s">
        <v>1849</v>
      </c>
      <c r="G11" s="61" t="s">
        <v>1443</v>
      </c>
      <c r="H11" s="69" t="s">
        <v>1850</v>
      </c>
    </row>
    <row r="12" spans="1:8" ht="16">
      <c r="A12" s="58" t="str">
        <f>進捗一覧!J14</f>
        <v>FR-AUTH-008</v>
      </c>
      <c r="B12" s="59" t="str">
        <f>進捗一覧!I14</f>
        <v>FR-AUTH 認証フロー/Grant Type</v>
      </c>
      <c r="C12" s="60" t="str">
        <f>進捗一覧!E14</f>
        <v>IDとパスワードを直接アプリに預ける古い方式は使わない、という方針を確認する</v>
      </c>
      <c r="D12" s="61" t="str">
        <f>進捗一覧!D14</f>
        <v>確定</v>
      </c>
      <c r="E12" s="59" t="s">
        <v>1306</v>
      </c>
      <c r="F12" s="61" t="s">
        <v>1317</v>
      </c>
      <c r="G12" s="61" t="s">
        <v>1325</v>
      </c>
      <c r="H12" s="69" t="s">
        <v>1326</v>
      </c>
    </row>
    <row r="13" spans="1:8" ht="16">
      <c r="A13" s="58" t="str">
        <f>進捗一覧!J15</f>
        <v>FR-AUTH-009</v>
      </c>
      <c r="B13" s="59" t="str">
        <f>進捗一覧!I15</f>
        <v>FR-AUTH パスワード・ローカルユーザー管理</v>
      </c>
      <c r="C13" s="60" t="str">
        <f>進捗一覧!E15</f>
        <v>パスワードの最低文字数や、記号・数字を混ぜる条件をどう決めるか</v>
      </c>
      <c r="D13" s="61" t="str">
        <f>進捗一覧!D15</f>
        <v>確定</v>
      </c>
      <c r="E13" s="59" t="s">
        <v>1474</v>
      </c>
      <c r="F13" s="61" t="s">
        <v>1475</v>
      </c>
      <c r="G13" s="61" t="s">
        <v>1451</v>
      </c>
      <c r="H13" s="69" t="s">
        <v>1476</v>
      </c>
    </row>
    <row r="14" spans="1:8" ht="16">
      <c r="A14" s="58" t="str">
        <f>進捗一覧!J16</f>
        <v>FR-AUTH-010</v>
      </c>
      <c r="B14" s="59" t="str">
        <f>進捗一覧!I16</f>
        <v>FR-AUTH パスワード・ローカルユーザー管理</v>
      </c>
      <c r="C14" s="60" t="str">
        <f>進捗一覧!E16</f>
        <v>過去に使ったパスワードの再利用を禁止するか。禁止するなら何世代さかのぼるか</v>
      </c>
      <c r="D14" s="61" t="str">
        <f>進捗一覧!D16</f>
        <v>外部待ち</v>
      </c>
      <c r="E14" s="59" t="s">
        <v>1474</v>
      </c>
      <c r="F14" s="61" t="s">
        <v>1475</v>
      </c>
      <c r="G14" s="61" t="s">
        <v>1451</v>
      </c>
      <c r="H14" s="69" t="s">
        <v>1787</v>
      </c>
    </row>
    <row r="15" spans="1:8" ht="16">
      <c r="A15" s="58" t="str">
        <f>進捗一覧!J17</f>
        <v>FR-AUTH-011</v>
      </c>
      <c r="B15" s="59" t="str">
        <f>進捗一覧!I17</f>
        <v>FR-AUTH パスワード・ローカルユーザー管理</v>
      </c>
      <c r="C15" s="60" t="str">
        <f>進捗一覧!E17</f>
        <v>ログイン失敗が続いたときアカウントを一時的に止めるか。何回で止め、いつ解除するか</v>
      </c>
      <c r="D15" s="61" t="str">
        <f>進捗一覧!D17</f>
        <v>方向性確定（条件付き）</v>
      </c>
      <c r="E15" s="59" t="s">
        <v>1477</v>
      </c>
      <c r="F15" s="61" t="s">
        <v>1478</v>
      </c>
      <c r="G15" s="61" t="s">
        <v>1451</v>
      </c>
      <c r="H15" s="69" t="s">
        <v>1479</v>
      </c>
    </row>
    <row r="16" spans="1:8" ht="16">
      <c r="A16" s="58" t="str">
        <f>進捗一覧!J18</f>
        <v>FR-AUTH-012</v>
      </c>
      <c r="B16" s="59" t="str">
        <f>進捗一覧!I18</f>
        <v>FR-AUTH パスワード・ローカルユーザー管理</v>
      </c>
      <c r="C16" s="60" t="str">
        <f>進捗一覧!E18</f>
        <v>パスワードに有効期限を設けて定期変更を求めるか。何日で切るか</v>
      </c>
      <c r="D16" s="61" t="str">
        <f>進捗一覧!D18</f>
        <v>方向性確定（条件付き）</v>
      </c>
      <c r="E16" s="59" t="s">
        <v>1480</v>
      </c>
      <c r="F16" s="61" t="s">
        <v>1475</v>
      </c>
      <c r="G16" s="61" t="s">
        <v>1458</v>
      </c>
      <c r="H16" s="69" t="s">
        <v>1481</v>
      </c>
    </row>
    <row r="17" spans="1:8" ht="16">
      <c r="A17" s="58" t="str">
        <f>進捗一覧!J19</f>
        <v>FR-AUTH-013</v>
      </c>
      <c r="B17" s="59" t="str">
        <f>進捗一覧!I19</f>
        <v>FR-AUTH パスワード・ローカルユーザー管理</v>
      </c>
      <c r="C17" s="60" t="str">
        <f>進捗一覧!E19</f>
        <v>利用者が自分でパスワードを再設定できるようにするか。その際の本人確認をどう行うか</v>
      </c>
      <c r="D17" s="61" t="str">
        <f>進捗一覧!D19</f>
        <v>方向性確定（条件付き）</v>
      </c>
      <c r="E17" s="59" t="s">
        <v>1441</v>
      </c>
      <c r="F17" s="61" t="s">
        <v>1442</v>
      </c>
      <c r="G17" s="61" t="s">
        <v>1443</v>
      </c>
      <c r="H17" s="69" t="s">
        <v>1444</v>
      </c>
    </row>
    <row r="18" spans="1:8" ht="16">
      <c r="A18" s="58" t="str">
        <f>進捗一覧!J20</f>
        <v>FR-AUTH-014</v>
      </c>
      <c r="B18" s="59" t="str">
        <f>進捗一覧!I20</f>
        <v>FR-AUTH パスワード・ローカルユーザー管理</v>
      </c>
      <c r="C18" s="60" t="str">
        <f>進捗一覧!E20</f>
        <v>初回ログイン時にパスワードの変更を強制するか</v>
      </c>
      <c r="D18" s="61" t="str">
        <f>進捗一覧!D20</f>
        <v>方向性確定（条件付き）</v>
      </c>
      <c r="E18" s="59" t="s">
        <v>1474</v>
      </c>
      <c r="F18" s="61" t="s">
        <v>1475</v>
      </c>
      <c r="G18" s="61" t="s">
        <v>1451</v>
      </c>
      <c r="H18" s="69" t="s">
        <v>1788</v>
      </c>
    </row>
    <row r="19" spans="1:8" ht="16">
      <c r="A19" s="58" t="str">
        <f>進捗一覧!J21</f>
        <v>FR-FED-001</v>
      </c>
      <c r="B19" s="59" t="str">
        <f>進捗一覧!I21</f>
        <v>FR-FED IdP接続種別</v>
      </c>
      <c r="C19" s="60" t="str">
        <f>進捗一覧!E21</f>
        <v>既存の認証サービス（Auth0）と連携してログインさせるか</v>
      </c>
      <c r="D19" s="61" t="str">
        <f>進捗一覧!D21</f>
        <v>確定</v>
      </c>
      <c r="E19" s="59" t="s">
        <v>1328</v>
      </c>
      <c r="F19" s="61" t="s">
        <v>1313</v>
      </c>
      <c r="G19" s="61" t="s">
        <v>1314</v>
      </c>
      <c r="H19" s="69" t="s">
        <v>1329</v>
      </c>
    </row>
    <row r="20" spans="1:8" ht="16">
      <c r="A20" s="58" t="str">
        <f>進捗一覧!J22</f>
        <v>FR-FED-002</v>
      </c>
      <c r="B20" s="59" t="str">
        <f>進捗一覧!I22</f>
        <v>FR-FED IdP接続種別</v>
      </c>
      <c r="C20" s="60" t="str">
        <f>進捗一覧!E22</f>
        <v>顧客が使っているMicrosoftのID基盤と連携するか。最優先で確認したい項目</v>
      </c>
      <c r="D20" s="61" t="str">
        <f>進捗一覧!D22</f>
        <v>外部待ち</v>
      </c>
      <c r="E20" s="59" t="s">
        <v>1330</v>
      </c>
      <c r="F20" s="61" t="s">
        <v>1313</v>
      </c>
      <c r="G20" s="61" t="s">
        <v>1325</v>
      </c>
      <c r="H20" s="69" t="s">
        <v>1331</v>
      </c>
    </row>
    <row r="21" spans="1:8" ht="16">
      <c r="A21" s="58" t="str">
        <f>進捗一覧!J23</f>
        <v>FR-FED-003</v>
      </c>
      <c r="B21" s="59" t="str">
        <f>進捗一覧!I23</f>
        <v>FR-FED IdP接続種別</v>
      </c>
      <c r="C21" s="60" t="str">
        <f>進捗一覧!E23</f>
        <v>顧客が使っているOktaと連携するか</v>
      </c>
      <c r="D21" s="61" t="str">
        <f>進捗一覧!D23</f>
        <v>外部待ち</v>
      </c>
      <c r="E21" s="59" t="s">
        <v>1330</v>
      </c>
      <c r="F21" s="61" t="s">
        <v>1313</v>
      </c>
      <c r="G21" s="61" t="s">
        <v>1325</v>
      </c>
      <c r="H21" s="69" t="s">
        <v>1332</v>
      </c>
    </row>
    <row r="22" spans="1:8" ht="16">
      <c r="A22" s="58" t="str">
        <f>進捗一覧!J24</f>
        <v>FR-FED-004</v>
      </c>
      <c r="B22" s="59" t="str">
        <f>進捗一覧!I24</f>
        <v>FR-FED IdP接続種別</v>
      </c>
      <c r="C22" s="60" t="str">
        <f>進捗一覧!E24</f>
        <v>Google Workspaceのアカウントでログインできるようにするか</v>
      </c>
      <c r="D22" s="61" t="str">
        <f>進捗一覧!D24</f>
        <v>外部待ち</v>
      </c>
      <c r="E22" s="59" t="s">
        <v>1274</v>
      </c>
      <c r="F22" s="61" t="s">
        <v>1313</v>
      </c>
      <c r="G22" s="61" t="s">
        <v>1325</v>
      </c>
      <c r="H22" s="69" t="s">
        <v>1333</v>
      </c>
    </row>
    <row r="23" spans="1:8" ht="16">
      <c r="A23" s="58" t="str">
        <f>進捗一覧!J25</f>
        <v>FR-FED-005</v>
      </c>
      <c r="B23" s="59" t="str">
        <f>進捗一覧!I25</f>
        <v>FR-FED IdP接続種別</v>
      </c>
      <c r="C23" s="60" t="str">
        <f>進捗一覧!E25</f>
        <v>顧客側の旧来方式（SAML）のID基盤を受け入れる必要があるか</v>
      </c>
      <c r="D23" s="61" t="str">
        <f>進捗一覧!D25</f>
        <v>外部待ち</v>
      </c>
      <c r="E23" s="59" t="s">
        <v>1278</v>
      </c>
      <c r="F23" s="61" t="s">
        <v>1313</v>
      </c>
      <c r="G23" s="61" t="s">
        <v>1325</v>
      </c>
      <c r="H23" s="69" t="s">
        <v>1334</v>
      </c>
    </row>
    <row r="24" spans="1:8" ht="16">
      <c r="A24" s="58" t="str">
        <f>進捗一覧!J26</f>
        <v>FR-FED-006</v>
      </c>
      <c r="B24" s="59" t="str">
        <f>進捗一覧!I26</f>
        <v>FR-FED IdP接続種別</v>
      </c>
      <c r="C24" s="60" t="str">
        <f>進捗一覧!E26</f>
        <v>自分たちが旧来方式（SAML）のID提供元として振る舞う必要があるか</v>
      </c>
      <c r="D24" s="61" t="str">
        <f>進捗一覧!D26</f>
        <v>外部待ち</v>
      </c>
      <c r="E24" s="59" t="s">
        <v>1795</v>
      </c>
      <c r="F24" s="61" t="s">
        <v>1647</v>
      </c>
      <c r="G24" s="61" t="s">
        <v>1451</v>
      </c>
      <c r="H24" s="69" t="s">
        <v>1796</v>
      </c>
    </row>
    <row r="25" spans="1:8" ht="16">
      <c r="A25" s="58" t="str">
        <f>進捗一覧!J27</f>
        <v>FR-FED-007</v>
      </c>
      <c r="B25" s="59" t="str">
        <f>進捗一覧!I27</f>
        <v>FR-FED IdP接続種別</v>
      </c>
      <c r="C25" s="60" t="str">
        <f>進捗一覧!E27</f>
        <v>社内のディレクトリサーバー（LDAP/AD）と直接つなぐ必要があるか</v>
      </c>
      <c r="D25" s="61" t="str">
        <f>進捗一覧!D27</f>
        <v>外部待ち</v>
      </c>
      <c r="E25" s="59" t="s">
        <v>1284</v>
      </c>
      <c r="F25" s="61" t="s">
        <v>1335</v>
      </c>
      <c r="G25" s="61" t="s">
        <v>1336</v>
      </c>
      <c r="H25" s="69" t="s">
        <v>1337</v>
      </c>
    </row>
    <row r="26" spans="1:8" ht="16">
      <c r="A26" s="58" t="str">
        <f>進捗一覧!J28</f>
        <v>FR-FED-014</v>
      </c>
      <c r="B26" s="59" t="str">
        <f>進捗一覧!I28</f>
        <v>FR-FED IdP接続種別</v>
      </c>
      <c r="C26" s="60" t="str">
        <f>進捗一覧!E28</f>
        <v>顧客ごとの独自ドメイン名でログイン画面を出す必要があるか</v>
      </c>
      <c r="D26" s="61" t="str">
        <f>進捗一覧!D28</f>
        <v>方向性確定（条件付き）</v>
      </c>
      <c r="E26" s="59" t="s">
        <v>1447</v>
      </c>
      <c r="F26" s="61" t="s">
        <v>1442</v>
      </c>
      <c r="G26" s="61" t="s">
        <v>1443</v>
      </c>
      <c r="H26" s="69" t="s">
        <v>1448</v>
      </c>
    </row>
    <row r="27" spans="1:8" ht="16">
      <c r="A27" s="58" t="str">
        <f>進捗一覧!J29</f>
        <v>FR-FED-008</v>
      </c>
      <c r="B27" s="59" t="str">
        <f>進捗一覧!I29</f>
        <v>FR-FED フェデレーションユーザー処理</v>
      </c>
      <c r="C27" s="60" t="str">
        <f>進捗一覧!E29</f>
        <v>初回ログイン時に利用者情報を自動で作るか。作る項目と、既存と重複したときの扱いをどうするか</v>
      </c>
      <c r="D27" s="61" t="str">
        <f>進捗一覧!D29</f>
        <v>確定</v>
      </c>
      <c r="E27" s="59" t="s">
        <v>1338</v>
      </c>
      <c r="F27" s="61" t="s">
        <v>1339</v>
      </c>
      <c r="G27" s="61" t="s">
        <v>1314</v>
      </c>
      <c r="H27" s="69" t="s">
        <v>1340</v>
      </c>
    </row>
    <row r="28" spans="1:8" ht="16">
      <c r="A28" s="58" t="str">
        <f>進捗一覧!J30</f>
        <v>FR-FED-009</v>
      </c>
      <c r="B28" s="59" t="str">
        <f>進捗一覧!I30</f>
        <v>FR-FED フェデレーションユーザー処理</v>
      </c>
      <c r="C28" s="60" t="str">
        <f>進捗一覧!E30</f>
        <v>顧客側のID基盤から受け取る項目を、自分たちの項目にどう対応づけるか</v>
      </c>
      <c r="D28" s="61" t="str">
        <f>進捗一覧!D30</f>
        <v>確定</v>
      </c>
      <c r="E28" s="59" t="s">
        <v>1341</v>
      </c>
      <c r="F28" s="61" t="s">
        <v>1339</v>
      </c>
      <c r="G28" s="61" t="s">
        <v>1314</v>
      </c>
      <c r="H28" s="69" t="s">
        <v>1342</v>
      </c>
    </row>
    <row r="29" spans="1:8" ht="16">
      <c r="A29" s="58" t="str">
        <f>進捗一覧!J31</f>
        <v>FR-FED-012</v>
      </c>
      <c r="B29" s="59" t="str">
        <f>進捗一覧!I31</f>
        <v>FR-FED フェデレーションユーザー処理</v>
      </c>
      <c r="C29" s="60" t="str">
        <f>進捗一覧!E31</f>
        <v>顧客側で追加認証を済ませた利用者に、こちらで二重に求めないための条件をどうするか</v>
      </c>
      <c r="D29" s="61" t="str">
        <f>進捗一覧!D31</f>
        <v>方向性確定（条件付き）</v>
      </c>
      <c r="E29" s="59" t="s">
        <v>1343</v>
      </c>
      <c r="F29" s="61" t="s">
        <v>1313</v>
      </c>
      <c r="G29" s="61" t="s">
        <v>1314</v>
      </c>
      <c r="H29" s="69" t="s">
        <v>1344</v>
      </c>
    </row>
    <row r="30" spans="1:8" ht="16">
      <c r="A30" s="58" t="str">
        <f>進捗一覧!J32</f>
        <v>FR-FED-010</v>
      </c>
      <c r="B30" s="59" t="str">
        <f>進捗一覧!I32</f>
        <v>FR-FED マルチテナント運用</v>
      </c>
      <c r="C30" s="60" t="str">
        <f>進捗一覧!E32</f>
        <v>複数の顧客のID基盤を同時に並行運用する前提でよいか</v>
      </c>
      <c r="D30" s="61" t="str">
        <f>進捗一覧!D32</f>
        <v>確定</v>
      </c>
      <c r="E30" s="59" t="s">
        <v>1345</v>
      </c>
      <c r="F30" s="61" t="s">
        <v>1313</v>
      </c>
      <c r="G30" s="61" t="s">
        <v>1314</v>
      </c>
      <c r="H30" s="69" t="s">
        <v>1346</v>
      </c>
    </row>
    <row r="31" spans="1:8" ht="16">
      <c r="A31" s="58" t="str">
        <f>進捗一覧!J33</f>
        <v>FR-FED-011</v>
      </c>
      <c r="B31" s="59" t="str">
        <f>進捗一覧!I33</f>
        <v>FR-FED マルチテナント運用</v>
      </c>
      <c r="C31" s="60" t="str">
        <f>進捗一覧!E33</f>
        <v>新しい顧客を追加するときの申請から開通までの手順と、所要日数をどうするか</v>
      </c>
      <c r="D31" s="61" t="str">
        <f>進捗一覧!D33</f>
        <v>方向性確定（条件付き）</v>
      </c>
      <c r="E31" s="59" t="s">
        <v>1281</v>
      </c>
      <c r="F31" s="61" t="s">
        <v>1313</v>
      </c>
      <c r="G31" s="61" t="s">
        <v>1325</v>
      </c>
      <c r="H31" s="69" t="s">
        <v>1347</v>
      </c>
    </row>
    <row r="32" spans="1:8" ht="16">
      <c r="A32" s="58" t="str">
        <f>進捗一覧!J34</f>
        <v>FR-FED-013</v>
      </c>
      <c r="B32" s="59" t="str">
        <f>進捗一覧!I34</f>
        <v>FR-FED マルチテナント運用</v>
      </c>
      <c r="C32" s="60" t="str">
        <f>進捗一覧!E34</f>
        <v>ログイン画面で所属を利用者に選ばせるか、メールアドレスから自動判定するか</v>
      </c>
      <c r="D32" s="61" t="str">
        <f>進捗一覧!D34</f>
        <v>方向性確定（条件付き）</v>
      </c>
      <c r="E32" s="59" t="s">
        <v>1449</v>
      </c>
      <c r="F32" s="61" t="s">
        <v>1450</v>
      </c>
      <c r="G32" s="61" t="s">
        <v>1451</v>
      </c>
      <c r="H32" s="69" t="s">
        <v>1452</v>
      </c>
    </row>
    <row r="33" spans="1:8" ht="16">
      <c r="A33" s="58" t="str">
        <f>進捗一覧!J35</f>
        <v>FR-MFA-001</v>
      </c>
      <c r="B33" s="59" t="str">
        <f>進捗一覧!I35</f>
        <v>FR-MFA MFA要素</v>
      </c>
      <c r="C33" s="60" t="str">
        <f>進捗一覧!E35</f>
        <v>スマホの認証アプリによる追加確認を用意するか</v>
      </c>
      <c r="D33" s="61" t="str">
        <f>進捗一覧!D35</f>
        <v>確定</v>
      </c>
      <c r="E33" s="59" t="s">
        <v>1453</v>
      </c>
      <c r="F33" s="61" t="s">
        <v>1450</v>
      </c>
      <c r="G33" s="61" t="s">
        <v>1451</v>
      </c>
      <c r="H33" s="69" t="s">
        <v>1454</v>
      </c>
    </row>
    <row r="34" spans="1:8" ht="16">
      <c r="A34" s="58" t="str">
        <f>進捗一覧!J36</f>
        <v>FR-MFA-002</v>
      </c>
      <c r="B34" s="59" t="str">
        <f>進捗一覧!I36</f>
        <v>FR-MFA MFA要素</v>
      </c>
      <c r="C34" s="60" t="str">
        <f>進捗一覧!E36</f>
        <v>指紋・顔認証やセキュリティキーを使ったパスワード不要のログインを用意するか</v>
      </c>
      <c r="D34" s="61" t="str">
        <f>進捗一覧!D36</f>
        <v>方向性確定（条件付き）</v>
      </c>
      <c r="E34" s="59" t="s">
        <v>1455</v>
      </c>
      <c r="F34" s="61" t="s">
        <v>1450</v>
      </c>
      <c r="G34" s="61" t="s">
        <v>1451</v>
      </c>
      <c r="H34" s="69" t="s">
        <v>1456</v>
      </c>
    </row>
    <row r="35" spans="1:8" ht="16">
      <c r="A35" s="58" t="str">
        <f>進捗一覧!J37</f>
        <v>FR-MFA-003</v>
      </c>
      <c r="B35" s="59" t="str">
        <f>進捗一覧!I37</f>
        <v>FR-MFA MFA要素</v>
      </c>
      <c r="C35" s="60" t="str">
        <f>進捗一覧!E37</f>
        <v>SMS（携帯メッセージ）による追加確認を用意するか。費用と安全性をどう見るか</v>
      </c>
      <c r="D35" s="61" t="str">
        <f>進捗一覧!D37</f>
        <v>外部待ち</v>
      </c>
      <c r="E35" s="59" t="s">
        <v>1457</v>
      </c>
      <c r="F35" s="61" t="s">
        <v>1442</v>
      </c>
      <c r="G35" s="61" t="s">
        <v>1458</v>
      </c>
      <c r="H35" s="69" t="s">
        <v>1459</v>
      </c>
    </row>
    <row r="36" spans="1:8" ht="16">
      <c r="A36" s="58" t="str">
        <f>進捗一覧!J38</f>
        <v>FR-MFA-004</v>
      </c>
      <c r="B36" s="59" t="str">
        <f>進捗一覧!I38</f>
        <v>FR-MFA MFA要素</v>
      </c>
      <c r="C36" s="60" t="str">
        <f>進捗一覧!E38</f>
        <v>メールによる追加確認を用意するか</v>
      </c>
      <c r="D36" s="61" t="str">
        <f>進捗一覧!D38</f>
        <v>外部待ち</v>
      </c>
      <c r="E36" s="59" t="s">
        <v>1480</v>
      </c>
      <c r="F36" s="61" t="s">
        <v>1475</v>
      </c>
      <c r="G36" s="61" t="s">
        <v>1458</v>
      </c>
      <c r="H36" s="69" t="s">
        <v>1789</v>
      </c>
    </row>
    <row r="37" spans="1:8" ht="16">
      <c r="A37" s="58" t="str">
        <f>進捗一覧!J39</f>
        <v>FR-MFA-005</v>
      </c>
      <c r="B37" s="59" t="str">
        <f>進捗一覧!I39</f>
        <v>FR-MFA MFA要素</v>
      </c>
      <c r="C37" s="60" t="str">
        <f>進捗一覧!E39</f>
        <v>端末を失くしたとき用の予備コードを発行するか</v>
      </c>
      <c r="D37" s="61" t="str">
        <f>進捗一覧!D39</f>
        <v>方向性確定（条件付き）</v>
      </c>
      <c r="E37" s="59" t="s">
        <v>1441</v>
      </c>
      <c r="F37" s="61" t="s">
        <v>1442</v>
      </c>
      <c r="G37" s="61" t="s">
        <v>1451</v>
      </c>
      <c r="H37" s="69" t="s">
        <v>1460</v>
      </c>
    </row>
    <row r="38" spans="1:8" ht="16">
      <c r="A38" s="58" t="str">
        <f>進捗一覧!J40</f>
        <v>FR-MFA-006</v>
      </c>
      <c r="B38" s="59" t="str">
        <f>進捗一覧!I40</f>
        <v>FR-MFA MFA適用ポリシー</v>
      </c>
      <c r="C38" s="60" t="str">
        <f>進捗一覧!E40</f>
        <v>普段と違う場所や不審な状況のときだけ追加確認を求めるか。その判定基準をどうするか</v>
      </c>
      <c r="D38" s="61" t="str">
        <f>進捗一覧!D40</f>
        <v>方向性確定（条件付き）</v>
      </c>
      <c r="E38" s="59" t="s">
        <v>1461</v>
      </c>
      <c r="F38" s="61" t="s">
        <v>1450</v>
      </c>
      <c r="G38" s="61" t="s">
        <v>1443</v>
      </c>
      <c r="H38" s="69" t="s">
        <v>1462</v>
      </c>
    </row>
    <row r="39" spans="1:8" ht="16">
      <c r="A39" s="58" t="str">
        <f>進捗一覧!J41</f>
        <v>FR-MFA-007</v>
      </c>
      <c r="B39" s="59" t="str">
        <f>進捗一覧!I41</f>
        <v>FR-MFA MFA適用ポリシー</v>
      </c>
      <c r="C39" s="60" t="str">
        <f>進捗一覧!E41</f>
        <v>追加確認を全員必須にするか、役割ごとに任意とするか</v>
      </c>
      <c r="D39" s="61" t="str">
        <f>進捗一覧!D41</f>
        <v>方向性確定（条件付き）</v>
      </c>
      <c r="E39" s="59" t="s">
        <v>1453</v>
      </c>
      <c r="F39" s="61" t="s">
        <v>1450</v>
      </c>
      <c r="G39" s="61" t="s">
        <v>1451</v>
      </c>
      <c r="H39" s="69" t="s">
        <v>1463</v>
      </c>
    </row>
    <row r="40" spans="1:8" ht="16">
      <c r="A40" s="58" t="str">
        <f>進捗一覧!J42</f>
        <v>FR-MFA-008</v>
      </c>
      <c r="B40" s="59" t="str">
        <f>進捗一覧!I42</f>
        <v>FR-MFA MFA適用ポリシー</v>
      </c>
      <c r="C40" s="60" t="str">
        <f>進捗一覧!E42</f>
        <v>一度確認した端末を記憶して次回以降の追加確認を省くか。記憶する期間をどうするか</v>
      </c>
      <c r="D40" s="61" t="str">
        <f>進捗一覧!D42</f>
        <v>外部待ち</v>
      </c>
      <c r="E40" s="59" t="s">
        <v>1445</v>
      </c>
      <c r="F40" s="61" t="s">
        <v>1442</v>
      </c>
      <c r="G40" s="61" t="s">
        <v>1443</v>
      </c>
      <c r="H40" s="69" t="s">
        <v>1464</v>
      </c>
    </row>
    <row r="41" spans="1:8" ht="16">
      <c r="A41" s="58" t="str">
        <f>進捗一覧!J43</f>
        <v>FR-MFA-009</v>
      </c>
      <c r="B41" s="59" t="str">
        <f>進捗一覧!I43</f>
        <v>FR-MFA MFA適用ポリシー</v>
      </c>
      <c r="C41" s="60" t="str">
        <f>進捗一覧!E43</f>
        <v>管理者権限を持つ人には追加確認を必須にするか</v>
      </c>
      <c r="D41" s="61" t="str">
        <f>進捗一覧!D43</f>
        <v>方向性確定（条件付き）</v>
      </c>
      <c r="E41" s="59" t="s">
        <v>1273</v>
      </c>
      <c r="F41" s="61" t="s">
        <v>1313</v>
      </c>
      <c r="G41" s="61" t="s">
        <v>1314</v>
      </c>
      <c r="H41" s="69" t="s">
        <v>1348</v>
      </c>
    </row>
    <row r="42" spans="1:8" ht="16">
      <c r="A42" s="58" t="str">
        <f>進捗一覧!J44</f>
        <v>FR-SSO-001</v>
      </c>
      <c r="B42" s="59" t="str">
        <f>進捗一覧!I44</f>
        <v>FR-SSO SSO</v>
      </c>
      <c r="C42" s="60" t="str">
        <f>進捗一覧!E44</f>
        <v>一度ログインすれば複数のアプリを使い回せる状態にするか</v>
      </c>
      <c r="D42" s="61" t="str">
        <f>進捗一覧!D44</f>
        <v>確定</v>
      </c>
      <c r="E42" s="59" t="s">
        <v>1296</v>
      </c>
      <c r="F42" s="61" t="s">
        <v>1317</v>
      </c>
      <c r="G42" s="61" t="s">
        <v>1314</v>
      </c>
      <c r="H42" s="69" t="s">
        <v>1349</v>
      </c>
    </row>
    <row r="43" spans="1:8" ht="16">
      <c r="A43" s="58" t="str">
        <f>進捗一覧!J45</f>
        <v>FR-SSO-002</v>
      </c>
      <c r="B43" s="59" t="str">
        <f>進捗一覧!I45</f>
        <v>FR-SSO SSO</v>
      </c>
      <c r="C43" s="60" t="str">
        <f>進捗一覧!E45</f>
        <v>顧客側のID基盤を経由した場合も同じく使い回せるようにするか</v>
      </c>
      <c r="D43" s="61" t="str">
        <f>進捗一覧!D45</f>
        <v>確定</v>
      </c>
      <c r="E43" s="59" t="s">
        <v>1350</v>
      </c>
      <c r="F43" s="61" t="s">
        <v>1313</v>
      </c>
      <c r="G43" s="61" t="s">
        <v>1314</v>
      </c>
      <c r="H43" s="69" t="s">
        <v>1351</v>
      </c>
    </row>
    <row r="44" spans="1:8" ht="16">
      <c r="A44" s="58" t="str">
        <f>進捗一覧!J46</f>
        <v>FR-SSO-003</v>
      </c>
      <c r="B44" s="59" t="str">
        <f>進捗一覧!I46</f>
        <v>FR-SSO ログアウト</v>
      </c>
      <c r="C44" s="60" t="str">
        <f>進捗一覧!E46</f>
        <v>ログアウト操作でアプリ内の状態だけを消す動作を用意するか</v>
      </c>
      <c r="D44" s="61" t="str">
        <f>進捗一覧!D46</f>
        <v>確定</v>
      </c>
      <c r="E44" s="59" t="s">
        <v>1303</v>
      </c>
      <c r="F44" s="61" t="s">
        <v>1317</v>
      </c>
      <c r="G44" s="61" t="s">
        <v>1314</v>
      </c>
      <c r="H44" s="69" t="s">
        <v>1352</v>
      </c>
    </row>
    <row r="45" spans="1:8" ht="16">
      <c r="A45" s="58" t="str">
        <f>進捗一覧!J47</f>
        <v>FR-SSO-004</v>
      </c>
      <c r="B45" s="59" t="str">
        <f>進捗一覧!I47</f>
        <v>FR-SSO ログアウト</v>
      </c>
      <c r="C45" s="60" t="str">
        <f>進捗一覧!E47</f>
        <v>ログアウト時に認証基盤側のログイン状態も併せて消すか</v>
      </c>
      <c r="D45" s="61" t="str">
        <f>進捗一覧!D47</f>
        <v>確定</v>
      </c>
      <c r="E45" s="59" t="s">
        <v>1303</v>
      </c>
      <c r="F45" s="61" t="s">
        <v>1317</v>
      </c>
      <c r="G45" s="61" t="s">
        <v>1314</v>
      </c>
      <c r="H45" s="69" t="s">
        <v>1353</v>
      </c>
    </row>
    <row r="46" spans="1:8" ht="16">
      <c r="A46" s="58" t="str">
        <f>進捗一覧!J48</f>
        <v>FR-SSO-005</v>
      </c>
      <c r="B46" s="59" t="str">
        <f>進捗一覧!I48</f>
        <v>FR-SSO ログアウト</v>
      </c>
      <c r="C46" s="60" t="str">
        <f>進捗一覧!E48</f>
        <v>ログアウト時に顧客側のID基盤のログイン状態まで消すか。どこまで連動させるか</v>
      </c>
      <c r="D46" s="61" t="str">
        <f>進捗一覧!D48</f>
        <v>方向性確定（条件付き）</v>
      </c>
      <c r="E46" s="59" t="s">
        <v>1354</v>
      </c>
      <c r="F46" s="61" t="s">
        <v>1355</v>
      </c>
      <c r="G46" s="61" t="s">
        <v>1314</v>
      </c>
      <c r="H46" s="69" t="s">
        <v>1356</v>
      </c>
    </row>
    <row r="47" spans="1:8" ht="16">
      <c r="A47" s="58" t="str">
        <f>進捗一覧!J49</f>
        <v>FR-SSO-006</v>
      </c>
      <c r="B47" s="59" t="str">
        <f>進捗一覧!I49</f>
        <v>FR-SSO ログアウト</v>
      </c>
      <c r="C47" s="60" t="str">
        <f>進捗一覧!E49</f>
        <v>利用者のブラウザ経由で各アプリに一斉ログアウトを伝える方式を使うか</v>
      </c>
      <c r="D47" s="61" t="str">
        <f>進捗一覧!D49</f>
        <v>方向性確定（条件付き）</v>
      </c>
      <c r="E47" s="59" t="s">
        <v>1303</v>
      </c>
      <c r="F47" s="61" t="s">
        <v>1317</v>
      </c>
      <c r="G47" s="61" t="s">
        <v>1314</v>
      </c>
      <c r="H47" s="69" t="s">
        <v>1357</v>
      </c>
    </row>
    <row r="48" spans="1:8" ht="16">
      <c r="A48" s="58" t="str">
        <f>進捗一覧!J50</f>
        <v>FR-SSO-007</v>
      </c>
      <c r="B48" s="59" t="str">
        <f>進捗一覧!I50</f>
        <v>FR-SSO ログアウト</v>
      </c>
      <c r="C48" s="60" t="str">
        <f>進捗一覧!E50</f>
        <v>サーバー同士の通信で各アプリに確実にログアウトを伝える方式を使うか</v>
      </c>
      <c r="D48" s="61" t="str">
        <f>進捗一覧!D50</f>
        <v>方向性確定（条件付き）</v>
      </c>
      <c r="E48" s="59" t="s">
        <v>1358</v>
      </c>
      <c r="F48" s="61" t="s">
        <v>1317</v>
      </c>
      <c r="G48" s="61" t="s">
        <v>1314</v>
      </c>
      <c r="H48" s="69" t="s">
        <v>1359</v>
      </c>
    </row>
    <row r="49" spans="1:8" ht="16">
      <c r="A49" s="58" t="str">
        <f>進捗一覧!J51</f>
        <v>FR-SSO-008</v>
      </c>
      <c r="B49" s="59" t="str">
        <f>進捗一覧!I51</f>
        <v>FR-SSO セッション管理</v>
      </c>
      <c r="C49" s="60" t="str">
        <f>進捗一覧!E51</f>
        <v>無操作が続いたときに自動ログアウトするまでの時間をどうするか</v>
      </c>
      <c r="D49" s="61" t="str">
        <f>進捗一覧!D51</f>
        <v>方向性確定（条件付き）</v>
      </c>
      <c r="E49" s="59" t="s">
        <v>1851</v>
      </c>
      <c r="F49" s="61" t="s">
        <v>1852</v>
      </c>
      <c r="G49" s="61" t="s">
        <v>1451</v>
      </c>
      <c r="H49" s="69" t="s">
        <v>1853</v>
      </c>
    </row>
    <row r="50" spans="1:8" ht="16">
      <c r="A50" s="58" t="str">
        <f>進捗一覧!J52</f>
        <v>FR-SSO-009</v>
      </c>
      <c r="B50" s="59" t="str">
        <f>進捗一覧!I52</f>
        <v>FR-SSO セッション管理</v>
      </c>
      <c r="C50" s="60" t="str">
        <f>進捗一覧!E52</f>
        <v>発行済みの通行証を有効期限前に強制的に無効化できる必要があるか</v>
      </c>
      <c r="D50" s="61" t="str">
        <f>進捗一覧!D52</f>
        <v>外部待ち</v>
      </c>
      <c r="E50" s="59" t="s">
        <v>1854</v>
      </c>
      <c r="F50" s="61" t="s">
        <v>1855</v>
      </c>
      <c r="G50" s="61" t="s">
        <v>1451</v>
      </c>
      <c r="H50" s="69" t="s">
        <v>1856</v>
      </c>
    </row>
    <row r="51" spans="1:8" ht="16">
      <c r="A51" s="58" t="str">
        <f>進捗一覧!J53</f>
        <v>FR-SSO-010</v>
      </c>
      <c r="B51" s="59" t="str">
        <f>進捗一覧!I53</f>
        <v>FR-SSO セッション管理</v>
      </c>
      <c r="C51" s="60" t="str">
        <f>進捗一覧!E53</f>
        <v>管理者が特定の利用者のログイン状態を一括で切断できる機能を用意するか</v>
      </c>
      <c r="D51" s="61" t="str">
        <f>進捗一覧!D53</f>
        <v>方向性確定（条件付き）</v>
      </c>
      <c r="E51" s="59" t="s">
        <v>1857</v>
      </c>
      <c r="F51" s="61" t="s">
        <v>1858</v>
      </c>
      <c r="G51" s="61" t="s">
        <v>1451</v>
      </c>
      <c r="H51" s="69" t="s">
        <v>1859</v>
      </c>
    </row>
    <row r="52" spans="1:8" ht="16">
      <c r="A52" s="58" t="str">
        <f>進捗一覧!J54</f>
        <v>FR-AUTHZ-001</v>
      </c>
      <c r="B52" s="59" t="str">
        <f>進捗一覧!I54</f>
        <v>FR-AUTHZ クレームベース基本認可</v>
      </c>
      <c r="C52" s="60" t="str">
        <f>進捗一覧!E54</f>
        <v>通行証に含まれる情報をもとに各アプリが権限を判定する方式でよいか</v>
      </c>
      <c r="D52" s="61" t="str">
        <f>進捗一覧!D54</f>
        <v>確定</v>
      </c>
      <c r="E52" s="59" t="s">
        <v>1360</v>
      </c>
      <c r="F52" s="61" t="s">
        <v>1317</v>
      </c>
      <c r="G52" s="61" t="s">
        <v>1314</v>
      </c>
      <c r="H52" s="69" t="s">
        <v>1361</v>
      </c>
    </row>
    <row r="53" spans="1:8" ht="16">
      <c r="A53" s="58" t="str">
        <f>進捗一覧!J55</f>
        <v>FR-AUTHZ-002</v>
      </c>
      <c r="B53" s="59" t="str">
        <f>進捗一覧!I55</f>
        <v>FR-AUTHZ クレームベース基本認可</v>
      </c>
      <c r="C53" s="60" t="str">
        <f>進捗一覧!E55</f>
        <v>顧客ごとのデータが混ざらないよう、所属情報を通行証に必ず載せるか</v>
      </c>
      <c r="D53" s="61" t="str">
        <f>進捗一覧!D55</f>
        <v>確定</v>
      </c>
      <c r="E53" s="59" t="s">
        <v>1362</v>
      </c>
      <c r="F53" s="61" t="s">
        <v>1355</v>
      </c>
      <c r="G53" s="61" t="s">
        <v>1314</v>
      </c>
      <c r="H53" s="69" t="s">
        <v>1363</v>
      </c>
    </row>
    <row r="54" spans="1:8" ht="16">
      <c r="A54" s="58" t="str">
        <f>進捗一覧!J56</f>
        <v>FR-AUTHZ-003</v>
      </c>
      <c r="B54" s="59" t="str">
        <f>進捗一覧!I56</f>
        <v>FR-AUTHZ クレームベース基本認可</v>
      </c>
      <c r="C54" s="60" t="str">
        <f>進捗一覧!E56</f>
        <v>役割（ロール）の情報を通行証に載せて権限判定に使うか</v>
      </c>
      <c r="D54" s="61" t="str">
        <f>進捗一覧!D56</f>
        <v>確定</v>
      </c>
      <c r="E54" s="59" t="s">
        <v>1364</v>
      </c>
      <c r="F54" s="61" t="s">
        <v>1365</v>
      </c>
      <c r="G54" s="61" t="s">
        <v>1314</v>
      </c>
      <c r="H54" s="69" t="s">
        <v>1366</v>
      </c>
    </row>
    <row r="55" spans="1:8" ht="16">
      <c r="A55" s="58" t="str">
        <f>進捗一覧!J57</f>
        <v>FR-AUTHZ-004</v>
      </c>
      <c r="B55" s="59" t="str">
        <f>進捗一覧!I57</f>
        <v>FR-AUTHZ クレームベース基本認可</v>
      </c>
      <c r="C55" s="60" t="str">
        <f>進捗一覧!E57</f>
        <v>役割に上下関係（上位が下位を兼ねる）を持たせるか</v>
      </c>
      <c r="D55" s="61" t="str">
        <f>進捗一覧!D57</f>
        <v>方向性確定（条件付き）</v>
      </c>
      <c r="E55" s="59" t="s">
        <v>1273</v>
      </c>
      <c r="F55" s="61" t="s">
        <v>1313</v>
      </c>
      <c r="G55" s="61" t="s">
        <v>1325</v>
      </c>
      <c r="H55" s="69" t="s">
        <v>1367</v>
      </c>
    </row>
    <row r="56" spans="1:8" ht="16">
      <c r="A56" s="58" t="str">
        <f>進捗一覧!J58</f>
        <v>FR-AUTHZ-005</v>
      </c>
      <c r="B56" s="59" t="str">
        <f>進捗一覧!I58</f>
        <v>FR-AUTHZ クレームベース基本認可</v>
      </c>
      <c r="C56" s="60" t="str">
        <f>進捗一覧!E58</f>
        <v>システム同士の通信でも、呼び出せる機能の範囲を絞り込む仕組みを使うか</v>
      </c>
      <c r="D56" s="61" t="str">
        <f>進捗一覧!D58</f>
        <v>方向性確定（条件付き）</v>
      </c>
      <c r="E56" s="59" t="s">
        <v>1368</v>
      </c>
      <c r="F56" s="61" t="s">
        <v>1317</v>
      </c>
      <c r="G56" s="61" t="s">
        <v>1314</v>
      </c>
      <c r="H56" s="69" t="s">
        <v>1369</v>
      </c>
    </row>
    <row r="57" spans="1:8" ht="16">
      <c r="A57" s="58" t="str">
        <f>進捗一覧!J59</f>
        <v>FR-AUTHZ-006</v>
      </c>
      <c r="B57" s="59" t="str">
        <f>進捗一覧!I59</f>
        <v>FR-AUTHZ クレームベース基本認可</v>
      </c>
      <c r="C57" s="60" t="str">
        <f>進捗一覧!E59</f>
        <v>顧客固有の項目を通行証に追加できるようにするか。追加を認める範囲をどこまでにするか</v>
      </c>
      <c r="D57" s="61" t="str">
        <f>進捗一覧!D59</f>
        <v>確定</v>
      </c>
      <c r="E57" s="59" t="s">
        <v>1294</v>
      </c>
      <c r="F57" s="61" t="s">
        <v>1317</v>
      </c>
      <c r="G57" s="61" t="s">
        <v>1314</v>
      </c>
      <c r="H57" s="69" t="s">
        <v>1370</v>
      </c>
    </row>
    <row r="58" spans="1:8" ht="16">
      <c r="A58" s="58" t="str">
        <f>進捗一覧!J60</f>
        <v>FR-AUTHZ-007</v>
      </c>
      <c r="B58" s="59" t="str">
        <f>進捗一覧!I60</f>
        <v>FR-AUTHZ クレームベース基本認可</v>
      </c>
      <c r="C58" s="60" t="str">
        <f>進捗一覧!E60</f>
        <v>AWSのAPI入口で通行証を検証する共通部品を用意するか</v>
      </c>
      <c r="D58" s="61" t="str">
        <f>進捗一覧!D60</f>
        <v>確定</v>
      </c>
      <c r="E58" s="59" t="s">
        <v>1308</v>
      </c>
      <c r="F58" s="61" t="s">
        <v>1317</v>
      </c>
      <c r="G58" s="61" t="s">
        <v>1325</v>
      </c>
      <c r="H58" s="69" t="s">
        <v>1371</v>
      </c>
    </row>
    <row r="59" spans="1:8" ht="16">
      <c r="A59" s="58" t="str">
        <f>進捗一覧!J61</f>
        <v>FR-AUTHZ-008</v>
      </c>
      <c r="B59" s="59" t="str">
        <f>進捗一覧!I61</f>
        <v>FR-AUTHZ クレームベース基本認可</v>
      </c>
      <c r="C59" s="60" t="str">
        <f>進捗一覧!E61</f>
        <v>通行証の発行元が複数ある状態を、各アプリが受け入れられるようにするか</v>
      </c>
      <c r="D59" s="61" t="str">
        <f>進捗一覧!D61</f>
        <v>確定</v>
      </c>
      <c r="E59" s="59" t="s">
        <v>1372</v>
      </c>
      <c r="F59" s="61" t="s">
        <v>1365</v>
      </c>
      <c r="G59" s="61" t="s">
        <v>1314</v>
      </c>
      <c r="H59" s="69" t="s">
        <v>1373</v>
      </c>
    </row>
    <row r="60" spans="1:8" ht="16">
      <c r="A60" s="58" t="str">
        <f>進捗一覧!J62</f>
        <v>FR-AUTHZ-009</v>
      </c>
      <c r="B60" s="59" t="str">
        <f>進捗一覧!I62</f>
        <v>FR-AUTHZ 細粒度認可</v>
      </c>
      <c r="C60" s="60" t="str">
        <f>進捗一覧!E62</f>
        <v>「この書類はこの人だけ」といった個別データ単位の細かい権限管理が必要か</v>
      </c>
      <c r="D60" s="61" t="str">
        <f>進捗一覧!D62</f>
        <v>外部待ち</v>
      </c>
      <c r="E60" s="59" t="s">
        <v>1289</v>
      </c>
      <c r="F60" s="61" t="s">
        <v>1335</v>
      </c>
      <c r="G60" s="61" t="s">
        <v>1336</v>
      </c>
      <c r="H60" s="69" t="s">
        <v>1374</v>
      </c>
    </row>
    <row r="61" spans="1:8" ht="16">
      <c r="A61" s="58" t="str">
        <f>進捗一覧!J63</f>
        <v>FR-AUTHZ-010</v>
      </c>
      <c r="B61" s="59" t="str">
        <f>進捗一覧!I63</f>
        <v>FR-AUTHZ 細粒度認可</v>
      </c>
      <c r="C61" s="60" t="str">
        <f>進捗一覧!E63</f>
        <v>部署や職位などの属性を組み合わせて、その場で権限を決める仕組みが必要か</v>
      </c>
      <c r="D61" s="61" t="str">
        <f>進捗一覧!D63</f>
        <v>外部待ち</v>
      </c>
      <c r="E61" s="59" t="s">
        <v>1375</v>
      </c>
      <c r="F61" s="61" t="s">
        <v>1335</v>
      </c>
      <c r="G61" s="61" t="s">
        <v>1336</v>
      </c>
      <c r="H61" s="69" t="s">
        <v>1376</v>
      </c>
    </row>
    <row r="62" spans="1:8" ht="16">
      <c r="A62" s="58" t="str">
        <f>進捗一覧!J64</f>
        <v>FR-USER-001</v>
      </c>
      <c r="B62" s="59" t="str">
        <f>進捗一覧!I64</f>
        <v>FR-USER ユーザーCRUD</v>
      </c>
      <c r="C62" s="60" t="str">
        <f>進捗一覧!E64</f>
        <v>利用者情報の登録・変更・削除を、誰がどの画面やAPIから行えるようにするか</v>
      </c>
      <c r="D62" s="61" t="str">
        <f>進捗一覧!D64</f>
        <v>確定</v>
      </c>
      <c r="E62" s="59" t="s">
        <v>1377</v>
      </c>
      <c r="F62" s="61" t="s">
        <v>1378</v>
      </c>
      <c r="G62" s="61" t="s">
        <v>1314</v>
      </c>
      <c r="H62" s="69" t="s">
        <v>1379</v>
      </c>
    </row>
    <row r="63" spans="1:8" ht="16">
      <c r="A63" s="58" t="str">
        <f>進捗一覧!J65</f>
        <v>FR-USER-005</v>
      </c>
      <c r="B63" s="59" t="str">
        <f>進捗一覧!I65</f>
        <v>FR-USER ユーザーCRUD</v>
      </c>
      <c r="C63" s="60" t="str">
        <f>進捗一覧!E65</f>
        <v>利用者の検索・一覧表示に必要な検索条件と表示項目をどうするか</v>
      </c>
      <c r="D63" s="61" t="str">
        <f>進捗一覧!D65</f>
        <v>確定</v>
      </c>
      <c r="E63" s="59" t="s">
        <v>1639</v>
      </c>
      <c r="F63" s="61" t="s">
        <v>1640</v>
      </c>
      <c r="G63" s="61" t="s">
        <v>1451</v>
      </c>
      <c r="H63" s="69" t="s">
        <v>1641</v>
      </c>
    </row>
    <row r="64" spans="1:8" ht="16">
      <c r="A64" s="58" t="str">
        <f>進捗一覧!J66</f>
        <v>FR-USER-006</v>
      </c>
      <c r="B64" s="59" t="str">
        <f>進捗一覧!I66</f>
        <v>FR-USER ユーザーCRUD</v>
      </c>
      <c r="C64" s="60" t="str">
        <f>進捗一覧!E66</f>
        <v>利用者を削除せず一時停止できる状態を用意するか</v>
      </c>
      <c r="D64" s="61" t="str">
        <f>進捗一覧!D66</f>
        <v>確定</v>
      </c>
      <c r="E64" s="59" t="s">
        <v>1380</v>
      </c>
      <c r="F64" s="61" t="s">
        <v>1378</v>
      </c>
      <c r="G64" s="61" t="s">
        <v>1314</v>
      </c>
      <c r="H64" s="69" t="s">
        <v>1381</v>
      </c>
    </row>
    <row r="65" spans="1:8" ht="16">
      <c r="A65" s="58" t="str">
        <f>進捗一覧!J67</f>
        <v>FR-USER-011</v>
      </c>
      <c r="B65" s="59" t="str">
        <f>進捗一覧!I67</f>
        <v>FR-USER ユーザーCRUD</v>
      </c>
      <c r="C65" s="60" t="str">
        <f>進捗一覧!E67</f>
        <v>退職・解約時に利用者情報と関連データをどこまで消すか。保存期間をどうするか</v>
      </c>
      <c r="D65" s="61" t="str">
        <f>進捗一覧!D67</f>
        <v>方向性確定（条件付き）</v>
      </c>
      <c r="E65" s="59" t="s">
        <v>1382</v>
      </c>
      <c r="F65" s="61" t="s">
        <v>1335</v>
      </c>
      <c r="G65" s="61" t="s">
        <v>1314</v>
      </c>
      <c r="H65" s="69" t="s">
        <v>1383</v>
      </c>
    </row>
    <row r="66" spans="1:8" ht="16">
      <c r="A66" s="58" t="str">
        <f>進捗一覧!J68</f>
        <v>FR-USER-002</v>
      </c>
      <c r="B66" s="59" t="str">
        <f>進捗一覧!I68</f>
        <v>FR-USER 属性・ロール</v>
      </c>
      <c r="C66" s="60" t="str">
        <f>進捗一覧!E68</f>
        <v>標準で用意される項目以外に、独自に持たせたい項目を何にするか</v>
      </c>
      <c r="D66" s="61" t="str">
        <f>進捗一覧!D68</f>
        <v>確定</v>
      </c>
      <c r="E66" s="59" t="s">
        <v>1384</v>
      </c>
      <c r="F66" s="61" t="s">
        <v>1339</v>
      </c>
      <c r="G66" s="61" t="s">
        <v>1314</v>
      </c>
      <c r="H66" s="69" t="s">
        <v>1385</v>
      </c>
    </row>
    <row r="67" spans="1:8" ht="16">
      <c r="A67" s="58" t="str">
        <f>進捗一覧!J69</f>
        <v>FR-USER-007</v>
      </c>
      <c r="B67" s="59" t="str">
        <f>進捗一覧!I69</f>
        <v>FR-USER 属性・ロール</v>
      </c>
      <c r="C67" s="60" t="str">
        <f>進捗一覧!E69</f>
        <v>利用者をグループにまとめて管理する必要があるか</v>
      </c>
      <c r="D67" s="61" t="str">
        <f>進捗一覧!D69</f>
        <v>方向性確定（条件付き）</v>
      </c>
      <c r="E67" s="59" t="s">
        <v>1797</v>
      </c>
      <c r="F67" s="61" t="s">
        <v>1798</v>
      </c>
      <c r="G67" s="61" t="s">
        <v>1458</v>
      </c>
      <c r="H67" s="69" t="s">
        <v>1799</v>
      </c>
    </row>
    <row r="68" spans="1:8" ht="16">
      <c r="A68" s="58" t="str">
        <f>進捗一覧!J70</f>
        <v>FR-USER-008</v>
      </c>
      <c r="B68" s="59" t="str">
        <f>進捗一覧!I70</f>
        <v>FR-USER 属性・ロール</v>
      </c>
      <c r="C68" s="60" t="str">
        <f>進捗一覧!E70</f>
        <v>誰がどの役割を割り当てられるようにするか</v>
      </c>
      <c r="D68" s="61" t="str">
        <f>進捗一覧!D70</f>
        <v>方向性確定（条件付き）</v>
      </c>
      <c r="E68" s="59" t="s">
        <v>1386</v>
      </c>
      <c r="F68" s="61" t="s">
        <v>1378</v>
      </c>
      <c r="G68" s="61" t="s">
        <v>1314</v>
      </c>
      <c r="H68" s="69" t="s">
        <v>1387</v>
      </c>
    </row>
    <row r="69" spans="1:8" ht="16">
      <c r="A69" s="58" t="str">
        <f>進捗一覧!J71</f>
        <v>FR-USER-004</v>
      </c>
      <c r="B69" s="59" t="str">
        <f>進捗一覧!I71</f>
        <v>FR-USER セルフサービス</v>
      </c>
      <c r="C69" s="60" t="str">
        <f>進捗一覧!E71</f>
        <v>利用者が自分のプロフィールを自分で編集できる範囲をどこまでにするか</v>
      </c>
      <c r="D69" s="61" t="str">
        <f>進捗一覧!D71</f>
        <v>方向性確定（条件付き）</v>
      </c>
      <c r="E69" s="59" t="s">
        <v>1465</v>
      </c>
      <c r="F69" s="61" t="s">
        <v>1450</v>
      </c>
      <c r="G69" s="61" t="s">
        <v>1443</v>
      </c>
      <c r="H69" s="69" t="s">
        <v>1466</v>
      </c>
    </row>
    <row r="70" spans="1:8" ht="16">
      <c r="A70" s="58" t="str">
        <f>進捗一覧!J72</f>
        <v>FR-USER-012</v>
      </c>
      <c r="B70" s="59" t="str">
        <f>進捗一覧!I72</f>
        <v>FR-USER セルフサービス</v>
      </c>
      <c r="C70" s="60" t="str">
        <f>進捗一覧!E72</f>
        <v>新規登録時に招待メールを送る運用にするか。文面と有効期限をどうするか</v>
      </c>
      <c r="D70" s="61" t="str">
        <f>進捗一覧!D72</f>
        <v>方向性確定（条件付き）</v>
      </c>
      <c r="E70" s="59" t="s">
        <v>1643</v>
      </c>
      <c r="F70" s="61" t="s">
        <v>1644</v>
      </c>
      <c r="G70" s="61" t="s">
        <v>1443</v>
      </c>
      <c r="H70" s="69" t="s">
        <v>1645</v>
      </c>
    </row>
    <row r="71" spans="1:8" ht="16">
      <c r="A71" s="58" t="str">
        <f>進捗一覧!J73</f>
        <v>FR-USER-003</v>
      </c>
      <c r="B71" s="59" t="str">
        <f>進捗一覧!I73</f>
        <v>FR-USER プロビジョニング</v>
      </c>
      <c r="C71" s="60" t="str">
        <f>進捗一覧!E73</f>
        <v>顧客のID基盤から利用者情報を自動同期する標準方式に対応するか</v>
      </c>
      <c r="D71" s="61" t="str">
        <f>進捗一覧!D73</f>
        <v>外部待ち</v>
      </c>
      <c r="E71" s="59" t="s">
        <v>1388</v>
      </c>
      <c r="F71" s="61" t="s">
        <v>1335</v>
      </c>
      <c r="G71" s="61" t="s">
        <v>1314</v>
      </c>
      <c r="H71" s="69" t="s">
        <v>1389</v>
      </c>
    </row>
    <row r="72" spans="1:8" ht="16">
      <c r="A72" s="58" t="str">
        <f>進捗一覧!J74</f>
        <v>FR-USER-009</v>
      </c>
      <c r="B72" s="59" t="str">
        <f>進捗一覧!I74</f>
        <v>FR-USER プロビジョニング</v>
      </c>
      <c r="C72" s="60" t="str">
        <f>進捗一覧!E74</f>
        <v>表形式ファイルによる一括登録を用意するか。1回あたりの上限件数をどうするか</v>
      </c>
      <c r="D72" s="61" t="str">
        <f>進捗一覧!D74</f>
        <v>方向性確定（条件付き）</v>
      </c>
      <c r="E72" s="59" t="s">
        <v>1286</v>
      </c>
      <c r="F72" s="61" t="s">
        <v>1335</v>
      </c>
      <c r="G72" s="61" t="s">
        <v>1325</v>
      </c>
      <c r="H72" s="69" t="s">
        <v>1390</v>
      </c>
    </row>
    <row r="73" spans="1:8" ht="16">
      <c r="A73" s="58" t="str">
        <f>進捗一覧!J75</f>
        <v>FR-USER-010</v>
      </c>
      <c r="B73" s="59" t="str">
        <f>進捗一覧!I75</f>
        <v>FR-USER プロビジョニング</v>
      </c>
      <c r="C73" s="60" t="str">
        <f>進捗一覧!E75</f>
        <v>管理者が利用者のパスワードを強制的に再設定できるようにするか</v>
      </c>
      <c r="D73" s="61" t="str">
        <f>進捗一覧!D75</f>
        <v>確定</v>
      </c>
      <c r="E73" s="59" t="s">
        <v>1282</v>
      </c>
      <c r="F73" s="61" t="s">
        <v>1335</v>
      </c>
      <c r="G73" s="61" t="s">
        <v>1325</v>
      </c>
      <c r="H73" s="69" t="s">
        <v>1391</v>
      </c>
    </row>
    <row r="74" spans="1:8" ht="16">
      <c r="A74" s="58" t="str">
        <f>進捗一覧!J76</f>
        <v>FR-ADMIN-001</v>
      </c>
      <c r="B74" s="59" t="str">
        <f>進捗一覧!I76</f>
        <v>FR-ADMIN 基盤設定管理</v>
      </c>
      <c r="C74" s="60" t="str">
        <f>進捗一覧!E76</f>
        <v>運用担当者が使う管理画面を、どこまで自前で作るか</v>
      </c>
      <c r="D74" s="61" t="str">
        <f>進捗一覧!D76</f>
        <v>確定</v>
      </c>
      <c r="E74" s="59" t="s">
        <v>1392</v>
      </c>
      <c r="F74" s="61" t="s">
        <v>1335</v>
      </c>
      <c r="G74" s="61" t="s">
        <v>1314</v>
      </c>
      <c r="H74" s="69" t="s">
        <v>1393</v>
      </c>
    </row>
    <row r="75" spans="1:8" ht="16">
      <c r="A75" s="58" t="str">
        <f>進捗一覧!J77</f>
        <v>FR-ADMIN-002</v>
      </c>
      <c r="B75" s="59" t="str">
        <f>進捗一覧!I77</f>
        <v>FR-ADMIN 基盤設定管理</v>
      </c>
      <c r="C75" s="60" t="str">
        <f>進捗一覧!E77</f>
        <v>顧客テナントの追加・削除を誰がどの手順で行うか</v>
      </c>
      <c r="D75" s="61" t="str">
        <f>進捗一覧!D77</f>
        <v>方向性確定（条件付き）</v>
      </c>
      <c r="E75" s="59" t="s">
        <v>1646</v>
      </c>
      <c r="F75" s="61" t="s">
        <v>1647</v>
      </c>
      <c r="G75" s="61" t="s">
        <v>1443</v>
      </c>
      <c r="H75" s="69" t="s">
        <v>1648</v>
      </c>
    </row>
    <row r="76" spans="1:8" ht="16">
      <c r="A76" s="58" t="str">
        <f>進捗一覧!J78</f>
        <v>FR-ADMIN-003</v>
      </c>
      <c r="B76" s="59" t="str">
        <f>進捗一覧!I78</f>
        <v>FR-ADMIN 基盤設定管理</v>
      </c>
      <c r="C76" s="60" t="str">
        <f>進捗一覧!E78</f>
        <v>顧客のID基盤の登録・変更・削除を誰がどの手順で行うか</v>
      </c>
      <c r="D76" s="61" t="str">
        <f>進捗一覧!D78</f>
        <v>確定</v>
      </c>
      <c r="E76" s="59" t="s">
        <v>1394</v>
      </c>
      <c r="F76" s="61" t="s">
        <v>1313</v>
      </c>
      <c r="G76" s="61" t="s">
        <v>1314</v>
      </c>
      <c r="H76" s="69" t="s">
        <v>1395</v>
      </c>
    </row>
    <row r="77" spans="1:8" ht="16">
      <c r="A77" s="58" t="str">
        <f>進捗一覧!J79</f>
        <v>FR-ADMIN-004</v>
      </c>
      <c r="B77" s="59" t="str">
        <f>進捗一覧!I79</f>
        <v>FR-ADMIN 基盤設定管理</v>
      </c>
      <c r="C77" s="60" t="str">
        <f>進捗一覧!E79</f>
        <v>アプリの登録と設定変更を誰がどの手順で行うか</v>
      </c>
      <c r="D77" s="61" t="str">
        <f>進捗一覧!D79</f>
        <v>確定</v>
      </c>
      <c r="E77" s="59" t="s">
        <v>1281</v>
      </c>
      <c r="F77" s="61" t="s">
        <v>1313</v>
      </c>
      <c r="G77" s="61" t="s">
        <v>1314</v>
      </c>
      <c r="H77" s="69" t="s">
        <v>1396</v>
      </c>
    </row>
    <row r="78" spans="1:8" ht="16">
      <c r="A78" s="58" t="str">
        <f>進捗一覧!J80</f>
        <v>FR-ADMIN-005</v>
      </c>
      <c r="B78" s="59" t="str">
        <f>進捗一覧!I80</f>
        <v>FR-ADMIN 基盤設定管理</v>
      </c>
      <c r="C78" s="60" t="str">
        <f>進捗一覧!E80</f>
        <v>どんな役割を用意するかの定義を、誰が管理するか</v>
      </c>
      <c r="D78" s="61" t="str">
        <f>進捗一覧!D80</f>
        <v>方向性確定（条件付き）</v>
      </c>
      <c r="E78" s="59" t="s">
        <v>1649</v>
      </c>
      <c r="F78" s="61" t="s">
        <v>1650</v>
      </c>
      <c r="G78" s="61" t="s">
        <v>1451</v>
      </c>
      <c r="H78" s="69" t="s">
        <v>1651</v>
      </c>
    </row>
    <row r="79" spans="1:8" ht="16">
      <c r="A79" s="58" t="str">
        <f>進捗一覧!J81</f>
        <v>FR-ADMIN-009</v>
      </c>
      <c r="B79" s="59" t="str">
        <f>進捗一覧!I81</f>
        <v>FR-ADMIN 基盤設定管理</v>
      </c>
      <c r="C79" s="60" t="str">
        <f>進捗一覧!E81</f>
        <v>顧客ごとの設定が互いに見えない・触れない状態を、どう担保するか</v>
      </c>
      <c r="D79" s="61" t="str">
        <f>進捗一覧!D81</f>
        <v>確定</v>
      </c>
      <c r="E79" s="59" t="s">
        <v>1397</v>
      </c>
      <c r="F79" s="61" t="s">
        <v>1365</v>
      </c>
      <c r="G79" s="61" t="s">
        <v>1314</v>
      </c>
      <c r="H79" s="69" t="s">
        <v>1398</v>
      </c>
    </row>
    <row r="80" spans="1:8" ht="16">
      <c r="A80" s="58" t="str">
        <f>進捗一覧!J82</f>
        <v>FR-ADMIN-007</v>
      </c>
      <c r="B80" s="59" t="str">
        <f>進捗一覧!I82</f>
        <v>FR-ADMIN 監査・可視性</v>
      </c>
      <c r="C80" s="60" t="str">
        <f>進捗一覧!E82</f>
        <v>誰がいつ何をしたかの記録を、誰がどの画面で見られるようにするか</v>
      </c>
      <c r="D80" s="61" t="str">
        <f>進捗一覧!D82</f>
        <v>方向性確定（条件付き）</v>
      </c>
      <c r="E80" s="59" t="s">
        <v>1599</v>
      </c>
      <c r="F80" s="61" t="s">
        <v>1600</v>
      </c>
      <c r="G80" s="61" t="s">
        <v>1451</v>
      </c>
      <c r="H80" s="69" t="s">
        <v>1601</v>
      </c>
    </row>
    <row r="81" spans="1:8" ht="16">
      <c r="A81" s="58" t="str">
        <f>進捗一覧!J83</f>
        <v>FR-ADMIN-008</v>
      </c>
      <c r="B81" s="59" t="str">
        <f>進捗一覧!I83</f>
        <v>FR-ADMIN 監査・可視性</v>
      </c>
      <c r="C81" s="60" t="str">
        <f>進捗一覧!E83</f>
        <v>設定変更の履歴をどこまで残し、いつまで保存するか</v>
      </c>
      <c r="D81" s="61" t="str">
        <f>進捗一覧!D83</f>
        <v>方向性確定（条件付き）</v>
      </c>
      <c r="E81" s="59" t="s">
        <v>1602</v>
      </c>
      <c r="F81" s="61" t="s">
        <v>1603</v>
      </c>
      <c r="G81" s="61" t="s">
        <v>1451</v>
      </c>
      <c r="H81" s="69" t="s">
        <v>1604</v>
      </c>
    </row>
    <row r="82" spans="1:8" ht="16">
      <c r="A82" s="58" t="str">
        <f>進捗一覧!J84</f>
        <v>FR-ADMIN-006</v>
      </c>
      <c r="B82" s="59" t="str">
        <f>進捗一覧!I84</f>
        <v>FR-ADMIN 権限委譲・カスタマイズ</v>
      </c>
      <c r="C82" s="60" t="str">
        <f>進捗一覧!E84</f>
        <v>管理画面の操作権限を細かく分ける必要があるか</v>
      </c>
      <c r="D82" s="61" t="str">
        <f>進捗一覧!D84</f>
        <v>外部待ち</v>
      </c>
      <c r="E82" s="59" t="s">
        <v>1652</v>
      </c>
      <c r="F82" s="61" t="s">
        <v>1640</v>
      </c>
      <c r="G82" s="61" t="s">
        <v>1451</v>
      </c>
      <c r="H82" s="69" t="s">
        <v>1653</v>
      </c>
    </row>
    <row r="83" spans="1:8" ht="16">
      <c r="A83" s="58" t="str">
        <f>進捗一覧!J85</f>
        <v>FR-ADMIN-010</v>
      </c>
      <c r="B83" s="59" t="str">
        <f>進捗一覧!I85</f>
        <v>FR-ADMIN 権限委譲・カスタマイズ</v>
      </c>
      <c r="C83" s="60" t="str">
        <f>進捗一覧!E85</f>
        <v>運用担当者側の役割分担（見るだけ／変更できる等）をどう分けるか</v>
      </c>
      <c r="D83" s="61" t="str">
        <f>進捗一覧!D85</f>
        <v>方向性確定（条件付き）</v>
      </c>
      <c r="E83" s="59" t="s">
        <v>1399</v>
      </c>
      <c r="F83" s="61" t="s">
        <v>1339</v>
      </c>
      <c r="G83" s="61" t="s">
        <v>1325</v>
      </c>
      <c r="H83" s="69" t="s">
        <v>1400</v>
      </c>
    </row>
    <row r="84" spans="1:8" ht="16">
      <c r="A84" s="58" t="str">
        <f>進捗一覧!J86</f>
        <v>FR-ADMIN-011</v>
      </c>
      <c r="B84" s="59" t="str">
        <f>進捗一覧!I86</f>
        <v>FR-ADMIN 権限委譲・カスタマイズ</v>
      </c>
      <c r="C84" s="60" t="str">
        <f>進捗一覧!E86</f>
        <v>顧客自身に自社の利用者管理を任せるか。任せる範囲をどこまでにするか</v>
      </c>
      <c r="D84" s="61" t="str">
        <f>進捗一覧!D86</f>
        <v>外部待ち</v>
      </c>
      <c r="E84" s="59" t="s">
        <v>1401</v>
      </c>
      <c r="F84" s="61" t="s">
        <v>1402</v>
      </c>
      <c r="G84" s="61" t="s">
        <v>1314</v>
      </c>
      <c r="H84" s="69" t="s">
        <v>1403</v>
      </c>
    </row>
    <row r="85" spans="1:8" ht="16">
      <c r="A85" s="58" t="str">
        <f>進捗一覧!J87</f>
        <v>FR-ADMIN-012</v>
      </c>
      <c r="B85" s="59" t="str">
        <f>進捗一覧!I87</f>
        <v>FR-ADMIN 権限委譲・カスタマイズ</v>
      </c>
      <c r="C85" s="60" t="str">
        <f>進捗一覧!E87</f>
        <v>ログイン画面を顧客ごとのロゴや配色に変えられるようにするか。どこまで変えられるか</v>
      </c>
      <c r="D85" s="61" t="str">
        <f>進捗一覧!D87</f>
        <v>方向性確定（条件付き）</v>
      </c>
      <c r="E85" s="59" t="s">
        <v>1468</v>
      </c>
      <c r="F85" s="61" t="s">
        <v>1442</v>
      </c>
      <c r="G85" s="61" t="s">
        <v>1451</v>
      </c>
      <c r="H85" s="69" t="s">
        <v>1469</v>
      </c>
    </row>
    <row r="86" spans="1:8" ht="16">
      <c r="A86" s="58" t="str">
        <f>進捗一覧!J88</f>
        <v>FR-INT-001</v>
      </c>
      <c r="B86" s="59" t="str">
        <f>進捗一覧!I88</f>
        <v>FR-INT プロトコル準拠</v>
      </c>
      <c r="C86" s="60" t="str">
        <f>進捗一覧!E88</f>
        <v>業界標準の認証仕様に準拠する方針でよいか</v>
      </c>
      <c r="D86" s="61" t="str">
        <f>進捗一覧!D88</f>
        <v>確定</v>
      </c>
      <c r="E86" s="59" t="s">
        <v>1404</v>
      </c>
      <c r="F86" s="61" t="s">
        <v>1317</v>
      </c>
      <c r="G86" s="61" t="s">
        <v>1314</v>
      </c>
      <c r="H86" s="69" t="s">
        <v>1405</v>
      </c>
    </row>
    <row r="87" spans="1:8" ht="16">
      <c r="A87" s="58" t="str">
        <f>進捗一覧!J89</f>
        <v>FR-INT-002</v>
      </c>
      <c r="B87" s="59" t="str">
        <f>進捗一覧!I89</f>
        <v>FR-INT プロトコル準拠</v>
      </c>
      <c r="C87" s="60" t="str">
        <f>進捗一覧!E89</f>
        <v>アプリが接続設定を自動取得できる標準の窓口を公開するか</v>
      </c>
      <c r="D87" s="61" t="str">
        <f>進捗一覧!D89</f>
        <v>確定</v>
      </c>
      <c r="E87" s="59" t="s">
        <v>1800</v>
      </c>
      <c r="F87" s="61" t="s">
        <v>1640</v>
      </c>
      <c r="G87" s="61" t="s">
        <v>1451</v>
      </c>
      <c r="H87" s="69" t="s">
        <v>1801</v>
      </c>
    </row>
    <row r="88" spans="1:8" ht="16">
      <c r="A88" s="58" t="str">
        <f>進捗一覧!J90</f>
        <v>FR-INT-003</v>
      </c>
      <c r="B88" s="59" t="str">
        <f>進捗一覧!I90</f>
        <v>FR-INT プロトコル準拠</v>
      </c>
      <c r="C88" s="60" t="str">
        <f>進捗一覧!E90</f>
        <v>通行証の正しさを検証するための鍵情報を公開する窓口を用意するか</v>
      </c>
      <c r="D88" s="61" t="str">
        <f>進捗一覧!D90</f>
        <v>確定</v>
      </c>
      <c r="E88" s="59" t="s">
        <v>1308</v>
      </c>
      <c r="F88" s="61" t="s">
        <v>1317</v>
      </c>
      <c r="G88" s="61" t="s">
        <v>1314</v>
      </c>
      <c r="H88" s="69" t="s">
        <v>1406</v>
      </c>
    </row>
    <row r="89" spans="1:8" ht="16">
      <c r="A89" s="58" t="str">
        <f>進捗一覧!J91</f>
        <v>FR-INT-004</v>
      </c>
      <c r="B89" s="59" t="str">
        <f>進捗一覧!I91</f>
        <v>FR-INT プロトコル準拠</v>
      </c>
      <c r="C89" s="60" t="str">
        <f>進捗一覧!E91</f>
        <v>旧来方式（SAML）向けの接続情報を公開する必要があるか</v>
      </c>
      <c r="D89" s="61" t="str">
        <f>進捗一覧!D91</f>
        <v>方向性確定（条件付き）</v>
      </c>
      <c r="E89" s="59" t="s">
        <v>1654</v>
      </c>
      <c r="F89" s="61" t="s">
        <v>1650</v>
      </c>
      <c r="G89" s="61" t="s">
        <v>1451</v>
      </c>
      <c r="H89" s="69" t="s">
        <v>1655</v>
      </c>
    </row>
    <row r="90" spans="1:8" ht="16">
      <c r="A90" s="58" t="str">
        <f>進捗一覧!J92</f>
        <v>FR-INT-007</v>
      </c>
      <c r="B90" s="59" t="str">
        <f>進捗一覧!I92</f>
        <v>FR-INT プロトコル準拠</v>
      </c>
      <c r="C90" s="60" t="str">
        <f>進捗一覧!E92</f>
        <v>AWSのAPI入口との接続方法を標準化するか</v>
      </c>
      <c r="D90" s="61" t="str">
        <f>進捗一覧!D92</f>
        <v>確定</v>
      </c>
      <c r="E90" s="59" t="s">
        <v>1308</v>
      </c>
      <c r="F90" s="61" t="s">
        <v>1317</v>
      </c>
      <c r="G90" s="61" t="s">
        <v>1325</v>
      </c>
      <c r="H90" s="69" t="s">
        <v>1371</v>
      </c>
    </row>
    <row r="91" spans="1:8" ht="16">
      <c r="A91" s="58" t="str">
        <f>進捗一覧!J93</f>
        <v>FR-INT-008</v>
      </c>
      <c r="B91" s="59" t="str">
        <f>進捗一覧!I93</f>
        <v>FR-INT ログ・監視</v>
      </c>
      <c r="C91" s="60" t="str">
        <f>進捗一覧!E93</f>
        <v>操作記録を外部にどの形式・どの頻度で出すか</v>
      </c>
      <c r="D91" s="61" t="str">
        <f>進捗一覧!D93</f>
        <v>方向性確定（条件付き）</v>
      </c>
      <c r="E91" s="59" t="s">
        <v>1605</v>
      </c>
      <c r="F91" s="61" t="s">
        <v>1603</v>
      </c>
      <c r="G91" s="61" t="s">
        <v>1451</v>
      </c>
      <c r="H91" s="69" t="s">
        <v>1606</v>
      </c>
    </row>
    <row r="92" spans="1:8" ht="16">
      <c r="A92" s="58" t="str">
        <f>進捗一覧!J94</f>
        <v>FR-INT-009</v>
      </c>
      <c r="B92" s="59" t="str">
        <f>進捗一覧!I94</f>
        <v>FR-INT ログ・監視</v>
      </c>
      <c r="C92" s="60" t="str">
        <f>進捗一覧!E94</f>
        <v>操作記録をセキュリティ監視製品に送る必要があるか。送り先をどこにするか</v>
      </c>
      <c r="D92" s="61" t="str">
        <f>進捗一覧!D94</f>
        <v>外部待ち</v>
      </c>
      <c r="E92" s="59" t="s">
        <v>1656</v>
      </c>
      <c r="F92" s="61" t="s">
        <v>1657</v>
      </c>
      <c r="G92" s="61" t="s">
        <v>1443</v>
      </c>
      <c r="H92" s="69" t="s">
        <v>1658</v>
      </c>
    </row>
    <row r="93" spans="1:8" ht="16">
      <c r="A93" s="58" t="str">
        <f>進捗一覧!J95</f>
        <v>FR-INT-005</v>
      </c>
      <c r="B93" s="59" t="str">
        <f>進捗一覧!I95</f>
        <v>FR-INT API・IaC・Webhook</v>
      </c>
      <c r="C93" s="60" t="str">
        <f>進捗一覧!E95</f>
        <v>利用者が作られた等の出来事を他システムに自動通知する必要があるか。通知先と項目をどうするか</v>
      </c>
      <c r="D93" s="61" t="str">
        <f>進捗一覧!D95</f>
        <v>外部待ち</v>
      </c>
      <c r="E93" s="59" t="s">
        <v>1659</v>
      </c>
      <c r="F93" s="61" t="s">
        <v>1642</v>
      </c>
      <c r="G93" s="61" t="s">
        <v>1451</v>
      </c>
      <c r="H93" s="69" t="s">
        <v>1660</v>
      </c>
    </row>
    <row r="94" spans="1:8" ht="16">
      <c r="A94" s="58" t="str">
        <f>進捗一覧!J96</f>
        <v>FR-INT-006</v>
      </c>
      <c r="B94" s="59" t="str">
        <f>進捗一覧!I96</f>
        <v>FR-INT API・IaC・Webhook</v>
      </c>
      <c r="C94" s="60" t="str">
        <f>進捗一覧!E96</f>
        <v>外部から設定や利用者を操作するためのAPIを、どこまで公開するか</v>
      </c>
      <c r="D94" s="61" t="str">
        <f>進捗一覧!D96</f>
        <v>方向性確定（条件付き）</v>
      </c>
      <c r="E94" s="59" t="s">
        <v>1407</v>
      </c>
      <c r="F94" s="61" t="s">
        <v>1402</v>
      </c>
      <c r="G94" s="61" t="s">
        <v>1314</v>
      </c>
      <c r="H94" s="69" t="s">
        <v>1408</v>
      </c>
    </row>
    <row r="95" spans="1:8" ht="16">
      <c r="A95" s="58" t="str">
        <f>進捗一覧!J97</f>
        <v>FR-INT-010</v>
      </c>
      <c r="B95" s="59" t="str">
        <f>進捗一覧!I97</f>
        <v>FR-INT API・IaC・Webhook</v>
      </c>
      <c r="C95" s="60" t="str">
        <f>進捗一覧!E97</f>
        <v>設定を手作業ではなくコードで管理する方針でよいか。対象範囲をどこまでにするか</v>
      </c>
      <c r="D95" s="61" t="str">
        <f>進捗一覧!D97</f>
        <v>確定</v>
      </c>
      <c r="E95" s="59" t="s">
        <v>1281</v>
      </c>
      <c r="F95" s="61" t="s">
        <v>1313</v>
      </c>
      <c r="G95" s="61" t="s">
        <v>1314</v>
      </c>
      <c r="H95" s="69" t="s">
        <v>1409</v>
      </c>
    </row>
    <row r="96" spans="1:8" ht="16">
      <c r="A96" s="58" t="str">
        <f>進捗一覧!J98</f>
        <v>NFR-AVL-001</v>
      </c>
      <c r="B96" s="59" t="str">
        <f>進捗一覧!I98</f>
        <v>NFR-AVL 可用性</v>
      </c>
      <c r="C96" s="60" t="str">
        <f>進捗一覧!E98</f>
        <v>何％の稼働率を顧客に約束するか。約束を下回ったときの扱いをどうするか。最重要の確認事項</v>
      </c>
      <c r="D96" s="61" t="str">
        <f>進捗一覧!D98</f>
        <v>外部待ち</v>
      </c>
      <c r="E96" s="59" t="s">
        <v>1521</v>
      </c>
      <c r="F96" s="61" t="s">
        <v>1522</v>
      </c>
      <c r="G96" s="61" t="s">
        <v>1451</v>
      </c>
      <c r="H96" s="69" t="s">
        <v>1523</v>
      </c>
    </row>
    <row r="97" spans="1:8" ht="16">
      <c r="A97" s="58" t="str">
        <f>進捗一覧!J99</f>
        <v>NFR-AVL-002</v>
      </c>
      <c r="B97" s="59" t="str">
        <f>進捗一覧!I99</f>
        <v>NFR-AVL 可用性</v>
      </c>
      <c r="C97" s="60" t="str">
        <f>進捗一覧!E99</f>
        <v>計画的な停止作業をいつ・どのくらいの頻度で行うか。事前通知をいつ出すか</v>
      </c>
      <c r="D97" s="61" t="str">
        <f>進捗一覧!D99</f>
        <v>外部待ち</v>
      </c>
      <c r="E97" s="59" t="s">
        <v>1524</v>
      </c>
      <c r="F97" s="61" t="s">
        <v>1522</v>
      </c>
      <c r="G97" s="61" t="s">
        <v>1451</v>
      </c>
      <c r="H97" s="69" t="s">
        <v>1525</v>
      </c>
    </row>
    <row r="98" spans="1:8" ht="16">
      <c r="A98" s="58" t="str">
        <f>進捗一覧!J100</f>
        <v>NFR-AVL-003</v>
      </c>
      <c r="B98" s="59" t="str">
        <f>進捗一覧!I100</f>
        <v>NFR-AVL 可用性</v>
      </c>
      <c r="C98" s="60" t="str">
        <f>進捗一覧!E100</f>
        <v>障害に備えて設備を複数の場所に分けて置くか</v>
      </c>
      <c r="D98" s="61" t="str">
        <f>進捗一覧!D100</f>
        <v>方向性確定（条件付き）</v>
      </c>
      <c r="E98" s="59" t="s">
        <v>1526</v>
      </c>
      <c r="F98" s="61" t="s">
        <v>1522</v>
      </c>
      <c r="G98" s="61" t="s">
        <v>1451</v>
      </c>
      <c r="H98" s="69" t="s">
        <v>1527</v>
      </c>
    </row>
    <row r="99" spans="1:8" ht="16">
      <c r="A99" s="58" t="str">
        <f>進捗一覧!J101</f>
        <v>NFR-AVL-004</v>
      </c>
      <c r="B99" s="59" t="str">
        <f>進捗一覧!I101</f>
        <v>NFR-AVL 可用性</v>
      </c>
      <c r="C99" s="60" t="str">
        <f>進捗一覧!E101</f>
        <v>部品が落ちたときに自動で立ち上げ直す仕組みを入れるか</v>
      </c>
      <c r="D99" s="61" t="str">
        <f>進捗一覧!D101</f>
        <v>確定</v>
      </c>
      <c r="E99" s="59" t="s">
        <v>1526</v>
      </c>
      <c r="F99" s="61" t="s">
        <v>1522</v>
      </c>
      <c r="G99" s="61" t="s">
        <v>1451</v>
      </c>
      <c r="H99" s="69" t="s">
        <v>1528</v>
      </c>
    </row>
    <row r="100" spans="1:8" ht="16">
      <c r="A100" s="58" t="str">
        <f>進捗一覧!J102</f>
        <v>NFR-AVL-005</v>
      </c>
      <c r="B100" s="59" t="str">
        <f>進捗一覧!I102</f>
        <v>NFR-AVL 可用性</v>
      </c>
      <c r="C100" s="60" t="str">
        <f>進捗一覧!E102</f>
        <v>1か所壊れると全部止まる箇所をなくす方針でよいか</v>
      </c>
      <c r="D100" s="61" t="str">
        <f>進捗一覧!D102</f>
        <v>方向性確定（条件付き）</v>
      </c>
      <c r="E100" s="59" t="s">
        <v>1529</v>
      </c>
      <c r="F100" s="61" t="s">
        <v>1522</v>
      </c>
      <c r="G100" s="61" t="s">
        <v>1451</v>
      </c>
      <c r="H100" s="69" t="s">
        <v>1530</v>
      </c>
    </row>
    <row r="101" spans="1:8" ht="16">
      <c r="A101" s="58" t="str">
        <f>進捗一覧!J103</f>
        <v>NFR-AVL-006</v>
      </c>
      <c r="B101" s="59" t="str">
        <f>進捗一覧!I103</f>
        <v>NFR-AVL 可用性</v>
      </c>
      <c r="C101" s="60" t="str">
        <f>進捗一覧!E103</f>
        <v>更新作業中もサービスを止めない方式にするか</v>
      </c>
      <c r="D101" s="61" t="str">
        <f>進捗一覧!D103</f>
        <v>方向性確定（条件付き）</v>
      </c>
      <c r="E101" s="59" t="s">
        <v>1531</v>
      </c>
      <c r="F101" s="61" t="s">
        <v>1522</v>
      </c>
      <c r="G101" s="61" t="s">
        <v>1451</v>
      </c>
      <c r="H101" s="69" t="s">
        <v>1532</v>
      </c>
    </row>
    <row r="102" spans="1:8" ht="16">
      <c r="A102" s="58" t="str">
        <f>進捗一覧!J104</f>
        <v>NFR-PERF-001</v>
      </c>
      <c r="B102" s="59" t="str">
        <f>進捗一覧!I104</f>
        <v>NFR-PERF 応答時間/レイテンシ</v>
      </c>
      <c r="C102" s="60" t="str">
        <f>進捗一覧!E104</f>
        <v>ログインが何秒以内に返れば合格とするか</v>
      </c>
      <c r="D102" s="61" t="str">
        <f>進捗一覧!D104</f>
        <v>方向性確定（条件付き）</v>
      </c>
      <c r="E102" s="59" t="s">
        <v>1560</v>
      </c>
      <c r="F102" s="61" t="s">
        <v>1561</v>
      </c>
      <c r="G102" s="61" t="s">
        <v>1443</v>
      </c>
      <c r="H102" s="69" t="s">
        <v>1562</v>
      </c>
    </row>
    <row r="103" spans="1:8" ht="16">
      <c r="A103" s="58" t="str">
        <f>進捗一覧!J105</f>
        <v>NFR-PERF-003</v>
      </c>
      <c r="B103" s="59" t="str">
        <f>進捗一覧!I105</f>
        <v>NFR-PERF 応答時間/レイテンシ</v>
      </c>
      <c r="C103" s="60" t="str">
        <f>進捗一覧!E105</f>
        <v>権限チェック部分の応答時間の目標をどこに置くか</v>
      </c>
      <c r="D103" s="61" t="str">
        <f>進捗一覧!D105</f>
        <v>確定</v>
      </c>
      <c r="E103" s="59" t="s">
        <v>1790</v>
      </c>
      <c r="F103" s="61" t="s">
        <v>1603</v>
      </c>
      <c r="G103" s="61" t="s">
        <v>1443</v>
      </c>
      <c r="H103" s="69" t="s">
        <v>1791</v>
      </c>
    </row>
    <row r="104" spans="1:8" ht="16">
      <c r="A104" s="58" t="str">
        <f>進捗一覧!J106</f>
        <v>NFR-PERF-004</v>
      </c>
      <c r="B104" s="59" t="str">
        <f>進捗一覧!I106</f>
        <v>NFR-PERF 応答時間/レイテンシ</v>
      </c>
      <c r="C104" s="60" t="str">
        <f>進捗一覧!E106</f>
        <v>通行証の検証を1秒あたり何件さばく必要があるか</v>
      </c>
      <c r="D104" s="61" t="str">
        <f>進捗一覧!D106</f>
        <v>確定</v>
      </c>
      <c r="E104" s="59" t="s">
        <v>1790</v>
      </c>
      <c r="F104" s="61" t="s">
        <v>1603</v>
      </c>
      <c r="G104" s="61" t="s">
        <v>1443</v>
      </c>
      <c r="H104" s="69" t="s">
        <v>1792</v>
      </c>
    </row>
    <row r="105" spans="1:8" ht="16">
      <c r="A105" s="58" t="str">
        <f>進捗一覧!J107</f>
        <v>NFR-PERF-005</v>
      </c>
      <c r="B105" s="59" t="str">
        <f>進捗一覧!I107</f>
        <v>NFR-PERF 応答時間/レイテンシ</v>
      </c>
      <c r="C105" s="60" t="str">
        <f>進捗一覧!E107</f>
        <v>検証用の鍵情報を各アプリが何分間覚えておくか</v>
      </c>
      <c r="D105" s="61" t="str">
        <f>進捗一覧!D107</f>
        <v>確定</v>
      </c>
      <c r="E105" s="59" t="s">
        <v>1564</v>
      </c>
      <c r="F105" s="61" t="s">
        <v>1563</v>
      </c>
      <c r="G105" s="61" t="s">
        <v>1443</v>
      </c>
      <c r="H105" s="69" t="s">
        <v>1565</v>
      </c>
    </row>
    <row r="106" spans="1:8" ht="16">
      <c r="A106" s="58" t="str">
        <f>進捗一覧!J108</f>
        <v>NFR-PERF-008</v>
      </c>
      <c r="B106" s="59" t="str">
        <f>進捗一覧!I108</f>
        <v>NFR-PERF 応答時間/レイテンシ</v>
      </c>
      <c r="C106" s="60" t="str">
        <f>進捗一覧!E108</f>
        <v>データベースの応答時間の目標をどこに置くか</v>
      </c>
      <c r="D106" s="61" t="str">
        <f>進捗一覧!D108</f>
        <v>方向性確定（条件付き）</v>
      </c>
      <c r="E106" s="59" t="s">
        <v>1566</v>
      </c>
      <c r="F106" s="61" t="s">
        <v>1561</v>
      </c>
      <c r="G106" s="61" t="s">
        <v>1443</v>
      </c>
      <c r="H106" s="69" t="s">
        <v>1567</v>
      </c>
    </row>
    <row r="107" spans="1:8" ht="16">
      <c r="A107" s="58" t="str">
        <f>進捗一覧!J109</f>
        <v>NFR-PERF-002</v>
      </c>
      <c r="B107" s="59" t="str">
        <f>進捗一覧!I109</f>
        <v>NFR-PERF スループット/スケール耐性</v>
      </c>
      <c r="C107" s="60" t="str">
        <f>進捗一覧!E109</f>
        <v>ログインが集中したとき、同時に何件まで耐える必要があるか</v>
      </c>
      <c r="D107" s="61" t="str">
        <f>進捗一覧!D109</f>
        <v>外部待ち</v>
      </c>
      <c r="E107" s="59" t="s">
        <v>1568</v>
      </c>
      <c r="F107" s="61" t="s">
        <v>1561</v>
      </c>
      <c r="G107" s="61" t="s">
        <v>1451</v>
      </c>
      <c r="H107" s="69" t="s">
        <v>1569</v>
      </c>
    </row>
    <row r="108" spans="1:8" ht="16">
      <c r="A108" s="58" t="str">
        <f>進捗一覧!J110</f>
        <v>NFR-PERF-006</v>
      </c>
      <c r="B108" s="59" t="str">
        <f>進捗一覧!I110</f>
        <v>NFR-PERF スループット/スケール耐性</v>
      </c>
      <c r="C108" s="60" t="str">
        <f>進捗一覧!E110</f>
        <v>入口で1秒あたりの受付上限をいくつにするか</v>
      </c>
      <c r="D108" s="61" t="str">
        <f>進捗一覧!D110</f>
        <v>外部待ち</v>
      </c>
      <c r="E108" s="59" t="s">
        <v>1570</v>
      </c>
      <c r="F108" s="61" t="s">
        <v>1561</v>
      </c>
      <c r="G108" s="61" t="s">
        <v>1443</v>
      </c>
      <c r="H108" s="69" t="s">
        <v>1571</v>
      </c>
    </row>
    <row r="109" spans="1:8" ht="16">
      <c r="A109" s="58" t="str">
        <f>進捗一覧!J111</f>
        <v>NFR-PERF-007</v>
      </c>
      <c r="B109" s="59" t="str">
        <f>進捗一覧!I111</f>
        <v>NFR-PERF スループット/スケール耐性</v>
      </c>
      <c r="C109" s="60" t="str">
        <f>進捗一覧!E111</f>
        <v>始業時など混み合う時間帯の想定と、その山をどう吸収するか</v>
      </c>
      <c r="D109" s="61" t="str">
        <f>進捗一覧!D111</f>
        <v>方向性確定（条件付き）</v>
      </c>
      <c r="E109" s="59" t="s">
        <v>1572</v>
      </c>
      <c r="F109" s="61" t="s">
        <v>1561</v>
      </c>
      <c r="G109" s="61" t="s">
        <v>1451</v>
      </c>
      <c r="H109" s="69" t="s">
        <v>1573</v>
      </c>
    </row>
    <row r="110" spans="1:8" ht="16">
      <c r="A110" s="58" t="str">
        <f>進捗一覧!J112</f>
        <v>NFR-SCL-001</v>
      </c>
      <c r="B110" s="59" t="str">
        <f>進捗一覧!I112</f>
        <v>NFR-SCL 拡張性</v>
      </c>
      <c r="C110" s="60" t="str">
        <f>進捗一覧!E112</f>
        <v>利用者数の上限をいくらと想定して設計するか。最重要の確認事項</v>
      </c>
      <c r="D110" s="61" t="str">
        <f>進捗一覧!D112</f>
        <v>外部待ち</v>
      </c>
      <c r="E110" s="59" t="s">
        <v>1574</v>
      </c>
      <c r="F110" s="61" t="s">
        <v>1561</v>
      </c>
      <c r="G110" s="61" t="s">
        <v>1451</v>
      </c>
      <c r="H110" s="69" t="s">
        <v>1575</v>
      </c>
    </row>
    <row r="111" spans="1:8" ht="16">
      <c r="A111" s="58" t="str">
        <f>進捗一覧!J113</f>
        <v>NFR-SCL-002</v>
      </c>
      <c r="B111" s="59" t="str">
        <f>進捗一覧!I113</f>
        <v>NFR-SCL 拡張性</v>
      </c>
      <c r="C111" s="60" t="str">
        <f>進捗一覧!E113</f>
        <v>同時にログイン状態になる人数を、最大いくらと見込むか</v>
      </c>
      <c r="D111" s="61" t="str">
        <f>進捗一覧!D113</f>
        <v>外部待ち</v>
      </c>
      <c r="E111" s="59" t="s">
        <v>1576</v>
      </c>
      <c r="F111" s="61" t="s">
        <v>1561</v>
      </c>
      <c r="G111" s="61" t="s">
        <v>1443</v>
      </c>
      <c r="H111" s="69" t="s">
        <v>1577</v>
      </c>
    </row>
    <row r="112" spans="1:8" ht="16">
      <c r="A112" s="58" t="str">
        <f>進捗一覧!J114</f>
        <v>NFR-SCL-003</v>
      </c>
      <c r="B112" s="59" t="str">
        <f>進捗一覧!I114</f>
        <v>NFR-SCL 拡張性</v>
      </c>
      <c r="C112" s="60" t="str">
        <f>進捗一覧!E114</f>
        <v>顧客の数（接続するID基盤の数）を最大いくらと見込むか</v>
      </c>
      <c r="D112" s="61" t="str">
        <f>進捗一覧!D114</f>
        <v>方向性確定（条件付き）</v>
      </c>
      <c r="E112" s="59" t="s">
        <v>1410</v>
      </c>
      <c r="F112" s="61" t="s">
        <v>1313</v>
      </c>
      <c r="G112" s="61" t="s">
        <v>1314</v>
      </c>
      <c r="H112" s="69" t="s">
        <v>1411</v>
      </c>
    </row>
    <row r="113" spans="1:8" ht="16">
      <c r="A113" s="58" t="str">
        <f>進捗一覧!J115</f>
        <v>NFR-SCL-004</v>
      </c>
      <c r="B113" s="59" t="str">
        <f>進捗一覧!I115</f>
        <v>NFR-SCL 拡張性</v>
      </c>
      <c r="C113" s="60" t="str">
        <f>進捗一覧!E115</f>
        <v>新しい顧客の接続を、依頼から何日で開通させるか</v>
      </c>
      <c r="D113" s="61" t="str">
        <f>進捗一覧!D115</f>
        <v>方向性確定（条件付き）</v>
      </c>
      <c r="E113" s="59" t="s">
        <v>1570</v>
      </c>
      <c r="F113" s="61" t="s">
        <v>1561</v>
      </c>
      <c r="G113" s="61" t="s">
        <v>1443</v>
      </c>
      <c r="H113" s="69" t="s">
        <v>1578</v>
      </c>
    </row>
    <row r="114" spans="1:8" ht="16">
      <c r="A114" s="58" t="str">
        <f>進捗一覧!J116</f>
        <v>NFR-SCL-005</v>
      </c>
      <c r="B114" s="59" t="str">
        <f>進捗一覧!I116</f>
        <v>NFR-SCL 拡張性</v>
      </c>
      <c r="C114" s="60" t="str">
        <f>進捗一覧!E116</f>
        <v>混雑に応じて設備を自動で増減させるか。増やす・減らす判定基準をどうするか</v>
      </c>
      <c r="D114" s="61" t="str">
        <f>進捗一覧!D116</f>
        <v>方向性確定（条件付き）</v>
      </c>
      <c r="E114" s="59" t="s">
        <v>1572</v>
      </c>
      <c r="F114" s="61" t="s">
        <v>1561</v>
      </c>
      <c r="G114" s="61" t="s">
        <v>1451</v>
      </c>
      <c r="H114" s="69" t="s">
        <v>1579</v>
      </c>
    </row>
    <row r="115" spans="1:8" ht="16">
      <c r="A115" s="58" t="str">
        <f>進捗一覧!J117</f>
        <v>NFR-SCL-006</v>
      </c>
      <c r="B115" s="59" t="str">
        <f>進捗一覧!I117</f>
        <v>NFR-SCL 拡張性</v>
      </c>
      <c r="C115" s="60" t="str">
        <f>進捗一覧!E117</f>
        <v>複数の地域で同時に稼働させる必要があるか</v>
      </c>
      <c r="D115" s="61" t="str">
        <f>進捗一覧!D117</f>
        <v>外部待ち</v>
      </c>
      <c r="E115" s="59" t="s">
        <v>1580</v>
      </c>
      <c r="F115" s="61" t="s">
        <v>1581</v>
      </c>
      <c r="G115" s="61" t="s">
        <v>1451</v>
      </c>
      <c r="H115" s="69" t="s">
        <v>1582</v>
      </c>
    </row>
    <row r="116" spans="1:8" ht="16">
      <c r="A116" s="58" t="str">
        <f>進捗一覧!J118</f>
        <v>NFR-SCL-007</v>
      </c>
      <c r="B116" s="59" t="str">
        <f>進捗一覧!I118</f>
        <v>NFR-SCL 拡張性</v>
      </c>
      <c r="C116" s="60" t="str">
        <f>進捗一覧!E118</f>
        <v>データベースの拡張余地をどこまで確保するか</v>
      </c>
      <c r="D116" s="61" t="str">
        <f>進捗一覧!D118</f>
        <v>方向性確定（条件付き）</v>
      </c>
      <c r="E116" s="59" t="s">
        <v>1583</v>
      </c>
      <c r="F116" s="61" t="s">
        <v>1561</v>
      </c>
      <c r="G116" s="61" t="s">
        <v>1451</v>
      </c>
      <c r="H116" s="69" t="s">
        <v>1584</v>
      </c>
    </row>
    <row r="117" spans="1:8" ht="16">
      <c r="A117" s="58" t="str">
        <f>進捗一覧!J119</f>
        <v>NFR-SEC-001</v>
      </c>
      <c r="B117" s="59" t="str">
        <f>進捗一覧!I119</f>
        <v>NFR-SEC 暗号化・鍵管理</v>
      </c>
      <c r="C117" s="60" t="str">
        <f>進捗一覧!E119</f>
        <v>通信の暗号化をどの水準で必須にするか</v>
      </c>
      <c r="D117" s="61" t="str">
        <f>進捗一覧!D119</f>
        <v>方向性確定（条件付き）</v>
      </c>
      <c r="E117" s="59" t="s">
        <v>1585</v>
      </c>
      <c r="F117" s="61" t="s">
        <v>1561</v>
      </c>
      <c r="G117" s="61" t="s">
        <v>1451</v>
      </c>
      <c r="H117" s="69" t="s">
        <v>1586</v>
      </c>
    </row>
    <row r="118" spans="1:8" ht="16">
      <c r="A118" s="58" t="str">
        <f>進捗一覧!J120</f>
        <v>NFR-SEC-002</v>
      </c>
      <c r="B118" s="59" t="str">
        <f>進捗一覧!I120</f>
        <v>NFR-SEC 暗号化・鍵管理</v>
      </c>
      <c r="C118" s="60" t="str">
        <f>進捗一覧!E120</f>
        <v>保存データの暗号化をどこまで必須にするか。暗号鍵を誰が持つか</v>
      </c>
      <c r="D118" s="61" t="str">
        <f>進捗一覧!D120</f>
        <v>確定</v>
      </c>
      <c r="E118" s="59" t="s">
        <v>1482</v>
      </c>
      <c r="F118" s="61" t="s">
        <v>1475</v>
      </c>
      <c r="G118" s="61" t="s">
        <v>1451</v>
      </c>
      <c r="H118" s="69" t="s">
        <v>1483</v>
      </c>
    </row>
    <row r="119" spans="1:8" ht="16">
      <c r="A119" s="58" t="str">
        <f>進捗一覧!J121</f>
        <v>NFR-SEC-003</v>
      </c>
      <c r="B119" s="59" t="str">
        <f>進捗一覧!I121</f>
        <v>NFR-SEC 暗号化・鍵管理</v>
      </c>
      <c r="C119" s="60" t="str">
        <f>進捗一覧!E121</f>
        <v>通行証の署名方式に何を使うか</v>
      </c>
      <c r="D119" s="61" t="str">
        <f>進捗一覧!D121</f>
        <v>確定</v>
      </c>
      <c r="E119" s="59" t="s">
        <v>1484</v>
      </c>
      <c r="F119" s="61" t="s">
        <v>1485</v>
      </c>
      <c r="G119" s="61" t="s">
        <v>1451</v>
      </c>
      <c r="H119" s="69" t="s">
        <v>1486</v>
      </c>
    </row>
    <row r="120" spans="1:8" ht="16">
      <c r="A120" s="58" t="str">
        <f>進捗一覧!J122</f>
        <v>NFR-SEC-009</v>
      </c>
      <c r="B120" s="59" t="str">
        <f>進捗一覧!I122</f>
        <v>NFR-SEC 暗号化・鍵管理</v>
      </c>
      <c r="C120" s="60" t="str">
        <f>進捗一覧!E122</f>
        <v>パスワードをどの方式で保管するか。強度の設定値をどうするか</v>
      </c>
      <c r="D120" s="61" t="str">
        <f>進捗一覧!D122</f>
        <v>確定</v>
      </c>
      <c r="E120" s="59" t="s">
        <v>1474</v>
      </c>
      <c r="F120" s="61" t="s">
        <v>1475</v>
      </c>
      <c r="G120" s="61" t="s">
        <v>1443</v>
      </c>
      <c r="H120" s="69" t="s">
        <v>1487</v>
      </c>
    </row>
    <row r="121" spans="1:8" ht="16">
      <c r="A121" s="58" t="str">
        <f>進捗一覧!J123</f>
        <v>NFR-SEC-015</v>
      </c>
      <c r="B121" s="59" t="str">
        <f>進捗一覧!I123</f>
        <v>NFR-SEC 暗号化・鍵管理</v>
      </c>
      <c r="C121" s="60" t="str">
        <f>進捗一覧!E123</f>
        <v>接続用の秘密情報をどこに保管し、誰が取り出せるようにするか</v>
      </c>
      <c r="D121" s="61" t="str">
        <f>進捗一覧!D123</f>
        <v>確定</v>
      </c>
      <c r="E121" s="59" t="s">
        <v>1488</v>
      </c>
      <c r="F121" s="61" t="s">
        <v>1475</v>
      </c>
      <c r="G121" s="61" t="s">
        <v>1451</v>
      </c>
      <c r="H121" s="69" t="s">
        <v>1489</v>
      </c>
    </row>
    <row r="122" spans="1:8" ht="16">
      <c r="A122" s="58" t="str">
        <f>進捗一覧!J124</f>
        <v>NFR-SEC-004</v>
      </c>
      <c r="B122" s="59" t="str">
        <f>進捗一覧!I124</f>
        <v>NFR-SEC トークン・セッション</v>
      </c>
      <c r="C122" s="60" t="str">
        <f>進捗一覧!E124</f>
        <v>通行証の有効時間を何分にするか</v>
      </c>
      <c r="D122" s="61" t="str">
        <f>進捗一覧!D124</f>
        <v>方向性確定（条件付き）</v>
      </c>
      <c r="E122" s="59" t="s">
        <v>1412</v>
      </c>
      <c r="F122" s="61" t="s">
        <v>1317</v>
      </c>
      <c r="G122" s="61" t="s">
        <v>1314</v>
      </c>
      <c r="H122" s="69" t="s">
        <v>1413</v>
      </c>
    </row>
    <row r="123" spans="1:8" ht="16">
      <c r="A123" s="58" t="str">
        <f>進捗一覧!J125</f>
        <v>NFR-SEC-005</v>
      </c>
      <c r="B123" s="59" t="str">
        <f>進捗一覧!I125</f>
        <v>NFR-SEC トークン・セッション</v>
      </c>
      <c r="C123" s="60" t="str">
        <f>進捗一覧!E125</f>
        <v>再ログインなしで使い続けられる期間を何日にするか</v>
      </c>
      <c r="D123" s="61" t="str">
        <f>進捗一覧!D125</f>
        <v>方向性確定（条件付き）</v>
      </c>
      <c r="E123" s="59" t="s">
        <v>1414</v>
      </c>
      <c r="F123" s="61" t="s">
        <v>1317</v>
      </c>
      <c r="G123" s="61" t="s">
        <v>1314</v>
      </c>
      <c r="H123" s="69" t="s">
        <v>1415</v>
      </c>
    </row>
    <row r="124" spans="1:8" ht="16">
      <c r="A124" s="58" t="str">
        <f>進捗一覧!J126</f>
        <v>NFR-SEC-006</v>
      </c>
      <c r="B124" s="59" t="str">
        <f>進捗一覧!I126</f>
        <v>NFR-SEC トークン・セッション</v>
      </c>
      <c r="C124" s="60" t="str">
        <f>進捗一覧!E126</f>
        <v>本人確認情報の有効時間を何分にするか</v>
      </c>
      <c r="D124" s="61" t="str">
        <f>進捗一覧!D126</f>
        <v>方向性確定（条件付き）</v>
      </c>
      <c r="E124" s="59" t="s">
        <v>1416</v>
      </c>
      <c r="F124" s="61" t="s">
        <v>1317</v>
      </c>
      <c r="G124" s="61" t="s">
        <v>1314</v>
      </c>
      <c r="H124" s="69" t="s">
        <v>1417</v>
      </c>
    </row>
    <row r="125" spans="1:8" ht="16">
      <c r="A125" s="58" t="str">
        <f>進捗一覧!J127</f>
        <v>NFR-SEC-007</v>
      </c>
      <c r="B125" s="59" t="str">
        <f>進捗一覧!I127</f>
        <v>NFR-SEC トークン・セッション</v>
      </c>
      <c r="C125" s="60" t="str">
        <f>進捗一覧!E127</f>
        <v>使い回しを防ぐため、更新のたびに引換券を作り替える方式にするか</v>
      </c>
      <c r="D125" s="61" t="str">
        <f>進捗一覧!D127</f>
        <v>方向性確定（条件付き）</v>
      </c>
      <c r="E125" s="59" t="s">
        <v>1296</v>
      </c>
      <c r="F125" s="61" t="s">
        <v>1317</v>
      </c>
      <c r="G125" s="61" t="s">
        <v>1314</v>
      </c>
      <c r="H125" s="69" t="s">
        <v>1418</v>
      </c>
    </row>
    <row r="126" spans="1:8" ht="16">
      <c r="A126" s="58" t="str">
        <f>進捗一覧!J128</f>
        <v>NFR-SEC-008</v>
      </c>
      <c r="B126" s="59" t="str">
        <f>進捗一覧!I128</f>
        <v>NFR-SEC トークン・セッション</v>
      </c>
      <c r="C126" s="60" t="str">
        <f>進捗一覧!E128</f>
        <v>発行済みの通行証を有効期限前に取り消せる仕組みを用意するか</v>
      </c>
      <c r="D126" s="61" t="str">
        <f>進捗一覧!D128</f>
        <v>方向性確定（条件付き）</v>
      </c>
      <c r="E126" s="59" t="s">
        <v>1419</v>
      </c>
      <c r="F126" s="61" t="s">
        <v>1317</v>
      </c>
      <c r="G126" s="61" t="s">
        <v>1314</v>
      </c>
      <c r="H126" s="69" t="s">
        <v>1420</v>
      </c>
    </row>
    <row r="127" spans="1:8" ht="16">
      <c r="A127" s="58" t="str">
        <f>進捗一覧!J129</f>
        <v>NFR-SEC-020</v>
      </c>
      <c r="B127" s="59" t="str">
        <f>進捗一覧!I129</f>
        <v>NFR-SEC トークン・セッション</v>
      </c>
      <c r="C127" s="60" t="str">
        <f>進捗一覧!E129</f>
        <v>なりすましを防ぐため、ログイン時に識別子を作り替えるか</v>
      </c>
      <c r="D127" s="61" t="str">
        <f>進捗一覧!D129</f>
        <v>確定</v>
      </c>
      <c r="E127" s="59" t="s">
        <v>1474</v>
      </c>
      <c r="F127" s="61" t="s">
        <v>1475</v>
      </c>
      <c r="G127" s="61" t="s">
        <v>1443</v>
      </c>
      <c r="H127" s="69" t="s">
        <v>1501</v>
      </c>
    </row>
    <row r="128" spans="1:8" ht="16">
      <c r="A128" s="58" t="str">
        <f>進捗一覧!J130</f>
        <v>NFR-SEC-010</v>
      </c>
      <c r="B128" s="59" t="str">
        <f>進捗一覧!I130</f>
        <v>NFR-SEC 攻撃対策</v>
      </c>
      <c r="C128" s="60" t="str">
        <f>進捗一覧!E130</f>
        <v>パスワードの総当たり攻撃への対処方式をどれにするか</v>
      </c>
      <c r="D128" s="61" t="str">
        <f>進捗一覧!D130</f>
        <v>方向性確定（条件付き）</v>
      </c>
      <c r="E128" s="59" t="s">
        <v>1490</v>
      </c>
      <c r="F128" s="61" t="s">
        <v>1475</v>
      </c>
      <c r="G128" s="61" t="s">
        <v>1451</v>
      </c>
      <c r="H128" s="69" t="s">
        <v>1491</v>
      </c>
    </row>
    <row r="129" spans="1:8" ht="16">
      <c r="A129" s="58" t="str">
        <f>進捗一覧!J131</f>
        <v>NFR-SEC-010-2</v>
      </c>
      <c r="B129" s="59" t="str">
        <f>進捗一覧!I131</f>
        <v>NFR-SEC 攻撃対策</v>
      </c>
      <c r="C129" s="60" t="str">
        <f>進捗一覧!E131</f>
        <v>世の中に漏れていると分かっているパスワードの使用を拒否するか</v>
      </c>
      <c r="D129" s="61" t="str">
        <f>進捗一覧!D131</f>
        <v>外部待ち</v>
      </c>
      <c r="E129" s="59" t="s">
        <v>1502</v>
      </c>
      <c r="F129" s="61" t="s">
        <v>1475</v>
      </c>
      <c r="G129" s="61" t="s">
        <v>1451</v>
      </c>
      <c r="H129" s="69" t="s">
        <v>1503</v>
      </c>
    </row>
    <row r="130" spans="1:8" ht="16">
      <c r="A130" s="58" t="str">
        <f>進捗一覧!J132</f>
        <v>NFR-SEC-012</v>
      </c>
      <c r="B130" s="59" t="str">
        <f>進捗一覧!I132</f>
        <v>NFR-SEC 攻撃対策</v>
      </c>
      <c r="C130" s="60" t="str">
        <f>進捗一覧!E132</f>
        <v>大量アクセス攻撃への備えをどこまで行うか。誰が担うか</v>
      </c>
      <c r="D130" s="61" t="str">
        <f>進捗一覧!D132</f>
        <v>確定</v>
      </c>
      <c r="E130" s="59" t="s">
        <v>1474</v>
      </c>
      <c r="F130" s="61" t="s">
        <v>1475</v>
      </c>
      <c r="G130" s="61" t="s">
        <v>1443</v>
      </c>
      <c r="H130" s="69" t="s">
        <v>1504</v>
      </c>
    </row>
    <row r="131" spans="1:8" ht="16">
      <c r="A131" s="58" t="str">
        <f>進捗一覧!J133</f>
        <v>NFR-SEC-013</v>
      </c>
      <c r="B131" s="59" t="str">
        <f>進捗一覧!I133</f>
        <v>NFR-SEC 攻撃対策</v>
      </c>
      <c r="C131" s="60" t="str">
        <f>進捗一覧!E133</f>
        <v>疑似攻撃による検査を行うか。頻度と実施者をどうするか</v>
      </c>
      <c r="D131" s="61" t="str">
        <f>進捗一覧!D133</f>
        <v>外部待ち</v>
      </c>
      <c r="E131" s="59" t="s">
        <v>1802</v>
      </c>
      <c r="F131" s="61" t="s">
        <v>1475</v>
      </c>
      <c r="G131" s="61" t="s">
        <v>1443</v>
      </c>
      <c r="H131" s="69" t="s">
        <v>1803</v>
      </c>
    </row>
    <row r="132" spans="1:8" ht="16">
      <c r="A132" s="58" t="str">
        <f>進捗一覧!J134</f>
        <v>NFR-SEC-014</v>
      </c>
      <c r="B132" s="59" t="str">
        <f>進捗一覧!I134</f>
        <v>NFR-SEC 攻撃対策</v>
      </c>
      <c r="C132" s="60" t="str">
        <f>進捗一覧!E134</f>
        <v>弱点の自動検査をどの頻度で行うか。何を合格とするか</v>
      </c>
      <c r="D132" s="61" t="str">
        <f>進捗一覧!D134</f>
        <v>方向性確定（条件付き）</v>
      </c>
      <c r="E132" s="59" t="s">
        <v>1493</v>
      </c>
      <c r="F132" s="61" t="s">
        <v>1475</v>
      </c>
      <c r="G132" s="61" t="s">
        <v>1443</v>
      </c>
      <c r="H132" s="69" t="s">
        <v>1505</v>
      </c>
    </row>
    <row r="133" spans="1:8" ht="16">
      <c r="A133" s="58" t="str">
        <f>進捗一覧!J135</f>
        <v>NFR-SEC-011</v>
      </c>
      <c r="B133" s="59" t="str">
        <f>進捗一覧!I135</f>
        <v>NFR-SEC ネットワーク・境界制御</v>
      </c>
      <c r="C133" s="60" t="str">
        <f>進捗一覧!E135</f>
        <v>不正アクセスを入口で遮る仕組みを適用するか。その設定を誰が管理するか</v>
      </c>
      <c r="D133" s="61" t="str">
        <f>進捗一覧!D135</f>
        <v>方向性確定（条件付き）</v>
      </c>
      <c r="E133" s="59" t="s">
        <v>1474</v>
      </c>
      <c r="F133" s="61" t="s">
        <v>1475</v>
      </c>
      <c r="G133" s="61" t="s">
        <v>1443</v>
      </c>
      <c r="H133" s="69" t="s">
        <v>1506</v>
      </c>
    </row>
    <row r="134" spans="1:8" ht="16">
      <c r="A134" s="58" t="str">
        <f>進捗一覧!J136</f>
        <v>NFR-SEC-016</v>
      </c>
      <c r="B134" s="59" t="str">
        <f>進捗一覧!I136</f>
        <v>NFR-SEC ネットワーク・境界制御</v>
      </c>
      <c r="C134" s="60" t="str">
        <f>進捗一覧!E136</f>
        <v>サーバーを外部から直接触れない場所に置くか</v>
      </c>
      <c r="D134" s="61" t="str">
        <f>進捗一覧!D136</f>
        <v>確定</v>
      </c>
      <c r="E134" s="59" t="s">
        <v>1777</v>
      </c>
      <c r="F134" s="61" t="s">
        <v>1587</v>
      </c>
      <c r="G134" s="61" t="s">
        <v>1451</v>
      </c>
      <c r="H134" s="69" t="s">
        <v>1778</v>
      </c>
    </row>
    <row r="135" spans="1:8" ht="16">
      <c r="A135" s="58" t="str">
        <f>進捗一覧!J137</f>
        <v>NFR-SEC-017</v>
      </c>
      <c r="B135" s="59" t="str">
        <f>進捗一覧!I137</f>
        <v>NFR-SEC ネットワーク・境界制御</v>
      </c>
      <c r="C135" s="60" t="str">
        <f>進捗一覧!E137</f>
        <v>管理画面に誰がどこからアクセスできるようにするか</v>
      </c>
      <c r="D135" s="61" t="str">
        <f>進捗一覧!D137</f>
        <v>方向性確定（条件付き）</v>
      </c>
      <c r="E135" s="59" t="s">
        <v>1775</v>
      </c>
      <c r="F135" s="61" t="s">
        <v>1587</v>
      </c>
      <c r="G135" s="61" t="s">
        <v>1451</v>
      </c>
      <c r="H135" s="69" t="s">
        <v>1776</v>
      </c>
    </row>
    <row r="136" spans="1:8" ht="16">
      <c r="A136" s="58" t="str">
        <f>進捗一覧!J138</f>
        <v>NFR-SEC-018</v>
      </c>
      <c r="B136" s="59" t="str">
        <f>進捗一覧!I138</f>
        <v>NFR-SEC ネットワーク・境界制御</v>
      </c>
      <c r="C136" s="60" t="str">
        <f>進捗一覧!E138</f>
        <v>鍵情報の公開窓口をどこまで守るか</v>
      </c>
      <c r="D136" s="61" t="str">
        <f>進捗一覧!D138</f>
        <v>確定</v>
      </c>
      <c r="E136" s="59" t="s">
        <v>1508</v>
      </c>
      <c r="F136" s="61" t="s">
        <v>1485</v>
      </c>
      <c r="G136" s="61" t="s">
        <v>1443</v>
      </c>
      <c r="H136" s="69" t="s">
        <v>1509</v>
      </c>
    </row>
    <row r="137" spans="1:8" ht="16">
      <c r="A137" s="58" t="str">
        <f>進捗一覧!J139</f>
        <v>NFR-SEC-019</v>
      </c>
      <c r="B137" s="59" t="str">
        <f>進捗一覧!I139</f>
        <v>NFR-SEC ネットワーク・境界制御</v>
      </c>
      <c r="C137" s="60" t="str">
        <f>進捗一覧!E139</f>
        <v>内部の部品同士の通信でも身元確認を必須にするか</v>
      </c>
      <c r="D137" s="61" t="str">
        <f>進捗一覧!D139</f>
        <v>確定</v>
      </c>
      <c r="E137" s="59" t="s">
        <v>1511</v>
      </c>
      <c r="F137" s="61" t="s">
        <v>1475</v>
      </c>
      <c r="G137" s="61" t="s">
        <v>1451</v>
      </c>
      <c r="H137" s="69" t="s">
        <v>1512</v>
      </c>
    </row>
    <row r="138" spans="1:8" ht="16">
      <c r="A138" s="58" t="str">
        <f>進捗一覧!J140</f>
        <v>NFR-DR-001</v>
      </c>
      <c r="B138" s="59" t="str">
        <f>進捗一覧!I140</f>
        <v>NFR-DR 災害復旧</v>
      </c>
      <c r="C138" s="60" t="str">
        <f>進捗一覧!E140</f>
        <v>大きな障害からどれだけの時間で復旧させるか。最重要の確認事項</v>
      </c>
      <c r="D138" s="61" t="str">
        <f>進捗一覧!D140</f>
        <v>外部待ち</v>
      </c>
      <c r="E138" s="59" t="s">
        <v>1533</v>
      </c>
      <c r="F138" s="61" t="s">
        <v>1522</v>
      </c>
      <c r="G138" s="61" t="s">
        <v>1451</v>
      </c>
      <c r="H138" s="69" t="s">
        <v>1534</v>
      </c>
    </row>
    <row r="139" spans="1:8" ht="16">
      <c r="A139" s="58" t="str">
        <f>進捗一覧!J141</f>
        <v>NFR-DR-002</v>
      </c>
      <c r="B139" s="59" t="str">
        <f>進捗一覧!I141</f>
        <v>NFR-DR 災害復旧</v>
      </c>
      <c r="C139" s="60" t="str">
        <f>進捗一覧!E141</f>
        <v>障害時にどこまでのデータ喪失を許容するか。最重要の確認事項</v>
      </c>
      <c r="D139" s="61" t="str">
        <f>進捗一覧!D141</f>
        <v>外部待ち</v>
      </c>
      <c r="E139" s="59" t="s">
        <v>1535</v>
      </c>
      <c r="F139" s="61" t="s">
        <v>1522</v>
      </c>
      <c r="G139" s="61" t="s">
        <v>1443</v>
      </c>
      <c r="H139" s="69" t="s">
        <v>1536</v>
      </c>
    </row>
    <row r="140" spans="1:8" ht="16">
      <c r="A140" s="58" t="str">
        <f>進捗一覧!J142</f>
        <v>NFR-DR-003</v>
      </c>
      <c r="B140" s="59" t="str">
        <f>進捗一覧!I142</f>
        <v>NFR-DR 災害復旧</v>
      </c>
      <c r="C140" s="60" t="str">
        <f>進捗一覧!E142</f>
        <v>予備側への切替を自動で行うか、人の判断で行うか</v>
      </c>
      <c r="D140" s="61" t="str">
        <f>進捗一覧!D142</f>
        <v>外部待ち</v>
      </c>
      <c r="E140" s="59" t="s">
        <v>1537</v>
      </c>
      <c r="F140" s="61" t="s">
        <v>1522</v>
      </c>
      <c r="G140" s="61" t="s">
        <v>1451</v>
      </c>
      <c r="H140" s="69" t="s">
        <v>1538</v>
      </c>
    </row>
    <row r="141" spans="1:8" ht="16">
      <c r="A141" s="58" t="str">
        <f>進捗一覧!J143</f>
        <v>NFR-DR-004</v>
      </c>
      <c r="B141" s="59" t="str">
        <f>進捗一覧!I143</f>
        <v>NFR-DR 災害復旧</v>
      </c>
      <c r="C141" s="60" t="str">
        <f>進捗一覧!E143</f>
        <v>バックアップを何日分保持するか</v>
      </c>
      <c r="D141" s="61" t="str">
        <f>進捗一覧!D143</f>
        <v>方向性確定（条件付き）</v>
      </c>
      <c r="E141" s="59" t="s">
        <v>1539</v>
      </c>
      <c r="F141" s="61" t="s">
        <v>1522</v>
      </c>
      <c r="G141" s="61" t="s">
        <v>1443</v>
      </c>
      <c r="H141" s="69" t="s">
        <v>1540</v>
      </c>
    </row>
    <row r="142" spans="1:8" ht="16">
      <c r="A142" s="58" t="str">
        <f>進捗一覧!J144</f>
        <v>NFR-DR-005</v>
      </c>
      <c r="B142" s="59" t="str">
        <f>進捗一覧!I144</f>
        <v>NFR-DR 災害復旧</v>
      </c>
      <c r="C142" s="60" t="str">
        <f>進捗一覧!E144</f>
        <v>任意の時点まで巻き戻せる仕組みを用意するか。遡れる範囲を何日にするか</v>
      </c>
      <c r="D142" s="61" t="str">
        <f>進捗一覧!D144</f>
        <v>方向性確定（条件付き）</v>
      </c>
      <c r="E142" s="59" t="s">
        <v>1541</v>
      </c>
      <c r="F142" s="61" t="s">
        <v>1522</v>
      </c>
      <c r="G142" s="61" t="s">
        <v>1451</v>
      </c>
      <c r="H142" s="69" t="s">
        <v>1542</v>
      </c>
    </row>
    <row r="143" spans="1:8" ht="16">
      <c r="A143" s="58" t="str">
        <f>進捗一覧!J145</f>
        <v>NFR-DR-006</v>
      </c>
      <c r="B143" s="59" t="str">
        <f>進捗一覧!I145</f>
        <v>NFR-DR 災害復旧</v>
      </c>
      <c r="C143" s="60" t="str">
        <f>進捗一覧!E145</f>
        <v>バックアップを別の地域にも複製するか</v>
      </c>
      <c r="D143" s="61" t="str">
        <f>進捗一覧!D145</f>
        <v>方向性確定（条件付き）</v>
      </c>
      <c r="E143" s="59" t="s">
        <v>1539</v>
      </c>
      <c r="F143" s="61" t="s">
        <v>1522</v>
      </c>
      <c r="G143" s="61" t="s">
        <v>1451</v>
      </c>
      <c r="H143" s="69" t="s">
        <v>1543</v>
      </c>
    </row>
    <row r="144" spans="1:8" ht="16">
      <c r="A144" s="58" t="str">
        <f>進捗一覧!J146</f>
        <v>NFR-DR-007</v>
      </c>
      <c r="B144" s="59" t="str">
        <f>進捗一覧!I146</f>
        <v>NFR-DR 災害復旧</v>
      </c>
      <c r="C144" s="60" t="str">
        <f>進捗一覧!E146</f>
        <v>復旧手順の訓練をどの頻度で行うか。誰が参加するか</v>
      </c>
      <c r="D144" s="61" t="str">
        <f>進捗一覧!D146</f>
        <v>外部待ち</v>
      </c>
      <c r="E144" s="59" t="s">
        <v>1544</v>
      </c>
      <c r="F144" s="61" t="s">
        <v>1522</v>
      </c>
      <c r="G144" s="61" t="s">
        <v>1451</v>
      </c>
      <c r="H144" s="69" t="s">
        <v>1545</v>
      </c>
    </row>
    <row r="145" spans="1:8" ht="16">
      <c r="A145" s="58" t="str">
        <f>進捗一覧!J147</f>
        <v>NFR-DR-008</v>
      </c>
      <c r="B145" s="59" t="str">
        <f>進捗一覧!I147</f>
        <v>NFR-DR 災害復旧</v>
      </c>
      <c r="C145" s="60" t="str">
        <f>進捗一覧!E147</f>
        <v>切替時にログイン状態を維持するか、利用者に再ログインを求めるか</v>
      </c>
      <c r="D145" s="61" t="str">
        <f>進捗一覧!D147</f>
        <v>方向性確定（条件付き）</v>
      </c>
      <c r="E145" s="59" t="s">
        <v>1546</v>
      </c>
      <c r="F145" s="61" t="s">
        <v>1522</v>
      </c>
      <c r="G145" s="61" t="s">
        <v>1451</v>
      </c>
      <c r="H145" s="69" t="s">
        <v>1547</v>
      </c>
    </row>
    <row r="146" spans="1:8" ht="16">
      <c r="A146" s="58" t="str">
        <f>進捗一覧!J148</f>
        <v>NFR-OPS-001</v>
      </c>
      <c r="B146" s="59" t="str">
        <f>進捗一覧!I148</f>
        <v>NFR-OPS 監視・ロギング</v>
      </c>
      <c r="C146" s="60" t="str">
        <f>進捗一覧!E148</f>
        <v>何を監視項目とし、どの値を異常とみなすか</v>
      </c>
      <c r="D146" s="61" t="str">
        <f>進捗一覧!D148</f>
        <v>方向性確定（条件付き）</v>
      </c>
      <c r="E146" s="59" t="s">
        <v>1608</v>
      </c>
      <c r="F146" s="61" t="s">
        <v>1548</v>
      </c>
      <c r="G146" s="61" t="s">
        <v>1451</v>
      </c>
      <c r="H146" s="69" t="s">
        <v>1609</v>
      </c>
    </row>
    <row r="147" spans="1:8" ht="16">
      <c r="A147" s="58" t="str">
        <f>進捗一覧!J149</f>
        <v>NFR-OPS-002</v>
      </c>
      <c r="B147" s="59" t="str">
        <f>進捗一覧!I149</f>
        <v>NFR-OPS 監視・ロギング</v>
      </c>
      <c r="C147" s="60" t="str">
        <f>進捗一覧!E149</f>
        <v>誰にどの経路で通知するか。夜間・休日の対応をどうするか</v>
      </c>
      <c r="D147" s="61" t="str">
        <f>進捗一覧!D149</f>
        <v>方向性確定（条件付き）</v>
      </c>
      <c r="E147" s="59" t="s">
        <v>1610</v>
      </c>
      <c r="F147" s="61" t="s">
        <v>1603</v>
      </c>
      <c r="G147" s="61" t="s">
        <v>1451</v>
      </c>
      <c r="H147" s="69" t="s">
        <v>1611</v>
      </c>
    </row>
    <row r="148" spans="1:8" ht="16">
      <c r="A148" s="58" t="str">
        <f>進捗一覧!J150</f>
        <v>NFR-OPS-003</v>
      </c>
      <c r="B148" s="59" t="str">
        <f>進捗一覧!I150</f>
        <v>NFR-OPS 監視・ロギング</v>
      </c>
      <c r="C148" s="60" t="str">
        <f>進捗一覧!E150</f>
        <v>各種ログを何日保存するか</v>
      </c>
      <c r="D148" s="61" t="str">
        <f>進捗一覧!D150</f>
        <v>外部待ち</v>
      </c>
      <c r="E148" s="59" t="s">
        <v>1494</v>
      </c>
      <c r="F148" s="61" t="s">
        <v>1495</v>
      </c>
      <c r="G148" s="61" t="s">
        <v>1451</v>
      </c>
      <c r="H148" s="69" t="s">
        <v>1496</v>
      </c>
    </row>
    <row r="149" spans="1:8" ht="16">
      <c r="A149" s="58" t="str">
        <f>進捗一覧!J151</f>
        <v>NFR-OPS-004</v>
      </c>
      <c r="B149" s="59" t="str">
        <f>進捗一覧!I151</f>
        <v>NFR-OPS 監視・ロギング</v>
      </c>
      <c r="C149" s="60" t="str">
        <f>進捗一覧!E151</f>
        <v>障害時にログをどれだけ速く探せる状態にしておくか</v>
      </c>
      <c r="D149" s="61" t="str">
        <f>進捗一覧!D151</f>
        <v>方向性確定（条件付き）</v>
      </c>
      <c r="E149" s="59" t="s">
        <v>1494</v>
      </c>
      <c r="F149" s="61" t="s">
        <v>1495</v>
      </c>
      <c r="G149" s="61" t="s">
        <v>1443</v>
      </c>
      <c r="H149" s="69" t="s">
        <v>1497</v>
      </c>
    </row>
    <row r="150" spans="1:8" ht="16">
      <c r="A150" s="58" t="str">
        <f>進捗一覧!J152</f>
        <v>NFR-OPS-005</v>
      </c>
      <c r="B150" s="59" t="str">
        <f>進捗一覧!I152</f>
        <v>NFR-OPS デプロイ・パッチ</v>
      </c>
      <c r="C150" s="60" t="str">
        <f>進捗一覧!E152</f>
        <v>製品の更新をどの頻度・どの手順で当てるか</v>
      </c>
      <c r="D150" s="61" t="str">
        <f>進捗一覧!D152</f>
        <v>外部待ち</v>
      </c>
      <c r="E150" s="59" t="s">
        <v>1612</v>
      </c>
      <c r="F150" s="61" t="s">
        <v>1613</v>
      </c>
      <c r="G150" s="61" t="s">
        <v>1451</v>
      </c>
      <c r="H150" s="69" t="s">
        <v>1614</v>
      </c>
    </row>
    <row r="151" spans="1:8" ht="16">
      <c r="A151" s="58" t="str">
        <f>進捗一覧!J153</f>
        <v>NFR-OPS-006</v>
      </c>
      <c r="B151" s="59" t="str">
        <f>進捗一覧!I153</f>
        <v>NFR-OPS デプロイ・パッチ</v>
      </c>
      <c r="C151" s="60" t="str">
        <f>進捗一覧!E153</f>
        <v>脆弱性が公表されたとき、何日以内に対処するか</v>
      </c>
      <c r="D151" s="61" t="str">
        <f>進捗一覧!D153</f>
        <v>方向性確定（条件付き）</v>
      </c>
      <c r="E151" s="59" t="s">
        <v>1615</v>
      </c>
      <c r="F151" s="61" t="s">
        <v>1603</v>
      </c>
      <c r="G151" s="61" t="s">
        <v>1451</v>
      </c>
      <c r="H151" s="69" t="s">
        <v>1616</v>
      </c>
    </row>
    <row r="152" spans="1:8" ht="16">
      <c r="A152" s="58" t="str">
        <f>進捗一覧!J154</f>
        <v>NFR-OPS-007</v>
      </c>
      <c r="B152" s="59" t="str">
        <f>進捗一覧!I154</f>
        <v>NFR-OPS デプロイ・パッチ</v>
      </c>
      <c r="C152" s="60" t="str">
        <f>進捗一覧!E154</f>
        <v>設定変更の申請・承認・適用の流れを誰がどう回すか</v>
      </c>
      <c r="D152" s="61" t="str">
        <f>進捗一覧!D154</f>
        <v>方向性確定（条件付き）</v>
      </c>
      <c r="E152" s="59" t="s">
        <v>1617</v>
      </c>
      <c r="F152" s="61" t="s">
        <v>1603</v>
      </c>
      <c r="G152" s="61" t="s">
        <v>1451</v>
      </c>
      <c r="H152" s="69" t="s">
        <v>1618</v>
      </c>
    </row>
    <row r="153" spans="1:8" ht="16">
      <c r="A153" s="58" t="str">
        <f>進捗一覧!J155</f>
        <v>NFR-OPS-010</v>
      </c>
      <c r="B153" s="59" t="str">
        <f>進捗一覧!I155</f>
        <v>NFR-OPS デプロイ・パッチ</v>
      </c>
      <c r="C153" s="60" t="str">
        <f>進捗一覧!E155</f>
        <v>更新作業の自動化をどこまで行うか</v>
      </c>
      <c r="D153" s="61" t="str">
        <f>進捗一覧!D155</f>
        <v>方向性確定（条件付き）</v>
      </c>
      <c r="E153" s="59" t="s">
        <v>1619</v>
      </c>
      <c r="F153" s="61" t="s">
        <v>1603</v>
      </c>
      <c r="G153" s="61" t="s">
        <v>1451</v>
      </c>
      <c r="H153" s="69" t="s">
        <v>1620</v>
      </c>
    </row>
    <row r="154" spans="1:8" ht="16">
      <c r="A154" s="58" t="str">
        <f>進捗一覧!J156</f>
        <v>NFR-OPS-008</v>
      </c>
      <c r="B154" s="59" t="str">
        <f>進捗一覧!I156</f>
        <v>NFR-OPS 体制・運用SLA</v>
      </c>
      <c r="C154" s="60" t="str">
        <f>進捗一覧!E156</f>
        <v>障害時の連絡体制と役割分担をどう組むか</v>
      </c>
      <c r="D154" s="61" t="str">
        <f>進捗一覧!D156</f>
        <v>外部待ち</v>
      </c>
      <c r="E154" s="59" t="s">
        <v>1621</v>
      </c>
      <c r="F154" s="61" t="s">
        <v>1603</v>
      </c>
      <c r="G154" s="61" t="s">
        <v>1443</v>
      </c>
      <c r="H154" s="69" t="s">
        <v>1622</v>
      </c>
    </row>
    <row r="155" spans="1:8" ht="16">
      <c r="A155" s="58" t="str">
        <f>進捗一覧!J157</f>
        <v>NFR-OPS-009</v>
      </c>
      <c r="B155" s="59" t="str">
        <f>進捗一覧!I157</f>
        <v>NFR-OPS 体制・運用SLA</v>
      </c>
      <c r="C155" s="60" t="str">
        <f>進捗一覧!E157</f>
        <v>運用に何人月かかる前提とするか。誰が担当するか</v>
      </c>
      <c r="D155" s="61" t="str">
        <f>進捗一覧!D157</f>
        <v>方向性確定（条件付き）</v>
      </c>
      <c r="E155" s="59" t="s">
        <v>1804</v>
      </c>
      <c r="F155" s="61" t="s">
        <v>1805</v>
      </c>
      <c r="G155" s="61" t="s">
        <v>1451</v>
      </c>
      <c r="H155" s="69" t="s">
        <v>1806</v>
      </c>
    </row>
    <row r="156" spans="1:8" ht="16">
      <c r="A156" s="58" t="str">
        <f>進捗一覧!J158</f>
        <v>NFR-OPS-011</v>
      </c>
      <c r="B156" s="59" t="str">
        <f>進捗一覧!I158</f>
        <v>NFR-OPS 体制・運用SLA</v>
      </c>
      <c r="C156" s="60" t="str">
        <f>進捗一覧!E158</f>
        <v>顧客追加の作業を何営業日で完了させると約束するか</v>
      </c>
      <c r="D156" s="61" t="str">
        <f>進捗一覧!D158</f>
        <v>外部待ち</v>
      </c>
      <c r="E156" s="59" t="s">
        <v>1623</v>
      </c>
      <c r="F156" s="61" t="s">
        <v>1603</v>
      </c>
      <c r="G156" s="61" t="s">
        <v>1451</v>
      </c>
      <c r="H156" s="69" t="s">
        <v>1624</v>
      </c>
    </row>
    <row r="157" spans="1:8" ht="16">
      <c r="A157" s="58" t="str">
        <f>進捗一覧!J159</f>
        <v>NFR-COMP-001</v>
      </c>
      <c r="B157" s="59" t="str">
        <f>進捗一覧!I159</f>
        <v>NFR-COMP 規制・法令対応</v>
      </c>
      <c r="C157" s="60" t="str">
        <f>進捗一覧!E159</f>
        <v>日本の個人情報保護法への対応範囲をどこまでにするか</v>
      </c>
      <c r="D157" s="61" t="str">
        <f>進捗一覧!D159</f>
        <v>方向性確定（条件付き）</v>
      </c>
      <c r="E157" s="59" t="s">
        <v>1860</v>
      </c>
      <c r="F157" s="61" t="s">
        <v>1478</v>
      </c>
      <c r="G157" s="61" t="s">
        <v>1451</v>
      </c>
      <c r="H157" s="69" t="s">
        <v>1861</v>
      </c>
    </row>
    <row r="158" spans="1:8" ht="16">
      <c r="A158" s="58" t="str">
        <f>進捗一覧!J160</f>
        <v>NFR-COMP-002</v>
      </c>
      <c r="B158" s="59" t="str">
        <f>進捗一覧!I160</f>
        <v>NFR-COMP 規制・法令対応</v>
      </c>
      <c r="C158" s="60" t="str">
        <f>進捗一覧!E160</f>
        <v>海外展開に伴う規制対応が必要か。対象となる地域はどこか</v>
      </c>
      <c r="D158" s="61" t="str">
        <f>進捗一覧!D160</f>
        <v>外部待ち</v>
      </c>
      <c r="E158" s="59" t="s">
        <v>1807</v>
      </c>
      <c r="F158" s="61" t="s">
        <v>1805</v>
      </c>
      <c r="G158" s="61" t="s">
        <v>1458</v>
      </c>
      <c r="H158" s="69" t="s">
        <v>1808</v>
      </c>
    </row>
    <row r="159" spans="1:8" ht="16">
      <c r="A159" s="58" t="str">
        <f>進捗一覧!J161</f>
        <v>NFR-COMP-008</v>
      </c>
      <c r="B159" s="59" t="str">
        <f>進捗一覧!I161</f>
        <v>NFR-COMP 規制・法令対応</v>
      </c>
      <c r="C159" s="60" t="str">
        <f>進捗一覧!E161</f>
        <v>データを日本国内に限定する必要があるか。最重要の確認事項</v>
      </c>
      <c r="D159" s="61" t="str">
        <f>進捗一覧!D161</f>
        <v>外部待ち</v>
      </c>
      <c r="E159" s="59" t="s">
        <v>1862</v>
      </c>
      <c r="F159" s="61" t="s">
        <v>1475</v>
      </c>
      <c r="G159" s="61" t="s">
        <v>1443</v>
      </c>
      <c r="H159" s="69" t="s">
        <v>1863</v>
      </c>
    </row>
    <row r="160" spans="1:8" ht="16">
      <c r="A160" s="58" t="str">
        <f>進捗一覧!J162</f>
        <v>NFR-COMP-003</v>
      </c>
      <c r="B160" s="59" t="str">
        <f>進捗一覧!I162</f>
        <v>NFR-COMP 業界認定・監査</v>
      </c>
      <c r="C160" s="60" t="str">
        <f>進捗一覧!E162</f>
        <v>第三者による内部統制の証明が必要か</v>
      </c>
      <c r="D160" s="61" t="str">
        <f>進捗一覧!D162</f>
        <v>外部待ち</v>
      </c>
      <c r="E160" s="59" t="s">
        <v>1807</v>
      </c>
      <c r="F160" s="61" t="s">
        <v>1805</v>
      </c>
      <c r="G160" s="61" t="s">
        <v>1458</v>
      </c>
      <c r="H160" s="69" t="s">
        <v>1809</v>
      </c>
    </row>
    <row r="161" spans="1:8" ht="16">
      <c r="A161" s="58" t="str">
        <f>進捗一覧!J163</f>
        <v>NFR-COMP-004</v>
      </c>
      <c r="B161" s="59" t="str">
        <f>進捗一覧!I163</f>
        <v>NFR-COMP 業界認定・監査</v>
      </c>
      <c r="C161" s="60" t="str">
        <f>進捗一覧!E163</f>
        <v>情報セキュリティの認証取得が必要か</v>
      </c>
      <c r="D161" s="61" t="str">
        <f>進捗一覧!D163</f>
        <v>外部待ち</v>
      </c>
      <c r="E161" s="59" t="s">
        <v>1807</v>
      </c>
      <c r="F161" s="61" t="s">
        <v>1805</v>
      </c>
      <c r="G161" s="61" t="s">
        <v>1458</v>
      </c>
      <c r="H161" s="69" t="s">
        <v>1810</v>
      </c>
    </row>
    <row r="162" spans="1:8" ht="16">
      <c r="A162" s="58" t="str">
        <f>進捗一覧!J164</f>
        <v>NFR-COMP-005</v>
      </c>
      <c r="B162" s="59" t="str">
        <f>進捗一覧!I164</f>
        <v>NFR-COMP 業界認定・監査</v>
      </c>
      <c r="C162" s="60" t="str">
        <f>進捗一覧!E164</f>
        <v>クレジットカード関連の規格対応が必要か</v>
      </c>
      <c r="D162" s="61" t="str">
        <f>進捗一覧!D164</f>
        <v>外部待ち</v>
      </c>
      <c r="E162" s="59" t="s">
        <v>1811</v>
      </c>
      <c r="F162" s="61" t="s">
        <v>1805</v>
      </c>
      <c r="G162" s="61" t="s">
        <v>1458</v>
      </c>
      <c r="H162" s="69" t="s">
        <v>1812</v>
      </c>
    </row>
    <row r="163" spans="1:8" ht="16">
      <c r="A163" s="58" t="str">
        <f>進捗一覧!J165</f>
        <v>NFR-COMP-006</v>
      </c>
      <c r="B163" s="59" t="str">
        <f>進捗一覧!I165</f>
        <v>NFR-COMP 業界認定・監査</v>
      </c>
      <c r="C163" s="60" t="str">
        <f>進捗一覧!E165</f>
        <v>米国政府が認定した暗号方式が必要か。最重要の確認事項</v>
      </c>
      <c r="D163" s="61" t="str">
        <f>進捗一覧!D165</f>
        <v>外部待ち</v>
      </c>
      <c r="E163" s="59" t="s">
        <v>1445</v>
      </c>
      <c r="F163" s="61" t="s">
        <v>1475</v>
      </c>
      <c r="G163" s="61" t="s">
        <v>1458</v>
      </c>
      <c r="H163" s="69" t="s">
        <v>1510</v>
      </c>
    </row>
    <row r="164" spans="1:8" ht="16">
      <c r="A164" s="58" t="str">
        <f>進捗一覧!J166</f>
        <v>NFR-COMP-007</v>
      </c>
      <c r="B164" s="59" t="str">
        <f>進捗一覧!I166</f>
        <v>NFR-COMP 業界認定・監査</v>
      </c>
      <c r="C164" s="60" t="str">
        <f>進捗一覧!E166</f>
        <v>法令上、操作記録を何年保存する必要があるか</v>
      </c>
      <c r="D164" s="61" t="str">
        <f>進捗一覧!D166</f>
        <v>外部待ち</v>
      </c>
      <c r="E164" s="59" t="s">
        <v>1499</v>
      </c>
      <c r="F164" s="61" t="s">
        <v>1495</v>
      </c>
      <c r="G164" s="61" t="s">
        <v>1451</v>
      </c>
      <c r="H164" s="69" t="s">
        <v>1500</v>
      </c>
    </row>
    <row r="165" spans="1:8" ht="16">
      <c r="A165" s="58" t="str">
        <f>進捗一覧!J167</f>
        <v>NFR-COMP-010</v>
      </c>
      <c r="B165" s="59" t="str">
        <f>進捗一覧!I167</f>
        <v>NFR-COMP 業界認定・監査</v>
      </c>
      <c r="C165" s="60" t="str">
        <f>進捗一覧!E167</f>
        <v>誰がいつ何を見たかを後から追える状態を、どこまで作るか</v>
      </c>
      <c r="D165" s="61" t="str">
        <f>進捗一覧!D167</f>
        <v>方向性確定（条件付き）</v>
      </c>
      <c r="E165" s="59" t="s">
        <v>1864</v>
      </c>
      <c r="F165" s="61" t="s">
        <v>1495</v>
      </c>
      <c r="G165" s="61" t="s">
        <v>1451</v>
      </c>
      <c r="H165" s="69" t="s">
        <v>1865</v>
      </c>
    </row>
    <row r="166" spans="1:8" ht="16">
      <c r="A166" s="58" t="str">
        <f>進捗一覧!J168</f>
        <v>NFR-COMP-009</v>
      </c>
      <c r="B166" s="59" t="str">
        <f>進捗一覧!I168</f>
        <v>NFR-COMP データガバナンス</v>
      </c>
      <c r="C166" s="60" t="str">
        <f>進捗一覧!E168</f>
        <v>利用者からの削除要求に、どの手順・何日以内で応じるか</v>
      </c>
      <c r="D166" s="61" t="str">
        <f>進捗一覧!D168</f>
        <v>方向性確定（条件付き）</v>
      </c>
      <c r="E166" s="59" t="s">
        <v>1866</v>
      </c>
      <c r="F166" s="61" t="s">
        <v>1642</v>
      </c>
      <c r="G166" s="61" t="s">
        <v>1451</v>
      </c>
      <c r="H166" s="69" t="s">
        <v>1867</v>
      </c>
    </row>
    <row r="167" spans="1:8" ht="16">
      <c r="A167" s="58" t="str">
        <f>進捗一覧!J169</f>
        <v>NFR-COMP-011</v>
      </c>
      <c r="B167" s="59" t="str">
        <f>進捗一覧!I169</f>
        <v>NFR-COMP データガバナンス</v>
      </c>
      <c r="C167" s="60" t="str">
        <f>進捗一覧!E169</f>
        <v>暗号鍵をどの頻度で入れ替えるか</v>
      </c>
      <c r="D167" s="61" t="str">
        <f>進捗一覧!D169</f>
        <v>方向性確定（条件付き）</v>
      </c>
      <c r="E167" s="59" t="s">
        <v>1421</v>
      </c>
      <c r="F167" s="61" t="s">
        <v>1422</v>
      </c>
      <c r="G167" s="61" t="s">
        <v>1325</v>
      </c>
      <c r="H167" s="69" t="s">
        <v>1423</v>
      </c>
    </row>
    <row r="168" spans="1:8" ht="16">
      <c r="A168" s="58" t="str">
        <f>進捗一覧!J170</f>
        <v>NFR-COST-001</v>
      </c>
      <c r="B168" s="59" t="str">
        <f>進捗一覧!I170</f>
        <v>NFR-COST コスト</v>
      </c>
      <c r="C168" s="60" t="str">
        <f>進捗一覧!E170</f>
        <v>初期構築にいくらかけるか。予算枠をどこに置くか</v>
      </c>
      <c r="D168" s="61" t="str">
        <f>進捗一覧!D170</f>
        <v>確定</v>
      </c>
      <c r="E168" s="59" t="s">
        <v>1813</v>
      </c>
      <c r="F168" s="61" t="s">
        <v>1805</v>
      </c>
      <c r="G168" s="61" t="s">
        <v>1458</v>
      </c>
      <c r="H168" s="69" t="s">
        <v>1814</v>
      </c>
    </row>
    <row r="169" spans="1:8" ht="16">
      <c r="A169" s="58" t="str">
        <f>進捗一覧!J171</f>
        <v>NFR-COST-002</v>
      </c>
      <c r="B169" s="59" t="str">
        <f>進捗一覧!I171</f>
        <v>NFR-COST コスト</v>
      </c>
      <c r="C169" s="60" t="str">
        <f>進捗一覧!E171</f>
        <v>毎月の設備費をいくらまでとするか</v>
      </c>
      <c r="D169" s="61" t="str">
        <f>進捗一覧!D171</f>
        <v>確定</v>
      </c>
      <c r="E169" s="59" t="s">
        <v>1588</v>
      </c>
      <c r="F169" s="61" t="s">
        <v>1561</v>
      </c>
      <c r="G169" s="61" t="s">
        <v>1443</v>
      </c>
      <c r="H169" s="69" t="s">
        <v>1589</v>
      </c>
    </row>
    <row r="170" spans="1:8" ht="16">
      <c r="A170" s="58" t="str">
        <f>進捗一覧!J172</f>
        <v>NFR-COST-003</v>
      </c>
      <c r="B170" s="59" t="str">
        <f>進捗一覧!I172</f>
        <v>NFR-COST コスト</v>
      </c>
      <c r="C170" s="60" t="str">
        <f>進捗一覧!E172</f>
        <v>利用者1人あたりの単価をいくらと見るか</v>
      </c>
      <c r="D170" s="61" t="str">
        <f>進捗一覧!D172</f>
        <v>確定</v>
      </c>
      <c r="E170" s="59" t="s">
        <v>1813</v>
      </c>
      <c r="F170" s="61" t="s">
        <v>1805</v>
      </c>
      <c r="G170" s="61" t="s">
        <v>1458</v>
      </c>
      <c r="H170" s="69" t="s">
        <v>1815</v>
      </c>
    </row>
    <row r="171" spans="1:8" ht="16">
      <c r="A171" s="58" t="str">
        <f>進捗一覧!J173</f>
        <v>NFR-COST-003-PLUS</v>
      </c>
      <c r="B171" s="59" t="str">
        <f>進捗一覧!I173</f>
        <v>NFR-COST コスト</v>
      </c>
      <c r="C171" s="60" t="str">
        <f>進捗一覧!E173</f>
        <v>上位プランを使う場合の追加費用をどう見るか</v>
      </c>
      <c r="D171" s="61" t="str">
        <f>進捗一覧!D173</f>
        <v>方向性確定（条件付き）</v>
      </c>
      <c r="E171" s="59" t="s">
        <v>1813</v>
      </c>
      <c r="F171" s="61" t="s">
        <v>1805</v>
      </c>
      <c r="G171" s="61" t="s">
        <v>1458</v>
      </c>
      <c r="H171" s="69" t="s">
        <v>1815</v>
      </c>
    </row>
    <row r="172" spans="1:8" ht="16">
      <c r="A172" s="58" t="str">
        <f>進捗一覧!J174</f>
        <v>NFR-COST-004</v>
      </c>
      <c r="B172" s="59" t="str">
        <f>進捗一覧!I174</f>
        <v>NFR-COST コスト</v>
      </c>
      <c r="C172" s="60" t="str">
        <f>進捗一覧!E174</f>
        <v>災害対策のために毎月いくら追加でかけるか</v>
      </c>
      <c r="D172" s="61" t="str">
        <f>進捗一覧!D174</f>
        <v>確定</v>
      </c>
      <c r="E172" s="59" t="s">
        <v>1549</v>
      </c>
      <c r="F172" s="61" t="s">
        <v>1550</v>
      </c>
      <c r="G172" s="61" t="s">
        <v>1443</v>
      </c>
      <c r="H172" s="69" t="s">
        <v>1551</v>
      </c>
    </row>
    <row r="173" spans="1:8" ht="16">
      <c r="A173" s="58" t="str">
        <f>進捗一覧!J175</f>
        <v>NFR-COST-005</v>
      </c>
      <c r="B173" s="59" t="str">
        <f>進捗一覧!I175</f>
        <v>NFR-COST コスト</v>
      </c>
      <c r="C173" s="60" t="str">
        <f>進捗一覧!E175</f>
        <v>運用担当の人件費をいくらと見込むか</v>
      </c>
      <c r="D173" s="61" t="str">
        <f>進捗一覧!D175</f>
        <v>方向性確定（条件付き）</v>
      </c>
      <c r="E173" s="59" t="s">
        <v>1804</v>
      </c>
      <c r="F173" s="61" t="s">
        <v>1805</v>
      </c>
      <c r="G173" s="61" t="s">
        <v>1451</v>
      </c>
      <c r="H173" s="69" t="s">
        <v>1816</v>
      </c>
    </row>
    <row r="174" spans="1:8" ht="16">
      <c r="A174" s="58" t="str">
        <f>進捗一覧!J176</f>
        <v>NFR-COST-006</v>
      </c>
      <c r="B174" s="59" t="str">
        <f>進捗一覧!I176</f>
        <v>NFR-COST コスト</v>
      </c>
      <c r="C174" s="60" t="str">
        <f>進捗一覧!E176</f>
        <v>製品サポート契約の費用をどう扱うか</v>
      </c>
      <c r="D174" s="61" t="str">
        <f>進捗一覧!D176</f>
        <v>外部待ち</v>
      </c>
      <c r="E174" s="59" t="s">
        <v>1590</v>
      </c>
      <c r="F174" s="61" t="s">
        <v>1561</v>
      </c>
      <c r="G174" s="61" t="s">
        <v>1451</v>
      </c>
      <c r="H174" s="69" t="s">
        <v>1591</v>
      </c>
    </row>
    <row r="175" spans="1:8" ht="16">
      <c r="A175" s="58" t="str">
        <f>進捗一覧!J177</f>
        <v>NFR-COST-007</v>
      </c>
      <c r="B175" s="59" t="str">
        <f>進捗一覧!I177</f>
        <v>NFR-COST コスト</v>
      </c>
      <c r="C175" s="60" t="str">
        <f>進捗一覧!E177</f>
        <v>何人以上の規模なら自前で構築するほうが有利になるか</v>
      </c>
      <c r="D175" s="61" t="str">
        <f>進捗一覧!D177</f>
        <v>確定</v>
      </c>
      <c r="E175" s="59" t="s">
        <v>1813</v>
      </c>
      <c r="F175" s="61" t="s">
        <v>1805</v>
      </c>
      <c r="G175" s="61" t="s">
        <v>1458</v>
      </c>
      <c r="H175" s="69" t="s">
        <v>1815</v>
      </c>
    </row>
    <row r="176" spans="1:8" ht="16">
      <c r="A176" s="58" t="str">
        <f>進捗一覧!J178</f>
        <v>NFR-COST-007-PLUS</v>
      </c>
      <c r="B176" s="59" t="str">
        <f>進捗一覧!I178</f>
        <v>NFR-COST コスト</v>
      </c>
      <c r="C176" s="60" t="str">
        <f>進捗一覧!E178</f>
        <v>上位プランと比べた場合、有利になる規模の境目をどこに置くか</v>
      </c>
      <c r="D176" s="61" t="str">
        <f>進捗一覧!D178</f>
        <v>確定</v>
      </c>
      <c r="E176" s="59" t="s">
        <v>1813</v>
      </c>
      <c r="F176" s="61" t="s">
        <v>1805</v>
      </c>
      <c r="G176" s="61" t="s">
        <v>1458</v>
      </c>
      <c r="H176" s="69" t="s">
        <v>1815</v>
      </c>
    </row>
    <row r="177" spans="1:8" ht="16">
      <c r="A177" s="58" t="str">
        <f>進捗一覧!J179</f>
        <v>NFR-COST-008</v>
      </c>
      <c r="B177" s="59" t="str">
        <f>進捗一覧!I179</f>
        <v>NFR-COST コスト</v>
      </c>
      <c r="C177" s="60" t="str">
        <f>進捗一覧!E179</f>
        <v>10万人規模で3年間の総額をいくらと見るか</v>
      </c>
      <c r="D177" s="61" t="str">
        <f>進捗一覧!D179</f>
        <v>確定</v>
      </c>
      <c r="E177" s="59" t="s">
        <v>1588</v>
      </c>
      <c r="F177" s="61" t="s">
        <v>1561</v>
      </c>
      <c r="G177" s="61" t="s">
        <v>1443</v>
      </c>
      <c r="H177" s="69" t="s">
        <v>1592</v>
      </c>
    </row>
    <row r="178" spans="1:8" ht="16">
      <c r="A178" s="58" t="str">
        <f>進捗一覧!J180</f>
        <v>NFR-COST-009</v>
      </c>
      <c r="B178" s="59" t="str">
        <f>進捗一覧!I180</f>
        <v>NFR-COST コスト</v>
      </c>
      <c r="C178" s="60" t="str">
        <f>進捗一覧!E180</f>
        <v>50万人規模で3年間の総額をいくらと見るか</v>
      </c>
      <c r="D178" s="61" t="str">
        <f>進捗一覧!D180</f>
        <v>確定</v>
      </c>
      <c r="E178" s="59" t="s">
        <v>1588</v>
      </c>
      <c r="F178" s="61" t="s">
        <v>1561</v>
      </c>
      <c r="G178" s="61" t="s">
        <v>1443</v>
      </c>
      <c r="H178" s="69" t="s">
        <v>1593</v>
      </c>
    </row>
    <row r="179" spans="1:8" ht="16">
      <c r="A179" s="58" t="str">
        <f>進捗一覧!J181</f>
        <v>NFR-MIG-001</v>
      </c>
      <c r="B179" s="59" t="str">
        <f>進捗一覧!I181</f>
        <v>NFR-MIG 移行性</v>
      </c>
      <c r="C179" s="60" t="str">
        <f>進捗一覧!E181</f>
        <v>今の認証システムから利用者情報をどう移すか。件数と期間をどう見るか</v>
      </c>
      <c r="D179" s="61" t="str">
        <f>進捗一覧!D181</f>
        <v>外部待ち</v>
      </c>
      <c r="E179" s="59" t="s">
        <v>1661</v>
      </c>
      <c r="F179" s="61" t="s">
        <v>1650</v>
      </c>
      <c r="G179" s="61" t="s">
        <v>1451</v>
      </c>
      <c r="H179" s="69" t="s">
        <v>1662</v>
      </c>
    </row>
    <row r="180" spans="1:8" ht="16">
      <c r="A180" s="58" t="str">
        <f>進捗一覧!J182</f>
        <v>NFR-MIG-002</v>
      </c>
      <c r="B180" s="59" t="str">
        <f>進捗一覧!I182</f>
        <v>NFR-MIG 移行性</v>
      </c>
      <c r="C180" s="60" t="str">
        <f>進捗一覧!E182</f>
        <v>パスワードを再設定させずに引き継げるか。無理な場合、利用者にどう案内するか</v>
      </c>
      <c r="D180" s="61" t="str">
        <f>進捗一覧!D182</f>
        <v>外部待ち</v>
      </c>
      <c r="E180" s="59" t="s">
        <v>1661</v>
      </c>
      <c r="F180" s="61" t="s">
        <v>1650</v>
      </c>
      <c r="G180" s="61" t="s">
        <v>1451</v>
      </c>
      <c r="H180" s="69" t="s">
        <v>1663</v>
      </c>
    </row>
    <row r="181" spans="1:8" ht="16">
      <c r="A181" s="58" t="str">
        <f>進捗一覧!J183</f>
        <v>NFR-MIG-003</v>
      </c>
      <c r="B181" s="59" t="str">
        <f>進捗一覧!I183</f>
        <v>NFR-MIG 移行性</v>
      </c>
      <c r="C181" s="60" t="str">
        <f>進捗一覧!E183</f>
        <v>将来ほかの製品に乗り換えられる状態を、どこまで保つか</v>
      </c>
      <c r="D181" s="61" t="str">
        <f>進捗一覧!D183</f>
        <v>確定</v>
      </c>
      <c r="E181" s="59" t="s">
        <v>1664</v>
      </c>
      <c r="F181" s="61" t="s">
        <v>1665</v>
      </c>
      <c r="G181" s="61" t="s">
        <v>1443</v>
      </c>
      <c r="H181" s="69" t="s">
        <v>1666</v>
      </c>
    </row>
    <row r="182" spans="1:8" ht="16">
      <c r="A182" s="58" t="str">
        <f>進捗一覧!J184</f>
        <v>NFR-MIG-004</v>
      </c>
      <c r="B182" s="59" t="str">
        <f>進捗一覧!I184</f>
        <v>NFR-MIG 移行性</v>
      </c>
      <c r="C182" s="60" t="str">
        <f>進捗一覧!E184</f>
        <v>自分たちのデータをいつでも取り出せる手段を用意するか</v>
      </c>
      <c r="D182" s="61" t="str">
        <f>進捗一覧!D184</f>
        <v>方向性確定（条件付き）</v>
      </c>
      <c r="E182" s="59" t="s">
        <v>1667</v>
      </c>
      <c r="F182" s="61" t="s">
        <v>1668</v>
      </c>
      <c r="G182" s="61" t="s">
        <v>1451</v>
      </c>
      <c r="H182" s="69" t="s">
        <v>1669</v>
      </c>
    </row>
    <row r="183" spans="1:8" ht="16">
      <c r="A183" s="62" t="str">
        <f>進捗一覧!J185</f>
        <v>NFR-MIG-005</v>
      </c>
      <c r="B183" s="63" t="str">
        <f>進捗一覧!I185</f>
        <v>NFR-MIG 移行性</v>
      </c>
      <c r="C183" s="64" t="str">
        <f>進捗一覧!E185</f>
        <v>新旧を並行稼働させて少しずつ移すか。並行期間をどれだけ取るか</v>
      </c>
      <c r="D183" s="65" t="str">
        <f>進捗一覧!D185</f>
        <v>方向性確定（条件付き）</v>
      </c>
      <c r="E183" s="63" t="s">
        <v>1670</v>
      </c>
      <c r="F183" s="65" t="s">
        <v>1650</v>
      </c>
      <c r="G183" s="65" t="s">
        <v>1451</v>
      </c>
      <c r="H183" s="70" t="s">
        <v>1671</v>
      </c>
    </row>
  </sheetData>
  <autoFilter ref="A4:H183" xr:uid="{F6284182-FD2C-E145-9717-734327A3CD4B}"/>
  <phoneticPr fontId="2"/>
  <conditionalFormatting sqref="A5:H183">
    <cfRule type="expression" dxfId="25" priority="1">
      <formula>$G5="未対応"</formula>
    </cfRule>
  </conditionalFormatting>
  <conditionalFormatting sqref="A5:H183">
    <cfRule type="expression" dxfId="24" priority="2">
      <formula>$G5="単元未取込"</formula>
    </cfRule>
  </conditionalFormatting>
  <conditionalFormatting sqref="A5:H183">
    <cfRule type="expression" dxfId="23" priority="3">
      <formula>$G5="部分"</formula>
    </cfRule>
  </conditionalFormatting>
  <conditionalFormatting sqref="A5:H183">
    <cfRule type="expression" dxfId="22" priority="4">
      <formula>$G5="設計済"</formula>
    </cfRule>
  </conditionalFormatting>
  <conditionalFormatting sqref="A5:H183">
    <cfRule type="expression" dxfId="21" priority="5">
      <formula>$G5="対象外"</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86" workbookViewId="0">
      <pane ySplit="5" topLeftCell="A6" activePane="bottomLeft" state="frozen"/>
      <selection pane="bottomLeft" activeCell="C38" sqref="C38"/>
    </sheetView>
  </sheetViews>
  <sheetFormatPr baseColWidth="10" defaultRowHeight="15"/>
  <cols>
    <col min="1" max="1" width="17.140625" style="55" customWidth="1"/>
    <col min="2" max="2" width="24.28515625" style="55" customWidth="1"/>
    <col min="3" max="3" width="40" style="55" customWidth="1"/>
    <col min="4" max="4" width="18.5703125" style="55" customWidth="1"/>
    <col min="5" max="5" width="88.5703125" style="55" customWidth="1"/>
    <col min="6" max="6" width="32.85546875" style="55" customWidth="1"/>
    <col min="7" max="16384" width="10.7109375" style="55"/>
  </cols>
  <sheetData>
    <row r="1" spans="1:6">
      <c r="A1" s="54" t="s">
        <v>1672</v>
      </c>
    </row>
    <row r="2" spans="1:6">
      <c r="A2" s="68" t="s">
        <v>1944</v>
      </c>
    </row>
    <row r="3" spans="1:6">
      <c r="A3" s="73" t="s">
        <v>1673</v>
      </c>
    </row>
    <row r="5" spans="1:6" ht="22" customHeight="1">
      <c r="A5" s="74" t="s">
        <v>1255</v>
      </c>
      <c r="B5" s="75" t="s">
        <v>1256</v>
      </c>
      <c r="C5" s="75" t="s">
        <v>1257</v>
      </c>
      <c r="D5" s="75" t="s">
        <v>1674</v>
      </c>
      <c r="E5" s="75" t="s">
        <v>1675</v>
      </c>
      <c r="F5" s="76" t="s">
        <v>1676</v>
      </c>
    </row>
    <row r="6" spans="1:6" ht="32">
      <c r="A6" s="66" t="s">
        <v>1439</v>
      </c>
      <c r="B6" s="59" t="s">
        <v>1433</v>
      </c>
      <c r="C6" s="59" t="s">
        <v>1440</v>
      </c>
      <c r="D6" s="61" t="s">
        <v>1677</v>
      </c>
      <c r="E6" s="60" t="s">
        <v>1678</v>
      </c>
      <c r="F6" s="69" t="s">
        <v>1679</v>
      </c>
    </row>
    <row r="7" spans="1:6" ht="32">
      <c r="A7" s="66" t="s">
        <v>1435</v>
      </c>
      <c r="B7" s="59" t="s">
        <v>1433</v>
      </c>
      <c r="C7" s="59" t="s">
        <v>1436</v>
      </c>
      <c r="D7" s="61" t="s">
        <v>1677</v>
      </c>
      <c r="E7" s="60" t="s">
        <v>1680</v>
      </c>
      <c r="F7" s="69" t="s">
        <v>1679</v>
      </c>
    </row>
    <row r="8" spans="1:6" ht="16">
      <c r="A8" s="66" t="s">
        <v>1637</v>
      </c>
      <c r="B8" s="59" t="s">
        <v>1626</v>
      </c>
      <c r="C8" s="59" t="s">
        <v>1638</v>
      </c>
      <c r="D8" s="61" t="s">
        <v>1677</v>
      </c>
      <c r="E8" s="60" t="s">
        <v>1681</v>
      </c>
      <c r="F8" s="69" t="s">
        <v>1679</v>
      </c>
    </row>
    <row r="9" spans="1:6" ht="16">
      <c r="A9" s="66" t="s">
        <v>1437</v>
      </c>
      <c r="B9" s="59" t="s">
        <v>1433</v>
      </c>
      <c r="C9" s="59" t="s">
        <v>1438</v>
      </c>
      <c r="D9" s="61" t="s">
        <v>1677</v>
      </c>
      <c r="E9" s="60" t="s">
        <v>1682</v>
      </c>
      <c r="F9" s="69" t="s">
        <v>1679</v>
      </c>
    </row>
    <row r="10" spans="1:6" ht="16">
      <c r="A10" s="66" t="s">
        <v>1311</v>
      </c>
      <c r="B10" s="59" t="s">
        <v>1293</v>
      </c>
      <c r="C10" s="59" t="s">
        <v>1683</v>
      </c>
      <c r="D10" s="61" t="s">
        <v>1677</v>
      </c>
      <c r="E10" s="60" t="s">
        <v>1684</v>
      </c>
      <c r="F10" s="69" t="s">
        <v>179</v>
      </c>
    </row>
    <row r="11" spans="1:6" ht="32">
      <c r="A11" s="66" t="s">
        <v>1635</v>
      </c>
      <c r="B11" s="59" t="s">
        <v>1626</v>
      </c>
      <c r="C11" s="59" t="s">
        <v>1636</v>
      </c>
      <c r="D11" s="61" t="s">
        <v>1677</v>
      </c>
      <c r="E11" s="60" t="s">
        <v>1685</v>
      </c>
      <c r="F11" s="69" t="s">
        <v>256</v>
      </c>
    </row>
    <row r="12" spans="1:6" ht="16">
      <c r="A12" s="66" t="s">
        <v>1470</v>
      </c>
      <c r="B12" s="59" t="s">
        <v>724</v>
      </c>
      <c r="C12" s="59" t="s">
        <v>1471</v>
      </c>
      <c r="D12" s="61" t="s">
        <v>1677</v>
      </c>
      <c r="E12" s="60" t="s">
        <v>1686</v>
      </c>
      <c r="F12" s="69" t="s">
        <v>1687</v>
      </c>
    </row>
    <row r="13" spans="1:6" ht="16">
      <c r="A13" s="66" t="s">
        <v>1291</v>
      </c>
      <c r="B13" s="59" t="s">
        <v>712</v>
      </c>
      <c r="C13" s="59" t="s">
        <v>1688</v>
      </c>
      <c r="D13" s="61" t="s">
        <v>1677</v>
      </c>
      <c r="E13" s="60" t="s">
        <v>1689</v>
      </c>
      <c r="F13" s="69" t="s">
        <v>1679</v>
      </c>
    </row>
    <row r="14" spans="1:6" ht="16">
      <c r="A14" s="66" t="s">
        <v>1597</v>
      </c>
      <c r="B14" s="59" t="s">
        <v>1594</v>
      </c>
      <c r="C14" s="59" t="s">
        <v>1598</v>
      </c>
      <c r="D14" s="61" t="s">
        <v>1677</v>
      </c>
      <c r="E14" s="60" t="s">
        <v>1690</v>
      </c>
      <c r="F14" s="69" t="s">
        <v>499</v>
      </c>
    </row>
    <row r="15" spans="1:6" ht="16">
      <c r="A15" s="66" t="s">
        <v>1631</v>
      </c>
      <c r="B15" s="59" t="s">
        <v>1626</v>
      </c>
      <c r="C15" s="59" t="s">
        <v>1632</v>
      </c>
      <c r="D15" s="61" t="s">
        <v>1677</v>
      </c>
      <c r="E15" s="60" t="s">
        <v>1691</v>
      </c>
      <c r="F15" s="69" t="s">
        <v>1679</v>
      </c>
    </row>
    <row r="16" spans="1:6" ht="16">
      <c r="A16" s="66" t="s">
        <v>1298</v>
      </c>
      <c r="B16" s="59" t="s">
        <v>1293</v>
      </c>
      <c r="C16" s="59" t="s">
        <v>1692</v>
      </c>
      <c r="D16" s="61" t="s">
        <v>1677</v>
      </c>
      <c r="E16" s="60" t="s">
        <v>1693</v>
      </c>
      <c r="F16" s="69" t="s">
        <v>419</v>
      </c>
    </row>
    <row r="17" spans="1:6" ht="32">
      <c r="A17" s="66" t="s">
        <v>1625</v>
      </c>
      <c r="B17" s="59" t="s">
        <v>1626</v>
      </c>
      <c r="C17" s="59" t="s">
        <v>1627</v>
      </c>
      <c r="D17" s="61" t="s">
        <v>1694</v>
      </c>
      <c r="E17" s="60" t="s">
        <v>1695</v>
      </c>
      <c r="F17" s="69" t="s">
        <v>1696</v>
      </c>
    </row>
    <row r="18" spans="1:6" ht="16">
      <c r="A18" s="66" t="s">
        <v>1628</v>
      </c>
      <c r="B18" s="59" t="s">
        <v>1626</v>
      </c>
      <c r="C18" s="59" t="s">
        <v>1629</v>
      </c>
      <c r="D18" s="61" t="s">
        <v>1694</v>
      </c>
      <c r="E18" s="60" t="s">
        <v>1697</v>
      </c>
      <c r="F18" s="69" t="s">
        <v>1696</v>
      </c>
    </row>
    <row r="19" spans="1:6" ht="16">
      <c r="A19" s="66" t="s">
        <v>1633</v>
      </c>
      <c r="B19" s="59" t="s">
        <v>1626</v>
      </c>
      <c r="C19" s="59" t="s">
        <v>1634</v>
      </c>
      <c r="D19" s="61" t="s">
        <v>1694</v>
      </c>
      <c r="E19" s="60" t="s">
        <v>1698</v>
      </c>
      <c r="F19" s="69" t="s">
        <v>1699</v>
      </c>
    </row>
    <row r="20" spans="1:6" ht="16">
      <c r="A20" s="66" t="s">
        <v>1299</v>
      </c>
      <c r="B20" s="59" t="s">
        <v>1293</v>
      </c>
      <c r="C20" s="59" t="s">
        <v>1700</v>
      </c>
      <c r="D20" s="61" t="s">
        <v>1694</v>
      </c>
      <c r="E20" s="60" t="s">
        <v>1701</v>
      </c>
      <c r="F20" s="69" t="s">
        <v>1702</v>
      </c>
    </row>
    <row r="21" spans="1:6" ht="16">
      <c r="A21" s="66" t="s">
        <v>1297</v>
      </c>
      <c r="B21" s="59" t="s">
        <v>1293</v>
      </c>
      <c r="C21" s="59" t="s">
        <v>1703</v>
      </c>
      <c r="D21" s="61" t="s">
        <v>1694</v>
      </c>
      <c r="E21" s="60" t="s">
        <v>1704</v>
      </c>
      <c r="F21" s="69" t="s">
        <v>423</v>
      </c>
    </row>
    <row r="22" spans="1:6" ht="16">
      <c r="A22" s="66" t="s">
        <v>1304</v>
      </c>
      <c r="B22" s="59" t="s">
        <v>1293</v>
      </c>
      <c r="C22" s="59" t="s">
        <v>1705</v>
      </c>
      <c r="D22" s="61" t="s">
        <v>1694</v>
      </c>
      <c r="E22" s="60" t="s">
        <v>1706</v>
      </c>
      <c r="F22" s="69" t="s">
        <v>1707</v>
      </c>
    </row>
    <row r="23" spans="1:6" ht="32">
      <c r="A23" s="66" t="s">
        <v>1305</v>
      </c>
      <c r="B23" s="59" t="s">
        <v>1293</v>
      </c>
      <c r="C23" s="59" t="s">
        <v>1708</v>
      </c>
      <c r="D23" s="61" t="s">
        <v>1694</v>
      </c>
      <c r="E23" s="60" t="s">
        <v>1709</v>
      </c>
      <c r="F23" s="69" t="s">
        <v>164</v>
      </c>
    </row>
    <row r="24" spans="1:6" ht="16">
      <c r="A24" s="66" t="s">
        <v>1302</v>
      </c>
      <c r="B24" s="59" t="s">
        <v>1293</v>
      </c>
      <c r="C24" s="59" t="s">
        <v>1710</v>
      </c>
      <c r="D24" s="61" t="s">
        <v>1694</v>
      </c>
      <c r="E24" s="60" t="s">
        <v>1711</v>
      </c>
      <c r="F24" s="69" t="s">
        <v>432</v>
      </c>
    </row>
    <row r="25" spans="1:6" ht="16">
      <c r="A25" s="66" t="s">
        <v>1295</v>
      </c>
      <c r="B25" s="59" t="s">
        <v>1293</v>
      </c>
      <c r="C25" s="59" t="s">
        <v>1712</v>
      </c>
      <c r="D25" s="61" t="s">
        <v>1694</v>
      </c>
      <c r="E25" s="60" t="s">
        <v>1713</v>
      </c>
      <c r="F25" s="69" t="s">
        <v>1714</v>
      </c>
    </row>
    <row r="26" spans="1:6" ht="16">
      <c r="A26" s="66" t="s">
        <v>1434</v>
      </c>
      <c r="B26" s="59" t="s">
        <v>1433</v>
      </c>
      <c r="C26" s="59" t="s">
        <v>1715</v>
      </c>
      <c r="D26" s="61" t="s">
        <v>1694</v>
      </c>
      <c r="E26" s="60" t="s">
        <v>1716</v>
      </c>
      <c r="F26" s="69" t="s">
        <v>134</v>
      </c>
    </row>
    <row r="27" spans="1:6" ht="16">
      <c r="A27" s="66" t="s">
        <v>1269</v>
      </c>
      <c r="B27" s="59" t="s">
        <v>700</v>
      </c>
      <c r="C27" s="59" t="s">
        <v>1717</v>
      </c>
      <c r="D27" s="61" t="s">
        <v>1694</v>
      </c>
      <c r="E27" s="60" t="s">
        <v>1718</v>
      </c>
      <c r="F27" s="69" t="s">
        <v>134</v>
      </c>
    </row>
    <row r="28" spans="1:6" ht="16">
      <c r="A28" s="66" t="s">
        <v>1519</v>
      </c>
      <c r="B28" s="59" t="s">
        <v>728</v>
      </c>
      <c r="C28" s="59" t="s">
        <v>1520</v>
      </c>
      <c r="D28" s="61" t="s">
        <v>1694</v>
      </c>
      <c r="E28" s="60" t="s">
        <v>1719</v>
      </c>
      <c r="F28" s="69" t="s">
        <v>480</v>
      </c>
    </row>
    <row r="29" spans="1:6" ht="16">
      <c r="A29" s="66" t="s">
        <v>1558</v>
      </c>
      <c r="B29" s="59" t="s">
        <v>716</v>
      </c>
      <c r="C29" s="59" t="s">
        <v>1559</v>
      </c>
      <c r="D29" s="61" t="s">
        <v>1694</v>
      </c>
      <c r="E29" s="60" t="s">
        <v>1720</v>
      </c>
      <c r="F29" s="69" t="s">
        <v>1721</v>
      </c>
    </row>
    <row r="30" spans="1:6" ht="32">
      <c r="A30" s="66" t="s">
        <v>1285</v>
      </c>
      <c r="B30" s="59" t="s">
        <v>712</v>
      </c>
      <c r="C30" s="59" t="s">
        <v>1722</v>
      </c>
      <c r="D30" s="61" t="s">
        <v>1694</v>
      </c>
      <c r="E30" s="60" t="s">
        <v>1723</v>
      </c>
      <c r="F30" s="69" t="s">
        <v>1724</v>
      </c>
    </row>
    <row r="31" spans="1:6" ht="16">
      <c r="A31" s="66" t="s">
        <v>1556</v>
      </c>
      <c r="B31" s="59" t="s">
        <v>716</v>
      </c>
      <c r="C31" s="59" t="s">
        <v>1557</v>
      </c>
      <c r="D31" s="61" t="s">
        <v>1725</v>
      </c>
      <c r="E31" s="60" t="s">
        <v>1726</v>
      </c>
      <c r="F31" s="69" t="s">
        <v>1727</v>
      </c>
    </row>
    <row r="32" spans="1:6" ht="16">
      <c r="A32" s="66" t="s">
        <v>1516</v>
      </c>
      <c r="B32" s="59" t="s">
        <v>728</v>
      </c>
      <c r="C32" s="59" t="s">
        <v>1517</v>
      </c>
      <c r="D32" s="61" t="s">
        <v>1728</v>
      </c>
      <c r="E32" s="60" t="s">
        <v>1729</v>
      </c>
      <c r="F32" s="69" t="s">
        <v>473</v>
      </c>
    </row>
    <row r="33" spans="1:6" ht="16">
      <c r="A33" s="66" t="s">
        <v>1265</v>
      </c>
      <c r="B33" s="59" t="s">
        <v>700</v>
      </c>
      <c r="C33" s="59" t="s">
        <v>1730</v>
      </c>
      <c r="D33" s="61" t="s">
        <v>1731</v>
      </c>
      <c r="E33" s="60" t="s">
        <v>1732</v>
      </c>
      <c r="F33" s="69" t="s">
        <v>1323</v>
      </c>
    </row>
    <row r="34" spans="1:6" ht="16">
      <c r="A34" s="66" t="s">
        <v>1266</v>
      </c>
      <c r="B34" s="59" t="s">
        <v>700</v>
      </c>
      <c r="C34" s="59" t="s">
        <v>1733</v>
      </c>
      <c r="D34" s="61" t="s">
        <v>1731</v>
      </c>
      <c r="E34" s="60" t="s">
        <v>1734</v>
      </c>
      <c r="F34" s="69" t="s">
        <v>1323</v>
      </c>
    </row>
    <row r="35" spans="1:6" ht="16">
      <c r="A35" s="66" t="s">
        <v>1267</v>
      </c>
      <c r="B35" s="59" t="s">
        <v>700</v>
      </c>
      <c r="C35" s="59" t="s">
        <v>1735</v>
      </c>
      <c r="D35" s="61" t="s">
        <v>1731</v>
      </c>
      <c r="E35" s="60" t="s">
        <v>1736</v>
      </c>
      <c r="F35" s="69" t="s">
        <v>1323</v>
      </c>
    </row>
    <row r="36" spans="1:6" ht="16">
      <c r="A36" s="66" t="s">
        <v>1268</v>
      </c>
      <c r="B36" s="59" t="s">
        <v>700</v>
      </c>
      <c r="C36" s="59" t="s">
        <v>1737</v>
      </c>
      <c r="D36" s="61" t="s">
        <v>1731</v>
      </c>
      <c r="E36" s="60" t="s">
        <v>1738</v>
      </c>
      <c r="F36" s="69" t="s">
        <v>1323</v>
      </c>
    </row>
    <row r="37" spans="1:6" ht="16">
      <c r="A37" s="66" t="s">
        <v>1270</v>
      </c>
      <c r="B37" s="59" t="s">
        <v>700</v>
      </c>
      <c r="C37" s="59" t="s">
        <v>1739</v>
      </c>
      <c r="D37" s="61" t="s">
        <v>1731</v>
      </c>
      <c r="E37" s="60" t="s">
        <v>1740</v>
      </c>
      <c r="F37" s="69" t="s">
        <v>1323</v>
      </c>
    </row>
    <row r="38" spans="1:6" ht="16">
      <c r="A38" s="66" t="s">
        <v>1271</v>
      </c>
      <c r="B38" s="59" t="s">
        <v>700</v>
      </c>
      <c r="C38" s="59" t="s">
        <v>1741</v>
      </c>
      <c r="D38" s="61" t="s">
        <v>1731</v>
      </c>
      <c r="E38" s="60" t="s">
        <v>1742</v>
      </c>
      <c r="F38" s="69" t="s">
        <v>1323</v>
      </c>
    </row>
    <row r="39" spans="1:6" ht="16">
      <c r="A39" s="66" t="s">
        <v>1272</v>
      </c>
      <c r="B39" s="59" t="s">
        <v>700</v>
      </c>
      <c r="C39" s="59" t="s">
        <v>1743</v>
      </c>
      <c r="D39" s="61" t="s">
        <v>1731</v>
      </c>
      <c r="E39" s="60" t="s">
        <v>1744</v>
      </c>
      <c r="F39" s="69" t="s">
        <v>1323</v>
      </c>
    </row>
    <row r="40" spans="1:6" ht="16">
      <c r="A40" s="66" t="s">
        <v>1275</v>
      </c>
      <c r="B40" s="59" t="s">
        <v>700</v>
      </c>
      <c r="C40" s="59" t="s">
        <v>1745</v>
      </c>
      <c r="D40" s="61" t="s">
        <v>1731</v>
      </c>
      <c r="E40" s="60" t="s">
        <v>1746</v>
      </c>
      <c r="F40" s="69" t="s">
        <v>1323</v>
      </c>
    </row>
    <row r="41" spans="1:6" ht="16">
      <c r="A41" s="66" t="s">
        <v>1276</v>
      </c>
      <c r="B41" s="59" t="s">
        <v>700</v>
      </c>
      <c r="C41" s="59" t="s">
        <v>1747</v>
      </c>
      <c r="D41" s="61" t="s">
        <v>1731</v>
      </c>
      <c r="E41" s="60" t="s">
        <v>1748</v>
      </c>
      <c r="F41" s="69" t="s">
        <v>1323</v>
      </c>
    </row>
    <row r="42" spans="1:6" ht="16">
      <c r="A42" s="66" t="s">
        <v>1277</v>
      </c>
      <c r="B42" s="59" t="s">
        <v>700</v>
      </c>
      <c r="C42" s="59" t="s">
        <v>1749</v>
      </c>
      <c r="D42" s="61" t="s">
        <v>1731</v>
      </c>
      <c r="E42" s="60" t="s">
        <v>1750</v>
      </c>
      <c r="F42" s="69" t="s">
        <v>1323</v>
      </c>
    </row>
    <row r="43" spans="1:6" ht="16">
      <c r="A43" s="66" t="s">
        <v>1279</v>
      </c>
      <c r="B43" s="59" t="s">
        <v>700</v>
      </c>
      <c r="C43" s="59" t="s">
        <v>1751</v>
      </c>
      <c r="D43" s="61" t="s">
        <v>1731</v>
      </c>
      <c r="E43" s="60" t="s">
        <v>1752</v>
      </c>
      <c r="F43" s="69" t="s">
        <v>1323</v>
      </c>
    </row>
    <row r="44" spans="1:6" ht="16">
      <c r="A44" s="66" t="s">
        <v>1280</v>
      </c>
      <c r="B44" s="59" t="s">
        <v>700</v>
      </c>
      <c r="C44" s="59" t="s">
        <v>1753</v>
      </c>
      <c r="D44" s="61" t="s">
        <v>1731</v>
      </c>
      <c r="E44" s="60" t="s">
        <v>1754</v>
      </c>
      <c r="F44" s="69" t="s">
        <v>1323</v>
      </c>
    </row>
    <row r="45" spans="1:6" ht="16">
      <c r="A45" s="66" t="s">
        <v>1300</v>
      </c>
      <c r="B45" s="59" t="s">
        <v>1293</v>
      </c>
      <c r="C45" s="59" t="s">
        <v>1755</v>
      </c>
      <c r="D45" s="61" t="s">
        <v>1731</v>
      </c>
      <c r="E45" s="60" t="s">
        <v>1756</v>
      </c>
      <c r="F45" s="69" t="s">
        <v>1323</v>
      </c>
    </row>
    <row r="46" spans="1:6" ht="16">
      <c r="A46" s="66" t="s">
        <v>1301</v>
      </c>
      <c r="B46" s="59" t="s">
        <v>1293</v>
      </c>
      <c r="C46" s="59" t="s">
        <v>1757</v>
      </c>
      <c r="D46" s="61" t="s">
        <v>1731</v>
      </c>
      <c r="E46" s="60" t="s">
        <v>1758</v>
      </c>
      <c r="F46" s="69" t="s">
        <v>1323</v>
      </c>
    </row>
    <row r="47" spans="1:6" ht="16">
      <c r="A47" s="66" t="s">
        <v>1309</v>
      </c>
      <c r="B47" s="59" t="s">
        <v>1293</v>
      </c>
      <c r="C47" s="59" t="s">
        <v>1759</v>
      </c>
      <c r="D47" s="61" t="s">
        <v>1731</v>
      </c>
      <c r="E47" s="60" t="s">
        <v>1760</v>
      </c>
      <c r="F47" s="69" t="s">
        <v>1323</v>
      </c>
    </row>
    <row r="48" spans="1:6" ht="16">
      <c r="A48" s="66" t="s">
        <v>1310</v>
      </c>
      <c r="B48" s="59" t="s">
        <v>1293</v>
      </c>
      <c r="C48" s="59" t="s">
        <v>1761</v>
      </c>
      <c r="D48" s="61" t="s">
        <v>1731</v>
      </c>
      <c r="E48" s="60" t="s">
        <v>1762</v>
      </c>
      <c r="F48" s="69" t="s">
        <v>1323</v>
      </c>
    </row>
    <row r="49" spans="1:6" ht="16">
      <c r="A49" s="66" t="s">
        <v>1283</v>
      </c>
      <c r="B49" s="59" t="s">
        <v>712</v>
      </c>
      <c r="C49" s="59" t="s">
        <v>1763</v>
      </c>
      <c r="D49" s="61" t="s">
        <v>1731</v>
      </c>
      <c r="E49" s="60" t="s">
        <v>1764</v>
      </c>
      <c r="F49" s="69" t="s">
        <v>1323</v>
      </c>
    </row>
    <row r="50" spans="1:6" ht="16">
      <c r="A50" s="66" t="s">
        <v>1287</v>
      </c>
      <c r="B50" s="59" t="s">
        <v>712</v>
      </c>
      <c r="C50" s="59" t="s">
        <v>1765</v>
      </c>
      <c r="D50" s="61" t="s">
        <v>1731</v>
      </c>
      <c r="E50" s="60" t="s">
        <v>1766</v>
      </c>
      <c r="F50" s="69" t="s">
        <v>1323</v>
      </c>
    </row>
    <row r="51" spans="1:6" ht="16">
      <c r="A51" s="66" t="s">
        <v>1288</v>
      </c>
      <c r="B51" s="59" t="s">
        <v>712</v>
      </c>
      <c r="C51" s="59" t="s">
        <v>1767</v>
      </c>
      <c r="D51" s="61" t="s">
        <v>1731</v>
      </c>
      <c r="E51" s="60" t="s">
        <v>1768</v>
      </c>
      <c r="F51" s="69" t="s">
        <v>1323</v>
      </c>
    </row>
    <row r="52" spans="1:6" ht="16">
      <c r="A52" s="66" t="s">
        <v>1552</v>
      </c>
      <c r="B52" s="59" t="s">
        <v>716</v>
      </c>
      <c r="C52" s="59" t="s">
        <v>1553</v>
      </c>
      <c r="D52" s="61" t="s">
        <v>1731</v>
      </c>
      <c r="E52" s="60" t="s">
        <v>1769</v>
      </c>
      <c r="F52" s="69" t="s">
        <v>1323</v>
      </c>
    </row>
    <row r="53" spans="1:6" ht="16">
      <c r="A53" s="66" t="s">
        <v>1554</v>
      </c>
      <c r="B53" s="59" t="s">
        <v>716</v>
      </c>
      <c r="C53" s="59" t="s">
        <v>1555</v>
      </c>
      <c r="D53" s="61" t="s">
        <v>1731</v>
      </c>
      <c r="E53" s="60" t="s">
        <v>1770</v>
      </c>
      <c r="F53" s="69" t="s">
        <v>1323</v>
      </c>
    </row>
    <row r="54" spans="1:6" ht="16">
      <c r="A54" s="66" t="s">
        <v>1595</v>
      </c>
      <c r="B54" s="59" t="s">
        <v>1594</v>
      </c>
      <c r="C54" s="59" t="s">
        <v>1771</v>
      </c>
      <c r="D54" s="61" t="s">
        <v>1731</v>
      </c>
      <c r="E54" s="60" t="s">
        <v>1772</v>
      </c>
      <c r="F54" s="69" t="s">
        <v>1323</v>
      </c>
    </row>
    <row r="55" spans="1:6" ht="16">
      <c r="A55" s="67" t="s">
        <v>1596</v>
      </c>
      <c r="B55" s="63" t="s">
        <v>1594</v>
      </c>
      <c r="C55" s="63" t="s">
        <v>1773</v>
      </c>
      <c r="D55" s="65" t="s">
        <v>1731</v>
      </c>
      <c r="E55" s="64" t="s">
        <v>1774</v>
      </c>
      <c r="F55" s="70" t="s">
        <v>1323</v>
      </c>
    </row>
  </sheetData>
  <autoFilter ref="A5:F55" xr:uid="{8B2CA42E-305E-3549-A119-1311DF775CFA}"/>
  <phoneticPr fontId="2"/>
  <conditionalFormatting sqref="A6:F55">
    <cfRule type="expression" dxfId="20" priority="1">
      <formula>$D6="スコープ増"</formula>
    </cfRule>
  </conditionalFormatting>
  <conditionalFormatting sqref="A6:F55">
    <cfRule type="expression" dxfId="19" priority="2">
      <formula>$D6="要件側の書き漏れ"</formula>
    </cfRule>
  </conditionalFormatting>
  <conditionalFormatting sqref="A6:F55">
    <cfRule type="expression" dxfId="18" priority="3">
      <formula>$D6="参照漏れ"</formula>
    </cfRule>
  </conditionalFormatting>
  <conditionalFormatting sqref="A6:F55">
    <cfRule type="expression" dxfId="17" priority="4">
      <formula>$D6="内部技術判断"</formula>
    </cfRule>
  </conditionalFormatting>
  <conditionalFormatting sqref="A6:F55">
    <cfRule type="expression" dxfId="16" priority="5">
      <formula>$D6="廃止済み"</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topLeftCell="E1"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0" t="s">
        <v>3252</v>
      </c>
    </row>
    <row r="2" spans="1:9">
      <c r="A2" s="3" t="s">
        <v>3253</v>
      </c>
    </row>
    <row r="3" spans="1:9">
      <c r="A3" s="44" t="s">
        <v>3254</v>
      </c>
    </row>
    <row r="4" spans="1:9" ht="22" customHeight="1"/>
    <row r="5" spans="1:9" ht="22" customHeight="1">
      <c r="A5" s="7" t="s">
        <v>1835</v>
      </c>
      <c r="B5" s="8" t="s">
        <v>1836</v>
      </c>
      <c r="C5" s="8" t="s">
        <v>1837</v>
      </c>
      <c r="D5" s="8" t="s">
        <v>3255</v>
      </c>
      <c r="E5" s="9" t="s">
        <v>3256</v>
      </c>
      <c r="G5" s="151" t="s">
        <v>3423</v>
      </c>
    </row>
    <row r="6" spans="1:9">
      <c r="A6" s="42" t="s">
        <v>3257</v>
      </c>
      <c r="B6" s="5" t="s">
        <v>3258</v>
      </c>
      <c r="C6" s="10" t="s">
        <v>3259</v>
      </c>
      <c r="D6" s="176" t="s">
        <v>3424</v>
      </c>
      <c r="E6" s="174"/>
      <c r="G6" s="15" t="s">
        <v>1837</v>
      </c>
      <c r="H6" s="17" t="s">
        <v>1425</v>
      </c>
    </row>
    <row r="7" spans="1:9">
      <c r="A7" s="42" t="s">
        <v>3260</v>
      </c>
      <c r="B7" s="5" t="s">
        <v>3261</v>
      </c>
      <c r="C7" s="10" t="s">
        <v>3259</v>
      </c>
      <c r="D7" s="176" t="s">
        <v>3424</v>
      </c>
      <c r="E7" s="174"/>
      <c r="G7" s="18" t="s">
        <v>3270</v>
      </c>
      <c r="H7" s="152">
        <f>COUNTIF($C$6:$C$72,$G7)</f>
        <v>50</v>
      </c>
    </row>
    <row r="8" spans="1:9">
      <c r="A8" s="42" t="s">
        <v>3262</v>
      </c>
      <c r="B8" s="5" t="s">
        <v>3263</v>
      </c>
      <c r="C8" s="10" t="s">
        <v>3259</v>
      </c>
      <c r="D8" s="176" t="s">
        <v>3424</v>
      </c>
      <c r="E8" s="174"/>
      <c r="G8" s="18" t="s">
        <v>3259</v>
      </c>
      <c r="H8" s="152">
        <f>COUNTIF($C$6:$C$72,$G8)</f>
        <v>12</v>
      </c>
    </row>
    <row r="9" spans="1:9">
      <c r="A9" s="42" t="s">
        <v>3264</v>
      </c>
      <c r="B9" s="5" t="s">
        <v>3265</v>
      </c>
      <c r="C9" s="10" t="s">
        <v>3259</v>
      </c>
      <c r="D9" s="176" t="s">
        <v>3424</v>
      </c>
      <c r="E9" s="174"/>
      <c r="G9" s="18" t="s">
        <v>3388</v>
      </c>
      <c r="H9" s="152">
        <f>COUNTIF($C$6:$C$72,$G9)</f>
        <v>1</v>
      </c>
    </row>
    <row r="10" spans="1:9">
      <c r="A10" s="42" t="s">
        <v>3266</v>
      </c>
      <c r="B10" s="5" t="s">
        <v>3267</v>
      </c>
      <c r="C10" s="10" t="s">
        <v>3259</v>
      </c>
      <c r="D10" s="176" t="s">
        <v>3424</v>
      </c>
      <c r="E10" s="174"/>
      <c r="G10" s="18" t="s">
        <v>3392</v>
      </c>
      <c r="H10" s="152">
        <f>COUNTIF($C$6:$C$72,$G10)</f>
        <v>1</v>
      </c>
    </row>
    <row r="11" spans="1:9">
      <c r="A11" s="42" t="s">
        <v>3268</v>
      </c>
      <c r="B11" s="5" t="s">
        <v>3269</v>
      </c>
      <c r="C11" s="10" t="s">
        <v>3270</v>
      </c>
      <c r="D11" s="176" t="s">
        <v>3424</v>
      </c>
      <c r="E11" s="174"/>
      <c r="G11" s="18" t="s">
        <v>3339</v>
      </c>
      <c r="H11" s="152">
        <f>COUNTIF($C$6:$C$72,$G11)</f>
        <v>2</v>
      </c>
    </row>
    <row r="12" spans="1:9">
      <c r="A12" s="42" t="s">
        <v>3271</v>
      </c>
      <c r="B12" s="5" t="s">
        <v>3272</v>
      </c>
      <c r="C12" s="10" t="s">
        <v>3259</v>
      </c>
      <c r="D12" s="176" t="s">
        <v>3425</v>
      </c>
      <c r="E12" s="174"/>
      <c r="G12" s="18" t="s">
        <v>3351</v>
      </c>
      <c r="H12" s="152">
        <f>COUNTIF($C$6:$C$72,$G12)</f>
        <v>1</v>
      </c>
    </row>
    <row r="13" spans="1:9">
      <c r="A13" s="42" t="s">
        <v>3273</v>
      </c>
      <c r="B13" s="5" t="s">
        <v>3274</v>
      </c>
      <c r="C13" s="10" t="s">
        <v>3259</v>
      </c>
      <c r="D13" s="176" t="s">
        <v>3426</v>
      </c>
      <c r="E13" s="174"/>
      <c r="G13" s="19" t="s">
        <v>13</v>
      </c>
      <c r="H13" s="153">
        <f>SUM(H7:H12)</f>
        <v>67</v>
      </c>
      <c r="I13" s="41" t="str">
        <f>IF(H13=COUNTA($A$6:$A$72),"✓ 明細行数と一致","⚠ 不一致")</f>
        <v>✓ 明細行数と一致</v>
      </c>
    </row>
    <row r="14" spans="1:9">
      <c r="A14" s="42" t="s">
        <v>3275</v>
      </c>
      <c r="B14" s="5" t="s">
        <v>3276</v>
      </c>
      <c r="C14" s="10" t="s">
        <v>3259</v>
      </c>
      <c r="D14" s="176" t="s">
        <v>3427</v>
      </c>
      <c r="E14" s="174"/>
    </row>
    <row r="15" spans="1:9">
      <c r="A15" s="42" t="s">
        <v>3277</v>
      </c>
      <c r="B15" s="5" t="s">
        <v>3278</v>
      </c>
      <c r="C15" s="10" t="s">
        <v>3259</v>
      </c>
      <c r="D15" s="176" t="s">
        <v>3428</v>
      </c>
      <c r="E15" s="174"/>
    </row>
    <row r="16" spans="1:9">
      <c r="A16" s="42" t="s">
        <v>3279</v>
      </c>
      <c r="B16" s="5" t="s">
        <v>3280</v>
      </c>
      <c r="C16" s="10" t="s">
        <v>3270</v>
      </c>
      <c r="D16" s="176" t="s">
        <v>3428</v>
      </c>
      <c r="E16" s="174" t="s">
        <v>3281</v>
      </c>
    </row>
    <row r="17" spans="1:5">
      <c r="A17" s="42" t="s">
        <v>3282</v>
      </c>
      <c r="B17" s="5" t="s">
        <v>3283</v>
      </c>
      <c r="C17" s="10" t="s">
        <v>3259</v>
      </c>
      <c r="D17" s="176" t="s">
        <v>3429</v>
      </c>
      <c r="E17" s="174"/>
    </row>
    <row r="18" spans="1:5">
      <c r="A18" s="42" t="s">
        <v>3284</v>
      </c>
      <c r="B18" s="5" t="s">
        <v>3285</v>
      </c>
      <c r="C18" s="10" t="s">
        <v>3270</v>
      </c>
      <c r="D18" s="176" t="s">
        <v>3430</v>
      </c>
      <c r="E18" s="174"/>
    </row>
    <row r="19" spans="1:5">
      <c r="A19" s="42" t="s">
        <v>3286</v>
      </c>
      <c r="B19" s="5" t="s">
        <v>3287</v>
      </c>
      <c r="C19" s="10" t="s">
        <v>3270</v>
      </c>
      <c r="D19" s="176" t="s">
        <v>3430</v>
      </c>
      <c r="E19" s="174"/>
    </row>
    <row r="20" spans="1:5">
      <c r="A20" s="42" t="s">
        <v>3288</v>
      </c>
      <c r="B20" s="5" t="s">
        <v>3289</v>
      </c>
      <c r="C20" s="10" t="s">
        <v>3270</v>
      </c>
      <c r="D20" s="176" t="s">
        <v>3430</v>
      </c>
      <c r="E20" s="174"/>
    </row>
    <row r="21" spans="1:5">
      <c r="A21" s="42" t="s">
        <v>3290</v>
      </c>
      <c r="B21" s="5" t="s">
        <v>3291</v>
      </c>
      <c r="C21" s="10" t="s">
        <v>3270</v>
      </c>
      <c r="D21" s="176" t="s">
        <v>3431</v>
      </c>
      <c r="E21" s="174" t="s">
        <v>3292</v>
      </c>
    </row>
    <row r="22" spans="1:5">
      <c r="A22" s="42" t="s">
        <v>3293</v>
      </c>
      <c r="B22" s="5" t="s">
        <v>3294</v>
      </c>
      <c r="C22" s="10" t="s">
        <v>3270</v>
      </c>
      <c r="D22" s="176" t="s">
        <v>3295</v>
      </c>
      <c r="E22" s="174" t="s">
        <v>3296</v>
      </c>
    </row>
    <row r="23" spans="1:5">
      <c r="A23" s="42" t="s">
        <v>3297</v>
      </c>
      <c r="B23" s="5" t="s">
        <v>3298</v>
      </c>
      <c r="C23" s="10" t="s">
        <v>3270</v>
      </c>
      <c r="D23" s="176" t="s">
        <v>3432</v>
      </c>
      <c r="E23" s="174"/>
    </row>
    <row r="24" spans="1:5">
      <c r="A24" s="42" t="s">
        <v>3299</v>
      </c>
      <c r="B24" s="5" t="s">
        <v>3300</v>
      </c>
      <c r="C24" s="10" t="s">
        <v>3270</v>
      </c>
      <c r="D24" s="176" t="s">
        <v>3432</v>
      </c>
      <c r="E24" s="174"/>
    </row>
    <row r="25" spans="1:5">
      <c r="A25" s="42" t="s">
        <v>3301</v>
      </c>
      <c r="B25" s="5" t="s">
        <v>3302</v>
      </c>
      <c r="C25" s="10" t="s">
        <v>3270</v>
      </c>
      <c r="D25" s="176" t="s">
        <v>3432</v>
      </c>
      <c r="E25" s="174"/>
    </row>
    <row r="26" spans="1:5">
      <c r="A26" s="42" t="s">
        <v>3303</v>
      </c>
      <c r="B26" s="5" t="s">
        <v>3304</v>
      </c>
      <c r="C26" s="10" t="s">
        <v>3270</v>
      </c>
      <c r="D26" s="176" t="s">
        <v>3432</v>
      </c>
      <c r="E26" s="174"/>
    </row>
    <row r="27" spans="1:5">
      <c r="A27" s="42" t="s">
        <v>3305</v>
      </c>
      <c r="B27" s="5" t="s">
        <v>3306</v>
      </c>
      <c r="C27" s="10" t="s">
        <v>3270</v>
      </c>
      <c r="D27" s="176" t="s">
        <v>3432</v>
      </c>
      <c r="E27" s="174"/>
    </row>
    <row r="28" spans="1:5">
      <c r="A28" s="42" t="s">
        <v>3307</v>
      </c>
      <c r="B28" s="5" t="s">
        <v>3308</v>
      </c>
      <c r="C28" s="10" t="s">
        <v>3270</v>
      </c>
      <c r="D28" s="176" t="s">
        <v>3433</v>
      </c>
      <c r="E28" s="174" t="s">
        <v>3309</v>
      </c>
    </row>
    <row r="29" spans="1:5">
      <c r="A29" s="42" t="s">
        <v>3310</v>
      </c>
      <c r="B29" s="5" t="s">
        <v>3311</v>
      </c>
      <c r="C29" s="10" t="s">
        <v>3270</v>
      </c>
      <c r="D29" s="176" t="s">
        <v>3433</v>
      </c>
      <c r="E29" s="174"/>
    </row>
    <row r="30" spans="1:5">
      <c r="A30" s="42" t="s">
        <v>3312</v>
      </c>
      <c r="B30" s="5" t="s">
        <v>3313</v>
      </c>
      <c r="C30" s="10" t="s">
        <v>3270</v>
      </c>
      <c r="D30" s="176" t="s">
        <v>3433</v>
      </c>
      <c r="E30" s="174" t="s">
        <v>3314</v>
      </c>
    </row>
    <row r="31" spans="1:5">
      <c r="A31" s="42" t="s">
        <v>3315</v>
      </c>
      <c r="B31" s="5" t="s">
        <v>3316</v>
      </c>
      <c r="C31" s="10" t="s">
        <v>3270</v>
      </c>
      <c r="D31" s="176" t="s">
        <v>3433</v>
      </c>
      <c r="E31" s="174"/>
    </row>
    <row r="32" spans="1:5">
      <c r="A32" s="42" t="s">
        <v>3317</v>
      </c>
      <c r="B32" s="5" t="s">
        <v>3318</v>
      </c>
      <c r="C32" s="10" t="s">
        <v>3270</v>
      </c>
      <c r="D32" s="176" t="s">
        <v>3433</v>
      </c>
      <c r="E32" s="174"/>
    </row>
    <row r="33" spans="1:5">
      <c r="A33" s="42" t="s">
        <v>3319</v>
      </c>
      <c r="B33" s="5" t="s">
        <v>3320</v>
      </c>
      <c r="C33" s="10" t="s">
        <v>3270</v>
      </c>
      <c r="D33" s="176" t="s">
        <v>3433</v>
      </c>
      <c r="E33" s="174"/>
    </row>
    <row r="34" spans="1:5">
      <c r="A34" s="42" t="s">
        <v>3321</v>
      </c>
      <c r="B34" s="5" t="s">
        <v>3322</v>
      </c>
      <c r="C34" s="10" t="s">
        <v>3270</v>
      </c>
      <c r="D34" s="176" t="s">
        <v>3433</v>
      </c>
      <c r="E34" s="174"/>
    </row>
    <row r="35" spans="1:5">
      <c r="A35" s="42" t="s">
        <v>3323</v>
      </c>
      <c r="B35" s="5" t="s">
        <v>3324</v>
      </c>
      <c r="C35" s="10" t="s">
        <v>3270</v>
      </c>
      <c r="D35" s="176" t="s">
        <v>3433</v>
      </c>
      <c r="E35" s="174"/>
    </row>
    <row r="36" spans="1:5">
      <c r="A36" s="42" t="s">
        <v>3325</v>
      </c>
      <c r="B36" s="5" t="s">
        <v>3326</v>
      </c>
      <c r="C36" s="10" t="s">
        <v>3270</v>
      </c>
      <c r="D36" s="176" t="s">
        <v>3433</v>
      </c>
      <c r="E36" s="174"/>
    </row>
    <row r="37" spans="1:5">
      <c r="A37" s="42" t="s">
        <v>3327</v>
      </c>
      <c r="B37" s="5" t="s">
        <v>3328</v>
      </c>
      <c r="C37" s="10" t="s">
        <v>3270</v>
      </c>
      <c r="D37" s="176" t="s">
        <v>3432</v>
      </c>
      <c r="E37" s="174"/>
    </row>
    <row r="38" spans="1:5">
      <c r="A38" s="42" t="s">
        <v>3329</v>
      </c>
      <c r="B38" s="5" t="s">
        <v>3330</v>
      </c>
      <c r="C38" s="10" t="s">
        <v>3270</v>
      </c>
      <c r="D38" s="176" t="s">
        <v>3331</v>
      </c>
      <c r="E38" s="174" t="s">
        <v>3332</v>
      </c>
    </row>
    <row r="39" spans="1:5">
      <c r="A39" s="42" t="s">
        <v>3333</v>
      </c>
      <c r="B39" s="5" t="s">
        <v>3334</v>
      </c>
      <c r="C39" s="10" t="s">
        <v>3270</v>
      </c>
      <c r="D39" s="176" t="s">
        <v>3434</v>
      </c>
      <c r="E39" s="174"/>
    </row>
    <row r="40" spans="1:5">
      <c r="A40" s="42" t="s">
        <v>3335</v>
      </c>
      <c r="B40" s="5" t="s">
        <v>3336</v>
      </c>
      <c r="C40" s="10" t="s">
        <v>3270</v>
      </c>
      <c r="D40" s="176" t="s">
        <v>3434</v>
      </c>
      <c r="E40" s="174"/>
    </row>
    <row r="41" spans="1:5">
      <c r="A41" s="42" t="s">
        <v>3337</v>
      </c>
      <c r="B41" s="5" t="s">
        <v>3338</v>
      </c>
      <c r="C41" s="10" t="s">
        <v>3339</v>
      </c>
      <c r="D41" s="176" t="s">
        <v>3434</v>
      </c>
      <c r="E41" s="174" t="s">
        <v>3340</v>
      </c>
    </row>
    <row r="42" spans="1:5">
      <c r="A42" s="42" t="s">
        <v>3341</v>
      </c>
      <c r="B42" s="5" t="s">
        <v>3342</v>
      </c>
      <c r="C42" s="10" t="s">
        <v>3270</v>
      </c>
      <c r="D42" s="176" t="s">
        <v>3434</v>
      </c>
      <c r="E42" s="174"/>
    </row>
    <row r="43" spans="1:5">
      <c r="A43" s="42" t="s">
        <v>3343</v>
      </c>
      <c r="B43" s="5" t="s">
        <v>3344</v>
      </c>
      <c r="C43" s="10" t="s">
        <v>3270</v>
      </c>
      <c r="D43" s="176" t="s">
        <v>3434</v>
      </c>
      <c r="E43" s="174"/>
    </row>
    <row r="44" spans="1:5">
      <c r="A44" s="42" t="s">
        <v>3345</v>
      </c>
      <c r="B44" s="5" t="s">
        <v>3346</v>
      </c>
      <c r="C44" s="10" t="s">
        <v>3270</v>
      </c>
      <c r="D44" s="176" t="s">
        <v>3347</v>
      </c>
      <c r="E44" s="174" t="s">
        <v>3348</v>
      </c>
    </row>
    <row r="45" spans="1:5">
      <c r="A45" s="42" t="s">
        <v>3349</v>
      </c>
      <c r="B45" s="5" t="s">
        <v>3350</v>
      </c>
      <c r="C45" s="10" t="s">
        <v>3351</v>
      </c>
      <c r="D45" s="176" t="s">
        <v>3435</v>
      </c>
      <c r="E45" s="174" t="s">
        <v>3352</v>
      </c>
    </row>
    <row r="46" spans="1:5">
      <c r="A46" s="42" t="s">
        <v>3353</v>
      </c>
      <c r="B46" s="5" t="s">
        <v>3354</v>
      </c>
      <c r="C46" s="10" t="s">
        <v>3270</v>
      </c>
      <c r="D46" s="176" t="s">
        <v>3347</v>
      </c>
      <c r="E46" s="174" t="s">
        <v>3355</v>
      </c>
    </row>
    <row r="47" spans="1:5">
      <c r="A47" s="42" t="s">
        <v>3356</v>
      </c>
      <c r="B47" s="5" t="s">
        <v>3357</v>
      </c>
      <c r="C47" s="10" t="s">
        <v>3270</v>
      </c>
      <c r="D47" s="176" t="s">
        <v>3435</v>
      </c>
      <c r="E47" s="174"/>
    </row>
    <row r="48" spans="1:5">
      <c r="A48" s="42" t="s">
        <v>3358</v>
      </c>
      <c r="B48" s="5" t="s">
        <v>3359</v>
      </c>
      <c r="C48" s="10" t="s">
        <v>3270</v>
      </c>
      <c r="D48" s="176" t="s">
        <v>3435</v>
      </c>
      <c r="E48" s="174" t="s">
        <v>3360</v>
      </c>
    </row>
    <row r="49" spans="1:5">
      <c r="A49" s="42" t="s">
        <v>3361</v>
      </c>
      <c r="B49" s="5" t="s">
        <v>3362</v>
      </c>
      <c r="C49" s="10" t="s">
        <v>3270</v>
      </c>
      <c r="D49" s="176" t="s">
        <v>3435</v>
      </c>
      <c r="E49" s="174"/>
    </row>
    <row r="50" spans="1:5">
      <c r="A50" s="42" t="s">
        <v>3363</v>
      </c>
      <c r="B50" s="5" t="s">
        <v>3364</v>
      </c>
      <c r="C50" s="10" t="s">
        <v>3270</v>
      </c>
      <c r="D50" s="176" t="s">
        <v>3435</v>
      </c>
      <c r="E50" s="174"/>
    </row>
    <row r="51" spans="1:5">
      <c r="A51" s="42" t="s">
        <v>3365</v>
      </c>
      <c r="B51" s="5" t="s">
        <v>3366</v>
      </c>
      <c r="C51" s="10" t="s">
        <v>3270</v>
      </c>
      <c r="D51" s="176" t="s">
        <v>3435</v>
      </c>
      <c r="E51" s="174"/>
    </row>
    <row r="52" spans="1:5">
      <c r="A52" s="42" t="s">
        <v>3367</v>
      </c>
      <c r="B52" s="5" t="s">
        <v>3368</v>
      </c>
      <c r="C52" s="10" t="s">
        <v>3270</v>
      </c>
      <c r="D52" s="176" t="s">
        <v>3435</v>
      </c>
      <c r="E52" s="174"/>
    </row>
    <row r="53" spans="1:5">
      <c r="A53" s="42" t="s">
        <v>3369</v>
      </c>
      <c r="B53" s="5" t="s">
        <v>3370</v>
      </c>
      <c r="C53" s="10" t="s">
        <v>3270</v>
      </c>
      <c r="D53" s="176" t="s">
        <v>3435</v>
      </c>
      <c r="E53" s="174"/>
    </row>
    <row r="54" spans="1:5">
      <c r="A54" s="42" t="s">
        <v>3371</v>
      </c>
      <c r="B54" s="5" t="s">
        <v>3372</v>
      </c>
      <c r="C54" s="10" t="s">
        <v>3270</v>
      </c>
      <c r="D54" s="176" t="s">
        <v>3435</v>
      </c>
      <c r="E54" s="174"/>
    </row>
    <row r="55" spans="1:5">
      <c r="A55" s="42" t="s">
        <v>3373</v>
      </c>
      <c r="B55" s="5" t="s">
        <v>3374</v>
      </c>
      <c r="C55" s="10" t="s">
        <v>3270</v>
      </c>
      <c r="D55" s="176" t="s">
        <v>3435</v>
      </c>
      <c r="E55" s="174"/>
    </row>
    <row r="56" spans="1:5">
      <c r="A56" s="42" t="s">
        <v>3375</v>
      </c>
      <c r="B56" s="5" t="s">
        <v>3376</v>
      </c>
      <c r="C56" s="10" t="s">
        <v>3270</v>
      </c>
      <c r="D56" s="176" t="s">
        <v>3347</v>
      </c>
      <c r="E56" s="174" t="s">
        <v>3377</v>
      </c>
    </row>
    <row r="57" spans="1:5">
      <c r="A57" s="42" t="s">
        <v>3378</v>
      </c>
      <c r="B57" s="5" t="s">
        <v>3379</v>
      </c>
      <c r="C57" s="10" t="s">
        <v>3339</v>
      </c>
      <c r="D57" s="176" t="s">
        <v>3435</v>
      </c>
      <c r="E57" s="174" t="s">
        <v>3380</v>
      </c>
    </row>
    <row r="58" spans="1:5">
      <c r="A58" s="42" t="s">
        <v>3381</v>
      </c>
      <c r="B58" s="5" t="s">
        <v>3382</v>
      </c>
      <c r="C58" s="10" t="s">
        <v>3270</v>
      </c>
      <c r="D58" s="176" t="s">
        <v>3435</v>
      </c>
      <c r="E58" s="174"/>
    </row>
    <row r="59" spans="1:5">
      <c r="A59" s="42" t="s">
        <v>3383</v>
      </c>
      <c r="B59" s="5" t="s">
        <v>3384</v>
      </c>
      <c r="C59" s="10" t="s">
        <v>3270</v>
      </c>
      <c r="D59" s="176" t="s">
        <v>3436</v>
      </c>
      <c r="E59" s="174" t="s">
        <v>3385</v>
      </c>
    </row>
    <row r="60" spans="1:5">
      <c r="A60" s="42" t="s">
        <v>3386</v>
      </c>
      <c r="B60" s="5" t="s">
        <v>3387</v>
      </c>
      <c r="C60" s="10" t="s">
        <v>3388</v>
      </c>
      <c r="D60" s="176" t="s">
        <v>3437</v>
      </c>
      <c r="E60" s="174" t="s">
        <v>3389</v>
      </c>
    </row>
    <row r="61" spans="1:5">
      <c r="A61" s="42" t="s">
        <v>3390</v>
      </c>
      <c r="B61" s="5" t="s">
        <v>3391</v>
      </c>
      <c r="C61" s="10" t="s">
        <v>3392</v>
      </c>
      <c r="D61" s="176" t="s">
        <v>3393</v>
      </c>
      <c r="E61" s="174" t="s">
        <v>3394</v>
      </c>
    </row>
    <row r="62" spans="1:5">
      <c r="A62" s="42" t="s">
        <v>3395</v>
      </c>
      <c r="B62" s="5" t="s">
        <v>3396</v>
      </c>
      <c r="C62" s="10" t="s">
        <v>3270</v>
      </c>
      <c r="D62" s="176" t="s">
        <v>3438</v>
      </c>
      <c r="E62" s="174" t="s">
        <v>3397</v>
      </c>
    </row>
    <row r="63" spans="1:5">
      <c r="A63" s="42" t="s">
        <v>3398</v>
      </c>
      <c r="B63" s="5" t="s">
        <v>3399</v>
      </c>
      <c r="C63" s="10" t="s">
        <v>3259</v>
      </c>
      <c r="D63" s="176" t="s">
        <v>3439</v>
      </c>
      <c r="E63" s="174" t="s">
        <v>3400</v>
      </c>
    </row>
    <row r="64" spans="1:5">
      <c r="A64" s="42" t="s">
        <v>3401</v>
      </c>
      <c r="B64" s="5" t="s">
        <v>3402</v>
      </c>
      <c r="C64" s="10" t="s">
        <v>3270</v>
      </c>
      <c r="D64" s="176" t="s">
        <v>3438</v>
      </c>
      <c r="E64" s="174" t="s">
        <v>3403</v>
      </c>
    </row>
    <row r="65" spans="1:5">
      <c r="A65" s="42" t="s">
        <v>3404</v>
      </c>
      <c r="B65" s="5" t="s">
        <v>3405</v>
      </c>
      <c r="C65" s="10" t="s">
        <v>3270</v>
      </c>
      <c r="D65" s="176" t="s">
        <v>3440</v>
      </c>
      <c r="E65" s="174" t="s">
        <v>3406</v>
      </c>
    </row>
    <row r="66" spans="1:5">
      <c r="A66" s="42" t="s">
        <v>3407</v>
      </c>
      <c r="B66" s="5" t="s">
        <v>3408</v>
      </c>
      <c r="C66" s="10" t="s">
        <v>3259</v>
      </c>
      <c r="D66" s="176" t="s">
        <v>3409</v>
      </c>
      <c r="E66" s="174" t="s">
        <v>3410</v>
      </c>
    </row>
    <row r="67" spans="1:5">
      <c r="A67" s="42" t="s">
        <v>3411</v>
      </c>
      <c r="B67" s="5" t="s">
        <v>3412</v>
      </c>
      <c r="C67" s="10" t="s">
        <v>3270</v>
      </c>
      <c r="D67" s="176" t="s">
        <v>3413</v>
      </c>
      <c r="E67" s="174" t="s">
        <v>3414</v>
      </c>
    </row>
    <row r="68" spans="1:5">
      <c r="A68" s="42" t="s">
        <v>3415</v>
      </c>
      <c r="B68" s="5" t="s">
        <v>3416</v>
      </c>
      <c r="C68" s="10" t="s">
        <v>3270</v>
      </c>
      <c r="D68" s="176" t="s">
        <v>3441</v>
      </c>
      <c r="E68" s="174" t="s">
        <v>3417</v>
      </c>
    </row>
    <row r="69" spans="1:5">
      <c r="A69" s="42" t="s">
        <v>3173</v>
      </c>
      <c r="B69" s="5" t="s">
        <v>3418</v>
      </c>
      <c r="C69" s="10" t="s">
        <v>3270</v>
      </c>
      <c r="D69" s="176" t="s">
        <v>3442</v>
      </c>
      <c r="E69" s="174" t="s">
        <v>3419</v>
      </c>
    </row>
    <row r="70" spans="1:5">
      <c r="A70" s="42" t="s">
        <v>1838</v>
      </c>
      <c r="B70" s="5" t="s">
        <v>1868</v>
      </c>
      <c r="C70" s="10" t="s">
        <v>3270</v>
      </c>
      <c r="D70" s="176" t="s">
        <v>3443</v>
      </c>
      <c r="E70" s="174" t="s">
        <v>3420</v>
      </c>
    </row>
    <row r="71" spans="1:5">
      <c r="A71" s="42" t="s">
        <v>1839</v>
      </c>
      <c r="B71" s="5" t="s">
        <v>1840</v>
      </c>
      <c r="C71" s="10" t="s">
        <v>3270</v>
      </c>
      <c r="D71" s="176" t="s">
        <v>3443</v>
      </c>
      <c r="E71" s="174" t="s">
        <v>3421</v>
      </c>
    </row>
    <row r="72" spans="1:5">
      <c r="A72" s="43" t="s">
        <v>1841</v>
      </c>
      <c r="B72" s="6" t="s">
        <v>1842</v>
      </c>
      <c r="C72" s="11" t="s">
        <v>3270</v>
      </c>
      <c r="D72" s="177" t="s">
        <v>3443</v>
      </c>
      <c r="E72" s="175" t="s">
        <v>3422</v>
      </c>
    </row>
  </sheetData>
  <autoFilter ref="A5:E72" xr:uid="{A4DEADF9-EFAE-A14D-BC4F-3F04ADDCB1E4}"/>
  <phoneticPr fontId="2"/>
  <conditionalFormatting sqref="A6:E72">
    <cfRule type="expression" dxfId="10" priority="1">
      <formula>$C6="Accepted"</formula>
    </cfRule>
  </conditionalFormatting>
  <conditionalFormatting sqref="A6:E72">
    <cfRule type="expression" dxfId="9" priority="2">
      <formula>$C6="Accepted (Phase 1)"</formula>
    </cfRule>
  </conditionalFormatting>
  <conditionalFormatting sqref="A6:E72">
    <cfRule type="expression" dxfId="8" priority="3">
      <formula>$C6="Accepted（条件付き）"</formula>
    </cfRule>
  </conditionalFormatting>
  <conditionalFormatting sqref="A6:E72">
    <cfRule type="expression" dxfId="7" priority="4">
      <formula>$C6="Scope Reduced"</formula>
    </cfRule>
  </conditionalFormatting>
  <conditionalFormatting sqref="A6:E72">
    <cfRule type="expression" dxfId="6" priority="5">
      <formula>$C6="Out of Scope"</formula>
    </cfRule>
  </conditionalFormatting>
  <conditionalFormatting sqref="A6:E72">
    <cfRule type="expression" dxfId="5" priority="6">
      <formula>$A6="ADR-061"</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X108"/>
  <sheetViews>
    <sheetView tabSelected="1" topLeftCell="B1" zoomScale="125" workbookViewId="0">
      <pane ySplit="5" topLeftCell="A6" activePane="bottomLeft" state="frozen"/>
      <selection pane="bottomLeft" activeCell="F16" sqref="F16"/>
    </sheetView>
  </sheetViews>
  <sheetFormatPr baseColWidth="10" defaultRowHeight="20"/>
  <cols>
    <col min="1" max="1" width="15" customWidth="1"/>
    <col min="2" max="2" width="23.5703125" customWidth="1"/>
    <col min="3" max="3" width="35.7109375" customWidth="1"/>
    <col min="4" max="4" width="14.28515625" customWidth="1"/>
    <col min="5" max="5" width="45.7109375" customWidth="1"/>
    <col min="6" max="6" width="57.140625" customWidth="1"/>
    <col min="7" max="7" width="27.140625" customWidth="1"/>
    <col min="8" max="8" width="17.85546875" customWidth="1"/>
    <col min="9" max="9" width="10.7109375" customWidth="1"/>
    <col min="10" max="10" width="15.7109375" customWidth="1"/>
    <col min="11" max="12" width="12.140625" customWidth="1"/>
    <col min="13" max="13" width="18.5703125" customWidth="1"/>
    <col min="14" max="14" width="21.42578125" customWidth="1"/>
    <col min="15" max="15" width="19.28515625" customWidth="1"/>
    <col min="16" max="16" width="24.28515625" customWidth="1"/>
    <col min="17" max="17" width="10" customWidth="1"/>
    <col min="18" max="18" width="40" customWidth="1"/>
    <col min="19" max="19" width="100" customWidth="1"/>
    <col min="20" max="20" width="74.28515625" customWidth="1"/>
    <col min="21" max="23" width="13.5703125" customWidth="1"/>
    <col min="24" max="24" width="15.7109375" customWidth="1"/>
  </cols>
  <sheetData>
    <row r="1" spans="1:24" ht="25">
      <c r="A1" s="40" t="s">
        <v>2695</v>
      </c>
    </row>
    <row r="2" spans="1:24">
      <c r="A2" s="3" t="s">
        <v>3215</v>
      </c>
    </row>
    <row r="3" spans="1:24">
      <c r="A3" s="45" t="s">
        <v>3216</v>
      </c>
    </row>
    <row r="4" spans="1:24">
      <c r="R4" s="167" t="s">
        <v>3217</v>
      </c>
    </row>
    <row r="5" spans="1:24" ht="26" customHeight="1">
      <c r="A5" s="7" t="s">
        <v>3054</v>
      </c>
      <c r="B5" s="8" t="s">
        <v>3055</v>
      </c>
      <c r="C5" s="8" t="s">
        <v>3056</v>
      </c>
      <c r="D5" s="8" t="s">
        <v>3057</v>
      </c>
      <c r="E5" s="8" t="s">
        <v>3058</v>
      </c>
      <c r="F5" s="8" t="s">
        <v>3059</v>
      </c>
      <c r="G5" s="8" t="s">
        <v>3060</v>
      </c>
      <c r="H5" s="8" t="s">
        <v>3061</v>
      </c>
      <c r="I5" s="8" t="s">
        <v>3062</v>
      </c>
      <c r="J5" s="8" t="s">
        <v>3063</v>
      </c>
      <c r="K5" s="8" t="s">
        <v>3065</v>
      </c>
      <c r="L5" s="8" t="s">
        <v>3067</v>
      </c>
      <c r="M5" s="8" t="s">
        <v>3068</v>
      </c>
      <c r="N5" s="8" t="s">
        <v>3069</v>
      </c>
      <c r="O5" s="8" t="s">
        <v>3070</v>
      </c>
      <c r="P5" s="9" t="s">
        <v>3071</v>
      </c>
      <c r="R5" s="15" t="s">
        <v>3218</v>
      </c>
      <c r="S5" s="16" t="s">
        <v>3048</v>
      </c>
      <c r="T5" s="16" t="s">
        <v>3219</v>
      </c>
      <c r="U5" s="16" t="s">
        <v>3064</v>
      </c>
      <c r="V5" s="16" t="s">
        <v>3066</v>
      </c>
      <c r="W5" s="16" t="s">
        <v>3220</v>
      </c>
      <c r="X5" s="17" t="s">
        <v>3221</v>
      </c>
    </row>
    <row r="6" spans="1:24">
      <c r="A6" s="42" t="s">
        <v>2696</v>
      </c>
      <c r="B6" s="5" t="s">
        <v>700</v>
      </c>
      <c r="C6" s="5" t="s">
        <v>2697</v>
      </c>
      <c r="D6" s="10" t="s">
        <v>2698</v>
      </c>
      <c r="E6" s="5" t="s">
        <v>2699</v>
      </c>
      <c r="F6" s="5" t="s">
        <v>2700</v>
      </c>
      <c r="G6" s="147" t="s">
        <v>2701</v>
      </c>
      <c r="H6" s="10" t="s">
        <v>2702</v>
      </c>
      <c r="I6" s="10" t="s">
        <v>2703</v>
      </c>
      <c r="J6" s="165">
        <v>4</v>
      </c>
      <c r="K6" s="163">
        <v>1.6</v>
      </c>
      <c r="L6" s="163">
        <v>2.4</v>
      </c>
      <c r="M6" s="10" t="s">
        <v>3072</v>
      </c>
      <c r="N6" s="10" t="s">
        <v>2704</v>
      </c>
      <c r="O6" s="147" t="s">
        <v>2705</v>
      </c>
      <c r="P6" s="149" t="s">
        <v>3073</v>
      </c>
      <c r="R6" s="18" t="s">
        <v>700</v>
      </c>
      <c r="S6" s="23">
        <f>COUNTIF($B$6:$B$108,$R6)</f>
        <v>10</v>
      </c>
      <c r="T6" s="23">
        <f>SUMIF($B$6:$B$108,$R6,$J$6:$J$108)</f>
        <v>106</v>
      </c>
      <c r="U6" s="23">
        <f>SUMIF($B$6:$B$108,$R6,$K$6:$K$108)</f>
        <v>42.400000000000006</v>
      </c>
      <c r="V6" s="23">
        <f>SUMIF($B$6:$B$108,$R6,$L$6:$L$108)</f>
        <v>63.599999999999994</v>
      </c>
      <c r="W6" s="23">
        <v>12</v>
      </c>
      <c r="X6" s="152">
        <f>U6+V6+W6</f>
        <v>118</v>
      </c>
    </row>
    <row r="7" spans="1:24">
      <c r="A7" s="42" t="s">
        <v>2706</v>
      </c>
      <c r="B7" s="5" t="s">
        <v>700</v>
      </c>
      <c r="C7" s="5" t="s">
        <v>2707</v>
      </c>
      <c r="D7" s="10" t="s">
        <v>2698</v>
      </c>
      <c r="E7" s="5" t="s">
        <v>2708</v>
      </c>
      <c r="F7" s="5" t="s">
        <v>3074</v>
      </c>
      <c r="G7" s="147" t="s">
        <v>2709</v>
      </c>
      <c r="H7" s="10" t="s">
        <v>705</v>
      </c>
      <c r="I7" s="10" t="s">
        <v>2710</v>
      </c>
      <c r="J7" s="165">
        <v>10</v>
      </c>
      <c r="K7" s="163">
        <v>4</v>
      </c>
      <c r="L7" s="163">
        <v>6</v>
      </c>
      <c r="M7" s="10" t="s">
        <v>3072</v>
      </c>
      <c r="N7" s="10" t="s">
        <v>2711</v>
      </c>
      <c r="O7" s="147" t="s">
        <v>2705</v>
      </c>
      <c r="P7" s="149" t="s">
        <v>3073</v>
      </c>
      <c r="R7" s="18" t="s">
        <v>712</v>
      </c>
      <c r="S7" s="23">
        <f>COUNTIF($B$6:$B$108,$R7)</f>
        <v>11</v>
      </c>
      <c r="T7" s="23">
        <f>SUMIF($B$6:$B$108,$R7,$J$6:$J$108)</f>
        <v>134</v>
      </c>
      <c r="U7" s="23">
        <f>SUMIF($B$6:$B$108,$R7,$K$6:$K$108)</f>
        <v>53.6</v>
      </c>
      <c r="V7" s="23">
        <f>SUMIF($B$6:$B$108,$R7,$L$6:$L$108)</f>
        <v>80.400000000000006</v>
      </c>
      <c r="W7" s="23">
        <v>22</v>
      </c>
      <c r="X7" s="152">
        <f>U7+V7+W7</f>
        <v>156</v>
      </c>
    </row>
    <row r="8" spans="1:24">
      <c r="A8" s="42" t="s">
        <v>2712</v>
      </c>
      <c r="B8" s="5" t="s">
        <v>700</v>
      </c>
      <c r="C8" s="5" t="s">
        <v>2713</v>
      </c>
      <c r="D8" s="10" t="s">
        <v>2698</v>
      </c>
      <c r="E8" s="5" t="s">
        <v>2714</v>
      </c>
      <c r="F8" s="5" t="s">
        <v>2715</v>
      </c>
      <c r="G8" s="147" t="s">
        <v>2716</v>
      </c>
      <c r="H8" s="10" t="s">
        <v>705</v>
      </c>
      <c r="I8" s="10" t="s">
        <v>2710</v>
      </c>
      <c r="J8" s="165">
        <v>11</v>
      </c>
      <c r="K8" s="163">
        <v>4.4000000000000004</v>
      </c>
      <c r="L8" s="163">
        <v>6.6</v>
      </c>
      <c r="M8" s="10" t="s">
        <v>3072</v>
      </c>
      <c r="N8" s="10" t="s">
        <v>2711</v>
      </c>
      <c r="O8" s="147" t="s">
        <v>2705</v>
      </c>
      <c r="P8" s="149" t="s">
        <v>3073</v>
      </c>
      <c r="R8" s="18" t="s">
        <v>1433</v>
      </c>
      <c r="S8" s="23">
        <f>COUNTIF($B$6:$B$108,$R8)</f>
        <v>11</v>
      </c>
      <c r="T8" s="23">
        <f>SUMIF($B$6:$B$108,$R8,$J$6:$J$108)</f>
        <v>74</v>
      </c>
      <c r="U8" s="23">
        <f>SUMIF($B$6:$B$108,$R8,$K$6:$K$108)</f>
        <v>29.600000000000005</v>
      </c>
      <c r="V8" s="23">
        <f>SUMIF($B$6:$B$108,$R8,$L$6:$L$108)</f>
        <v>44.399999999999991</v>
      </c>
      <c r="W8" s="23">
        <v>10</v>
      </c>
      <c r="X8" s="152">
        <f>U8+V8+W8</f>
        <v>84</v>
      </c>
    </row>
    <row r="9" spans="1:24">
      <c r="A9" s="42" t="s">
        <v>2716</v>
      </c>
      <c r="B9" s="5" t="s">
        <v>700</v>
      </c>
      <c r="C9" s="5" t="s">
        <v>2717</v>
      </c>
      <c r="D9" s="10" t="s">
        <v>2718</v>
      </c>
      <c r="E9" s="5" t="s">
        <v>2719</v>
      </c>
      <c r="F9" s="5" t="s">
        <v>2720</v>
      </c>
      <c r="G9" s="147" t="s">
        <v>2712</v>
      </c>
      <c r="H9" s="10" t="s">
        <v>705</v>
      </c>
      <c r="I9" s="10" t="s">
        <v>2721</v>
      </c>
      <c r="J9" s="165">
        <v>24</v>
      </c>
      <c r="K9" s="163">
        <v>9.6</v>
      </c>
      <c r="L9" s="163">
        <v>14.4</v>
      </c>
      <c r="M9" s="10" t="s">
        <v>3072</v>
      </c>
      <c r="N9" s="10" t="s">
        <v>2711</v>
      </c>
      <c r="O9" s="147" t="s">
        <v>2705</v>
      </c>
      <c r="P9" s="149" t="s">
        <v>3073</v>
      </c>
      <c r="R9" s="18" t="s">
        <v>1293</v>
      </c>
      <c r="S9" s="23">
        <f>COUNTIF($B$6:$B$108,$R9)</f>
        <v>8</v>
      </c>
      <c r="T9" s="23">
        <f>SUMIF($B$6:$B$108,$R9,$J$6:$J$108)</f>
        <v>74</v>
      </c>
      <c r="U9" s="23">
        <f>SUMIF($B$6:$B$108,$R9,$K$6:$K$108)</f>
        <v>29.6</v>
      </c>
      <c r="V9" s="23">
        <f>SUMIF($B$6:$B$108,$R9,$L$6:$L$108)</f>
        <v>44.4</v>
      </c>
      <c r="W9" s="23">
        <v>10</v>
      </c>
      <c r="X9" s="152">
        <f>U9+V9+W9</f>
        <v>84</v>
      </c>
    </row>
    <row r="10" spans="1:24">
      <c r="A10" s="42" t="s">
        <v>2722</v>
      </c>
      <c r="B10" s="5" t="s">
        <v>700</v>
      </c>
      <c r="C10" s="5" t="s">
        <v>2723</v>
      </c>
      <c r="D10" s="10" t="s">
        <v>2698</v>
      </c>
      <c r="E10" s="5" t="s">
        <v>2724</v>
      </c>
      <c r="F10" s="5" t="s">
        <v>2725</v>
      </c>
      <c r="G10" s="147" t="s">
        <v>2726</v>
      </c>
      <c r="H10" s="10" t="s">
        <v>2702</v>
      </c>
      <c r="I10" s="10" t="s">
        <v>2703</v>
      </c>
      <c r="J10" s="165">
        <v>4</v>
      </c>
      <c r="K10" s="163">
        <v>1.6</v>
      </c>
      <c r="L10" s="163">
        <v>2.4</v>
      </c>
      <c r="M10" s="10" t="s">
        <v>3072</v>
      </c>
      <c r="N10" s="10" t="s">
        <v>2704</v>
      </c>
      <c r="O10" s="147" t="s">
        <v>2705</v>
      </c>
      <c r="P10" s="149" t="s">
        <v>3073</v>
      </c>
      <c r="R10" s="18" t="s">
        <v>716</v>
      </c>
      <c r="S10" s="23">
        <f>COUNTIF($B$6:$B$108,$R10)</f>
        <v>13</v>
      </c>
      <c r="T10" s="23">
        <f>SUMIF($B$6:$B$108,$R10,$J$6:$J$108)</f>
        <v>138</v>
      </c>
      <c r="U10" s="23">
        <f>SUMIF($B$6:$B$108,$R10,$K$6:$K$108)</f>
        <v>55.2</v>
      </c>
      <c r="V10" s="23">
        <f>SUMIF($B$6:$B$108,$R10,$L$6:$L$108)</f>
        <v>82.8</v>
      </c>
      <c r="W10" s="23">
        <v>16</v>
      </c>
      <c r="X10" s="152">
        <f>U10+V10+W10</f>
        <v>154</v>
      </c>
    </row>
    <row r="11" spans="1:24">
      <c r="A11" s="42" t="s">
        <v>2727</v>
      </c>
      <c r="B11" s="5" t="s">
        <v>700</v>
      </c>
      <c r="C11" s="5" t="s">
        <v>2728</v>
      </c>
      <c r="D11" s="10" t="s">
        <v>2698</v>
      </c>
      <c r="E11" s="5" t="s">
        <v>2729</v>
      </c>
      <c r="F11" s="5" t="s">
        <v>2730</v>
      </c>
      <c r="G11" s="147" t="s">
        <v>2696</v>
      </c>
      <c r="H11" s="10" t="s">
        <v>709</v>
      </c>
      <c r="I11" s="10" t="s">
        <v>2710</v>
      </c>
      <c r="J11" s="165">
        <v>9</v>
      </c>
      <c r="K11" s="163">
        <v>3.6</v>
      </c>
      <c r="L11" s="163">
        <v>5.4</v>
      </c>
      <c r="M11" s="10" t="s">
        <v>3072</v>
      </c>
      <c r="N11" s="10" t="s">
        <v>2711</v>
      </c>
      <c r="O11" s="147" t="s">
        <v>2705</v>
      </c>
      <c r="P11" s="149" t="s">
        <v>3073</v>
      </c>
      <c r="R11" s="18" t="s">
        <v>724</v>
      </c>
      <c r="S11" s="23">
        <f>COUNTIF($B$6:$B$108,$R11)</f>
        <v>15</v>
      </c>
      <c r="T11" s="23">
        <f>SUMIF($B$6:$B$108,$R11,$J$6:$J$108)</f>
        <v>156</v>
      </c>
      <c r="U11" s="23">
        <f>SUMIF($B$6:$B$108,$R11,$K$6:$K$108)</f>
        <v>62.400000000000006</v>
      </c>
      <c r="V11" s="23">
        <f>SUMIF($B$6:$B$108,$R11,$L$6:$L$108)</f>
        <v>93.600000000000023</v>
      </c>
      <c r="W11" s="23">
        <v>18</v>
      </c>
      <c r="X11" s="152">
        <f>U11+V11+W11</f>
        <v>174.00000000000003</v>
      </c>
    </row>
    <row r="12" spans="1:24">
      <c r="A12" s="42" t="s">
        <v>2731</v>
      </c>
      <c r="B12" s="5" t="s">
        <v>700</v>
      </c>
      <c r="C12" s="5" t="s">
        <v>2732</v>
      </c>
      <c r="D12" s="10" t="s">
        <v>2698</v>
      </c>
      <c r="E12" s="5" t="s">
        <v>2733</v>
      </c>
      <c r="F12" s="5" t="s">
        <v>2734</v>
      </c>
      <c r="G12" s="147" t="s">
        <v>2696</v>
      </c>
      <c r="H12" s="10" t="s">
        <v>2702</v>
      </c>
      <c r="I12" s="10" t="s">
        <v>2703</v>
      </c>
      <c r="J12" s="165">
        <v>4</v>
      </c>
      <c r="K12" s="163">
        <v>1.6</v>
      </c>
      <c r="L12" s="163">
        <v>2.4</v>
      </c>
      <c r="M12" s="10" t="s">
        <v>3072</v>
      </c>
      <c r="N12" s="10" t="s">
        <v>2704</v>
      </c>
      <c r="O12" s="147" t="s">
        <v>2705</v>
      </c>
      <c r="P12" s="149" t="s">
        <v>3073</v>
      </c>
      <c r="R12" s="18" t="s">
        <v>728</v>
      </c>
      <c r="S12" s="23">
        <f>COUNTIF($B$6:$B$108,$R12)</f>
        <v>12</v>
      </c>
      <c r="T12" s="23">
        <f>SUMIF($B$6:$B$108,$R12,$J$6:$J$108)</f>
        <v>102</v>
      </c>
      <c r="U12" s="23">
        <f>SUMIF($B$6:$B$108,$R12,$K$6:$K$108)</f>
        <v>40.800000000000004</v>
      </c>
      <c r="V12" s="23">
        <f>SUMIF($B$6:$B$108,$R12,$L$6:$L$108)</f>
        <v>61.199999999999989</v>
      </c>
      <c r="W12" s="23">
        <v>20</v>
      </c>
      <c r="X12" s="152">
        <f>U12+V12+W12</f>
        <v>122</v>
      </c>
    </row>
    <row r="13" spans="1:24">
      <c r="A13" s="42" t="s">
        <v>2735</v>
      </c>
      <c r="B13" s="5" t="s">
        <v>700</v>
      </c>
      <c r="C13" s="5" t="s">
        <v>2736</v>
      </c>
      <c r="D13" s="10" t="s">
        <v>2737</v>
      </c>
      <c r="E13" s="5" t="s">
        <v>2738</v>
      </c>
      <c r="F13" s="5" t="s">
        <v>2739</v>
      </c>
      <c r="G13" s="147" t="s">
        <v>2740</v>
      </c>
      <c r="H13" s="10" t="s">
        <v>701</v>
      </c>
      <c r="I13" s="10" t="s">
        <v>2710</v>
      </c>
      <c r="J13" s="165">
        <v>12</v>
      </c>
      <c r="K13" s="163">
        <v>4.8</v>
      </c>
      <c r="L13" s="163">
        <v>7.2</v>
      </c>
      <c r="M13" s="10" t="s">
        <v>3072</v>
      </c>
      <c r="N13" s="10" t="s">
        <v>2711</v>
      </c>
      <c r="O13" s="147" t="s">
        <v>2705</v>
      </c>
      <c r="P13" s="149" t="s">
        <v>3073</v>
      </c>
      <c r="R13" s="18" t="s">
        <v>2979</v>
      </c>
      <c r="S13" s="23">
        <f>COUNTIF($B$6:$B$108,$R13)</f>
        <v>3</v>
      </c>
      <c r="T13" s="23">
        <f>SUMIF($B$6:$B$108,$R13,$J$6:$J$108)</f>
        <v>48</v>
      </c>
      <c r="U13" s="23">
        <f>SUMIF($B$6:$B$108,$R13,$K$6:$K$108)</f>
        <v>19.2</v>
      </c>
      <c r="V13" s="23">
        <f>SUMIF($B$6:$B$108,$R13,$L$6:$L$108)</f>
        <v>28.8</v>
      </c>
      <c r="W13" s="23">
        <v>0</v>
      </c>
      <c r="X13" s="152">
        <f>U13+V13+W13</f>
        <v>48</v>
      </c>
    </row>
    <row r="14" spans="1:24">
      <c r="A14" s="42" t="s">
        <v>3075</v>
      </c>
      <c r="B14" s="5" t="s">
        <v>700</v>
      </c>
      <c r="C14" s="5" t="s">
        <v>3076</v>
      </c>
      <c r="D14" s="10" t="s">
        <v>2816</v>
      </c>
      <c r="E14" s="5" t="s">
        <v>3077</v>
      </c>
      <c r="F14" s="5" t="s">
        <v>3078</v>
      </c>
      <c r="G14" s="147" t="s">
        <v>2696</v>
      </c>
      <c r="H14" s="10" t="s">
        <v>2702</v>
      </c>
      <c r="I14" s="10" t="s">
        <v>2721</v>
      </c>
      <c r="J14" s="165">
        <v>18</v>
      </c>
      <c r="K14" s="163">
        <v>7.2</v>
      </c>
      <c r="L14" s="163">
        <v>10.8</v>
      </c>
      <c r="M14" s="10" t="s">
        <v>3079</v>
      </c>
      <c r="N14" s="10" t="s">
        <v>3080</v>
      </c>
      <c r="O14" s="147" t="s">
        <v>3081</v>
      </c>
      <c r="P14" s="149" t="s">
        <v>3082</v>
      </c>
      <c r="R14" s="18" t="s">
        <v>2987</v>
      </c>
      <c r="S14" s="23">
        <f>COUNTIF($B$6:$B$108,$R14)</f>
        <v>9</v>
      </c>
      <c r="T14" s="23">
        <f>SUMIF($B$6:$B$108,$R14,$J$6:$J$108)</f>
        <v>102</v>
      </c>
      <c r="U14" s="23">
        <f>SUMIF($B$6:$B$108,$R14,$K$6:$K$108)</f>
        <v>40.800000000000004</v>
      </c>
      <c r="V14" s="23">
        <f>SUMIF($B$6:$B$108,$R14,$L$6:$L$108)</f>
        <v>61.2</v>
      </c>
      <c r="W14" s="23">
        <v>14</v>
      </c>
      <c r="X14" s="152">
        <f>U14+V14+W14</f>
        <v>116</v>
      </c>
    </row>
    <row r="15" spans="1:24">
      <c r="A15" s="42" t="s">
        <v>3083</v>
      </c>
      <c r="B15" s="5" t="s">
        <v>700</v>
      </c>
      <c r="C15" s="5" t="s">
        <v>3084</v>
      </c>
      <c r="D15" s="10" t="s">
        <v>2698</v>
      </c>
      <c r="E15" s="5" t="s">
        <v>3085</v>
      </c>
      <c r="F15" s="5" t="s">
        <v>3086</v>
      </c>
      <c r="G15" s="147" t="s">
        <v>2706</v>
      </c>
      <c r="H15" s="10" t="s">
        <v>2702</v>
      </c>
      <c r="I15" s="10" t="s">
        <v>2710</v>
      </c>
      <c r="J15" s="165">
        <v>10</v>
      </c>
      <c r="K15" s="163">
        <v>4</v>
      </c>
      <c r="L15" s="163">
        <v>6</v>
      </c>
      <c r="M15" s="10" t="s">
        <v>3072</v>
      </c>
      <c r="N15" s="10" t="s">
        <v>2704</v>
      </c>
      <c r="O15" s="147" t="s">
        <v>3081</v>
      </c>
      <c r="P15" s="149" t="s">
        <v>3087</v>
      </c>
      <c r="R15" s="18" t="s">
        <v>1626</v>
      </c>
      <c r="S15" s="23">
        <f>COUNTIF($B$6:$B$108,$R15)</f>
        <v>11</v>
      </c>
      <c r="T15" s="23">
        <f>SUMIF($B$6:$B$108,$R15,$J$6:$J$108)</f>
        <v>110</v>
      </c>
      <c r="U15" s="23">
        <f>SUMIF($B$6:$B$108,$R15,$K$6:$K$108)</f>
        <v>44</v>
      </c>
      <c r="V15" s="23">
        <f>SUMIF($B$6:$B$108,$R15,$L$6:$L$108)</f>
        <v>66</v>
      </c>
      <c r="W15" s="23">
        <v>24</v>
      </c>
      <c r="X15" s="152">
        <f>U15+V15+W15</f>
        <v>134</v>
      </c>
    </row>
    <row r="16" spans="1:24">
      <c r="A16" s="42" t="s">
        <v>2741</v>
      </c>
      <c r="B16" s="5" t="s">
        <v>712</v>
      </c>
      <c r="C16" s="5" t="s">
        <v>2742</v>
      </c>
      <c r="D16" s="10" t="s">
        <v>2743</v>
      </c>
      <c r="E16" s="5" t="s">
        <v>2744</v>
      </c>
      <c r="F16" s="5" t="s">
        <v>2745</v>
      </c>
      <c r="G16" s="147" t="s">
        <v>2746</v>
      </c>
      <c r="H16" s="10" t="s">
        <v>2702</v>
      </c>
      <c r="I16" s="10" t="s">
        <v>2710</v>
      </c>
      <c r="J16" s="165">
        <v>10</v>
      </c>
      <c r="K16" s="163">
        <v>4</v>
      </c>
      <c r="L16" s="163">
        <v>6</v>
      </c>
      <c r="M16" s="10" t="s">
        <v>3072</v>
      </c>
      <c r="N16" s="10" t="s">
        <v>2704</v>
      </c>
      <c r="O16" s="147" t="s">
        <v>2705</v>
      </c>
      <c r="P16" s="149" t="s">
        <v>3073</v>
      </c>
      <c r="R16" s="18" t="s">
        <v>3222</v>
      </c>
      <c r="S16" s="23" t="s">
        <v>2702</v>
      </c>
      <c r="T16" s="23">
        <v>0</v>
      </c>
      <c r="U16" s="23">
        <v>0</v>
      </c>
      <c r="V16" s="23">
        <v>0</v>
      </c>
      <c r="W16" s="23">
        <v>54</v>
      </c>
      <c r="X16" s="152">
        <f>W16</f>
        <v>54</v>
      </c>
    </row>
    <row r="17" spans="1:24">
      <c r="A17" s="42" t="s">
        <v>2747</v>
      </c>
      <c r="B17" s="5" t="s">
        <v>712</v>
      </c>
      <c r="C17" s="5" t="s">
        <v>2748</v>
      </c>
      <c r="D17" s="10" t="s">
        <v>2749</v>
      </c>
      <c r="E17" s="5" t="s">
        <v>2750</v>
      </c>
      <c r="F17" s="5" t="s">
        <v>2751</v>
      </c>
      <c r="G17" s="147" t="s">
        <v>2716</v>
      </c>
      <c r="H17" s="10" t="s">
        <v>705</v>
      </c>
      <c r="I17" s="10" t="s">
        <v>2710</v>
      </c>
      <c r="J17" s="165">
        <v>11</v>
      </c>
      <c r="K17" s="163">
        <v>4.4000000000000004</v>
      </c>
      <c r="L17" s="163">
        <v>6.6</v>
      </c>
      <c r="M17" s="10" t="s">
        <v>3072</v>
      </c>
      <c r="N17" s="10" t="s">
        <v>2711</v>
      </c>
      <c r="O17" s="147" t="s">
        <v>2705</v>
      </c>
      <c r="P17" s="149" t="s">
        <v>3073</v>
      </c>
      <c r="R17" s="19" t="s">
        <v>13</v>
      </c>
      <c r="S17" s="24">
        <f>SUM(S6:S16)</f>
        <v>103</v>
      </c>
      <c r="T17" s="24">
        <f>SUM(T6:T16)</f>
        <v>1044</v>
      </c>
      <c r="U17" s="24">
        <f>SUM(U6:U16)</f>
        <v>417.60000000000008</v>
      </c>
      <c r="V17" s="24">
        <f>SUM(V6:V16)</f>
        <v>626.4</v>
      </c>
      <c r="W17" s="24">
        <f>SUM(W6:W16)</f>
        <v>200</v>
      </c>
      <c r="X17" s="153">
        <f>SUM(X6:X16)</f>
        <v>1244</v>
      </c>
    </row>
    <row r="18" spans="1:24">
      <c r="A18" s="42" t="s">
        <v>2752</v>
      </c>
      <c r="B18" s="5" t="s">
        <v>712</v>
      </c>
      <c r="C18" s="5" t="s">
        <v>2753</v>
      </c>
      <c r="D18" s="10" t="s">
        <v>2754</v>
      </c>
      <c r="E18" s="5" t="s">
        <v>2755</v>
      </c>
      <c r="F18" s="5" t="s">
        <v>2756</v>
      </c>
      <c r="G18" s="147" t="s">
        <v>2741</v>
      </c>
      <c r="H18" s="10" t="s">
        <v>713</v>
      </c>
      <c r="I18" s="10" t="s">
        <v>2721</v>
      </c>
      <c r="J18" s="165">
        <v>22</v>
      </c>
      <c r="K18" s="163">
        <v>8.8000000000000007</v>
      </c>
      <c r="L18" s="163">
        <v>13.2</v>
      </c>
      <c r="M18" s="10" t="s">
        <v>3072</v>
      </c>
      <c r="N18" s="10" t="s">
        <v>2711</v>
      </c>
      <c r="O18" s="147" t="s">
        <v>2705</v>
      </c>
      <c r="P18" s="149" t="s">
        <v>3073</v>
      </c>
      <c r="R18" s="1"/>
      <c r="S18" s="1"/>
      <c r="T18" s="1"/>
      <c r="U18" s="1"/>
      <c r="V18" s="1"/>
      <c r="W18" s="1"/>
      <c r="X18" s="1"/>
    </row>
    <row r="19" spans="1:24">
      <c r="A19" s="42" t="s">
        <v>2757</v>
      </c>
      <c r="B19" s="5" t="s">
        <v>712</v>
      </c>
      <c r="C19" s="5" t="s">
        <v>2758</v>
      </c>
      <c r="D19" s="10" t="s">
        <v>2759</v>
      </c>
      <c r="E19" s="5" t="s">
        <v>2760</v>
      </c>
      <c r="F19" s="5" t="s">
        <v>2761</v>
      </c>
      <c r="G19" s="147" t="s">
        <v>2762</v>
      </c>
      <c r="H19" s="10" t="s">
        <v>713</v>
      </c>
      <c r="I19" s="10" t="s">
        <v>2721</v>
      </c>
      <c r="J19" s="165">
        <v>22</v>
      </c>
      <c r="K19" s="163">
        <v>8.8000000000000007</v>
      </c>
      <c r="L19" s="163">
        <v>13.2</v>
      </c>
      <c r="M19" s="10" t="s">
        <v>3072</v>
      </c>
      <c r="N19" s="10" t="s">
        <v>2711</v>
      </c>
      <c r="O19" s="147" t="s">
        <v>2705</v>
      </c>
      <c r="P19" s="149" t="s">
        <v>3073</v>
      </c>
      <c r="R19" s="2" t="s">
        <v>3223</v>
      </c>
      <c r="S19" s="1"/>
      <c r="T19" s="1"/>
      <c r="U19" s="1"/>
      <c r="V19" s="1"/>
      <c r="W19" s="1"/>
      <c r="X19" s="1"/>
    </row>
    <row r="20" spans="1:24">
      <c r="A20" s="42" t="s">
        <v>2763</v>
      </c>
      <c r="B20" s="5" t="s">
        <v>712</v>
      </c>
      <c r="C20" s="5" t="s">
        <v>2764</v>
      </c>
      <c r="D20" s="10" t="s">
        <v>2754</v>
      </c>
      <c r="E20" s="5" t="s">
        <v>2765</v>
      </c>
      <c r="F20" s="5" t="s">
        <v>2766</v>
      </c>
      <c r="G20" s="147" t="s">
        <v>2767</v>
      </c>
      <c r="H20" s="10" t="s">
        <v>2702</v>
      </c>
      <c r="I20" s="10" t="s">
        <v>2710</v>
      </c>
      <c r="J20" s="165">
        <v>12</v>
      </c>
      <c r="K20" s="163">
        <v>4.8</v>
      </c>
      <c r="L20" s="163">
        <v>7.2</v>
      </c>
      <c r="M20" s="10" t="s">
        <v>3072</v>
      </c>
      <c r="N20" s="10" t="s">
        <v>2704</v>
      </c>
      <c r="O20" s="147" t="s">
        <v>2705</v>
      </c>
      <c r="P20" s="149" t="s">
        <v>3073</v>
      </c>
      <c r="R20" s="170" t="s">
        <v>3224</v>
      </c>
      <c r="S20" s="171" t="s">
        <v>3225</v>
      </c>
      <c r="T20" s="172" t="s">
        <v>3226</v>
      </c>
      <c r="U20" s="1"/>
      <c r="V20" s="1"/>
      <c r="W20" s="1"/>
      <c r="X20" s="1"/>
    </row>
    <row r="21" spans="1:24">
      <c r="A21" s="42" t="s">
        <v>2768</v>
      </c>
      <c r="B21" s="5" t="s">
        <v>712</v>
      </c>
      <c r="C21" s="5" t="s">
        <v>2769</v>
      </c>
      <c r="D21" s="10" t="s">
        <v>2770</v>
      </c>
      <c r="E21" s="5" t="s">
        <v>2771</v>
      </c>
      <c r="F21" s="5" t="s">
        <v>2772</v>
      </c>
      <c r="G21" s="147" t="s">
        <v>2763</v>
      </c>
      <c r="H21" s="10" t="s">
        <v>2702</v>
      </c>
      <c r="I21" s="10" t="s">
        <v>2710</v>
      </c>
      <c r="J21" s="165">
        <v>10</v>
      </c>
      <c r="K21" s="163">
        <v>4</v>
      </c>
      <c r="L21" s="163">
        <v>6</v>
      </c>
      <c r="M21" s="160" t="s">
        <v>3072</v>
      </c>
      <c r="N21" s="10" t="s">
        <v>2704</v>
      </c>
      <c r="O21" s="147" t="s">
        <v>2705</v>
      </c>
      <c r="P21" s="149" t="s">
        <v>3073</v>
      </c>
      <c r="R21" s="18" t="s">
        <v>3227</v>
      </c>
      <c r="S21" s="23">
        <v>244</v>
      </c>
      <c r="T21" s="21" t="s">
        <v>3228</v>
      </c>
      <c r="U21" s="1"/>
      <c r="V21" s="1"/>
      <c r="W21" s="1"/>
      <c r="X21" s="1"/>
    </row>
    <row r="22" spans="1:24">
      <c r="A22" s="42" t="s">
        <v>2773</v>
      </c>
      <c r="B22" s="5" t="s">
        <v>712</v>
      </c>
      <c r="C22" s="5" t="s">
        <v>2774</v>
      </c>
      <c r="D22" s="10" t="s">
        <v>2718</v>
      </c>
      <c r="E22" s="5" t="s">
        <v>2775</v>
      </c>
      <c r="F22" s="5" t="s">
        <v>2776</v>
      </c>
      <c r="G22" s="147" t="s">
        <v>2777</v>
      </c>
      <c r="H22" s="10" t="s">
        <v>705</v>
      </c>
      <c r="I22" s="10" t="s">
        <v>2710</v>
      </c>
      <c r="J22" s="165">
        <v>11</v>
      </c>
      <c r="K22" s="163">
        <v>4.4000000000000004</v>
      </c>
      <c r="L22" s="163">
        <v>6.6</v>
      </c>
      <c r="M22" s="160" t="s">
        <v>3072</v>
      </c>
      <c r="N22" s="161" t="s">
        <v>2711</v>
      </c>
      <c r="O22" s="147" t="s">
        <v>2705</v>
      </c>
      <c r="P22" s="149" t="s">
        <v>3073</v>
      </c>
      <c r="R22" s="18" t="s">
        <v>3229</v>
      </c>
      <c r="S22" s="23">
        <f>U17</f>
        <v>417.60000000000008</v>
      </c>
      <c r="T22" s="21" t="s">
        <v>3250</v>
      </c>
      <c r="U22" s="1"/>
      <c r="V22" s="1"/>
      <c r="W22" s="1"/>
      <c r="X22" s="1"/>
    </row>
    <row r="23" spans="1:24">
      <c r="A23" s="42" t="s">
        <v>2778</v>
      </c>
      <c r="B23" s="5" t="s">
        <v>712</v>
      </c>
      <c r="C23" s="5" t="s">
        <v>2779</v>
      </c>
      <c r="D23" s="10" t="s">
        <v>2754</v>
      </c>
      <c r="E23" s="5" t="s">
        <v>2780</v>
      </c>
      <c r="F23" s="5" t="s">
        <v>2781</v>
      </c>
      <c r="G23" s="147" t="s">
        <v>2782</v>
      </c>
      <c r="H23" s="10" t="s">
        <v>2702</v>
      </c>
      <c r="I23" s="10" t="s">
        <v>2710</v>
      </c>
      <c r="J23" s="165">
        <v>12</v>
      </c>
      <c r="K23" s="163">
        <v>4.8</v>
      </c>
      <c r="L23" s="163">
        <v>7.2</v>
      </c>
      <c r="M23" s="160" t="s">
        <v>3072</v>
      </c>
      <c r="N23" s="161" t="s">
        <v>2704</v>
      </c>
      <c r="O23" s="147" t="s">
        <v>2705</v>
      </c>
      <c r="P23" s="149" t="s">
        <v>3073</v>
      </c>
      <c r="R23" s="18" t="s">
        <v>3230</v>
      </c>
      <c r="S23" s="23">
        <f>V17</f>
        <v>626.4</v>
      </c>
      <c r="T23" s="21" t="s">
        <v>3251</v>
      </c>
      <c r="U23" s="1"/>
      <c r="V23" s="1"/>
      <c r="W23" s="1"/>
      <c r="X23" s="1"/>
    </row>
    <row r="24" spans="1:24">
      <c r="A24" s="42" t="s">
        <v>3088</v>
      </c>
      <c r="B24" s="5" t="s">
        <v>712</v>
      </c>
      <c r="C24" s="5" t="s">
        <v>3089</v>
      </c>
      <c r="D24" s="10" t="s">
        <v>2754</v>
      </c>
      <c r="E24" s="5" t="s">
        <v>3090</v>
      </c>
      <c r="F24" s="5" t="s">
        <v>3091</v>
      </c>
      <c r="G24" s="147" t="s">
        <v>2763</v>
      </c>
      <c r="H24" s="10" t="s">
        <v>2702</v>
      </c>
      <c r="I24" s="10" t="s">
        <v>2710</v>
      </c>
      <c r="J24" s="165">
        <v>9</v>
      </c>
      <c r="K24" s="163">
        <v>3.6</v>
      </c>
      <c r="L24" s="163">
        <v>5.4</v>
      </c>
      <c r="M24" s="160" t="s">
        <v>3072</v>
      </c>
      <c r="N24" s="162" t="s">
        <v>2704</v>
      </c>
      <c r="O24" s="147" t="s">
        <v>3081</v>
      </c>
      <c r="P24" s="149" t="s">
        <v>1292</v>
      </c>
      <c r="R24" s="18" t="s">
        <v>3231</v>
      </c>
      <c r="S24" s="23">
        <f>W17</f>
        <v>200</v>
      </c>
      <c r="T24" s="21" t="s">
        <v>3232</v>
      </c>
      <c r="U24" s="1"/>
      <c r="V24" s="1"/>
      <c r="W24" s="1"/>
      <c r="X24" s="1"/>
    </row>
    <row r="25" spans="1:24">
      <c r="A25" s="42" t="s">
        <v>3092</v>
      </c>
      <c r="B25" s="5" t="s">
        <v>712</v>
      </c>
      <c r="C25" s="5" t="s">
        <v>3093</v>
      </c>
      <c r="D25" s="10" t="s">
        <v>2754</v>
      </c>
      <c r="E25" s="5" t="s">
        <v>3094</v>
      </c>
      <c r="F25" s="5" t="s">
        <v>3095</v>
      </c>
      <c r="G25" s="147" t="s">
        <v>2757</v>
      </c>
      <c r="H25" s="10" t="s">
        <v>2702</v>
      </c>
      <c r="I25" s="10" t="s">
        <v>2710</v>
      </c>
      <c r="J25" s="165">
        <v>9</v>
      </c>
      <c r="K25" s="163">
        <v>3.6</v>
      </c>
      <c r="L25" s="163">
        <v>5.4</v>
      </c>
      <c r="M25" s="160" t="s">
        <v>3072</v>
      </c>
      <c r="N25" s="162" t="s">
        <v>2704</v>
      </c>
      <c r="O25" s="147" t="s">
        <v>3081</v>
      </c>
      <c r="P25" s="149" t="s">
        <v>1291</v>
      </c>
      <c r="R25" s="168" t="s">
        <v>3233</v>
      </c>
      <c r="S25" s="157">
        <f>S22+S23+S24</f>
        <v>1244</v>
      </c>
      <c r="T25" s="169"/>
      <c r="U25" s="1"/>
      <c r="V25" s="1"/>
      <c r="W25" s="1"/>
      <c r="X25" s="1"/>
    </row>
    <row r="26" spans="1:24">
      <c r="A26" s="42" t="s">
        <v>3096</v>
      </c>
      <c r="B26" s="5" t="s">
        <v>712</v>
      </c>
      <c r="C26" s="5" t="s">
        <v>3097</v>
      </c>
      <c r="D26" s="10" t="s">
        <v>2816</v>
      </c>
      <c r="E26" s="5" t="s">
        <v>3098</v>
      </c>
      <c r="F26" s="5" t="s">
        <v>3099</v>
      </c>
      <c r="G26" s="147" t="s">
        <v>2752</v>
      </c>
      <c r="H26" s="10" t="s">
        <v>2702</v>
      </c>
      <c r="I26" s="10" t="s">
        <v>2703</v>
      </c>
      <c r="J26" s="165">
        <v>6</v>
      </c>
      <c r="K26" s="163">
        <v>2.4</v>
      </c>
      <c r="L26" s="163">
        <v>3.6</v>
      </c>
      <c r="M26" s="160" t="s">
        <v>3072</v>
      </c>
      <c r="N26" s="162" t="s">
        <v>2704</v>
      </c>
      <c r="O26" s="147" t="s">
        <v>3081</v>
      </c>
      <c r="P26" s="149" t="s">
        <v>1290</v>
      </c>
      <c r="R26" s="19" t="s">
        <v>3234</v>
      </c>
      <c r="S26" s="24">
        <f>S21+S25</f>
        <v>1488</v>
      </c>
      <c r="T26" s="173"/>
      <c r="U26" s="1" t="str">
        <f>IF(AND(ROUND(S25,0)=1244,ROUND(S26,0)=1488),"✓ レポート§9と一致","⚠ 不一致")</f>
        <v>✓ レポート§9と一致</v>
      </c>
      <c r="V26" s="1"/>
      <c r="W26" s="1"/>
      <c r="X26" s="1"/>
    </row>
    <row r="27" spans="1:24">
      <c r="A27" s="42" t="s">
        <v>2783</v>
      </c>
      <c r="B27" s="5" t="s">
        <v>1433</v>
      </c>
      <c r="C27" s="5" t="s">
        <v>2784</v>
      </c>
      <c r="D27" s="10" t="s">
        <v>2785</v>
      </c>
      <c r="E27" s="5" t="s">
        <v>2786</v>
      </c>
      <c r="F27" s="5" t="s">
        <v>2787</v>
      </c>
      <c r="G27" s="147" t="s">
        <v>2712</v>
      </c>
      <c r="H27" s="10" t="s">
        <v>2702</v>
      </c>
      <c r="I27" s="10" t="s">
        <v>2710</v>
      </c>
      <c r="J27" s="165">
        <v>10</v>
      </c>
      <c r="K27" s="163">
        <v>4</v>
      </c>
      <c r="L27" s="163">
        <v>6</v>
      </c>
      <c r="M27" s="160" t="s">
        <v>3072</v>
      </c>
      <c r="N27" s="162" t="s">
        <v>2704</v>
      </c>
      <c r="O27" s="147" t="s">
        <v>2705</v>
      </c>
      <c r="P27" s="149" t="s">
        <v>3073</v>
      </c>
    </row>
    <row r="28" spans="1:24">
      <c r="A28" s="42" t="s">
        <v>2788</v>
      </c>
      <c r="B28" s="5" t="s">
        <v>1433</v>
      </c>
      <c r="C28" s="5" t="s">
        <v>2789</v>
      </c>
      <c r="D28" s="10" t="s">
        <v>2790</v>
      </c>
      <c r="E28" s="5" t="s">
        <v>2791</v>
      </c>
      <c r="F28" s="5" t="s">
        <v>3100</v>
      </c>
      <c r="G28" s="147" t="s">
        <v>2783</v>
      </c>
      <c r="H28" s="10" t="s">
        <v>2702</v>
      </c>
      <c r="I28" s="10" t="s">
        <v>2703</v>
      </c>
      <c r="J28" s="165">
        <v>5</v>
      </c>
      <c r="K28" s="163">
        <v>2</v>
      </c>
      <c r="L28" s="163">
        <v>3</v>
      </c>
      <c r="M28" s="10" t="s">
        <v>3072</v>
      </c>
      <c r="N28" s="10" t="s">
        <v>2704</v>
      </c>
      <c r="O28" s="147" t="s">
        <v>2705</v>
      </c>
      <c r="P28" s="149" t="s">
        <v>3073</v>
      </c>
      <c r="R28" s="167" t="s">
        <v>3235</v>
      </c>
    </row>
    <row r="29" spans="1:24">
      <c r="A29" s="42" t="s">
        <v>2792</v>
      </c>
      <c r="B29" s="5" t="s">
        <v>1433</v>
      </c>
      <c r="C29" s="5" t="s">
        <v>2793</v>
      </c>
      <c r="D29" s="10" t="s">
        <v>2794</v>
      </c>
      <c r="E29" s="5" t="s">
        <v>2795</v>
      </c>
      <c r="F29" s="5" t="s">
        <v>3101</v>
      </c>
      <c r="G29" s="147" t="s">
        <v>2796</v>
      </c>
      <c r="H29" s="10" t="s">
        <v>2702</v>
      </c>
      <c r="I29" s="10" t="s">
        <v>2710</v>
      </c>
      <c r="J29" s="165">
        <v>12</v>
      </c>
      <c r="K29" s="163">
        <v>4.8</v>
      </c>
      <c r="L29" s="163">
        <v>7.2</v>
      </c>
      <c r="M29" s="10" t="s">
        <v>3072</v>
      </c>
      <c r="N29" s="10" t="s">
        <v>2704</v>
      </c>
      <c r="O29" s="147" t="s">
        <v>2705</v>
      </c>
      <c r="P29" s="149" t="s">
        <v>3073</v>
      </c>
      <c r="R29" s="46" t="s">
        <v>3236</v>
      </c>
      <c r="S29" s="47" t="s">
        <v>3237</v>
      </c>
    </row>
    <row r="30" spans="1:24">
      <c r="A30" s="42" t="s">
        <v>2797</v>
      </c>
      <c r="B30" s="5" t="s">
        <v>1433</v>
      </c>
      <c r="C30" s="5" t="s">
        <v>2798</v>
      </c>
      <c r="D30" s="10" t="s">
        <v>2754</v>
      </c>
      <c r="E30" s="5" t="s">
        <v>2799</v>
      </c>
      <c r="F30" s="5" t="s">
        <v>2800</v>
      </c>
      <c r="G30" s="147" t="s">
        <v>2801</v>
      </c>
      <c r="H30" s="10" t="s">
        <v>2702</v>
      </c>
      <c r="I30" s="10" t="s">
        <v>2710</v>
      </c>
      <c r="J30" s="165">
        <v>12</v>
      </c>
      <c r="K30" s="163">
        <v>4.8</v>
      </c>
      <c r="L30" s="163">
        <v>7.2</v>
      </c>
      <c r="M30" s="10" t="s">
        <v>3072</v>
      </c>
      <c r="N30" s="10" t="s">
        <v>2704</v>
      </c>
      <c r="O30" s="147" t="s">
        <v>2705</v>
      </c>
      <c r="P30" s="149" t="s">
        <v>3073</v>
      </c>
      <c r="R30" s="46" t="s">
        <v>3238</v>
      </c>
      <c r="S30" s="47" t="s">
        <v>3239</v>
      </c>
    </row>
    <row r="31" spans="1:24" ht="34">
      <c r="A31" s="42" t="s">
        <v>2802</v>
      </c>
      <c r="B31" s="5" t="s">
        <v>1433</v>
      </c>
      <c r="C31" s="5" t="s">
        <v>2803</v>
      </c>
      <c r="D31" s="10" t="s">
        <v>2754</v>
      </c>
      <c r="E31" s="5" t="s">
        <v>2804</v>
      </c>
      <c r="F31" s="5" t="s">
        <v>2805</v>
      </c>
      <c r="G31" s="147" t="s">
        <v>2806</v>
      </c>
      <c r="H31" s="10" t="s">
        <v>2702</v>
      </c>
      <c r="I31" s="10" t="s">
        <v>2703</v>
      </c>
      <c r="J31" s="165">
        <v>5</v>
      </c>
      <c r="K31" s="163">
        <v>2</v>
      </c>
      <c r="L31" s="163">
        <v>3</v>
      </c>
      <c r="M31" s="10" t="s">
        <v>3072</v>
      </c>
      <c r="N31" s="10" t="s">
        <v>2704</v>
      </c>
      <c r="O31" s="147" t="s">
        <v>2705</v>
      </c>
      <c r="P31" s="149" t="s">
        <v>3073</v>
      </c>
      <c r="R31" s="46" t="s">
        <v>3240</v>
      </c>
      <c r="S31" s="47" t="s">
        <v>3241</v>
      </c>
    </row>
    <row r="32" spans="1:24" ht="34">
      <c r="A32" s="42" t="s">
        <v>2807</v>
      </c>
      <c r="B32" s="5" t="s">
        <v>1433</v>
      </c>
      <c r="C32" s="5" t="s">
        <v>2808</v>
      </c>
      <c r="D32" s="10" t="s">
        <v>2809</v>
      </c>
      <c r="E32" s="5" t="s">
        <v>2810</v>
      </c>
      <c r="F32" s="5" t="s">
        <v>2811</v>
      </c>
      <c r="G32" s="147" t="s">
        <v>2812</v>
      </c>
      <c r="H32" s="10" t="s">
        <v>2702</v>
      </c>
      <c r="I32" s="10" t="s">
        <v>2710</v>
      </c>
      <c r="J32" s="165">
        <v>10</v>
      </c>
      <c r="K32" s="163">
        <v>4</v>
      </c>
      <c r="L32" s="163">
        <v>6</v>
      </c>
      <c r="M32" s="10" t="s">
        <v>3072</v>
      </c>
      <c r="N32" s="10" t="s">
        <v>2813</v>
      </c>
      <c r="O32" s="147" t="s">
        <v>2705</v>
      </c>
      <c r="P32" s="149" t="s">
        <v>3073</v>
      </c>
      <c r="R32" s="46" t="s">
        <v>3242</v>
      </c>
      <c r="S32" s="47" t="s">
        <v>3243</v>
      </c>
    </row>
    <row r="33" spans="1:19">
      <c r="A33" s="42" t="s">
        <v>2814</v>
      </c>
      <c r="B33" s="5" t="s">
        <v>1433</v>
      </c>
      <c r="C33" s="5" t="s">
        <v>2815</v>
      </c>
      <c r="D33" s="10" t="s">
        <v>2816</v>
      </c>
      <c r="E33" s="5" t="s">
        <v>2817</v>
      </c>
      <c r="F33" s="5" t="s">
        <v>2818</v>
      </c>
      <c r="G33" s="147" t="s">
        <v>2788</v>
      </c>
      <c r="H33" s="10" t="s">
        <v>2702</v>
      </c>
      <c r="I33" s="10" t="s">
        <v>2703</v>
      </c>
      <c r="J33" s="165">
        <v>3</v>
      </c>
      <c r="K33" s="163">
        <v>1.2</v>
      </c>
      <c r="L33" s="163">
        <v>1.8</v>
      </c>
      <c r="M33" s="10" t="s">
        <v>3072</v>
      </c>
      <c r="N33" s="10" t="s">
        <v>2819</v>
      </c>
      <c r="O33" s="147" t="s">
        <v>2705</v>
      </c>
      <c r="P33" s="149" t="s">
        <v>3073</v>
      </c>
      <c r="R33" s="46" t="s">
        <v>3244</v>
      </c>
      <c r="S33" s="47" t="s">
        <v>3245</v>
      </c>
    </row>
    <row r="34" spans="1:19">
      <c r="A34" s="42" t="s">
        <v>2820</v>
      </c>
      <c r="B34" s="5" t="s">
        <v>1433</v>
      </c>
      <c r="C34" s="5" t="s">
        <v>2821</v>
      </c>
      <c r="D34" s="10" t="s">
        <v>2790</v>
      </c>
      <c r="E34" s="5" t="s">
        <v>2822</v>
      </c>
      <c r="F34" s="5" t="s">
        <v>2823</v>
      </c>
      <c r="G34" s="147" t="s">
        <v>2796</v>
      </c>
      <c r="H34" s="10" t="s">
        <v>2702</v>
      </c>
      <c r="I34" s="10" t="s">
        <v>2703</v>
      </c>
      <c r="J34" s="165">
        <v>4</v>
      </c>
      <c r="K34" s="163">
        <v>1.6</v>
      </c>
      <c r="L34" s="163">
        <v>2.4</v>
      </c>
      <c r="M34" s="10" t="s">
        <v>3072</v>
      </c>
      <c r="N34" s="10" t="s">
        <v>2711</v>
      </c>
      <c r="O34" s="147" t="s">
        <v>2705</v>
      </c>
      <c r="P34" s="149" t="s">
        <v>3073</v>
      </c>
      <c r="R34" s="46" t="s">
        <v>3246</v>
      </c>
      <c r="S34" s="47" t="s">
        <v>3247</v>
      </c>
    </row>
    <row r="35" spans="1:19">
      <c r="A35" s="42" t="s">
        <v>2824</v>
      </c>
      <c r="B35" s="5" t="s">
        <v>1433</v>
      </c>
      <c r="C35" s="5" t="s">
        <v>1832</v>
      </c>
      <c r="D35" s="10" t="s">
        <v>2825</v>
      </c>
      <c r="E35" s="5" t="s">
        <v>2826</v>
      </c>
      <c r="F35" s="5" t="s">
        <v>2827</v>
      </c>
      <c r="G35" s="147" t="s">
        <v>2783</v>
      </c>
      <c r="H35" s="10" t="s">
        <v>2702</v>
      </c>
      <c r="I35" s="10" t="s">
        <v>2703</v>
      </c>
      <c r="J35" s="165">
        <v>5</v>
      </c>
      <c r="K35" s="163">
        <v>2</v>
      </c>
      <c r="L35" s="163">
        <v>3</v>
      </c>
      <c r="M35" s="10" t="s">
        <v>3072</v>
      </c>
      <c r="N35" s="10" t="s">
        <v>2704</v>
      </c>
      <c r="O35" s="147" t="s">
        <v>2828</v>
      </c>
      <c r="P35" s="149" t="s">
        <v>3073</v>
      </c>
      <c r="R35" s="46" t="s">
        <v>3248</v>
      </c>
      <c r="S35" s="47" t="s">
        <v>3249</v>
      </c>
    </row>
    <row r="36" spans="1:19">
      <c r="A36" s="42" t="s">
        <v>2829</v>
      </c>
      <c r="B36" s="5" t="s">
        <v>1433</v>
      </c>
      <c r="C36" s="5" t="s">
        <v>1833</v>
      </c>
      <c r="D36" s="10" t="s">
        <v>2698</v>
      </c>
      <c r="E36" s="5" t="s">
        <v>2830</v>
      </c>
      <c r="F36" s="5" t="s">
        <v>2831</v>
      </c>
      <c r="G36" s="147" t="s">
        <v>2792</v>
      </c>
      <c r="H36" s="10" t="s">
        <v>2702</v>
      </c>
      <c r="I36" s="10" t="s">
        <v>2703</v>
      </c>
      <c r="J36" s="165">
        <v>4</v>
      </c>
      <c r="K36" s="163">
        <v>1.6</v>
      </c>
      <c r="L36" s="163">
        <v>2.4</v>
      </c>
      <c r="M36" s="10" t="s">
        <v>3072</v>
      </c>
      <c r="N36" s="10" t="s">
        <v>2704</v>
      </c>
      <c r="O36" s="147" t="s">
        <v>2828</v>
      </c>
      <c r="P36" s="149" t="s">
        <v>3073</v>
      </c>
    </row>
    <row r="37" spans="1:19">
      <c r="A37" s="42" t="s">
        <v>3102</v>
      </c>
      <c r="B37" s="5" t="s">
        <v>1433</v>
      </c>
      <c r="C37" s="5" t="s">
        <v>3103</v>
      </c>
      <c r="D37" s="10" t="s">
        <v>2816</v>
      </c>
      <c r="E37" s="5" t="s">
        <v>3104</v>
      </c>
      <c r="F37" s="5" t="s">
        <v>3105</v>
      </c>
      <c r="G37" s="147" t="s">
        <v>2829</v>
      </c>
      <c r="H37" s="10" t="s">
        <v>2702</v>
      </c>
      <c r="I37" s="10" t="s">
        <v>2703</v>
      </c>
      <c r="J37" s="165">
        <v>4</v>
      </c>
      <c r="K37" s="163">
        <v>1.6</v>
      </c>
      <c r="L37" s="163">
        <v>2.4</v>
      </c>
      <c r="M37" s="10" t="s">
        <v>3072</v>
      </c>
      <c r="N37" s="10" t="s">
        <v>2704</v>
      </c>
      <c r="O37" s="147" t="s">
        <v>3081</v>
      </c>
      <c r="P37" s="149" t="s">
        <v>1834</v>
      </c>
    </row>
    <row r="38" spans="1:19">
      <c r="A38" s="42" t="s">
        <v>2832</v>
      </c>
      <c r="B38" s="5" t="s">
        <v>1293</v>
      </c>
      <c r="C38" s="5" t="s">
        <v>2833</v>
      </c>
      <c r="D38" s="10" t="s">
        <v>2698</v>
      </c>
      <c r="E38" s="5" t="s">
        <v>2834</v>
      </c>
      <c r="F38" s="5" t="s">
        <v>2835</v>
      </c>
      <c r="G38" s="147" t="s">
        <v>2722</v>
      </c>
      <c r="H38" s="10" t="s">
        <v>2702</v>
      </c>
      <c r="I38" s="10" t="s">
        <v>2703</v>
      </c>
      <c r="J38" s="165">
        <v>5</v>
      </c>
      <c r="K38" s="163">
        <v>2</v>
      </c>
      <c r="L38" s="163">
        <v>3</v>
      </c>
      <c r="M38" s="10" t="s">
        <v>3072</v>
      </c>
      <c r="N38" s="10" t="s">
        <v>2704</v>
      </c>
      <c r="O38" s="147" t="s">
        <v>2705</v>
      </c>
      <c r="P38" s="149" t="s">
        <v>3073</v>
      </c>
    </row>
    <row r="39" spans="1:19">
      <c r="A39" s="42" t="s">
        <v>2836</v>
      </c>
      <c r="B39" s="5" t="s">
        <v>1293</v>
      </c>
      <c r="C39" s="5" t="s">
        <v>2837</v>
      </c>
      <c r="D39" s="10" t="s">
        <v>2698</v>
      </c>
      <c r="E39" s="5" t="s">
        <v>2838</v>
      </c>
      <c r="F39" s="5" t="s">
        <v>2839</v>
      </c>
      <c r="G39" s="147" t="s">
        <v>2832</v>
      </c>
      <c r="H39" s="10" t="s">
        <v>2702</v>
      </c>
      <c r="I39" s="10" t="s">
        <v>2710</v>
      </c>
      <c r="J39" s="165">
        <v>8</v>
      </c>
      <c r="K39" s="163">
        <v>3.2</v>
      </c>
      <c r="L39" s="163">
        <v>4.8</v>
      </c>
      <c r="M39" s="10" t="s">
        <v>3072</v>
      </c>
      <c r="N39" s="10" t="s">
        <v>2704</v>
      </c>
      <c r="O39" s="147" t="s">
        <v>2705</v>
      </c>
      <c r="P39" s="149" t="s">
        <v>3073</v>
      </c>
    </row>
    <row r="40" spans="1:19">
      <c r="A40" s="42" t="s">
        <v>2840</v>
      </c>
      <c r="B40" s="5" t="s">
        <v>1293</v>
      </c>
      <c r="C40" s="5" t="s">
        <v>2841</v>
      </c>
      <c r="D40" s="10" t="s">
        <v>2770</v>
      </c>
      <c r="E40" s="5" t="s">
        <v>2842</v>
      </c>
      <c r="F40" s="5" t="s">
        <v>2843</v>
      </c>
      <c r="G40" s="147" t="s">
        <v>2844</v>
      </c>
      <c r="H40" s="10" t="s">
        <v>2702</v>
      </c>
      <c r="I40" s="10" t="s">
        <v>2710</v>
      </c>
      <c r="J40" s="165">
        <v>12</v>
      </c>
      <c r="K40" s="163">
        <v>4.8</v>
      </c>
      <c r="L40" s="163">
        <v>7.2</v>
      </c>
      <c r="M40" s="10" t="s">
        <v>3072</v>
      </c>
      <c r="N40" s="10" t="s">
        <v>2704</v>
      </c>
      <c r="O40" s="147" t="s">
        <v>2705</v>
      </c>
      <c r="P40" s="149" t="s">
        <v>3073</v>
      </c>
    </row>
    <row r="41" spans="1:19">
      <c r="A41" s="42" t="s">
        <v>2845</v>
      </c>
      <c r="B41" s="5" t="s">
        <v>1293</v>
      </c>
      <c r="C41" s="5" t="s">
        <v>2846</v>
      </c>
      <c r="D41" s="10" t="s">
        <v>2698</v>
      </c>
      <c r="E41" s="5" t="s">
        <v>2847</v>
      </c>
      <c r="F41" s="5" t="s">
        <v>2848</v>
      </c>
      <c r="G41" s="147" t="s">
        <v>2849</v>
      </c>
      <c r="H41" s="10" t="s">
        <v>2702</v>
      </c>
      <c r="I41" s="10" t="s">
        <v>2703</v>
      </c>
      <c r="J41" s="165">
        <v>5</v>
      </c>
      <c r="K41" s="163">
        <v>2</v>
      </c>
      <c r="L41" s="163">
        <v>3</v>
      </c>
      <c r="M41" s="10" t="s">
        <v>3072</v>
      </c>
      <c r="N41" s="10" t="s">
        <v>2704</v>
      </c>
      <c r="O41" s="147" t="s">
        <v>2705</v>
      </c>
      <c r="P41" s="149" t="s">
        <v>3073</v>
      </c>
    </row>
    <row r="42" spans="1:19">
      <c r="A42" s="42" t="s">
        <v>2806</v>
      </c>
      <c r="B42" s="5" t="s">
        <v>1293</v>
      </c>
      <c r="C42" s="5" t="s">
        <v>2850</v>
      </c>
      <c r="D42" s="10" t="s">
        <v>2851</v>
      </c>
      <c r="E42" s="5" t="s">
        <v>2852</v>
      </c>
      <c r="F42" s="5" t="s">
        <v>2853</v>
      </c>
      <c r="G42" s="147" t="s">
        <v>2832</v>
      </c>
      <c r="H42" s="10" t="s">
        <v>2702</v>
      </c>
      <c r="I42" s="10" t="s">
        <v>2710</v>
      </c>
      <c r="J42" s="165">
        <v>10</v>
      </c>
      <c r="K42" s="163">
        <v>4</v>
      </c>
      <c r="L42" s="163">
        <v>6</v>
      </c>
      <c r="M42" s="10" t="s">
        <v>3072</v>
      </c>
      <c r="N42" s="10" t="s">
        <v>2704</v>
      </c>
      <c r="O42" s="147" t="s">
        <v>2705</v>
      </c>
      <c r="P42" s="149" t="s">
        <v>3073</v>
      </c>
    </row>
    <row r="43" spans="1:19">
      <c r="A43" s="42" t="s">
        <v>2854</v>
      </c>
      <c r="B43" s="5" t="s">
        <v>1293</v>
      </c>
      <c r="C43" s="5" t="s">
        <v>1868</v>
      </c>
      <c r="D43" s="10" t="s">
        <v>2754</v>
      </c>
      <c r="E43" s="5" t="s">
        <v>2855</v>
      </c>
      <c r="F43" s="5" t="s">
        <v>2856</v>
      </c>
      <c r="G43" s="147" t="s">
        <v>2857</v>
      </c>
      <c r="H43" s="10" t="s">
        <v>1844</v>
      </c>
      <c r="I43" s="10" t="s">
        <v>2721</v>
      </c>
      <c r="J43" s="165">
        <v>20</v>
      </c>
      <c r="K43" s="163">
        <v>8</v>
      </c>
      <c r="L43" s="163">
        <v>12</v>
      </c>
      <c r="M43" s="10" t="s">
        <v>3072</v>
      </c>
      <c r="N43" s="10" t="s">
        <v>2711</v>
      </c>
      <c r="O43" s="147" t="s">
        <v>2828</v>
      </c>
      <c r="P43" s="149" t="s">
        <v>3073</v>
      </c>
    </row>
    <row r="44" spans="1:19">
      <c r="A44" s="42" t="s">
        <v>2858</v>
      </c>
      <c r="B44" s="5" t="s">
        <v>1293</v>
      </c>
      <c r="C44" s="5" t="s">
        <v>2859</v>
      </c>
      <c r="D44" s="10" t="s">
        <v>2698</v>
      </c>
      <c r="E44" s="5" t="s">
        <v>2860</v>
      </c>
      <c r="F44" s="5" t="s">
        <v>2861</v>
      </c>
      <c r="G44" s="147" t="s">
        <v>2862</v>
      </c>
      <c r="H44" s="10" t="s">
        <v>2702</v>
      </c>
      <c r="I44" s="10" t="s">
        <v>2710</v>
      </c>
      <c r="J44" s="165">
        <v>10</v>
      </c>
      <c r="K44" s="163">
        <v>4</v>
      </c>
      <c r="L44" s="163">
        <v>6</v>
      </c>
      <c r="M44" s="10" t="s">
        <v>3072</v>
      </c>
      <c r="N44" s="10" t="s">
        <v>2704</v>
      </c>
      <c r="O44" s="147" t="s">
        <v>2828</v>
      </c>
      <c r="P44" s="149" t="s">
        <v>3073</v>
      </c>
    </row>
    <row r="45" spans="1:19">
      <c r="A45" s="42" t="s">
        <v>3106</v>
      </c>
      <c r="B45" s="5" t="s">
        <v>1293</v>
      </c>
      <c r="C45" s="5" t="s">
        <v>3107</v>
      </c>
      <c r="D45" s="10" t="s">
        <v>2887</v>
      </c>
      <c r="E45" s="5" t="s">
        <v>3108</v>
      </c>
      <c r="F45" s="5" t="s">
        <v>3109</v>
      </c>
      <c r="G45" s="147" t="s">
        <v>2832</v>
      </c>
      <c r="H45" s="10" t="s">
        <v>2702</v>
      </c>
      <c r="I45" s="10" t="s">
        <v>2703</v>
      </c>
      <c r="J45" s="165">
        <v>4</v>
      </c>
      <c r="K45" s="163">
        <v>1.6</v>
      </c>
      <c r="L45" s="163">
        <v>2.4</v>
      </c>
      <c r="M45" s="10" t="s">
        <v>3079</v>
      </c>
      <c r="N45" s="10" t="s">
        <v>3110</v>
      </c>
      <c r="O45" s="147" t="s">
        <v>3081</v>
      </c>
      <c r="P45" s="149" t="s">
        <v>1829</v>
      </c>
    </row>
    <row r="46" spans="1:19">
      <c r="A46" s="42" t="s">
        <v>2701</v>
      </c>
      <c r="B46" s="5" t="s">
        <v>716</v>
      </c>
      <c r="C46" s="5" t="s">
        <v>2863</v>
      </c>
      <c r="D46" s="10" t="s">
        <v>2743</v>
      </c>
      <c r="E46" s="5" t="s">
        <v>2864</v>
      </c>
      <c r="F46" s="5" t="s">
        <v>2865</v>
      </c>
      <c r="G46" s="147" t="s">
        <v>2866</v>
      </c>
      <c r="H46" s="10" t="s">
        <v>2702</v>
      </c>
      <c r="I46" s="10" t="s">
        <v>2710</v>
      </c>
      <c r="J46" s="165">
        <v>12</v>
      </c>
      <c r="K46" s="163">
        <v>4.8</v>
      </c>
      <c r="L46" s="163">
        <v>7.2</v>
      </c>
      <c r="M46" s="10" t="s">
        <v>3072</v>
      </c>
      <c r="N46" s="10" t="s">
        <v>2704</v>
      </c>
      <c r="O46" s="147" t="s">
        <v>2705</v>
      </c>
      <c r="P46" s="149" t="s">
        <v>3073</v>
      </c>
    </row>
    <row r="47" spans="1:19">
      <c r="A47" s="42" t="s">
        <v>2740</v>
      </c>
      <c r="B47" s="5" t="s">
        <v>716</v>
      </c>
      <c r="C47" s="5" t="s">
        <v>2867</v>
      </c>
      <c r="D47" s="10" t="s">
        <v>2743</v>
      </c>
      <c r="E47" s="5" t="s">
        <v>2868</v>
      </c>
      <c r="F47" s="5" t="s">
        <v>2869</v>
      </c>
      <c r="G47" s="147" t="s">
        <v>2701</v>
      </c>
      <c r="H47" s="10" t="s">
        <v>701</v>
      </c>
      <c r="I47" s="10" t="s">
        <v>2721</v>
      </c>
      <c r="J47" s="165">
        <v>24</v>
      </c>
      <c r="K47" s="163">
        <v>9.6</v>
      </c>
      <c r="L47" s="163">
        <v>14.4</v>
      </c>
      <c r="M47" s="10" t="s">
        <v>3072</v>
      </c>
      <c r="N47" s="10" t="s">
        <v>2711</v>
      </c>
      <c r="O47" s="147" t="s">
        <v>2705</v>
      </c>
      <c r="P47" s="149" t="s">
        <v>3073</v>
      </c>
    </row>
    <row r="48" spans="1:19">
      <c r="A48" s="42" t="s">
        <v>2746</v>
      </c>
      <c r="B48" s="5" t="s">
        <v>716</v>
      </c>
      <c r="C48" s="5" t="s">
        <v>2870</v>
      </c>
      <c r="D48" s="10" t="s">
        <v>2743</v>
      </c>
      <c r="E48" s="5" t="s">
        <v>2871</v>
      </c>
      <c r="F48" s="5" t="s">
        <v>3111</v>
      </c>
      <c r="G48" s="147" t="s">
        <v>2872</v>
      </c>
      <c r="H48" s="10" t="s">
        <v>2702</v>
      </c>
      <c r="I48" s="10" t="s">
        <v>2710</v>
      </c>
      <c r="J48" s="165">
        <v>12</v>
      </c>
      <c r="K48" s="163">
        <v>4.8</v>
      </c>
      <c r="L48" s="163">
        <v>7.2</v>
      </c>
      <c r="M48" s="10" t="s">
        <v>3072</v>
      </c>
      <c r="N48" s="10" t="s">
        <v>2704</v>
      </c>
      <c r="O48" s="147" t="s">
        <v>2705</v>
      </c>
      <c r="P48" s="149" t="s">
        <v>3073</v>
      </c>
    </row>
    <row r="49" spans="1:16">
      <c r="A49" s="42" t="s">
        <v>2873</v>
      </c>
      <c r="B49" s="5" t="s">
        <v>716</v>
      </c>
      <c r="C49" s="5" t="s">
        <v>2874</v>
      </c>
      <c r="D49" s="10" t="s">
        <v>2743</v>
      </c>
      <c r="E49" s="5" t="s">
        <v>2875</v>
      </c>
      <c r="F49" s="5" t="s">
        <v>2876</v>
      </c>
      <c r="G49" s="147" t="s">
        <v>2701</v>
      </c>
      <c r="H49" s="10" t="s">
        <v>721</v>
      </c>
      <c r="I49" s="10" t="s">
        <v>2710</v>
      </c>
      <c r="J49" s="165">
        <v>13</v>
      </c>
      <c r="K49" s="163">
        <v>5.2</v>
      </c>
      <c r="L49" s="163">
        <v>7.8</v>
      </c>
      <c r="M49" s="10" t="s">
        <v>3072</v>
      </c>
      <c r="N49" s="10" t="s">
        <v>2711</v>
      </c>
      <c r="O49" s="147" t="s">
        <v>2705</v>
      </c>
      <c r="P49" s="149" t="s">
        <v>3073</v>
      </c>
    </row>
    <row r="50" spans="1:16">
      <c r="A50" s="42" t="s">
        <v>2877</v>
      </c>
      <c r="B50" s="5" t="s">
        <v>716</v>
      </c>
      <c r="C50" s="5" t="s">
        <v>2878</v>
      </c>
      <c r="D50" s="10" t="s">
        <v>2743</v>
      </c>
      <c r="E50" s="5" t="s">
        <v>2879</v>
      </c>
      <c r="F50" s="5" t="s">
        <v>3112</v>
      </c>
      <c r="G50" s="147" t="s">
        <v>2740</v>
      </c>
      <c r="H50" s="10" t="s">
        <v>2702</v>
      </c>
      <c r="I50" s="10" t="s">
        <v>2710</v>
      </c>
      <c r="J50" s="165">
        <v>12</v>
      </c>
      <c r="K50" s="163">
        <v>4.8</v>
      </c>
      <c r="L50" s="163">
        <v>7.2</v>
      </c>
      <c r="M50" s="10" t="s">
        <v>3072</v>
      </c>
      <c r="N50" s="10" t="s">
        <v>2704</v>
      </c>
      <c r="O50" s="147" t="s">
        <v>2705</v>
      </c>
      <c r="P50" s="149" t="s">
        <v>3073</v>
      </c>
    </row>
    <row r="51" spans="1:16">
      <c r="A51" s="42" t="s">
        <v>2880</v>
      </c>
      <c r="B51" s="5" t="s">
        <v>716</v>
      </c>
      <c r="C51" s="5" t="s">
        <v>2881</v>
      </c>
      <c r="D51" s="10" t="s">
        <v>2743</v>
      </c>
      <c r="E51" s="5" t="s">
        <v>2882</v>
      </c>
      <c r="F51" s="5" t="s">
        <v>2883</v>
      </c>
      <c r="G51" s="147" t="s">
        <v>2884</v>
      </c>
      <c r="H51" s="10" t="s">
        <v>2702</v>
      </c>
      <c r="I51" s="10" t="s">
        <v>2710</v>
      </c>
      <c r="J51" s="165">
        <v>10</v>
      </c>
      <c r="K51" s="163">
        <v>4</v>
      </c>
      <c r="L51" s="163">
        <v>6</v>
      </c>
      <c r="M51" s="10" t="s">
        <v>3072</v>
      </c>
      <c r="N51" s="10" t="s">
        <v>2704</v>
      </c>
      <c r="O51" s="147" t="s">
        <v>2705</v>
      </c>
      <c r="P51" s="149" t="s">
        <v>3073</v>
      </c>
    </row>
    <row r="52" spans="1:16">
      <c r="A52" s="42" t="s">
        <v>2885</v>
      </c>
      <c r="B52" s="5" t="s">
        <v>716</v>
      </c>
      <c r="C52" s="5" t="s">
        <v>2886</v>
      </c>
      <c r="D52" s="10" t="s">
        <v>2887</v>
      </c>
      <c r="E52" s="5" t="s">
        <v>2888</v>
      </c>
      <c r="F52" s="5" t="s">
        <v>2889</v>
      </c>
      <c r="G52" s="147" t="s">
        <v>2701</v>
      </c>
      <c r="H52" s="10" t="s">
        <v>721</v>
      </c>
      <c r="I52" s="10" t="s">
        <v>2710</v>
      </c>
      <c r="J52" s="165">
        <v>12</v>
      </c>
      <c r="K52" s="163">
        <v>4.8</v>
      </c>
      <c r="L52" s="163">
        <v>7.2</v>
      </c>
      <c r="M52" s="10" t="s">
        <v>3072</v>
      </c>
      <c r="N52" s="10" t="s">
        <v>2711</v>
      </c>
      <c r="O52" s="147" t="s">
        <v>2705</v>
      </c>
      <c r="P52" s="149" t="s">
        <v>3073</v>
      </c>
    </row>
    <row r="53" spans="1:16">
      <c r="A53" s="42" t="s">
        <v>2890</v>
      </c>
      <c r="B53" s="5" t="s">
        <v>716</v>
      </c>
      <c r="C53" s="5" t="s">
        <v>2891</v>
      </c>
      <c r="D53" s="10" t="s">
        <v>2892</v>
      </c>
      <c r="E53" s="5" t="s">
        <v>2893</v>
      </c>
      <c r="F53" s="5" t="s">
        <v>2894</v>
      </c>
      <c r="G53" s="147" t="s">
        <v>2873</v>
      </c>
      <c r="H53" s="10" t="s">
        <v>2702</v>
      </c>
      <c r="I53" s="10" t="s">
        <v>2703</v>
      </c>
      <c r="J53" s="165">
        <v>5</v>
      </c>
      <c r="K53" s="163">
        <v>2</v>
      </c>
      <c r="L53" s="163">
        <v>3</v>
      </c>
      <c r="M53" s="10" t="s">
        <v>3072</v>
      </c>
      <c r="N53" s="10" t="s">
        <v>2704</v>
      </c>
      <c r="O53" s="147" t="s">
        <v>2705</v>
      </c>
      <c r="P53" s="149" t="s">
        <v>3073</v>
      </c>
    </row>
    <row r="54" spans="1:16">
      <c r="A54" s="42" t="s">
        <v>2895</v>
      </c>
      <c r="B54" s="5" t="s">
        <v>716</v>
      </c>
      <c r="C54" s="5" t="s">
        <v>2896</v>
      </c>
      <c r="D54" s="10" t="s">
        <v>2897</v>
      </c>
      <c r="E54" s="5" t="s">
        <v>2898</v>
      </c>
      <c r="F54" s="5" t="s">
        <v>2899</v>
      </c>
      <c r="G54" s="147" t="s">
        <v>2701</v>
      </c>
      <c r="H54" s="10" t="s">
        <v>2702</v>
      </c>
      <c r="I54" s="10" t="s">
        <v>2703</v>
      </c>
      <c r="J54" s="165">
        <v>5</v>
      </c>
      <c r="K54" s="163">
        <v>2</v>
      </c>
      <c r="L54" s="163">
        <v>3</v>
      </c>
      <c r="M54" s="10" t="s">
        <v>3072</v>
      </c>
      <c r="N54" s="10" t="s">
        <v>2704</v>
      </c>
      <c r="O54" s="147" t="s">
        <v>2705</v>
      </c>
      <c r="P54" s="149" t="s">
        <v>3073</v>
      </c>
    </row>
    <row r="55" spans="1:16">
      <c r="A55" s="42" t="s">
        <v>2900</v>
      </c>
      <c r="B55" s="5" t="s">
        <v>716</v>
      </c>
      <c r="C55" s="5" t="s">
        <v>2901</v>
      </c>
      <c r="D55" s="10" t="s">
        <v>2892</v>
      </c>
      <c r="E55" s="5" t="s">
        <v>2902</v>
      </c>
      <c r="F55" s="5" t="s">
        <v>2903</v>
      </c>
      <c r="G55" s="147" t="s">
        <v>2904</v>
      </c>
      <c r="H55" s="10" t="s">
        <v>2702</v>
      </c>
      <c r="I55" s="10" t="s">
        <v>2710</v>
      </c>
      <c r="J55" s="165">
        <v>9</v>
      </c>
      <c r="K55" s="163">
        <v>3.6</v>
      </c>
      <c r="L55" s="163">
        <v>5.4</v>
      </c>
      <c r="M55" s="10" t="s">
        <v>3072</v>
      </c>
      <c r="N55" s="10" t="s">
        <v>2711</v>
      </c>
      <c r="O55" s="147" t="s">
        <v>2828</v>
      </c>
      <c r="P55" s="149" t="s">
        <v>3073</v>
      </c>
    </row>
    <row r="56" spans="1:16">
      <c r="A56" s="42" t="s">
        <v>3113</v>
      </c>
      <c r="B56" s="5" t="s">
        <v>716</v>
      </c>
      <c r="C56" s="5" t="s">
        <v>3114</v>
      </c>
      <c r="D56" s="10" t="s">
        <v>2743</v>
      </c>
      <c r="E56" s="5" t="s">
        <v>3115</v>
      </c>
      <c r="F56" s="5" t="s">
        <v>3116</v>
      </c>
      <c r="G56" s="147" t="s">
        <v>2877</v>
      </c>
      <c r="H56" s="10" t="s">
        <v>2702</v>
      </c>
      <c r="I56" s="10" t="s">
        <v>2710</v>
      </c>
      <c r="J56" s="165">
        <v>10</v>
      </c>
      <c r="K56" s="163">
        <v>4</v>
      </c>
      <c r="L56" s="163">
        <v>6</v>
      </c>
      <c r="M56" s="10" t="s">
        <v>3072</v>
      </c>
      <c r="N56" s="10" t="s">
        <v>2704</v>
      </c>
      <c r="O56" s="147" t="s">
        <v>3081</v>
      </c>
      <c r="P56" s="149" t="s">
        <v>3117</v>
      </c>
    </row>
    <row r="57" spans="1:16">
      <c r="A57" s="42" t="s">
        <v>3118</v>
      </c>
      <c r="B57" s="5" t="s">
        <v>716</v>
      </c>
      <c r="C57" s="5" t="s">
        <v>3119</v>
      </c>
      <c r="D57" s="10" t="s">
        <v>2743</v>
      </c>
      <c r="E57" s="5" t="s">
        <v>3120</v>
      </c>
      <c r="F57" s="5" t="s">
        <v>3121</v>
      </c>
      <c r="G57" s="147" t="s">
        <v>2701</v>
      </c>
      <c r="H57" s="10" t="s">
        <v>2702</v>
      </c>
      <c r="I57" s="10" t="s">
        <v>2703</v>
      </c>
      <c r="J57" s="165">
        <v>6</v>
      </c>
      <c r="K57" s="163">
        <v>2.4</v>
      </c>
      <c r="L57" s="163">
        <v>3.6</v>
      </c>
      <c r="M57" s="10" t="s">
        <v>3072</v>
      </c>
      <c r="N57" s="10" t="s">
        <v>2704</v>
      </c>
      <c r="O57" s="147" t="s">
        <v>3081</v>
      </c>
      <c r="P57" s="149" t="s">
        <v>3122</v>
      </c>
    </row>
    <row r="58" spans="1:16">
      <c r="A58" s="42" t="s">
        <v>3123</v>
      </c>
      <c r="B58" s="5" t="s">
        <v>716</v>
      </c>
      <c r="C58" s="5" t="s">
        <v>3124</v>
      </c>
      <c r="D58" s="10" t="s">
        <v>2743</v>
      </c>
      <c r="E58" s="5" t="s">
        <v>3125</v>
      </c>
      <c r="F58" s="5" t="s">
        <v>3126</v>
      </c>
      <c r="G58" s="147" t="s">
        <v>2701</v>
      </c>
      <c r="H58" s="10" t="s">
        <v>2702</v>
      </c>
      <c r="I58" s="10" t="s">
        <v>2703</v>
      </c>
      <c r="J58" s="165">
        <v>8</v>
      </c>
      <c r="K58" s="163">
        <v>3.2</v>
      </c>
      <c r="L58" s="163">
        <v>4.8</v>
      </c>
      <c r="M58" s="10" t="s">
        <v>3072</v>
      </c>
      <c r="N58" s="10" t="s">
        <v>2704</v>
      </c>
      <c r="O58" s="147" t="s">
        <v>3081</v>
      </c>
      <c r="P58" s="149" t="s">
        <v>3127</v>
      </c>
    </row>
    <row r="59" spans="1:16">
      <c r="A59" s="42" t="s">
        <v>2905</v>
      </c>
      <c r="B59" s="5" t="s">
        <v>724</v>
      </c>
      <c r="C59" s="5" t="s">
        <v>2906</v>
      </c>
      <c r="D59" s="10" t="s">
        <v>2743</v>
      </c>
      <c r="E59" s="5" t="s">
        <v>2907</v>
      </c>
      <c r="F59" s="5" t="s">
        <v>2908</v>
      </c>
      <c r="G59" s="147" t="s">
        <v>2701</v>
      </c>
      <c r="H59" s="10" t="s">
        <v>2702</v>
      </c>
      <c r="I59" s="10" t="s">
        <v>2710</v>
      </c>
      <c r="J59" s="165">
        <v>12</v>
      </c>
      <c r="K59" s="163">
        <v>4.8</v>
      </c>
      <c r="L59" s="163">
        <v>7.2</v>
      </c>
      <c r="M59" s="10" t="s">
        <v>3072</v>
      </c>
      <c r="N59" s="10" t="s">
        <v>2704</v>
      </c>
      <c r="O59" s="147" t="s">
        <v>2705</v>
      </c>
      <c r="P59" s="149" t="s">
        <v>3073</v>
      </c>
    </row>
    <row r="60" spans="1:16">
      <c r="A60" s="42" t="s">
        <v>2909</v>
      </c>
      <c r="B60" s="5" t="s">
        <v>724</v>
      </c>
      <c r="C60" s="5" t="s">
        <v>2910</v>
      </c>
      <c r="D60" s="10" t="s">
        <v>2770</v>
      </c>
      <c r="E60" s="5" t="s">
        <v>2911</v>
      </c>
      <c r="F60" s="5" t="s">
        <v>2912</v>
      </c>
      <c r="G60" s="147" t="s">
        <v>2913</v>
      </c>
      <c r="H60" s="10" t="s">
        <v>2702</v>
      </c>
      <c r="I60" s="10" t="s">
        <v>2703</v>
      </c>
      <c r="J60" s="165">
        <v>6</v>
      </c>
      <c r="K60" s="163">
        <v>2.4</v>
      </c>
      <c r="L60" s="163">
        <v>3.6</v>
      </c>
      <c r="M60" s="10" t="s">
        <v>3072</v>
      </c>
      <c r="N60" s="10" t="s">
        <v>2704</v>
      </c>
      <c r="O60" s="147" t="s">
        <v>2705</v>
      </c>
      <c r="P60" s="149" t="s">
        <v>3073</v>
      </c>
    </row>
    <row r="61" spans="1:16">
      <c r="A61" s="42" t="s">
        <v>2914</v>
      </c>
      <c r="B61" s="5" t="s">
        <v>724</v>
      </c>
      <c r="C61" s="5" t="s">
        <v>2915</v>
      </c>
      <c r="D61" s="10" t="s">
        <v>2754</v>
      </c>
      <c r="E61" s="5" t="s">
        <v>2916</v>
      </c>
      <c r="F61" s="5" t="s">
        <v>2917</v>
      </c>
      <c r="G61" s="147" t="s">
        <v>2918</v>
      </c>
      <c r="H61" s="10" t="s">
        <v>2702</v>
      </c>
      <c r="I61" s="10" t="s">
        <v>2721</v>
      </c>
      <c r="J61" s="165">
        <v>22</v>
      </c>
      <c r="K61" s="163">
        <v>8.8000000000000007</v>
      </c>
      <c r="L61" s="163">
        <v>13.2</v>
      </c>
      <c r="M61" s="10" t="s">
        <v>3072</v>
      </c>
      <c r="N61" s="10" t="s">
        <v>2704</v>
      </c>
      <c r="O61" s="147" t="s">
        <v>2705</v>
      </c>
      <c r="P61" s="149" t="s">
        <v>3073</v>
      </c>
    </row>
    <row r="62" spans="1:16">
      <c r="A62" s="42" t="s">
        <v>2919</v>
      </c>
      <c r="B62" s="5" t="s">
        <v>724</v>
      </c>
      <c r="C62" s="5" t="s">
        <v>2920</v>
      </c>
      <c r="D62" s="10" t="s">
        <v>2921</v>
      </c>
      <c r="E62" s="5" t="s">
        <v>2922</v>
      </c>
      <c r="F62" s="5" t="s">
        <v>2923</v>
      </c>
      <c r="G62" s="147" t="s">
        <v>2924</v>
      </c>
      <c r="H62" s="10" t="s">
        <v>2702</v>
      </c>
      <c r="I62" s="10" t="s">
        <v>2710</v>
      </c>
      <c r="J62" s="165">
        <v>12</v>
      </c>
      <c r="K62" s="163">
        <v>4.8</v>
      </c>
      <c r="L62" s="163">
        <v>7.2</v>
      </c>
      <c r="M62" s="10" t="s">
        <v>3072</v>
      </c>
      <c r="N62" s="10" t="s">
        <v>2704</v>
      </c>
      <c r="O62" s="147" t="s">
        <v>2705</v>
      </c>
      <c r="P62" s="149" t="s">
        <v>3073</v>
      </c>
    </row>
    <row r="63" spans="1:16">
      <c r="A63" s="42" t="s">
        <v>2925</v>
      </c>
      <c r="B63" s="5" t="s">
        <v>724</v>
      </c>
      <c r="C63" s="5" t="s">
        <v>2926</v>
      </c>
      <c r="D63" s="10" t="s">
        <v>2743</v>
      </c>
      <c r="E63" s="5" t="s">
        <v>2927</v>
      </c>
      <c r="F63" s="5" t="s">
        <v>2928</v>
      </c>
      <c r="G63" s="147" t="s">
        <v>2929</v>
      </c>
      <c r="H63" s="10" t="s">
        <v>2702</v>
      </c>
      <c r="I63" s="10" t="s">
        <v>2703</v>
      </c>
      <c r="J63" s="165">
        <v>5</v>
      </c>
      <c r="K63" s="163">
        <v>2</v>
      </c>
      <c r="L63" s="163">
        <v>3</v>
      </c>
      <c r="M63" s="10" t="s">
        <v>3072</v>
      </c>
      <c r="N63" s="10" t="s">
        <v>2704</v>
      </c>
      <c r="O63" s="147" t="s">
        <v>2705</v>
      </c>
      <c r="P63" s="149" t="s">
        <v>3073</v>
      </c>
    </row>
    <row r="64" spans="1:16">
      <c r="A64" s="42" t="s">
        <v>2930</v>
      </c>
      <c r="B64" s="5" t="s">
        <v>724</v>
      </c>
      <c r="C64" s="5" t="s">
        <v>2931</v>
      </c>
      <c r="D64" s="10" t="s">
        <v>2887</v>
      </c>
      <c r="E64" s="5" t="s">
        <v>2932</v>
      </c>
      <c r="F64" s="5" t="s">
        <v>2933</v>
      </c>
      <c r="G64" s="147" t="s">
        <v>2934</v>
      </c>
      <c r="H64" s="10" t="s">
        <v>2702</v>
      </c>
      <c r="I64" s="10" t="s">
        <v>2721</v>
      </c>
      <c r="J64" s="165">
        <v>22</v>
      </c>
      <c r="K64" s="163">
        <v>8.8000000000000007</v>
      </c>
      <c r="L64" s="163">
        <v>13.2</v>
      </c>
      <c r="M64" s="10" t="s">
        <v>3072</v>
      </c>
      <c r="N64" s="10" t="s">
        <v>2704</v>
      </c>
      <c r="O64" s="147" t="s">
        <v>2705</v>
      </c>
      <c r="P64" s="149" t="s">
        <v>3073</v>
      </c>
    </row>
    <row r="65" spans="1:16">
      <c r="A65" s="42" t="s">
        <v>2935</v>
      </c>
      <c r="B65" s="5" t="s">
        <v>724</v>
      </c>
      <c r="C65" s="5" t="s">
        <v>2936</v>
      </c>
      <c r="D65" s="10" t="s">
        <v>2743</v>
      </c>
      <c r="E65" s="5" t="s">
        <v>2937</v>
      </c>
      <c r="F65" s="5" t="s">
        <v>2938</v>
      </c>
      <c r="G65" s="147" t="s">
        <v>2746</v>
      </c>
      <c r="H65" s="10" t="s">
        <v>2702</v>
      </c>
      <c r="I65" s="10" t="s">
        <v>2710</v>
      </c>
      <c r="J65" s="165">
        <v>10</v>
      </c>
      <c r="K65" s="163">
        <v>4</v>
      </c>
      <c r="L65" s="163">
        <v>6</v>
      </c>
      <c r="M65" s="10" t="s">
        <v>3072</v>
      </c>
      <c r="N65" s="10" t="s">
        <v>2704</v>
      </c>
      <c r="O65" s="147" t="s">
        <v>2705</v>
      </c>
      <c r="P65" s="149" t="s">
        <v>3073</v>
      </c>
    </row>
    <row r="66" spans="1:16">
      <c r="A66" s="42" t="s">
        <v>2939</v>
      </c>
      <c r="B66" s="5" t="s">
        <v>724</v>
      </c>
      <c r="C66" s="5" t="s">
        <v>2940</v>
      </c>
      <c r="D66" s="10" t="s">
        <v>2698</v>
      </c>
      <c r="E66" s="5" t="s">
        <v>2941</v>
      </c>
      <c r="F66" s="5" t="s">
        <v>2942</v>
      </c>
      <c r="G66" s="147" t="s">
        <v>2696</v>
      </c>
      <c r="H66" s="10" t="s">
        <v>2702</v>
      </c>
      <c r="I66" s="10" t="s">
        <v>2703</v>
      </c>
      <c r="J66" s="165">
        <v>5</v>
      </c>
      <c r="K66" s="163">
        <v>2</v>
      </c>
      <c r="L66" s="163">
        <v>3</v>
      </c>
      <c r="M66" s="10" t="s">
        <v>3072</v>
      </c>
      <c r="N66" s="10" t="s">
        <v>2704</v>
      </c>
      <c r="O66" s="147" t="s">
        <v>2705</v>
      </c>
      <c r="P66" s="149" t="s">
        <v>3073</v>
      </c>
    </row>
    <row r="67" spans="1:16">
      <c r="A67" s="42" t="s">
        <v>2943</v>
      </c>
      <c r="B67" s="5" t="s">
        <v>724</v>
      </c>
      <c r="C67" s="5" t="s">
        <v>2944</v>
      </c>
      <c r="D67" s="10" t="s">
        <v>2945</v>
      </c>
      <c r="E67" s="5" t="s">
        <v>2946</v>
      </c>
      <c r="F67" s="5" t="s">
        <v>2947</v>
      </c>
      <c r="G67" s="147" t="s">
        <v>2873</v>
      </c>
      <c r="H67" s="10" t="s">
        <v>2702</v>
      </c>
      <c r="I67" s="10" t="s">
        <v>2710</v>
      </c>
      <c r="J67" s="165">
        <v>9</v>
      </c>
      <c r="K67" s="163">
        <v>3.6</v>
      </c>
      <c r="L67" s="163">
        <v>5.4</v>
      </c>
      <c r="M67" s="10" t="s">
        <v>3072</v>
      </c>
      <c r="N67" s="10" t="s">
        <v>2704</v>
      </c>
      <c r="O67" s="147" t="s">
        <v>2705</v>
      </c>
      <c r="P67" s="149" t="s">
        <v>3073</v>
      </c>
    </row>
    <row r="68" spans="1:16">
      <c r="A68" s="42" t="s">
        <v>2948</v>
      </c>
      <c r="B68" s="5" t="s">
        <v>724</v>
      </c>
      <c r="C68" s="5" t="s">
        <v>2949</v>
      </c>
      <c r="D68" s="10" t="s">
        <v>2759</v>
      </c>
      <c r="E68" s="5" t="s">
        <v>2950</v>
      </c>
      <c r="F68" s="5" t="s">
        <v>2951</v>
      </c>
      <c r="G68" s="147" t="s">
        <v>2952</v>
      </c>
      <c r="H68" s="10" t="s">
        <v>2702</v>
      </c>
      <c r="I68" s="10" t="s">
        <v>2710</v>
      </c>
      <c r="J68" s="165">
        <v>10</v>
      </c>
      <c r="K68" s="163">
        <v>4</v>
      </c>
      <c r="L68" s="163">
        <v>6</v>
      </c>
      <c r="M68" s="10" t="s">
        <v>3072</v>
      </c>
      <c r="N68" s="10" t="s">
        <v>2704</v>
      </c>
      <c r="O68" s="147" t="s">
        <v>2828</v>
      </c>
      <c r="P68" s="149" t="s">
        <v>3073</v>
      </c>
    </row>
    <row r="69" spans="1:16">
      <c r="A69" s="42" t="s">
        <v>2953</v>
      </c>
      <c r="B69" s="5" t="s">
        <v>724</v>
      </c>
      <c r="C69" s="5" t="s">
        <v>1843</v>
      </c>
      <c r="D69" s="10" t="s">
        <v>2954</v>
      </c>
      <c r="E69" s="5" t="s">
        <v>2955</v>
      </c>
      <c r="F69" s="5" t="s">
        <v>2956</v>
      </c>
      <c r="G69" s="147" t="s">
        <v>2801</v>
      </c>
      <c r="H69" s="10" t="s">
        <v>2702</v>
      </c>
      <c r="I69" s="10" t="s">
        <v>2703</v>
      </c>
      <c r="J69" s="165">
        <v>5</v>
      </c>
      <c r="K69" s="163">
        <v>2</v>
      </c>
      <c r="L69" s="163">
        <v>3</v>
      </c>
      <c r="M69" s="10" t="s">
        <v>3072</v>
      </c>
      <c r="N69" s="10" t="s">
        <v>2711</v>
      </c>
      <c r="O69" s="147" t="s">
        <v>2828</v>
      </c>
      <c r="P69" s="149" t="s">
        <v>3073</v>
      </c>
    </row>
    <row r="70" spans="1:16">
      <c r="A70" s="42" t="s">
        <v>3128</v>
      </c>
      <c r="B70" s="5" t="s">
        <v>724</v>
      </c>
      <c r="C70" s="5" t="s">
        <v>3129</v>
      </c>
      <c r="D70" s="10" t="s">
        <v>2759</v>
      </c>
      <c r="E70" s="5" t="s">
        <v>3130</v>
      </c>
      <c r="F70" s="5" t="s">
        <v>3131</v>
      </c>
      <c r="G70" s="147" t="s">
        <v>2905</v>
      </c>
      <c r="H70" s="10" t="s">
        <v>2702</v>
      </c>
      <c r="I70" s="10" t="s">
        <v>2710</v>
      </c>
      <c r="J70" s="165">
        <v>10</v>
      </c>
      <c r="K70" s="163">
        <v>4</v>
      </c>
      <c r="L70" s="163">
        <v>6</v>
      </c>
      <c r="M70" s="10" t="s">
        <v>3072</v>
      </c>
      <c r="N70" s="10" t="s">
        <v>2704</v>
      </c>
      <c r="O70" s="147" t="s">
        <v>3081</v>
      </c>
      <c r="P70" s="149" t="s">
        <v>1472</v>
      </c>
    </row>
    <row r="71" spans="1:16">
      <c r="A71" s="42" t="s">
        <v>3132</v>
      </c>
      <c r="B71" s="5" t="s">
        <v>724</v>
      </c>
      <c r="C71" s="5" t="s">
        <v>3133</v>
      </c>
      <c r="D71" s="10" t="s">
        <v>3015</v>
      </c>
      <c r="E71" s="5" t="s">
        <v>3134</v>
      </c>
      <c r="F71" s="5" t="s">
        <v>3135</v>
      </c>
      <c r="G71" s="147" t="s">
        <v>2983</v>
      </c>
      <c r="H71" s="10" t="s">
        <v>2702</v>
      </c>
      <c r="I71" s="10" t="s">
        <v>2710</v>
      </c>
      <c r="J71" s="165">
        <v>9</v>
      </c>
      <c r="K71" s="163">
        <v>3.6</v>
      </c>
      <c r="L71" s="163">
        <v>5.4</v>
      </c>
      <c r="M71" s="10" t="s">
        <v>3072</v>
      </c>
      <c r="N71" s="10" t="s">
        <v>2704</v>
      </c>
      <c r="O71" s="147" t="s">
        <v>3081</v>
      </c>
      <c r="P71" s="149" t="s">
        <v>3136</v>
      </c>
    </row>
    <row r="72" spans="1:16">
      <c r="A72" s="42" t="s">
        <v>3137</v>
      </c>
      <c r="B72" s="5" t="s">
        <v>724</v>
      </c>
      <c r="C72" s="5" t="s">
        <v>3138</v>
      </c>
      <c r="D72" s="10" t="s">
        <v>2851</v>
      </c>
      <c r="E72" s="5" t="s">
        <v>3139</v>
      </c>
      <c r="F72" s="5" t="s">
        <v>3140</v>
      </c>
      <c r="G72" s="147" t="s">
        <v>2930</v>
      </c>
      <c r="H72" s="10" t="s">
        <v>2702</v>
      </c>
      <c r="I72" s="10" t="s">
        <v>2710</v>
      </c>
      <c r="J72" s="165">
        <v>9</v>
      </c>
      <c r="K72" s="163">
        <v>3.6</v>
      </c>
      <c r="L72" s="163">
        <v>5.4</v>
      </c>
      <c r="M72" s="10" t="s">
        <v>3072</v>
      </c>
      <c r="N72" s="10" t="s">
        <v>2704</v>
      </c>
      <c r="O72" s="147" t="s">
        <v>3081</v>
      </c>
      <c r="P72" s="149" t="s">
        <v>3141</v>
      </c>
    </row>
    <row r="73" spans="1:16">
      <c r="A73" s="42" t="s">
        <v>3142</v>
      </c>
      <c r="B73" s="5" t="s">
        <v>724</v>
      </c>
      <c r="C73" s="5" t="s">
        <v>3143</v>
      </c>
      <c r="D73" s="10" t="s">
        <v>2737</v>
      </c>
      <c r="E73" s="5" t="s">
        <v>3144</v>
      </c>
      <c r="F73" s="5" t="s">
        <v>3145</v>
      </c>
      <c r="G73" s="147" t="s">
        <v>2935</v>
      </c>
      <c r="H73" s="10" t="s">
        <v>2702</v>
      </c>
      <c r="I73" s="10" t="s">
        <v>2710</v>
      </c>
      <c r="J73" s="165">
        <v>10</v>
      </c>
      <c r="K73" s="163">
        <v>4</v>
      </c>
      <c r="L73" s="163">
        <v>6</v>
      </c>
      <c r="M73" s="10" t="s">
        <v>3072</v>
      </c>
      <c r="N73" s="10" t="s">
        <v>2704</v>
      </c>
      <c r="O73" s="147" t="s">
        <v>3081</v>
      </c>
      <c r="P73" s="149" t="s">
        <v>1473</v>
      </c>
    </row>
    <row r="74" spans="1:16">
      <c r="A74" s="42" t="s">
        <v>2957</v>
      </c>
      <c r="B74" s="5" t="s">
        <v>728</v>
      </c>
      <c r="C74" s="5" t="s">
        <v>2958</v>
      </c>
      <c r="D74" s="10" t="s">
        <v>2892</v>
      </c>
      <c r="E74" s="5" t="s">
        <v>2959</v>
      </c>
      <c r="F74" s="5" t="s">
        <v>2960</v>
      </c>
      <c r="G74" s="147" t="s">
        <v>2961</v>
      </c>
      <c r="H74" s="10" t="s">
        <v>2702</v>
      </c>
      <c r="I74" s="10" t="s">
        <v>2710</v>
      </c>
      <c r="J74" s="165">
        <v>10</v>
      </c>
      <c r="K74" s="163">
        <v>4</v>
      </c>
      <c r="L74" s="163">
        <v>6</v>
      </c>
      <c r="M74" s="10" t="s">
        <v>3072</v>
      </c>
      <c r="N74" s="10" t="s">
        <v>2704</v>
      </c>
      <c r="O74" s="147" t="s">
        <v>2705</v>
      </c>
      <c r="P74" s="149" t="s">
        <v>3073</v>
      </c>
    </row>
    <row r="75" spans="1:16">
      <c r="A75" s="42" t="s">
        <v>2962</v>
      </c>
      <c r="B75" s="5" t="s">
        <v>728</v>
      </c>
      <c r="C75" s="5" t="s">
        <v>2963</v>
      </c>
      <c r="D75" s="10" t="s">
        <v>2887</v>
      </c>
      <c r="E75" s="5" t="s">
        <v>2964</v>
      </c>
      <c r="F75" s="5" t="s">
        <v>2965</v>
      </c>
      <c r="G75" s="147" t="s">
        <v>2740</v>
      </c>
      <c r="H75" s="10" t="s">
        <v>729</v>
      </c>
      <c r="I75" s="10" t="s">
        <v>2710</v>
      </c>
      <c r="J75" s="165">
        <v>12</v>
      </c>
      <c r="K75" s="163">
        <v>4.8</v>
      </c>
      <c r="L75" s="163">
        <v>7.2</v>
      </c>
      <c r="M75" s="10" t="s">
        <v>3072</v>
      </c>
      <c r="N75" s="10" t="s">
        <v>2711</v>
      </c>
      <c r="O75" s="147" t="s">
        <v>2705</v>
      </c>
      <c r="P75" s="149" t="s">
        <v>3073</v>
      </c>
    </row>
    <row r="76" spans="1:16">
      <c r="A76" s="42" t="s">
        <v>2966</v>
      </c>
      <c r="B76" s="5" t="s">
        <v>728</v>
      </c>
      <c r="C76" s="5" t="s">
        <v>2967</v>
      </c>
      <c r="D76" s="10" t="s">
        <v>2743</v>
      </c>
      <c r="E76" s="5" t="s">
        <v>2968</v>
      </c>
      <c r="F76" s="5" t="s">
        <v>2969</v>
      </c>
      <c r="G76" s="147" t="s">
        <v>2746</v>
      </c>
      <c r="H76" s="10" t="s">
        <v>2702</v>
      </c>
      <c r="I76" s="10" t="s">
        <v>2710</v>
      </c>
      <c r="J76" s="165">
        <v>12</v>
      </c>
      <c r="K76" s="163">
        <v>4.8</v>
      </c>
      <c r="L76" s="163">
        <v>7.2</v>
      </c>
      <c r="M76" s="10" t="s">
        <v>3072</v>
      </c>
      <c r="N76" s="10" t="s">
        <v>2704</v>
      </c>
      <c r="O76" s="147" t="s">
        <v>2705</v>
      </c>
      <c r="P76" s="149" t="s">
        <v>3073</v>
      </c>
    </row>
    <row r="77" spans="1:16">
      <c r="A77" s="42" t="s">
        <v>2970</v>
      </c>
      <c r="B77" s="5" t="s">
        <v>728</v>
      </c>
      <c r="C77" s="5" t="s">
        <v>2971</v>
      </c>
      <c r="D77" s="10" t="s">
        <v>2809</v>
      </c>
      <c r="E77" s="5" t="s">
        <v>2972</v>
      </c>
      <c r="F77" s="5" t="s">
        <v>3146</v>
      </c>
      <c r="G77" s="147" t="s">
        <v>2973</v>
      </c>
      <c r="H77" s="10" t="s">
        <v>2702</v>
      </c>
      <c r="I77" s="10" t="s">
        <v>2710</v>
      </c>
      <c r="J77" s="165">
        <v>15</v>
      </c>
      <c r="K77" s="163">
        <v>6</v>
      </c>
      <c r="L77" s="163">
        <v>9</v>
      </c>
      <c r="M77" s="10" t="s">
        <v>3072</v>
      </c>
      <c r="N77" s="10" t="s">
        <v>2704</v>
      </c>
      <c r="O77" s="147" t="s">
        <v>2705</v>
      </c>
      <c r="P77" s="149" t="s">
        <v>3073</v>
      </c>
    </row>
    <row r="78" spans="1:16">
      <c r="A78" s="42" t="s">
        <v>2974</v>
      </c>
      <c r="B78" s="5" t="s">
        <v>728</v>
      </c>
      <c r="C78" s="5" t="s">
        <v>2975</v>
      </c>
      <c r="D78" s="10" t="s">
        <v>2887</v>
      </c>
      <c r="E78" s="5" t="s">
        <v>2976</v>
      </c>
      <c r="F78" s="5" t="s">
        <v>2977</v>
      </c>
      <c r="G78" s="147" t="s">
        <v>2978</v>
      </c>
      <c r="H78" s="10" t="s">
        <v>2702</v>
      </c>
      <c r="I78" s="10" t="s">
        <v>2703</v>
      </c>
      <c r="J78" s="165">
        <v>5</v>
      </c>
      <c r="K78" s="163">
        <v>2</v>
      </c>
      <c r="L78" s="163">
        <v>3</v>
      </c>
      <c r="M78" s="10" t="s">
        <v>3072</v>
      </c>
      <c r="N78" s="10" t="s">
        <v>2704</v>
      </c>
      <c r="O78" s="147" t="s">
        <v>2705</v>
      </c>
      <c r="P78" s="149" t="s">
        <v>3073</v>
      </c>
    </row>
    <row r="79" spans="1:16">
      <c r="A79" s="42" t="s">
        <v>3147</v>
      </c>
      <c r="B79" s="5" t="s">
        <v>728</v>
      </c>
      <c r="C79" s="5" t="s">
        <v>3148</v>
      </c>
      <c r="D79" s="10" t="s">
        <v>2743</v>
      </c>
      <c r="E79" s="5" t="s">
        <v>3149</v>
      </c>
      <c r="F79" s="5" t="s">
        <v>3150</v>
      </c>
      <c r="G79" s="147" t="s">
        <v>2740</v>
      </c>
      <c r="H79" s="10" t="s">
        <v>2702</v>
      </c>
      <c r="I79" s="10" t="s">
        <v>2703</v>
      </c>
      <c r="J79" s="165">
        <v>5</v>
      </c>
      <c r="K79" s="163">
        <v>2</v>
      </c>
      <c r="L79" s="163">
        <v>3</v>
      </c>
      <c r="M79" s="10" t="s">
        <v>3072</v>
      </c>
      <c r="N79" s="10" t="s">
        <v>2704</v>
      </c>
      <c r="O79" s="147" t="s">
        <v>3081</v>
      </c>
      <c r="P79" s="149" t="s">
        <v>1513</v>
      </c>
    </row>
    <row r="80" spans="1:16">
      <c r="A80" s="42" t="s">
        <v>3151</v>
      </c>
      <c r="B80" s="5" t="s">
        <v>728</v>
      </c>
      <c r="C80" s="5" t="s">
        <v>3152</v>
      </c>
      <c r="D80" s="10" t="s">
        <v>2892</v>
      </c>
      <c r="E80" s="5" t="s">
        <v>3153</v>
      </c>
      <c r="F80" s="5" t="s">
        <v>3154</v>
      </c>
      <c r="G80" s="147" t="s">
        <v>2746</v>
      </c>
      <c r="H80" s="10" t="s">
        <v>2702</v>
      </c>
      <c r="I80" s="10" t="s">
        <v>2703</v>
      </c>
      <c r="J80" s="165">
        <v>8</v>
      </c>
      <c r="K80" s="163">
        <v>3.2</v>
      </c>
      <c r="L80" s="163">
        <v>4.8</v>
      </c>
      <c r="M80" s="10" t="s">
        <v>3072</v>
      </c>
      <c r="N80" s="10" t="s">
        <v>2704</v>
      </c>
      <c r="O80" s="147" t="s">
        <v>3081</v>
      </c>
      <c r="P80" s="149" t="s">
        <v>1514</v>
      </c>
    </row>
    <row r="81" spans="1:16">
      <c r="A81" s="42" t="s">
        <v>3155</v>
      </c>
      <c r="B81" s="5" t="s">
        <v>728</v>
      </c>
      <c r="C81" s="5" t="s">
        <v>3156</v>
      </c>
      <c r="D81" s="10" t="s">
        <v>2887</v>
      </c>
      <c r="E81" s="5" t="s">
        <v>3157</v>
      </c>
      <c r="F81" s="5" t="s">
        <v>3158</v>
      </c>
      <c r="G81" s="147" t="s">
        <v>2983</v>
      </c>
      <c r="H81" s="10" t="s">
        <v>2702</v>
      </c>
      <c r="I81" s="10" t="s">
        <v>2703</v>
      </c>
      <c r="J81" s="165">
        <v>8</v>
      </c>
      <c r="K81" s="163">
        <v>3.2</v>
      </c>
      <c r="L81" s="163">
        <v>4.8</v>
      </c>
      <c r="M81" s="10" t="s">
        <v>3072</v>
      </c>
      <c r="N81" s="10" t="s">
        <v>2704</v>
      </c>
      <c r="O81" s="147" t="s">
        <v>3081</v>
      </c>
      <c r="P81" s="149" t="s">
        <v>1515</v>
      </c>
    </row>
    <row r="82" spans="1:16">
      <c r="A82" s="42" t="s">
        <v>3159</v>
      </c>
      <c r="B82" s="5" t="s">
        <v>728</v>
      </c>
      <c r="C82" s="5" t="s">
        <v>3160</v>
      </c>
      <c r="D82" s="10" t="s">
        <v>2851</v>
      </c>
      <c r="E82" s="5" t="s">
        <v>3161</v>
      </c>
      <c r="F82" s="5" t="s">
        <v>3162</v>
      </c>
      <c r="G82" s="147" t="s">
        <v>2962</v>
      </c>
      <c r="H82" s="10" t="s">
        <v>2702</v>
      </c>
      <c r="I82" s="10" t="s">
        <v>2703</v>
      </c>
      <c r="J82" s="165">
        <v>6</v>
      </c>
      <c r="K82" s="163">
        <v>2.4</v>
      </c>
      <c r="L82" s="163">
        <v>3.6</v>
      </c>
      <c r="M82" s="10" t="s">
        <v>3072</v>
      </c>
      <c r="N82" s="10" t="s">
        <v>2704</v>
      </c>
      <c r="O82" s="147" t="s">
        <v>3081</v>
      </c>
      <c r="P82" s="149" t="s">
        <v>1518</v>
      </c>
    </row>
    <row r="83" spans="1:16">
      <c r="A83" s="42" t="s">
        <v>3163</v>
      </c>
      <c r="B83" s="5" t="s">
        <v>728</v>
      </c>
      <c r="C83" s="5" t="s">
        <v>3164</v>
      </c>
      <c r="D83" s="10" t="s">
        <v>2743</v>
      </c>
      <c r="E83" s="5" t="s">
        <v>3165</v>
      </c>
      <c r="F83" s="5" t="s">
        <v>3166</v>
      </c>
      <c r="G83" s="147" t="s">
        <v>2966</v>
      </c>
      <c r="H83" s="10" t="s">
        <v>2702</v>
      </c>
      <c r="I83" s="10" t="s">
        <v>2710</v>
      </c>
      <c r="J83" s="165">
        <v>10</v>
      </c>
      <c r="K83" s="163">
        <v>4</v>
      </c>
      <c r="L83" s="163">
        <v>6</v>
      </c>
      <c r="M83" s="10" t="s">
        <v>3072</v>
      </c>
      <c r="N83" s="10" t="s">
        <v>2704</v>
      </c>
      <c r="O83" s="147" t="s">
        <v>3081</v>
      </c>
      <c r="P83" s="149" t="s">
        <v>3167</v>
      </c>
    </row>
    <row r="84" spans="1:16">
      <c r="A84" s="42" t="s">
        <v>3168</v>
      </c>
      <c r="B84" s="5" t="s">
        <v>728</v>
      </c>
      <c r="C84" s="5" t="s">
        <v>3169</v>
      </c>
      <c r="D84" s="10" t="s">
        <v>2754</v>
      </c>
      <c r="E84" s="5" t="s">
        <v>3170</v>
      </c>
      <c r="F84" s="5" t="s">
        <v>3171</v>
      </c>
      <c r="G84" s="147" t="s">
        <v>3172</v>
      </c>
      <c r="H84" s="10" t="s">
        <v>2702</v>
      </c>
      <c r="I84" s="10" t="s">
        <v>2703</v>
      </c>
      <c r="J84" s="165">
        <v>8</v>
      </c>
      <c r="K84" s="163">
        <v>3.2</v>
      </c>
      <c r="L84" s="163">
        <v>4.8</v>
      </c>
      <c r="M84" s="10" t="s">
        <v>3072</v>
      </c>
      <c r="N84" s="10" t="s">
        <v>2704</v>
      </c>
      <c r="O84" s="147" t="s">
        <v>3081</v>
      </c>
      <c r="P84" s="149" t="s">
        <v>3173</v>
      </c>
    </row>
    <row r="85" spans="1:16">
      <c r="A85" s="42" t="s">
        <v>3174</v>
      </c>
      <c r="B85" s="5" t="s">
        <v>728</v>
      </c>
      <c r="C85" s="5" t="s">
        <v>3175</v>
      </c>
      <c r="D85" s="10" t="s">
        <v>2851</v>
      </c>
      <c r="E85" s="5" t="s">
        <v>3176</v>
      </c>
      <c r="F85" s="5" t="s">
        <v>3177</v>
      </c>
      <c r="G85" s="147" t="s">
        <v>2962</v>
      </c>
      <c r="H85" s="10" t="s">
        <v>2702</v>
      </c>
      <c r="I85" s="10" t="s">
        <v>2703</v>
      </c>
      <c r="J85" s="165">
        <v>3</v>
      </c>
      <c r="K85" s="163">
        <v>1.2</v>
      </c>
      <c r="L85" s="163">
        <v>1.8</v>
      </c>
      <c r="M85" s="10" t="s">
        <v>3072</v>
      </c>
      <c r="N85" s="10" t="s">
        <v>2704</v>
      </c>
      <c r="O85" s="147" t="s">
        <v>3081</v>
      </c>
      <c r="P85" s="149" t="s">
        <v>3178</v>
      </c>
    </row>
    <row r="86" spans="1:16">
      <c r="A86" s="42" t="s">
        <v>2866</v>
      </c>
      <c r="B86" s="5" t="s">
        <v>2979</v>
      </c>
      <c r="C86" s="5" t="s">
        <v>2980</v>
      </c>
      <c r="D86" s="10" t="s">
        <v>2743</v>
      </c>
      <c r="E86" s="5" t="s">
        <v>2981</v>
      </c>
      <c r="F86" s="5" t="s">
        <v>2982</v>
      </c>
      <c r="G86" s="147" t="s">
        <v>2702</v>
      </c>
      <c r="H86" s="10" t="s">
        <v>2702</v>
      </c>
      <c r="I86" s="10" t="s">
        <v>2721</v>
      </c>
      <c r="J86" s="165">
        <v>22</v>
      </c>
      <c r="K86" s="163">
        <v>8.8000000000000007</v>
      </c>
      <c r="L86" s="163">
        <v>13.2</v>
      </c>
      <c r="M86" s="10" t="s">
        <v>3072</v>
      </c>
      <c r="N86" s="10" t="s">
        <v>2704</v>
      </c>
      <c r="O86" s="147" t="s">
        <v>2705</v>
      </c>
      <c r="P86" s="149" t="s">
        <v>3073</v>
      </c>
    </row>
    <row r="87" spans="1:16">
      <c r="A87" s="42" t="s">
        <v>2983</v>
      </c>
      <c r="B87" s="5" t="s">
        <v>2979</v>
      </c>
      <c r="C87" s="5" t="s">
        <v>2984</v>
      </c>
      <c r="D87" s="10" t="s">
        <v>2743</v>
      </c>
      <c r="E87" s="5" t="s">
        <v>2985</v>
      </c>
      <c r="F87" s="5" t="s">
        <v>2986</v>
      </c>
      <c r="G87" s="147" t="s">
        <v>2866</v>
      </c>
      <c r="H87" s="10" t="s">
        <v>2702</v>
      </c>
      <c r="I87" s="10" t="s">
        <v>2710</v>
      </c>
      <c r="J87" s="165">
        <v>14</v>
      </c>
      <c r="K87" s="163">
        <v>5.6</v>
      </c>
      <c r="L87" s="163">
        <v>8.4</v>
      </c>
      <c r="M87" s="10" t="s">
        <v>3072</v>
      </c>
      <c r="N87" s="10" t="s">
        <v>2704</v>
      </c>
      <c r="O87" s="147" t="s">
        <v>2705</v>
      </c>
      <c r="P87" s="149" t="s">
        <v>3073</v>
      </c>
    </row>
    <row r="88" spans="1:16">
      <c r="A88" s="42" t="s">
        <v>3179</v>
      </c>
      <c r="B88" s="5" t="s">
        <v>2979</v>
      </c>
      <c r="C88" s="5" t="s">
        <v>3180</v>
      </c>
      <c r="D88" s="10" t="s">
        <v>2743</v>
      </c>
      <c r="E88" s="5" t="s">
        <v>3181</v>
      </c>
      <c r="F88" s="5" t="s">
        <v>3182</v>
      </c>
      <c r="G88" s="147" t="s">
        <v>2983</v>
      </c>
      <c r="H88" s="10" t="s">
        <v>2702</v>
      </c>
      <c r="I88" s="10" t="s">
        <v>2710</v>
      </c>
      <c r="J88" s="165">
        <v>12</v>
      </c>
      <c r="K88" s="163">
        <v>4.8</v>
      </c>
      <c r="L88" s="163">
        <v>7.2</v>
      </c>
      <c r="M88" s="10" t="s">
        <v>3072</v>
      </c>
      <c r="N88" s="10" t="s">
        <v>2704</v>
      </c>
      <c r="O88" s="147" t="s">
        <v>3081</v>
      </c>
      <c r="P88" s="149" t="s">
        <v>1596</v>
      </c>
    </row>
    <row r="89" spans="1:16">
      <c r="A89" s="42" t="s">
        <v>2961</v>
      </c>
      <c r="B89" s="5" t="s">
        <v>2987</v>
      </c>
      <c r="C89" s="5" t="s">
        <v>2988</v>
      </c>
      <c r="D89" s="10" t="s">
        <v>2989</v>
      </c>
      <c r="E89" s="5" t="s">
        <v>2990</v>
      </c>
      <c r="F89" s="5" t="s">
        <v>2991</v>
      </c>
      <c r="G89" s="147" t="s">
        <v>2740</v>
      </c>
      <c r="H89" s="10" t="s">
        <v>2702</v>
      </c>
      <c r="I89" s="10" t="s">
        <v>2710</v>
      </c>
      <c r="J89" s="165">
        <v>13</v>
      </c>
      <c r="K89" s="163">
        <v>5.2</v>
      </c>
      <c r="L89" s="163">
        <v>7.8</v>
      </c>
      <c r="M89" s="10" t="s">
        <v>3072</v>
      </c>
      <c r="N89" s="10" t="s">
        <v>2704</v>
      </c>
      <c r="O89" s="147" t="s">
        <v>2705</v>
      </c>
      <c r="P89" s="149" t="s">
        <v>3073</v>
      </c>
    </row>
    <row r="90" spans="1:16">
      <c r="A90" s="42" t="s">
        <v>2924</v>
      </c>
      <c r="B90" s="5" t="s">
        <v>2987</v>
      </c>
      <c r="C90" s="5" t="s">
        <v>2992</v>
      </c>
      <c r="D90" s="10" t="s">
        <v>2743</v>
      </c>
      <c r="E90" s="5" t="s">
        <v>2993</v>
      </c>
      <c r="F90" s="5" t="s">
        <v>2994</v>
      </c>
      <c r="G90" s="147" t="s">
        <v>2995</v>
      </c>
      <c r="H90" s="10" t="s">
        <v>2702</v>
      </c>
      <c r="I90" s="10" t="s">
        <v>2710</v>
      </c>
      <c r="J90" s="165">
        <v>13</v>
      </c>
      <c r="K90" s="163">
        <v>5.2</v>
      </c>
      <c r="L90" s="163">
        <v>7.8</v>
      </c>
      <c r="M90" s="10" t="s">
        <v>3072</v>
      </c>
      <c r="N90" s="10" t="s">
        <v>2704</v>
      </c>
      <c r="O90" s="147" t="s">
        <v>2705</v>
      </c>
      <c r="P90" s="149" t="s">
        <v>3073</v>
      </c>
    </row>
    <row r="91" spans="1:16">
      <c r="A91" s="42" t="s">
        <v>2996</v>
      </c>
      <c r="B91" s="5" t="s">
        <v>2987</v>
      </c>
      <c r="C91" s="5" t="s">
        <v>2997</v>
      </c>
      <c r="D91" s="10" t="s">
        <v>2851</v>
      </c>
      <c r="E91" s="5" t="s">
        <v>2998</v>
      </c>
      <c r="F91" s="5" t="s">
        <v>3183</v>
      </c>
      <c r="G91" s="147" t="s">
        <v>2999</v>
      </c>
      <c r="H91" s="10" t="s">
        <v>2702</v>
      </c>
      <c r="I91" s="10" t="s">
        <v>2721</v>
      </c>
      <c r="J91" s="165">
        <v>25</v>
      </c>
      <c r="K91" s="163">
        <v>10</v>
      </c>
      <c r="L91" s="163">
        <v>15</v>
      </c>
      <c r="M91" s="10" t="s">
        <v>3072</v>
      </c>
      <c r="N91" s="10" t="s">
        <v>2704</v>
      </c>
      <c r="O91" s="147" t="s">
        <v>2705</v>
      </c>
      <c r="P91" s="149" t="s">
        <v>3073</v>
      </c>
    </row>
    <row r="92" spans="1:16">
      <c r="A92" s="42" t="s">
        <v>3000</v>
      </c>
      <c r="B92" s="5" t="s">
        <v>2987</v>
      </c>
      <c r="C92" s="5" t="s">
        <v>3001</v>
      </c>
      <c r="D92" s="10" t="s">
        <v>2759</v>
      </c>
      <c r="E92" s="5" t="s">
        <v>3002</v>
      </c>
      <c r="F92" s="5" t="s">
        <v>3003</v>
      </c>
      <c r="G92" s="147" t="s">
        <v>3004</v>
      </c>
      <c r="H92" s="10" t="s">
        <v>2702</v>
      </c>
      <c r="I92" s="10" t="s">
        <v>2710</v>
      </c>
      <c r="J92" s="165">
        <v>12</v>
      </c>
      <c r="K92" s="163">
        <v>4.8</v>
      </c>
      <c r="L92" s="163">
        <v>7.2</v>
      </c>
      <c r="M92" s="10" t="s">
        <v>3072</v>
      </c>
      <c r="N92" s="10" t="s">
        <v>2704</v>
      </c>
      <c r="O92" s="147" t="s">
        <v>2705</v>
      </c>
      <c r="P92" s="149" t="s">
        <v>3073</v>
      </c>
    </row>
    <row r="93" spans="1:16">
      <c r="A93" s="42" t="s">
        <v>3005</v>
      </c>
      <c r="B93" s="5" t="s">
        <v>2987</v>
      </c>
      <c r="C93" s="5" t="s">
        <v>3006</v>
      </c>
      <c r="D93" s="10" t="s">
        <v>2759</v>
      </c>
      <c r="E93" s="5" t="s">
        <v>3007</v>
      </c>
      <c r="F93" s="5" t="s">
        <v>3008</v>
      </c>
      <c r="G93" s="147" t="s">
        <v>2961</v>
      </c>
      <c r="H93" s="10" t="s">
        <v>2702</v>
      </c>
      <c r="I93" s="10" t="s">
        <v>2710</v>
      </c>
      <c r="J93" s="165">
        <v>11</v>
      </c>
      <c r="K93" s="163">
        <v>4.4000000000000004</v>
      </c>
      <c r="L93" s="163">
        <v>6.6</v>
      </c>
      <c r="M93" s="10" t="s">
        <v>3072</v>
      </c>
      <c r="N93" s="10" t="s">
        <v>2704</v>
      </c>
      <c r="O93" s="147" t="s">
        <v>2705</v>
      </c>
      <c r="P93" s="149" t="s">
        <v>3073</v>
      </c>
    </row>
    <row r="94" spans="1:16">
      <c r="A94" s="42" t="s">
        <v>3009</v>
      </c>
      <c r="B94" s="5" t="s">
        <v>2987</v>
      </c>
      <c r="C94" s="5" t="s">
        <v>1842</v>
      </c>
      <c r="D94" s="10" t="s">
        <v>2954</v>
      </c>
      <c r="E94" s="5" t="s">
        <v>3010</v>
      </c>
      <c r="F94" s="5" t="s">
        <v>3011</v>
      </c>
      <c r="G94" s="147" t="s">
        <v>3012</v>
      </c>
      <c r="H94" s="10" t="s">
        <v>2702</v>
      </c>
      <c r="I94" s="10" t="s">
        <v>2710</v>
      </c>
      <c r="J94" s="165">
        <v>10</v>
      </c>
      <c r="K94" s="163">
        <v>4</v>
      </c>
      <c r="L94" s="163">
        <v>6</v>
      </c>
      <c r="M94" s="10" t="s">
        <v>3072</v>
      </c>
      <c r="N94" s="10" t="s">
        <v>2704</v>
      </c>
      <c r="O94" s="147" t="s">
        <v>2828</v>
      </c>
      <c r="P94" s="149" t="s">
        <v>3073</v>
      </c>
    </row>
    <row r="95" spans="1:16">
      <c r="A95" s="42" t="s">
        <v>3013</v>
      </c>
      <c r="B95" s="5" t="s">
        <v>2987</v>
      </c>
      <c r="C95" s="5" t="s">
        <v>3014</v>
      </c>
      <c r="D95" s="10" t="s">
        <v>3015</v>
      </c>
      <c r="E95" s="5" t="s">
        <v>3016</v>
      </c>
      <c r="F95" s="5" t="s">
        <v>3017</v>
      </c>
      <c r="G95" s="147" t="s">
        <v>2866</v>
      </c>
      <c r="H95" s="10" t="s">
        <v>2702</v>
      </c>
      <c r="I95" s="10" t="s">
        <v>2703</v>
      </c>
      <c r="J95" s="165">
        <v>5</v>
      </c>
      <c r="K95" s="163">
        <v>2</v>
      </c>
      <c r="L95" s="163">
        <v>3</v>
      </c>
      <c r="M95" s="10" t="s">
        <v>3072</v>
      </c>
      <c r="N95" s="10" t="s">
        <v>2704</v>
      </c>
      <c r="O95" s="147" t="s">
        <v>2828</v>
      </c>
      <c r="P95" s="149" t="s">
        <v>3073</v>
      </c>
    </row>
    <row r="96" spans="1:16">
      <c r="A96" s="42" t="s">
        <v>3184</v>
      </c>
      <c r="B96" s="5" t="s">
        <v>2987</v>
      </c>
      <c r="C96" s="5" t="s">
        <v>3185</v>
      </c>
      <c r="D96" s="10" t="s">
        <v>2989</v>
      </c>
      <c r="E96" s="5" t="s">
        <v>3186</v>
      </c>
      <c r="F96" s="5" t="s">
        <v>3187</v>
      </c>
      <c r="G96" s="147" t="s">
        <v>2961</v>
      </c>
      <c r="H96" s="10" t="s">
        <v>2702</v>
      </c>
      <c r="I96" s="10" t="s">
        <v>2703</v>
      </c>
      <c r="J96" s="165">
        <v>8</v>
      </c>
      <c r="K96" s="163">
        <v>3.2</v>
      </c>
      <c r="L96" s="163">
        <v>4.8</v>
      </c>
      <c r="M96" s="10" t="s">
        <v>3072</v>
      </c>
      <c r="N96" s="10" t="s">
        <v>2704</v>
      </c>
      <c r="O96" s="147" t="s">
        <v>3081</v>
      </c>
      <c r="P96" s="149" t="s">
        <v>3188</v>
      </c>
    </row>
    <row r="97" spans="1:16">
      <c r="A97" s="42" t="s">
        <v>3189</v>
      </c>
      <c r="B97" s="5" t="s">
        <v>2987</v>
      </c>
      <c r="C97" s="5" t="s">
        <v>3190</v>
      </c>
      <c r="D97" s="10" t="s">
        <v>2851</v>
      </c>
      <c r="E97" s="5" t="s">
        <v>3191</v>
      </c>
      <c r="F97" s="5" t="s">
        <v>3192</v>
      </c>
      <c r="G97" s="147" t="s">
        <v>2924</v>
      </c>
      <c r="H97" s="10" t="s">
        <v>2702</v>
      </c>
      <c r="I97" s="10" t="s">
        <v>2703</v>
      </c>
      <c r="J97" s="165">
        <v>5</v>
      </c>
      <c r="K97" s="163">
        <v>2</v>
      </c>
      <c r="L97" s="163">
        <v>3</v>
      </c>
      <c r="M97" s="10" t="s">
        <v>3072</v>
      </c>
      <c r="N97" s="10" t="s">
        <v>3193</v>
      </c>
      <c r="O97" s="147" t="s">
        <v>3081</v>
      </c>
      <c r="P97" s="149" t="s">
        <v>3194</v>
      </c>
    </row>
    <row r="98" spans="1:16">
      <c r="A98" s="42" t="s">
        <v>3018</v>
      </c>
      <c r="B98" s="5" t="s">
        <v>1626</v>
      </c>
      <c r="C98" s="5" t="s">
        <v>3019</v>
      </c>
      <c r="D98" s="10" t="s">
        <v>3020</v>
      </c>
      <c r="E98" s="5" t="s">
        <v>3021</v>
      </c>
      <c r="F98" s="5" t="s">
        <v>3022</v>
      </c>
      <c r="G98" s="147" t="s">
        <v>3023</v>
      </c>
      <c r="H98" s="10" t="s">
        <v>2702</v>
      </c>
      <c r="I98" s="10" t="s">
        <v>2710</v>
      </c>
      <c r="J98" s="165">
        <v>14</v>
      </c>
      <c r="K98" s="163">
        <v>5.6</v>
      </c>
      <c r="L98" s="163">
        <v>8.4</v>
      </c>
      <c r="M98" s="10" t="s">
        <v>3072</v>
      </c>
      <c r="N98" s="10" t="s">
        <v>2704</v>
      </c>
      <c r="O98" s="147" t="s">
        <v>2705</v>
      </c>
      <c r="P98" s="149" t="s">
        <v>3073</v>
      </c>
    </row>
    <row r="99" spans="1:16">
      <c r="A99" s="42" t="s">
        <v>2801</v>
      </c>
      <c r="B99" s="5" t="s">
        <v>1626</v>
      </c>
      <c r="C99" s="5" t="s">
        <v>3024</v>
      </c>
      <c r="D99" s="10" t="s">
        <v>2754</v>
      </c>
      <c r="E99" s="5" t="s">
        <v>3025</v>
      </c>
      <c r="F99" s="5" t="s">
        <v>3195</v>
      </c>
      <c r="G99" s="147" t="s">
        <v>3026</v>
      </c>
      <c r="H99" s="10" t="s">
        <v>2702</v>
      </c>
      <c r="I99" s="10" t="s">
        <v>2721</v>
      </c>
      <c r="J99" s="165">
        <v>24</v>
      </c>
      <c r="K99" s="163">
        <v>9.6</v>
      </c>
      <c r="L99" s="163">
        <v>14.4</v>
      </c>
      <c r="M99" s="10" t="s">
        <v>3072</v>
      </c>
      <c r="N99" s="10" t="s">
        <v>2704</v>
      </c>
      <c r="O99" s="147" t="s">
        <v>2705</v>
      </c>
      <c r="P99" s="149" t="s">
        <v>3073</v>
      </c>
    </row>
    <row r="100" spans="1:16">
      <c r="A100" s="42" t="s">
        <v>3027</v>
      </c>
      <c r="B100" s="5" t="s">
        <v>1626</v>
      </c>
      <c r="C100" s="5" t="s">
        <v>3028</v>
      </c>
      <c r="D100" s="10" t="s">
        <v>2754</v>
      </c>
      <c r="E100" s="5" t="s">
        <v>3029</v>
      </c>
      <c r="F100" s="5" t="s">
        <v>3030</v>
      </c>
      <c r="G100" s="147" t="s">
        <v>2801</v>
      </c>
      <c r="H100" s="10" t="s">
        <v>2702</v>
      </c>
      <c r="I100" s="10" t="s">
        <v>2710</v>
      </c>
      <c r="J100" s="165">
        <v>12</v>
      </c>
      <c r="K100" s="163">
        <v>4.8</v>
      </c>
      <c r="L100" s="163">
        <v>7.2</v>
      </c>
      <c r="M100" s="10" t="s">
        <v>3072</v>
      </c>
      <c r="N100" s="10" t="s">
        <v>2704</v>
      </c>
      <c r="O100" s="147" t="s">
        <v>2705</v>
      </c>
      <c r="P100" s="149" t="s">
        <v>3073</v>
      </c>
    </row>
    <row r="101" spans="1:16">
      <c r="A101" s="42" t="s">
        <v>3031</v>
      </c>
      <c r="B101" s="5" t="s">
        <v>1626</v>
      </c>
      <c r="C101" s="5" t="s">
        <v>3032</v>
      </c>
      <c r="D101" s="10" t="s">
        <v>3033</v>
      </c>
      <c r="E101" s="5" t="s">
        <v>3034</v>
      </c>
      <c r="F101" s="5" t="s">
        <v>3035</v>
      </c>
      <c r="G101" s="147" t="s">
        <v>2762</v>
      </c>
      <c r="H101" s="10" t="s">
        <v>2702</v>
      </c>
      <c r="I101" s="10" t="s">
        <v>2710</v>
      </c>
      <c r="J101" s="165">
        <v>14</v>
      </c>
      <c r="K101" s="163">
        <v>5.6</v>
      </c>
      <c r="L101" s="163">
        <v>8.4</v>
      </c>
      <c r="M101" s="10" t="s">
        <v>3072</v>
      </c>
      <c r="N101" s="10" t="s">
        <v>2711</v>
      </c>
      <c r="O101" s="147" t="s">
        <v>2705</v>
      </c>
      <c r="P101" s="149" t="s">
        <v>3073</v>
      </c>
    </row>
    <row r="102" spans="1:16">
      <c r="A102" s="42" t="s">
        <v>3036</v>
      </c>
      <c r="B102" s="5" t="s">
        <v>1626</v>
      </c>
      <c r="C102" s="5" t="s">
        <v>3037</v>
      </c>
      <c r="D102" s="10" t="s">
        <v>2851</v>
      </c>
      <c r="E102" s="5" t="s">
        <v>3038</v>
      </c>
      <c r="F102" s="5" t="s">
        <v>3039</v>
      </c>
      <c r="G102" s="147" t="s">
        <v>2768</v>
      </c>
      <c r="H102" s="10" t="s">
        <v>2702</v>
      </c>
      <c r="I102" s="10" t="s">
        <v>2703</v>
      </c>
      <c r="J102" s="165">
        <v>5</v>
      </c>
      <c r="K102" s="163">
        <v>2</v>
      </c>
      <c r="L102" s="163">
        <v>3</v>
      </c>
      <c r="M102" s="10" t="s">
        <v>3072</v>
      </c>
      <c r="N102" s="10" t="s">
        <v>2711</v>
      </c>
      <c r="O102" s="147" t="s">
        <v>2705</v>
      </c>
      <c r="P102" s="149" t="s">
        <v>3073</v>
      </c>
    </row>
    <row r="103" spans="1:16">
      <c r="A103" s="42" t="s">
        <v>3040</v>
      </c>
      <c r="B103" s="5" t="s">
        <v>1626</v>
      </c>
      <c r="C103" s="5" t="s">
        <v>3041</v>
      </c>
      <c r="D103" s="10" t="s">
        <v>3033</v>
      </c>
      <c r="E103" s="5" t="s">
        <v>3042</v>
      </c>
      <c r="F103" s="5" t="s">
        <v>3043</v>
      </c>
      <c r="G103" s="147" t="s">
        <v>2857</v>
      </c>
      <c r="H103" s="10" t="s">
        <v>2702</v>
      </c>
      <c r="I103" s="10" t="s">
        <v>2703</v>
      </c>
      <c r="J103" s="165">
        <v>6</v>
      </c>
      <c r="K103" s="163">
        <v>2.4</v>
      </c>
      <c r="L103" s="163">
        <v>3.6</v>
      </c>
      <c r="M103" s="10" t="s">
        <v>3072</v>
      </c>
      <c r="N103" s="10" t="s">
        <v>2704</v>
      </c>
      <c r="O103" s="147" t="s">
        <v>2705</v>
      </c>
      <c r="P103" s="149" t="s">
        <v>3073</v>
      </c>
    </row>
    <row r="104" spans="1:16">
      <c r="A104" s="42" t="s">
        <v>3044</v>
      </c>
      <c r="B104" s="5" t="s">
        <v>1626</v>
      </c>
      <c r="C104" s="5" t="s">
        <v>3045</v>
      </c>
      <c r="D104" s="10" t="s">
        <v>2851</v>
      </c>
      <c r="E104" s="5" t="s">
        <v>3046</v>
      </c>
      <c r="F104" s="5" t="s">
        <v>3047</v>
      </c>
      <c r="G104" s="147" t="s">
        <v>2768</v>
      </c>
      <c r="H104" s="10" t="s">
        <v>2702</v>
      </c>
      <c r="I104" s="10" t="s">
        <v>2703</v>
      </c>
      <c r="J104" s="165">
        <v>4</v>
      </c>
      <c r="K104" s="163">
        <v>1.6</v>
      </c>
      <c r="L104" s="163">
        <v>2.4</v>
      </c>
      <c r="M104" s="10" t="s">
        <v>3072</v>
      </c>
      <c r="N104" s="10" t="s">
        <v>2711</v>
      </c>
      <c r="O104" s="147" t="s">
        <v>2828</v>
      </c>
      <c r="P104" s="149" t="s">
        <v>3073</v>
      </c>
    </row>
    <row r="105" spans="1:16">
      <c r="A105" s="42" t="s">
        <v>3196</v>
      </c>
      <c r="B105" s="5" t="s">
        <v>1626</v>
      </c>
      <c r="C105" s="5" t="s">
        <v>3197</v>
      </c>
      <c r="D105" s="10" t="s">
        <v>2851</v>
      </c>
      <c r="E105" s="5" t="s">
        <v>3198</v>
      </c>
      <c r="F105" s="5" t="s">
        <v>3199</v>
      </c>
      <c r="G105" s="147" t="s">
        <v>3018</v>
      </c>
      <c r="H105" s="10" t="s">
        <v>2702</v>
      </c>
      <c r="I105" s="10" t="s">
        <v>2710</v>
      </c>
      <c r="J105" s="165">
        <v>12</v>
      </c>
      <c r="K105" s="163">
        <v>4.8</v>
      </c>
      <c r="L105" s="163">
        <v>7.2</v>
      </c>
      <c r="M105" s="10" t="s">
        <v>3072</v>
      </c>
      <c r="N105" s="10" t="s">
        <v>2704</v>
      </c>
      <c r="O105" s="147" t="s">
        <v>3081</v>
      </c>
      <c r="P105" s="149" t="s">
        <v>1630</v>
      </c>
    </row>
    <row r="106" spans="1:16">
      <c r="A106" s="42" t="s">
        <v>3200</v>
      </c>
      <c r="B106" s="5" t="s">
        <v>1626</v>
      </c>
      <c r="C106" s="5" t="s">
        <v>3201</v>
      </c>
      <c r="D106" s="10" t="s">
        <v>2816</v>
      </c>
      <c r="E106" s="5" t="s">
        <v>3202</v>
      </c>
      <c r="F106" s="5" t="s">
        <v>3203</v>
      </c>
      <c r="G106" s="147" t="s">
        <v>3018</v>
      </c>
      <c r="H106" s="10" t="s">
        <v>2702</v>
      </c>
      <c r="I106" s="10" t="s">
        <v>2703</v>
      </c>
      <c r="J106" s="165">
        <v>5</v>
      </c>
      <c r="K106" s="163">
        <v>2</v>
      </c>
      <c r="L106" s="163">
        <v>3</v>
      </c>
      <c r="M106" s="10" t="s">
        <v>3072</v>
      </c>
      <c r="N106" s="10" t="s">
        <v>2704</v>
      </c>
      <c r="O106" s="147" t="s">
        <v>3081</v>
      </c>
      <c r="P106" s="149" t="s">
        <v>1631</v>
      </c>
    </row>
    <row r="107" spans="1:16">
      <c r="A107" s="42" t="s">
        <v>3204</v>
      </c>
      <c r="B107" s="5" t="s">
        <v>1626</v>
      </c>
      <c r="C107" s="5" t="s">
        <v>3205</v>
      </c>
      <c r="D107" s="10" t="s">
        <v>2698</v>
      </c>
      <c r="E107" s="5" t="s">
        <v>3206</v>
      </c>
      <c r="F107" s="5" t="s">
        <v>3207</v>
      </c>
      <c r="G107" s="147" t="s">
        <v>2801</v>
      </c>
      <c r="H107" s="10" t="s">
        <v>2702</v>
      </c>
      <c r="I107" s="10" t="s">
        <v>2703</v>
      </c>
      <c r="J107" s="165">
        <v>6</v>
      </c>
      <c r="K107" s="163">
        <v>2.4</v>
      </c>
      <c r="L107" s="163">
        <v>3.6</v>
      </c>
      <c r="M107" s="10" t="s">
        <v>3072</v>
      </c>
      <c r="N107" s="10" t="s">
        <v>2704</v>
      </c>
      <c r="O107" s="147" t="s">
        <v>3081</v>
      </c>
      <c r="P107" s="149" t="s">
        <v>3208</v>
      </c>
    </row>
    <row r="108" spans="1:16">
      <c r="A108" s="43" t="s">
        <v>3209</v>
      </c>
      <c r="B108" s="6" t="s">
        <v>1626</v>
      </c>
      <c r="C108" s="6" t="s">
        <v>3210</v>
      </c>
      <c r="D108" s="11" t="s">
        <v>2718</v>
      </c>
      <c r="E108" s="6" t="s">
        <v>3211</v>
      </c>
      <c r="F108" s="6" t="s">
        <v>3212</v>
      </c>
      <c r="G108" s="148" t="s">
        <v>3031</v>
      </c>
      <c r="H108" s="11" t="s">
        <v>2702</v>
      </c>
      <c r="I108" s="11" t="s">
        <v>2703</v>
      </c>
      <c r="J108" s="166">
        <v>8</v>
      </c>
      <c r="K108" s="164">
        <v>3.2</v>
      </c>
      <c r="L108" s="164">
        <v>4.8</v>
      </c>
      <c r="M108" s="11" t="s">
        <v>3079</v>
      </c>
      <c r="N108" s="11" t="s">
        <v>3213</v>
      </c>
      <c r="O108" s="148" t="s">
        <v>3081</v>
      </c>
      <c r="P108" s="150" t="s">
        <v>3214</v>
      </c>
    </row>
  </sheetData>
  <autoFilter ref="A5:P108" xr:uid="{299E7693-5B40-0444-B227-D6033B94776C}"/>
  <phoneticPr fontId="2"/>
  <conditionalFormatting sqref="A6:P108">
    <cfRule type="expression" dxfId="12" priority="1">
      <formula>$M6="🟡 将来・条件付"</formula>
    </cfRule>
  </conditionalFormatting>
  <conditionalFormatting sqref="A6:P108">
    <cfRule type="expression" dxfId="11" priority="2">
      <formula>$O6="v1.2（2026-08-12 GAP監査）"</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8</vt:i4>
      </vt:variant>
    </vt:vector>
  </HeadingPairs>
  <TitlesOfParts>
    <vt:vector size="8" baseType="lpstr">
      <vt:lpstr>ダッシュボード</vt:lpstr>
      <vt:lpstr>サマリー</vt:lpstr>
      <vt:lpstr>進捗一覧</vt:lpstr>
      <vt:lpstr>設計決定一覧</vt:lpstr>
      <vt:lpstr>要件→設計</vt:lpstr>
      <vt:lpstr>設計→要件</vt:lpstr>
      <vt:lpstr>ADR一覧</vt:lpstr>
      <vt:lpstr>WBS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2026-08-12T06:02:30Z</dcterms:modified>
</cp:coreProperties>
</file>