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87EFC45C-112F-C64C-B3F9-A4F58253A5C3}" xr6:coauthVersionLast="47" xr6:coauthVersionMax="47" xr10:uidLastSave="{00000000-0000-0000-0000-000000000000}"/>
  <bookViews>
    <workbookView xWindow="-2480" yWindow="-21600" windowWidth="38400" windowHeight="2160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'WBS(基本設計)'!$A$6:$S$456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I41" i="2"/>
  <c r="I40" i="2"/>
  <c r="I39" i="2"/>
  <c r="I38" i="2"/>
  <c r="I37" i="2"/>
  <c r="I36" i="2"/>
  <c r="I35" i="2"/>
  <c r="I34" i="2"/>
  <c r="H4" i="8"/>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G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56" i="28" l="1"/>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E74" i="10"/>
  <c r="C62" i="2"/>
  <c r="E74" i="2"/>
  <c r="C69" i="2"/>
  <c r="C73" i="2"/>
  <c r="C70" i="2"/>
  <c r="C74" i="2"/>
  <c r="C71" i="2"/>
  <c r="C61" i="2"/>
  <c r="C63" i="2"/>
  <c r="E63" i="2"/>
  <c r="C58" i="2"/>
  <c r="C59" i="2"/>
  <c r="C68" i="2"/>
  <c r="C72" i="2"/>
  <c r="A40" i="14"/>
  <c r="F10" i="28"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<sst xmlns="http://schemas.openxmlformats.org/spreadsheetml/2006/main" count="21366" uniqueCount="8709">
  <si>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</si>
  <si>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</si>
  <si>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</si>
  <si>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</si>
  <si>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</si>
  <si>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</si>
  <si>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</si>
  <si>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</si>
  <si>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</si>
  <si>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</si>
  <si>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</si>
  <si>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</si>
  <si>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</si>
  <si>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</si>
  <si>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</si>
  <si>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</si>
  <si>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</si>
  <si>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</si>
  <si>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</si>
  <si>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</si>
  <si>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</si>
  <si>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</si>
  <si>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</si>
  <si>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</si>
  <si>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</si>
  <si>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</si>
  <si>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</si>
  <si>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</si>
  <si>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</si>
  <si>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</si>
  <si>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</si>
  <si>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</si>
  <si>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</si>
  <si>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</si>
  <si>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</si>
  <si>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</si>
  <si>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</si>
  <si>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</si>
  <si>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</si>
  <si>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</si>
  <si>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</si>
  <si>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</si>
  <si>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</si>
  <si>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</si>
  <si>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</si>
  <si>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</si>
  <si>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</si>
  <si>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</si>
  <si>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</si>
  <si>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</si>
  <si>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</si>
  <si>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</si>
  <si>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</si>
  <si>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</si>
  <si>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</si>
  <si>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</si>
  <si>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</si>
  <si>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</si>
  <si>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</si>
  <si>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</si>
  <si>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</si>
  <si>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</si>
  <si>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</si>
  <si>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</si>
  <si>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</si>
  <si>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</si>
  <si>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</si>
  <si>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</si>
  <si>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</si>
  <si>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</si>
  <si>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</si>
  <si>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</si>
  <si>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</si>
  <si>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</si>
  <si>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</si>
  <si>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</si>
  <si>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</si>
  <si>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</si>
  <si>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</si>
  <si>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</si>
  <si>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</si>
  <si>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</si>
  <si>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</si>
  <si>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</si>
  <si>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</si>
  <si>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</si>
  <si>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</si>
  <si>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</si>
  <si>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</si>
  <si>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</si>
  <si>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</si>
  <si>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</si>
  <si>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</si>
  <si>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</si>
  <si>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</si>
  <si>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</si>
  <si>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</si>
  <si>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</si>
  <si>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</si>
  <si>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</si>
  <si>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</si>
  <si>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</si>
  <si>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</si>
  <si>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</si>
  <si>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</si>
  <si>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</si>
  <si>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</si>
  <si>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</si>
  <si>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</si>
  <si>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</si>
  <si>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</si>
  <si>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</si>
  <si>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</si>
  <si>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</si>
  <si>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</si>
  <si>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</si>
  <si>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</si>
  <si>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</si>
  <si>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</si>
  <si>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</si>
  <si>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</si>
  <si>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</si>
  <si>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</si>
  <si>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</si>
  <si>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</si>
  <si>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</si>
  <si>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</si>
  <si>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</si>
  <si>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</si>
  <si>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</si>
  <si>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</si>
  <si>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</si>
  <si>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</si>
  <si>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</si>
  <si>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</si>
  <si>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</si>
  <si>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</si>
  <si>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</si>
  <si>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</si>
  <si>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</si>
  <si>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</si>
  <si>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</si>
  <si>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</si>
  <si>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</si>
  <si>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</si>
  <si>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</si>
  <si>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</si>
  <si>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</si>
  <si>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</si>
  <si>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</si>
  <si>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</si>
  <si>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</si>
  <si>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</si>
  <si>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</si>
  <si>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</si>
  <si>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</si>
  <si>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</si>
  <si>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</si>
  <si>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</si>
  <si>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</si>
  <si>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</si>
  <si>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</si>
  <si>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</si>
  <si>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</si>
  <si>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</si>
  <si>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</si>
  <si>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</si>
  <si>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</si>
  <si>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</si>
  <si>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</si>
  <si>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</si>
  <si>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</si>
  <si>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</si>
  <si>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</si>
  <si>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</si>
  <si>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</si>
  <si>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</si>
  <si>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</si>
  <si>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</si>
  <si>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</si>
  <si>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</si>
  <si>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</si>
  <si>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</si>
  <si>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</si>
  <si>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</si>
  <si>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</si>
  <si>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</si>
  <si>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</si>
  <si>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</si>
  <si>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</si>
  <si>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</si>
  <si>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</si>
  <si>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</si>
  <si>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</si>
  <si>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</si>
  <si>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</si>
  <si>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</si>
  <si>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</si>
  <si>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</si>
  <si>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</si>
  <si>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</si>
  <si>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</si>
  <si>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</si>
  <si>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</si>
  <si>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</si>
  <si>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</si>
  <si>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</si>
  <si>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</si>
  <si>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</si>
  <si>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</si>
  <si>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</si>
  <si>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</si>
  <si>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</si>
  <si>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</si>
  <si>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</si>
  <si>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</si>
  <si>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</si>
  <si>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</si>
  <si>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</si>
  <si>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</si>
  <si>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</si>
  <si>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</si>
  <si>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</si>
  <si>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</si>
  <si>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</si>
  <si>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</si>
  <si>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</si>
  <si>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</si>
  <si>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</si>
  <si>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</si>
  <si>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</si>
  <si>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</si>
  <si>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</si>
  <si>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</si>
  <si>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</si>
  <si>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</si>
  <si>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</si>
  <si>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</si>
  <si>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</si>
  <si>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</si>
  <si>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</si>
  <si>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</si>
  <si>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</si>
  <si>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</si>
  <si>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</si>
  <si>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</si>
  <si>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</si>
  <si>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</si>
  <si>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</si>
  <si>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</si>
  <si>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</si>
  <si>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</si>
  <si>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</si>
  <si>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</si>
  <si>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</si>
  <si>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</si>
  <si>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</si>
  <si>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</si>
  <si>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</si>
  <si>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</si>
  <si>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</si>
  <si>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</si>
  <si>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</si>
  <si>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</si>
  <si>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</si>
  <si>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</si>
  <si>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</si>
  <si>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</si>
  <si>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</si>
  <si>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</si>
  <si>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</si>
  <si>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</si>
  <si>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</si>
  <si>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</si>
  <si>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</si>
  <si>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</si>
  <si>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</si>
  <si>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</si>
  <si>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</si>
  <si>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</si>
  <si>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</si>
  <si>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</si>
  <si>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</si>
  <si>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</si>
  <si>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</si>
  <si>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</si>
  <si>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</si>
  <si>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</si>
  <si>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</si>
  <si>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</si>
  <si>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</si>
  <si>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</si>
  <si>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</si>
  <si>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</si>
  <si>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</si>
  <si>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</si>
  <si>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</si>
  <si>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</si>
  <si>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</si>
  <si>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</si>
  <si>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</si>
  <si>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</si>
  <si>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</si>
  <si>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</si>
  <si>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</si>
  <si>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</si>
  <si>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</si>
  <si>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</si>
  <si>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</si>
  <si>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</si>
  <si>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</si>
  <si>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</si>
  <si>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</si>
  <si>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</si>
  <si>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</si>
  <si>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</si>
  <si>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</si>
  <si>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</si>
  <si>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</si>
  <si>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</si>
  <si>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</si>
  <si>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</si>
  <si>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</si>
  <si>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</si>
  <si>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</si>
  <si>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</si>
  <si>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</si>
  <si>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</si>
  <si>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</si>
  <si>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</si>
  <si>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</si>
  <si>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</si>
  <si>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</si>
  <si>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</si>
  <si>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</si>
  <si>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</si>
  <si>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</si>
  <si>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</si>
  <si>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</si>
  <si>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</si>
  <si>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</si>
  <si>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</si>
  <si>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</si>
  <si>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</si>
  <si>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</si>
  <si>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</si>
  <si>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</si>
  <si>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</si>
  <si>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</si>
  <si>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</si>
  <si>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</si>
  <si>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</si>
  <si>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</si>
  <si>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</si>
  <si>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</si>
  <si>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</si>
  <si>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</si>
  <si>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</si>
  <si>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</si>
  <si>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</si>
  <si>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</si>
  <si>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</si>
  <si>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</si>
  <si>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</si>
  <si>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</si>
  <si>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</si>
  <si>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</si>
  <si>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</si>
  <si>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</si>
  <si>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</si>
  <si>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</si>
  <si>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</si>
  <si>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</si>
  <si>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</si>
  <si>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</si>
  <si>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</si>
  <si>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</si>
  <si>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</si>
  <si>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</si>
  <si>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</si>
  <si>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</si>
  <si>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</si>
  <si>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</si>
  <si>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</si>
  <si>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</si>
  <si>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</si>
  <si>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</si>
  <si>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</si>
  <si>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</si>
  <si>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</si>
  <si>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</si>
  <si>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</si>
  <si>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</si>
  <si>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</si>
  <si>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</si>
  <si>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</si>
  <si>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</si>
  <si>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</si>
  <si>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</si>
  <si>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</si>
  <si>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</si>
  <si>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</si>
  <si>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</si>
  <si>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</si>
  <si>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</si>
  <si>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</si>
  <si>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</si>
  <si>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</si>
  <si>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</si>
  <si>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</si>
  <si>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</si>
  <si>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</si>
  <si>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</si>
  <si>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</si>
  <si>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</si>
  <si>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</si>
  <si>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</si>
  <si>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</si>
  <si>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</si>
  <si>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</si>
  <si>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</si>
  <si>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</si>
  <si>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</si>
  <si>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</si>
  <si>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</si>
  <si>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</si>
  <si>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</si>
  <si>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</si>
  <si>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</si>
  <si>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</si>
  <si>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</si>
  <si>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</si>
  <si>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</si>
  <si>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</si>
  <si>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</si>
  <si>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</si>
  <si>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</si>
  <si>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</si>
  <si>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</si>
  <si>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</si>
  <si>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</si>
  <si>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</si>
  <si>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</si>
  <si>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</si>
  <si>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</si>
  <si>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</si>
  <si>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</si>
  <si>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</si>
  <si>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</si>
  <si>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</si>
  <si>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</si>
  <si>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</si>
  <si>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</si>
  <si>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</si>
  <si>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</si>
  <si>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</si>
  <si>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</si>
  <si>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</si>
  <si>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</si>
  <si>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</si>
  <si>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</si>
  <si>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</si>
  <si>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</si>
  <si>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</si>
  <si>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</si>
  <si>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</si>
  <si>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</si>
  <si>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</si>
  <si>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</si>
  <si>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</si>
  <si>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</si>
  <si>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</si>
  <si>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</si>
  <si>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</si>
  <si>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</si>
  <si>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</si>
  <si>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</si>
  <si>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</si>
  <si>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</si>
  <si>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</si>
  <si>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</si>
  <si>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</si>
  <si>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</si>
  <si>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</si>
  <si>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</si>
  <si>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</si>
  <si>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</si>
  <si>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</si>
  <si>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</si>
  <si>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</si>
  <si>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</si>
  <si>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</si>
  <si>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</si>
  <si>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</si>
  <si>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</si>
  <si>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</si>
  <si>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</si>
  <si>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</si>
  <si>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</si>
  <si>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</si>
  <si>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</si>
  <si>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</si>
  <si>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</si>
  <si>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</si>
  <si>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</si>
  <si>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</si>
  <si>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</si>
  <si>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</si>
  <si>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</si>
  <si>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</si>
  <si>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</si>
  <si>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</si>
  <si>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</si>
  <si>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</si>
  <si>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</si>
  <si>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</si>
  <si>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</si>
  <si>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</si>
  <si>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</si>
  <si>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</si>
  <si>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</si>
  <si>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</si>
  <si>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</si>
  <si>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</si>
  <si>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</si>
  <si>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</si>
  <si>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</si>
  <si>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</si>
  <si>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</si>
  <si>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</si>
  <si>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</si>
  <si>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</si>
  <si>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</si>
  <si>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</si>
  <si>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</si>
  <si>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</si>
  <si>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</si>
  <si>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</si>
  <si>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</si>
  <si>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</si>
  <si>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</si>
  <si>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</si>
  <si>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</si>
  <si>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</si>
  <si>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</si>
  <si>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</si>
  <si>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</si>
  <si>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</si>
  <si>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</si>
  <si>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</si>
  <si>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</si>
  <si>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</si>
  <si>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</si>
  <si>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</si>
  <si>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</si>
  <si>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</si>
  <si>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</si>
  <si>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</si>
  <si>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</si>
  <si>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</si>
  <si>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</si>
  <si>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</si>
  <si>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</si>
  <si>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</si>
  <si>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</si>
  <si>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</si>
  <si>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</si>
  <si>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</si>
  <si>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</si>
  <si>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</si>
  <si>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</si>
  <si>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</si>
  <si>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</si>
  <si>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</si>
  <si>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</si>
  <si>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</si>
  <si>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</si>
  <si>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</si>
  <si>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</si>
  <si>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</si>
  <si>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</si>
  <si>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</si>
  <si>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</si>
  <si>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</si>
  <si>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</si>
  <si>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</si>
  <si>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</si>
  <si>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</si>
  <si>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</si>
  <si>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</si>
  <si>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</si>
  <si>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</si>
  <si>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</si>
  <si>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</si>
  <si>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</si>
  <si>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</si>
  <si>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</si>
  <si>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</si>
  <si>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</si>
  <si>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</si>
  <si>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</si>
  <si>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</si>
  <si>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</si>
  <si>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</si>
  <si>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</si>
  <si>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</si>
  <si>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</si>
  <si>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</si>
  <si>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</si>
  <si>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</si>
  <si>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</si>
  <si>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</si>
  <si>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</si>
  <si>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</si>
  <si>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</si>
  <si>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</si>
  <si>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</si>
  <si>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</si>
  <si>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</si>
  <si>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</si>
  <si>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</si>
  <si>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</si>
  <si>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</si>
  <si>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</si>
  <si>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</si>
  <si>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</si>
  <si>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</si>
  <si>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</si>
  <si>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</si>
  <si>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</si>
  <si>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</si>
  <si>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</si>
  <si>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</si>
  <si>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</si>
  <si>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</si>
  <si>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</si>
  <si>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</si>
  <si>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</si>
  <si>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</si>
  <si>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</si>
  <si>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</si>
  <si>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</si>
  <si>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</si>
  <si>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</si>
  <si>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</si>
  <si>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</si>
  <si>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</si>
  <si>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</si>
  <si>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</si>
  <si>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</si>
  <si>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</si>
  <si>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</si>
  <si>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</si>
  <si>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</si>
  <si>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</si>
  <si>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</si>
  <si>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</si>
  <si>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</si>
  <si>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</si>
  <si>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</si>
  <si>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</si>
  <si>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</si>
  <si>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</si>
  <si>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</si>
  <si>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</si>
  <si>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</si>
  <si>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</si>
  <si>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</si>
  <si>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</si>
  <si>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</si>
  <si>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</si>
  <si>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</si>
  <si>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</si>
  <si>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</si>
  <si>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</si>
  <si>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</si>
  <si>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</si>
  <si>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</si>
  <si>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</si>
  <si>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</si>
  <si>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</si>
  <si>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</si>
  <si>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</si>
  <si>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</si>
  <si>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</si>
  <si>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</si>
  <si>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</si>
  <si>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</si>
  <si>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</si>
  <si>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</si>
  <si>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</si>
  <si>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</si>
  <si>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</si>
  <si>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</si>
  <si>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</si>
  <si>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</si>
  <si>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</si>
  <si>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</si>
  <si>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</si>
  <si>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</si>
  <si>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</si>
  <si>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</si>
  <si>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</si>
  <si>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</si>
  <si>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</si>
  <si>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</si>
  <si>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</si>
  <si>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</si>
  <si>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</si>
  <si>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</si>
  <si>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</si>
  <si>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</si>
  <si>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</si>
  <si>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</si>
  <si>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</si>
  <si>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</si>
  <si>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</si>
  <si>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</si>
  <si>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</si>
  <si>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</si>
  <si>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</si>
  <si>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</si>
  <si>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</si>
  <si>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</si>
  <si>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</si>
  <si>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</si>
  <si>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</si>
  <si>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</si>
  <si>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</si>
  <si>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</si>
  <si>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</si>
  <si>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</si>
  <si>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</si>
  <si>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</si>
  <si>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</si>
  <si>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</si>
  <si>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</si>
  <si>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</si>
  <si>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</si>
  <si>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</si>
  <si>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</si>
  <si>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</si>
  <si>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</si>
  <si>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</si>
  <si>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</si>
  <si>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</si>
  <si>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</si>
  <si>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</si>
  <si>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</si>
  <si>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</si>
  <si>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</si>
  <si>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</si>
  <si>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</si>
  <si>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</si>
  <si>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</si>
  <si>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</si>
  <si>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</si>
  <si>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</si>
  <si>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</si>
  <si>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</si>
  <si>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</si>
  <si>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</si>
  <si>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</si>
  <si>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</si>
  <si>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</si>
  <si>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</si>
  <si>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</si>
  <si>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</si>
  <si>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</si>
  <si>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</si>
  <si>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</si>
  <si>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</si>
  <si>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</si>
  <si>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</si>
  <si>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</si>
  <si>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</si>
  <si>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</si>
  <si>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</si>
  <si>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</si>
  <si>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</si>
  <si>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</si>
  <si>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</si>
  <si>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</si>
  <si>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</si>
  <si>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</si>
  <si>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</si>
  <si>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</si>
  <si>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</si>
  <si>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</si>
  <si>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</si>
  <si>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</si>
  <si>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</si>
  <si>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</si>
  <si>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</si>
  <si>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</si>
  <si>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</si>
  <si>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</si>
  <si>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</si>
  <si>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</si>
  <si>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</si>
  <si>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</si>
  <si>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</si>
  <si>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</si>
  <si>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</si>
  <si>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</si>
  <si>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</si>
  <si>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</si>
  <si>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</si>
  <si>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</si>
  <si>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</si>
  <si>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</si>
  <si>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</si>
  <si>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</si>
  <si>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</si>
  <si>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</si>
  <si>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</si>
  <si>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</si>
  <si>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</si>
  <si>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</si>
  <si>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</si>
  <si>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</si>
  <si>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</si>
  <si>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</si>
  <si>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</si>
  <si>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</si>
  <si>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</si>
  <si>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</si>
  <si>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</si>
  <si>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</si>
  <si>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</si>
  <si>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</si>
  <si>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</si>
  <si>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</si>
  <si>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</si>
  <si>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</si>
  <si>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</si>
  <si>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</si>
  <si>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</si>
  <si>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</si>
  <si>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</si>
  <si>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</si>
  <si>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</si>
  <si>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</si>
  <si>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</si>
  <si>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</si>
  <si>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</si>
  <si>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</si>
  <si>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</si>
  <si>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</si>
  <si>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</si>
  <si>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</si>
  <si>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</si>
  <si>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</si>
  <si>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</si>
  <si>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</si>
  <si>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</si>
  <si>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</si>
  <si>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</si>
  <si>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</si>
  <si>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</si>
  <si>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</si>
  <si>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</si>
  <si>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</si>
  <si>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</si>
  <si>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</si>
  <si>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</si>
  <si>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</si>
  <si>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</si>
  <si>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</si>
  <si>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</si>
  <si>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</si>
  <si>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</si>
  <si>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</si>
  <si>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</si>
  <si>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</si>
  <si>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</si>
  <si>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</si>
  <si>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</si>
  <si>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</si>
  <si>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</si>
  <si>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</si>
  <si>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</si>
  <si>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</si>
  <si>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</si>
  <si>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</si>
  <si>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</si>
  <si>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</si>
  <si>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</si>
  <si>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</si>
  <si>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</si>
  <si>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</si>
  <si>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</si>
  <si>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</si>
  <si>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</si>
  <si>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</si>
  <si>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</si>
  <si>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</si>
  <si>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</si>
  <si>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</si>
  <si>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</si>
  <si>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</si>
  <si>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</si>
  <si>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</si>
  <si>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</si>
  <si>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</si>
  <si>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</si>
  <si>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</si>
  <si>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</si>
  <si>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</si>
  <si>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</si>
  <si>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</si>
  <si>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</si>
  <si>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</si>
  <si>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</si>
  <si>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</si>
  <si>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</si>
  <si>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</si>
  <si>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</si>
  <si>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</si>
  <si>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</si>
  <si>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</si>
  <si>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</si>
  <si>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</si>
  <si>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</si>
  <si>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</si>
  <si>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</si>
  <si>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</si>
  <si>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</si>
  <si>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</si>
  <si>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</si>
  <si>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</si>
  <si>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</si>
  <si>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</si>
  <si>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</si>
  <si>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</si>
  <si>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</si>
  <si>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</si>
  <si>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</si>
  <si>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</si>
  <si>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</si>
  <si>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</si>
  <si>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</si>
  <si>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</si>
  <si>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</si>
  <si>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</si>
  <si>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</si>
  <si>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</si>
  <si>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</si>
  <si>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</si>
  <si>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</si>
  <si>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</si>
  <si>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</si>
  <si>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</si>
  <si>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</si>
  <si>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</si>
  <si>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</si>
  <si>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</si>
  <si>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</si>
  <si>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</si>
  <si>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</si>
  <si>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</si>
  <si>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</si>
  <si>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</si>
  <si>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</si>
  <si>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</si>
  <si>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</si>
  <si>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</si>
  <si>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</si>
  <si>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</si>
  <si>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</si>
  <si>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</si>
  <si>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</si>
  <si>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</si>
  <si>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</si>
  <si>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</si>
  <si>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</si>
  <si>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</si>
  <si>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</si>
  <si>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</si>
  <si>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</si>
  <si>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</si>
  <si>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</si>
  <si>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</si>
  <si>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</si>
  <si>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</si>
  <si>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</si>
  <si>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</si>
  <si>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</si>
  <si>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</si>
  <si>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</si>
  <si>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</si>
  <si>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</si>
  <si>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</si>
  <si>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</si>
  <si>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</si>
  <si>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</si>
  <si>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</si>
  <si>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</si>
  <si>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</si>
  <si>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</si>
  <si>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</si>
  <si>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</si>
  <si>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</si>
  <si>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</si>
  <si>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</si>
  <si>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</si>
  <si>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</si>
  <si>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</si>
  <si>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</si>
  <si>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</si>
  <si>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</si>
  <si>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</si>
  <si>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</si>
  <si>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</si>
  <si>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</si>
  <si>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</si>
  <si>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</si>
  <si>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</si>
  <si>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</si>
  <si>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</si>
  <si>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</si>
  <si>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</si>
  <si>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</si>
  <si>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</si>
  <si>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</si>
  <si>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</si>
  <si>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</si>
  <si>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</si>
  <si>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</si>
  <si>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</si>
  <si>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</si>
  <si>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</si>
  <si>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</si>
  <si>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</si>
  <si>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</si>
  <si>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</si>
  <si>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</si>
  <si>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</si>
  <si>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</si>
  <si>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</si>
  <si>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</si>
  <si>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</si>
  <si>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</si>
  <si>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</si>
  <si>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</si>
  <si>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</si>
  <si>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</si>
  <si>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</si>
  <si>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</si>
  <si>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</si>
  <si>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</si>
  <si>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</si>
  <si>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</si>
  <si>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</si>
  <si>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</si>
  <si>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</si>
  <si>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</si>
  <si>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</si>
  <si>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</si>
  <si>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</si>
  <si>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</si>
  <si>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</si>
  <si>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</si>
  <si>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</si>
  <si>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</si>
  <si>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</si>
  <si>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</si>
  <si>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</si>
  <si>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</si>
  <si>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</si>
  <si>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</si>
  <si>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</si>
  <si>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</si>
  <si>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</si>
  <si>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</si>
  <si>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</si>
  <si>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</si>
  <si>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</si>
  <si>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</si>
  <si>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</si>
  <si>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</si>
  <si>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</si>
  <si>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</si>
  <si>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</si>
  <si>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</si>
  <si>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</si>
  <si>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</si>
  <si>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</si>
  <si>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</si>
  <si>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</si>
  <si>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</si>
  <si>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</si>
  <si>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</si>
  <si>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</si>
  <si>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</si>
  <si>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</si>
  <si>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</si>
  <si>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</si>
  <si>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</si>
  <si>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</si>
  <si>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</si>
  <si>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</si>
  <si>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</si>
  <si>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</si>
  <si>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</si>
  <si>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</si>
  <si>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</si>
  <si>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</si>
  <si>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</si>
  <si>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</si>
  <si>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</si>
  <si>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</si>
  <si>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</si>
  <si>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</si>
  <si>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</si>
  <si>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</si>
  <si>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</si>
  <si>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</si>
  <si>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</si>
  <si>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</si>
  <si>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</si>
  <si>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</si>
  <si>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</si>
  <si>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</si>
  <si>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</si>
  <si>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</si>
  <si>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</si>
  <si>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</si>
  <si>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</si>
  <si>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</si>
  <si>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</si>
  <si>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</si>
  <si>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</si>
  <si>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</si>
  <si>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</si>
  <si>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</si>
  <si>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</si>
  <si>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</si>
  <si>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</si>
  <si>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</si>
  <si>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</si>
  <si>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</si>
  <si>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</si>
  <si>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</si>
  <si>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</si>
  <si>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</si>
  <si>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</si>
  <si>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</si>
  <si>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</si>
  <si>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</si>
  <si>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</si>
  <si>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</si>
  <si>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</si>
  <si>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</si>
  <si>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</si>
  <si>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</si>
  <si>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</si>
  <si>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</si>
  <si>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</si>
  <si>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</si>
  <si>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</si>
  <si>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</si>
  <si>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</si>
  <si>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</si>
  <si>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</si>
  <si>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</si>
  <si>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</si>
  <si>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</si>
  <si>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</si>
  <si>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</si>
  <si>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</si>
  <si>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</si>
  <si>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</si>
  <si>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</si>
  <si>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</si>
  <si>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</si>
  <si>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</si>
  <si>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</si>
  <si>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</si>
  <si>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</si>
  <si>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</si>
  <si>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</si>
  <si>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</si>
  <si>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</si>
  <si>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</si>
  <si>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</si>
  <si>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</si>
  <si>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</si>
  <si>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</si>
  <si>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</si>
  <si>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</si>
  <si>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</si>
  <si>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</si>
  <si>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</si>
  <si>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</si>
  <si>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</si>
  <si>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</si>
  <si>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</si>
  <si>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</si>
  <si>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</si>
  <si>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</si>
  <si>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</si>
  <si>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</si>
  <si>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</si>
  <si>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</si>
  <si>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</si>
  <si>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</si>
  <si>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</si>
  <si>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</si>
  <si>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</si>
  <si>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</si>
  <si>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</si>
  <si>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</si>
  <si>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</si>
  <si>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</si>
  <si>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</si>
  <si>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</si>
  <si>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</si>
  <si>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</si>
  <si>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</si>
  <si>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</si>
  <si>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</si>
  <si>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</si>
  <si>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</si>
  <si>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</si>
  <si>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</si>
  <si>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</si>
  <si>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</si>
  <si>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</si>
  <si>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</si>
  <si>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</si>
  <si>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</si>
  <si>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</si>
  <si>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</si>
  <si>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</si>
  <si>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</si>
  <si>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</si>
  <si>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</si>
  <si>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</si>
  <si>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</si>
  <si>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</si>
  <si>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</si>
  <si>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</si>
  <si>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</si>
  <si>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</si>
  <si>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</si>
  <si>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</si>
  <si>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</si>
  <si>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</si>
  <si>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</si>
  <si>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</si>
  <si>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</si>
  <si>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</si>
  <si>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</si>
  <si>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</si>
  <si>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</si>
  <si>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</si>
  <si>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</si>
  <si>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</si>
  <si>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</si>
  <si>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</si>
  <si>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</si>
  <si>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</si>
  <si>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</si>
  <si>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</si>
  <si>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</si>
  <si>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</si>
  <si>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</si>
  <si>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</si>
  <si>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</si>
  <si>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</si>
  <si>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</si>
  <si>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</si>
  <si>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</si>
  <si>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</si>
  <si>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</si>
  <si>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</si>
  <si>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</si>
  <si>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</si>
  <si>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</si>
  <si>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</si>
  <si>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</si>
  <si>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</si>
  <si>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</si>
  <si>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</si>
  <si>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</si>
  <si>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</si>
  <si>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</si>
  <si>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</si>
  <si>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</si>
  <si>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</si>
  <si>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</si>
  <si>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</si>
  <si>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</si>
  <si>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</si>
  <si>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</si>
  <si>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</si>
  <si>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</si>
  <si>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</si>
  <si>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</si>
  <si>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</si>
  <si>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</si>
  <si>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</si>
  <si>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</si>
  <si>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</si>
  <si>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</si>
  <si>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</si>
  <si>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</si>
  <si>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</si>
  <si>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</si>
  <si>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</si>
  <si>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</si>
  <si>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</si>
  <si>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</si>
  <si>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</si>
  <si>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</si>
  <si>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</si>
  <si>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</si>
  <si>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</si>
  <si>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</si>
  <si>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</si>
  <si>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</si>
  <si>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</si>
  <si>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</si>
  <si>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</si>
  <si>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</si>
  <si>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</si>
  <si>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</si>
  <si>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</si>
  <si>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</si>
  <si>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</si>
  <si>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</si>
  <si>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</si>
  <si>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</si>
  <si>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</si>
  <si>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</si>
  <si>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</si>
  <si>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</si>
  <si>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</si>
  <si>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</si>
  <si>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</si>
  <si>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</si>
  <si>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</si>
  <si>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</si>
  <si>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</si>
  <si>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</si>
  <si>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</si>
  <si>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</si>
  <si>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</si>
  <si>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</si>
  <si>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</si>
  <si>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</si>
  <si>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</si>
  <si>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</si>
  <si>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</si>
  <si>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</si>
  <si>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</si>
  <si>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</si>
  <si>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</si>
  <si>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</si>
  <si>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</si>
  <si>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</si>
  <si>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</si>
  <si>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</si>
  <si>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</si>
  <si>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</si>
  <si>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</si>
  <si>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</si>
  <si>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</si>
  <si>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</si>
  <si>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</si>
  <si>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</si>
  <si>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</si>
  <si>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</si>
  <si>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</si>
  <si>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</si>
  <si>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</si>
  <si>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</si>
  <si>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</si>
  <si>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</si>
  <si>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</si>
  <si>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</si>
  <si>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</si>
  <si>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</si>
  <si>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</si>
  <si>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</si>
  <si>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</si>
  <si>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</si>
  <si>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</si>
  <si>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</si>
  <si>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</si>
  <si>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</si>
  <si>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</si>
  <si>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</si>
  <si>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</si>
  <si>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</si>
  <si>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</si>
  <si>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</si>
  <si>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</si>
  <si>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</si>
  <si>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</si>
  <si>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</si>
  <si>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</si>
  <si>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</si>
  <si>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</si>
  <si>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</si>
  <si>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</si>
  <si>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</si>
  <si>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</si>
  <si>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</si>
  <si>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</si>
  <si>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</si>
  <si>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</si>
  <si>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</si>
  <si>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</si>
  <si>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</si>
  <si>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</si>
  <si>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</si>
  <si>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</si>
  <si>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</si>
  <si>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</si>
  <si>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</si>
  <si>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</si>
  <si>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</si>
  <si>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</si>
  <si>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</si>
  <si>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</si>
  <si>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</si>
  <si>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</si>
  <si>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</si>
  <si>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</si>
  <si>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</si>
  <si>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</si>
  <si>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</si>
  <si>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</si>
  <si>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</si>
  <si>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</si>
  <si>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</si>
  <si>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</si>
  <si>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</si>
  <si>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</si>
  <si>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</si>
  <si>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</si>
  <si>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</si>
  <si>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</si>
  <si>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</si>
  <si>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</si>
  <si>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</si>
  <si>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</si>
  <si>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</si>
  <si>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</si>
  <si>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</si>
  <si>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</si>
  <si>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</si>
  <si>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</si>
  <si>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</si>
  <si>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</si>
  <si>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</si>
  <si>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</si>
  <si>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</si>
  <si>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</si>
  <si>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</si>
  <si>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</si>
  <si>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</si>
  <si>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</si>
  <si>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</si>
  <si>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</si>
  <si>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</si>
  <si>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</si>
  <si>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</si>
  <si>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</si>
  <si>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</si>
  <si>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</si>
  <si>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</si>
  <si>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</si>
  <si>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</si>
  <si>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</si>
  <si>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</si>
  <si>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</si>
  <si>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</si>
  <si>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</si>
  <si>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</si>
  <si>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</si>
  <si>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</si>
  <si>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</si>
  <si>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</si>
  <si>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</si>
  <si>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</si>
  <si>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</si>
  <si>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</si>
  <si>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</si>
  <si>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</si>
  <si>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</si>
  <si>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</si>
  <si>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</si>
  <si>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</si>
  <si>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</si>
  <si>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</si>
  <si>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</si>
  <si>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</si>
  <si>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</si>
  <si>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</si>
  <si>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</si>
  <si>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</si>
  <si>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</si>
  <si>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</si>
  <si>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</si>
  <si>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</si>
  <si>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</si>
  <si>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</si>
  <si>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</si>
  <si>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</si>
  <si>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</si>
  <si>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</si>
  <si>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</si>
  <si>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</si>
  <si>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</si>
  <si>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</si>
  <si>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</si>
  <si>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</si>
  <si>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</si>
  <si>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</si>
  <si>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</si>
  <si>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</si>
  <si>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</si>
  <si>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</si>
  <si>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</si>
  <si>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</si>
  <si>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</si>
  <si>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</si>
  <si>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</si>
  <si>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</si>
  <si>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</si>
  <si>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</si>
  <si>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</si>
  <si>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</si>
  <si>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</si>
  <si>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</si>
  <si>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</si>
  <si>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</si>
  <si>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</si>
  <si>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</si>
  <si>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</si>
  <si>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</si>
  <si>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</si>
  <si>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</si>
  <si>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</si>
  <si>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</si>
  <si>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</si>
  <si>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</si>
  <si>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</si>
  <si>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</si>
  <si>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</si>
  <si>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</si>
  <si>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</si>
  <si>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</si>
  <si>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</si>
  <si>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</si>
  <si>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</si>
  <si>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</si>
  <si>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</si>
  <si>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</si>
  <si>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</si>
  <si>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</si>
  <si>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</si>
  <si>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</si>
  <si>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</si>
  <si>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</si>
  <si>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</si>
  <si>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</si>
  <si>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</si>
  <si>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</si>
  <si>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</si>
  <si>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</si>
  <si>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</si>
  <si>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</si>
  <si>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</si>
  <si>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</si>
  <si>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</si>
  <si>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</si>
  <si>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</si>
  <si>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</si>
  <si>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</si>
  <si>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</si>
  <si>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</si>
  <si>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</si>
  <si>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</si>
  <si>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</si>
  <si>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</si>
  <si>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</si>
  <si>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</si>
  <si>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</si>
  <si>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</si>
  <si>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</si>
  <si>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</si>
  <si>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</si>
  <si>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</si>
  <si>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</si>
  <si>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</si>
  <si>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</si>
  <si>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</si>
  <si>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</si>
  <si>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</si>
  <si>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</si>
  <si>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</si>
  <si>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</si>
  <si>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</si>
  <si>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</si>
  <si>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</si>
  <si>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</si>
  <si>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</si>
  <si>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</si>
  <si>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</si>
  <si>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</si>
  <si>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</si>
  <si>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</si>
  <si>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</si>
  <si>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</si>
  <si>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</si>
  <si>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</si>
  <si>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</si>
  <si>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</si>
  <si>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</si>
  <si>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</si>
  <si>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</si>
  <si>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</si>
  <si>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</si>
  <si>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</si>
  <si>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</si>
  <si>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</si>
  <si>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</si>
  <si>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</si>
  <si>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</si>
  <si>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</si>
  <si>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</si>
  <si>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</si>
  <si>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</si>
  <si>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</si>
  <si>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</si>
  <si>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</si>
  <si>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</si>
  <si>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</si>
  <si>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</si>
  <si>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</si>
  <si>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</si>
  <si>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</si>
  <si>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</si>
  <si>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</si>
  <si>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</si>
  <si>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</si>
  <si>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</si>
  <si>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</si>
  <si>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</si>
  <si>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</si>
  <si>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</si>
  <si>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</si>
  <si>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</si>
  <si>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</si>
  <si>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</si>
  <si>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</si>
  <si>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</si>
  <si>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</si>
  <si>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</si>
  <si>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</si>
  <si>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</si>
  <si>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</si>
  <si>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</si>
  <si>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</si>
  <si>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</si>
  <si>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</si>
  <si>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</si>
  <si>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</si>
  <si>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</si>
  <si>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</si>
  <si>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</si>
  <si>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</si>
  <si>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</si>
  <si>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</si>
  <si>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</si>
  <si>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</si>
  <si>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</si>
  <si>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</si>
  <si>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</si>
  <si>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</si>
  <si>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</si>
  <si>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</si>
  <si>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</si>
  <si>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</si>
  <si>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</si>
  <si>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</si>
  <si>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</si>
  <si>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</si>
  <si>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</si>
  <si>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</si>
  <si>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</si>
  <si>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</si>
  <si>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</si>
  <si>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</si>
  <si>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</si>
  <si>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</si>
  <si>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</si>
  <si>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</si>
  <si>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</si>
  <si>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</si>
  <si>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</si>
  <si>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</si>
  <si>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</si>
  <si>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</si>
  <si>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</si>
  <si>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</si>
  <si>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</si>
  <si>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</si>
  <si>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</si>
  <si>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</si>
  <si>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</si>
  <si>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</si>
  <si>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</si>
  <si>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</si>
  <si>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</si>
  <si>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</si>
  <si>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</si>
  <si>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</si>
  <si>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</si>
  <si>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</si>
  <si>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</si>
  <si>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</si>
  <si>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</si>
  <si>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</si>
  <si>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</si>
  <si>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</si>
  <si>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</si>
  <si>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</si>
  <si>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</si>
  <si>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</si>
  <si>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</si>
  <si>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</si>
  <si>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</si>
  <si>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</si>
  <si>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</si>
  <si>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</si>
  <si>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</si>
  <si>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</si>
  <si>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</si>
  <si>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</si>
  <si>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</si>
  <si>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</si>
  <si>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</si>
  <si>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</si>
  <si>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</si>
  <si>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</si>
  <si>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</si>
  <si>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</si>
  <si>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</si>
  <si>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</si>
  <si>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</si>
  <si>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</si>
  <si>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</si>
  <si>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</si>
  <si>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</si>
  <si>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</si>
  <si>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</si>
  <si>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</si>
  <si>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</si>
  <si>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</si>
  <si>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</si>
  <si>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</si>
  <si>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</si>
  <si>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</si>
  <si>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</si>
  <si>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</si>
  <si>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</si>
  <si>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</si>
  <si>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</si>
  <si>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</si>
  <si>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</si>
  <si>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</si>
  <si>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</si>
  <si>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</si>
  <si>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</si>
  <si>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</si>
  <si>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</si>
  <si>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</si>
  <si>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</si>
  <si>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</si>
  <si>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</si>
  <si>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</si>
  <si>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</si>
  <si>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</si>
  <si>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</si>
  <si>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</si>
  <si>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</si>
  <si>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</si>
  <si>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</si>
  <si>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</si>
  <si>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</si>
  <si>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</si>
  <si>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</si>
  <si>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</si>
  <si>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</si>
  <si>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</si>
  <si>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</si>
  <si>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</si>
  <si>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</si>
  <si>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</si>
  <si>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</si>
  <si>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</si>
  <si>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</si>
  <si>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</si>
  <si>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</si>
  <si>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</si>
  <si>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</si>
  <si>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</si>
  <si>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</si>
  <si>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</si>
  <si>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</si>
  <si>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</si>
  <si>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</si>
  <si>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</si>
  <si>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</si>
  <si>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</si>
  <si>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</si>
  <si>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</si>
  <si>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</si>
  <si>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</si>
  <si>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</si>
  <si>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</si>
  <si>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</si>
  <si>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</si>
  <si>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</si>
  <si>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</si>
  <si>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</si>
  <si>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</si>
  <si>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</si>
  <si>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</si>
  <si>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</si>
  <si>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</si>
  <si>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</si>
  <si>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</si>
  <si>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</si>
  <si>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</si>
  <si>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</si>
  <si>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</si>
  <si>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</si>
  <si>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</si>
  <si>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</si>
  <si>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</si>
  <si>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</si>
  <si>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</si>
  <si>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</si>
  <si>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</si>
  <si>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</si>
  <si>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</si>
  <si>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</si>
  <si>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</si>
  <si>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</si>
  <si>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</si>
  <si>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</si>
  <si>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</si>
  <si>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</si>
  <si>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</si>
  <si>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</si>
  <si>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</si>
  <si>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</si>
  <si>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</si>
  <si>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</si>
  <si>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</si>
  <si>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</si>
  <si>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</si>
  <si>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</si>
  <si>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</si>
  <si>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</si>
  <si>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</si>
  <si>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</si>
  <si>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</si>
  <si>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</si>
  <si>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</si>
  <si>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</si>
  <si>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</si>
  <si>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</si>
  <si>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</si>
  <si>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</si>
  <si>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</si>
  <si>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</si>
  <si>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</si>
  <si>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</si>
  <si>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</si>
  <si>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</si>
  <si>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</si>
  <si>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</si>
  <si>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</si>
  <si>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</si>
  <si>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</si>
  <si>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</si>
  <si>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</si>
  <si>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</si>
  <si>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</si>
  <si>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</si>
  <si>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</si>
  <si>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</si>
  <si>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</si>
  <si>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</si>
  <si>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</si>
  <si>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</si>
  <si>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</si>
  <si>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</si>
  <si>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</si>
  <si>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</si>
  <si>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</si>
  <si>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</si>
  <si>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</si>
  <si>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</si>
  <si>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</si>
  <si>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</si>
  <si>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</si>
  <si>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</si>
  <si>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</si>
  <si>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</si>
  <si>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</si>
  <si>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</si>
  <si>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</si>
  <si>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</si>
  <si>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</si>
  <si>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</si>
  <si>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</si>
  <si>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</si>
  <si>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</si>
  <si>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</si>
  <si>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</si>
  <si>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</si>
  <si>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</si>
  <si>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</si>
  <si>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</si>
  <si>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</si>
  <si>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</si>
  <si>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</si>
  <si>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</si>
  <si>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</si>
  <si>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</si>
  <si>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</si>
  <si>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</si>
  <si>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</si>
  <si>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</si>
  <si>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</si>
  <si>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</si>
  <si>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</si>
  <si>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</si>
  <si>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</si>
  <si>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</si>
  <si>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</si>
  <si>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</si>
  <si>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</si>
  <si>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</si>
  <si>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</si>
  <si>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</si>
  <si>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</si>
  <si>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</si>
  <si>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</si>
  <si>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</si>
  <si>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</si>
  <si>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</si>
  <si>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</si>
  <si>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</si>
  <si>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</si>
  <si>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</si>
  <si>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</si>
  <si>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</si>
  <si>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</si>
  <si>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</si>
  <si>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</si>
  <si>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</si>
  <si>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</si>
  <si>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</si>
  <si>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</si>
  <si>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</si>
  <si>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</si>
  <si>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</si>
  <si>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</si>
  <si>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</si>
  <si>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</si>
  <si>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</si>
  <si>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</si>
  <si>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</si>
  <si>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</si>
  <si>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</si>
  <si>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</si>
  <si>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</si>
  <si>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</si>
  <si>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</si>
  <si>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</si>
  <si>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</si>
  <si>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</si>
  <si>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</si>
  <si>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</si>
  <si>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</si>
  <si>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</si>
  <si>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</si>
  <si>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</si>
  <si>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</si>
  <si>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</si>
  <si>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</si>
  <si>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</si>
  <si>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</si>
  <si>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</si>
  <si>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</si>
  <si>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</si>
  <si>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</si>
  <si>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</si>
  <si>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</si>
  <si>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</si>
  <si>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</si>
  <si>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</si>
  <si>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</si>
  <si>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</si>
  <si>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</si>
  <si>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</si>
  <si>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</si>
  <si>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</si>
  <si>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</si>
  <si>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</si>
  <si>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</si>
  <si>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</si>
  <si>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</si>
  <si>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</si>
  <si>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</si>
  <si>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</si>
  <si>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</si>
  <si>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</si>
  <si>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</si>
  <si>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</si>
  <si>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</si>
  <si>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</si>
  <si>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</si>
  <si>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</si>
  <si>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</si>
  <si>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</si>
  <si>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</si>
  <si>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</si>
  <si>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</si>
  <si>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</si>
  <si>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</si>
  <si>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</si>
  <si>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</si>
  <si>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</si>
  <si>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</si>
  <si>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</si>
  <si>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</si>
  <si>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</si>
  <si>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</si>
  <si>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</si>
  <si>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</si>
  <si>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</si>
  <si>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</si>
  <si>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</si>
  <si>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</si>
  <si>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</si>
  <si>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</si>
  <si>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</si>
  <si>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</si>
  <si>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</si>
  <si>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</si>
  <si>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</si>
  <si>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</si>
  <si>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</si>
  <si>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</si>
  <si>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</si>
  <si>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</si>
  <si>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</si>
  <si>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</si>
  <si>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</si>
  <si>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</si>
  <si>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</si>
  <si>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</si>
  <si>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</si>
  <si>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</si>
  <si>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</si>
  <si>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</si>
  <si>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</si>
  <si>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</si>
  <si>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</si>
  <si>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</si>
  <si>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</si>
  <si>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</si>
  <si>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</si>
  <si>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</si>
  <si>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</si>
  <si>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</si>
  <si>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</si>
  <si>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</si>
  <si>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</si>
  <si>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</si>
  <si>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</si>
  <si>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</si>
  <si>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</si>
  <si>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</si>
  <si>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</si>
  <si>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</si>
  <si>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</si>
  <si>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</si>
  <si>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</si>
  <si>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</si>
  <si>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</si>
  <si>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</si>
  <si>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</si>
  <si>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</si>
  <si>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</si>
  <si>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</si>
  <si>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</si>
  <si>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</si>
  <si>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</si>
  <si>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</si>
  <si>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</si>
  <si>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</si>
  <si>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</si>
  <si>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</si>
  <si>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</si>
  <si>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</si>
  <si>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</si>
  <si>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</si>
  <si>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</si>
  <si>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</si>
  <si>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</si>
  <si>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</si>
  <si>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</si>
  <si>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</si>
  <si>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</si>
  <si>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</si>
  <si>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</si>
  <si>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</si>
  <si>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</si>
  <si>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</si>
  <si>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</si>
  <si>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</si>
  <si>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</si>
  <si>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</si>
  <si>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</si>
  <si>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</si>
  <si>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</si>
  <si>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</si>
  <si>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</si>
  <si>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</si>
  <si>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</si>
  <si>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</si>
  <si>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</si>
  <si>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</si>
  <si>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</si>
  <si>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</si>
  <si>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</si>
  <si>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</si>
  <si>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</si>
  <si>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</si>
  <si>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</si>
  <si>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</si>
  <si>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</si>
  <si>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</si>
  <si>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</si>
  <si>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</si>
  <si>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</si>
  <si>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</si>
  <si>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</si>
  <si>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</si>
  <si>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</si>
  <si>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</si>
  <si>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</si>
  <si>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</si>
  <si>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</si>
  <si>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</si>
  <si>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</si>
  <si>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</si>
  <si>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</si>
  <si>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</si>
  <si>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</si>
  <si>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</si>
  <si>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</si>
  <si>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</si>
  <si>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</si>
  <si>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</si>
  <si>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</si>
  <si>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</si>
  <si>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</si>
  <si>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</si>
  <si>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</si>
  <si>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</si>
  <si>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</si>
  <si>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</si>
  <si>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</si>
  <si>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</si>
  <si>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</si>
  <si>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</si>
  <si>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</si>
  <si>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</si>
  <si>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</si>
  <si>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</si>
  <si>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</si>
  <si>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</si>
  <si>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</si>
  <si>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</si>
  <si>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</si>
  <si>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</si>
  <si>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</si>
  <si>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</si>
  <si>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</si>
  <si>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</si>
  <si>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</si>
  <si>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</si>
  <si>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</si>
  <si>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</si>
  <si>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</si>
  <si>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</si>
  <si>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</si>
  <si>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</si>
  <si>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</si>
  <si>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</si>
  <si>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</si>
  <si>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</si>
  <si>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</si>
  <si>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</si>
  <si>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</si>
  <si>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</si>
  <si>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</si>
  <si>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</si>
  <si>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</si>
  <si>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</si>
  <si>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</si>
  <si>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</si>
  <si>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</si>
  <si>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</si>
  <si>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</si>
  <si>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</si>
  <si>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</si>
  <si>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</si>
  <si>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</si>
  <si>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</si>
  <si>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</si>
  <si>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</si>
  <si>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</si>
  <si>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</si>
  <si>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</si>
  <si>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</si>
  <si>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</si>
  <si>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</si>
  <si>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</si>
  <si>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</si>
  <si>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</si>
  <si>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</si>
  <si>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</si>
  <si>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</si>
  <si>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</si>
  <si>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</si>
  <si>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</si>
  <si>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</si>
  <si>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</si>
  <si>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</si>
  <si>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</si>
  <si>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</si>
  <si>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</si>
  <si>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</si>
  <si>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</si>
  <si>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</si>
  <si>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</si>
  <si>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</si>
  <si>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</si>
  <si>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</si>
  <si>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</si>
  <si>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</si>
  <si>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</si>
  <si>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</si>
  <si>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</si>
  <si>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</si>
  <si>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</si>
  <si>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</si>
  <si>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</si>
  <si>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</si>
  <si>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</si>
  <si>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</si>
  <si>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</si>
  <si>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</si>
  <si>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</si>
  <si>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</si>
  <si>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</si>
  <si>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</si>
  <si>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</si>
  <si>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</si>
  <si>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</si>
  <si>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</si>
  <si>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</si>
  <si>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</si>
  <si>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</si>
  <si>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</si>
  <si>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</si>
  <si>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</si>
  <si>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</si>
  <si>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</si>
  <si>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</si>
  <si>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</si>
  <si>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</si>
  <si>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</si>
  <si>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</si>
  <si>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</si>
  <si>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</si>
  <si>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</si>
  <si>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</si>
  <si>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</si>
  <si>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</si>
  <si>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</si>
  <si>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</si>
  <si>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</si>
  <si>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</si>
  <si>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</si>
  <si>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</si>
  <si>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</si>
  <si>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</si>
  <si>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</si>
  <si>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</si>
  <si>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</si>
  <si>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</si>
  <si>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</si>
  <si>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</si>
  <si>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</si>
  <si>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</si>
  <si>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</si>
  <si>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</si>
  <si>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</si>
  <si>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</si>
  <si>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</si>
  <si>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</si>
  <si>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</si>
  <si>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</si>
  <si>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</si>
  <si>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</si>
  <si>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</si>
  <si>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</si>
  <si>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</si>
  <si>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</si>
  <si>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</si>
  <si>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</si>
  <si>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</si>
  <si>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</si>
  <si>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</si>
  <si>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</si>
  <si>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</si>
  <si>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</si>
  <si>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</si>
  <si>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</si>
  <si>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</si>
  <si>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</si>
  <si>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</si>
  <si>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</si>
  <si>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</si>
  <si>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</si>
  <si>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</si>
  <si>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</si>
  <si>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</si>
  <si>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</si>
  <si>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</si>
  <si>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</si>
  <si>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</si>
  <si>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</si>
  <si>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</si>
  <si>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</si>
  <si>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</si>
  <si>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</si>
  <si>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</si>
  <si>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</si>
  <si>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</si>
  <si>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</si>
  <si>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</si>
  <si>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</si>
  <si>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</si>
  <si>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</si>
  <si>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</si>
  <si>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</si>
  <si>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</si>
  <si>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</si>
  <si>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</si>
  <si>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</si>
  <si>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</si>
  <si>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</si>
  <si>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</si>
  <si>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</si>
  <si>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</si>
  <si>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</si>
  <si>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</si>
  <si>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</si>
  <si>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</si>
  <si>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</si>
  <si>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</si>
  <si>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</si>
  <si>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</si>
  <si>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</si>
  <si>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</si>
  <si>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</si>
  <si>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</si>
  <si>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</si>
  <si>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</si>
  <si>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</si>
  <si>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</si>
  <si>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</si>
  <si>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</si>
  <si>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</si>
  <si>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</si>
  <si>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</si>
  <si>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</si>
  <si>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</si>
  <si>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</si>
  <si>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</si>
  <si>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</si>
  <si>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</si>
  <si>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</si>
  <si>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</si>
  <si>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</si>
  <si>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</si>
  <si>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</si>
  <si>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</si>
  <si>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</si>
  <si>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</si>
  <si>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</si>
  <si>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</si>
  <si>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</si>
  <si>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</si>
  <si>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</si>
  <si>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</si>
  <si>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</si>
  <si>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</si>
  <si>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</si>
  <si>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</si>
  <si>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</si>
  <si>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</si>
  <si>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</si>
  <si>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</si>
  <si>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</si>
  <si>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</si>
  <si>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</si>
  <si>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</si>
  <si>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</si>
  <si>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</si>
  <si>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</si>
  <si>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</si>
  <si>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</si>
  <si>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</si>
  <si>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</si>
  <si>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</si>
  <si>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</si>
  <si>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</si>
  <si>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</si>
  <si>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</si>
  <si>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</si>
  <si>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</si>
  <si>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</si>
  <si>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</si>
  <si>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</si>
  <si>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</si>
  <si>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</si>
  <si>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</si>
  <si>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</si>
  <si>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</si>
  <si>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</si>
  <si>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</si>
  <si>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</si>
  <si>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</si>
  <si>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</si>
  <si>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</si>
  <si>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</si>
  <si>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</si>
  <si>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</si>
  <si>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</si>
  <si>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</si>
  <si>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</si>
  <si>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</si>
  <si>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</si>
  <si>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</si>
  <si>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</si>
  <si>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</si>
  <si>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</si>
  <si>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</si>
  <si>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</si>
  <si>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</si>
  <si>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</si>
  <si>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</si>
  <si>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</si>
  <si>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</si>
  <si>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</si>
  <si>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</si>
  <si>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</si>
  <si>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</si>
  <si>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</si>
  <si>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</si>
  <si>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</si>
  <si>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</si>
  <si>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</si>
  <si>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</si>
  <si>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</si>
  <si>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</si>
  <si>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</si>
  <si>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</si>
  <si>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</si>
  <si>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</si>
  <si>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</si>
  <si>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</si>
  <si>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</si>
  <si>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</si>
  <si>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</si>
  <si>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</si>
  <si>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</si>
  <si>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</si>
  <si>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</si>
  <si>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</si>
  <si>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</si>
  <si>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</si>
  <si>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</si>
  <si>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</si>
  <si>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</si>
  <si>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</si>
  <si>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</si>
  <si>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</si>
  <si>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</si>
  <si>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</si>
  <si>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</si>
  <si>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</si>
  <si>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</si>
  <si>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</si>
  <si>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</si>
  <si>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</si>
  <si>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</si>
  <si>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</si>
  <si>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</si>
  <si>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</si>
  <si>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</si>
  <si>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</si>
  <si>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</si>
  <si>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</si>
  <si>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</si>
  <si>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</si>
  <si>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</si>
  <si>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</si>
  <si>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</si>
  <si>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</si>
  <si>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</si>
  <si>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</si>
  <si>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</si>
  <si>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</si>
  <si>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</si>
  <si>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</si>
  <si>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</si>
  <si>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</si>
  <si>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</si>
  <si>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</si>
  <si>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</si>
  <si>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</si>
  <si>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</si>
  <si>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</si>
  <si>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</si>
  <si>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</si>
  <si>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</si>
  <si>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</si>
  <si>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</si>
  <si>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</si>
  <si>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</si>
  <si>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</si>
  <si>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</si>
  <si>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</si>
  <si>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</si>
  <si>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</si>
  <si>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</si>
  <si>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</si>
  <si>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</si>
  <si>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</si>
  <si>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</si>
  <si>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</si>
  <si>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</si>
  <si>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</si>
  <si>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</si>
  <si>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</si>
  <si>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</si>
  <si>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</si>
  <si>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</si>
  <si>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</si>
  <si>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</si>
  <si>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</si>
  <si>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</si>
  <si>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</si>
  <si>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</si>
  <si>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</si>
  <si>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</si>
  <si>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</si>
  <si>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</si>
  <si>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</si>
  <si>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</si>
  <si>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</si>
  <si>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</si>
  <si>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</si>
  <si>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</si>
  <si>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</si>
  <si>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</si>
  <si>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</si>
  <si>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</si>
  <si>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</si>
  <si>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</si>
  <si>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</si>
  <si>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</si>
  <si>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</si>
  <si>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</si>
  <si>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</si>
  <si>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</si>
  <si>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</si>
  <si>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</si>
  <si>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</si>
  <si>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</si>
  <si>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</si>
  <si>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</si>
  <si>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</si>
  <si>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</si>
  <si>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</si>
  <si>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</si>
  <si>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</si>
  <si>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</si>
  <si>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</si>
  <si>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</si>
  <si>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</si>
  <si>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</si>
  <si>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</si>
  <si>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</si>
  <si>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</si>
  <si>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</si>
  <si>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</si>
  <si>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</si>
  <si>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</si>
  <si>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</si>
  <si>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</si>
  <si>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</si>
  <si>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</si>
  <si>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</si>
  <si>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</si>
  <si>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</si>
  <si>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</si>
  <si>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</si>
  <si>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</si>
  <si>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</si>
  <si>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</si>
  <si>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</si>
  <si>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</si>
  <si>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</si>
  <si>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</si>
  <si>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</si>
  <si>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</si>
  <si>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</si>
  <si>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</si>
  <si>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</si>
  <si>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</si>
  <si>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</si>
  <si>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</si>
  <si>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</si>
  <si>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</si>
  <si>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</si>
  <si>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</si>
  <si>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</si>
  <si>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</si>
  <si>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</si>
  <si>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</si>
  <si>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</si>
  <si>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</si>
  <si>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</si>
  <si>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</si>
  <si>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</si>
  <si>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</si>
  <si>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</si>
  <si>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</si>
  <si>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</si>
  <si>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</si>
  <si>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</si>
  <si>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</si>
  <si>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</si>
  <si>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</si>
  <si>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</si>
  <si>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</si>
  <si>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</si>
  <si>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</si>
  <si>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</si>
  <si>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</si>
  <si>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</si>
  <si>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</si>
  <si>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</si>
  <si>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</si>
  <si>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</si>
  <si>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</si>
  <si>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</si>
  <si>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</si>
  <si>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</si>
  <si>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</si>
  <si>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</si>
  <si>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</si>
  <si>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</si>
  <si>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</si>
  <si>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</si>
  <si>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</si>
  <si>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</si>
  <si>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</si>
  <si>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</si>
  <si>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</si>
  <si>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</si>
  <si>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</si>
  <si>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</si>
  <si>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</si>
  <si>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</si>
  <si>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</si>
  <si>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</si>
  <si>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</si>
  <si>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</si>
  <si>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</si>
  <si>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</si>
  <si>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</si>
  <si>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</si>
  <si>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</si>
  <si>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</si>
  <si>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</si>
  <si>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</si>
  <si>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</si>
  <si>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</si>
  <si>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</si>
  <si>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</si>
  <si>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</si>
  <si>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</si>
  <si>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</si>
  <si>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</si>
  <si>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</si>
  <si>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</si>
  <si>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</si>
  <si>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</si>
  <si>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</si>
  <si>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</si>
  <si>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</si>
  <si>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</si>
  <si>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</si>
  <si>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</si>
  <si>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</si>
  <si>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</si>
  <si>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</si>
  <si>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</si>
  <si>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</si>
  <si>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</si>
  <si>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</si>
  <si>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</si>
  <si>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</si>
  <si>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</si>
  <si>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</si>
  <si>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</si>
  <si>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</si>
  <si>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</si>
  <si>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</si>
  <si>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</si>
  <si>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</si>
  <si>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</si>
  <si>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</si>
  <si>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</si>
  <si>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</si>
  <si>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</si>
  <si>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</si>
  <si>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</si>
  <si>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</si>
  <si>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</si>
  <si>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</si>
  <si>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</si>
  <si>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</si>
  <si>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</si>
  <si>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</si>
  <si>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</si>
  <si>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</si>
  <si>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</si>
  <si>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</si>
  <si>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</si>
  <si>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</si>
  <si>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</si>
  <si>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</si>
  <si>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</si>
  <si>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</si>
  <si>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</si>
  <si>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</si>
  <si>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</si>
  <si>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</si>
  <si>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</si>
  <si>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</si>
  <si>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</si>
  <si>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</si>
  <si>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</si>
  <si>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</si>
  <si>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</si>
  <si>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</si>
  <si>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</si>
  <si>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</si>
  <si>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</si>
  <si>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</si>
  <si>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</si>
  <si>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</si>
  <si>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</si>
  <si>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</si>
  <si>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</si>
  <si>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</si>
  <si>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</si>
  <si>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</si>
  <si>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</si>
  <si>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</si>
  <si>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</si>
  <si>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</si>
  <si>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</si>
  <si>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</si>
  <si>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</si>
  <si>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</si>
  <si>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</si>
  <si>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</si>
  <si>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</si>
  <si>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</si>
  <si>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</si>
  <si>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</si>
  <si>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</si>
  <si>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</si>
  <si>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</si>
  <si>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</si>
  <si>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</si>
  <si>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</si>
  <si>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</si>
  <si>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</si>
  <si>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</si>
  <si>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</si>
  <si>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</si>
  <si>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</si>
  <si>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</si>
  <si>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</si>
  <si>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</si>
  <si>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</si>
  <si>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</si>
  <si>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</si>
  <si>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</si>
  <si>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</si>
  <si>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</si>
  <si>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</si>
  <si>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</si>
  <si>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</si>
  <si>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</si>
  <si>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</si>
  <si>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</si>
  <si>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</si>
  <si>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</si>
  <si>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</si>
  <si>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</si>
  <si>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</si>
  <si>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</si>
  <si>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</si>
  <si>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</si>
  <si>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</si>
  <si>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</si>
  <si>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</si>
  <si>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</si>
  <si>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</si>
  <si>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</si>
  <si>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</si>
  <si>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</si>
  <si>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</si>
  <si>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</si>
  <si>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</si>
  <si>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</si>
  <si>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</si>
  <si>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</si>
  <si>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</si>
  <si>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</si>
  <si>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</si>
  <si>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</si>
  <si>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</si>
  <si>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</si>
  <si>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</si>
  <si>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</si>
  <si>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</si>
  <si>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</si>
  <si>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</si>
  <si>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</si>
  <si>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</si>
  <si>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</si>
  <si>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</si>
  <si>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</si>
  <si>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</si>
  <si>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</si>
  <si>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</si>
  <si>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</si>
  <si>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</si>
  <si>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</si>
  <si>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</si>
  <si>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</si>
  <si>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</si>
  <si>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</si>
  <si>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</si>
  <si>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</si>
  <si>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</si>
  <si>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</si>
  <si>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</si>
  <si>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</si>
  <si>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</si>
  <si>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</si>
  <si>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</si>
  <si>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</si>
  <si>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</si>
  <si>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</si>
  <si>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</si>
  <si>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</si>
  <si>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</si>
  <si>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</si>
  <si>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</si>
  <si>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</si>
  <si>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</si>
  <si>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</si>
  <si>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</si>
  <si>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</si>
  <si>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</si>
  <si>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</si>
  <si>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</si>
  <si>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</si>
  <si>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</si>
  <si>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</si>
  <si>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</si>
  <si>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</si>
  <si>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</si>
  <si>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</si>
  <si>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</si>
  <si>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</si>
  <si>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</si>
  <si>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</si>
  <si>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</si>
  <si>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</si>
  <si>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</si>
  <si>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</si>
  <si>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</si>
  <si>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</si>
  <si>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</si>
  <si>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</si>
  <si>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</si>
  <si>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</si>
  <si>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</si>
  <si>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</si>
  <si>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</si>
  <si>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</si>
  <si>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</si>
  <si>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</si>
  <si>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</si>
  <si>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</si>
  <si>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</si>
  <si>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</si>
  <si>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</si>
  <si>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</si>
  <si>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</si>
  <si>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</si>
  <si>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</si>
  <si>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</si>
  <si>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</si>
  <si>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</si>
  <si>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</si>
  <si>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</si>
  <si>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</si>
  <si>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</si>
  <si>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</si>
  <si>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</si>
  <si>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</si>
  <si>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</si>
  <si>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</si>
  <si>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</si>
  <si>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</si>
  <si>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</si>
  <si>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</si>
  <si>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</si>
  <si>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</si>
  <si>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</si>
  <si>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</si>
  <si>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</si>
  <si>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</si>
  <si>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</si>
  <si>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</si>
  <si>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</si>
  <si>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</si>
  <si>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</si>
  <si>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</si>
  <si>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</si>
  <si>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</si>
  <si>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</si>
  <si>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</si>
  <si>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</si>
  <si>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</si>
  <si>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</si>
  <si>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</si>
  <si>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</si>
  <si>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</si>
  <si>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</si>
  <si>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</si>
  <si>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</si>
  <si>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</si>
  <si>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</si>
  <si>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</si>
  <si>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</si>
  <si>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</si>
  <si>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</si>
  <si>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</si>
  <si>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</si>
  <si>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</si>
  <si>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</si>
  <si>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</si>
  <si>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</si>
  <si>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</si>
  <si>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</si>
  <si>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</si>
  <si>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</si>
  <si>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</si>
  <si>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</si>
  <si>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</si>
  <si>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</si>
  <si>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</si>
  <si>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</si>
  <si>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</si>
  <si>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</si>
  <si>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</si>
  <si>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</si>
  <si>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</si>
  <si>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</si>
  <si>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</si>
  <si>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</si>
  <si>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</si>
  <si>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</si>
  <si>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</si>
  <si>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</si>
  <si>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</si>
  <si>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</si>
  <si>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</si>
  <si>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</si>
  <si>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</si>
  <si>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</si>
  <si>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</si>
  <si>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</si>
  <si>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</si>
  <si>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</si>
  <si>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</si>
  <si>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</si>
  <si>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</si>
  <si>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</si>
  <si>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</si>
  <si>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</si>
  <si>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</si>
  <si>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</si>
  <si>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</si>
  <si>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</si>
  <si>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</si>
  <si>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</si>
  <si>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</si>
  <si>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</si>
  <si>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</si>
  <si>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</si>
  <si>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</si>
  <si>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</si>
  <si>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</si>
  <si>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</si>
  <si>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</si>
  <si>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</si>
  <si>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</si>
  <si>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</si>
  <si>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</si>
  <si>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</si>
  <si>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</si>
  <si>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</si>
  <si>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</si>
  <si>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</si>
  <si>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</si>
  <si>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</si>
  <si>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</si>
  <si>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</si>
  <si>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</si>
  <si>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</si>
  <si>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</si>
  <si>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</si>
  <si>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</si>
  <si>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</si>
  <si>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</si>
  <si>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</si>
  <si>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</si>
  <si>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</si>
  <si>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</si>
  <si>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</si>
  <si>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</si>
  <si>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</si>
  <si>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</si>
  <si>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</si>
  <si>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</si>
  <si>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</si>
  <si>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</si>
  <si>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</si>
  <si>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</si>
  <si>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</si>
  <si>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</si>
  <si>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</si>
  <si>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</si>
  <si>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</si>
  <si>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</si>
  <si>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</si>
  <si>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</si>
  <si>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</si>
  <si>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</si>
  <si>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</si>
  <si>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</si>
  <si>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</si>
  <si>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</si>
  <si>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</si>
  <si>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</si>
  <si>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</si>
  <si>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</si>
  <si>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</si>
  <si>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</si>
  <si>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</si>
  <si>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</si>
  <si>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</si>
  <si>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</si>
  <si>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</si>
  <si>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</si>
  <si>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</si>
  <si>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</si>
  <si>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</si>
  <si>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</si>
  <si>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</si>
  <si>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</si>
  <si>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</si>
  <si>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</si>
  <si>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</si>
  <si>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</si>
  <si>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</si>
  <si>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</si>
  <si>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</si>
  <si>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</si>
  <si>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</si>
  <si>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</si>
  <si>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</si>
  <si>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</si>
  <si>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</si>
  <si>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</si>
  <si>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</si>
  <si>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</si>
  <si>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</si>
  <si>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</si>
  <si>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</si>
  <si>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</si>
  <si>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</si>
  <si>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</si>
  <si>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</si>
  <si>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</si>
  <si>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</si>
  <si>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</si>
  <si>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</si>
  <si>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</si>
  <si>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</si>
  <si>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</si>
  <si>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</si>
  <si>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</si>
  <si>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</si>
  <si>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</si>
  <si>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</si>
  <si>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</si>
  <si>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</si>
  <si>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</si>
  <si>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</si>
  <si>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</si>
  <si>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</si>
  <si>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</si>
  <si>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</si>
  <si>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</si>
  <si>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</si>
  <si>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</si>
  <si>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</si>
  <si>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</si>
  <si>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</si>
  <si>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</si>
  <si>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</si>
  <si>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</si>
  <si>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</si>
  <si>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</si>
  <si>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</si>
  <si>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</si>
  <si>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</si>
  <si>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</si>
  <si>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</si>
  <si>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</si>
  <si>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</si>
  <si>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</si>
  <si>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</si>
  <si>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</si>
  <si>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</si>
  <si>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</si>
  <si>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</si>
  <si>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</si>
  <si>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</si>
  <si>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</si>
  <si>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</si>
  <si>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</si>
  <si>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</si>
  <si>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</si>
  <si>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</si>
  <si>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</si>
  <si>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</si>
  <si>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</si>
  <si>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</si>
  <si>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</si>
  <si>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</si>
  <si>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</si>
  <si>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</si>
  <si>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</si>
  <si>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</si>
  <si>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</si>
  <si>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</si>
  <si>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</si>
  <si>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</si>
  <si>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</si>
  <si>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</si>
  <si>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</si>
  <si>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</si>
  <si>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</si>
  <si>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</si>
  <si>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</si>
  <si>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</si>
  <si>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</si>
  <si>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</si>
  <si>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</si>
  <si>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</si>
  <si>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</si>
  <si>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</si>
  <si>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</si>
  <si>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</si>
  <si>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</si>
  <si>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</si>
  <si>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</si>
  <si>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</si>
  <si>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</si>
  <si>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</si>
  <si>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</si>
  <si>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</si>
  <si>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</si>
  <si>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</si>
  <si>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</si>
  <si>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</si>
  <si>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</si>
  <si>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</si>
  <si>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</si>
  <si>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</si>
  <si>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</si>
  <si>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</si>
  <si>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</si>
  <si>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</si>
  <si>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</si>
  <si>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</si>
  <si>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</si>
  <si>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</si>
  <si>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</si>
  <si>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</si>
  <si>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</si>
  <si>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</si>
  <si>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</si>
  <si>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</si>
  <si>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</si>
  <si>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</si>
  <si>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</si>
  <si>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</si>
  <si>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</si>
  <si>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</si>
  <si>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</si>
  <si>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</si>
  <si>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</si>
  <si>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</si>
  <si>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</si>
  <si>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</si>
  <si>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</si>
  <si>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</si>
  <si>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</si>
  <si>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</si>
  <si>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</si>
  <si>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</si>
  <si>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</si>
  <si>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</si>
  <si>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</si>
  <si>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</si>
  <si>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</si>
  <si>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</si>
  <si>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</si>
  <si>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</si>
  <si>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</si>
  <si>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</si>
  <si>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</si>
  <si>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</si>
  <si>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</si>
  <si>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</si>
  <si>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</si>
  <si>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</si>
  <si>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</si>
  <si>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</si>
  <si>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</si>
  <si>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</si>
  <si>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</si>
  <si>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</si>
  <si>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</si>
  <si>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</si>
  <si>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</si>
  <si>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</si>
  <si>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</si>
  <si>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</si>
  <si>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</si>
  <si>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</si>
  <si>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</si>
  <si>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</si>
  <si>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</si>
  <si>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</si>
  <si>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</si>
  <si>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</si>
  <si>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</si>
  <si>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</si>
  <si>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</si>
  <si>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</si>
  <si>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</si>
  <si>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</si>
  <si>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</si>
  <si>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</si>
  <si>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</si>
  <si>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</si>
  <si>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</si>
  <si>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</si>
  <si>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</si>
  <si>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</si>
  <si>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</si>
  <si>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</si>
  <si>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</si>
  <si>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</si>
  <si>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</si>
  <si>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</si>
  <si>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</si>
  <si>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</si>
  <si>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</si>
  <si>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</si>
  <si>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</si>
  <si>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</si>
  <si>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</si>
  <si>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</si>
  <si>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</si>
  <si>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</si>
  <si>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</si>
  <si>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</si>
  <si>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</si>
  <si>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</si>
  <si>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</si>
  <si>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</si>
  <si>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</si>
  <si>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</si>
  <si>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</si>
  <si>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</si>
  <si>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</si>
  <si>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</si>
  <si>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</si>
  <si>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</si>
  <si>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</si>
  <si>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</si>
  <si>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</si>
  <si>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</si>
  <si>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</si>
  <si>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</si>
  <si>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</si>
  <si>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</si>
  <si>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</si>
  <si>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</si>
  <si>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</si>
  <si>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</si>
  <si>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</si>
  <si>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</si>
  <si>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</si>
  <si>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</si>
  <si>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</si>
  <si>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</si>
  <si>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</si>
  <si>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</si>
  <si>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</si>
  <si>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</si>
  <si>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</si>
  <si>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</si>
  <si>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</si>
  <si>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</si>
  <si>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</si>
  <si>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</si>
  <si>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</si>
  <si>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</si>
  <si>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</si>
  <si>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</si>
  <si>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</si>
  <si>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</si>
  <si>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</si>
  <si>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</si>
  <si>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</si>
  <si>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</si>
  <si>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</si>
  <si>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</si>
  <si>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</si>
  <si>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</si>
  <si>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</si>
  <si>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</si>
  <si>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</si>
  <si>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</si>
  <si>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</si>
  <si>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</si>
  <si>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</si>
  <si>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</si>
  <si>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</si>
  <si>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</si>
  <si>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</si>
  <si>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</si>
  <si>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</si>
  <si>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</si>
  <si>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</si>
  <si>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</si>
  <si>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</si>
  <si>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</si>
  <si>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</si>
  <si>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</si>
  <si>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</si>
  <si>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</si>
  <si>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</si>
  <si>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</si>
  <si>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</si>
  <si>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</si>
  <si>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</si>
  <si>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</si>
  <si>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</si>
  <si>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</si>
  <si>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</si>
  <si>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</si>
  <si>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</si>
  <si>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</si>
  <si>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</si>
  <si>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</si>
  <si>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</si>
  <si>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</si>
  <si>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</si>
  <si>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</si>
  <si>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</si>
  <si>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</si>
  <si>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</si>
  <si>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</si>
  <si>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</si>
  <si>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</si>
  <si>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</si>
  <si>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</si>
  <si>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</si>
  <si>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</si>
  <si>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</si>
  <si>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</si>
  <si>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</si>
  <si>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</si>
  <si>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</si>
  <si>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</si>
  <si>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</si>
  <si>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</si>
  <si>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</si>
  <si>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</si>
  <si>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</si>
  <si>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</si>
  <si>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</si>
  <si>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</si>
  <si>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</si>
  <si>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</si>
  <si>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</si>
  <si>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</si>
  <si>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</si>
  <si>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</si>
  <si>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</si>
  <si>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</si>
  <si>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</si>
  <si>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</si>
  <si>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</si>
  <si>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</si>
  <si>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</si>
  <si>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</si>
  <si>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</si>
  <si>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</si>
  <si>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</si>
  <si>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</si>
  <si>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</si>
  <si>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</si>
  <si>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</si>
  <si>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</si>
  <si>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</si>
  <si>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</si>
  <si>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</si>
  <si>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</si>
  <si>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</si>
  <si>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</si>
  <si>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</si>
  <si>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</si>
  <si>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</si>
  <si>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</si>
  <si>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</si>
  <si>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</si>
  <si>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</si>
  <si>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</si>
  <si>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</si>
  <si>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</si>
  <si>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</si>
  <si>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</si>
  <si>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</si>
  <si>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</si>
  <si>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</si>
  <si>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</si>
  <si>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</si>
  <si>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</si>
  <si>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</si>
  <si>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</si>
  <si>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</si>
  <si>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</si>
  <si>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</si>
  <si>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</si>
  <si>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</si>
  <si>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</si>
  <si>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</si>
  <si>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</si>
  <si>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</si>
  <si>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</si>
  <si>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</si>
  <si>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</si>
  <si>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</si>
  <si>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</si>
  <si>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</si>
  <si>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</si>
  <si>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</si>
  <si>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</si>
  <si>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</si>
  <si>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</si>
  <si>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</si>
  <si>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</si>
  <si>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</si>
  <si>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</si>
  <si>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</si>
  <si>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</si>
  <si>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</si>
  <si>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</si>
  <si>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</si>
  <si>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</si>
  <si>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</si>
  <si>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</si>
  <si>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</si>
  <si>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</si>
  <si>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</si>
  <si>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</si>
  <si>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</si>
  <si>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</si>
  <si>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</si>
  <si>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</si>
  <si>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</si>
  <si>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</si>
  <si>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</si>
  <si>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</si>
  <si>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</si>
  <si>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</si>
  <si>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</si>
  <si>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</si>
  <si>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</si>
  <si>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</si>
  <si>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</si>
  <si>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</si>
  <si>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</si>
  <si>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</si>
  <si>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</si>
  <si>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</si>
  <si>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</si>
  <si>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</si>
  <si>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</si>
  <si>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</si>
  <si>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</si>
  <si>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</si>
  <si>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</si>
  <si>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</si>
  <si>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</si>
  <si>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</si>
  <si>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</si>
  <si>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</si>
  <si>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</si>
  <si>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</si>
  <si>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</si>
  <si>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</si>
  <si>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</si>
  <si>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</si>
  <si>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</si>
  <si>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</si>
  <si>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</si>
  <si>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</si>
  <si>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</si>
  <si>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</si>
  <si>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</si>
  <si>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</si>
  <si>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</si>
  <si>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</si>
  <si>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</si>
  <si>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</si>
  <si>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</si>
  <si>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</si>
  <si>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</si>
  <si>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</si>
  <si>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</si>
  <si>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</si>
  <si>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</si>
  <si>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</si>
  <si>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</si>
  <si>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</si>
  <si>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</si>
  <si>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</si>
  <si>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</si>
  <si>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</si>
  <si>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</si>
  <si>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</si>
  <si>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</si>
  <si>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</si>
  <si>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</si>
  <si>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</si>
  <si>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</si>
  <si>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</si>
  <si>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</si>
  <si>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</si>
  <si>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</si>
  <si>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</si>
  <si>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</si>
  <si>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</si>
  <si>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</si>
  <si>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</si>
  <si>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</si>
  <si>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</si>
  <si>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</si>
  <si>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</si>
  <si>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</si>
  <si>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</si>
  <si>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</si>
  <si>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</si>
  <si>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</si>
  <si>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</si>
  <si>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</si>
  <si>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</si>
  <si>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</si>
  <si>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</si>
  <si>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</si>
  <si>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</si>
  <si>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</si>
  <si>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</si>
  <si>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</si>
  <si>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</si>
  <si>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</si>
  <si>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</si>
  <si>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</si>
  <si>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</si>
  <si>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</si>
  <si>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</si>
  <si>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</si>
  <si>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</si>
  <si>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</si>
  <si>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</si>
  <si>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</si>
  <si>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</si>
  <si>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</si>
  <si>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</si>
  <si>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</si>
  <si>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</si>
  <si>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</si>
  <si>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</si>
  <si>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</si>
  <si>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</si>
  <si>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</si>
  <si>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</si>
  <si>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</si>
  <si>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</si>
  <si>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</si>
  <si>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</si>
  <si>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</si>
  <si>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</si>
  <si>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</si>
  <si>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</si>
  <si>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</si>
  <si>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</si>
  <si>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</si>
  <si>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</si>
  <si>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</si>
  <si>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</si>
  <si>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</si>
  <si>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</si>
  <si>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</si>
  <si>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</si>
  <si>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</si>
  <si>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</si>
  <si>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</si>
  <si>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</si>
  <si>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</si>
  <si>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</si>
  <si>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</si>
  <si>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</si>
  <si>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</si>
  <si>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</si>
  <si>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</si>
  <si>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</si>
  <si>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</si>
  <si>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</si>
  <si>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</si>
  <si>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</si>
  <si>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</si>
  <si>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</si>
  <si>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</si>
  <si>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</si>
  <si>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</si>
  <si>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</si>
  <si>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</si>
  <si>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</si>
  <si>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</si>
  <si>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</si>
  <si>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</si>
  <si>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</si>
  <si>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</si>
  <si>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</si>
  <si>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</si>
  <si>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</si>
  <si>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</si>
  <si>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</si>
  <si>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</si>
  <si>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</si>
  <si>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</si>
  <si>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</si>
  <si>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</si>
  <si>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</si>
  <si>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</si>
  <si>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</si>
  <si>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</si>
  <si>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</si>
  <si>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</si>
  <si>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</si>
  <si>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</si>
  <si>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</si>
  <si>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</si>
  <si>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</si>
  <si>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</si>
  <si>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</si>
  <si>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</si>
  <si>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</si>
  <si>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</si>
  <si>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</si>
  <si>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</si>
  <si>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</si>
  <si>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</si>
  <si>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</si>
  <si>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</si>
  <si>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</si>
  <si>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</si>
  <si>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</si>
  <si>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</si>
  <si>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</si>
  <si>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</si>
  <si>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</si>
  <si>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</si>
  <si>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</si>
  <si>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</si>
  <si>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</si>
  <si>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</si>
  <si>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</si>
  <si>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</si>
  <si>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</si>
  <si>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</si>
  <si>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</si>
  <si>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</si>
  <si>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</si>
  <si>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</si>
  <si>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</si>
  <si>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</si>
  <si>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</si>
  <si>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</si>
  <si>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</si>
  <si>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</si>
  <si>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</si>
  <si>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</si>
  <si>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</si>
  <si>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</si>
  <si>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</si>
  <si>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</si>
  <si>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</si>
  <si>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</si>
  <si>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</si>
  <si>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</si>
  <si>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</si>
  <si>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</si>
  <si>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</si>
  <si>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</si>
  <si>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</si>
  <si>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</si>
  <si>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</si>
  <si>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</si>
  <si>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</si>
  <si>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</si>
  <si>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</si>
  <si>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</si>
  <si>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</si>
  <si>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</si>
  <si>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</si>
  <si>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</si>
  <si>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</si>
  <si>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</si>
  <si>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</si>
  <si>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</si>
  <si>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</si>
  <si>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</si>
  <si>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</si>
  <si>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</si>
  <si>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</si>
  <si>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</si>
  <si>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</si>
  <si>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</si>
  <si>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</si>
  <si>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</si>
  <si>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</si>
  <si>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</si>
  <si>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</si>
  <si>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</si>
  <si>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</si>
  <si>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</si>
  <si>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</si>
  <si>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</si>
  <si>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</si>
  <si>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</si>
  <si>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</si>
  <si>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</si>
  <si>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</si>
  <si>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</si>
  <si>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</si>
  <si>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</si>
  <si>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</si>
  <si>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</si>
  <si>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</si>
  <si>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</si>
  <si>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</si>
  <si>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</si>
  <si>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</si>
  <si>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</si>
  <si>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</si>
  <si>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</si>
  <si>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</si>
  <si>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</si>
  <si>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</si>
  <si>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</si>
  <si>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</si>
  <si>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</si>
  <si>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</si>
  <si>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</si>
  <si>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</si>
  <si>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</si>
  <si>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</si>
  <si>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</si>
  <si>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</si>
  <si>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</si>
  <si>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</si>
  <si>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</si>
  <si>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</si>
  <si>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</si>
  <si>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</si>
  <si>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</si>
  <si>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</si>
  <si>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</si>
  <si>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</si>
  <si>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</si>
  <si>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</si>
  <si>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</si>
  <si>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</si>
  <si>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</si>
  <si>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</si>
  <si>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</si>
  <si>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</si>
  <si>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</si>
  <si>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</si>
  <si>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</si>
  <si>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</si>
  <si>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</si>
  <si>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</si>
  <si>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</si>
  <si>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</si>
  <si>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</si>
  <si>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</si>
  <si>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</si>
  <si>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</si>
  <si>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</si>
  <si>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</si>
  <si>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</si>
  <si>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</si>
  <si>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</si>
  <si>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</si>
  <si>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</si>
  <si>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</si>
  <si>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</si>
  <si>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</si>
  <si>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</si>
  <si>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</si>
  <si>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</si>
  <si>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</si>
  <si>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</si>
  <si>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</si>
  <si>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</si>
  <si>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</si>
  <si>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</si>
  <si>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</si>
  <si>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</si>
  <si>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</si>
  <si>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</si>
  <si>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</si>
  <si>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</si>
  <si>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</si>
  <si>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</si>
  <si>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</si>
  <si>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</si>
  <si>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</si>
  <si>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</si>
  <si>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</si>
  <si>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</si>
  <si>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</si>
  <si>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</si>
  <si>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</si>
  <si>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</si>
  <si>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</si>
  <si>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</si>
  <si>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</si>
  <si>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</si>
  <si>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</si>
  <si>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</si>
  <si>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</si>
  <si>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</si>
  <si>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</si>
  <si>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</si>
  <si>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</si>
  <si>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</si>
  <si>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</si>
  <si>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</si>
  <si>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</si>
  <si>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</si>
  <si>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</si>
  <si>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</si>
  <si>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</si>
  <si>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</si>
  <si>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</si>
  <si>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</si>
  <si>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</si>
  <si>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</si>
  <si>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</si>
  <si>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</si>
  <si>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</si>
  <si>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</si>
  <si>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</si>
  <si>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</si>
  <si>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</si>
  <si>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</si>
  <si>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</si>
  <si>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</si>
  <si>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</si>
  <si>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</si>
  <si>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</si>
  <si>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</si>
  <si>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</si>
  <si>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</si>
  <si>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</si>
  <si>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</si>
  <si>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</si>
  <si>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</si>
  <si>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</si>
  <si>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</si>
  <si>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</si>
  <si>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</si>
  <si>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</si>
  <si>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</si>
  <si>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</si>
  <si>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</si>
  <si>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</si>
  <si>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</si>
  <si>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</si>
  <si>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</si>
  <si>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</si>
  <si>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</si>
  <si>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</si>
  <si>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</si>
  <si>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</si>
  <si>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</si>
  <si>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</si>
  <si>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</si>
  <si>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</si>
  <si>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</si>
  <si>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</si>
  <si>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</si>
  <si>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</si>
  <si>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</si>
  <si>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</si>
  <si>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</si>
  <si>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</si>
  <si>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</si>
  <si>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</si>
  <si>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</si>
  <si>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</si>
  <si>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</si>
  <si>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</si>
  <si>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</si>
  <si>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</si>
  <si>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</si>
  <si>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</si>
  <si>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</si>
  <si>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</si>
  <si>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</si>
  <si>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</si>
  <si>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</si>
  <si>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</si>
  <si>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</si>
  <si>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</si>
  <si>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</si>
  <si>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</si>
  <si>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</si>
  <si>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</si>
  <si>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</si>
  <si>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</si>
  <si>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</si>
  <si>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</si>
  <si>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</si>
  <si>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</si>
  <si>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</si>
  <si>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</si>
  <si>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</si>
  <si>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</si>
  <si>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</si>
  <si>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</si>
  <si>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</si>
  <si>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</si>
  <si>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</si>
  <si>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</si>
  <si>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</si>
  <si>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</si>
  <si>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</si>
  <si>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</si>
  <si>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</si>
  <si>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</si>
  <si>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</si>
  <si>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</si>
  <si>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</si>
  <si>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</si>
  <si>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</si>
  <si>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</si>
  <si>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</si>
  <si>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</si>
  <si>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</si>
  <si>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</si>
  <si>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</si>
  <si>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</si>
  <si>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</si>
  <si>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</si>
  <si>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</si>
  <si>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</si>
  <si>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</si>
  <si>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</si>
  <si>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</si>
  <si>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</si>
  <si>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</si>
  <si>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</si>
  <si>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</si>
  <si>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</si>
  <si>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</si>
  <si>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</si>
  <si>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</si>
  <si>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</si>
  <si>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</si>
  <si>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</si>
  <si>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</si>
  <si>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</si>
  <si>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</si>
  <si>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</si>
  <si>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</si>
  <si>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</si>
  <si>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</si>
  <si>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</si>
  <si>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</si>
  <si>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</si>
  <si>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</si>
  <si>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</si>
  <si>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</si>
  <si>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</si>
  <si>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</si>
  <si>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</si>
  <si>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</si>
  <si>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</si>
  <si>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</si>
  <si>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</si>
  <si>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</si>
  <si>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</si>
  <si>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</si>
  <si>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</si>
  <si>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</si>
  <si>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</si>
  <si>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</si>
  <si>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</si>
  <si>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</si>
  <si>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</si>
  <si>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</si>
  <si>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</si>
  <si>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</si>
  <si>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</si>
  <si>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</si>
  <si>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</si>
  <si>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</si>
  <si>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</si>
  <si>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</si>
  <si>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</si>
  <si>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</si>
  <si>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</si>
  <si>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</si>
  <si>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</si>
  <si>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</si>
  <si>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</si>
  <si>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</si>
  <si>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</si>
  <si>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</si>
  <si>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</si>
  <si>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</si>
  <si>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</si>
  <si>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</si>
  <si>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</si>
  <si>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</si>
  <si>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</si>
  <si>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</si>
  <si>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</si>
  <si>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</si>
  <si>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</si>
  <si>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</si>
  <si>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</si>
  <si>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</si>
  <si>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</si>
  <si>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</si>
  <si>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</si>
  <si>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</si>
  <si>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</si>
  <si>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</si>
  <si>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</si>
  <si>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</si>
  <si>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</si>
  <si>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</si>
  <si>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</si>
  <si>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</si>
  <si>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</si>
  <si>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</si>
  <si>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</si>
  <si>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</si>
  <si>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</si>
  <si>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</si>
  <si>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</si>
  <si>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</si>
  <si>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</si>
  <si>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</si>
  <si>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</si>
  <si>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</si>
  <si>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</si>
  <si>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</si>
  <si>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</si>
  <si>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</si>
  <si>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</si>
  <si>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</si>
  <si>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</si>
  <si>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</si>
  <si>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</si>
  <si>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</si>
  <si>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</si>
  <si>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</si>
  <si>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</si>
  <si>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</si>
  <si>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</si>
  <si>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</si>
  <si>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</si>
  <si>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</si>
  <si>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</si>
  <si>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</si>
  <si>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</si>
  <si>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</si>
  <si>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</si>
  <si>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</si>
  <si>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</si>
  <si>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</si>
  <si>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</si>
  <si>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</si>
  <si>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</si>
  <si>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</si>
  <si>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</si>
  <si>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</si>
  <si>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</si>
  <si>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</si>
  <si>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</si>
  <si>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</si>
  <si>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</si>
  <si>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</si>
  <si>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</si>
  <si>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</si>
  <si>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</si>
  <si>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</si>
  <si>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</si>
  <si>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</si>
  <si>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</si>
  <si>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</si>
  <si>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</si>
  <si>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</si>
  <si>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</si>
  <si>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</si>
  <si>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</si>
  <si>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</si>
  <si>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</si>
  <si>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</si>
  <si>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</si>
  <si>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</si>
  <si>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</si>
  <si>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</si>
  <si>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</si>
  <si>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</si>
  <si>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</si>
  <si>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</si>
  <si>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</si>
  <si>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</si>
  <si>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</si>
  <si>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</si>
  <si>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</si>
  <si>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</si>
  <si>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</si>
  <si>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</si>
  <si>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</si>
  <si>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</si>
  <si>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</si>
  <si>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</si>
  <si>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</si>
  <si>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</si>
  <si>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</si>
  <si>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</si>
  <si>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</si>
  <si>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</si>
  <si>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</si>
  <si>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</si>
  <si>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</si>
  <si>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</si>
  <si>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</si>
  <si>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</si>
  <si>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</si>
  <si>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</si>
  <si>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</si>
  <si>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</si>
  <si>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</si>
  <si>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</si>
  <si>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</si>
  <si>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</si>
  <si>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</si>
  <si>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</si>
  <si>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</si>
  <si>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</si>
  <si>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</si>
  <si>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</si>
  <si>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</si>
  <si>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</si>
  <si>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</si>
  <si>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</si>
  <si>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</si>
  <si>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</si>
  <si>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</si>
  <si>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</si>
  <si>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</si>
  <si>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</si>
  <si>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</si>
  <si>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</si>
  <si>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</si>
  <si>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</si>
  <si>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</si>
  <si>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</si>
  <si>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</si>
  <si>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</si>
  <si>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</si>
  <si>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</si>
  <si>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</si>
  <si>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</si>
  <si>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</si>
  <si>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</si>
  <si>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</si>
  <si>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</si>
  <si>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</si>
  <si>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</si>
  <si>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</si>
  <si>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</si>
  <si>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</si>
  <si>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</si>
  <si>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</si>
  <si>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</si>
  <si>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</si>
  <si>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</si>
  <si>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</si>
  <si>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</si>
  <si>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</si>
  <si>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</si>
  <si>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</si>
  <si>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</si>
  <si>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</si>
  <si>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</si>
  <si>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</si>
  <si>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</si>
  <si>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</si>
  <si>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</si>
  <si>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</si>
  <si>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</si>
  <si>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</si>
  <si>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</si>
  <si>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</si>
  <si>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</si>
  <si>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</si>
  <si>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</si>
  <si>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</si>
  <si>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</si>
  <si>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</si>
  <si>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</si>
  <si>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</si>
  <si>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</si>
  <si>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</si>
  <si>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</si>
  <si>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</si>
  <si>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</si>
  <si>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</si>
  <si>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</si>
  <si>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</si>
  <si>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</si>
  <si>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</si>
  <si>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</si>
  <si>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</si>
  <si>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</si>
  <si>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</si>
  <si>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</si>
  <si>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</si>
  <si>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</si>
  <si>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</si>
  <si>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</si>
  <si>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</si>
  <si>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</si>
  <si>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</si>
  <si>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</si>
  <si>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</si>
  <si>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</si>
  <si>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</si>
  <si>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</si>
  <si>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</si>
  <si>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</si>
  <si>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</si>
  <si>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</si>
  <si>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</si>
  <si>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</si>
  <si>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</si>
  <si>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</si>
  <si>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</si>
  <si>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</si>
  <si>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</si>
  <si>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</si>
  <si>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</si>
  <si>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</si>
  <si>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</si>
  <si>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</si>
  <si>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</si>
  <si>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</si>
  <si>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</si>
  <si>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</si>
  <si>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</si>
  <si>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</si>
  <si>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</si>
  <si>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</si>
  <si>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</si>
  <si>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</si>
  <si>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</si>
  <si>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</si>
  <si>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</si>
  <si>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</si>
  <si>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</si>
  <si>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</si>
  <si>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</si>
  <si>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</si>
  <si>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</si>
  <si>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</si>
  <si>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</si>
  <si>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</si>
  <si>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</si>
  <si>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</si>
  <si>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</si>
  <si>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</si>
  <si>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</si>
  <si>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</si>
  <si>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</si>
  <si>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</si>
  <si>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</si>
  <si>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</si>
  <si>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</si>
  <si>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</si>
  <si>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</si>
  <si>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</si>
  <si>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</si>
  <si>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</si>
  <si>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</si>
  <si>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</si>
  <si>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</si>
  <si>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</si>
  <si>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</si>
  <si>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</si>
  <si>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</si>
  <si>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</si>
  <si>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</si>
  <si>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</si>
  <si>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</si>
  <si>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</si>
  <si>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</si>
  <si>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</si>
  <si>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</si>
  <si>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</si>
  <si>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</si>
  <si>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</si>
  <si>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</si>
  <si>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</si>
  <si>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</si>
  <si>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</si>
  <si>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</si>
  <si>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</si>
  <si>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</si>
  <si>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</si>
  <si>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</si>
  <si>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</si>
  <si>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</si>
  <si>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</si>
  <si>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</si>
  <si>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</si>
  <si>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</si>
  <si>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</si>
  <si>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</si>
  <si>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</si>
  <si>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</si>
  <si>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</si>
  <si>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</si>
  <si>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</si>
  <si>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</si>
  <si>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</si>
  <si>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</si>
  <si>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</si>
  <si>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</si>
  <si>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</si>
  <si>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</si>
  <si>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</si>
  <si>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</si>
  <si>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</si>
  <si>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</si>
  <si>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</si>
  <si>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</si>
  <si>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</si>
  <si>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</si>
  <si>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</si>
  <si>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</si>
  <si>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</si>
  <si>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</si>
  <si>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</si>
  <si>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</si>
  <si>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</si>
  <si>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</si>
  <si>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</si>
  <si>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</si>
  <si>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</si>
  <si>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</si>
  <si>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</si>
  <si>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</si>
  <si>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</si>
  <si>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</si>
  <si>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</si>
  <si>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</si>
  <si>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</si>
  <si>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</si>
  <si>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</si>
  <si>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</si>
  <si>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</si>
  <si>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</si>
  <si>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</si>
  <si>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</si>
  <si>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</si>
  <si>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</si>
  <si>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</si>
  <si>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</si>
  <si>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</si>
  <si>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</si>
  <si>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</si>
  <si>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</si>
  <si>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</si>
  <si>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</si>
  <si>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</si>
  <si>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</si>
  <si>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</si>
  <si>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</si>
  <si>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</si>
  <si>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</si>
  <si>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</si>
  <si>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</si>
  <si>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</si>
  <si>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</si>
  <si>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</si>
  <si>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</si>
  <si>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</si>
  <si>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</si>
  <si>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</si>
  <si>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</si>
  <si>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</si>
  <si>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</si>
  <si>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</si>
  <si>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</si>
  <si>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</si>
  <si>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</si>
  <si>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</si>
  <si>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</si>
  <si>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</si>
  <si>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</si>
  <si>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</si>
  <si>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</si>
  <si>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</si>
  <si>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</si>
  <si>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</si>
  <si>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</si>
  <si>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</si>
  <si>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</si>
  <si>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</si>
  <si>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</si>
  <si>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</si>
  <si>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</si>
  <si>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</si>
  <si>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</si>
  <si>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</si>
  <si>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</si>
  <si>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</si>
  <si>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</si>
  <si>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</si>
  <si>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</si>
  <si>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</si>
  <si>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</si>
  <si>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</si>
  <si>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</si>
  <si>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</si>
  <si>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</si>
  <si>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</si>
  <si>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</si>
  <si>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</si>
  <si>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</si>
  <si>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</si>
  <si>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</si>
  <si>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</si>
  <si>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</si>
  <si>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</si>
  <si>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</si>
  <si>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</si>
  <si>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</si>
  <si>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</si>
  <si>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</si>
  <si>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</si>
  <si>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</si>
  <si>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</si>
  <si>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</si>
  <si>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</si>
  <si>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</si>
  <si>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</si>
  <si>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</si>
  <si>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</si>
  <si>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</si>
  <si>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</si>
  <si>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</si>
  <si>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</si>
  <si>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</si>
  <si>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</si>
  <si>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</si>
  <si>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</si>
  <si>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</si>
  <si>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</si>
  <si>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</si>
  <si>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</si>
  <si>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</si>
  <si>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</si>
  <si>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</si>
  <si>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</si>
  <si>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</si>
  <si>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</si>
  <si>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</si>
  <si>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</si>
  <si>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</si>
  <si>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</si>
  <si>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</si>
  <si>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</si>
  <si>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</si>
  <si>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</si>
  <si>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</si>
  <si>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</si>
  <si>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</si>
  <si>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</si>
  <si>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</si>
  <si>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</si>
  <si>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</si>
  <si>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</si>
  <si>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</si>
  <si>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</si>
  <si>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</si>
  <si>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</si>
  <si>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</si>
  <si>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</si>
  <si>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</si>
  <si>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</si>
  <si>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</si>
  <si>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</si>
  <si>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</si>
  <si>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</si>
  <si>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</si>
  <si>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</si>
  <si>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</si>
  <si>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</si>
  <si>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</si>
  <si>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</si>
  <si>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</si>
  <si>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</si>
  <si>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</si>
  <si>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</si>
  <si>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</si>
  <si>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</si>
  <si>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</si>
  <si>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</si>
  <si>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</si>
  <si>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</si>
  <si>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</si>
  <si>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</si>
  <si>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</si>
  <si>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</si>
  <si>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</si>
  <si>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</si>
  <si>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</si>
  <si>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</si>
  <si>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</si>
  <si>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</si>
  <si>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</si>
  <si>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</si>
  <si>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</si>
  <si>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</si>
  <si>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</si>
  <si>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</si>
  <si>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</si>
  <si>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</si>
  <si>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</si>
  <si>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</si>
  <si>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</si>
  <si>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</si>
  <si>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</si>
  <si>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</si>
  <si>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</si>
  <si>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</si>
  <si>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</si>
  <si>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</si>
  <si>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</si>
  <si>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</si>
  <si>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</si>
  <si>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</si>
  <si>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</si>
  <si>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</si>
  <si>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</si>
  <si>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</si>
  <si>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</si>
  <si>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</si>
  <si>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</si>
  <si>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</si>
  <si>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</si>
  <si>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</si>
  <si>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</si>
  <si>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</si>
  <si>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</si>
  <si>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</si>
  <si>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</si>
  <si>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</si>
  <si>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</si>
  <si>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</si>
  <si>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</si>
  <si>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</si>
  <si>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</si>
  <si>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</si>
  <si>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</si>
  <si>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</si>
  <si>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</si>
  <si>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</si>
  <si>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</si>
  <si>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</si>
  <si>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</si>
  <si>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</si>
  <si>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</si>
  <si>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</si>
  <si>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</si>
  <si>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</si>
  <si>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</si>
  <si>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</si>
  <si>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</si>
  <si>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</si>
  <si>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</si>
  <si>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</si>
  <si>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</si>
  <si>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</si>
  <si>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</si>
  <si>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</si>
  <si>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</si>
  <si>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</si>
  <si>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</si>
  <si>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</si>
  <si>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</si>
  <si>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</si>
  <si>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</si>
  <si>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</si>
  <si>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</si>
  <si>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</si>
  <si>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</si>
  <si>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</si>
  <si>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</si>
  <si>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</si>
  <si>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</si>
  <si>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</si>
  <si>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</si>
  <si>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</si>
  <si>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</si>
  <si>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</si>
  <si>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</si>
  <si>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</si>
  <si>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</si>
  <si>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</si>
  <si>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</si>
  <si>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</si>
  <si>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</si>
  <si>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</si>
  <si>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</si>
  <si>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</si>
  <si>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</si>
  <si>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</si>
  <si>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</si>
  <si>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</si>
  <si>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</si>
  <si>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</si>
  <si>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</si>
  <si>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</si>
  <si>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</si>
  <si>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</si>
  <si>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</si>
  <si>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</si>
  <si>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</si>
  <si>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</si>
  <si>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</si>
  <si>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</si>
  <si>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</si>
  <si>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</si>
  <si>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</si>
  <si>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</si>
  <si>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</si>
  <si>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</si>
  <si>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</si>
  <si>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</si>
  <si>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</si>
  <si>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</si>
  <si>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</si>
  <si>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</si>
  <si>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</si>
  <si>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</si>
  <si>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</si>
  <si>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</si>
  <si>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</si>
  <si>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</si>
  <si>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</si>
  <si>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</si>
  <si>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</si>
  <si>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</si>
  <si>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</si>
  <si>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</si>
  <si>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</si>
  <si>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</si>
  <si>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</si>
  <si>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</si>
  <si>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</si>
  <si>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</si>
  <si>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</si>
  <si>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</si>
  <si>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</si>
  <si>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</si>
  <si>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</si>
  <si>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</si>
  <si>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</si>
  <si>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</si>
  <si>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</si>
  <si>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</si>
  <si>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</si>
  <si>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</si>
  <si>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</si>
  <si>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</si>
  <si>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</si>
  <si>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</si>
  <si>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</si>
  <si>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</si>
  <si>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</si>
  <si>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</si>
  <si>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</si>
  <si>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</si>
  <si>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</si>
  <si>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</si>
  <si>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</si>
  <si>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</si>
  <si>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</si>
  <si>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</si>
  <si>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</si>
  <si>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</si>
  <si>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</si>
  <si>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</si>
  <si>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</si>
  <si>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</si>
  <si>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</si>
  <si>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</si>
  <si>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</si>
  <si>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</si>
  <si>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</si>
  <si>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</si>
  <si>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</si>
  <si>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</si>
  <si>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</si>
  <si>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</si>
  <si>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</si>
  <si>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</si>
  <si>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</si>
  <si>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</si>
  <si>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</si>
  <si>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</si>
  <si>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</si>
  <si>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</si>
  <si>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</si>
  <si>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</si>
  <si>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</si>
  <si>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</si>
  <si>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</si>
  <si>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</si>
  <si>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</si>
  <si>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</si>
  <si>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</si>
  <si>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</si>
  <si>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</si>
  <si>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</si>
  <si>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</si>
  <si>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</si>
  <si>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</si>
  <si>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</si>
  <si>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</si>
  <si>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</si>
  <si>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</si>
  <si>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</si>
  <si>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</si>
  <si>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</si>
  <si>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</si>
  <si>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</si>
  <si>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</si>
  <si>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</si>
  <si>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</si>
  <si>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</si>
  <si>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</si>
  <si>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</si>
  <si>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</si>
  <si>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</si>
  <si>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</si>
  <si>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</si>
  <si>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</si>
  <si>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</si>
  <si>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</si>
  <si>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</si>
  <si>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</si>
  <si>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</si>
  <si>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</si>
  <si>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</si>
  <si>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</si>
  <si>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</si>
  <si>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</si>
  <si>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</si>
  <si>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</si>
  <si>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</si>
  <si>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</si>
  <si>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</si>
  <si>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</si>
  <si>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</si>
  <si>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</si>
  <si>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</si>
  <si>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</si>
  <si>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</si>
  <si>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</si>
  <si>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</si>
  <si>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</si>
  <si>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</si>
  <si>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</si>
  <si>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</si>
  <si>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</si>
  <si>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</si>
  <si>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</si>
  <si>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</si>
  <si>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</si>
  <si>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</si>
  <si>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</si>
  <si>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</si>
  <si>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</si>
  <si>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</si>
  <si>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</si>
  <si>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</si>
  <si>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</si>
  <si>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</si>
  <si>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</si>
  <si>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</si>
  <si>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</si>
  <si>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</si>
  <si>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</si>
  <si>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</si>
  <si>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</si>
  <si>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</si>
  <si>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</si>
  <si>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</si>
  <si>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</si>
  <si>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</si>
  <si>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</si>
  <si>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</si>
  <si>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</si>
  <si>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</si>
  <si>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</si>
  <si>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</si>
  <si>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</si>
  <si>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</si>
  <si>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</si>
  <si>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</si>
  <si>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</si>
  <si>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</si>
  <si>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</si>
  <si>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</si>
  <si>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</si>
  <si>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</si>
  <si>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</si>
  <si>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</si>
  <si>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</si>
  <si>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</si>
  <si>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</si>
  <si>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</si>
  <si>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</si>
  <si>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</si>
  <si>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</si>
  <si>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</si>
  <si>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</si>
  <si>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</si>
  <si>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</si>
  <si>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</si>
  <si>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</si>
  <si>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</si>
  <si>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</si>
  <si>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</si>
  <si>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</si>
  <si>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</si>
  <si>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</si>
  <si>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</si>
  <si>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</si>
  <si>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</si>
  <si>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</si>
  <si>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</si>
  <si>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</si>
  <si>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</si>
  <si>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</si>
  <si>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</si>
  <si>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</si>
  <si>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</si>
  <si>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</si>
  <si>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</si>
  <si>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</si>
  <si>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</si>
  <si>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</si>
  <si>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</si>
  <si>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</si>
  <si>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</si>
  <si>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</si>
  <si>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</si>
  <si>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</si>
  <si>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</si>
  <si>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</si>
  <si>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</si>
  <si>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</si>
  <si>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</si>
  <si>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</si>
  <si>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</si>
  <si>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</si>
  <si>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</si>
  <si>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</si>
  <si>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</si>
  <si>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</si>
  <si>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</si>
  <si>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</si>
  <si>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</si>
  <si>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</si>
  <si>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</si>
  <si>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</si>
  <si>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</si>
  <si>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</si>
  <si>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</si>
  <si>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</si>
  <si>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</si>
  <si>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</si>
  <si>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</si>
  <si>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</si>
  <si>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</si>
  <si>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</si>
  <si>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</si>
  <si>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</si>
  <si>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</si>
  <si>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</si>
  <si>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</si>
  <si>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</si>
  <si>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</si>
  <si>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</si>
  <si>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</si>
  <si>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</si>
  <si>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</si>
  <si>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</si>
  <si>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</si>
  <si>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</si>
  <si>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</si>
  <si>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</si>
  <si>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</si>
  <si>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</si>
  <si>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</si>
  <si>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</si>
  <si>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</si>
  <si>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</si>
  <si>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</si>
  <si>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</si>
  <si>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</si>
  <si>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</si>
  <si>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</si>
  <si>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</si>
  <si>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</si>
  <si>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</si>
  <si>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</si>
  <si>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</si>
  <si>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</si>
  <si>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</si>
  <si>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</si>
  <si>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</si>
  <si>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</si>
  <si>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</si>
  <si>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</si>
  <si>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</si>
  <si>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</si>
  <si>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</si>
  <si>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</si>
  <si>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</si>
  <si>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</si>
  <si>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</si>
  <si>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</si>
  <si>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</si>
  <si>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</si>
  <si>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</si>
  <si>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</si>
  <si>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</si>
  <si>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</si>
  <si>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</si>
  <si>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</si>
  <si>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</si>
  <si>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</si>
  <si>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</si>
  <si>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</si>
  <si>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</si>
  <si>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</si>
  <si>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</si>
  <si>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</si>
  <si>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</si>
  <si>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</si>
  <si>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</si>
  <si>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</si>
  <si>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</si>
  <si>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</si>
  <si>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</si>
  <si>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</si>
  <si>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</si>
  <si>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</si>
  <si>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</si>
  <si>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</si>
  <si>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</si>
  <si>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</si>
  <si>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</si>
  <si>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</si>
  <si>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</si>
  <si>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</si>
  <si>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</si>
  <si>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</si>
  <si>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</si>
  <si>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</si>
  <si>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</si>
  <si>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</si>
  <si>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</si>
  <si>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</si>
  <si>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</si>
  <si>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</si>
  <si>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</si>
  <si>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</si>
  <si>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</si>
  <si>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</si>
  <si>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</si>
  <si>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</si>
  <si>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</si>
  <si>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</si>
  <si>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</si>
  <si>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</si>
  <si>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</si>
  <si>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</si>
  <si>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</si>
  <si>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</si>
  <si>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</si>
  <si>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</si>
  <si>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</si>
  <si>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</si>
  <si>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</si>
  <si>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</si>
  <si>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</si>
  <si>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</si>
  <si>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</si>
  <si>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</si>
  <si>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</si>
  <si>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</si>
  <si>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</si>
  <si>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</si>
  <si>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</si>
  <si>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</si>
  <si>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</si>
  <si>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</si>
  <si>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</si>
  <si>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</si>
  <si>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</si>
  <si>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</si>
  <si>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</si>
  <si>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</si>
  <si>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</si>
  <si>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</si>
  <si>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</si>
  <si>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</si>
  <si>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</si>
  <si>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</si>
  <si>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</si>
  <si>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</si>
  <si>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</si>
  <si>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</si>
  <si>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</si>
  <si>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</si>
  <si>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</si>
  <si>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</si>
  <si>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</si>
  <si>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</si>
  <si>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</si>
  <si>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</si>
  <si>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</si>
  <si>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</si>
  <si>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</si>
  <si>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</si>
  <si>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</si>
  <si>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</si>
  <si>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</si>
  <si>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</si>
  <si>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</si>
  <si>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</si>
  <si>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</si>
  <si>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</si>
  <si>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</si>
  <si>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</si>
  <si>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</si>
  <si>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</si>
  <si>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</si>
  <si>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</si>
  <si>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</si>
  <si>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</si>
  <si>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</si>
  <si>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</si>
  <si>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</si>
  <si>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</si>
  <si>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</si>
  <si>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</si>
  <si>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</si>
  <si>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</si>
  <si>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</si>
  <si>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</si>
  <si>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</si>
  <si>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</si>
  <si>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</si>
  <si>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</si>
  <si>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</si>
  <si>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</si>
  <si>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</si>
  <si>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</si>
  <si>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</si>
  <si>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</si>
  <si>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</si>
  <si>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</si>
  <si>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</si>
  <si>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</si>
  <si>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</si>
  <si>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</si>
  <si>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</si>
  <si>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</si>
  <si>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</si>
  <si>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</si>
  <si>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</si>
  <si>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</si>
  <si>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</si>
  <si>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</si>
  <si>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</si>
  <si>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</si>
  <si>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</si>
  <si>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</si>
  <si>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</si>
  <si>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</si>
  <si>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</si>
  <si>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</si>
  <si>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</si>
  <si>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</si>
  <si>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</si>
  <si>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</si>
  <si>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</si>
  <si>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</si>
  <si>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</si>
  <si>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</si>
  <si>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</si>
  <si>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</si>
  <si>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</si>
  <si>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</si>
  <si>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</si>
  <si>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</si>
  <si>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</si>
  <si>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</si>
  <si>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</si>
  <si>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</si>
  <si>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</si>
  <si>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</si>
  <si>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</si>
  <si>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</si>
  <si>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</si>
  <si>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</si>
  <si>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</si>
  <si>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</si>
  <si>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</si>
  <si>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</si>
  <si>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</si>
  <si>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</si>
  <si>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</si>
  <si>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</si>
  <si>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</si>
  <si>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</si>
  <si>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</si>
  <si>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</si>
  <si>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</si>
  <si>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</si>
  <si>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</si>
  <si>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</si>
  <si>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</si>
  <si>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</si>
  <si>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</si>
  <si>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</si>
  <si>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</si>
  <si>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</si>
  <si>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</si>
  <si>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</si>
  <si>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</si>
  <si>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</si>
  <si>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</si>
  <si>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</si>
  <si>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</si>
  <si>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</si>
  <si>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</si>
  <si>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</si>
  <si>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</si>
  <si>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</si>
  <si>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</si>
  <si>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</si>
  <si>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</si>
  <si>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</si>
  <si>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</si>
  <si>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</si>
  <si>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</si>
  <si>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</si>
  <si>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</si>
  <si>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</si>
  <si>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</si>
  <si>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</si>
  <si>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</si>
  <si>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</si>
  <si>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</si>
  <si>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</si>
  <si>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</si>
  <si>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</si>
  <si>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</si>
  <si>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</si>
  <si>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</si>
  <si>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</si>
  <si>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</si>
  <si>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</si>
  <si>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</si>
  <si>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</si>
  <si>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</si>
  <si>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</si>
  <si>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</si>
  <si>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</si>
  <si>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</si>
  <si>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</si>
  <si>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</si>
  <si>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</si>
  <si>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</si>
  <si>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</si>
  <si>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</si>
  <si>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</si>
  <si>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</si>
  <si>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</si>
  <si>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</si>
  <si>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</si>
  <si>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</si>
  <si>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</si>
  <si>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</si>
  <si>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</si>
  <si>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</si>
  <si>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</si>
  <si>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</si>
  <si>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</si>
  <si>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</si>
  <si>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</si>
  <si>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</si>
  <si>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</si>
  <si>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</si>
  <si>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</si>
  <si>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</si>
  <si>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</si>
  <si>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</si>
  <si>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</si>
  <si>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</si>
  <si>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</si>
  <si>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</si>
  <si>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</si>
  <si>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</si>
  <si>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</si>
  <si>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</si>
  <si>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</si>
  <si>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</si>
  <si>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</si>
  <si>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</si>
  <si>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</si>
  <si>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</si>
  <si>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</si>
  <si>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</si>
  <si>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</si>
  <si>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</si>
  <si>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</si>
  <si>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</si>
  <si>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</si>
  <si>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</si>
  <si>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</si>
  <si>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</si>
  <si>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</si>
  <si>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</si>
  <si>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</si>
  <si>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</si>
  <si>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</si>
  <si>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</si>
  <si>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</si>
  <si>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</si>
  <si>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</si>
  <si>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</si>
  <si>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</si>
  <si>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</si>
  <si>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</si>
  <si>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</si>
  <si>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</si>
  <si>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</si>
  <si>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</si>
  <si>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</si>
  <si>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</si>
  <si>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</si>
  <si>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</si>
  <si>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</si>
  <si>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</si>
  <si>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</si>
  <si>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</si>
  <si>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</si>
  <si>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</si>
  <si>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</si>
  <si>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</si>
  <si>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</si>
  <si>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</si>
  <si>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</si>
  <si>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</si>
  <si>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</si>
  <si>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</si>
  <si>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</si>
  <si>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</si>
  <si>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</si>
  <si>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</si>
  <si>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</si>
  <si>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</si>
  <si>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</si>
  <si>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</si>
  <si>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</si>
  <si>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</si>
  <si>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</si>
  <si>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</si>
  <si>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</si>
  <si>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</si>
  <si>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</si>
  <si>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</si>
  <si>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</si>
  <si>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</si>
  <si>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</si>
  <si>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</si>
  <si>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</si>
  <si>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</si>
  <si>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</si>
  <si>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</si>
  <si>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</si>
  <si>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</si>
  <si>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</si>
  <si>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</si>
  <si>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</si>
  <si>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</si>
  <si>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</si>
  <si>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</si>
  <si>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</si>
  <si>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</si>
  <si>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</si>
  <si>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</si>
  <si>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</si>
  <si>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</si>
  <si>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</si>
  <si>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</si>
  <si>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</si>
  <si>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</si>
  <si>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</si>
  <si>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</si>
  <si>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</si>
  <si>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</si>
  <si>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</si>
  <si>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</si>
  <si>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</si>
  <si>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</si>
  <si>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</si>
  <si>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</si>
  <si>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</si>
  <si>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</si>
  <si>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</si>
  <si>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</si>
  <si>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</si>
  <si>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</si>
  <si>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</si>
  <si>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</si>
  <si>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</si>
  <si>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</si>
  <si>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</si>
  <si>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</si>
  <si>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</si>
  <si>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</si>
  <si>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</si>
  <si>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</si>
  <si>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</si>
  <si>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</si>
  <si>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</si>
  <si>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</si>
  <si>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</si>
  <si>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</si>
  <si>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</si>
  <si>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</si>
  <si>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</si>
  <si>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</si>
  <si>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</si>
  <si>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</si>
  <si>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</si>
  <si>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</si>
  <si>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</si>
  <si>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</si>
  <si>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</si>
  <si>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</si>
  <si>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</si>
  <si>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</si>
  <si>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</si>
  <si>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</si>
  <si>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</si>
  <si>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</si>
  <si>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</si>
  <si>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</si>
  <si>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</si>
  <si>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</si>
  <si>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</si>
  <si>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</si>
  <si>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</si>
  <si>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</si>
  <si>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</si>
  <si>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</si>
  <si>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</si>
  <si>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</si>
  <si>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</si>
  <si>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</si>
  <si>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</si>
  <si>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</si>
  <si>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</si>
  <si>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</si>
  <si>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</si>
  <si>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</si>
  <si>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</si>
  <si>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</si>
  <si>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</si>
  <si>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</si>
  <si>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</si>
  <si>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</si>
  <si>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</si>
  <si>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</si>
  <si>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</si>
  <si>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</si>
  <si>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</si>
  <si>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</si>
  <si>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</si>
  <si>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</si>
  <si>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</si>
  <si>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</si>
  <si>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</si>
  <si>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</si>
  <si>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</si>
  <si>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</si>
  <si>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</si>
  <si>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</si>
  <si>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</si>
  <si>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</si>
  <si>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</si>
  <si>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</si>
  <si>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</si>
  <si>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</si>
  <si>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</si>
  <si>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</si>
  <si>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</si>
  <si>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</si>
  <si>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</si>
  <si>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</si>
  <si>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</si>
  <si>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</si>
  <si>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</si>
  <si>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</si>
  <si>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</si>
  <si>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</si>
  <si>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</si>
  <si>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</si>
  <si>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</si>
  <si>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</si>
  <si>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</si>
  <si>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</si>
  <si>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</si>
  <si>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</si>
  <si>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</si>
  <si>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</si>
  <si>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</si>
  <si>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</si>
  <si>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</si>
  <si>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</si>
  <si>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</si>
  <si>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</si>
  <si>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</si>
  <si>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</si>
  <si>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</si>
  <si>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</si>
  <si>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</si>
  <si>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</si>
  <si>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</si>
  <si>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</si>
  <si>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</si>
  <si>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</si>
  <si>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</si>
  <si>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</si>
  <si>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</si>
  <si>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</si>
  <si>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</si>
  <si>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</si>
  <si>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</si>
  <si>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</si>
  <si>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</si>
  <si>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</si>
  <si>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</si>
  <si>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</si>
  <si>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</si>
  <si>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</si>
  <si>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</si>
  <si>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</si>
  <si>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</si>
  <si>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</si>
  <si>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</si>
  <si>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</si>
  <si>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</si>
  <si>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</si>
  <si>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</si>
  <si>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</si>
  <si>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</si>
  <si>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</si>
  <si>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</si>
  <si>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</si>
  <si>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</si>
  <si>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</si>
  <si>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</si>
  <si>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</si>
  <si>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</si>
  <si>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</si>
  <si>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</si>
  <si>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</si>
  <si>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</si>
  <si>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</si>
  <si>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</si>
  <si>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</si>
  <si>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</si>
  <si>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</si>
  <si>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</si>
  <si>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</si>
  <si>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</si>
  <si>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</si>
  <si>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</si>
  <si>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</si>
  <si>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</si>
  <si>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</si>
  <si>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</si>
  <si>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</si>
  <si>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</si>
  <si>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</si>
  <si>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</si>
  <si>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</si>
  <si>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</si>
  <si>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</si>
  <si>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</si>
  <si>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</si>
  <si>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</si>
  <si>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</si>
  <si>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</si>
  <si>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</si>
  <si>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</si>
  <si>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</si>
  <si>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</si>
  <si>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</si>
  <si>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</si>
  <si>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</si>
  <si>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</si>
  <si>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</si>
  <si>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</si>
  <si>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</si>
  <si>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</si>
  <si>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</si>
  <si>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</si>
  <si>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</si>
  <si>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</si>
  <si>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</si>
  <si>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</si>
  <si>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</si>
  <si>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</si>
  <si>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</si>
  <si>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</si>
  <si>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</si>
  <si>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</si>
  <si>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</si>
  <si>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</si>
  <si>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</si>
  <si>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</si>
  <si>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</si>
  <si>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</si>
  <si>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</si>
  <si>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</si>
  <si>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</si>
  <si>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</si>
  <si>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</si>
  <si>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</si>
  <si>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</si>
  <si>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</si>
  <si>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</si>
  <si>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</si>
  <si>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</si>
  <si>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</si>
  <si>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</si>
  <si>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</si>
  <si>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</si>
  <si>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</si>
  <si>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</si>
  <si>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</si>
  <si>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</si>
  <si>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</si>
  <si>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</si>
  <si>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</si>
  <si>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</si>
  <si>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</si>
  <si>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</si>
  <si>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</si>
  <si>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</si>
  <si>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</si>
  <si>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</si>
  <si>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</si>
  <si>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</si>
  <si>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</si>
  <si>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</si>
  <si>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</si>
  <si>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</si>
  <si>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</si>
  <si>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</si>
  <si>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</si>
  <si>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</si>
  <si>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</si>
  <si>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</si>
  <si>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</si>
  <si>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</si>
  <si>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</si>
  <si>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</si>
  <si>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</si>
  <si>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</si>
  <si>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</si>
  <si>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</si>
  <si>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</si>
  <si>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</si>
  <si>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</si>
  <si>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</si>
  <si>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</si>
  <si>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</si>
  <si>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</si>
  <si>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</si>
  <si>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</si>
  <si>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</si>
  <si>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</si>
  <si>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</si>
  <si>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</si>
  <si>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</si>
  <si>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</si>
  <si>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</si>
  <si>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</si>
  <si>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</si>
  <si>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</si>
  <si>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</si>
  <si>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</si>
  <si>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</si>
  <si>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</si>
  <si>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</si>
  <si>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</si>
  <si>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</si>
  <si>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</si>
  <si>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</si>
  <si>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</si>
  <si>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</si>
  <si>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</si>
  <si>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</si>
  <si>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</si>
  <si>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</si>
  <si>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</si>
  <si>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</si>
  <si>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</si>
  <si>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</si>
  <si>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</si>
  <si>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</si>
  <si>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</si>
  <si>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</si>
  <si>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</si>
  <si>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</si>
  <si>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</si>
  <si>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</si>
  <si>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</si>
  <si>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</si>
  <si>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</si>
  <si>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</si>
  <si>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</si>
  <si>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</si>
  <si>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</si>
  <si>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</si>
  <si>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</si>
  <si>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</si>
  <si>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</si>
  <si>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</si>
  <si>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</si>
  <si>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</si>
  <si>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</si>
  <si>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</si>
  <si>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</si>
  <si>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</si>
  <si>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</si>
  <si>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</si>
  <si>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</si>
  <si>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</si>
  <si>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</si>
  <si>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</si>
  <si>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</si>
  <si>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</si>
  <si>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</si>
  <si>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</si>
  <si>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</si>
  <si>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</si>
  <si>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</si>
  <si>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</si>
  <si>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</si>
  <si>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</si>
  <si>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</si>
  <si>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</si>
  <si>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</si>
  <si>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</si>
  <si>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</si>
  <si>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</si>
  <si>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</si>
  <si>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</si>
  <si>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</si>
  <si>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</si>
  <si>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</si>
  <si>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</si>
  <si>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</si>
  <si>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</si>
  <si>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</si>
  <si>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</si>
  <si>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</si>
  <si>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</si>
  <si>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</si>
  <si>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</si>
  <si>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</si>
  <si>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</si>
  <si>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</si>
  <si>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</si>
  <si>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</si>
  <si>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</si>
  <si>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</si>
  <si>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</si>
  <si>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</si>
  <si>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</si>
  <si>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</si>
  <si>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</si>
  <si>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</si>
  <si>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</si>
  <si>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</si>
  <si>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</si>
  <si>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</si>
  <si>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</si>
  <si>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</si>
  <si>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</si>
  <si>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</si>
  <si>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</si>
  <si>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</si>
  <si>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</si>
  <si>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</si>
  <si>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</si>
  <si>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</si>
  <si>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</si>
  <si>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</si>
  <si>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</si>
  <si>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</si>
  <si>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</si>
  <si>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</si>
  <si>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</si>
  <si>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</si>
  <si>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</si>
  <si>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</si>
  <si>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</si>
  <si>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</si>
  <si>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</si>
  <si>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</si>
  <si>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</si>
  <si>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</si>
  <si>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</si>
  <si>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</si>
  <si>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</si>
  <si>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</si>
  <si>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</si>
  <si>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</si>
  <si>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</si>
  <si>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</si>
  <si>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</si>
  <si>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</si>
  <si>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</si>
  <si>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</si>
  <si>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</si>
  <si>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</si>
  <si>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</si>
  <si>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</si>
  <si>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</si>
  <si>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</si>
  <si>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</si>
  <si>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</si>
  <si>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</si>
  <si>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</si>
  <si>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</si>
  <si>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</si>
  <si>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</si>
  <si>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</si>
  <si>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</si>
  <si>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</si>
  <si>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</si>
  <si>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</si>
  <si>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</si>
  <si>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</si>
  <si>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</si>
  <si>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</si>
  <si>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</si>
  <si>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</si>
  <si>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</si>
  <si>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</si>
  <si>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</si>
  <si>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</si>
  <si>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</si>
  <si>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</si>
  <si>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</si>
  <si>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</si>
  <si>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</si>
  <si>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</si>
  <si>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</si>
  <si>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</si>
  <si>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</si>
  <si>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</si>
  <si>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</si>
  <si>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</si>
  <si>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</si>
  <si>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</si>
  <si>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</si>
  <si>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</si>
  <si>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</si>
  <si>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</si>
  <si>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</si>
  <si>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</si>
  <si>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</si>
  <si>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</si>
  <si>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</si>
  <si>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</si>
  <si>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</si>
  <si>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</si>
  <si>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</si>
  <si>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</si>
  <si>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</si>
  <si>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</si>
  <si>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</si>
  <si>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</si>
  <si>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</si>
  <si>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</si>
  <si>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</si>
  <si>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</si>
  <si>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</si>
  <si>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</si>
  <si>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</si>
  <si>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</si>
  <si>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</si>
  <si>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</si>
  <si>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</si>
  <si>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</si>
  <si>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</si>
  <si>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</si>
  <si>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</si>
  <si>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</si>
  <si>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</si>
  <si>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</si>
  <si>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</si>
  <si>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</si>
  <si>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</si>
  <si>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</si>
  <si>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</si>
  <si>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</si>
  <si>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</si>
  <si>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</si>
  <si>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</si>
  <si>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</si>
  <si>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</si>
  <si>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</si>
  <si>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</si>
  <si>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</si>
  <si>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</si>
  <si>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</si>
  <si>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</si>
  <si>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</si>
  <si>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</si>
  <si>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</si>
  <si>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</si>
  <si>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</si>
  <si>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</si>
  <si>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</si>
  <si>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</si>
  <si>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</si>
  <si>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</si>
  <si>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</si>
  <si>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</si>
  <si>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</si>
  <si>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</si>
  <si>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</si>
  <si>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</si>
  <si>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</si>
  <si>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</si>
  <si>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</si>
  <si>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</si>
  <si>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</si>
  <si>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</si>
  <si>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</si>
  <si>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</si>
  <si>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</si>
  <si>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</si>
  <si>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</si>
  <si>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</si>
  <si>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</si>
  <si>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</si>
  <si>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</si>
  <si>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</si>
  <si>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</si>
  <si>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</si>
  <si>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</si>
  <si>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</si>
  <si>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</si>
  <si>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</si>
  <si>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</si>
  <si>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</si>
  <si>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</si>
  <si>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</si>
  <si>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</si>
  <si>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</si>
  <si>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</si>
  <si>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</si>
  <si>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</si>
  <si>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</si>
  <si>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</si>
  <si>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</si>
  <si>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</si>
  <si>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</si>
  <si>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</si>
  <si>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</si>
  <si>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</si>
  <si>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</si>
  <si>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</si>
  <si>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</si>
  <si>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</si>
  <si>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</si>
  <si>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</si>
  <si>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</si>
  <si>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</si>
  <si>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</si>
  <si>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</si>
  <si>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</si>
  <si>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</si>
  <si>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</si>
  <si>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</si>
  <si>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</si>
  <si>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</si>
  <si>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</si>
  <si>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</si>
  <si>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</si>
  <si>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</si>
  <si>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</si>
  <si>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</si>
  <si>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</si>
  <si>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</si>
  <si>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</si>
  <si>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</si>
  <si>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</si>
  <si>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</si>
  <si>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</si>
  <si>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</si>
  <si>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</si>
  <si>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</si>
  <si>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</si>
  <si>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</si>
  <si>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</si>
  <si>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</si>
  <si>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</si>
  <si>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</si>
  <si>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</si>
  <si>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</si>
  <si>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</si>
  <si>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</si>
  <si>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</si>
  <si>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</si>
  <si>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</si>
  <si>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</si>
  <si>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</si>
  <si>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</si>
  <si>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</si>
  <si>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</si>
  <si>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</si>
  <si>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</si>
  <si>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</si>
  <si>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</si>
  <si>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</si>
  <si>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</si>
  <si>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</si>
  <si>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</si>
  <si>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</si>
  <si>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</si>
  <si>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</si>
  <si>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</si>
  <si>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</si>
  <si>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</si>
  <si>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</si>
  <si>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</si>
  <si>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</si>
  <si>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</si>
  <si>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</si>
  <si>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</si>
  <si>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</si>
  <si>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</si>
  <si>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</si>
  <si>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</si>
  <si>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</si>
  <si>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</si>
  <si>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</si>
  <si>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</si>
  <si>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</si>
  <si>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</si>
  <si>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</si>
  <si>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</si>
  <si>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</si>
  <si>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</si>
  <si>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</si>
  <si>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</si>
  <si>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</si>
  <si>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</si>
  <si>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</si>
  <si>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</si>
  <si>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</si>
  <si>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</si>
  <si>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</si>
  <si>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</si>
  <si>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</si>
  <si>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</si>
  <si>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</si>
  <si>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</si>
  <si>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</si>
  <si>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</si>
  <si>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</si>
  <si>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</si>
  <si>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</si>
  <si>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</si>
  <si>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</si>
  <si>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</si>
  <si>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</si>
  <si>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</si>
  <si>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</si>
  <si>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</si>
  <si>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</si>
  <si>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</si>
  <si>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</si>
  <si>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</si>
  <si>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</si>
  <si>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</si>
  <si>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</si>
  <si>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</si>
  <si>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</si>
  <si>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</si>
  <si>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</si>
  <si>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</si>
  <si>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</si>
  <si>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</si>
  <si>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</si>
  <si>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</si>
  <si>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</si>
  <si>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</si>
  <si>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</si>
  <si>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</si>
  <si>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</si>
  <si>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</si>
  <si>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</si>
  <si>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</si>
  <si>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</si>
  <si>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</si>
  <si>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</si>
  <si>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</si>
  <si>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</si>
  <si>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</si>
  <si>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</si>
  <si>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</si>
  <si>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</si>
  <si>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</si>
  <si>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</si>
  <si>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</si>
  <si>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</si>
  <si>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</si>
  <si>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</si>
  <si>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</si>
  <si>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</si>
  <si>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</si>
  <si>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</si>
  <si>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</si>
  <si>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</si>
  <si>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</si>
  <si>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</si>
  <si>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</si>
  <si>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</si>
  <si>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</si>
  <si>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</si>
  <si>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</si>
  <si>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</si>
  <si>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</si>
  <si>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</si>
  <si>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</si>
  <si>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</si>
  <si>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</si>
  <si>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</si>
  <si>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</si>
  <si>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</si>
  <si>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</si>
  <si>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</si>
  <si>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</si>
  <si>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</si>
  <si>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</si>
  <si>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</si>
  <si>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</si>
  <si>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</si>
  <si>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</si>
  <si>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</si>
  <si>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</si>
  <si>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</si>
  <si>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</si>
  <si>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</si>
  <si>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</si>
  <si>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</si>
  <si>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</si>
  <si>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</si>
  <si>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</si>
  <si>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</si>
  <si>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</si>
  <si>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</si>
  <si>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</si>
  <si>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</si>
  <si>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</si>
  <si>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</si>
  <si>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</si>
  <si>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</si>
  <si>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</si>
  <si>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</si>
  <si>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</si>
  <si>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</si>
  <si>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</si>
  <si>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</si>
  <si>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</si>
  <si>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</si>
  <si>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</si>
  <si>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</si>
  <si>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</si>
  <si>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</si>
  <si>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</si>
  <si>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</si>
  <si>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</si>
  <si>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</si>
  <si>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</si>
  <si>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</si>
  <si>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</si>
  <si>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</si>
  <si>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</si>
  <si>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</si>
  <si>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</si>
  <si>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</si>
  <si>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</si>
  <si>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</si>
  <si>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</si>
  <si>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</si>
  <si>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</si>
  <si>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</si>
  <si>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</si>
  <si>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</si>
  <si>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</si>
  <si>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</si>
  <si>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</si>
  <si>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</si>
  <si>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</si>
  <si>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</si>
  <si>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</si>
  <si>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</si>
  <si>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</si>
  <si>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</si>
  <si>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</si>
  <si>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</si>
  <si>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</si>
  <si>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</si>
  <si>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</si>
  <si>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</si>
  <si>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</si>
  <si>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</si>
  <si>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</si>
  <si>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</si>
  <si>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</si>
  <si>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</si>
  <si>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</si>
  <si>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</si>
  <si>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</si>
  <si>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</si>
  <si>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</si>
  <si>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</si>
  <si>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</si>
  <si>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</si>
  <si>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</si>
  <si>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</si>
  <si>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</si>
  <si>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</si>
  <si>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</si>
  <si>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</si>
  <si>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</si>
  <si>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</si>
  <si>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</si>
  <si>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</si>
  <si>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</si>
  <si>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</si>
  <si>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</si>
  <si>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</si>
  <si>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</si>
  <si>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</si>
  <si>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</si>
  <si>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</si>
  <si>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</si>
  <si>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</si>
  <si>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</si>
  <si>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</si>
  <si>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</si>
  <si>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</si>
  <si>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</si>
  <si>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</si>
  <si>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</si>
  <si>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</si>
  <si>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</si>
  <si>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</si>
  <si>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</si>
  <si>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</si>
  <si>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</si>
  <si>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</si>
  <si>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</si>
  <si>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</si>
  <si>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</si>
  <si>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</si>
  <si>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</si>
  <si>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</si>
  <si>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</si>
  <si>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</si>
  <si>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</si>
  <si>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</si>
  <si>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</si>
  <si>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</si>
  <si>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</si>
  <si>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</si>
  <si>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</si>
  <si>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</si>
  <si>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</si>
  <si>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</si>
  <si>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</si>
  <si>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</si>
  <si>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</si>
  <si>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</si>
  <si>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</si>
  <si>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</si>
  <si>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</si>
  <si>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</si>
  <si>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</si>
  <si>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</si>
  <si>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</si>
  <si>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</si>
  <si>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</si>
  <si>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</si>
  <si>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</si>
  <si>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</si>
  <si>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</si>
  <si>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</si>
  <si>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</si>
  <si>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</si>
  <si>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</si>
  <si>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</si>
  <si>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</si>
  <si>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</si>
  <si>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</si>
  <si>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</si>
  <si>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</si>
  <si>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</si>
  <si>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</si>
  <si>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</si>
  <si>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</si>
  <si>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</si>
  <si>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</si>
  <si>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</si>
  <si>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</si>
  <si>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</si>
  <si>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</si>
  <si>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</si>
  <si>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</si>
  <si>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</si>
  <si>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</si>
  <si>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</si>
  <si>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</si>
  <si>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</si>
  <si>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</si>
  <si>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</si>
  <si>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</si>
  <si>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</si>
  <si>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</si>
  <si>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</si>
  <si>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</si>
  <si>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</si>
  <si>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</si>
  <si>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</si>
  <si>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</si>
  <si>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</si>
  <si>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</si>
  <si>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</si>
  <si>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</si>
  <si>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</si>
  <si>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</si>
  <si>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</si>
  <si>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</si>
  <si>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</si>
  <si>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</si>
  <si>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</si>
  <si>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</si>
  <si>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</si>
  <si>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</si>
  <si>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</si>
  <si>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</si>
  <si>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</si>
  <si>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</si>
  <si>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</si>
  <si>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</si>
  <si>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</si>
  <si>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</si>
  <si>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</si>
  <si>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</si>
  <si>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</si>
  <si>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</si>
  <si>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</si>
  <si>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</si>
  <si>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</si>
  <si>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</si>
  <si>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</si>
  <si>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</si>
  <si>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</si>
  <si>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</si>
  <si>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</si>
  <si>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</si>
  <si>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</si>
  <si>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</si>
  <si>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</si>
  <si>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</si>
  <si>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</si>
  <si>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</si>
  <si>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</si>
  <si>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</si>
  <si>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</si>
  <si>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</si>
  <si>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</si>
  <si>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</si>
  <si>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</si>
  <si>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</si>
  <si>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</si>
  <si>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</si>
  <si>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</si>
  <si>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</si>
  <si>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</si>
  <si>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</si>
  <si>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</si>
  <si>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</si>
  <si>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</si>
  <si>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</si>
  <si>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</si>
  <si>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</si>
  <si>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</si>
  <si>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</si>
  <si>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</si>
  <si>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</si>
  <si>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</si>
  <si>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</si>
  <si>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</si>
  <si>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</si>
  <si>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</si>
  <si>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</si>
  <si>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</si>
  <si>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</si>
  <si>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</si>
  <si>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</si>
  <si>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</si>
  <si>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</si>
  <si>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</si>
  <si>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</si>
  <si>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</si>
  <si>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</si>
  <si>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</si>
  <si>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</si>
  <si>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</si>
  <si>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</si>
  <si>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</si>
  <si>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</si>
  <si>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</si>
  <si>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</si>
  <si>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</si>
  <si>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</si>
  <si>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</si>
  <si>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</si>
  <si>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</si>
  <si>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</si>
  <si>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</si>
  <si>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</si>
  <si>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</si>
  <si>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</si>
  <si>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</si>
  <si>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</si>
  <si>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</si>
  <si>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</si>
  <si>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</si>
  <si>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</si>
  <si>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</si>
  <si>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</si>
  <si>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</si>
  <si>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</si>
  <si>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</si>
  <si>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</si>
  <si>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</si>
  <si>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</si>
  <si>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</si>
  <si>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</si>
  <si>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</si>
  <si>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</si>
  <si>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</si>
  <si>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</si>
  <si>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</si>
  <si>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</si>
  <si>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</si>
  <si>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</si>
  <si>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</si>
  <si>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</si>
  <si>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</si>
  <si>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</si>
  <si>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</si>
  <si>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</si>
  <si>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</si>
  <si>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</si>
  <si>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</si>
  <si>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</si>
  <si>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</si>
  <si>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</si>
  <si>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</si>
  <si>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</si>
  <si>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</si>
  <si>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</si>
  <si>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</si>
  <si>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</si>
  <si>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</si>
  <si>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</si>
  <si>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</si>
  <si>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</si>
  <si>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</si>
  <si>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</si>
  <si>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</si>
  <si>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</si>
  <si>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</si>
  <si>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</si>
  <si>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</si>
  <si>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</si>
  <si>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</si>
  <si>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</si>
  <si>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</si>
  <si>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</si>
  <si>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</si>
  <si>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</si>
  <si>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</si>
  <si>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</si>
  <si>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</si>
  <si>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</si>
  <si>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</si>
  <si>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</si>
  <si>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</si>
  <si>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</si>
  <si>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</si>
  <si>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</si>
  <si>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</si>
  <si>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</si>
  <si>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</si>
  <si>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</si>
  <si>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</si>
  <si>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</si>
  <si>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</si>
  <si>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</si>
  <si>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</si>
  <si>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</si>
  <si>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</si>
  <si>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</si>
  <si>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</si>
  <si>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</si>
  <si>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</si>
  <si>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</si>
  <si>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</si>
  <si>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</si>
  <si>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</si>
  <si>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</si>
  <si>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</si>
  <si>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</si>
  <si>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</si>
  <si>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</si>
  <si>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</si>
  <si>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</si>
  <si>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</si>
  <si>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</si>
  <si>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</si>
  <si>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</si>
  <si>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</si>
  <si>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</si>
  <si>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</si>
  <si>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</si>
  <si>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</si>
  <si>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</si>
  <si>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</si>
  <si>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</si>
  <si>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</si>
  <si>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</si>
  <si>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</si>
  <si>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</si>
  <si>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</si>
  <si>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</si>
  <si>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</si>
  <si>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</si>
  <si>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</si>
  <si>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</si>
  <si>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</si>
  <si>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</si>
  <si>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</si>
  <si>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</si>
  <si>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</si>
  <si>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</si>
  <si>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</si>
  <si>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</si>
  <si>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</si>
  <si>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</si>
  <si>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</si>
  <si>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</si>
  <si>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</si>
  <si>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</si>
  <si>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</si>
  <si>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</si>
  <si>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</si>
  <si>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</si>
  <si>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</si>
  <si>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</si>
  <si>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</si>
  <si>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</si>
  <si>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</si>
  <si>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</si>
  <si>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</si>
  <si>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</si>
  <si>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</si>
  <si>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</si>
  <si>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</si>
  <si>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</si>
  <si>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</si>
  <si>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</si>
  <si>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</si>
  <si>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</si>
  <si>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</si>
  <si>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</si>
  <si>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</si>
  <si>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</si>
  <si>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</si>
  <si>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</si>
  <si>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</si>
  <si>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</si>
  <si>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</si>
  <si>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</si>
  <si>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</si>
  <si>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</si>
  <si>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</si>
  <si>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</si>
  <si>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</si>
  <si>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</si>
  <si>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</si>
  <si>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</si>
  <si>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</si>
  <si>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</si>
  <si>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</si>
  <si>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</si>
  <si>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</si>
  <si>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</si>
  <si>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</si>
  <si>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</si>
  <si>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</si>
  <si>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</si>
  <si>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</si>
  <si>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</si>
  <si>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</si>
  <si>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</si>
  <si>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</si>
  <si>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</si>
  <si>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</si>
  <si>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</si>
  <si>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</si>
  <si>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</si>
  <si>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</si>
  <si>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</si>
  <si>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</si>
  <si>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</si>
  <si>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</si>
  <si>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</si>
  <si>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</si>
  <si>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</si>
  <si>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</si>
  <si>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</si>
  <si>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</si>
  <si>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</si>
  <si>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</si>
  <si>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</si>
  <si>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</si>
  <si>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</si>
  <si>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</si>
  <si>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</si>
  <si>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</si>
  <si>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</si>
  <si>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</si>
  <si>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</si>
  <si>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</si>
  <si>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</si>
  <si>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</si>
  <si>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</si>
  <si>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</si>
  <si>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</si>
  <si>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</si>
  <si>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</si>
  <si>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</si>
  <si>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</si>
  <si>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</si>
  <si>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</si>
  <si>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</si>
  <si>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</si>
  <si>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</si>
  <si>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</si>
  <si>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</si>
  <si>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</si>
  <si>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</si>
  <si>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</si>
  <si>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</si>
  <si>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</si>
  <si>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</si>
  <si>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</si>
  <si>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</si>
  <si>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</si>
  <si>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</si>
  <si>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</si>
  <si>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</si>
  <si>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</si>
  <si>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</si>
  <si>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</si>
  <si>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</si>
  <si>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</si>
  <si>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</si>
  <si>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</si>
  <si>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</si>
  <si>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</si>
  <si>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</si>
  <si>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</si>
  <si>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</si>
  <si>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</si>
  <si>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</si>
  <si>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</si>
  <si>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</si>
  <si>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</si>
  <si>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</si>
  <si>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</si>
  <si>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</si>
  <si>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</si>
  <si>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</si>
  <si>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</si>
  <si>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</si>
  <si>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</si>
  <si>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</si>
  <si>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</si>
  <si>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</si>
  <si>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</si>
  <si>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</si>
  <si>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</si>
  <si>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</si>
  <si>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</si>
  <si>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</si>
  <si>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</si>
  <si>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</si>
  <si>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</si>
  <si>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</si>
  <si>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</si>
  <si>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</si>
  <si>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</si>
  <si>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</si>
  <si>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</si>
  <si>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</si>
  <si>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</si>
  <si>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</si>
  <si>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</si>
  <si>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</si>
  <si>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</si>
  <si>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</si>
  <si>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</si>
  <si>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</si>
  <si>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</si>
  <si>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</si>
  <si>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</si>
  <si>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</si>
  <si>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</si>
  <si>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</si>
  <si>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</si>
  <si>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</si>
  <si>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</si>
  <si>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</si>
  <si>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</si>
  <si>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</si>
  <si>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</si>
  <si>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</si>
  <si>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</si>
  <si>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</si>
  <si>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</si>
  <si>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</si>
  <si>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</si>
  <si>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</si>
  <si>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</si>
  <si>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</si>
  <si>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</si>
  <si>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</si>
  <si>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</si>
  <si>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</si>
  <si>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</si>
  <si>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</si>
  <si>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</si>
  <si>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</si>
  <si>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</si>
  <si>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</si>
  <si>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</si>
  <si>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</si>
  <si>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</si>
  <si>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</si>
  <si>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</si>
  <si>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</si>
  <si>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</si>
  <si>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</si>
  <si>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</si>
  <si>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</si>
  <si>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</si>
  <si>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</si>
  <si>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</si>
  <si>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</si>
  <si>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</si>
  <si>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</si>
  <si>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</si>
  <si>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</si>
  <si>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</si>
  <si>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</si>
  <si>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</si>
  <si>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</si>
  <si>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</si>
  <si>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</si>
  <si>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</si>
  <si>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</si>
  <si>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</si>
  <si>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</si>
  <si>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</si>
  <si>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</si>
  <si>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</si>
  <si>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</si>
  <si>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</si>
  <si>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</si>
  <si>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</si>
  <si>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</si>
  <si>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</si>
  <si>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</si>
  <si>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</si>
  <si>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</si>
  <si>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</si>
  <si>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</si>
  <si>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</si>
  <si>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</si>
  <si>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</si>
  <si>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</si>
  <si>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</si>
  <si>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</si>
  <si>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</si>
  <si>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</si>
  <si>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</si>
  <si>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</si>
  <si>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</si>
  <si>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</si>
  <si>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</si>
  <si>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</si>
  <si>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</si>
  <si>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</si>
  <si>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</si>
  <si>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</si>
  <si>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</si>
  <si>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</si>
  <si>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</si>
  <si>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</si>
  <si>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</si>
  <si>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</si>
  <si>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</si>
  <si>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</si>
  <si>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</si>
  <si>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</si>
  <si>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</si>
  <si>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</si>
  <si>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</si>
  <si>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</si>
  <si>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</si>
  <si>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</si>
  <si>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</si>
  <si>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</si>
  <si>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</si>
  <si>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</si>
  <si>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</si>
  <si>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</si>
  <si>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</si>
  <si>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</si>
  <si>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</si>
  <si>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</si>
  <si>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</si>
  <si>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</si>
  <si>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</si>
  <si>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</si>
  <si>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</si>
  <si>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</si>
  <si>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</si>
  <si>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</si>
  <si>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</si>
  <si>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</si>
  <si>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</si>
  <si>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</si>
  <si>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</si>
  <si>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</si>
  <si>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</si>
  <si>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</si>
  <si>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</si>
  <si>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</si>
  <si>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</si>
  <si>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</si>
  <si>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</si>
  <si>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</si>
  <si>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</si>
  <si>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</si>
  <si>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</si>
  <si>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</si>
  <si>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</si>
  <si>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</si>
  <si>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</si>
  <si>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</si>
  <si>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</si>
  <si>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</si>
  <si>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</si>
  <si>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</si>
  <si>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</si>
  <si>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</si>
  <si>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</si>
  <si>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</si>
  <si>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</si>
  <si>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</si>
  <si>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</si>
  <si>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</si>
  <si>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</si>
  <si>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</si>
  <si>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</si>
  <si>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</si>
  <si>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</si>
  <si>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</si>
  <si>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</si>
  <si>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</si>
  <si>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</si>
  <si>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</si>
  <si>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</si>
  <si>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</si>
  <si>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</si>
  <si>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</si>
  <si>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</si>
  <si>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</si>
  <si>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</si>
  <si>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</si>
  <si>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</si>
  <si>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</si>
  <si>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</si>
  <si>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</si>
  <si>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</si>
  <si>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</si>
  <si>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</si>
  <si>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</si>
  <si>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</si>
  <si>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</si>
  <si>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</si>
  <si>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</si>
  <si>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</si>
  <si>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</si>
  <si>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</si>
  <si>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</si>
  <si>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</si>
  <si>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</si>
  <si>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</si>
  <si>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</si>
  <si>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</si>
  <si>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</si>
  <si>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</si>
  <si>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</si>
  <si>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</si>
  <si>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</si>
  <si>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</si>
  <si>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</si>
  <si>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</si>
  <si>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</si>
  <si>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</si>
  <si>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</si>
  <si>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</si>
  <si>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</si>
  <si>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</si>
  <si>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</si>
  <si>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</si>
  <si>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</si>
  <si>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</si>
  <si>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</si>
  <si>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</si>
  <si>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</si>
  <si>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</si>
  <si>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</si>
  <si>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</si>
  <si>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</si>
  <si>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</si>
  <si>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</si>
  <si>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</si>
  <si>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</si>
  <si>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</si>
  <si>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</si>
  <si>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</si>
  <si>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</si>
  <si>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</si>
  <si>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</si>
  <si>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</si>
  <si>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</si>
  <si>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</si>
  <si>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</si>
  <si>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</si>
  <si>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</si>
  <si>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</si>
  <si>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</si>
  <si>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</si>
  <si>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</si>
  <si>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</si>
  <si>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</si>
  <si>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</si>
  <si>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</si>
  <si>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</si>
  <si>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</si>
  <si>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</si>
  <si>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</si>
  <si>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</si>
  <si>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</si>
  <si>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</si>
  <si>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</si>
  <si>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</si>
  <si>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</si>
  <si>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</si>
  <si>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</si>
  <si>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</si>
  <si>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</si>
  <si>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</si>
  <si>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</si>
  <si>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</si>
  <si>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</si>
  <si>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</si>
  <si>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</si>
  <si>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</si>
  <si>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</si>
  <si>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</si>
  <si>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</si>
  <si>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</si>
  <si>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</si>
  <si>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</si>
  <si>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</si>
  <si>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</si>
  <si>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</si>
  <si>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</si>
  <si>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</si>
  <si>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</si>
  <si>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</si>
  <si>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</si>
  <si>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</si>
  <si>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</si>
  <si>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</si>
  <si>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</si>
  <si>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</si>
  <si>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</si>
  <si>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</si>
  <si>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</si>
  <si>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</si>
  <si>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</si>
  <si>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</si>
  <si>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</si>
  <si>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</si>
  <si>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</si>
  <si>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</si>
  <si>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</si>
  <si>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</si>
  <si>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</si>
  <si>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</si>
  <si>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</si>
  <si>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</si>
  <si>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</si>
  <si>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</si>
  <si>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</si>
  <si>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</si>
  <si>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</si>
  <si>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</si>
  <si>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phoneticPr fontId="3"/>
  </si>
  <si>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</si>
  <si>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</si>
  <si>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</si>
  <si>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</si>
  <si>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</si>
  <si>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</si>
  <si>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</si>
  <si>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</si>
  <si>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</si>
  <si>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</si>
  <si>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</si>
  <si>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</si>
  <si>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</si>
  <si>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</si>
  <si>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</si>
  <si>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</si>
  <si>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</si>
  <si>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</si>
  <si>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</si>
  <si>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</si>
  <si>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</si>
  <si>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</si>
  <si>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</si>
  <si>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</si>
  <si>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</si>
  <si>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</si>
  <si>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</si>
  <si>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</si>
  <si>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</si>
  <si>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</si>
  <si>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</si>
  <si>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</si>
  <si>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</si>
  <si>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</si>
  <si>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</si>
  <si>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</si>
  <si>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</si>
  <si>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</si>
  <si>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</si>
  <si>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</si>
  <si>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</si>
  <si>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</si>
  <si>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</si>
  <si>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</si>
  <si>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</si>
  <si>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</si>
  <si>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</si>
  <si>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</si>
  <si>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</si>
  <si>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</si>
  <si>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</si>
  <si>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</si>
  <si>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</si>
  <si>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</si>
  <si>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</si>
  <si>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</si>
  <si>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</si>
  <si>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</si>
  <si>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</si>
  <si>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</si>
  <si>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</si>
  <si>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</si>
  <si>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</si>
  <si>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</si>
  <si>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</si>
  <si>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</si>
  <si>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</si>
  <si>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</si>
  <si>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</si>
  <si>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</si>
  <si>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</si>
  <si>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</si>
  <si>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</si>
  <si>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</si>
  <si>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</si>
  <si>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</si>
  <si>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</si>
  <si>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</si>
  <si>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</si>
  <si>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</si>
  <si>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</si>
  <si>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</si>
  <si>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</si>
  <si>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</si>
  <si>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</si>
  <si>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</si>
  <si>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</si>
  <si>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</si>
  <si>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</si>
  <si>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</si>
  <si>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</si>
  <si>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</si>
  <si>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</si>
  <si>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</si>
  <si>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</si>
  <si>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</si>
  <si>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</si>
  <si>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</si>
  <si>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</si>
  <si>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</si>
  <si>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</si>
  <si>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</si>
  <si>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</si>
  <si>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</si>
  <si>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</si>
  <si>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</si>
  <si>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</si>
  <si>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</si>
  <si>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</si>
  <si>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</si>
  <si>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</si>
  <si>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</si>
  <si>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</si>
  <si>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</si>
  <si>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</si>
  <si>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</si>
  <si>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</si>
  <si>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</si>
  <si>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</si>
  <si>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</si>
  <si>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</si>
  <si>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</si>
  <si>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</si>
  <si>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</si>
  <si>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</si>
  <si>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</si>
  <si>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</si>
  <si>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</si>
  <si>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</si>
  <si>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</si>
  <si>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</si>
  <si>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</si>
  <si>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</si>
  <si>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</si>
  <si>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</si>
  <si>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</si>
  <si>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</si>
  <si>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</si>
  <si>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</si>
  <si>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</si>
  <si>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</si>
  <si>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</si>
  <si>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</si>
  <si>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</si>
  <si>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</si>
  <si>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</si>
  <si>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</si>
  <si>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</si>
  <si>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</si>
  <si>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</si>
  <si>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</si>
  <si>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</si>
  <si>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</si>
  <si>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</si>
  <si>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</si>
  <si>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</si>
  <si>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</si>
  <si>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</si>
  <si>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</si>
  <si>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</si>
  <si>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</si>
  <si>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</si>
  <si>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</si>
  <si>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</si>
  <si>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</si>
  <si>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</si>
  <si>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</si>
  <si>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</si>
  <si>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</si>
  <si>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</si>
  <si>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</si>
  <si>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</si>
  <si>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</si>
  <si>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</si>
  <si>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</si>
  <si>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</si>
  <si>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</si>
  <si>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</si>
  <si>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</si>
  <si>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</si>
  <si>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</si>
  <si>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</si>
  <si>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</si>
  <si>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</si>
  <si>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</si>
  <si>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</si>
  <si>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</si>
  <si>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</si>
  <si>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</si>
  <si>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</si>
  <si>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</si>
  <si>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</si>
  <si>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</si>
  <si>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</si>
  <si>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</si>
  <si>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</si>
  <si>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</si>
  <si>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</si>
  <si>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</si>
  <si>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</si>
  <si>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</si>
  <si>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</si>
  <si>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</si>
  <si>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</si>
  <si>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</si>
  <si>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</si>
  <si>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</si>
  <si>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</si>
  <si>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</si>
  <si>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</si>
  <si>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</si>
  <si>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</si>
  <si>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</si>
  <si>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</si>
  <si>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</si>
  <si>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</si>
  <si>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</si>
  <si>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</si>
  <si>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</si>
  <si>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</si>
  <si>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</si>
  <si>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</si>
  <si>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</si>
  <si>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</si>
  <si>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</si>
  <si>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</si>
  <si>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</si>
  <si>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</si>
  <si>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</si>
  <si>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</si>
  <si>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</si>
  <si>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</si>
  <si>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</si>
  <si>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</si>
  <si>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</si>
  <si>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</si>
  <si>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</si>
  <si>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</si>
  <si>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</si>
  <si>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</si>
  <si>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</si>
  <si>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</si>
  <si>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</si>
  <si>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</si>
  <si>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</si>
  <si>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</si>
  <si>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</si>
  <si>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</si>
  <si>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</si>
  <si>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</si>
  <si>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</si>
  <si>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</si>
  <si>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</si>
  <si>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</si>
  <si>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</si>
  <si>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</si>
  <si>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</si>
  <si>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</si>
  <si>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</si>
  <si>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</si>
  <si>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</si>
  <si>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</si>
  <si>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</si>
  <si>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</si>
  <si>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</si>
  <si>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</si>
  <si>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</si>
  <si>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</si>
  <si>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</si>
  <si>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</si>
  <si>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</si>
  <si>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</si>
  <si>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</si>
  <si>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</si>
  <si>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</si>
  <si>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</si>
  <si>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</si>
  <si>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</si>
  <si>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</si>
  <si>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</si>
  <si>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</si>
  <si>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</si>
  <si>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</si>
  <si>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</si>
  <si>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</si>
  <si>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</si>
  <si>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</si>
  <si>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</si>
  <si>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</si>
  <si>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</si>
  <si>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</si>
  <si>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</si>
  <si>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</si>
  <si>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</si>
  <si>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</si>
  <si>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</si>
  <si>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</si>
  <si>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</si>
  <si>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</si>
  <si>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</si>
  <si>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</si>
  <si>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</si>
  <si>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</si>
  <si>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</si>
  <si>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</si>
  <si>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</si>
  <si>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</si>
  <si>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</si>
  <si>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</si>
  <si>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</si>
  <si>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</si>
  <si>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</si>
  <si>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</si>
  <si>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</si>
  <si>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</si>
  <si>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</si>
  <si>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</si>
  <si>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</si>
  <si>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</si>
  <si>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</si>
  <si>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</si>
  <si>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</si>
  <si>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</si>
  <si>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</si>
  <si>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</si>
  <si>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</si>
  <si>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</si>
  <si>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</si>
  <si>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</si>
  <si>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</si>
  <si>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</si>
  <si>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</si>
  <si>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</si>
  <si>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</si>
  <si>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</si>
  <si>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</si>
  <si>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</si>
  <si>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</si>
  <si>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</si>
  <si>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</si>
  <si>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</si>
  <si>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</si>
  <si>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</si>
  <si>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</si>
  <si>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</si>
  <si>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</si>
  <si>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</si>
  <si>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</si>
  <si>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</si>
  <si>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</si>
  <si>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</si>
  <si>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</si>
  <si>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</si>
  <si>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</si>
  <si>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</si>
  <si>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</si>
  <si>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</si>
  <si>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</si>
  <si>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</si>
  <si>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</si>
  <si>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</si>
  <si>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</si>
  <si>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</si>
  <si>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</si>
  <si>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</si>
  <si>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</si>
  <si>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</si>
  <si>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</si>
  <si>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</si>
  <si>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</si>
  <si>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</si>
  <si>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</si>
  <si>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</si>
  <si>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</si>
  <si>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</si>
  <si>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</si>
  <si>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</si>
  <si>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</si>
  <si>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</si>
  <si>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</si>
  <si>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</si>
  <si>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</si>
  <si>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</si>
  <si>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</si>
  <si>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</si>
  <si>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</si>
  <si>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</si>
  <si>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</si>
  <si>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</si>
  <si>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</si>
  <si>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</si>
  <si>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</si>
  <si>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</si>
  <si>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</si>
  <si>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</si>
  <si>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</si>
  <si>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</si>
  <si>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</si>
  <si>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</si>
  <si>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</si>
  <si>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</si>
  <si>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</si>
  <si>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</si>
  <si>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</si>
  <si>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</si>
  <si>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</si>
  <si>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</si>
  <si>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</si>
  <si>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</si>
  <si>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</si>
  <si>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</si>
  <si>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</si>
  <si>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</si>
  <si>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</si>
  <si>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</si>
  <si>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</si>
  <si>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</si>
  <si>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</si>
  <si>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</si>
  <si>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</si>
  <si>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</si>
  <si>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</si>
  <si>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</si>
  <si>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</si>
  <si>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</si>
  <si>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</si>
  <si>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</si>
  <si>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</si>
  <si>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</si>
  <si>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</si>
  <si>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</si>
  <si>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</si>
  <si>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</si>
  <si>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</si>
  <si>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</si>
  <si>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</si>
  <si>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</si>
  <si>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</si>
  <si>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</si>
  <si>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</si>
  <si>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</si>
  <si>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</si>
  <si>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</si>
  <si>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</si>
  <si>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</si>
  <si>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</si>
  <si>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</si>
  <si>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</si>
  <si>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</si>
  <si>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</si>
  <si>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</si>
  <si>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</si>
  <si>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</si>
  <si>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</si>
  <si>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</si>
  <si>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</si>
  <si>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</si>
  <si>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</si>
  <si>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</si>
  <si>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</si>
  <si>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</si>
  <si>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</si>
  <si>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</si>
  <si>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</si>
  <si>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</si>
  <si>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</si>
  <si>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</si>
  <si>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</si>
  <si>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</si>
  <si>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</si>
  <si>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</si>
  <si>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</si>
  <si>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</si>
  <si>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</si>
  <si>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</si>
  <si>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</si>
  <si>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</si>
  <si>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</si>
  <si>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</si>
  <si>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</si>
  <si>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</si>
  <si>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</si>
  <si>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</si>
  <si>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</si>
  <si>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</si>
  <si>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</si>
  <si>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</si>
  <si>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</si>
  <si>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</si>
  <si>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</si>
  <si>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</si>
  <si>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</si>
  <si>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</si>
  <si>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</si>
  <si>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</si>
  <si>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</si>
  <si>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</si>
  <si>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</si>
  <si>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</si>
  <si>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</si>
  <si>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</si>
  <si>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</si>
  <si>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</si>
  <si>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</si>
  <si>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</si>
  <si>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</si>
  <si>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</si>
  <si>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</si>
  <si>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</si>
  <si>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</si>
  <si>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</si>
  <si>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</si>
  <si>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</si>
  <si>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</si>
  <si>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</si>
  <si>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</si>
  <si>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</si>
  <si>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</si>
  <si>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</si>
  <si>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</si>
  <si>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</si>
  <si>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</si>
  <si>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</si>
  <si>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</si>
  <si>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</si>
  <si>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</si>
  <si>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</si>
  <si>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</si>
  <si>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</si>
  <si>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</si>
  <si>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</si>
  <si>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</si>
  <si>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</si>
  <si>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</si>
  <si>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</si>
  <si>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</si>
  <si>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</si>
  <si>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</si>
  <si>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</si>
  <si>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</si>
  <si>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</si>
  <si>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</si>
  <si>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</si>
  <si>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</si>
  <si>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</si>
  <si>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</si>
  <si>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</si>
  <si>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</si>
  <si>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</si>
  <si>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</si>
  <si>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</si>
  <si>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</si>
  <si>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</si>
  <si>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</si>
  <si>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</si>
  <si>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</si>
  <si>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</si>
  <si>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</si>
  <si>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</si>
  <si>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</si>
  <si>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</si>
  <si>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</si>
  <si>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</si>
  <si>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</si>
  <si>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</si>
  <si>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</si>
  <si>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</si>
  <si>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</si>
  <si>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</si>
  <si>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</si>
  <si>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</si>
  <si>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</si>
  <si>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</si>
  <si>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</si>
  <si>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</si>
  <si>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</si>
  <si>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</si>
  <si>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</si>
  <si>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</si>
  <si>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</si>
  <si>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</si>
  <si>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</si>
  <si>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</si>
  <si>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</si>
  <si>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</si>
  <si>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</si>
  <si>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</si>
  <si>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</si>
  <si>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</si>
  <si>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</si>
  <si>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</si>
  <si>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</si>
  <si>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</si>
  <si>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</si>
  <si>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</si>
  <si>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</si>
  <si>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</si>
  <si>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</si>
  <si>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</si>
  <si>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</si>
  <si>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</si>
  <si>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</si>
  <si>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</si>
  <si>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</si>
  <si>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</si>
  <si>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</si>
  <si>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</si>
  <si>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</si>
  <si>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</si>
  <si>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</si>
  <si>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</si>
  <si>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</si>
  <si>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</si>
  <si>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</si>
  <si>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</si>
  <si>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</si>
  <si>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</si>
  <si>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</si>
  <si>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</si>
  <si>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</si>
  <si>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</si>
  <si>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</si>
  <si>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</si>
  <si>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</si>
  <si>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</si>
  <si>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</si>
  <si>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</si>
  <si>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</si>
  <si>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</si>
  <si>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</si>
  <si>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</si>
  <si>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</si>
  <si>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</si>
  <si>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</si>
  <si>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</si>
  <si>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</si>
  <si>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</si>
  <si>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</si>
  <si>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</si>
  <si>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</si>
  <si>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</si>
  <si>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</si>
  <si>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</si>
  <si>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</si>
  <si>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</si>
  <si>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</si>
  <si>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</si>
  <si>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</si>
  <si>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</si>
  <si>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</si>
  <si>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</si>
  <si>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</si>
  <si>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</si>
  <si>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</si>
  <si>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</si>
  <si>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</si>
  <si>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</si>
  <si>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</si>
  <si>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</si>
  <si>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</si>
  <si>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</si>
  <si>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</si>
  <si>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</si>
  <si>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</si>
  <si>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</si>
  <si>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</si>
  <si>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</si>
  <si>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</si>
  <si>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</si>
  <si>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</si>
  <si>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</si>
  <si>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</si>
  <si>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</si>
  <si>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</si>
  <si>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</si>
  <si>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</si>
  <si>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</si>
  <si>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</si>
  <si>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</si>
  <si>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</si>
  <si>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</si>
  <si>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</si>
  <si>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</si>
  <si>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</si>
  <si>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</si>
  <si>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</si>
  <si>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</si>
  <si>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</si>
  <si>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</si>
  <si>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</si>
  <si>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</si>
  <si>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</si>
  <si>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</si>
  <si>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</si>
  <si>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</si>
  <si>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</si>
  <si>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</si>
  <si>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</si>
  <si>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</si>
  <si>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</si>
  <si>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</si>
  <si>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</si>
  <si>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</si>
  <si>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</si>
  <si>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</si>
  <si>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</si>
  <si>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</si>
  <si>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</si>
  <si>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</si>
  <si>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</si>
  <si>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</si>
  <si>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</si>
  <si>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</si>
  <si>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</si>
  <si>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</si>
  <si>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</si>
  <si>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</si>
  <si>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</si>
  <si>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</si>
  <si>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</si>
  <si>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</si>
  <si>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</si>
  <si>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</si>
  <si>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</si>
  <si>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</si>
  <si>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</si>
  <si>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</si>
  <si>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</si>
  <si>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</si>
  <si>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</si>
  <si>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</si>
  <si>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</si>
  <si>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</si>
  <si>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</si>
  <si>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</si>
  <si>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</si>
  <si>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</si>
  <si>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</si>
  <si>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</si>
  <si>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</si>
  <si>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</si>
  <si>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</si>
  <si>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</si>
  <si>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</si>
  <si>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</si>
  <si>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</si>
  <si>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</si>
  <si>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</si>
  <si>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</si>
  <si>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</si>
  <si>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</si>
  <si>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</si>
  <si>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</si>
  <si>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</si>
  <si>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</si>
  <si>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</si>
  <si>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</si>
  <si>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</si>
  <si>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</si>
  <si>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</si>
  <si>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</si>
  <si>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</si>
  <si>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</si>
  <si>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</si>
  <si>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</si>
  <si>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</si>
  <si>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</si>
  <si>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</si>
  <si>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</si>
  <si>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</si>
  <si>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</si>
  <si>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</si>
  <si>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</si>
  <si>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</si>
  <si>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</si>
  <si>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</si>
  <si>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</si>
  <si>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</si>
  <si>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</si>
  <si>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</si>
  <si>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</si>
  <si>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</si>
  <si>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</si>
  <si>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</si>
  <si>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</si>
  <si>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</si>
  <si>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</si>
  <si>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</si>
  <si>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</si>
  <si>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</si>
  <si>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</si>
  <si>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</si>
  <si>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</si>
  <si>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</si>
  <si>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</si>
  <si>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</si>
  <si>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</si>
  <si>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</si>
  <si>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</si>
  <si>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</si>
  <si>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</si>
  <si>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</si>
  <si>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</si>
  <si>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</si>
  <si>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</si>
  <si>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</si>
  <si>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</si>
  <si>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</si>
  <si>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</si>
  <si>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</si>
  <si>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</si>
  <si>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</si>
  <si>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</si>
  <si>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</si>
  <si>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</si>
  <si>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</si>
  <si>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</si>
  <si>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</si>
  <si>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</si>
  <si>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</si>
  <si>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</si>
  <si>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</si>
  <si>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</si>
  <si>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</si>
  <si>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</si>
  <si>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</si>
  <si>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</si>
  <si>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</si>
  <si>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</si>
  <si>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</si>
  <si>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</si>
  <si>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</si>
  <si>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</si>
  <si>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</si>
  <si>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</si>
  <si>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</si>
  <si>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</si>
  <si>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</si>
  <si>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</si>
  <si>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</si>
  <si>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</si>
  <si>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</si>
  <si>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</si>
  <si>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</si>
  <si>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</si>
  <si>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</si>
  <si>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</si>
  <si>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</si>
  <si>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</si>
  <si>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</si>
  <si>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</si>
  <si>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</si>
  <si>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</si>
  <si>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</si>
  <si>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</si>
  <si>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</si>
  <si>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</si>
  <si>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</si>
  <si>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</si>
  <si>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</si>
  <si>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</si>
  <si>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</si>
  <si>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</si>
  <si>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</si>
  <si>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</si>
  <si>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</si>
  <si>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</si>
  <si>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</si>
  <si>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</si>
  <si>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</si>
  <si>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</si>
  <si>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</si>
  <si>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</si>
  <si>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</si>
  <si>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</si>
  <si>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</si>
  <si>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</si>
  <si>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</si>
  <si>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</si>
  <si>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</si>
  <si>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</si>
  <si>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</si>
  <si>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</si>
  <si>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</si>
  <si>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</si>
  <si>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</si>
  <si>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</si>
  <si>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</si>
  <si>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</si>
  <si>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</si>
  <si>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</si>
  <si>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</si>
  <si>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</si>
  <si>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</si>
  <si>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</si>
  <si>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</si>
  <si>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</si>
  <si>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</si>
  <si>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</si>
  <si>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</si>
  <si>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</si>
  <si>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</si>
  <si>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</si>
  <si>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</si>
  <si>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</si>
  <si>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</si>
  <si>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</si>
  <si>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</si>
  <si>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</si>
  <si>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</si>
  <si>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</si>
  <si>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</si>
  <si>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</si>
  <si>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</si>
  <si>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</si>
  <si>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</si>
  <si>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</si>
  <si>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</si>
  <si>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</si>
  <si>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</si>
  <si>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</si>
  <si>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</si>
  <si>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</si>
  <si>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</si>
  <si>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</si>
  <si>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</si>
  <si>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</si>
  <si>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</si>
  <si>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</si>
  <si>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</si>
  <si>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</si>
  <si>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</si>
  <si>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</si>
  <si>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</si>
  <si>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</si>
  <si>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</si>
  <si>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</si>
  <si>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</si>
  <si>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</si>
  <si>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</si>
  <si>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</si>
  <si>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</si>
  <si>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</si>
  <si>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</si>
  <si>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</si>
  <si>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</si>
  <si>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</si>
  <si>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</si>
  <si>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</si>
  <si>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</si>
  <si>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</si>
  <si>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</si>
  <si>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</si>
  <si>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</si>
  <si>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</si>
  <si>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</si>
  <si>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</si>
  <si>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</si>
  <si>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</si>
  <si>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</si>
  <si>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</si>
  <si>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</si>
  <si>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</si>
  <si>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</si>
  <si>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</si>
  <si>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</si>
  <si>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</si>
  <si>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</si>
  <si>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</si>
  <si>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</si>
  <si>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</si>
  <si>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</si>
  <si>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</si>
  <si>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</si>
  <si>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</si>
  <si>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</si>
  <si>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</si>
  <si>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</si>
  <si>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</si>
  <si>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</si>
  <si>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</si>
  <si>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</si>
  <si>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</si>
  <si>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</si>
  <si>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</si>
  <si>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</si>
  <si>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</si>
  <si>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</si>
  <si>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</si>
  <si>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</si>
  <si>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</si>
  <si>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</si>
  <si>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</si>
  <si>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</si>
  <si>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</si>
  <si>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</si>
  <si>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</si>
  <si>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</si>
  <si>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</si>
  <si>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</si>
  <si>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</si>
  <si>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</si>
  <si>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</si>
  <si>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</si>
  <si>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</si>
  <si>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</si>
  <si>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</si>
  <si>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</si>
  <si>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</si>
  <si>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</si>
  <si>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</si>
  <si>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</si>
  <si>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</si>
  <si>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</si>
  <si>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</si>
  <si>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</si>
  <si>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</si>
  <si>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</si>
  <si>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</si>
  <si>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</si>
  <si>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</si>
  <si>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</si>
  <si>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</si>
  <si>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</si>
  <si>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</si>
  <si>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</si>
  <si>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</si>
  <si>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</si>
  <si>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</si>
  <si>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</si>
  <si>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</si>
  <si>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</si>
  <si>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</si>
  <si>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</si>
  <si>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</si>
  <si>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</si>
  <si>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</si>
  <si>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</si>
  <si>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</si>
  <si>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</si>
  <si>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</si>
  <si>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</si>
  <si>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</si>
  <si>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</si>
  <si>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</si>
  <si>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</si>
  <si>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</si>
  <si>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</si>
  <si>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</si>
  <si>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</si>
  <si>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</si>
  <si>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</si>
  <si>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</si>
  <si>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</si>
  <si>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</si>
  <si>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</si>
  <si>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</si>
  <si>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</si>
  <si>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</si>
  <si>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</si>
  <si>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</si>
  <si>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</si>
  <si>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</si>
  <si>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</si>
  <si>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</si>
  <si>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</si>
  <si>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</si>
  <si>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</si>
  <si>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</si>
  <si>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</si>
  <si>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</si>
  <si>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</si>
  <si>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</si>
  <si>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</si>
  <si>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</si>
  <si>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</si>
  <si>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</si>
  <si>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</si>
  <si>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</si>
  <si>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</si>
  <si>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</si>
  <si>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</si>
  <si>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</si>
  <si>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</si>
  <si>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</si>
  <si>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</si>
  <si>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</si>
  <si>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</si>
  <si>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</si>
  <si>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</si>
  <si>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</si>
  <si>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</si>
  <si>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</si>
  <si>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</si>
  <si>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</si>
  <si>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</si>
  <si>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</si>
  <si>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</si>
  <si>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</si>
  <si>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</si>
  <si>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</si>
  <si>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</si>
  <si>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</si>
  <si>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</si>
  <si>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</si>
  <si>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</si>
  <si>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</si>
  <si>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</si>
  <si>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</si>
  <si>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</si>
  <si>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</si>
  <si>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</si>
  <si>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</si>
  <si>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</si>
  <si>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</si>
  <si>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</si>
  <si>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</si>
  <si>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</si>
  <si>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</si>
  <si>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</si>
  <si>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</si>
  <si>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</si>
  <si>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</si>
  <si>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</si>
  <si>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</si>
  <si>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</si>
  <si>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</si>
  <si>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</si>
  <si>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</si>
  <si>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</si>
  <si>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</si>
  <si>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</si>
  <si>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</si>
  <si>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</si>
  <si>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</si>
  <si>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</si>
  <si>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</si>
  <si>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</si>
  <si>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</si>
  <si>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</si>
  <si>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</si>
  <si>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</si>
  <si>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</si>
  <si>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</si>
  <si>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</si>
  <si>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</si>
  <si>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</si>
  <si>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</si>
  <si>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</si>
  <si>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</si>
  <si>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</si>
  <si>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</si>
  <si>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</si>
  <si>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</si>
  <si>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</si>
  <si>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</si>
  <si>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</si>
  <si>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</si>
  <si>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</si>
  <si>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</si>
  <si>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</si>
  <si>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</si>
  <si>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</si>
  <si>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</si>
  <si>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</si>
  <si>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</si>
  <si>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</si>
  <si>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</si>
  <si>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</si>
  <si>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</si>
  <si>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</si>
  <si>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</si>
  <si>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</si>
  <si>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</si>
  <si>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</si>
  <si>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</si>
  <si>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</si>
  <si>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</si>
  <si>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</si>
  <si>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</si>
  <si>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</si>
  <si>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</si>
  <si>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</si>
  <si>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</si>
  <si>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</si>
  <si>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</si>
  <si>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</si>
  <si>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</si>
  <si>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</si>
  <si>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</si>
  <si>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</si>
  <si>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</si>
  <si>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</si>
  <si>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</si>
  <si>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アプリ移管</t>
    <phoneticPr fontId="3"/>
  </si>
  <si>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</si>
  <si>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</si>
  <si>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</si>
  <si>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</si>
  <si>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</si>
  <si>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</si>
  <si>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</si>
  <si>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</si>
  <si>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</si>
  <si>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</si>
  <si>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</si>
  <si>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</si>
  <si>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</si>
  <si>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</si>
  <si>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</si>
  <si>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</si>
  <si>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</si>
  <si>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</si>
  <si>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</si>
  <si>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</si>
  <si>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</si>
  <si>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</si>
  <si>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</si>
  <si>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</si>
  <si>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</si>
  <si>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</si>
  <si>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</si>
  <si>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</si>
  <si>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</si>
  <si>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</si>
  <si>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</si>
  <si>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</si>
  <si>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</si>
  <si>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</si>
  <si>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</si>
  <si>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</si>
  <si>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</si>
  <si>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</si>
  <si>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</si>
  <si>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</si>
  <si>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</si>
  <si>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</si>
  <si>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</si>
  <si>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</si>
  <si>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</si>
  <si>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</si>
  <si>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</si>
  <si>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</si>
  <si>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</si>
  <si>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</si>
  <si>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</si>
  <si>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</si>
  <si>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</si>
  <si>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</si>
  <si>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</si>
  <si>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</si>
  <si>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</si>
  <si>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</si>
  <si>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</si>
  <si>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</si>
  <si>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</si>
  <si>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</si>
  <si>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</si>
  <si>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</si>
  <si>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</si>
  <si>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</si>
  <si>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</si>
  <si>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</si>
  <si>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</si>
  <si>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</si>
  <si>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</si>
  <si>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</si>
  <si>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</si>
  <si>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</si>
  <si>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</si>
  <si>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</si>
  <si>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</si>
  <si>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</si>
  <si>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</si>
  <si>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</si>
  <si>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</si>
  <si>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</si>
  <si>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</si>
  <si>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</si>
  <si>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</si>
  <si>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</si>
  <si>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</si>
  <si>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</si>
  <si>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</si>
  <si>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</si>
  <si>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</si>
  <si>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</si>
  <si>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</si>
  <si>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</si>
  <si>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</si>
  <si>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</si>
  <si>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</si>
  <si>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</si>
  <si>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</si>
  <si>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</si>
  <si>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</si>
  <si>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</si>
  <si>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</si>
  <si>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</si>
  <si>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</si>
  <si>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</si>
  <si>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</si>
  <si>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</si>
  <si>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</si>
  <si>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</si>
  <si>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</si>
  <si>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</si>
  <si>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</si>
  <si>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</si>
  <si>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</si>
  <si>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</si>
  <si>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</si>
  <si>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</si>
  <si>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</si>
  <si>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</si>
  <si>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</si>
  <si>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</si>
  <si>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</si>
  <si>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</si>
  <si>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</si>
  <si>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</si>
  <si>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</si>
  <si>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</si>
  <si>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</si>
  <si>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</si>
  <si>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</si>
  <si>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</si>
  <si>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</si>
  <si>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</si>
  <si>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</si>
  <si>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</si>
  <si>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</si>
  <si>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</si>
  <si>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</si>
  <si>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</si>
  <si>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</si>
  <si>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</si>
  <si>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</si>
  <si>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</si>
  <si>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</si>
  <si>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</si>
  <si>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</si>
  <si>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</si>
  <si>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</si>
  <si>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</si>
  <si>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</si>
  <si>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</si>
  <si>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</si>
  <si>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</si>
  <si>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</si>
  <si>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</si>
  <si>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</si>
  <si>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</si>
  <si>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</si>
  <si>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</si>
  <si>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</si>
  <si>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</si>
  <si>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</si>
  <si>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</si>
  <si>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</si>
  <si>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</si>
  <si>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</si>
  <si>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</si>
  <si>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</si>
  <si>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</si>
  <si>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</si>
  <si>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</si>
  <si>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</si>
  <si>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</si>
  <si>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</si>
  <si>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</si>
  <si>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</si>
  <si>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</si>
  <si>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</si>
  <si>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</si>
  <si>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</si>
  <si>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</si>
  <si>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</si>
  <si>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</si>
  <si>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</si>
  <si>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</si>
  <si>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</si>
  <si>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</si>
  <si>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</si>
  <si>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</si>
  <si>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</si>
  <si>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</si>
  <si>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</si>
  <si>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</si>
  <si>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</si>
  <si>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</si>
  <si>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</si>
  <si>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</si>
  <si>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</si>
  <si>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</si>
  <si>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</si>
  <si>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</si>
  <si>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</si>
  <si>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</si>
  <si>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</si>
  <si>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</si>
  <si>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</si>
  <si>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</si>
  <si>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</si>
  <si>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</si>
  <si>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</si>
  <si>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</si>
  <si>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</si>
  <si>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</si>
  <si>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</si>
  <si>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</si>
  <si>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</si>
  <si>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</si>
  <si>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</si>
  <si>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</si>
  <si>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</si>
  <si>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</si>
  <si>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</si>
  <si>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</si>
  <si>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</si>
  <si>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</si>
  <si>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</si>
  <si>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</si>
  <si>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</si>
  <si>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</si>
  <si>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</si>
  <si>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</si>
  <si>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</si>
  <si>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</si>
  <si>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</si>
  <si>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</si>
  <si>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</si>
  <si>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</si>
  <si>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</si>
  <si>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</si>
  <si>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</si>
  <si>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</si>
  <si>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</si>
  <si>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</si>
  <si>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</si>
  <si>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</si>
  <si>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</si>
  <si>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</si>
  <si>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</si>
  <si>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</si>
  <si>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</si>
  <si>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</si>
  <si>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</si>
  <si>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</si>
  <si>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</si>
  <si>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</si>
  <si>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</si>
  <si>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</si>
  <si>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</si>
  <si>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</si>
  <si>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</si>
  <si>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</si>
  <si>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</si>
  <si>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</si>
  <si>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</si>
  <si>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</si>
  <si>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</si>
  <si>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</si>
  <si>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</si>
  <si>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</si>
  <si>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</si>
  <si>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</si>
  <si>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</si>
  <si>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</si>
  <si>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</si>
  <si>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</si>
  <si>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</si>
  <si>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</si>
  <si>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</si>
  <si>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</si>
  <si>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</si>
  <si>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</si>
  <si>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</si>
  <si>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</si>
  <si>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</si>
  <si>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</si>
  <si>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</si>
  <si>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</si>
  <si>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</si>
  <si>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</si>
  <si>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</si>
  <si>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</si>
  <si>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</si>
  <si>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</si>
  <si>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</si>
  <si>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</si>
  <si>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</si>
  <si>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</si>
  <si>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</si>
  <si>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</si>
  <si>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</si>
  <si>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</si>
  <si>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</si>
  <si>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</si>
  <si>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</si>
  <si>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</si>
  <si>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</si>
  <si>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</si>
  <si>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</si>
  <si>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</si>
  <si>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</si>
  <si>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</si>
  <si>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</si>
  <si>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</si>
  <si>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</si>
  <si>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</si>
  <si>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</si>
  <si>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</si>
  <si>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</si>
  <si>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</si>
  <si>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</si>
  <si>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★分岐（条件付きプール）は別シート「分岐プール」。全量315／Phase 1 対象304（C-D18 +5・CT-3 +6 は災害対策で対象外）。予算上は 全量 2,395.5＋315＝2,710.5 ／ Phase 1 対象 2,315.5＋304＝2,619.5 人日</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</si>
  <si>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</si>
  <si>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</si>
  <si>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</si>
  <si>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</si>
  <si>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構成前提</t>
    <phoneticPr fontId="3"/>
  </si>
  <si>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</si>
  <si>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</si>
  <si>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</si>
  <si>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</si>
  <si>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</si>
  <si>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</si>
  <si>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</si>
  <si>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</si>
  <si>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</si>
  <si>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</si>
  <si>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</si>
  <si>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</si>
  <si>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</si>
  <si>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受付側で発行した識別子を収容側へ知らせる必要があったが、同じ空間なら発行と同時に共有される</t>
  </si>
  <si>
    <t>停止の事実を別アカウントへ運ぶ経路だったが、運ぶ相手がいなくなる</t>
  </si>
  <si>
    <t>伝えそこないを拾い直す仕組みだが、そもそも伝える処理が無くなるため拾い直す対象も無い</t>
  </si>
  <si>
    <t>分離しても管理用の口の悪用は防げない。大量削除・大量パスワード変更などの異常を検知できないと、侵害に気づけないまま被害が広がる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</si>
  <si>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</si>
  <si>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</si>
  <si>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</si>
  <si>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</si>
  <si>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</si>
  <si>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</si>
  <si>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</si>
  <si>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</si>
  <si>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</si>
  <si>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</si>
  <si>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</si>
  <si>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</si>
  <si>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</si>
  <si>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</si>
  <si>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</si>
  <si>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</si>
  <si>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</si>
  <si>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</si>
  <si>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</si>
  <si>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</si>
  <si>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</si>
  <si>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</si>
  <si>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</si>
  <si>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</si>
  <si>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</si>
  <si>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</si>
  <si>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</si>
  <si>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</si>
  <si>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</si>
  <si>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</si>
  <si>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</si>
  <si>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</si>
  <si>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</si>
  <si>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</si>
  <si>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</si>
  <si>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</si>
  <si>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</si>
  <si>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</si>
  <si>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</si>
  <si>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</si>
  <si>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</si>
  <si>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</si>
  <si>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</si>
  <si>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</si>
  <si>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</si>
  <si>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</si>
  <si>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</si>
  <si>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</si>
  <si>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</si>
  <si>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</si>
  <si>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</si>
  <si>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★1シート1テーブル。フィルタは4軸 — 「構成前提」（どう組むか・採否込み）／「アプリ移管」（誰が作るか）／「当初想定」（いつから必要だったか）／「判断根拠」（なぜそう判断したか）。★構成を変えても設計の85%は残る（386/450行が「—（構成に依存しない）」）。設計書の大半は『何を作るか』であって『どう並べるか』ではないため。ただし構築・運用費では効き方が大きく違う</t>
  </si>
  <si>
    <t>★初回見積り 80 人日 → 現在 706 人日 ＝ 8.8 倍。うち『当初あり』分だけで 223 人日あり、初回見積りの 2.8 倍。8.8 倍のうち約 2.8 倍は最初から必要だった分（設計成果物・レビューの計上漏れ）で、残りが本当の要件追加。内訳は「当初想定」列で絞れる</t>
  </si>
  <si>
    <t>体制案（器のみ）</t>
  </si>
  <si>
    <t>体制案（器のみ）</t>
    <phoneticPr fontId="3"/>
  </si>
  <si>
    <t>基盤チーム（器・運用）</t>
  </si>
  <si>
    <t>増える（説明・調整）</t>
  </si>
  <si>
    <t>アプリチーム（作り込み）</t>
  </si>
  <si>
    <t>共同（分けきれない）</t>
  </si>
  <si>
    <t>★体制案（器のみ）は採用予定の案ではない。重心はアプリ側（アプリ 343 対 基盤 328 相当）。この案は『基盤チームの作業を半分にする』ではなく『認証の設計そのものをアプリチームへ移す』案であり、基盤チームは実行環境の運用チームになる。総量は減らず、アプリチームに約1,050＋アプリ数分が新たに発生する。アプリ5つで拮抗、10で不利。アプリごとに空間を分けるとアプリ間で一度のログインが効かなくなり、空間を共有する場合は1チームの変更が全アプリに影響するため本番適用の確認は基盤チームに残る。つまり作業は移せるが、責任は移せない</t>
  </si>
  <si>
    <t>性能の確認は構成に対して行うため、機能数では減らない</t>
  </si>
  <si>
    <t>運用が回るかの確認で、機能を減らしても必要</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</si>
  <si>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</si>
  <si>
    <t>ネットワークを分ける根拠が「管理用の口はパスワードのハッシュを返さない」という前提に立っている。前提が崩れると分離の意味づけが変わるため、実機で確かめる</t>
  </si>
  <si>
    <t>顧客希望は「1 日で復旧」で、対象外はその正反対。差は「復旧が遅い」ではなく「復旧するかしないか」なので、書面で合意しないと後で紛争になる</t>
  </si>
  <si>
    <t>ネットワークの区画は作成後に変更できない。今予約しておかないと、将来やりたくなったときに全体の作り直しになる</t>
  </si>
  <si>
    <t>検知の仕組みが使う資格の権限範囲。検知を Phase 1 に戻したため必要になる</t>
  </si>
  <si>
    <t>収容側の製品スキーマの利用範囲整理。認証製品が 1 つになるため受付側（HD-03）に統合される</t>
  </si>
  <si>
    <t>送信予定のイベントを記録する表。伝える処理が無くなるため、記録する必要も無い</t>
  </si>
  <si>
    <t>収容側の構成設計。受付側（HJ-01a）に統合されるため単独では不要</t>
  </si>
  <si>
    <t>収容側のログイン処理の順序設計。受付側（HJ-02a）に統合される</t>
  </si>
  <si>
    <t>収容側の設定値一覧。受付側（HJ-10a）に統合される</t>
  </si>
  <si>
    <t>ログイン状態は認証製品が持つため全アプリ共通。アプリ内の保持方法はアプリが決めるが、全体の有効期間は 1 つの設定で全アプリに効くため共同で決める</t>
  </si>
  <si>
    <t>認証製品が持つ一時保持は全アプリ共通。アプリ内の一時保持はアプリが決めるが、製品側の設定は共同で決める</t>
  </si>
  <si>
    <t>識別番号のうち利用者を指すものは認証製品が発行するため共通。アプリ内の番号はアプリが決める</t>
  </si>
  <si>
    <t>応答時間の目標は、アプリの作り方と基盤の設備の両方で決まるため共同で決める</t>
  </si>
  <si>
    <t>同上。達成手段が基盤側とアプリ側にまたがる</t>
  </si>
  <si>
    <t>アカウントをまたいで受け渡すイベントの形式定義。またぐ経路が無くなる</t>
  </si>
  <si>
    <t>送信予定を記録しておく仕組みの仕様。同上</t>
  </si>
  <si>
    <t>止めたつもりが止まっていない状態を拾う定期処理。1 箇所で完結するため、ずれが生じない</t>
  </si>
  <si>
    <t>検知に必要な情報を外部へ出す仕組み。検知そのものを Phase 1 に戻したため、その入力側も必須になる</t>
  </si>
  <si>
    <t>内部で 2 段構えになっている連携の設計。統合により不要</t>
  </si>
  <si>
    <t>利用者の控えが作られてから消えるまでの管理設計。控えという概念自体が無くなる</t>
  </si>
  <si>
    <t>利用者が受付側の控えと収容側の実体の 2 箇所にいたため、片方で止めたらもう片方も止める仕組みが要った。1 箇所になれば止めた時点で完了し、伝える相手がいなくなる</t>
  </si>
  <si>
    <t>停止と同じ理由。再開も 1 箇所で完結するため、もう片方へ伝える処理が不要になる</t>
  </si>
  <si>
    <t>識別子を別アカウントへ運ぶ経路だったが、同様に相手がいなくなる</t>
  </si>
  <si>
    <t>ネットワーク分離は「持ち出し」を防ぐが「悪用」は防がないため、異常な操作の検知とセットで初めて成立する。分離を維持する判断（2026-09-02）に伴い Phase 1 必須へ戻した</t>
  </si>
  <si>
    <t>WBS ① 基本設計クローズ — 全量 754.0 人日 / Phase 1 対象 704.0 人日 / 全量 450 行（対象外 50.0 = 認証製品を2つ持つ18行28.5 + 切替先を持つ11行20.5。人日は0にせず「構成前提」で（不採用）を除外して集計）</t>
  </si>
  <si>
    <t>★Phase 1 スコープ: 認証製品の Realm 統合（18行28.5人日）と災害対策（11行20.5人日）を不採用。全量 ① 754.0／Phase 1 対象 704.0。人日は0にせず「構成前提」列で（不採用）を除外して集計する。明細はサマリー⑧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</si>
</sst>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5">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C00000"/>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5">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6"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4"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1" fillId="0" borderId="0" xfId="0" applyFont="1">
      <alignment vertical="center"/>
    </xf>
    <xf numFmtId="0" fontId="27" fillId="0" borderId="27" xfId="0" applyFont="1" applyFill="1" applyBorder="1">
      <alignment vertical="center"/>
    </xf>
    <xf numFmtId="0" fontId="72"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4"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3"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26" fillId="0" borderId="17" xfId="0" applyFont="1" applyFill="1" applyBorder="1" applyAlignment="1">
      <alignment vertical="top" wrapText="1"/>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80" fillId="0" borderId="17" xfId="0" applyFont="1" applyFill="1" applyBorder="1" applyAlignment="1">
      <alignment vertical="top"/>
    </xf>
    <xf numFmtId="0" fontId="80" fillId="0" borderId="17" xfId="0" applyFont="1" applyFill="1" applyBorder="1" applyAlignment="1">
      <alignment vertical="top" wrapText="1"/>
    </xf>
    <xf numFmtId="191" fontId="80"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0"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82" fillId="0" borderId="0" xfId="0" applyFont="1">
      <alignment vertical="center"/>
    </xf>
    <xf numFmtId="0" fontId="83" fillId="0" borderId="0" xfId="0" applyFont="1">
      <alignment vertical="center"/>
    </xf>
    <xf numFmtId="0" fontId="80" fillId="0" borderId="17" xfId="0" applyFont="1" applyFill="1" applyBorder="1" applyAlignment="1">
      <alignment horizontal="left" vertical="top"/>
    </xf>
    <xf numFmtId="0" fontId="80" fillId="0" borderId="17" xfId="0" applyFont="1" applyFill="1" applyBorder="1" applyAlignment="1">
      <alignment horizontal="left" vertical="top" wrapText="1"/>
    </xf>
    <xf numFmtId="191" fontId="80" fillId="0" borderId="17" xfId="0" applyNumberFormat="1" applyFont="1" applyFill="1" applyBorder="1" applyAlignment="1">
      <alignment horizontal="left" vertical="top" wrapText="1"/>
    </xf>
    <xf numFmtId="191" fontId="80" fillId="0" borderId="17" xfId="0" applyNumberFormat="1" applyFont="1" applyFill="1" applyBorder="1" applyAlignment="1">
      <alignment horizontal="center" vertical="top"/>
    </xf>
    <xf numFmtId="191" fontId="80"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0" fillId="0" borderId="17" xfId="0" applyFont="1" applyFill="1" applyBorder="1" applyAlignment="1">
      <alignment horizontal="center" vertical="top" wrapText="1"/>
    </xf>
    <xf numFmtId="191" fontId="80" fillId="0" borderId="17" xfId="0" applyNumberFormat="1" applyFont="1" applyFill="1" applyBorder="1" applyAlignment="1">
      <alignment horizontal="center" vertical="top" wrapText="1"/>
    </xf>
    <xf numFmtId="0" fontId="29" fillId="2" borderId="20" xfId="0" applyFont="1" applyFill="1" applyBorder="1">
      <alignment vertical="center"/>
    </xf>
    <xf numFmtId="0" fontId="81" fillId="0" borderId="0" xfId="0" applyFont="1">
      <alignment vertical="center"/>
    </xf>
    <xf numFmtId="0" fontId="81" fillId="4" borderId="0" xfId="0" applyFont="1" applyFill="1">
      <alignment vertical="center"/>
    </xf>
    <xf numFmtId="0" fontId="84"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79"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98">
    <dxf>
      <font>
        <b/>
        <i val="0"/>
        <color rgb="FF3F3F76"/>
      </font>
      <fill>
        <patternFill patternType="solid">
          <fgColor indexed="64"/>
          <bgColor rgb="FFEDEDF7"/>
        </patternFill>
      </fill>
    </dxf>
    <dxf>
      <font>
        <color rgb="FF7F7F7F"/>
      </font>
    </dxf>
    <dxf>
      <font>
        <color rgb="FF9C0006"/>
      </font>
      <fill>
        <patternFill patternType="solid">
          <fgColor indexed="64"/>
          <bgColor rgb="FFFFC7CE"/>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C55A11"/>
      </font>
      <fill>
        <patternFill patternType="solid">
          <fgColor indexed="64"/>
          <bgColor rgb="FFFCE4D6"/>
        </patternFill>
      </fill>
    </dxf>
    <dxf>
      <font>
        <color rgb="FF1F4E79"/>
      </font>
      <fill>
        <patternFill patternType="solid">
          <fgColor indexed="64"/>
          <bgColor rgb="FFDDEBF7"/>
        </patternFill>
      </fill>
    </dxf>
    <dxf>
      <font>
        <color rgb="FF833C0C"/>
      </font>
      <fill>
        <patternFill patternType="solid">
          <fgColor indexed="64"/>
          <bgColor rgb="FFFCE4D6"/>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20" t="s">
        <v>3035</v>
      </c>
      <c r="B6" s="21" t="s">
        <v>3036</v>
      </c>
      <c r="C6" s="21" t="s">
        <v>3037</v>
      </c>
      <c r="D6" s="22" t="s">
        <v>3038</v>
      </c>
    </row>
    <row r="7" spans="1:6">
      <c r="A7" s="23" t="s">
        <v>3039</v>
      </c>
      <c r="B7" s="224" t="s">
        <v>3040</v>
      </c>
      <c r="C7" s="24" t="s">
        <v>2234</v>
      </c>
      <c r="D7" s="29" t="s">
        <v>3041</v>
      </c>
    </row>
    <row r="8" spans="1:6">
      <c r="A8" s="23" t="s">
        <v>3042</v>
      </c>
      <c r="B8" s="224">
        <v>730</v>
      </c>
      <c r="C8" s="24" t="s">
        <v>3043</v>
      </c>
      <c r="D8" s="29" t="s">
        <v>3044</v>
      </c>
    </row>
    <row r="9" spans="1:6">
      <c r="A9" s="23" t="s">
        <v>3045</v>
      </c>
      <c r="B9" s="224">
        <v>150</v>
      </c>
      <c r="C9" s="24" t="s">
        <v>3046</v>
      </c>
      <c r="D9" s="29" t="s">
        <v>3047</v>
      </c>
    </row>
    <row r="10" spans="1:6">
      <c r="A10" s="23" t="s">
        <v>3048</v>
      </c>
      <c r="B10" s="224">
        <v>1000000</v>
      </c>
      <c r="C10" s="24" t="s">
        <v>3049</v>
      </c>
      <c r="D10" s="29" t="s">
        <v>3050</v>
      </c>
    </row>
    <row r="11" spans="1:6">
      <c r="A11" s="23" t="s">
        <v>3051</v>
      </c>
      <c r="B11" s="224">
        <v>5000000</v>
      </c>
      <c r="C11" s="24" t="s">
        <v>3049</v>
      </c>
      <c r="D11" s="29" t="s">
        <v>3052</v>
      </c>
    </row>
    <row r="12" spans="1:6">
      <c r="A12" s="27" t="s">
        <v>3053</v>
      </c>
      <c r="B12" s="225">
        <v>10000000</v>
      </c>
      <c r="C12" s="28" t="s">
        <v>3049</v>
      </c>
      <c r="D12" s="30" t="s">
        <v>3054</v>
      </c>
    </row>
    <row r="14" spans="1:6">
      <c r="A14" s="4" t="s">
        <v>3055</v>
      </c>
    </row>
    <row r="15" spans="1:6">
      <c r="A15" s="183" t="s">
        <v>1</v>
      </c>
      <c r="B15" s="184" t="s">
        <v>3035</v>
      </c>
      <c r="C15" s="184" t="s">
        <v>3056</v>
      </c>
      <c r="D15" s="184" t="s">
        <v>3037</v>
      </c>
      <c r="E15" s="184" t="s">
        <v>12</v>
      </c>
      <c r="F15" s="185" t="s">
        <v>666</v>
      </c>
    </row>
    <row r="16" spans="1:6">
      <c r="A16" s="23" t="s">
        <v>2975</v>
      </c>
      <c r="B16" s="24" t="s">
        <v>3057</v>
      </c>
      <c r="C16" s="226">
        <v>0.25</v>
      </c>
      <c r="D16" s="24" t="s">
        <v>3058</v>
      </c>
      <c r="E16" s="24" t="s">
        <v>3059</v>
      </c>
      <c r="F16" s="29" t="s">
        <v>3060</v>
      </c>
    </row>
    <row r="17" spans="1:14">
      <c r="A17" s="23" t="s">
        <v>2975</v>
      </c>
      <c r="B17" s="24" t="s">
        <v>3061</v>
      </c>
      <c r="C17" s="226">
        <v>0.17100000000000001</v>
      </c>
      <c r="D17" s="24" t="s">
        <v>3062</v>
      </c>
      <c r="E17" s="24" t="s">
        <v>3059</v>
      </c>
      <c r="F17" s="29" t="s">
        <v>3060</v>
      </c>
    </row>
    <row r="18" spans="1:14">
      <c r="A18" s="23" t="s">
        <v>2975</v>
      </c>
      <c r="B18" s="24" t="s">
        <v>3063</v>
      </c>
      <c r="C18" s="226">
        <v>1500</v>
      </c>
      <c r="D18" s="24" t="s">
        <v>3064</v>
      </c>
      <c r="E18" s="24" t="s">
        <v>3059</v>
      </c>
      <c r="F18" s="29" t="s">
        <v>3060</v>
      </c>
    </row>
    <row r="19" spans="1:14">
      <c r="A19" s="23" t="s">
        <v>2975</v>
      </c>
      <c r="B19" s="24" t="s">
        <v>3065</v>
      </c>
      <c r="C19" s="226">
        <v>1000</v>
      </c>
      <c r="D19" s="24" t="s">
        <v>3064</v>
      </c>
      <c r="E19" s="24" t="s">
        <v>3059</v>
      </c>
      <c r="F19" s="29" t="s">
        <v>3060</v>
      </c>
    </row>
    <row r="20" spans="1:14">
      <c r="A20" s="27" t="s">
        <v>2975</v>
      </c>
      <c r="B20" s="28" t="s">
        <v>3066</v>
      </c>
      <c r="C20" s="227">
        <v>667</v>
      </c>
      <c r="D20" s="28" t="s">
        <v>3064</v>
      </c>
      <c r="E20" s="28" t="s">
        <v>3059</v>
      </c>
      <c r="F20" s="30" t="s">
        <v>3060</v>
      </c>
    </row>
    <row r="21" spans="1:14">
      <c r="A21" s="125" t="s">
        <v>3067</v>
      </c>
    </row>
    <row r="23" spans="1:14">
      <c r="A23" s="4" t="s">
        <v>3068</v>
      </c>
    </row>
    <row r="24" spans="1:14" ht="30" customHeight="1">
      <c r="A24" s="11" t="s">
        <v>1</v>
      </c>
      <c r="B24" s="12" t="s">
        <v>3069</v>
      </c>
      <c r="C24" s="12" t="s">
        <v>3070</v>
      </c>
      <c r="D24" s="12" t="s">
        <v>3071</v>
      </c>
      <c r="E24" s="12" t="s">
        <v>3072</v>
      </c>
      <c r="F24" s="12" t="s">
        <v>3073</v>
      </c>
      <c r="G24" s="12" t="s">
        <v>3074</v>
      </c>
      <c r="H24" s="12" t="s">
        <v>3037</v>
      </c>
      <c r="I24" s="12" t="s">
        <v>3075</v>
      </c>
      <c r="J24" s="12" t="s">
        <v>3076</v>
      </c>
      <c r="K24" s="12" t="s">
        <v>3077</v>
      </c>
      <c r="L24" s="12" t="s">
        <v>3078</v>
      </c>
      <c r="M24" s="13" t="s">
        <v>3079</v>
      </c>
      <c r="N24" s="252" t="s">
        <v>3038</v>
      </c>
    </row>
    <row r="25" spans="1:14">
      <c r="A25" s="213" t="s">
        <v>3080</v>
      </c>
      <c r="B25" s="8" t="s">
        <v>3081</v>
      </c>
      <c r="C25" s="181" t="s">
        <v>3082</v>
      </c>
      <c r="D25" s="181" t="s">
        <v>3083</v>
      </c>
      <c r="E25" s="208">
        <v>2190</v>
      </c>
      <c r="F25" s="208">
        <v>4380</v>
      </c>
      <c r="G25" s="208">
        <v>6570</v>
      </c>
      <c r="H25" s="14" t="s">
        <v>3084</v>
      </c>
      <c r="I25" s="210">
        <v>0.18190000000000001</v>
      </c>
      <c r="J25" s="211">
        <f>E25*$I25</f>
        <v>398.36099999999999</v>
      </c>
      <c r="K25" s="211">
        <f>F25*$I25</f>
        <v>796.72199999999998</v>
      </c>
      <c r="L25" s="211">
        <f>G25*$I25</f>
        <v>1195.0830000000001</v>
      </c>
      <c r="M25" s="16" t="s">
        <v>4641</v>
      </c>
      <c r="N25" t="s">
        <v>4642</v>
      </c>
    </row>
    <row r="26" spans="1:14">
      <c r="A26" s="213" t="s">
        <v>3080</v>
      </c>
      <c r="B26" s="8" t="s">
        <v>3085</v>
      </c>
      <c r="C26" s="181" t="s">
        <v>3086</v>
      </c>
      <c r="D26" s="181" t="s">
        <v>3087</v>
      </c>
      <c r="E26" s="208">
        <v>2190</v>
      </c>
      <c r="F26" s="208">
        <v>6570</v>
      </c>
      <c r="G26" s="208">
        <v>13140</v>
      </c>
      <c r="H26" s="14" t="s">
        <v>3084</v>
      </c>
      <c r="I26" s="210">
        <v>0.18190000000000001</v>
      </c>
      <c r="J26" s="211">
        <f>E26*$I26</f>
        <v>398.36099999999999</v>
      </c>
      <c r="K26" s="211">
        <f>F26*$I26</f>
        <v>1195.0830000000001</v>
      </c>
      <c r="L26" s="211">
        <f>G26*$I26</f>
        <v>2390.1660000000002</v>
      </c>
      <c r="M26" s="16" t="s">
        <v>4641</v>
      </c>
      <c r="N26" t="s">
        <v>4642</v>
      </c>
    </row>
    <row r="27" spans="1:14">
      <c r="A27" s="213" t="s">
        <v>3080</v>
      </c>
      <c r="B27" s="8" t="s">
        <v>3088</v>
      </c>
      <c r="C27" s="181" t="s">
        <v>3089</v>
      </c>
      <c r="D27" s="181" t="s">
        <v>3090</v>
      </c>
      <c r="E27" s="208">
        <v>4380</v>
      </c>
      <c r="F27" s="208">
        <v>4380</v>
      </c>
      <c r="G27" s="208">
        <v>4380</v>
      </c>
      <c r="H27" s="14" t="s">
        <v>3084</v>
      </c>
      <c r="I27" s="210">
        <v>9.0999999999999998E-2</v>
      </c>
      <c r="J27" s="211">
        <f>E27*$I27</f>
        <v>398.58</v>
      </c>
      <c r="K27" s="211">
        <f>F27*$I27</f>
        <v>398.58</v>
      </c>
      <c r="L27" s="211">
        <f>G27*$I27</f>
        <v>398.58</v>
      </c>
      <c r="M27" s="16" t="s">
        <v>4641</v>
      </c>
      <c r="N27" t="s">
        <v>4643</v>
      </c>
    </row>
    <row r="28" spans="1:14">
      <c r="A28" s="213" t="s">
        <v>3080</v>
      </c>
      <c r="B28" s="8" t="s">
        <v>3091</v>
      </c>
      <c r="C28" s="181" t="s">
        <v>3092</v>
      </c>
      <c r="D28" s="181" t="s">
        <v>3093</v>
      </c>
      <c r="E28" s="208">
        <v>1460</v>
      </c>
      <c r="F28" s="208">
        <v>1460</v>
      </c>
      <c r="G28" s="208">
        <v>1460</v>
      </c>
      <c r="H28" s="14" t="s">
        <v>3094</v>
      </c>
      <c r="I28" s="210">
        <v>0.25</v>
      </c>
      <c r="J28" s="211">
        <f>E28*$I28</f>
        <v>365</v>
      </c>
      <c r="K28" s="211">
        <f>F28*$I28</f>
        <v>365</v>
      </c>
      <c r="L28" s="211">
        <f>G28*$I28</f>
        <v>365</v>
      </c>
      <c r="M28" s="16" t="s">
        <v>4644</v>
      </c>
      <c r="N28" t="s">
        <v>4645</v>
      </c>
    </row>
    <row r="29" spans="1:14">
      <c r="A29" s="213" t="s">
        <v>3080</v>
      </c>
      <c r="B29" s="8" t="s">
        <v>3095</v>
      </c>
      <c r="C29" s="181" t="s">
        <v>3096</v>
      </c>
      <c r="D29" s="181" t="s">
        <v>3097</v>
      </c>
      <c r="E29" s="208">
        <v>1642</v>
      </c>
      <c r="F29" s="208">
        <v>3103</v>
      </c>
      <c r="G29" s="208">
        <v>5658</v>
      </c>
      <c r="H29" s="14" t="s">
        <v>3098</v>
      </c>
      <c r="I29" s="210">
        <v>0.17100000000000001</v>
      </c>
      <c r="J29" s="211">
        <f>E29*$I29</f>
        <v>280.78200000000004</v>
      </c>
      <c r="K29" s="211">
        <f>F29*$I29</f>
        <v>530.61300000000006</v>
      </c>
      <c r="L29" s="211">
        <f>G29*$I29</f>
        <v>967.51800000000003</v>
      </c>
      <c r="M29" s="16" t="s">
        <v>4644</v>
      </c>
      <c r="N29" t="s">
        <v>4645</v>
      </c>
    </row>
    <row r="30" spans="1:14">
      <c r="A30" s="275" t="s">
        <v>3080</v>
      </c>
      <c r="B30" s="276" t="s">
        <v>3099</v>
      </c>
      <c r="C30" s="277" t="s">
        <v>3100</v>
      </c>
      <c r="D30" s="277" t="s">
        <v>4843</v>
      </c>
      <c r="E30" s="278">
        <v>1320</v>
      </c>
      <c r="F30" s="278">
        <v>2400</v>
      </c>
      <c r="G30" s="278">
        <v>3840</v>
      </c>
      <c r="H30" s="279" t="s">
        <v>3101</v>
      </c>
      <c r="I30" s="280">
        <v>9.6000000000000002E-2</v>
      </c>
      <c r="J30" s="281">
        <f>E30*$I30</f>
        <v>126.72</v>
      </c>
      <c r="K30" s="281">
        <f>F30*$I30</f>
        <v>230.4</v>
      </c>
      <c r="L30" s="281">
        <f>G30*$I30</f>
        <v>368.64</v>
      </c>
      <c r="M30" s="282" t="s">
        <v>4646</v>
      </c>
      <c r="N30" s="228" t="s">
        <v>4844</v>
      </c>
    </row>
    <row r="31" spans="1:14">
      <c r="A31" s="213" t="s">
        <v>3102</v>
      </c>
      <c r="B31" s="8" t="s">
        <v>3103</v>
      </c>
      <c r="C31" s="181" t="s">
        <v>3104</v>
      </c>
      <c r="D31" s="181" t="s">
        <v>3105</v>
      </c>
      <c r="E31" s="208">
        <v>2190</v>
      </c>
      <c r="F31" s="208">
        <v>2190</v>
      </c>
      <c r="G31" s="208">
        <v>2190</v>
      </c>
      <c r="H31" s="14" t="s">
        <v>3084</v>
      </c>
      <c r="I31" s="210">
        <v>0.66500000000000004</v>
      </c>
      <c r="J31" s="211">
        <f>E31*$I31</f>
        <v>1456.3500000000001</v>
      </c>
      <c r="K31" s="211">
        <f>F31*$I31</f>
        <v>1456.3500000000001</v>
      </c>
      <c r="L31" s="211">
        <f>G31*$I31</f>
        <v>1456.3500000000001</v>
      </c>
      <c r="M31" s="16" t="s">
        <v>4647</v>
      </c>
      <c r="N31" t="s">
        <v>4648</v>
      </c>
    </row>
    <row r="32" spans="1:14">
      <c r="A32" s="213" t="s">
        <v>3102</v>
      </c>
      <c r="B32" s="8" t="s">
        <v>3106</v>
      </c>
      <c r="C32" s="181" t="s">
        <v>3107</v>
      </c>
      <c r="D32" s="181" t="s">
        <v>3105</v>
      </c>
      <c r="E32" s="208">
        <v>2190</v>
      </c>
      <c r="F32" s="208">
        <v>2190</v>
      </c>
      <c r="G32" s="208">
        <v>2190</v>
      </c>
      <c r="H32" s="14" t="s">
        <v>3084</v>
      </c>
      <c r="I32" s="210">
        <v>0.66500000000000004</v>
      </c>
      <c r="J32" s="211">
        <f>E32*$I32</f>
        <v>1456.3500000000001</v>
      </c>
      <c r="K32" s="211">
        <f>F32*$I32</f>
        <v>1456.3500000000001</v>
      </c>
      <c r="L32" s="211">
        <f>G32*$I32</f>
        <v>1456.3500000000001</v>
      </c>
      <c r="M32" s="16" t="s">
        <v>4647</v>
      </c>
      <c r="N32" t="s">
        <v>4648</v>
      </c>
    </row>
    <row r="33" spans="1:14">
      <c r="A33" s="213" t="s">
        <v>3102</v>
      </c>
      <c r="B33" s="8" t="s">
        <v>3108</v>
      </c>
      <c r="C33" s="181" t="s">
        <v>3109</v>
      </c>
      <c r="D33" s="181" t="s">
        <v>3110</v>
      </c>
      <c r="E33" s="208">
        <v>200</v>
      </c>
      <c r="F33" s="208">
        <v>1000</v>
      </c>
      <c r="G33" s="208">
        <v>2000</v>
      </c>
      <c r="H33" s="14" t="s">
        <v>3101</v>
      </c>
      <c r="I33" s="210">
        <v>0.12</v>
      </c>
      <c r="J33" s="211">
        <f>E33*$I33</f>
        <v>24</v>
      </c>
      <c r="K33" s="211">
        <f>F33*$I33</f>
        <v>120</v>
      </c>
      <c r="L33" s="211">
        <f>G33*$I33</f>
        <v>240</v>
      </c>
      <c r="M33" s="16" t="s">
        <v>4647</v>
      </c>
      <c r="N33" t="s">
        <v>4649</v>
      </c>
    </row>
    <row r="34" spans="1:14">
      <c r="A34" s="275" t="s">
        <v>3102</v>
      </c>
      <c r="B34" s="276" t="s">
        <v>3111</v>
      </c>
      <c r="C34" s="277" t="s">
        <v>3112</v>
      </c>
      <c r="D34" s="277" t="s">
        <v>3113</v>
      </c>
      <c r="E34" s="278">
        <v>50000000</v>
      </c>
      <c r="F34" s="278">
        <v>250000000</v>
      </c>
      <c r="G34" s="278">
        <v>500000000</v>
      </c>
      <c r="H34" s="279" t="s">
        <v>4650</v>
      </c>
      <c r="I34" s="280">
        <v>2.3999999999999998E-7</v>
      </c>
      <c r="J34" s="281">
        <f>E34*$I34</f>
        <v>11.999999999999998</v>
      </c>
      <c r="K34" s="281">
        <f>F34*$I34</f>
        <v>59.999999999999993</v>
      </c>
      <c r="L34" s="281">
        <f>G34*$I34</f>
        <v>119.99999999999999</v>
      </c>
      <c r="M34" s="282" t="s">
        <v>4647</v>
      </c>
      <c r="N34" s="228" t="s">
        <v>4651</v>
      </c>
    </row>
    <row r="35" spans="1:14">
      <c r="A35" s="213" t="s">
        <v>3102</v>
      </c>
      <c r="B35" s="8" t="s">
        <v>3115</v>
      </c>
      <c r="C35" s="181" t="s">
        <v>3116</v>
      </c>
      <c r="D35" s="181" t="s">
        <v>3117</v>
      </c>
      <c r="E35" s="208">
        <v>400</v>
      </c>
      <c r="F35" s="208">
        <v>2000</v>
      </c>
      <c r="G35" s="208">
        <v>4000</v>
      </c>
      <c r="H35" s="14" t="s">
        <v>3101</v>
      </c>
      <c r="I35" s="210">
        <v>2.3E-2</v>
      </c>
      <c r="J35" s="211">
        <f>E35*$I35</f>
        <v>9.1999999999999993</v>
      </c>
      <c r="K35" s="211">
        <f>F35*$I35</f>
        <v>46</v>
      </c>
      <c r="L35" s="211">
        <f>G35*$I35</f>
        <v>92</v>
      </c>
      <c r="M35" s="16" t="s">
        <v>4647</v>
      </c>
    </row>
    <row r="36" spans="1:14">
      <c r="A36" s="213" t="s">
        <v>3102</v>
      </c>
      <c r="B36" s="8" t="s">
        <v>3118</v>
      </c>
      <c r="C36" s="181" t="s">
        <v>3119</v>
      </c>
      <c r="D36" s="181" t="s">
        <v>3120</v>
      </c>
      <c r="E36" s="208">
        <v>200</v>
      </c>
      <c r="F36" s="208">
        <v>1000</v>
      </c>
      <c r="G36" s="208">
        <v>2000</v>
      </c>
      <c r="H36" s="14" t="s">
        <v>3101</v>
      </c>
      <c r="I36" s="210">
        <v>0.12</v>
      </c>
      <c r="J36" s="211">
        <f>E36*$I36</f>
        <v>24</v>
      </c>
      <c r="K36" s="211">
        <f>F36*$I36</f>
        <v>120</v>
      </c>
      <c r="L36" s="211">
        <f>G36*$I36</f>
        <v>240</v>
      </c>
      <c r="M36" s="16" t="s">
        <v>4647</v>
      </c>
      <c r="N36" t="s">
        <v>4652</v>
      </c>
    </row>
    <row r="37" spans="1:14">
      <c r="A37" s="213" t="s">
        <v>3121</v>
      </c>
      <c r="B37" s="8" t="s">
        <v>3122</v>
      </c>
      <c r="C37" s="181" t="s">
        <v>3123</v>
      </c>
      <c r="D37" s="181" t="s">
        <v>3124</v>
      </c>
      <c r="E37" s="208">
        <v>1460</v>
      </c>
      <c r="F37" s="208">
        <v>1460</v>
      </c>
      <c r="G37" s="208">
        <v>1460</v>
      </c>
      <c r="H37" s="14" t="s">
        <v>3125</v>
      </c>
      <c r="I37" s="210">
        <v>2.4299999999999999E-2</v>
      </c>
      <c r="J37" s="211">
        <f>E37*$I37</f>
        <v>35.478000000000002</v>
      </c>
      <c r="K37" s="211">
        <f>F37*$I37</f>
        <v>35.478000000000002</v>
      </c>
      <c r="L37" s="211">
        <f>G37*$I37</f>
        <v>35.478000000000002</v>
      </c>
      <c r="M37" s="16" t="s">
        <v>4653</v>
      </c>
      <c r="N37" t="s">
        <v>4654</v>
      </c>
    </row>
    <row r="38" spans="1:14">
      <c r="A38" s="213" t="s">
        <v>3121</v>
      </c>
      <c r="B38" s="8" t="s">
        <v>3126</v>
      </c>
      <c r="C38" s="181" t="s">
        <v>3127</v>
      </c>
      <c r="D38" s="181" t="s">
        <v>3128</v>
      </c>
      <c r="E38" s="208">
        <v>730</v>
      </c>
      <c r="F38" s="208">
        <v>730</v>
      </c>
      <c r="G38" s="208">
        <v>730</v>
      </c>
      <c r="H38" s="14" t="s">
        <v>3129</v>
      </c>
      <c r="I38" s="210">
        <v>2.4299999999999999E-2</v>
      </c>
      <c r="J38" s="211">
        <f>E38*$I38</f>
        <v>17.739000000000001</v>
      </c>
      <c r="K38" s="211">
        <f>F38*$I38</f>
        <v>17.739000000000001</v>
      </c>
      <c r="L38" s="211">
        <f>G38*$I38</f>
        <v>17.739000000000001</v>
      </c>
      <c r="M38" s="16" t="s">
        <v>4653</v>
      </c>
      <c r="N38" t="s">
        <v>4655</v>
      </c>
    </row>
    <row r="39" spans="1:14">
      <c r="A39" s="213" t="s">
        <v>3121</v>
      </c>
      <c r="B39" s="8" t="s">
        <v>3130</v>
      </c>
      <c r="C39" s="181" t="s">
        <v>3131</v>
      </c>
      <c r="D39" s="181" t="s">
        <v>3132</v>
      </c>
      <c r="E39" s="208">
        <v>500</v>
      </c>
      <c r="F39" s="208">
        <v>2500</v>
      </c>
      <c r="G39" s="208">
        <v>5000</v>
      </c>
      <c r="H39" s="14" t="s">
        <v>3133</v>
      </c>
      <c r="I39" s="210">
        <v>0.114</v>
      </c>
      <c r="J39" s="211">
        <f>E39*$I39</f>
        <v>57</v>
      </c>
      <c r="K39" s="211">
        <f>F39*$I39</f>
        <v>285</v>
      </c>
      <c r="L39" s="211">
        <f>G39*$I39</f>
        <v>570</v>
      </c>
      <c r="M39" s="16" t="s">
        <v>4656</v>
      </c>
      <c r="N39" t="s">
        <v>4657</v>
      </c>
    </row>
    <row r="40" spans="1:14">
      <c r="A40" s="213" t="s">
        <v>3121</v>
      </c>
      <c r="B40" s="8" t="s">
        <v>3134</v>
      </c>
      <c r="C40" s="181" t="s">
        <v>3135</v>
      </c>
      <c r="D40" s="181" t="s">
        <v>3136</v>
      </c>
      <c r="E40" s="208">
        <v>10</v>
      </c>
      <c r="F40" s="208">
        <v>50</v>
      </c>
      <c r="G40" s="208">
        <v>100</v>
      </c>
      <c r="H40" s="14" t="s">
        <v>3114</v>
      </c>
      <c r="I40" s="210">
        <v>0.6</v>
      </c>
      <c r="J40" s="211">
        <f>E40*$I40</f>
        <v>6</v>
      </c>
      <c r="K40" s="211">
        <f>F40*$I40</f>
        <v>30</v>
      </c>
      <c r="L40" s="211">
        <f>G40*$I40</f>
        <v>60</v>
      </c>
      <c r="M40" s="16" t="s">
        <v>4658</v>
      </c>
      <c r="N40" t="s">
        <v>4659</v>
      </c>
    </row>
    <row r="41" spans="1:14">
      <c r="A41" s="213" t="s">
        <v>3121</v>
      </c>
      <c r="B41" s="8" t="s">
        <v>3137</v>
      </c>
      <c r="C41" s="181" t="s">
        <v>3138</v>
      </c>
      <c r="D41" s="181" t="s">
        <v>3139</v>
      </c>
      <c r="E41" s="208">
        <v>1460</v>
      </c>
      <c r="F41" s="208">
        <v>1460</v>
      </c>
      <c r="G41" s="208">
        <v>1460</v>
      </c>
      <c r="H41" s="14" t="s">
        <v>3140</v>
      </c>
      <c r="I41" s="210">
        <v>1.4E-2</v>
      </c>
      <c r="J41" s="211">
        <f>E41*$I41</f>
        <v>20.440000000000001</v>
      </c>
      <c r="K41" s="211">
        <f>F41*$I41</f>
        <v>20.440000000000001</v>
      </c>
      <c r="L41" s="211">
        <f>G41*$I41</f>
        <v>20.440000000000001</v>
      </c>
      <c r="M41" s="16" t="s">
        <v>4660</v>
      </c>
    </row>
    <row r="42" spans="1:14">
      <c r="A42" s="213" t="s">
        <v>3121</v>
      </c>
      <c r="B42" s="8" t="s">
        <v>3141</v>
      </c>
      <c r="C42" s="181" t="s">
        <v>3142</v>
      </c>
      <c r="D42" s="181" t="s">
        <v>3143</v>
      </c>
      <c r="E42" s="208">
        <v>7300</v>
      </c>
      <c r="F42" s="208">
        <v>7300</v>
      </c>
      <c r="G42" s="208">
        <v>7300</v>
      </c>
      <c r="H42" s="14" t="s">
        <v>3140</v>
      </c>
      <c r="I42" s="210">
        <v>1.4E-2</v>
      </c>
      <c r="J42" s="211">
        <f>E42*$I42</f>
        <v>102.2</v>
      </c>
      <c r="K42" s="211">
        <f>F42*$I42</f>
        <v>102.2</v>
      </c>
      <c r="L42" s="211">
        <f>G42*$I42</f>
        <v>102.2</v>
      </c>
      <c r="M42" s="16" t="s">
        <v>4660</v>
      </c>
    </row>
    <row r="43" spans="1:14">
      <c r="A43" s="213" t="s">
        <v>3121</v>
      </c>
      <c r="B43" s="8" t="s">
        <v>3144</v>
      </c>
      <c r="C43" s="181" t="s">
        <v>3145</v>
      </c>
      <c r="D43" s="181" t="s">
        <v>3146</v>
      </c>
      <c r="E43" s="208">
        <v>10000000</v>
      </c>
      <c r="F43" s="208">
        <v>50000000</v>
      </c>
      <c r="G43" s="208">
        <v>100000000</v>
      </c>
      <c r="H43" s="14" t="s">
        <v>4661</v>
      </c>
      <c r="I43" s="210">
        <v>3.9999999999999998E-7</v>
      </c>
      <c r="J43" s="211">
        <f>E43*$I43</f>
        <v>4</v>
      </c>
      <c r="K43" s="211">
        <f>F43*$I43</f>
        <v>20</v>
      </c>
      <c r="L43" s="211">
        <f>G43*$I43</f>
        <v>40</v>
      </c>
      <c r="M43" s="16" t="s">
        <v>4662</v>
      </c>
      <c r="N43" t="s">
        <v>4663</v>
      </c>
    </row>
    <row r="44" spans="1:14">
      <c r="A44" s="213" t="s">
        <v>3121</v>
      </c>
      <c r="B44" s="8" t="s">
        <v>3147</v>
      </c>
      <c r="C44" s="181" t="s">
        <v>3148</v>
      </c>
      <c r="D44" s="181" t="s">
        <v>3149</v>
      </c>
      <c r="E44" s="208">
        <v>100</v>
      </c>
      <c r="F44" s="208">
        <v>500</v>
      </c>
      <c r="G44" s="208">
        <v>1000</v>
      </c>
      <c r="H44" s="14" t="s">
        <v>3133</v>
      </c>
      <c r="I44" s="210">
        <v>0.09</v>
      </c>
      <c r="J44" s="211">
        <f>E44*$I44</f>
        <v>9</v>
      </c>
      <c r="K44" s="211">
        <f>F44*$I44</f>
        <v>45</v>
      </c>
      <c r="L44" s="211">
        <f>G44*$I44</f>
        <v>90</v>
      </c>
      <c r="M44" s="16" t="s">
        <v>4641</v>
      </c>
      <c r="N44" t="s">
        <v>4664</v>
      </c>
    </row>
    <row r="45" spans="1:14">
      <c r="A45" s="213" t="s">
        <v>3121</v>
      </c>
      <c r="B45" s="8" t="s">
        <v>3150</v>
      </c>
      <c r="C45" s="181" t="s">
        <v>3151</v>
      </c>
      <c r="D45" s="181" t="s">
        <v>3152</v>
      </c>
      <c r="E45" s="208">
        <v>50</v>
      </c>
      <c r="F45" s="208">
        <v>250</v>
      </c>
      <c r="G45" s="208">
        <v>500</v>
      </c>
      <c r="H45" s="14" t="s">
        <v>3133</v>
      </c>
      <c r="I45" s="210">
        <v>0.114</v>
      </c>
      <c r="J45" s="211">
        <f>E45*$I45</f>
        <v>5.7</v>
      </c>
      <c r="K45" s="211">
        <f>F45*$I45</f>
        <v>28.5</v>
      </c>
      <c r="L45" s="211">
        <f>G45*$I45</f>
        <v>57</v>
      </c>
      <c r="M45" s="16" t="s">
        <v>4641</v>
      </c>
      <c r="N45" t="s">
        <v>4665</v>
      </c>
    </row>
    <row r="46" spans="1:14">
      <c r="A46" s="213" t="s">
        <v>3153</v>
      </c>
      <c r="B46" s="8" t="s">
        <v>3154</v>
      </c>
      <c r="C46" s="181" t="s">
        <v>3155</v>
      </c>
      <c r="D46" s="181" t="s">
        <v>3156</v>
      </c>
      <c r="E46" s="208">
        <v>10000000</v>
      </c>
      <c r="F46" s="208">
        <v>30000000</v>
      </c>
      <c r="G46" s="208">
        <v>50000000</v>
      </c>
      <c r="H46" s="14" t="s">
        <v>4666</v>
      </c>
      <c r="I46" s="210">
        <v>1.9999999999999999E-7</v>
      </c>
      <c r="J46" s="211">
        <f>E46*$I46</f>
        <v>2</v>
      </c>
      <c r="K46" s="211">
        <f>F46*$I46</f>
        <v>6</v>
      </c>
      <c r="L46" s="211">
        <f>G46*$I46</f>
        <v>10</v>
      </c>
      <c r="M46" s="16" t="s">
        <v>4667</v>
      </c>
      <c r="N46" t="s">
        <v>4668</v>
      </c>
    </row>
    <row r="47" spans="1:14">
      <c r="A47" s="213" t="s">
        <v>3153</v>
      </c>
      <c r="B47" s="8" t="s">
        <v>3157</v>
      </c>
      <c r="C47" s="181" t="s">
        <v>3158</v>
      </c>
      <c r="D47" s="181" t="s">
        <v>3159</v>
      </c>
      <c r="E47" s="208">
        <v>5000000</v>
      </c>
      <c r="F47" s="208">
        <v>15000000</v>
      </c>
      <c r="G47" s="208">
        <v>25000000</v>
      </c>
      <c r="H47" s="14" t="s">
        <v>4666</v>
      </c>
      <c r="I47" s="210">
        <v>1.9999999999999999E-7</v>
      </c>
      <c r="J47" s="211">
        <f>E47*$I47</f>
        <v>1</v>
      </c>
      <c r="K47" s="211">
        <f>F47*$I47</f>
        <v>3</v>
      </c>
      <c r="L47" s="211">
        <f>G47*$I47</f>
        <v>5</v>
      </c>
      <c r="M47" s="16" t="s">
        <v>4667</v>
      </c>
      <c r="N47" t="s">
        <v>4669</v>
      </c>
    </row>
    <row r="48" spans="1:14">
      <c r="A48" s="213" t="s">
        <v>3153</v>
      </c>
      <c r="B48" s="8" t="s">
        <v>3160</v>
      </c>
      <c r="C48" s="181" t="s">
        <v>3161</v>
      </c>
      <c r="D48" s="181" t="s">
        <v>3162</v>
      </c>
      <c r="E48" s="208">
        <v>10000000</v>
      </c>
      <c r="F48" s="208">
        <v>30000000</v>
      </c>
      <c r="G48" s="208">
        <v>50000000</v>
      </c>
      <c r="H48" s="14" t="s">
        <v>4666</v>
      </c>
      <c r="I48" s="210">
        <v>1.2899999999999999E-6</v>
      </c>
      <c r="J48" s="211">
        <f>E48*$I48</f>
        <v>12.899999999999999</v>
      </c>
      <c r="K48" s="211">
        <f>F48*$I48</f>
        <v>38.699999999999996</v>
      </c>
      <c r="L48" s="211">
        <f>G48*$I48</f>
        <v>64.5</v>
      </c>
      <c r="M48" s="16" t="s">
        <v>4670</v>
      </c>
      <c r="N48" t="s">
        <v>4671</v>
      </c>
    </row>
    <row r="49" spans="1:14">
      <c r="A49" s="213" t="s">
        <v>3153</v>
      </c>
      <c r="B49" s="8" t="s">
        <v>3163</v>
      </c>
      <c r="C49" s="181" t="s">
        <v>3164</v>
      </c>
      <c r="D49" s="181" t="s">
        <v>3165</v>
      </c>
      <c r="E49" s="208">
        <v>5000000</v>
      </c>
      <c r="F49" s="208">
        <v>15000000</v>
      </c>
      <c r="G49" s="208">
        <v>25000000</v>
      </c>
      <c r="H49" s="14" t="s">
        <v>4672</v>
      </c>
      <c r="I49" s="210">
        <v>9.9999999999999995E-8</v>
      </c>
      <c r="J49" s="211">
        <f>E49*$I49</f>
        <v>0.5</v>
      </c>
      <c r="K49" s="211">
        <f>F49*$I49</f>
        <v>1.5</v>
      </c>
      <c r="L49" s="211">
        <f>G49*$I49</f>
        <v>2.5</v>
      </c>
      <c r="M49" s="16" t="s">
        <v>4673</v>
      </c>
      <c r="N49" t="s">
        <v>4674</v>
      </c>
    </row>
    <row r="50" spans="1:14">
      <c r="A50" s="213" t="s">
        <v>3153</v>
      </c>
      <c r="B50" s="8" t="s">
        <v>3166</v>
      </c>
      <c r="C50" s="181" t="s">
        <v>3167</v>
      </c>
      <c r="D50" s="181" t="s">
        <v>3168</v>
      </c>
      <c r="E50" s="208">
        <v>5000000</v>
      </c>
      <c r="F50" s="208">
        <v>25000000</v>
      </c>
      <c r="G50" s="208">
        <v>50000000</v>
      </c>
      <c r="H50" s="14" t="s">
        <v>4675</v>
      </c>
      <c r="I50" s="210">
        <v>8.8999999999999995E-7</v>
      </c>
      <c r="J50" s="211">
        <f>E50*$I50</f>
        <v>4.45</v>
      </c>
      <c r="K50" s="211">
        <f>F50*$I50</f>
        <v>22.25</v>
      </c>
      <c r="L50" s="211">
        <f>G50*$I50</f>
        <v>44.5</v>
      </c>
      <c r="M50" s="16" t="s">
        <v>4676</v>
      </c>
      <c r="N50" t="s">
        <v>4677</v>
      </c>
    </row>
    <row r="51" spans="1:14">
      <c r="A51" s="213" t="s">
        <v>1532</v>
      </c>
      <c r="B51" s="8" t="s">
        <v>3169</v>
      </c>
      <c r="C51" s="181" t="s">
        <v>3170</v>
      </c>
      <c r="D51" s="181" t="s">
        <v>3171</v>
      </c>
      <c r="E51" s="208">
        <v>10</v>
      </c>
      <c r="F51" s="208">
        <v>10</v>
      </c>
      <c r="G51" s="208">
        <v>10</v>
      </c>
      <c r="H51" s="14" t="s">
        <v>3172</v>
      </c>
      <c r="I51" s="210">
        <v>1</v>
      </c>
      <c r="J51" s="211">
        <f>E51*$I51</f>
        <v>10</v>
      </c>
      <c r="K51" s="211">
        <f>F51*$I51</f>
        <v>10</v>
      </c>
      <c r="L51" s="211">
        <f>G51*$I51</f>
        <v>10</v>
      </c>
      <c r="M51" s="16" t="s">
        <v>4678</v>
      </c>
      <c r="N51" t="s">
        <v>4679</v>
      </c>
    </row>
    <row r="52" spans="1:14">
      <c r="A52" s="213" t="s">
        <v>1532</v>
      </c>
      <c r="B52" s="8" t="s">
        <v>3173</v>
      </c>
      <c r="C52" s="181" t="s">
        <v>3174</v>
      </c>
      <c r="D52" s="181" t="s">
        <v>3175</v>
      </c>
      <c r="E52" s="208">
        <v>30</v>
      </c>
      <c r="F52" s="208">
        <v>30</v>
      </c>
      <c r="G52" s="208">
        <v>30</v>
      </c>
      <c r="H52" s="14" t="s">
        <v>3176</v>
      </c>
      <c r="I52" s="210">
        <v>0.4</v>
      </c>
      <c r="J52" s="211">
        <f>E52*$I52</f>
        <v>12</v>
      </c>
      <c r="K52" s="211">
        <f>F52*$I52</f>
        <v>12</v>
      </c>
      <c r="L52" s="211">
        <f>G52*$I52</f>
        <v>12</v>
      </c>
      <c r="M52" s="16" t="s">
        <v>4680</v>
      </c>
    </row>
    <row r="53" spans="1:14">
      <c r="A53" s="275" t="s">
        <v>1532</v>
      </c>
      <c r="B53" s="276" t="s">
        <v>3177</v>
      </c>
      <c r="C53" s="277" t="s">
        <v>3178</v>
      </c>
      <c r="D53" s="277" t="s">
        <v>3179</v>
      </c>
      <c r="E53" s="278">
        <v>1</v>
      </c>
      <c r="F53" s="278">
        <v>1</v>
      </c>
      <c r="G53" s="278">
        <v>1</v>
      </c>
      <c r="H53" s="279" t="s">
        <v>3180</v>
      </c>
      <c r="I53" s="280">
        <v>400</v>
      </c>
      <c r="J53" s="281">
        <f>E53*$I53</f>
        <v>400</v>
      </c>
      <c r="K53" s="281">
        <f>F53*$I53</f>
        <v>400</v>
      </c>
      <c r="L53" s="281">
        <f>G53*$I53</f>
        <v>400</v>
      </c>
      <c r="M53" s="282" t="s">
        <v>4681</v>
      </c>
      <c r="N53" s="228" t="s">
        <v>4845</v>
      </c>
    </row>
    <row r="54" spans="1:14">
      <c r="A54" s="213" t="s">
        <v>1532</v>
      </c>
      <c r="B54" s="8" t="s">
        <v>3181</v>
      </c>
      <c r="C54" s="181" t="s">
        <v>3182</v>
      </c>
      <c r="D54" s="181" t="s">
        <v>3183</v>
      </c>
      <c r="E54" s="208">
        <v>400</v>
      </c>
      <c r="F54" s="208">
        <v>2000</v>
      </c>
      <c r="G54" s="208">
        <v>4000</v>
      </c>
      <c r="H54" s="14" t="s">
        <v>3101</v>
      </c>
      <c r="I54" s="210">
        <v>0.09</v>
      </c>
      <c r="J54" s="211">
        <f>E54*$I54</f>
        <v>36</v>
      </c>
      <c r="K54" s="211">
        <f>F54*$I54</f>
        <v>180</v>
      </c>
      <c r="L54" s="211">
        <f>G54*$I54</f>
        <v>360</v>
      </c>
      <c r="M54" s="16" t="s">
        <v>4682</v>
      </c>
    </row>
    <row r="55" spans="1:14">
      <c r="A55" s="213" t="s">
        <v>3184</v>
      </c>
      <c r="B55" s="8" t="s">
        <v>3185</v>
      </c>
      <c r="C55" s="181" t="s">
        <v>3186</v>
      </c>
      <c r="D55" s="181" t="s">
        <v>3187</v>
      </c>
      <c r="E55" s="208">
        <v>100</v>
      </c>
      <c r="F55" s="208">
        <v>500</v>
      </c>
      <c r="G55" s="208">
        <v>1000</v>
      </c>
      <c r="H55" s="14" t="s">
        <v>3133</v>
      </c>
      <c r="I55" s="210">
        <v>0.76</v>
      </c>
      <c r="J55" s="211">
        <f>E55*$I55</f>
        <v>76</v>
      </c>
      <c r="K55" s="211">
        <f>F55*$I55</f>
        <v>380</v>
      </c>
      <c r="L55" s="211">
        <f>G55*$I55</f>
        <v>760</v>
      </c>
      <c r="M55" s="16" t="s">
        <v>4683</v>
      </c>
      <c r="N55" t="s">
        <v>4684</v>
      </c>
    </row>
    <row r="56" spans="1:14">
      <c r="A56" s="213" t="s">
        <v>3184</v>
      </c>
      <c r="B56" s="8" t="s">
        <v>3188</v>
      </c>
      <c r="C56" s="181" t="s">
        <v>3189</v>
      </c>
      <c r="D56" s="181" t="s">
        <v>3190</v>
      </c>
      <c r="E56" s="208">
        <v>1460</v>
      </c>
      <c r="F56" s="208">
        <v>2190</v>
      </c>
      <c r="G56" s="208">
        <v>2920</v>
      </c>
      <c r="H56" s="14" t="s">
        <v>3084</v>
      </c>
      <c r="I56" s="210">
        <v>0.16400000000000001</v>
      </c>
      <c r="J56" s="211">
        <f>E56*$I56</f>
        <v>239.44</v>
      </c>
      <c r="K56" s="211">
        <f>F56*$I56</f>
        <v>359.16</v>
      </c>
      <c r="L56" s="211">
        <f>G56*$I56</f>
        <v>478.88</v>
      </c>
      <c r="M56" s="16" t="s">
        <v>4685</v>
      </c>
      <c r="N56" t="s">
        <v>4686</v>
      </c>
    </row>
    <row r="57" spans="1:14">
      <c r="A57" s="213" t="s">
        <v>3184</v>
      </c>
      <c r="B57" s="8" t="s">
        <v>3191</v>
      </c>
      <c r="C57" s="181" t="s">
        <v>3192</v>
      </c>
      <c r="D57" s="181" t="s">
        <v>3193</v>
      </c>
      <c r="E57" s="208">
        <v>5000</v>
      </c>
      <c r="F57" s="208">
        <v>25000</v>
      </c>
      <c r="G57" s="208">
        <v>50000</v>
      </c>
      <c r="H57" s="14" t="s">
        <v>3101</v>
      </c>
      <c r="I57" s="210">
        <v>2E-3</v>
      </c>
      <c r="J57" s="211">
        <f>E57*$I57</f>
        <v>10</v>
      </c>
      <c r="K57" s="211">
        <f>F57*$I57</f>
        <v>50</v>
      </c>
      <c r="L57" s="211">
        <f>G57*$I57</f>
        <v>100</v>
      </c>
      <c r="M57" s="16" t="s">
        <v>4687</v>
      </c>
      <c r="N57" t="s">
        <v>4688</v>
      </c>
    </row>
    <row r="58" spans="1:14">
      <c r="A58" s="213" t="s">
        <v>3184</v>
      </c>
      <c r="B58" s="8" t="s">
        <v>3194</v>
      </c>
      <c r="C58" s="181" t="s">
        <v>3195</v>
      </c>
      <c r="D58" s="181" t="s">
        <v>3196</v>
      </c>
      <c r="E58" s="208">
        <v>100000</v>
      </c>
      <c r="F58" s="208">
        <v>500000</v>
      </c>
      <c r="G58" s="208">
        <v>1000000</v>
      </c>
      <c r="H58" s="14" t="s">
        <v>4689</v>
      </c>
      <c r="I58" s="210">
        <v>1E-4</v>
      </c>
      <c r="J58" s="211">
        <f>E58*$I58</f>
        <v>10</v>
      </c>
      <c r="K58" s="211">
        <f>F58*$I58</f>
        <v>50</v>
      </c>
      <c r="L58" s="211">
        <f>G58*$I58</f>
        <v>100</v>
      </c>
      <c r="M58" s="16" t="s">
        <v>4690</v>
      </c>
      <c r="N58" t="s">
        <v>4691</v>
      </c>
    </row>
    <row r="59" spans="1:14">
      <c r="A59" s="213" t="s">
        <v>3184</v>
      </c>
      <c r="B59" s="8" t="s">
        <v>3197</v>
      </c>
      <c r="C59" s="181" t="s">
        <v>3198</v>
      </c>
      <c r="D59" s="181" t="s">
        <v>3199</v>
      </c>
      <c r="E59" s="208">
        <v>131400</v>
      </c>
      <c r="F59" s="208">
        <v>131400</v>
      </c>
      <c r="G59" s="208">
        <v>131400</v>
      </c>
      <c r="H59" s="14" t="s">
        <v>3200</v>
      </c>
      <c r="I59" s="210">
        <v>1.9E-3</v>
      </c>
      <c r="J59" s="211">
        <f>E59*$I59</f>
        <v>249.66</v>
      </c>
      <c r="K59" s="211">
        <f>F59*$I59</f>
        <v>249.66</v>
      </c>
      <c r="L59" s="211">
        <f>G59*$I59</f>
        <v>249.66</v>
      </c>
      <c r="M59" s="16"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20" t="s">
        <v>1</v>
      </c>
      <c r="B63" s="21" t="s">
        <v>2741</v>
      </c>
      <c r="C63" s="21" t="s">
        <v>3076</v>
      </c>
      <c r="D63" s="21" t="s">
        <v>3077</v>
      </c>
      <c r="E63" s="22" t="s">
        <v>3078</v>
      </c>
    </row>
    <row r="64" spans="1:14">
      <c r="A64" s="23" t="s">
        <v>3080</v>
      </c>
      <c r="B64" s="214">
        <f>COUNTIF($A$25:$A$59,$A64)</f>
        <v>6</v>
      </c>
      <c r="C64" s="215">
        <f>SUMIF($A$25:$A$59,$A64,$J$25:$J$59)</f>
        <v>1967.8039999999999</v>
      </c>
      <c r="D64" s="215">
        <f>SUMIF($A$25:$A$59,$A64,$K$25:$K$59)</f>
        <v>3516.3980000000006</v>
      </c>
      <c r="E64" s="216">
        <f>SUMIF($A$25:$A$59,$A64,$L$25:$L$59)</f>
        <v>5684.9870000000001</v>
      </c>
    </row>
    <row r="65" spans="1:6">
      <c r="A65" s="23" t="s">
        <v>3102</v>
      </c>
      <c r="B65" s="214">
        <f>COUNTIF($A$25:$A$59,$A65)</f>
        <v>6</v>
      </c>
      <c r="C65" s="215">
        <f>SUMIF($A$25:$A$59,$A65,$J$25:$J$59)</f>
        <v>2981.9</v>
      </c>
      <c r="D65" s="215">
        <f>SUMIF($A$25:$A$59,$A65,$K$25:$K$59)</f>
        <v>3258.7000000000003</v>
      </c>
      <c r="E65" s="216">
        <f>SUMIF($A$25:$A$59,$A65,$L$25:$L$59)</f>
        <v>3604.7000000000003</v>
      </c>
    </row>
    <row r="66" spans="1:6">
      <c r="A66" s="23" t="s">
        <v>3121</v>
      </c>
      <c r="B66" s="214">
        <f>COUNTIF($A$25:$A$59,$A66)</f>
        <v>9</v>
      </c>
      <c r="C66" s="215">
        <f>SUMIF($A$25:$A$59,$A66,$J$25:$J$59)</f>
        <v>257.55700000000002</v>
      </c>
      <c r="D66" s="215">
        <f>SUMIF($A$25:$A$59,$A66,$K$25:$K$59)</f>
        <v>584.35699999999997</v>
      </c>
      <c r="E66" s="216">
        <f>SUMIF($A$25:$A$59,$A66,$L$25:$L$59)</f>
        <v>992.85700000000008</v>
      </c>
    </row>
    <row r="67" spans="1:6">
      <c r="A67" s="23" t="s">
        <v>3153</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3184</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20" t="s">
        <v>3035</v>
      </c>
      <c r="B73" s="21" t="s">
        <v>3204</v>
      </c>
      <c r="C73" s="21" t="s">
        <v>3205</v>
      </c>
      <c r="D73" s="21" t="s">
        <v>3206</v>
      </c>
      <c r="E73" s="22" t="s">
        <v>3038</v>
      </c>
    </row>
    <row r="74" spans="1:6">
      <c r="A74" s="23" t="s">
        <v>3207</v>
      </c>
      <c r="B74" s="215">
        <f>J60</f>
        <v>6271.2109999999975</v>
      </c>
      <c r="C74" s="215">
        <f>K60</f>
        <v>9121.7249999999985</v>
      </c>
      <c r="D74" s="215">
        <f>L60</f>
        <v>12879.583999999999</v>
      </c>
      <c r="E74" s="29" t="s">
        <v>3208</v>
      </c>
    </row>
    <row r="75" spans="1:6">
      <c r="A75" s="23" t="s">
        <v>3209</v>
      </c>
      <c r="B75" s="220">
        <f>B74*$B$9</f>
        <v>940681.64999999967</v>
      </c>
      <c r="C75" s="220">
        <f>C74*$B$9</f>
        <v>1368258.7499999998</v>
      </c>
      <c r="D75" s="220">
        <f>D74*$B$9</f>
        <v>1931937.5999999999</v>
      </c>
      <c r="E75" s="29" t="s">
        <v>3210</v>
      </c>
    </row>
    <row r="76" spans="1:6">
      <c r="A76" s="23" t="s">
        <v>3211</v>
      </c>
      <c r="B76" s="221">
        <f>B74*12</f>
        <v>75254.531999999977</v>
      </c>
      <c r="C76" s="221">
        <f>C74*12</f>
        <v>109460.69999999998</v>
      </c>
      <c r="D76" s="221">
        <f>D74*12</f>
        <v>154555.00799999997</v>
      </c>
      <c r="E76" s="29" t="s">
        <v>3212</v>
      </c>
    </row>
    <row r="77" spans="1:6">
      <c r="A77" s="23" t="s">
        <v>3213</v>
      </c>
      <c r="B77" s="221">
        <f>B76*3</f>
        <v>225763.59599999993</v>
      </c>
      <c r="C77" s="221">
        <f>C76*3</f>
        <v>328382.09999999998</v>
      </c>
      <c r="D77" s="221">
        <f>D76*3</f>
        <v>463665.02399999992</v>
      </c>
      <c r="E77" s="29" t="s">
        <v>3214</v>
      </c>
    </row>
    <row r="78" spans="1:6">
      <c r="A78" s="23" t="s">
        <v>3215</v>
      </c>
      <c r="B78" s="220">
        <f>B77*$B$9</f>
        <v>33864539.399999991</v>
      </c>
      <c r="C78" s="220">
        <f>C77*$B$9</f>
        <v>49257315</v>
      </c>
      <c r="D78" s="220">
        <f>D77*$B$9</f>
        <v>69549753.599999994</v>
      </c>
      <c r="E78" s="29"/>
    </row>
    <row r="79" spans="1:6">
      <c r="A79" s="23" t="s">
        <v>3216</v>
      </c>
      <c r="B79" s="222">
        <f>IFERROR(B75/$B$10,0)</f>
        <v>0.9406816499999997</v>
      </c>
      <c r="C79" s="222">
        <f>IFERROR(C75/$B$11,0)</f>
        <v>0.27365174999999997</v>
      </c>
      <c r="D79" s="222">
        <f>IFERROR(D75/$B$12,0)</f>
        <v>0.19319375999999999</v>
      </c>
      <c r="E79" s="29" t="s">
        <v>3217</v>
      </c>
    </row>
    <row r="80" spans="1:6">
      <c r="A80" s="27" t="s">
        <v>3218</v>
      </c>
      <c r="B80" s="223">
        <v>2032</v>
      </c>
      <c r="C80" s="223">
        <v>2032</v>
      </c>
      <c r="D80" s="223">
        <v>2032</v>
      </c>
      <c r="E80" s="30" t="s">
        <v>3219</v>
      </c>
    </row>
    <row r="82" spans="1:1">
      <c r="A82" s="273" t="s">
        <v>4777</v>
      </c>
    </row>
    <row r="83" spans="1:1">
      <c r="A83" s="274" t="s">
        <v>4778</v>
      </c>
    </row>
    <row r="84" spans="1:1">
      <c r="A84" s="274"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97"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3554</v>
      </c>
      <c r="F9" s="18" t="s">
        <v>3555</v>
      </c>
      <c r="G9" s="18" t="s">
        <v>3556</v>
      </c>
      <c r="H9" s="19" t="s">
        <v>2439</v>
      </c>
    </row>
    <row r="10" spans="1:13">
      <c r="E10" s="23" t="s">
        <v>3557</v>
      </c>
      <c r="F10" s="31">
        <f>COUNTIFS(進捗一覧!$B$4:$B$337,"検証ゲート",進捗一覧!$H$4:$H$337,"検討中")</f>
        <v>3</v>
      </c>
      <c r="G10" s="31" t="str">
        <f>IF(F10=0,"● 充足",IF(F10&lt;=5,"▲ あと少し","× 未充足"))</f>
        <v>▲ あと少し</v>
      </c>
      <c r="H10" s="29" t="s">
        <v>3558</v>
      </c>
    </row>
    <row r="11" spans="1:13">
      <c r="E11" s="23" t="s">
        <v>3559</v>
      </c>
      <c r="F11" s="31">
        <f>COUNTIFS(進捗一覧!$B$4:$B$337,"設計タスク",進捗一覧!$H$4:$H$337,"外部待ち")</f>
        <v>1</v>
      </c>
      <c r="G11" s="31" t="str">
        <f>IF(F11=0,"● 充足",IF(F11&lt;=5,"▲ あと少し","× 未充足"))</f>
        <v>▲ あと少し</v>
      </c>
      <c r="H11" s="29" t="s">
        <v>3560</v>
      </c>
    </row>
    <row r="12" spans="1:13">
      <c r="E12" s="27"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3562</v>
      </c>
    </row>
    <row r="14" spans="1:13">
      <c r="A14" s="4" t="s">
        <v>3563</v>
      </c>
      <c r="J14" s="4" t="s">
        <v>3564</v>
      </c>
    </row>
    <row r="15" spans="1:13">
      <c r="A15" s="20" t="s">
        <v>3565</v>
      </c>
      <c r="B15" s="21" t="s">
        <v>2198</v>
      </c>
      <c r="C15" s="21" t="s">
        <v>2199</v>
      </c>
      <c r="D15" s="22" t="s">
        <v>2200</v>
      </c>
      <c r="J15" s="20" t="s">
        <v>2437</v>
      </c>
      <c r="K15" s="21" t="s">
        <v>2198</v>
      </c>
      <c r="L15" s="21" t="s">
        <v>2438</v>
      </c>
      <c r="M15" s="22" t="s">
        <v>2439</v>
      </c>
    </row>
    <row r="16" spans="1:13">
      <c r="A16" s="23" t="s">
        <v>3430</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3429</v>
      </c>
      <c r="K16" s="31">
        <f>COUNTIF(進捗一覧!$A$4:$A$337,$J16)</f>
        <v>232</v>
      </c>
      <c r="L16" s="31">
        <f>COUNTIFS(進捗一覧!$A$4:$A$337,$J16,進捗一覧!$H$4:$H$337,"検討中")+COUNTIFS(進捗一覧!$A$4:$A$337,$J16,進捗一覧!$H$4:$H$337,"外部待ち")</f>
        <v>165</v>
      </c>
      <c r="M16" s="29" t="s">
        <v>3566</v>
      </c>
    </row>
    <row r="17" spans="1:14">
      <c r="A17" s="23" t="s">
        <v>3433</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3449</v>
      </c>
      <c r="K17" s="31">
        <f>COUNTIF(進捗一覧!$A$4:$A$337,$J17)</f>
        <v>102</v>
      </c>
      <c r="L17" s="31">
        <f>COUNTIFS(進捗一覧!$A$4:$A$337,$J17,進捗一覧!$H$4:$H$337,"検討中")+COUNTIFS(進捗一覧!$A$4:$A$337,$J17,進捗一覧!$H$4:$H$337,"外部待ち")</f>
        <v>76</v>
      </c>
      <c r="M17" s="29" t="s">
        <v>3567</v>
      </c>
    </row>
    <row r="18" spans="1:14">
      <c r="A18" s="23" t="s">
        <v>3435</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3463</v>
      </c>
      <c r="K18" s="32">
        <f>SUM(K16:K17)</f>
        <v>334</v>
      </c>
      <c r="L18" s="32">
        <f>SUM(L16:L17)</f>
        <v>241</v>
      </c>
      <c r="M18" s="174"/>
      <c r="N18" s="49" t="str">
        <f>IF(K18=COUNTA(進捗一覧!$P$4:$P$337),"✓ 明細行数と一致","⚠ 不一致")</f>
        <v>✓ 明細行数と一致</v>
      </c>
    </row>
    <row r="19" spans="1:14">
      <c r="A19" s="23" t="s">
        <v>3436</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3432</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3437</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3431</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3434</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3451</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3447</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3568</v>
      </c>
    </row>
    <row r="26" spans="1:14">
      <c r="A26" s="23" t="s">
        <v>3442</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3569</v>
      </c>
    </row>
    <row r="27" spans="1:14">
      <c r="A27" s="23" t="s">
        <v>3438</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3444</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3570</v>
      </c>
    </row>
    <row r="29" spans="1:14">
      <c r="A29" s="23" t="s">
        <v>3446</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3571</v>
      </c>
    </row>
    <row r="30" spans="1:14">
      <c r="A30" s="23" t="s">
        <v>3439</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3572</v>
      </c>
    </row>
    <row r="31" spans="1:14">
      <c r="A31" s="23" t="s">
        <v>3441</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3573</v>
      </c>
    </row>
    <row r="32" spans="1:14">
      <c r="A32" s="23" t="s">
        <v>3454</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3574</v>
      </c>
    </row>
    <row r="33" spans="1:8">
      <c r="A33" s="25" t="s">
        <v>3463</v>
      </c>
      <c r="B33" s="32">
        <f>SUM(B16:B32)</f>
        <v>334</v>
      </c>
      <c r="C33" s="32">
        <f>SUM(C16:C32)</f>
        <v>74</v>
      </c>
      <c r="D33" s="32">
        <f>SUM(D16:D32)</f>
        <v>4</v>
      </c>
      <c r="E33" s="32">
        <f>SUM(E16:E32)</f>
        <v>75</v>
      </c>
      <c r="F33" s="32">
        <f>SUM(F16:F32)</f>
        <v>166</v>
      </c>
      <c r="G33" s="32">
        <f>SUM(G16:G32)</f>
        <v>15</v>
      </c>
      <c r="H33" s="30"/>
    </row>
    <row r="36" spans="1:8">
      <c r="A36" s="4" t="s">
        <v>3575</v>
      </c>
    </row>
    <row r="37" spans="1:8">
      <c r="A37" s="20" t="s">
        <v>3576</v>
      </c>
      <c r="B37" s="21" t="s">
        <v>3577</v>
      </c>
      <c r="C37" s="21" t="s">
        <v>3578</v>
      </c>
      <c r="D37" s="21" t="s">
        <v>3510</v>
      </c>
      <c r="E37" s="22" t="s">
        <v>3579</v>
      </c>
    </row>
    <row r="38" spans="1:8">
      <c r="A38" s="23" t="s">
        <v>3580</v>
      </c>
      <c r="B38" s="192">
        <f>SUM('WBS(基本設計)'!$G$7:$G$456)</f>
        <v>754</v>
      </c>
      <c r="C38" s="24" t="s">
        <v>3581</v>
      </c>
      <c r="D38" s="31">
        <f>COUNTA('WBS(基本設計)'!$A$7:$A$456)</f>
        <v>450</v>
      </c>
      <c r="E38" s="29" t="s">
        <v>6706</v>
      </c>
    </row>
    <row r="39" spans="1:8">
      <c r="A39" s="23" t="s">
        <v>3582</v>
      </c>
      <c r="B39" s="192">
        <f>SUMIFS('WBS(詳細設計_製造)'!$F$6:$F$227,'WBS(詳細設計_製造)'!$B$6:$B$227,"DD*")</f>
        <v>473</v>
      </c>
      <c r="C39" s="24" t="s">
        <v>3583</v>
      </c>
      <c r="D39" s="31">
        <f>COUNTIFS('WBS(詳細設計_製造)'!$B$6:$B$227,"DD*")</f>
        <v>102</v>
      </c>
      <c r="E39" s="29" t="s">
        <v>5956</v>
      </c>
      <c r="F39" s="54" t="s">
        <v>5957</v>
      </c>
    </row>
    <row r="40" spans="1:8">
      <c r="A40" s="23" t="s">
        <v>3584</v>
      </c>
      <c r="B40" s="192">
        <v>743</v>
      </c>
      <c r="C40" s="24" t="s">
        <v>3583</v>
      </c>
      <c r="D40" s="31">
        <v>113</v>
      </c>
      <c r="E40" s="29" t="s">
        <v>5875</v>
      </c>
      <c r="F40" s="54" t="s">
        <v>5958</v>
      </c>
    </row>
    <row r="41" spans="1:8">
      <c r="A41" s="23" t="s">
        <v>3585</v>
      </c>
      <c r="B41" s="192">
        <f>SUMIFS('WBS(テスト)'!$E$6:$E$59,'WBS(テスト)'!$B$6:$B$59,"&lt;&gt;")</f>
        <v>429</v>
      </c>
      <c r="C41" s="24" t="s">
        <v>3586</v>
      </c>
      <c r="D41" s="31">
        <f>COUNTIFS('WBS(テスト)'!$B$6:$B$59,"&lt;&gt;")</f>
        <v>54</v>
      </c>
      <c r="E41" s="29" t="s">
        <v>5646</v>
      </c>
    </row>
    <row r="42" spans="1:8">
      <c r="A42" s="169" t="s">
        <v>3587</v>
      </c>
      <c r="B42" s="193">
        <f>B39+B40+B41</f>
        <v>1645</v>
      </c>
      <c r="C42" s="194" t="s">
        <v>3588</v>
      </c>
      <c r="D42" s="163"/>
      <c r="E42" s="170"/>
    </row>
    <row r="43" spans="1:8">
      <c r="A43" s="25" t="s">
        <v>3589</v>
      </c>
      <c r="B43" s="195">
        <f>B38+B42</f>
        <v>2399</v>
      </c>
      <c r="C43" s="26" t="s">
        <v>3588</v>
      </c>
      <c r="D43" s="32"/>
      <c r="E43" s="174"/>
      <c r="F43" s="49" t="s">
        <v>6530</v>
      </c>
    </row>
    <row r="44" spans="1:8">
      <c r="A44" s="360" t="s">
        <v>7733</v>
      </c>
    </row>
    <row r="45" spans="1:8">
      <c r="A45" s="291" t="s">
        <v>8241</v>
      </c>
    </row>
    <row r="46" spans="1:8">
      <c r="A46" s="361" t="s">
        <v>7592</v>
      </c>
    </row>
    <row r="47" spans="1:8">
      <c r="A47" s="49" t="s">
        <v>7734</v>
      </c>
    </row>
    <row r="48" spans="1:8">
      <c r="A48" t="s">
        <v>8708</v>
      </c>
    </row>
    <row r="49" spans="1:3">
      <c r="A49" s="4" t="s">
        <v>7593</v>
      </c>
    </row>
    <row r="50" spans="1:3">
      <c r="A50" t="s">
        <v>7594</v>
      </c>
      <c r="B50" s="378">
        <v>24</v>
      </c>
      <c r="C50" t="s">
        <v>7595</v>
      </c>
    </row>
    <row r="51" spans="1:3">
      <c r="A51" s="4" t="s">
        <v>7596</v>
      </c>
      <c r="B51" s="4" t="s">
        <v>7597</v>
      </c>
      <c r="C51" s="4" t="s">
        <v>7598</v>
      </c>
    </row>
    <row r="52" spans="1:3">
      <c r="A52">
        <v>2</v>
      </c>
      <c r="B52" s="379">
        <f>$B$38/($B$50*$A52)</f>
        <v>15.708333333333334</v>
      </c>
      <c r="C52" s="379">
        <f>$B$43/($B$50*$A52)</f>
        <v>49.979166666666664</v>
      </c>
    </row>
    <row r="53" spans="1:3">
      <c r="A53">
        <v>3</v>
      </c>
      <c r="B53" s="379">
        <f>$B$38/($B$50*$A53)</f>
        <v>10.472222222222221</v>
      </c>
      <c r="C53" s="379">
        <f>$B$43/($B$50*$A53)</f>
        <v>33.319444444444443</v>
      </c>
    </row>
    <row r="54" spans="1:3">
      <c r="A54">
        <v>4</v>
      </c>
      <c r="B54" s="379">
        <f>$B$38/($B$50*$A54)</f>
        <v>7.854166666666667</v>
      </c>
      <c r="C54" s="379">
        <f>$B$43/($B$50*$A54)</f>
        <v>24.989583333333332</v>
      </c>
    </row>
    <row r="55" spans="1:3">
      <c r="A55" s="242" t="s">
        <v>8600</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5884</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5885</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4" t="s">
        <v>5881</v>
      </c>
      <c r="J16" s="34" t="s">
        <v>5882</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SUMIFS('WBS(基本設計)'!$G$7:$G$456,'WBS(基本設計)'!$B$7:$B$456,"A-*")</f>
        <v>44.5</v>
      </c>
      <c r="J34" s="34">
        <v>39</v>
      </c>
    </row>
    <row r="35" spans="1:11">
      <c r="A35" s="86" t="s">
        <v>5876</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SUMIFS('WBS(基本設計)'!$G$7:$G$456,'WBS(基本設計)'!$B$7:$B$456,"B-*")</f>
        <v>23</v>
      </c>
      <c r="J35" s="34">
        <v>9</v>
      </c>
    </row>
    <row r="36" spans="1:11">
      <c r="A36" s="86" t="s">
        <v>7585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SUMIFS('WBS(基本設計)'!$G$7:$G$456,'WBS(基本設計)'!$B$7:$B$456,"C-*")</f>
        <v>0</v>
      </c>
      <c r="J36" s="34">
        <v>13</v>
      </c>
    </row>
    <row r="37" spans="1:11">
      <c r="A37" s="86" t="s">
        <v>7586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SUMIFS('WBS(基本設計)'!$G$7:$G$456,'WBS(基本設計)'!$B$7:$B$456,"D-*")</f>
        <v>58.5</v>
      </c>
      <c r="J37" s="34">
        <v>31</v>
      </c>
    </row>
    <row r="38" spans="1:11">
      <c r="A38" s="86" t="s">
        <v>5877</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SUMIFS('WBS(基本設計)'!$G$7:$G$456,'WBS(基本設計)'!$B$7:$B$456,"E-*")</f>
        <v>33</v>
      </c>
      <c r="J38" s="34">
        <v>10</v>
      </c>
    </row>
    <row r="39" spans="1:11">
      <c r="A39" s="86" t="s">
        <v>5878</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SUMIFS('WBS(基本設計)'!$G$7:$G$456,'WBS(基本設計)'!$B$7:$B$456,"F-*")</f>
        <v>15</v>
      </c>
      <c r="J39" s="34">
        <v>4</v>
      </c>
    </row>
    <row r="40" spans="1:11">
      <c r="A40" s="92" t="s">
        <v>5879</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SUMIFS('WBS(基本設計)'!$G$7:$G$456,'WBS(基本設計)'!$B$7:$B$456,"G-*")</f>
        <v>22</v>
      </c>
      <c r="J40" s="34">
        <v>14</v>
      </c>
    </row>
    <row r="41" spans="1:11">
      <c r="A41" s="362" t="s">
        <v>7493</v>
      </c>
      <c r="B41" s="363" t="s">
        <v>2197</v>
      </c>
      <c r="C41" s="363" t="s">
        <v>5880</v>
      </c>
      <c r="D41" s="364">
        <v>148</v>
      </c>
      <c r="E41" s="364"/>
      <c r="F41" s="364"/>
      <c r="G41" s="364"/>
      <c r="H41" s="364"/>
      <c r="I41" s="34">
        <f>SUMIFS('WBS(基本設計)'!$G$7:$G$456,'WBS(基本設計)'!$B$7:$B$456,"H-*")</f>
        <v>558</v>
      </c>
      <c r="J41" s="34">
        <v>292</v>
      </c>
      <c r="K41" s="34" t="s">
        <v>6707</v>
      </c>
    </row>
    <row r="42" spans="1:11">
      <c r="A42" s="34" t="s">
        <v>5883</v>
      </c>
      <c r="I42" s="34">
        <f>SUM(I34:I41)</f>
        <v>754</v>
      </c>
      <c r="J42" s="34">
        <f>SUM(J34:J41)</f>
        <v>412</v>
      </c>
    </row>
    <row r="43" spans="1:11">
      <c r="A43" s="85" t="s">
        <v>3481</v>
      </c>
      <c r="B43" s="60" t="s">
        <v>3482</v>
      </c>
      <c r="C43" s="60" t="s">
        <v>3483</v>
      </c>
      <c r="D43" s="61" t="s">
        <v>2444</v>
      </c>
    </row>
    <row r="44" spans="1:11">
      <c r="A44" s="365" t="s">
        <v>5886</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4">
        <f>SUM(B58:B62)</f>
        <v>179</v>
      </c>
      <c r="C63" s="116">
        <f>IFERROR(B63/B63,"-")</f>
        <v>1</v>
      </c>
      <c r="E63" s="34"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4">
        <f>SUM(B68:B73)</f>
        <v>185</v>
      </c>
      <c r="C74" s="116">
        <f>IFERROR(B74/$B$74,"-")</f>
        <v>1</v>
      </c>
      <c r="E74" s="34"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5" t="s">
        <v>8279</v>
      </c>
    </row>
    <row r="85" spans="1:5">
      <c r="A85" s="144" t="s">
        <v>1</v>
      </c>
      <c r="B85" s="144" t="s">
        <v>8280</v>
      </c>
      <c r="C85" s="144" t="s">
        <v>8273</v>
      </c>
      <c r="D85" s="144" t="s">
        <v>8281</v>
      </c>
      <c r="E85" s="144" t="s">
        <v>3038</v>
      </c>
    </row>
    <row r="86" spans="1:5">
      <c r="A86" s="34" t="s">
        <v>6525</v>
      </c>
      <c r="B86" s="426">
        <v>91</v>
      </c>
      <c r="C86" s="426">
        <v>48</v>
      </c>
      <c r="D86" s="426">
        <v>78</v>
      </c>
      <c r="E86" s="34" t="s">
        <v>8282</v>
      </c>
    </row>
    <row r="87" spans="1:5">
      <c r="A87" s="34" t="s">
        <v>8283</v>
      </c>
      <c r="B87" s="427">
        <v>754</v>
      </c>
      <c r="C87" s="427">
        <v>561</v>
      </c>
      <c r="D87" s="427">
        <v>678.5</v>
      </c>
    </row>
    <row r="88" spans="1:5">
      <c r="A88" s="34" t="s">
        <v>2529</v>
      </c>
      <c r="B88" s="427">
        <v>473</v>
      </c>
      <c r="C88" s="427">
        <v>352</v>
      </c>
      <c r="D88" s="427">
        <v>415</v>
      </c>
    </row>
    <row r="89" spans="1:5">
      <c r="A89" s="34" t="s">
        <v>5793</v>
      </c>
      <c r="B89" s="427">
        <v>743</v>
      </c>
      <c r="C89" s="427">
        <v>520</v>
      </c>
      <c r="D89" s="427">
        <v>640</v>
      </c>
    </row>
    <row r="90" spans="1:5">
      <c r="A90" s="34" t="s">
        <v>2530</v>
      </c>
      <c r="B90" s="427">
        <v>429</v>
      </c>
      <c r="C90" s="427">
        <v>310</v>
      </c>
      <c r="D90" s="427">
        <v>375</v>
      </c>
    </row>
    <row r="91" spans="1:5">
      <c r="A91" s="85" t="s">
        <v>8284</v>
      </c>
      <c r="B91" s="428">
        <f>SUM(B87:B90)</f>
        <v>2399</v>
      </c>
      <c r="C91" s="428">
        <f>SUM(C87:C90)</f>
        <v>1743</v>
      </c>
      <c r="D91" s="428">
        <f>SUM(D87:D90)</f>
        <v>2108.5</v>
      </c>
    </row>
    <row r="92" spans="1:5">
      <c r="A92" s="34" t="s">
        <v>8285</v>
      </c>
      <c r="B92" s="427">
        <v>315</v>
      </c>
      <c r="C92" s="427">
        <v>245</v>
      </c>
      <c r="D92" s="427">
        <v>280</v>
      </c>
    </row>
    <row r="93" spans="1:5">
      <c r="A93" s="85" t="s">
        <v>8286</v>
      </c>
      <c r="B93" s="429">
        <f>B91+B92</f>
        <v>2714</v>
      </c>
      <c r="C93" s="429">
        <f>C91+C92</f>
        <v>1988</v>
      </c>
      <c r="D93" s="429">
        <f>D91+D92</f>
        <v>2388.5</v>
      </c>
    </row>
    <row r="94" spans="1:5">
      <c r="A94" s="430" t="s">
        <v>8287</v>
      </c>
    </row>
    <row r="95" spans="1:5">
      <c r="A95" s="430" t="s">
        <v>8288</v>
      </c>
    </row>
    <row r="96" spans="1:5">
      <c r="A96" s="431" t="s">
        <v>8418</v>
      </c>
    </row>
    <row r="98" spans="1:4">
      <c r="A98" s="425" t="s">
        <v>8630</v>
      </c>
    </row>
    <row r="99" spans="1:4">
      <c r="A99" s="143" t="s">
        <v>2527</v>
      </c>
      <c r="B99" s="144" t="s">
        <v>8280</v>
      </c>
      <c r="C99" s="144" t="s">
        <v>8598</v>
      </c>
      <c r="D99" s="144" t="s">
        <v>8621</v>
      </c>
    </row>
    <row r="100" spans="1:4">
      <c r="A100" s="34" t="s">
        <v>8283</v>
      </c>
      <c r="B100" s="34">
        <v>754</v>
      </c>
      <c r="C100" s="34">
        <v>704</v>
      </c>
      <c r="D100" s="34">
        <f>B100-C100</f>
        <v>50</v>
      </c>
    </row>
    <row r="101" spans="1:4">
      <c r="A101" s="34" t="s">
        <v>2529</v>
      </c>
      <c r="B101" s="34">
        <v>473</v>
      </c>
      <c r="C101" s="34">
        <v>439</v>
      </c>
      <c r="D101" s="34">
        <f>B101-C101</f>
        <v>34</v>
      </c>
    </row>
    <row r="102" spans="1:4">
      <c r="A102" s="34" t="s">
        <v>5793</v>
      </c>
      <c r="B102" s="34">
        <v>743</v>
      </c>
      <c r="C102" s="34">
        <v>643</v>
      </c>
      <c r="D102" s="34">
        <f>B102-C102</f>
        <v>100</v>
      </c>
    </row>
    <row r="103" spans="1:4">
      <c r="A103" s="34" t="s">
        <v>2530</v>
      </c>
      <c r="B103" s="34">
        <v>429</v>
      </c>
      <c r="C103" s="34">
        <v>405</v>
      </c>
      <c r="D103" s="34">
        <f>B103-C103</f>
        <v>24</v>
      </c>
    </row>
    <row r="104" spans="1:4">
      <c r="A104" s="85" t="s">
        <v>8284</v>
      </c>
      <c r="B104" s="85">
        <f>SUM(B100:B103)</f>
        <v>2399</v>
      </c>
      <c r="C104" s="85">
        <f>SUM(C100:C103)</f>
        <v>2191</v>
      </c>
      <c r="D104" s="85">
        <f>B104-C104</f>
        <v>208</v>
      </c>
    </row>
    <row r="105" spans="1:4">
      <c r="A105" s="34" t="s">
        <v>5395</v>
      </c>
      <c r="B105" s="34">
        <v>315</v>
      </c>
      <c r="C105" s="34">
        <v>304</v>
      </c>
      <c r="D105" s="34">
        <f>B105-C105</f>
        <v>11</v>
      </c>
    </row>
    <row r="106" spans="1:4">
      <c r="A106" s="85" t="s">
        <v>8286</v>
      </c>
      <c r="B106" s="319">
        <f>B104+B105</f>
        <v>2714</v>
      </c>
      <c r="C106" s="319">
        <f>C104+C105</f>
        <v>2495</v>
      </c>
      <c r="D106" s="85">
        <f>B106-C106</f>
        <v>219</v>
      </c>
    </row>
    <row r="107" spans="1:4">
      <c r="A107" s="430" t="s">
        <v>8622</v>
      </c>
    </row>
    <row r="108" spans="1:4">
      <c r="A108" s="454" t="s">
        <v>8599</v>
      </c>
    </row>
    <row r="109" spans="1:4">
      <c r="A109" s="34" t="s">
        <v>8631</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50" t="s">
        <v>8</v>
      </c>
      <c r="P3" s="250" t="s">
        <v>9</v>
      </c>
      <c r="Q3" s="251" t="s">
        <v>3221</v>
      </c>
      <c r="R3" s="250" t="s">
        <v>2913</v>
      </c>
      <c r="S3" s="250" t="s">
        <v>12</v>
      </c>
      <c r="T3" s="250" t="s">
        <v>3590</v>
      </c>
    </row>
    <row r="4" spans="1:20" ht="58" customHeight="1">
      <c r="A4" s="231" t="s">
        <v>2435</v>
      </c>
      <c r="B4" s="42" t="s">
        <v>5</v>
      </c>
      <c r="C4" s="41" t="s">
        <v>1520</v>
      </c>
      <c r="D4" s="41" t="s">
        <v>15</v>
      </c>
      <c r="E4" s="200" t="s">
        <v>2914</v>
      </c>
      <c r="F4" s="200" t="s">
        <v>3942</v>
      </c>
      <c r="G4" s="245" t="s">
        <v>3003</v>
      </c>
      <c r="H4" s="42" t="s">
        <v>2</v>
      </c>
      <c r="I4" s="248" t="s">
        <v>3011</v>
      </c>
      <c r="J4" s="233" t="s">
        <v>3220</v>
      </c>
      <c r="K4" s="162"/>
      <c r="L4" s="241"/>
      <c r="M4" s="241"/>
      <c r="N4" s="161"/>
      <c r="O4" s="139" t="s">
        <v>13</v>
      </c>
      <c r="P4" s="40" t="s">
        <v>14</v>
      </c>
      <c r="Q4" s="229" t="s">
        <v>3222</v>
      </c>
      <c r="R4" s="201" t="s">
        <v>2915</v>
      </c>
      <c r="S4" s="141" t="s">
        <v>16</v>
      </c>
      <c r="T4" s="243"/>
    </row>
    <row r="5" spans="1:20" ht="58" customHeight="1">
      <c r="A5" s="231" t="s">
        <v>2435</v>
      </c>
      <c r="B5" s="42" t="s">
        <v>5</v>
      </c>
      <c r="C5" s="41" t="s">
        <v>1520</v>
      </c>
      <c r="D5" s="41" t="s">
        <v>18</v>
      </c>
      <c r="E5" s="200" t="s">
        <v>668</v>
      </c>
      <c r="F5" s="200" t="s">
        <v>4053</v>
      </c>
      <c r="G5" s="245" t="s">
        <v>3003</v>
      </c>
      <c r="H5" s="42" t="s">
        <v>2</v>
      </c>
      <c r="I5" s="248" t="s">
        <v>3011</v>
      </c>
      <c r="J5" s="233" t="s">
        <v>3220</v>
      </c>
      <c r="K5" s="162"/>
      <c r="L5" s="241"/>
      <c r="M5" s="241"/>
      <c r="N5" s="161"/>
      <c r="O5" s="139" t="s">
        <v>13</v>
      </c>
      <c r="P5" s="40" t="s">
        <v>17</v>
      </c>
      <c r="Q5" s="229" t="s">
        <v>3222</v>
      </c>
      <c r="R5" s="201" t="s">
        <v>2915</v>
      </c>
      <c r="S5" s="141" t="s">
        <v>16</v>
      </c>
      <c r="T5" s="243"/>
    </row>
    <row r="6" spans="1:20" ht="58" customHeight="1">
      <c r="A6" s="231" t="s">
        <v>2435</v>
      </c>
      <c r="B6" s="42" t="s">
        <v>5</v>
      </c>
      <c r="C6" s="41" t="s">
        <v>1520</v>
      </c>
      <c r="D6" s="41" t="s">
        <v>20</v>
      </c>
      <c r="E6" s="200" t="s">
        <v>669</v>
      </c>
      <c r="F6" s="200" t="s">
        <v>4054</v>
      </c>
      <c r="G6" s="245" t="s">
        <v>3003</v>
      </c>
      <c r="H6" s="42" t="s">
        <v>2</v>
      </c>
      <c r="I6" s="248" t="s">
        <v>3011</v>
      </c>
      <c r="J6" s="233" t="s">
        <v>3220</v>
      </c>
      <c r="K6" s="162"/>
      <c r="L6" s="241"/>
      <c r="M6" s="241"/>
      <c r="N6" s="161"/>
      <c r="O6" s="139" t="s">
        <v>13</v>
      </c>
      <c r="P6" s="40" t="s">
        <v>19</v>
      </c>
      <c r="Q6" s="229" t="s">
        <v>3222</v>
      </c>
      <c r="R6" s="201" t="s">
        <v>2916</v>
      </c>
      <c r="S6" s="141" t="s">
        <v>16</v>
      </c>
      <c r="T6" s="243"/>
    </row>
    <row r="7" spans="1:20" ht="58" customHeight="1">
      <c r="A7" s="231" t="s">
        <v>2435</v>
      </c>
      <c r="B7" s="42" t="s">
        <v>5</v>
      </c>
      <c r="C7" s="41" t="s">
        <v>1520</v>
      </c>
      <c r="D7" s="41" t="s">
        <v>22</v>
      </c>
      <c r="E7" s="200" t="s">
        <v>670</v>
      </c>
      <c r="F7" s="200" t="s">
        <v>3943</v>
      </c>
      <c r="G7" s="245" t="s">
        <v>3004</v>
      </c>
      <c r="H7" s="42" t="s">
        <v>958</v>
      </c>
      <c r="I7" s="248" t="s">
        <v>3012</v>
      </c>
      <c r="J7" s="233" t="s">
        <v>3220</v>
      </c>
      <c r="K7" s="162"/>
      <c r="L7" s="241"/>
      <c r="M7" s="241"/>
      <c r="N7" s="161"/>
      <c r="O7" s="139" t="s">
        <v>13</v>
      </c>
      <c r="P7" s="40" t="s">
        <v>21</v>
      </c>
      <c r="Q7" s="229" t="s">
        <v>3222</v>
      </c>
      <c r="R7" s="201" t="s">
        <v>2917</v>
      </c>
      <c r="S7" s="141" t="s">
        <v>16</v>
      </c>
      <c r="T7" s="243"/>
    </row>
    <row r="8" spans="1:20" ht="58" customHeight="1">
      <c r="A8" s="231" t="s">
        <v>2435</v>
      </c>
      <c r="B8" s="42" t="s">
        <v>5</v>
      </c>
      <c r="C8" s="41" t="s">
        <v>1520</v>
      </c>
      <c r="D8" s="41" t="s">
        <v>24</v>
      </c>
      <c r="E8" s="200" t="s">
        <v>671</v>
      </c>
      <c r="F8" s="200" t="s">
        <v>3944</v>
      </c>
      <c r="G8" s="245" t="s">
        <v>3005</v>
      </c>
      <c r="H8" s="42" t="s">
        <v>1522</v>
      </c>
      <c r="I8" s="248" t="s">
        <v>4477</v>
      </c>
      <c r="J8" s="233" t="s">
        <v>3804</v>
      </c>
      <c r="K8" s="162" t="s">
        <v>4263</v>
      </c>
      <c r="L8" s="241" t="s">
        <v>4385</v>
      </c>
      <c r="M8" s="241" t="s">
        <v>4386</v>
      </c>
      <c r="N8" s="161" t="s">
        <v>4256</v>
      </c>
      <c r="O8" s="139" t="s">
        <v>13</v>
      </c>
      <c r="P8" s="40" t="s">
        <v>23</v>
      </c>
      <c r="Q8" s="229" t="s">
        <v>3222</v>
      </c>
      <c r="R8" s="201" t="s">
        <v>2918</v>
      </c>
      <c r="S8" s="141" t="s">
        <v>16</v>
      </c>
      <c r="T8" s="243"/>
    </row>
    <row r="9" spans="1:20" ht="58" customHeight="1">
      <c r="A9" s="231" t="s">
        <v>2435</v>
      </c>
      <c r="B9" s="42" t="s">
        <v>5</v>
      </c>
      <c r="C9" s="41" t="s">
        <v>1520</v>
      </c>
      <c r="D9" s="41" t="s">
        <v>26</v>
      </c>
      <c r="E9" s="200" t="s">
        <v>672</v>
      </c>
      <c r="F9" s="200" t="s">
        <v>4091</v>
      </c>
      <c r="G9" s="245" t="s">
        <v>4092</v>
      </c>
      <c r="H9" s="42" t="s">
        <v>958</v>
      </c>
      <c r="I9" s="248" t="s">
        <v>3012</v>
      </c>
      <c r="J9" s="233" t="s">
        <v>3919</v>
      </c>
      <c r="K9" s="162" t="s">
        <v>958</v>
      </c>
      <c r="L9" s="241"/>
      <c r="M9" s="241"/>
      <c r="N9" s="161"/>
      <c r="O9" s="139" t="s">
        <v>13</v>
      </c>
      <c r="P9" s="40" t="s">
        <v>25</v>
      </c>
      <c r="Q9" s="229" t="s">
        <v>3222</v>
      </c>
      <c r="R9" s="201" t="s">
        <v>446</v>
      </c>
      <c r="S9" s="141" t="s">
        <v>16</v>
      </c>
      <c r="T9" s="243"/>
    </row>
    <row r="10" spans="1:20" ht="58" customHeight="1">
      <c r="A10" s="231" t="s">
        <v>2435</v>
      </c>
      <c r="B10" s="42" t="s">
        <v>5</v>
      </c>
      <c r="C10" s="41" t="s">
        <v>1520</v>
      </c>
      <c r="D10" s="41" t="s">
        <v>28</v>
      </c>
      <c r="E10" s="200" t="s">
        <v>673</v>
      </c>
      <c r="F10" s="200" t="s">
        <v>4277</v>
      </c>
      <c r="G10" s="245" t="s">
        <v>4278</v>
      </c>
      <c r="H10" s="42" t="s">
        <v>958</v>
      </c>
      <c r="I10" s="248" t="s">
        <v>3012</v>
      </c>
      <c r="J10" s="233" t="s">
        <v>3220</v>
      </c>
      <c r="K10" s="162"/>
      <c r="L10" s="241"/>
      <c r="M10" s="241"/>
      <c r="N10" s="161"/>
      <c r="O10" s="139" t="s">
        <v>13</v>
      </c>
      <c r="P10" s="40" t="s">
        <v>27</v>
      </c>
      <c r="Q10" s="229" t="s">
        <v>3222</v>
      </c>
      <c r="R10" s="201" t="s">
        <v>446</v>
      </c>
      <c r="S10" s="141" t="s">
        <v>16</v>
      </c>
      <c r="T10" s="243"/>
    </row>
    <row r="11" spans="1:20" ht="58" customHeight="1">
      <c r="A11" s="231" t="s">
        <v>2435</v>
      </c>
      <c r="B11" s="42" t="s">
        <v>5</v>
      </c>
      <c r="C11" s="41" t="s">
        <v>1520</v>
      </c>
      <c r="D11" s="41" t="s">
        <v>30</v>
      </c>
      <c r="E11" s="200" t="s">
        <v>674</v>
      </c>
      <c r="F11" s="200" t="s">
        <v>3945</v>
      </c>
      <c r="G11" s="245" t="s">
        <v>3003</v>
      </c>
      <c r="H11" s="42" t="s">
        <v>2</v>
      </c>
      <c r="I11" s="248" t="s">
        <v>3011</v>
      </c>
      <c r="J11" s="233" t="s">
        <v>3220</v>
      </c>
      <c r="K11" s="162"/>
      <c r="L11" s="241"/>
      <c r="M11" s="241"/>
      <c r="N11" s="161"/>
      <c r="O11" s="139" t="s">
        <v>13</v>
      </c>
      <c r="P11" s="40" t="s">
        <v>29</v>
      </c>
      <c r="Q11" s="229" t="s">
        <v>3222</v>
      </c>
      <c r="R11" s="201" t="s">
        <v>2915</v>
      </c>
      <c r="S11" s="141" t="s">
        <v>16</v>
      </c>
      <c r="T11" s="243"/>
    </row>
    <row r="12" spans="1:20" ht="58" customHeight="1">
      <c r="A12" s="231" t="s">
        <v>2435</v>
      </c>
      <c r="B12" s="42" t="s">
        <v>5</v>
      </c>
      <c r="C12" s="41" t="s">
        <v>1520</v>
      </c>
      <c r="D12" s="41" t="s">
        <v>33</v>
      </c>
      <c r="E12" s="200" t="s">
        <v>675</v>
      </c>
      <c r="F12" s="200" t="s">
        <v>3946</v>
      </c>
      <c r="G12" s="245" t="s">
        <v>3003</v>
      </c>
      <c r="H12" s="42" t="s">
        <v>2</v>
      </c>
      <c r="I12" s="248" t="s">
        <v>3011</v>
      </c>
      <c r="J12" s="233" t="s">
        <v>3220</v>
      </c>
      <c r="K12" s="162"/>
      <c r="L12" s="241"/>
      <c r="M12" s="241"/>
      <c r="N12" s="161"/>
      <c r="O12" s="139" t="s">
        <v>31</v>
      </c>
      <c r="P12" s="40" t="s">
        <v>32</v>
      </c>
      <c r="Q12" s="229" t="s">
        <v>3222</v>
      </c>
      <c r="R12" s="201" t="s">
        <v>2919</v>
      </c>
      <c r="S12" s="141" t="s">
        <v>34</v>
      </c>
      <c r="T12" s="243"/>
    </row>
    <row r="13" spans="1:20" ht="58" customHeight="1">
      <c r="A13" s="231" t="s">
        <v>2435</v>
      </c>
      <c r="B13" s="42" t="s">
        <v>5</v>
      </c>
      <c r="C13" s="41" t="s">
        <v>1520</v>
      </c>
      <c r="D13" s="41" t="s">
        <v>36</v>
      </c>
      <c r="E13" s="200" t="s">
        <v>676</v>
      </c>
      <c r="F13" s="200" t="s">
        <v>3947</v>
      </c>
      <c r="G13" s="245" t="s">
        <v>3006</v>
      </c>
      <c r="H13" s="42" t="s">
        <v>1522</v>
      </c>
      <c r="I13" s="248" t="s">
        <v>3013</v>
      </c>
      <c r="J13" s="233" t="s">
        <v>3805</v>
      </c>
      <c r="K13" s="162" t="s">
        <v>4235</v>
      </c>
      <c r="L13" s="241" t="s">
        <v>4341</v>
      </c>
      <c r="M13" s="241" t="s">
        <v>4342</v>
      </c>
      <c r="N13" s="161" t="s">
        <v>4256</v>
      </c>
      <c r="O13" s="139" t="s">
        <v>31</v>
      </c>
      <c r="P13" s="40" t="s">
        <v>35</v>
      </c>
      <c r="Q13" s="229" t="s">
        <v>3222</v>
      </c>
      <c r="R13" s="201" t="s">
        <v>2920</v>
      </c>
      <c r="S13" s="141" t="s">
        <v>34</v>
      </c>
      <c r="T13" s="243"/>
    </row>
    <row r="14" spans="1:20" ht="58" customHeight="1">
      <c r="A14" s="231" t="s">
        <v>2435</v>
      </c>
      <c r="B14" s="42" t="s">
        <v>5</v>
      </c>
      <c r="C14" s="41" t="s">
        <v>1520</v>
      </c>
      <c r="D14" s="41" t="s">
        <v>4139</v>
      </c>
      <c r="E14" s="200" t="s">
        <v>677</v>
      </c>
      <c r="F14" s="200" t="s">
        <v>3948</v>
      </c>
      <c r="G14" s="245" t="s">
        <v>3006</v>
      </c>
      <c r="H14" s="42" t="s">
        <v>1522</v>
      </c>
      <c r="I14" s="248" t="s">
        <v>3013</v>
      </c>
      <c r="J14" s="233" t="s">
        <v>3806</v>
      </c>
      <c r="K14" s="162" t="s">
        <v>4140</v>
      </c>
      <c r="L14" s="241" t="s">
        <v>4343</v>
      </c>
      <c r="M14" s="241" t="s">
        <v>4344</v>
      </c>
      <c r="N14" s="161" t="s">
        <v>4256</v>
      </c>
      <c r="O14" s="139" t="s">
        <v>31</v>
      </c>
      <c r="P14" s="40" t="s">
        <v>4138</v>
      </c>
      <c r="Q14" s="229" t="s">
        <v>3222</v>
      </c>
      <c r="R14" s="201" t="s">
        <v>2920</v>
      </c>
      <c r="S14" s="141" t="s">
        <v>34</v>
      </c>
      <c r="T14" s="243"/>
    </row>
    <row r="15" spans="1:20" ht="58" customHeight="1">
      <c r="A15" s="231" t="s">
        <v>2435</v>
      </c>
      <c r="B15" s="42" t="s">
        <v>5</v>
      </c>
      <c r="C15" s="41" t="s">
        <v>1520</v>
      </c>
      <c r="D15" s="41" t="s">
        <v>4141</v>
      </c>
      <c r="E15" s="200" t="s">
        <v>677</v>
      </c>
      <c r="F15" s="200" t="s">
        <v>3948</v>
      </c>
      <c r="G15" s="245" t="s">
        <v>3006</v>
      </c>
      <c r="H15" s="42" t="s">
        <v>1522</v>
      </c>
      <c r="I15" s="248" t="s">
        <v>3013</v>
      </c>
      <c r="J15" s="233" t="s">
        <v>3806</v>
      </c>
      <c r="K15" s="162" t="s">
        <v>4143</v>
      </c>
      <c r="L15" s="241" t="s">
        <v>4363</v>
      </c>
      <c r="M15" s="241" t="s">
        <v>4364</v>
      </c>
      <c r="N15" s="161" t="s">
        <v>4257</v>
      </c>
      <c r="O15" s="139" t="s">
        <v>31</v>
      </c>
      <c r="P15" s="40" t="s">
        <v>4142</v>
      </c>
      <c r="Q15" s="229" t="s">
        <v>3222</v>
      </c>
      <c r="R15" s="201" t="s">
        <v>2920</v>
      </c>
      <c r="S15" s="141" t="s">
        <v>34</v>
      </c>
      <c r="T15" s="243"/>
    </row>
    <row r="16" spans="1:20" ht="58" customHeight="1">
      <c r="A16" s="231" t="s">
        <v>2435</v>
      </c>
      <c r="B16" s="42" t="s">
        <v>5</v>
      </c>
      <c r="C16" s="41" t="s">
        <v>1520</v>
      </c>
      <c r="D16" s="41" t="s">
        <v>39</v>
      </c>
      <c r="E16" s="200" t="s">
        <v>678</v>
      </c>
      <c r="F16" s="200" t="s">
        <v>3949</v>
      </c>
      <c r="G16" s="245" t="s">
        <v>3006</v>
      </c>
      <c r="H16" s="42" t="s">
        <v>1522</v>
      </c>
      <c r="I16" s="248" t="s">
        <v>3013</v>
      </c>
      <c r="J16" s="233" t="s">
        <v>3807</v>
      </c>
      <c r="K16" s="162" t="s">
        <v>4236</v>
      </c>
      <c r="L16" s="241" t="s">
        <v>4345</v>
      </c>
      <c r="M16" s="241" t="s">
        <v>4346</v>
      </c>
      <c r="N16" s="161" t="s">
        <v>4256</v>
      </c>
      <c r="O16" s="139" t="s">
        <v>31</v>
      </c>
      <c r="P16" s="40" t="s">
        <v>38</v>
      </c>
      <c r="Q16" s="229" t="s">
        <v>3222</v>
      </c>
      <c r="R16" s="201" t="s">
        <v>2920</v>
      </c>
      <c r="S16" s="141" t="s">
        <v>34</v>
      </c>
      <c r="T16" s="243"/>
    </row>
    <row r="17" spans="1:20" ht="58" customHeight="1">
      <c r="A17" s="231" t="s">
        <v>2435</v>
      </c>
      <c r="B17" s="42" t="s">
        <v>5</v>
      </c>
      <c r="C17" s="41" t="s">
        <v>1520</v>
      </c>
      <c r="D17" s="41" t="s">
        <v>4145</v>
      </c>
      <c r="E17" s="200" t="s">
        <v>679</v>
      </c>
      <c r="F17" s="200" t="s">
        <v>4055</v>
      </c>
      <c r="G17" s="245" t="s">
        <v>3006</v>
      </c>
      <c r="H17" s="42" t="s">
        <v>1522</v>
      </c>
      <c r="I17" s="248" t="s">
        <v>3013</v>
      </c>
      <c r="J17" s="233" t="s">
        <v>3808</v>
      </c>
      <c r="K17" s="162" t="s">
        <v>4146</v>
      </c>
      <c r="L17" s="241" t="s">
        <v>4347</v>
      </c>
      <c r="M17" s="241" t="s">
        <v>4348</v>
      </c>
      <c r="N17" s="161" t="s">
        <v>4256</v>
      </c>
      <c r="O17" s="139" t="s">
        <v>31</v>
      </c>
      <c r="P17" s="40" t="s">
        <v>4144</v>
      </c>
      <c r="Q17" s="229" t="s">
        <v>3222</v>
      </c>
      <c r="R17" s="201" t="s">
        <v>2920</v>
      </c>
      <c r="S17" s="141" t="s">
        <v>34</v>
      </c>
      <c r="T17" s="243"/>
    </row>
    <row r="18" spans="1:20" ht="58" customHeight="1">
      <c r="A18" s="231" t="s">
        <v>2435</v>
      </c>
      <c r="B18" s="42" t="s">
        <v>5</v>
      </c>
      <c r="C18" s="41" t="s">
        <v>1520</v>
      </c>
      <c r="D18" s="41" t="s">
        <v>4147</v>
      </c>
      <c r="E18" s="200" t="s">
        <v>679</v>
      </c>
      <c r="F18" s="200" t="s">
        <v>4055</v>
      </c>
      <c r="G18" s="245" t="s">
        <v>3006</v>
      </c>
      <c r="H18" s="42" t="s">
        <v>1522</v>
      </c>
      <c r="I18" s="248" t="s">
        <v>3013</v>
      </c>
      <c r="J18" s="233" t="s">
        <v>3808</v>
      </c>
      <c r="K18" s="162" t="s">
        <v>4149</v>
      </c>
      <c r="L18" s="241" t="s">
        <v>4349</v>
      </c>
      <c r="M18" s="241" t="s">
        <v>4350</v>
      </c>
      <c r="N18" s="161" t="s">
        <v>4256</v>
      </c>
      <c r="O18" s="139" t="s">
        <v>31</v>
      </c>
      <c r="P18" s="40" t="s">
        <v>4148</v>
      </c>
      <c r="Q18" s="229" t="s">
        <v>3222</v>
      </c>
      <c r="R18" s="201" t="s">
        <v>2920</v>
      </c>
      <c r="S18" s="141" t="s">
        <v>34</v>
      </c>
      <c r="T18" s="243"/>
    </row>
    <row r="19" spans="1:20" ht="58" customHeight="1">
      <c r="A19" s="231" t="s">
        <v>2435</v>
      </c>
      <c r="B19" s="42" t="s">
        <v>5</v>
      </c>
      <c r="C19" s="41" t="s">
        <v>1520</v>
      </c>
      <c r="D19" s="41" t="s">
        <v>42</v>
      </c>
      <c r="E19" s="200" t="s">
        <v>680</v>
      </c>
      <c r="F19" s="200" t="s">
        <v>4056</v>
      </c>
      <c r="G19" s="245" t="s">
        <v>3006</v>
      </c>
      <c r="H19" s="42" t="s">
        <v>1522</v>
      </c>
      <c r="I19" s="248" t="s">
        <v>3013</v>
      </c>
      <c r="J19" s="233" t="s">
        <v>3809</v>
      </c>
      <c r="K19" s="162" t="s">
        <v>4241</v>
      </c>
      <c r="L19" s="241" t="s">
        <v>4365</v>
      </c>
      <c r="M19" s="241" t="s">
        <v>4366</v>
      </c>
      <c r="N19" s="161" t="s">
        <v>4257</v>
      </c>
      <c r="O19" s="139" t="s">
        <v>31</v>
      </c>
      <c r="P19" s="40" t="s">
        <v>41</v>
      </c>
      <c r="Q19" s="229" t="s">
        <v>3222</v>
      </c>
      <c r="R19" s="201" t="s">
        <v>2920</v>
      </c>
      <c r="S19" s="141" t="s">
        <v>34</v>
      </c>
      <c r="T19" s="243"/>
    </row>
    <row r="20" spans="1:20" ht="58" customHeight="1">
      <c r="A20" s="231" t="s">
        <v>2435</v>
      </c>
      <c r="B20" s="42" t="s">
        <v>5</v>
      </c>
      <c r="C20" s="41" t="s">
        <v>1523</v>
      </c>
      <c r="D20" s="41" t="s">
        <v>45</v>
      </c>
      <c r="E20" s="200" t="s">
        <v>681</v>
      </c>
      <c r="F20" s="200" t="s">
        <v>3950</v>
      </c>
      <c r="G20" s="245" t="s">
        <v>3006</v>
      </c>
      <c r="H20" s="42" t="s">
        <v>1522</v>
      </c>
      <c r="I20" s="248" t="s">
        <v>3013</v>
      </c>
      <c r="J20" s="233" t="s">
        <v>3810</v>
      </c>
      <c r="K20" s="162" t="s">
        <v>4226</v>
      </c>
      <c r="L20" s="241" t="s">
        <v>4307</v>
      </c>
      <c r="M20" s="241" t="s">
        <v>4308</v>
      </c>
      <c r="N20" s="161" t="s">
        <v>4255</v>
      </c>
      <c r="O20" s="139" t="s">
        <v>43</v>
      </c>
      <c r="P20" s="40" t="s">
        <v>44</v>
      </c>
      <c r="Q20" s="229" t="s">
        <v>3222</v>
      </c>
      <c r="R20" s="201" t="s">
        <v>2920</v>
      </c>
      <c r="S20" s="141" t="s">
        <v>46</v>
      </c>
      <c r="T20" s="243"/>
    </row>
    <row r="21" spans="1:20" ht="58" customHeight="1">
      <c r="A21" s="231" t="s">
        <v>2435</v>
      </c>
      <c r="B21" s="42" t="s">
        <v>5</v>
      </c>
      <c r="C21" s="41" t="s">
        <v>1523</v>
      </c>
      <c r="D21" s="41" t="s">
        <v>48</v>
      </c>
      <c r="E21" s="200" t="s">
        <v>682</v>
      </c>
      <c r="F21" s="200" t="s">
        <v>3951</v>
      </c>
      <c r="G21" s="245" t="s">
        <v>3006</v>
      </c>
      <c r="H21" s="42" t="s">
        <v>1522</v>
      </c>
      <c r="I21" s="248" t="s">
        <v>3013</v>
      </c>
      <c r="J21" s="233" t="s">
        <v>3811</v>
      </c>
      <c r="K21" s="162" t="s">
        <v>4227</v>
      </c>
      <c r="L21" s="241" t="s">
        <v>4309</v>
      </c>
      <c r="M21" s="241" t="s">
        <v>4310</v>
      </c>
      <c r="N21" s="161" t="s">
        <v>4255</v>
      </c>
      <c r="O21" s="139" t="s">
        <v>43</v>
      </c>
      <c r="P21" s="40" t="s">
        <v>47</v>
      </c>
      <c r="Q21" s="229" t="s">
        <v>3222</v>
      </c>
      <c r="R21" s="201" t="s">
        <v>2920</v>
      </c>
      <c r="S21" s="141" t="s">
        <v>46</v>
      </c>
      <c r="T21" s="243"/>
    </row>
    <row r="22" spans="1:20" ht="58" customHeight="1">
      <c r="A22" s="231" t="s">
        <v>2435</v>
      </c>
      <c r="B22" s="42" t="s">
        <v>5</v>
      </c>
      <c r="C22" s="41" t="s">
        <v>1523</v>
      </c>
      <c r="D22" s="41" t="s">
        <v>50</v>
      </c>
      <c r="E22" s="200" t="s">
        <v>683</v>
      </c>
      <c r="F22" s="200" t="s">
        <v>3952</v>
      </c>
      <c r="G22" s="245" t="s">
        <v>3006</v>
      </c>
      <c r="H22" s="42" t="s">
        <v>1522</v>
      </c>
      <c r="I22" s="248" t="s">
        <v>3013</v>
      </c>
      <c r="J22" s="233" t="s">
        <v>3812</v>
      </c>
      <c r="K22" s="162" t="s">
        <v>4228</v>
      </c>
      <c r="L22" s="241" t="s">
        <v>4311</v>
      </c>
      <c r="M22" s="241" t="s">
        <v>4312</v>
      </c>
      <c r="N22" s="161" t="s">
        <v>4255</v>
      </c>
      <c r="O22" s="139" t="s">
        <v>43</v>
      </c>
      <c r="P22" s="40" t="s">
        <v>49</v>
      </c>
      <c r="Q22" s="229" t="s">
        <v>3222</v>
      </c>
      <c r="R22" s="201" t="s">
        <v>2920</v>
      </c>
      <c r="S22" s="141" t="s">
        <v>46</v>
      </c>
      <c r="T22" s="243"/>
    </row>
    <row r="23" spans="1:20" ht="58" customHeight="1">
      <c r="A23" s="231" t="s">
        <v>2435</v>
      </c>
      <c r="B23" s="42" t="s">
        <v>5</v>
      </c>
      <c r="C23" s="41" t="s">
        <v>1523</v>
      </c>
      <c r="D23" s="41" t="s">
        <v>52</v>
      </c>
      <c r="E23" s="200" t="s">
        <v>684</v>
      </c>
      <c r="F23" s="200" t="s">
        <v>3953</v>
      </c>
      <c r="G23" s="245" t="s">
        <v>3006</v>
      </c>
      <c r="H23" s="42" t="s">
        <v>1522</v>
      </c>
      <c r="I23" s="248" t="s">
        <v>3013</v>
      </c>
      <c r="J23" s="233" t="s">
        <v>3813</v>
      </c>
      <c r="K23" s="162" t="s">
        <v>4229</v>
      </c>
      <c r="L23" s="241" t="s">
        <v>4313</v>
      </c>
      <c r="M23" s="241" t="s">
        <v>4314</v>
      </c>
      <c r="N23" s="161" t="s">
        <v>4255</v>
      </c>
      <c r="O23" s="139" t="s">
        <v>43</v>
      </c>
      <c r="P23" s="40" t="s">
        <v>51</v>
      </c>
      <c r="Q23" s="229" t="s">
        <v>3222</v>
      </c>
      <c r="R23" s="201" t="s">
        <v>2920</v>
      </c>
      <c r="S23" s="141" t="s">
        <v>46</v>
      </c>
      <c r="T23" s="243"/>
    </row>
    <row r="24" spans="1:20" ht="58" customHeight="1">
      <c r="A24" s="231" t="s">
        <v>2435</v>
      </c>
      <c r="B24" s="42" t="s">
        <v>5</v>
      </c>
      <c r="C24" s="41" t="s">
        <v>1523</v>
      </c>
      <c r="D24" s="41" t="s">
        <v>54</v>
      </c>
      <c r="E24" s="200" t="s">
        <v>685</v>
      </c>
      <c r="F24" s="200" t="s">
        <v>3952</v>
      </c>
      <c r="G24" s="245" t="s">
        <v>3005</v>
      </c>
      <c r="H24" s="42" t="s">
        <v>1522</v>
      </c>
      <c r="I24" s="248" t="s">
        <v>3013</v>
      </c>
      <c r="J24" s="233" t="s">
        <v>3814</v>
      </c>
      <c r="K24" s="162" t="s">
        <v>4519</v>
      </c>
      <c r="L24" s="241" t="s">
        <v>4520</v>
      </c>
      <c r="M24" s="241"/>
      <c r="N24" s="161" t="s">
        <v>4255</v>
      </c>
      <c r="O24" s="139" t="s">
        <v>43</v>
      </c>
      <c r="P24" s="40" t="s">
        <v>53</v>
      </c>
      <c r="Q24" s="229" t="s">
        <v>3222</v>
      </c>
      <c r="R24" s="201" t="s">
        <v>2962</v>
      </c>
      <c r="S24" s="141" t="s">
        <v>46</v>
      </c>
      <c r="T24" s="243"/>
    </row>
    <row r="25" spans="1:20" ht="58" customHeight="1">
      <c r="A25" s="231" t="s">
        <v>2435</v>
      </c>
      <c r="B25" s="42" t="s">
        <v>5</v>
      </c>
      <c r="C25" s="41" t="s">
        <v>1523</v>
      </c>
      <c r="D25" s="41" t="s">
        <v>56</v>
      </c>
      <c r="E25" s="200" t="s">
        <v>686</v>
      </c>
      <c r="F25" s="200" t="s">
        <v>3954</v>
      </c>
      <c r="G25" s="245" t="s">
        <v>3005</v>
      </c>
      <c r="H25" s="42" t="s">
        <v>1522</v>
      </c>
      <c r="I25" s="248" t="s">
        <v>4477</v>
      </c>
      <c r="J25" s="233" t="s">
        <v>3815</v>
      </c>
      <c r="K25" s="162" t="s">
        <v>4258</v>
      </c>
      <c r="L25" s="241" t="s">
        <v>4375</v>
      </c>
      <c r="M25" s="241" t="s">
        <v>4376</v>
      </c>
      <c r="N25" s="161" t="s">
        <v>4255</v>
      </c>
      <c r="O25" s="139" t="s">
        <v>43</v>
      </c>
      <c r="P25" s="40" t="s">
        <v>55</v>
      </c>
      <c r="Q25" s="229" t="s">
        <v>3222</v>
      </c>
      <c r="R25" s="201" t="s">
        <v>2962</v>
      </c>
      <c r="S25" s="141" t="s">
        <v>46</v>
      </c>
      <c r="T25" s="243"/>
    </row>
    <row r="26" spans="1:20" ht="58" customHeight="1">
      <c r="A26" s="231" t="s">
        <v>2435</v>
      </c>
      <c r="B26" s="42" t="s">
        <v>5</v>
      </c>
      <c r="C26" s="41" t="s">
        <v>1523</v>
      </c>
      <c r="D26" s="41" t="s">
        <v>58</v>
      </c>
      <c r="E26" s="200" t="s">
        <v>687</v>
      </c>
      <c r="F26" s="200" t="s">
        <v>3938</v>
      </c>
      <c r="G26" s="245" t="s">
        <v>4537</v>
      </c>
      <c r="H26" s="42" t="s">
        <v>2</v>
      </c>
      <c r="I26" s="248" t="s">
        <v>3011</v>
      </c>
      <c r="J26" s="233" t="s">
        <v>3220</v>
      </c>
      <c r="K26" s="162"/>
      <c r="L26" s="241"/>
      <c r="M26" s="241"/>
      <c r="N26" s="161"/>
      <c r="O26" s="139" t="s">
        <v>43</v>
      </c>
      <c r="P26" s="40" t="s">
        <v>57</v>
      </c>
      <c r="Q26" s="229" t="s">
        <v>3222</v>
      </c>
      <c r="R26" s="201" t="s">
        <v>2922</v>
      </c>
      <c r="S26" s="141" t="s">
        <v>46</v>
      </c>
      <c r="T26" s="243"/>
    </row>
    <row r="27" spans="1:20" ht="58" customHeight="1">
      <c r="A27" s="231" t="s">
        <v>2435</v>
      </c>
      <c r="B27" s="42" t="s">
        <v>5</v>
      </c>
      <c r="C27" s="41" t="s">
        <v>1523</v>
      </c>
      <c r="D27" s="41" t="s">
        <v>62</v>
      </c>
      <c r="E27" s="200" t="s">
        <v>3744</v>
      </c>
      <c r="F27" s="200" t="s">
        <v>3329</v>
      </c>
      <c r="G27" s="245" t="s">
        <v>3330</v>
      </c>
      <c r="H27" s="42" t="s">
        <v>1522</v>
      </c>
      <c r="I27" s="248" t="s">
        <v>3013</v>
      </c>
      <c r="J27" s="233" t="s">
        <v>4064</v>
      </c>
      <c r="K27" s="162" t="s">
        <v>4535</v>
      </c>
      <c r="L27" s="241" t="s">
        <v>4536</v>
      </c>
      <c r="M27" s="241"/>
      <c r="N27" s="161" t="s">
        <v>4255</v>
      </c>
      <c r="O27" s="139" t="s">
        <v>60</v>
      </c>
      <c r="P27" s="40" t="s">
        <v>61</v>
      </c>
      <c r="Q27" s="229" t="s">
        <v>3222</v>
      </c>
      <c r="R27" s="201" t="s">
        <v>2923</v>
      </c>
      <c r="S27" s="141" t="s">
        <v>63</v>
      </c>
      <c r="T27" s="243"/>
    </row>
    <row r="28" spans="1:20" ht="58" customHeight="1">
      <c r="A28" s="231" t="s">
        <v>2435</v>
      </c>
      <c r="B28" s="42" t="s">
        <v>5</v>
      </c>
      <c r="C28" s="41" t="s">
        <v>1523</v>
      </c>
      <c r="D28" s="41" t="s">
        <v>4121</v>
      </c>
      <c r="E28" s="200" t="s">
        <v>3746</v>
      </c>
      <c r="F28" s="200" t="s">
        <v>3955</v>
      </c>
      <c r="G28" s="245" t="s">
        <v>3006</v>
      </c>
      <c r="H28" s="42" t="s">
        <v>1522</v>
      </c>
      <c r="I28" s="248" t="s">
        <v>4090</v>
      </c>
      <c r="J28" s="233" t="s">
        <v>3816</v>
      </c>
      <c r="K28" s="162" t="s">
        <v>4122</v>
      </c>
      <c r="L28" s="241" t="s">
        <v>4321</v>
      </c>
      <c r="M28" s="241" t="s">
        <v>4322</v>
      </c>
      <c r="N28" s="161" t="s">
        <v>4256</v>
      </c>
      <c r="O28" s="139" t="s">
        <v>60</v>
      </c>
      <c r="P28" s="40" t="s">
        <v>4120</v>
      </c>
      <c r="Q28" s="229" t="s">
        <v>3222</v>
      </c>
      <c r="R28" s="201" t="s">
        <v>2924</v>
      </c>
      <c r="S28" s="141" t="s">
        <v>63</v>
      </c>
      <c r="T28" s="243"/>
    </row>
    <row r="29" spans="1:20" ht="58" customHeight="1">
      <c r="A29" s="231" t="s">
        <v>2435</v>
      </c>
      <c r="B29" s="42" t="s">
        <v>5</v>
      </c>
      <c r="C29" s="41" t="s">
        <v>1523</v>
      </c>
      <c r="D29" s="41" t="s">
        <v>4123</v>
      </c>
      <c r="E29" s="200" t="s">
        <v>3746</v>
      </c>
      <c r="F29" s="200" t="s">
        <v>3955</v>
      </c>
      <c r="G29" s="245" t="s">
        <v>3006</v>
      </c>
      <c r="H29" s="42" t="s">
        <v>1522</v>
      </c>
      <c r="I29" s="248" t="s">
        <v>4090</v>
      </c>
      <c r="J29" s="233" t="s">
        <v>3816</v>
      </c>
      <c r="K29" s="162" t="s">
        <v>4125</v>
      </c>
      <c r="L29" s="241" t="s">
        <v>4323</v>
      </c>
      <c r="M29" s="241" t="s">
        <v>4324</v>
      </c>
      <c r="N29" s="161" t="s">
        <v>4256</v>
      </c>
      <c r="O29" s="139" t="s">
        <v>60</v>
      </c>
      <c r="P29" s="40" t="s">
        <v>4124</v>
      </c>
      <c r="Q29" s="229" t="s">
        <v>3222</v>
      </c>
      <c r="R29" s="201" t="s">
        <v>2924</v>
      </c>
      <c r="S29" s="141" t="s">
        <v>63</v>
      </c>
      <c r="T29" s="243"/>
    </row>
    <row r="30" spans="1:20" ht="58" customHeight="1">
      <c r="A30" s="231" t="s">
        <v>2435</v>
      </c>
      <c r="B30" s="42" t="s">
        <v>5</v>
      </c>
      <c r="C30" s="41" t="s">
        <v>1523</v>
      </c>
      <c r="D30" s="41" t="s">
        <v>69</v>
      </c>
      <c r="E30" s="200" t="s">
        <v>690</v>
      </c>
      <c r="F30" s="200" t="s">
        <v>3956</v>
      </c>
      <c r="G30" s="245" t="s">
        <v>3003</v>
      </c>
      <c r="H30" s="42" t="s">
        <v>2</v>
      </c>
      <c r="I30" s="248" t="s">
        <v>3011</v>
      </c>
      <c r="J30" s="233" t="s">
        <v>3220</v>
      </c>
      <c r="K30" s="162"/>
      <c r="L30" s="241"/>
      <c r="M30" s="241"/>
      <c r="N30" s="161"/>
      <c r="O30" s="139" t="s">
        <v>67</v>
      </c>
      <c r="P30" s="40" t="s">
        <v>68</v>
      </c>
      <c r="Q30" s="229" t="s">
        <v>3222</v>
      </c>
      <c r="R30" s="201" t="s">
        <v>2925</v>
      </c>
      <c r="S30" s="141" t="s">
        <v>70</v>
      </c>
      <c r="T30" s="243"/>
    </row>
    <row r="31" spans="1:20" ht="58" customHeight="1">
      <c r="A31" s="231" t="s">
        <v>2435</v>
      </c>
      <c r="B31" s="42" t="s">
        <v>5</v>
      </c>
      <c r="C31" s="41" t="s">
        <v>1523</v>
      </c>
      <c r="D31" s="41" t="s">
        <v>72</v>
      </c>
      <c r="E31" s="200" t="s">
        <v>691</v>
      </c>
      <c r="F31" s="200" t="s">
        <v>3957</v>
      </c>
      <c r="G31" s="245" t="s">
        <v>3006</v>
      </c>
      <c r="H31" s="42" t="s">
        <v>1522</v>
      </c>
      <c r="I31" s="248" t="s">
        <v>3013</v>
      </c>
      <c r="J31" s="233" t="s">
        <v>3817</v>
      </c>
      <c r="K31" s="162" t="s">
        <v>4231</v>
      </c>
      <c r="L31" s="241" t="s">
        <v>4325</v>
      </c>
      <c r="M31" s="241" t="s">
        <v>4326</v>
      </c>
      <c r="N31" s="161" t="s">
        <v>4256</v>
      </c>
      <c r="O31" s="139" t="s">
        <v>67</v>
      </c>
      <c r="P31" s="40" t="s">
        <v>71</v>
      </c>
      <c r="Q31" s="229" t="s">
        <v>3222</v>
      </c>
      <c r="R31" s="201" t="s">
        <v>2920</v>
      </c>
      <c r="S31" s="141" t="s">
        <v>70</v>
      </c>
      <c r="T31" s="243"/>
    </row>
    <row r="32" spans="1:20" ht="58" customHeight="1">
      <c r="A32" s="231" t="s">
        <v>2435</v>
      </c>
      <c r="B32" s="42" t="s">
        <v>5</v>
      </c>
      <c r="C32" s="41" t="s">
        <v>1523</v>
      </c>
      <c r="D32" s="41" t="s">
        <v>66</v>
      </c>
      <c r="E32" s="200" t="s">
        <v>689</v>
      </c>
      <c r="F32" s="200" t="s">
        <v>3958</v>
      </c>
      <c r="G32" s="245" t="s">
        <v>3003</v>
      </c>
      <c r="H32" s="42" t="s">
        <v>2</v>
      </c>
      <c r="I32" s="248" t="s">
        <v>3011</v>
      </c>
      <c r="J32" s="233" t="s">
        <v>3220</v>
      </c>
      <c r="K32" s="162"/>
      <c r="L32" s="241"/>
      <c r="M32" s="241"/>
      <c r="N32" s="161"/>
      <c r="O32" s="139" t="s">
        <v>60</v>
      </c>
      <c r="P32" s="40" t="s">
        <v>65</v>
      </c>
      <c r="Q32" s="229" t="s">
        <v>3222</v>
      </c>
      <c r="R32" s="201" t="s">
        <v>2925</v>
      </c>
      <c r="S32" s="141" t="s">
        <v>63</v>
      </c>
      <c r="T32" s="243"/>
    </row>
    <row r="33" spans="1:20" ht="58" customHeight="1">
      <c r="A33" s="231" t="s">
        <v>2435</v>
      </c>
      <c r="B33" s="42" t="s">
        <v>5</v>
      </c>
      <c r="C33" s="41" t="s">
        <v>1523</v>
      </c>
      <c r="D33" s="41" t="s">
        <v>4115</v>
      </c>
      <c r="E33" s="200" t="s">
        <v>692</v>
      </c>
      <c r="F33" s="200" t="s">
        <v>3959</v>
      </c>
      <c r="G33" s="245" t="s">
        <v>3006</v>
      </c>
      <c r="H33" s="42" t="s">
        <v>1522</v>
      </c>
      <c r="I33" s="248" t="s">
        <v>4090</v>
      </c>
      <c r="J33" s="233" t="s">
        <v>3818</v>
      </c>
      <c r="K33" s="162" t="s">
        <v>4116</v>
      </c>
      <c r="L33" s="241" t="s">
        <v>4315</v>
      </c>
      <c r="M33" s="241" t="s">
        <v>4316</v>
      </c>
      <c r="N33" s="161" t="s">
        <v>4255</v>
      </c>
      <c r="O33" s="139" t="s">
        <v>67</v>
      </c>
      <c r="P33" s="40" t="s">
        <v>4114</v>
      </c>
      <c r="Q33" s="229" t="s">
        <v>3222</v>
      </c>
      <c r="R33" s="201" t="s">
        <v>2920</v>
      </c>
      <c r="S33" s="141" t="s">
        <v>70</v>
      </c>
      <c r="T33" s="243"/>
    </row>
    <row r="34" spans="1:20" ht="58" customHeight="1">
      <c r="A34" s="231" t="s">
        <v>2435</v>
      </c>
      <c r="B34" s="42" t="s">
        <v>5</v>
      </c>
      <c r="C34" s="41" t="s">
        <v>1523</v>
      </c>
      <c r="D34" s="41" t="s">
        <v>4117</v>
      </c>
      <c r="E34" s="200" t="s">
        <v>692</v>
      </c>
      <c r="F34" s="200" t="s">
        <v>3959</v>
      </c>
      <c r="G34" s="245" t="s">
        <v>3006</v>
      </c>
      <c r="H34" s="42" t="s">
        <v>1522</v>
      </c>
      <c r="I34" s="248" t="s">
        <v>4090</v>
      </c>
      <c r="J34" s="233" t="s">
        <v>3818</v>
      </c>
      <c r="K34" s="162" t="s">
        <v>4119</v>
      </c>
      <c r="L34" s="241" t="s">
        <v>4317</v>
      </c>
      <c r="M34" s="241" t="s">
        <v>4318</v>
      </c>
      <c r="N34" s="161" t="s">
        <v>4255</v>
      </c>
      <c r="O34" s="139" t="s">
        <v>67</v>
      </c>
      <c r="P34" s="40" t="s">
        <v>4118</v>
      </c>
      <c r="Q34" s="229" t="s">
        <v>3222</v>
      </c>
      <c r="R34" s="201" t="s">
        <v>2920</v>
      </c>
      <c r="S34" s="141" t="s">
        <v>70</v>
      </c>
      <c r="T34" s="243"/>
    </row>
    <row r="35" spans="1:20" ht="58" customHeight="1">
      <c r="A35" s="231" t="s">
        <v>2435</v>
      </c>
      <c r="B35" s="42" t="s">
        <v>5</v>
      </c>
      <c r="C35" s="41" t="s">
        <v>1523</v>
      </c>
      <c r="D35" s="41" t="s">
        <v>4127</v>
      </c>
      <c r="E35" s="200" t="s">
        <v>688</v>
      </c>
      <c r="F35" s="200" t="s">
        <v>3960</v>
      </c>
      <c r="G35" s="245" t="s">
        <v>3006</v>
      </c>
      <c r="H35" s="42" t="s">
        <v>1522</v>
      </c>
      <c r="I35" s="248" t="s">
        <v>3013</v>
      </c>
      <c r="J35" s="233" t="s">
        <v>3819</v>
      </c>
      <c r="K35" s="162" t="s">
        <v>4128</v>
      </c>
      <c r="L35" s="241" t="s">
        <v>4327</v>
      </c>
      <c r="M35" s="241" t="s">
        <v>4328</v>
      </c>
      <c r="N35" s="161" t="s">
        <v>4256</v>
      </c>
      <c r="O35" s="139" t="s">
        <v>43</v>
      </c>
      <c r="P35" s="40" t="s">
        <v>4126</v>
      </c>
      <c r="Q35" s="229" t="s">
        <v>3222</v>
      </c>
      <c r="R35" s="201" t="s">
        <v>2920</v>
      </c>
      <c r="S35" s="141" t="s">
        <v>46</v>
      </c>
      <c r="T35" s="243"/>
    </row>
    <row r="36" spans="1:20" ht="58" customHeight="1">
      <c r="A36" s="231" t="s">
        <v>2435</v>
      </c>
      <c r="B36" s="42" t="s">
        <v>5</v>
      </c>
      <c r="C36" s="41" t="s">
        <v>1523</v>
      </c>
      <c r="D36" s="41" t="s">
        <v>4129</v>
      </c>
      <c r="E36" s="200" t="s">
        <v>688</v>
      </c>
      <c r="F36" s="200" t="s">
        <v>3960</v>
      </c>
      <c r="G36" s="245" t="s">
        <v>3006</v>
      </c>
      <c r="H36" s="42" t="s">
        <v>1522</v>
      </c>
      <c r="I36" s="248" t="s">
        <v>3013</v>
      </c>
      <c r="J36" s="233" t="s">
        <v>3819</v>
      </c>
      <c r="K36" s="162" t="s">
        <v>4131</v>
      </c>
      <c r="L36" s="241" t="s">
        <v>4329</v>
      </c>
      <c r="M36" s="241" t="s">
        <v>4330</v>
      </c>
      <c r="N36" s="161" t="s">
        <v>4256</v>
      </c>
      <c r="O36" s="139" t="s">
        <v>43</v>
      </c>
      <c r="P36" s="40" t="s">
        <v>4130</v>
      </c>
      <c r="Q36" s="229" t="s">
        <v>3222</v>
      </c>
      <c r="R36" s="201" t="s">
        <v>2920</v>
      </c>
      <c r="S36" s="141" t="s">
        <v>46</v>
      </c>
      <c r="T36" s="243"/>
    </row>
    <row r="37" spans="1:20" ht="58" customHeight="1">
      <c r="A37" s="231" t="s">
        <v>2435</v>
      </c>
      <c r="B37" s="42" t="s">
        <v>5</v>
      </c>
      <c r="C37" s="41" t="s">
        <v>1524</v>
      </c>
      <c r="D37" s="41" t="s">
        <v>76</v>
      </c>
      <c r="E37" s="200" t="s">
        <v>693</v>
      </c>
      <c r="F37" s="200" t="s">
        <v>3961</v>
      </c>
      <c r="G37" s="245" t="s">
        <v>3006</v>
      </c>
      <c r="H37" s="42" t="s">
        <v>1522</v>
      </c>
      <c r="I37" s="248" t="s">
        <v>3013</v>
      </c>
      <c r="J37" s="233" t="s">
        <v>3820</v>
      </c>
      <c r="K37" s="162" t="s">
        <v>4237</v>
      </c>
      <c r="L37" s="241" t="s">
        <v>4351</v>
      </c>
      <c r="M37" s="241" t="s">
        <v>4352</v>
      </c>
      <c r="N37" s="161" t="s">
        <v>4256</v>
      </c>
      <c r="O37" s="139" t="s">
        <v>74</v>
      </c>
      <c r="P37" s="40" t="s">
        <v>75</v>
      </c>
      <c r="Q37" s="229" t="s">
        <v>3222</v>
      </c>
      <c r="R37" s="201" t="s">
        <v>2920</v>
      </c>
      <c r="S37" s="141" t="s">
        <v>77</v>
      </c>
      <c r="T37" s="243"/>
    </row>
    <row r="38" spans="1:20" ht="58" customHeight="1">
      <c r="A38" s="231" t="s">
        <v>2435</v>
      </c>
      <c r="B38" s="42" t="s">
        <v>5</v>
      </c>
      <c r="C38" s="41" t="s">
        <v>1524</v>
      </c>
      <c r="D38" s="41" t="s">
        <v>79</v>
      </c>
      <c r="E38" s="200" t="s">
        <v>694</v>
      </c>
      <c r="F38" s="200" t="s">
        <v>3962</v>
      </c>
      <c r="G38" s="245" t="s">
        <v>3006</v>
      </c>
      <c r="H38" s="42" t="s">
        <v>1522</v>
      </c>
      <c r="I38" s="248" t="s">
        <v>3013</v>
      </c>
      <c r="J38" s="233" t="s">
        <v>3821</v>
      </c>
      <c r="K38" s="162" t="s">
        <v>4238</v>
      </c>
      <c r="L38" s="241" t="s">
        <v>4353</v>
      </c>
      <c r="M38" s="241" t="s">
        <v>4354</v>
      </c>
      <c r="N38" s="161" t="s">
        <v>4256</v>
      </c>
      <c r="O38" s="139" t="s">
        <v>74</v>
      </c>
      <c r="P38" s="40" t="s">
        <v>78</v>
      </c>
      <c r="Q38" s="229" t="s">
        <v>3222</v>
      </c>
      <c r="R38" s="201" t="s">
        <v>2920</v>
      </c>
      <c r="S38" s="141" t="s">
        <v>77</v>
      </c>
      <c r="T38" s="243"/>
    </row>
    <row r="39" spans="1:20" ht="58" customHeight="1">
      <c r="A39" s="231" t="s">
        <v>2435</v>
      </c>
      <c r="B39" s="42" t="s">
        <v>5</v>
      </c>
      <c r="C39" s="41" t="s">
        <v>1524</v>
      </c>
      <c r="D39" s="41" t="s">
        <v>81</v>
      </c>
      <c r="E39" s="200" t="s">
        <v>695</v>
      </c>
      <c r="F39" s="200" t="s">
        <v>3963</v>
      </c>
      <c r="G39" s="245" t="s">
        <v>3006</v>
      </c>
      <c r="H39" s="42" t="s">
        <v>1522</v>
      </c>
      <c r="I39" s="248" t="s">
        <v>3013</v>
      </c>
      <c r="J39" s="233" t="s">
        <v>3822</v>
      </c>
      <c r="K39" s="162" t="s">
        <v>4239</v>
      </c>
      <c r="L39" s="241" t="s">
        <v>4355</v>
      </c>
      <c r="M39" s="241" t="s">
        <v>4356</v>
      </c>
      <c r="N39" s="161" t="s">
        <v>4256</v>
      </c>
      <c r="O39" s="139" t="s">
        <v>74</v>
      </c>
      <c r="P39" s="40" t="s">
        <v>80</v>
      </c>
      <c r="Q39" s="229" t="s">
        <v>3222</v>
      </c>
      <c r="R39" s="201" t="s">
        <v>2920</v>
      </c>
      <c r="S39" s="141" t="s">
        <v>77</v>
      </c>
      <c r="T39" s="243"/>
    </row>
    <row r="40" spans="1:20" ht="58" customHeight="1">
      <c r="A40" s="231" t="s">
        <v>2435</v>
      </c>
      <c r="B40" s="42" t="s">
        <v>5</v>
      </c>
      <c r="C40" s="41" t="s">
        <v>1524</v>
      </c>
      <c r="D40" s="41" t="s">
        <v>83</v>
      </c>
      <c r="E40" s="200" t="s">
        <v>696</v>
      </c>
      <c r="F40" s="200" t="s">
        <v>3964</v>
      </c>
      <c r="G40" s="245" t="s">
        <v>3006</v>
      </c>
      <c r="H40" s="42" t="s">
        <v>1522</v>
      </c>
      <c r="I40" s="248" t="s">
        <v>3013</v>
      </c>
      <c r="J40" s="233" t="s">
        <v>3823</v>
      </c>
      <c r="K40" s="162" t="s">
        <v>4240</v>
      </c>
      <c r="L40" s="241" t="s">
        <v>4357</v>
      </c>
      <c r="M40" s="241" t="s">
        <v>4358</v>
      </c>
      <c r="N40" s="161" t="s">
        <v>4256</v>
      </c>
      <c r="O40" s="139" t="s">
        <v>74</v>
      </c>
      <c r="P40" s="40" t="s">
        <v>82</v>
      </c>
      <c r="Q40" s="229" t="s">
        <v>3222</v>
      </c>
      <c r="R40" s="201" t="s">
        <v>2920</v>
      </c>
      <c r="S40" s="141" t="s">
        <v>77</v>
      </c>
      <c r="T40" s="243"/>
    </row>
    <row r="41" spans="1:20" ht="58" customHeight="1">
      <c r="A41" s="231" t="s">
        <v>2435</v>
      </c>
      <c r="B41" s="42" t="s">
        <v>5</v>
      </c>
      <c r="C41" s="41" t="s">
        <v>1524</v>
      </c>
      <c r="D41" s="41" t="s">
        <v>4151</v>
      </c>
      <c r="E41" s="200" t="s">
        <v>697</v>
      </c>
      <c r="F41" s="200" t="s">
        <v>3965</v>
      </c>
      <c r="G41" s="245" t="s">
        <v>3006</v>
      </c>
      <c r="H41" s="42" t="s">
        <v>1522</v>
      </c>
      <c r="I41" s="248" t="s">
        <v>3013</v>
      </c>
      <c r="J41" s="233" t="s">
        <v>3824</v>
      </c>
      <c r="K41" s="162" t="s">
        <v>4152</v>
      </c>
      <c r="L41" s="241" t="s">
        <v>4359</v>
      </c>
      <c r="M41" s="241" t="s">
        <v>4360</v>
      </c>
      <c r="N41" s="161" t="s">
        <v>4256</v>
      </c>
      <c r="O41" s="139" t="s">
        <v>74</v>
      </c>
      <c r="P41" s="40" t="s">
        <v>4150</v>
      </c>
      <c r="Q41" s="229" t="s">
        <v>3222</v>
      </c>
      <c r="R41" s="201" t="s">
        <v>2920</v>
      </c>
      <c r="S41" s="141" t="s">
        <v>77</v>
      </c>
      <c r="T41" s="243"/>
    </row>
    <row r="42" spans="1:20" ht="58" customHeight="1">
      <c r="A42" s="231" t="s">
        <v>2435</v>
      </c>
      <c r="B42" s="42" t="s">
        <v>5</v>
      </c>
      <c r="C42" s="41" t="s">
        <v>1524</v>
      </c>
      <c r="D42" s="41" t="s">
        <v>4153</v>
      </c>
      <c r="E42" s="200" t="s">
        <v>697</v>
      </c>
      <c r="F42" s="200" t="s">
        <v>3965</v>
      </c>
      <c r="G42" s="245" t="s">
        <v>3006</v>
      </c>
      <c r="H42" s="42" t="s">
        <v>1522</v>
      </c>
      <c r="I42" s="248" t="s">
        <v>3013</v>
      </c>
      <c r="J42" s="233" t="s">
        <v>3824</v>
      </c>
      <c r="K42" s="162" t="s">
        <v>4155</v>
      </c>
      <c r="L42" s="241" t="s">
        <v>4367</v>
      </c>
      <c r="M42" s="241" t="s">
        <v>4368</v>
      </c>
      <c r="N42" s="161" t="s">
        <v>4257</v>
      </c>
      <c r="O42" s="139" t="s">
        <v>74</v>
      </c>
      <c r="P42" s="40" t="s">
        <v>4154</v>
      </c>
      <c r="Q42" s="229" t="s">
        <v>3222</v>
      </c>
      <c r="R42" s="201" t="s">
        <v>2920</v>
      </c>
      <c r="S42" s="141" t="s">
        <v>77</v>
      </c>
      <c r="T42" s="243"/>
    </row>
    <row r="43" spans="1:20" ht="58" customHeight="1">
      <c r="A43" s="231" t="s">
        <v>2435</v>
      </c>
      <c r="B43" s="42" t="s">
        <v>5</v>
      </c>
      <c r="C43" s="41" t="s">
        <v>1524</v>
      </c>
      <c r="D43" s="41" t="s">
        <v>87</v>
      </c>
      <c r="E43" s="200" t="s">
        <v>698</v>
      </c>
      <c r="F43" s="200" t="s">
        <v>3966</v>
      </c>
      <c r="G43" s="245" t="s">
        <v>3003</v>
      </c>
      <c r="H43" s="42" t="s">
        <v>2</v>
      </c>
      <c r="I43" s="248" t="s">
        <v>3011</v>
      </c>
      <c r="J43" s="233" t="s">
        <v>3220</v>
      </c>
      <c r="K43" s="162"/>
      <c r="L43" s="241"/>
      <c r="M43" s="241"/>
      <c r="N43" s="161"/>
      <c r="O43" s="139" t="s">
        <v>85</v>
      </c>
      <c r="P43" s="40" t="s">
        <v>86</v>
      </c>
      <c r="Q43" s="229" t="s">
        <v>3222</v>
      </c>
      <c r="R43" s="201" t="s">
        <v>2922</v>
      </c>
      <c r="S43" s="141" t="s">
        <v>88</v>
      </c>
      <c r="T43" s="243"/>
    </row>
    <row r="44" spans="1:20" ht="58" customHeight="1">
      <c r="A44" s="231" t="s">
        <v>2435</v>
      </c>
      <c r="B44" s="42" t="s">
        <v>5</v>
      </c>
      <c r="C44" s="41" t="s">
        <v>1524</v>
      </c>
      <c r="D44" s="41" t="s">
        <v>90</v>
      </c>
      <c r="E44" s="200" t="s">
        <v>699</v>
      </c>
      <c r="F44" s="200" t="s">
        <v>3967</v>
      </c>
      <c r="G44" s="245" t="s">
        <v>3003</v>
      </c>
      <c r="H44" s="42" t="s">
        <v>2</v>
      </c>
      <c r="I44" s="248" t="s">
        <v>3011</v>
      </c>
      <c r="J44" s="233" t="s">
        <v>3220</v>
      </c>
      <c r="K44" s="162"/>
      <c r="L44" s="241"/>
      <c r="M44" s="241"/>
      <c r="N44" s="161"/>
      <c r="O44" s="139" t="s">
        <v>85</v>
      </c>
      <c r="P44" s="40" t="s">
        <v>89</v>
      </c>
      <c r="Q44" s="229" t="s">
        <v>3222</v>
      </c>
      <c r="R44" s="201" t="s">
        <v>2922</v>
      </c>
      <c r="S44" s="141" t="s">
        <v>88</v>
      </c>
      <c r="T44" s="243"/>
    </row>
    <row r="45" spans="1:20" ht="58" customHeight="1">
      <c r="A45" s="231" t="s">
        <v>2435</v>
      </c>
      <c r="B45" s="42" t="s">
        <v>5</v>
      </c>
      <c r="C45" s="41" t="s">
        <v>1524</v>
      </c>
      <c r="D45" s="41" t="s">
        <v>4157</v>
      </c>
      <c r="E45" s="200" t="s">
        <v>700</v>
      </c>
      <c r="F45" s="200" t="s">
        <v>3968</v>
      </c>
      <c r="G45" s="245" t="s">
        <v>3006</v>
      </c>
      <c r="H45" s="42" t="s">
        <v>1522</v>
      </c>
      <c r="I45" s="248" t="s">
        <v>3013</v>
      </c>
      <c r="J45" s="233" t="s">
        <v>3825</v>
      </c>
      <c r="K45" s="162" t="s">
        <v>4158</v>
      </c>
      <c r="L45" s="241" t="s">
        <v>4361</v>
      </c>
      <c r="M45" s="241" t="s">
        <v>4362</v>
      </c>
      <c r="N45" s="161" t="s">
        <v>4256</v>
      </c>
      <c r="O45" s="139" t="s">
        <v>85</v>
      </c>
      <c r="P45" s="40" t="s">
        <v>4156</v>
      </c>
      <c r="Q45" s="229" t="s">
        <v>3222</v>
      </c>
      <c r="R45" s="201" t="s">
        <v>2920</v>
      </c>
      <c r="S45" s="141" t="s">
        <v>88</v>
      </c>
      <c r="T45" s="243"/>
    </row>
    <row r="46" spans="1:20" ht="58" customHeight="1">
      <c r="A46" s="231" t="s">
        <v>2435</v>
      </c>
      <c r="B46" s="42" t="s">
        <v>5</v>
      </c>
      <c r="C46" s="41" t="s">
        <v>1524</v>
      </c>
      <c r="D46" s="41" t="s">
        <v>4159</v>
      </c>
      <c r="E46" s="200" t="s">
        <v>700</v>
      </c>
      <c r="F46" s="200" t="s">
        <v>3968</v>
      </c>
      <c r="G46" s="245" t="s">
        <v>3006</v>
      </c>
      <c r="H46" s="42" t="s">
        <v>1522</v>
      </c>
      <c r="I46" s="248" t="s">
        <v>3013</v>
      </c>
      <c r="J46" s="233" t="s">
        <v>3825</v>
      </c>
      <c r="K46" s="162" t="s">
        <v>4161</v>
      </c>
      <c r="L46" s="241" t="s">
        <v>4369</v>
      </c>
      <c r="M46" s="241" t="s">
        <v>4370</v>
      </c>
      <c r="N46" s="161" t="s">
        <v>4257</v>
      </c>
      <c r="O46" s="139" t="s">
        <v>85</v>
      </c>
      <c r="P46" s="40" t="s">
        <v>4160</v>
      </c>
      <c r="Q46" s="229" t="s">
        <v>3222</v>
      </c>
      <c r="R46" s="201" t="s">
        <v>2920</v>
      </c>
      <c r="S46" s="141" t="s">
        <v>88</v>
      </c>
      <c r="T46" s="243"/>
    </row>
    <row r="47" spans="1:20" ht="58" customHeight="1">
      <c r="A47" s="231" t="s">
        <v>2435</v>
      </c>
      <c r="B47" s="42" t="s">
        <v>5</v>
      </c>
      <c r="C47" s="41" t="s">
        <v>1524</v>
      </c>
      <c r="D47" s="41" t="s">
        <v>93</v>
      </c>
      <c r="E47" s="200" t="s">
        <v>701</v>
      </c>
      <c r="F47" s="200" t="s">
        <v>3969</v>
      </c>
      <c r="G47" s="245" t="s">
        <v>3003</v>
      </c>
      <c r="H47" s="42" t="s">
        <v>2</v>
      </c>
      <c r="I47" s="248" t="s">
        <v>3011</v>
      </c>
      <c r="J47" s="233" t="s">
        <v>3220</v>
      </c>
      <c r="K47" s="162"/>
      <c r="L47" s="241"/>
      <c r="M47" s="241"/>
      <c r="N47" s="161"/>
      <c r="O47" s="139" t="s">
        <v>85</v>
      </c>
      <c r="P47" s="40" t="s">
        <v>92</v>
      </c>
      <c r="Q47" s="229" t="s">
        <v>3222</v>
      </c>
      <c r="R47" s="201" t="s">
        <v>2922</v>
      </c>
      <c r="S47" s="141" t="s">
        <v>88</v>
      </c>
      <c r="T47" s="243"/>
    </row>
    <row r="48" spans="1:20" ht="58" customHeight="1">
      <c r="A48" s="231" t="s">
        <v>2435</v>
      </c>
      <c r="B48" s="42" t="s">
        <v>5</v>
      </c>
      <c r="C48" s="41" t="s">
        <v>1525</v>
      </c>
      <c r="D48" s="41" t="s">
        <v>96</v>
      </c>
      <c r="E48" s="200" t="s">
        <v>702</v>
      </c>
      <c r="F48" s="200" t="s">
        <v>3264</v>
      </c>
      <c r="G48" s="245" t="s">
        <v>3265</v>
      </c>
      <c r="H48" s="42" t="s">
        <v>2</v>
      </c>
      <c r="I48" s="248" t="s">
        <v>3011</v>
      </c>
      <c r="J48" s="233" t="s">
        <v>3220</v>
      </c>
      <c r="K48" s="162"/>
      <c r="L48" s="241"/>
      <c r="M48" s="241"/>
      <c r="N48" s="161"/>
      <c r="O48" s="139" t="s">
        <v>94</v>
      </c>
      <c r="P48" s="40" t="s">
        <v>95</v>
      </c>
      <c r="Q48" s="229" t="s">
        <v>3222</v>
      </c>
      <c r="R48" s="201" t="s">
        <v>2926</v>
      </c>
      <c r="S48" s="141" t="s">
        <v>97</v>
      </c>
      <c r="T48" s="243"/>
    </row>
    <row r="49" spans="1:20" ht="58" customHeight="1">
      <c r="A49" s="231" t="s">
        <v>2435</v>
      </c>
      <c r="B49" s="42" t="s">
        <v>5</v>
      </c>
      <c r="C49" s="41" t="s">
        <v>1525</v>
      </c>
      <c r="D49" s="41" t="s">
        <v>99</v>
      </c>
      <c r="E49" s="200" t="s">
        <v>703</v>
      </c>
      <c r="F49" s="200" t="s">
        <v>3970</v>
      </c>
      <c r="G49" s="245" t="s">
        <v>3006</v>
      </c>
      <c r="H49" s="42" t="s">
        <v>1522</v>
      </c>
      <c r="I49" s="248" t="s">
        <v>4090</v>
      </c>
      <c r="J49" s="233" t="s">
        <v>3826</v>
      </c>
      <c r="K49" s="162" t="s">
        <v>4232</v>
      </c>
      <c r="L49" s="241" t="s">
        <v>4331</v>
      </c>
      <c r="M49" s="241" t="s">
        <v>4332</v>
      </c>
      <c r="N49" s="161" t="s">
        <v>4256</v>
      </c>
      <c r="O49" s="139" t="s">
        <v>94</v>
      </c>
      <c r="P49" s="40" t="s">
        <v>98</v>
      </c>
      <c r="Q49" s="229" t="s">
        <v>3222</v>
      </c>
      <c r="R49" s="201" t="s">
        <v>2920</v>
      </c>
      <c r="S49" s="141" t="s">
        <v>97</v>
      </c>
      <c r="T49" s="243"/>
    </row>
    <row r="50" spans="1:20" ht="58" customHeight="1">
      <c r="A50" s="231" t="s">
        <v>2435</v>
      </c>
      <c r="B50" s="42" t="s">
        <v>5</v>
      </c>
      <c r="C50" s="41" t="s">
        <v>1525</v>
      </c>
      <c r="D50" s="41" t="s">
        <v>4133</v>
      </c>
      <c r="E50" s="200" t="s">
        <v>704</v>
      </c>
      <c r="F50" s="200" t="s">
        <v>3971</v>
      </c>
      <c r="G50" s="245" t="s">
        <v>3006</v>
      </c>
      <c r="H50" s="42" t="s">
        <v>1522</v>
      </c>
      <c r="I50" s="248" t="s">
        <v>4090</v>
      </c>
      <c r="J50" s="233" t="s">
        <v>3827</v>
      </c>
      <c r="K50" s="162" t="s">
        <v>4134</v>
      </c>
      <c r="L50" s="241" t="s">
        <v>4333</v>
      </c>
      <c r="M50" s="241" t="s">
        <v>4334</v>
      </c>
      <c r="N50" s="161" t="s">
        <v>4256</v>
      </c>
      <c r="O50" s="139" t="s">
        <v>100</v>
      </c>
      <c r="P50" s="40" t="s">
        <v>4132</v>
      </c>
      <c r="Q50" s="229" t="s">
        <v>3222</v>
      </c>
      <c r="R50" s="201" t="s">
        <v>2920</v>
      </c>
      <c r="S50" s="141" t="s">
        <v>102</v>
      </c>
      <c r="T50" s="243"/>
    </row>
    <row r="51" spans="1:20" ht="58" customHeight="1">
      <c r="A51" s="231" t="s">
        <v>2435</v>
      </c>
      <c r="B51" s="42" t="s">
        <v>5</v>
      </c>
      <c r="C51" s="41" t="s">
        <v>1525</v>
      </c>
      <c r="D51" s="41" t="s">
        <v>4135</v>
      </c>
      <c r="E51" s="200" t="s">
        <v>704</v>
      </c>
      <c r="F51" s="200" t="s">
        <v>3971</v>
      </c>
      <c r="G51" s="245" t="s">
        <v>3006</v>
      </c>
      <c r="H51" s="42" t="s">
        <v>1522</v>
      </c>
      <c r="I51" s="248" t="s">
        <v>4090</v>
      </c>
      <c r="J51" s="233" t="s">
        <v>3827</v>
      </c>
      <c r="K51" s="162" t="s">
        <v>4137</v>
      </c>
      <c r="L51" s="241" t="s">
        <v>4335</v>
      </c>
      <c r="M51" s="241" t="s">
        <v>4336</v>
      </c>
      <c r="N51" s="161" t="s">
        <v>4256</v>
      </c>
      <c r="O51" s="139" t="s">
        <v>100</v>
      </c>
      <c r="P51" s="40" t="s">
        <v>4136</v>
      </c>
      <c r="Q51" s="229" t="s">
        <v>3222</v>
      </c>
      <c r="R51" s="201" t="s">
        <v>2920</v>
      </c>
      <c r="S51" s="141" t="s">
        <v>102</v>
      </c>
      <c r="T51" s="243"/>
    </row>
    <row r="52" spans="1:20" ht="58" customHeight="1">
      <c r="A52" s="231" t="s">
        <v>2435</v>
      </c>
      <c r="B52" s="42" t="s">
        <v>5</v>
      </c>
      <c r="C52" s="41" t="s">
        <v>1525</v>
      </c>
      <c r="D52" s="41" t="s">
        <v>104</v>
      </c>
      <c r="E52" s="200" t="s">
        <v>705</v>
      </c>
      <c r="F52" s="200" t="s">
        <v>3971</v>
      </c>
      <c r="G52" s="245" t="s">
        <v>3006</v>
      </c>
      <c r="H52" s="42" t="s">
        <v>1522</v>
      </c>
      <c r="I52" s="248" t="s">
        <v>4477</v>
      </c>
      <c r="J52" s="233" t="s">
        <v>3828</v>
      </c>
      <c r="K52" s="162" t="s">
        <v>4233</v>
      </c>
      <c r="L52" s="241" t="s">
        <v>4337</v>
      </c>
      <c r="M52" s="241" t="s">
        <v>4338</v>
      </c>
      <c r="N52" s="161" t="s">
        <v>4256</v>
      </c>
      <c r="O52" s="139" t="s">
        <v>100</v>
      </c>
      <c r="P52" s="40" t="s">
        <v>103</v>
      </c>
      <c r="Q52" s="229" t="s">
        <v>3222</v>
      </c>
      <c r="R52" s="201" t="s">
        <v>2920</v>
      </c>
      <c r="S52" s="141" t="s">
        <v>102</v>
      </c>
      <c r="T52" s="243"/>
    </row>
    <row r="53" spans="1:20" ht="58" customHeight="1">
      <c r="A53" s="231" t="s">
        <v>2435</v>
      </c>
      <c r="B53" s="42" t="s">
        <v>5</v>
      </c>
      <c r="C53" s="41" t="s">
        <v>1525</v>
      </c>
      <c r="D53" s="41" t="s">
        <v>106</v>
      </c>
      <c r="E53" s="200" t="s">
        <v>706</v>
      </c>
      <c r="F53" s="200" t="s">
        <v>3972</v>
      </c>
      <c r="G53" s="245" t="s">
        <v>3006</v>
      </c>
      <c r="H53" s="42" t="s">
        <v>1522</v>
      </c>
      <c r="I53" s="248" t="s">
        <v>3013</v>
      </c>
      <c r="J53" s="233" t="s">
        <v>3829</v>
      </c>
      <c r="K53" s="162" t="s">
        <v>4234</v>
      </c>
      <c r="L53" s="241" t="s">
        <v>4339</v>
      </c>
      <c r="M53" s="241" t="s">
        <v>4340</v>
      </c>
      <c r="N53" s="161" t="s">
        <v>4256</v>
      </c>
      <c r="O53" s="139" t="s">
        <v>100</v>
      </c>
      <c r="P53" s="40" t="s">
        <v>105</v>
      </c>
      <c r="Q53" s="229" t="s">
        <v>3222</v>
      </c>
      <c r="R53" s="201" t="s">
        <v>2920</v>
      </c>
      <c r="S53" s="141" t="s">
        <v>102</v>
      </c>
      <c r="T53" s="243"/>
    </row>
    <row r="54" spans="1:20" ht="58" customHeight="1">
      <c r="A54" s="231" t="s">
        <v>2435</v>
      </c>
      <c r="B54" s="42" t="s">
        <v>5</v>
      </c>
      <c r="C54" s="41" t="s">
        <v>1525</v>
      </c>
      <c r="D54" s="41" t="s">
        <v>108</v>
      </c>
      <c r="E54" s="200" t="s">
        <v>707</v>
      </c>
      <c r="F54" s="200" t="s">
        <v>3973</v>
      </c>
      <c r="G54" s="245" t="s">
        <v>3007</v>
      </c>
      <c r="H54" s="42" t="s">
        <v>1522</v>
      </c>
      <c r="I54" s="248" t="s">
        <v>4477</v>
      </c>
      <c r="J54" s="233" t="s">
        <v>3830</v>
      </c>
      <c r="K54" s="162" t="s">
        <v>4261</v>
      </c>
      <c r="L54" s="241" t="s">
        <v>4381</v>
      </c>
      <c r="M54" s="241" t="s">
        <v>4382</v>
      </c>
      <c r="N54" s="161" t="s">
        <v>4255</v>
      </c>
      <c r="O54" s="139" t="s">
        <v>100</v>
      </c>
      <c r="P54" s="40" t="s">
        <v>107</v>
      </c>
      <c r="Q54" s="229" t="s">
        <v>3222</v>
      </c>
      <c r="R54" s="201" t="s">
        <v>2921</v>
      </c>
      <c r="S54" s="141" t="s">
        <v>102</v>
      </c>
      <c r="T54" s="243"/>
    </row>
    <row r="55" spans="1:20" ht="58" customHeight="1">
      <c r="A55" s="231" t="s">
        <v>2435</v>
      </c>
      <c r="B55" s="42" t="s">
        <v>5</v>
      </c>
      <c r="C55" s="41" t="s">
        <v>1525</v>
      </c>
      <c r="D55" s="41" t="s">
        <v>110</v>
      </c>
      <c r="E55" s="200" t="s">
        <v>708</v>
      </c>
      <c r="F55" s="200" t="s">
        <v>3974</v>
      </c>
      <c r="G55" s="245" t="s">
        <v>3007</v>
      </c>
      <c r="H55" s="42" t="s">
        <v>1522</v>
      </c>
      <c r="I55" s="248" t="s">
        <v>4477</v>
      </c>
      <c r="J55" s="233" t="s">
        <v>3831</v>
      </c>
      <c r="K55" s="162" t="s">
        <v>4248</v>
      </c>
      <c r="L55" s="241" t="s">
        <v>4407</v>
      </c>
      <c r="M55" s="241"/>
      <c r="N55" s="161" t="s">
        <v>4255</v>
      </c>
      <c r="O55" s="139" t="s">
        <v>100</v>
      </c>
      <c r="P55" s="40" t="s">
        <v>109</v>
      </c>
      <c r="Q55" s="229" t="s">
        <v>3222</v>
      </c>
      <c r="R55" s="201" t="s">
        <v>2921</v>
      </c>
      <c r="S55" s="141" t="s">
        <v>102</v>
      </c>
      <c r="T55" s="243"/>
    </row>
    <row r="56" spans="1:20" ht="58" customHeight="1">
      <c r="A56" s="231" t="s">
        <v>2435</v>
      </c>
      <c r="B56" s="42" t="s">
        <v>5</v>
      </c>
      <c r="C56" s="41" t="s">
        <v>1525</v>
      </c>
      <c r="D56" s="41" t="s">
        <v>113</v>
      </c>
      <c r="E56" s="200" t="s">
        <v>709</v>
      </c>
      <c r="F56" s="200" t="s">
        <v>3975</v>
      </c>
      <c r="G56" s="245" t="s">
        <v>3007</v>
      </c>
      <c r="H56" s="42" t="s">
        <v>1522</v>
      </c>
      <c r="I56" s="248" t="s">
        <v>4090</v>
      </c>
      <c r="J56" s="233" t="s">
        <v>3832</v>
      </c>
      <c r="K56" s="162" t="s">
        <v>4273</v>
      </c>
      <c r="L56" s="241" t="s">
        <v>4405</v>
      </c>
      <c r="M56" s="241" t="s">
        <v>4406</v>
      </c>
      <c r="N56" s="161" t="s">
        <v>4257</v>
      </c>
      <c r="O56" s="139" t="s">
        <v>111</v>
      </c>
      <c r="P56" s="40" t="s">
        <v>112</v>
      </c>
      <c r="Q56" s="229" t="s">
        <v>3222</v>
      </c>
      <c r="R56" s="201" t="s">
        <v>2921</v>
      </c>
      <c r="S56" s="141" t="s">
        <v>114</v>
      </c>
      <c r="T56" s="243"/>
    </row>
    <row r="57" spans="1:20" ht="58" customHeight="1">
      <c r="A57" s="231" t="s">
        <v>2435</v>
      </c>
      <c r="B57" s="42" t="s">
        <v>5</v>
      </c>
      <c r="C57" s="41" t="s">
        <v>1525</v>
      </c>
      <c r="D57" s="41" t="s">
        <v>116</v>
      </c>
      <c r="E57" s="200" t="s">
        <v>710</v>
      </c>
      <c r="F57" s="200" t="s">
        <v>3976</v>
      </c>
      <c r="G57" s="245" t="s">
        <v>3007</v>
      </c>
      <c r="H57" s="42" t="s">
        <v>1522</v>
      </c>
      <c r="I57" s="248" t="s">
        <v>4477</v>
      </c>
      <c r="J57" s="233" t="s">
        <v>3833</v>
      </c>
      <c r="K57" s="162" t="s">
        <v>4260</v>
      </c>
      <c r="L57" s="241" t="s">
        <v>4379</v>
      </c>
      <c r="M57" s="241" t="s">
        <v>4380</v>
      </c>
      <c r="N57" s="161" t="s">
        <v>4255</v>
      </c>
      <c r="O57" s="139" t="s">
        <v>111</v>
      </c>
      <c r="P57" s="40" t="s">
        <v>115</v>
      </c>
      <c r="Q57" s="229" t="s">
        <v>3222</v>
      </c>
      <c r="R57" s="201" t="s">
        <v>2921</v>
      </c>
      <c r="S57" s="141" t="s">
        <v>114</v>
      </c>
      <c r="T57" s="243"/>
    </row>
    <row r="58" spans="1:20" ht="58" customHeight="1">
      <c r="A58" s="231" t="s">
        <v>2435</v>
      </c>
      <c r="B58" s="42" t="s">
        <v>5</v>
      </c>
      <c r="C58" s="41" t="s">
        <v>1525</v>
      </c>
      <c r="D58" s="41" t="s">
        <v>118</v>
      </c>
      <c r="E58" s="200" t="s">
        <v>711</v>
      </c>
      <c r="F58" s="200" t="s">
        <v>3977</v>
      </c>
      <c r="G58" s="245" t="s">
        <v>3007</v>
      </c>
      <c r="H58" s="42" t="s">
        <v>1522</v>
      </c>
      <c r="I58" s="248" t="s">
        <v>4090</v>
      </c>
      <c r="J58" s="233" t="s">
        <v>3834</v>
      </c>
      <c r="K58" s="162" t="s">
        <v>4272</v>
      </c>
      <c r="L58" s="241" t="s">
        <v>4403</v>
      </c>
      <c r="M58" s="241" t="s">
        <v>4404</v>
      </c>
      <c r="N58" s="161" t="s">
        <v>4257</v>
      </c>
      <c r="O58" s="139" t="s">
        <v>111</v>
      </c>
      <c r="P58" s="40" t="s">
        <v>117</v>
      </c>
      <c r="Q58" s="229" t="s">
        <v>3222</v>
      </c>
      <c r="R58" s="201" t="s">
        <v>2921</v>
      </c>
      <c r="S58" s="141" t="s">
        <v>114</v>
      </c>
      <c r="T58" s="243"/>
    </row>
    <row r="59" spans="1:20" ht="58" customHeight="1">
      <c r="A59" s="231" t="s">
        <v>2435</v>
      </c>
      <c r="B59" s="42" t="s">
        <v>5</v>
      </c>
      <c r="C59" s="41" t="s">
        <v>1526</v>
      </c>
      <c r="D59" s="41" t="s">
        <v>121</v>
      </c>
      <c r="E59" s="200" t="s">
        <v>712</v>
      </c>
      <c r="F59" s="200" t="s">
        <v>3978</v>
      </c>
      <c r="G59" s="245" t="s">
        <v>3003</v>
      </c>
      <c r="H59" s="42" t="s">
        <v>2</v>
      </c>
      <c r="I59" s="248" t="s">
        <v>3011</v>
      </c>
      <c r="J59" s="233" t="s">
        <v>3220</v>
      </c>
      <c r="K59" s="162"/>
      <c r="L59" s="241"/>
      <c r="M59" s="241"/>
      <c r="N59" s="161"/>
      <c r="O59" s="139" t="s">
        <v>119</v>
      </c>
      <c r="P59" s="40" t="s">
        <v>120</v>
      </c>
      <c r="Q59" s="229" t="s">
        <v>3222</v>
      </c>
      <c r="R59" s="201" t="s">
        <v>2</v>
      </c>
      <c r="S59" s="141" t="s">
        <v>122</v>
      </c>
      <c r="T59" s="243"/>
    </row>
    <row r="60" spans="1:20" ht="58" customHeight="1">
      <c r="A60" s="231" t="s">
        <v>2435</v>
      </c>
      <c r="B60" s="42" t="s">
        <v>5</v>
      </c>
      <c r="C60" s="41" t="s">
        <v>1526</v>
      </c>
      <c r="D60" s="41" t="s">
        <v>124</v>
      </c>
      <c r="E60" s="200" t="s">
        <v>713</v>
      </c>
      <c r="F60" s="200" t="s">
        <v>3979</v>
      </c>
      <c r="G60" s="245" t="s">
        <v>3003</v>
      </c>
      <c r="H60" s="42" t="s">
        <v>2</v>
      </c>
      <c r="I60" s="248" t="s">
        <v>3011</v>
      </c>
      <c r="J60" s="233" t="s">
        <v>3220</v>
      </c>
      <c r="K60" s="162"/>
      <c r="L60" s="241"/>
      <c r="M60" s="241"/>
      <c r="N60" s="161"/>
      <c r="O60" s="139" t="s">
        <v>119</v>
      </c>
      <c r="P60" s="40" t="s">
        <v>123</v>
      </c>
      <c r="Q60" s="229" t="s">
        <v>3222</v>
      </c>
      <c r="R60" s="201" t="s">
        <v>2</v>
      </c>
      <c r="S60" s="141" t="s">
        <v>122</v>
      </c>
      <c r="T60" s="243"/>
    </row>
    <row r="61" spans="1:20" ht="58" customHeight="1">
      <c r="A61" s="231" t="s">
        <v>2435</v>
      </c>
      <c r="B61" s="42" t="s">
        <v>5</v>
      </c>
      <c r="C61" s="41" t="s">
        <v>1526</v>
      </c>
      <c r="D61" s="41" t="s">
        <v>126</v>
      </c>
      <c r="E61" s="200" t="s">
        <v>714</v>
      </c>
      <c r="F61" s="200" t="s">
        <v>3980</v>
      </c>
      <c r="G61" s="245" t="s">
        <v>3007</v>
      </c>
      <c r="H61" s="42" t="s">
        <v>1522</v>
      </c>
      <c r="I61" s="248" t="s">
        <v>4477</v>
      </c>
      <c r="J61" s="233" t="s">
        <v>3835</v>
      </c>
      <c r="K61" s="162" t="s">
        <v>4262</v>
      </c>
      <c r="L61" s="241" t="s">
        <v>4383</v>
      </c>
      <c r="M61" s="241" t="s">
        <v>4384</v>
      </c>
      <c r="N61" s="161" t="s">
        <v>4255</v>
      </c>
      <c r="O61" s="139" t="s">
        <v>119</v>
      </c>
      <c r="P61" s="40" t="s">
        <v>125</v>
      </c>
      <c r="Q61" s="229" t="s">
        <v>3222</v>
      </c>
      <c r="R61" s="201" t="s">
        <v>2921</v>
      </c>
      <c r="S61" s="141" t="s">
        <v>122</v>
      </c>
      <c r="T61" s="243"/>
    </row>
    <row r="62" spans="1:20" ht="58" customHeight="1">
      <c r="A62" s="231" t="s">
        <v>2435</v>
      </c>
      <c r="B62" s="42" t="s">
        <v>5</v>
      </c>
      <c r="C62" s="41" t="s">
        <v>1526</v>
      </c>
      <c r="D62" s="41" t="s">
        <v>128</v>
      </c>
      <c r="E62" s="200" t="s">
        <v>715</v>
      </c>
      <c r="F62" s="200" t="s">
        <v>3981</v>
      </c>
      <c r="G62" s="245" t="s">
        <v>3007</v>
      </c>
      <c r="H62" s="42" t="s">
        <v>1522</v>
      </c>
      <c r="I62" s="248" t="s">
        <v>4477</v>
      </c>
      <c r="J62" s="233" t="s">
        <v>3836</v>
      </c>
      <c r="K62" s="162" t="s">
        <v>4264</v>
      </c>
      <c r="L62" s="241" t="s">
        <v>4387</v>
      </c>
      <c r="M62" s="241" t="s">
        <v>4388</v>
      </c>
      <c r="N62" s="161" t="s">
        <v>4256</v>
      </c>
      <c r="O62" s="139" t="s">
        <v>119</v>
      </c>
      <c r="P62" s="40" t="s">
        <v>127</v>
      </c>
      <c r="Q62" s="229" t="s">
        <v>3222</v>
      </c>
      <c r="R62" s="201" t="s">
        <v>2921</v>
      </c>
      <c r="S62" s="141" t="s">
        <v>122</v>
      </c>
      <c r="T62" s="243"/>
    </row>
    <row r="63" spans="1:20" ht="58" customHeight="1">
      <c r="A63" s="231" t="s">
        <v>2435</v>
      </c>
      <c r="B63" s="42" t="s">
        <v>5</v>
      </c>
      <c r="C63" s="41" t="s">
        <v>1526</v>
      </c>
      <c r="D63" s="41" t="s">
        <v>130</v>
      </c>
      <c r="E63" s="200" t="s">
        <v>716</v>
      </c>
      <c r="F63" s="200" t="s">
        <v>3982</v>
      </c>
      <c r="G63" s="245" t="s">
        <v>3004</v>
      </c>
      <c r="H63" s="42" t="s">
        <v>958</v>
      </c>
      <c r="I63" s="248" t="s">
        <v>3012</v>
      </c>
      <c r="J63" s="233" t="s">
        <v>3220</v>
      </c>
      <c r="K63" s="162"/>
      <c r="L63" s="241"/>
      <c r="M63" s="241"/>
      <c r="N63" s="161"/>
      <c r="O63" s="139" t="s">
        <v>119</v>
      </c>
      <c r="P63" s="40" t="s">
        <v>129</v>
      </c>
      <c r="Q63" s="229" t="s">
        <v>3222</v>
      </c>
      <c r="R63" s="201" t="s">
        <v>2917</v>
      </c>
      <c r="S63" s="141" t="s">
        <v>122</v>
      </c>
      <c r="T63" s="243"/>
    </row>
    <row r="64" spans="1:20" ht="58" customHeight="1">
      <c r="A64" s="231" t="s">
        <v>2435</v>
      </c>
      <c r="B64" s="42" t="s">
        <v>5</v>
      </c>
      <c r="C64" s="41" t="s">
        <v>1526</v>
      </c>
      <c r="D64" s="41" t="s">
        <v>132</v>
      </c>
      <c r="E64" s="200" t="s">
        <v>717</v>
      </c>
      <c r="F64" s="200" t="s">
        <v>3983</v>
      </c>
      <c r="G64" s="245" t="s">
        <v>3007</v>
      </c>
      <c r="H64" s="42" t="s">
        <v>1522</v>
      </c>
      <c r="I64" s="248" t="s">
        <v>4477</v>
      </c>
      <c r="J64" s="233" t="s">
        <v>3837</v>
      </c>
      <c r="K64" s="162" t="s">
        <v>4249</v>
      </c>
      <c r="L64" s="241" t="s">
        <v>4408</v>
      </c>
      <c r="M64" s="241"/>
      <c r="N64" s="161" t="s">
        <v>4255</v>
      </c>
      <c r="O64" s="139" t="s">
        <v>119</v>
      </c>
      <c r="P64" s="40" t="s">
        <v>131</v>
      </c>
      <c r="Q64" s="229" t="s">
        <v>3222</v>
      </c>
      <c r="R64" s="201" t="s">
        <v>2921</v>
      </c>
      <c r="S64" s="141" t="s">
        <v>122</v>
      </c>
      <c r="T64" s="243"/>
    </row>
    <row r="65" spans="1:20" ht="58" customHeight="1">
      <c r="A65" s="231" t="s">
        <v>2435</v>
      </c>
      <c r="B65" s="42" t="s">
        <v>5</v>
      </c>
      <c r="C65" s="41" t="s">
        <v>1526</v>
      </c>
      <c r="D65" s="41" t="s">
        <v>134</v>
      </c>
      <c r="E65" s="200" t="s">
        <v>718</v>
      </c>
      <c r="F65" s="200" t="s">
        <v>3984</v>
      </c>
      <c r="G65" s="245" t="s">
        <v>3004</v>
      </c>
      <c r="H65" s="42" t="s">
        <v>958</v>
      </c>
      <c r="I65" s="248" t="s">
        <v>3012</v>
      </c>
      <c r="J65" s="233" t="s">
        <v>3220</v>
      </c>
      <c r="K65" s="162"/>
      <c r="L65" s="241"/>
      <c r="M65" s="241"/>
      <c r="N65" s="161"/>
      <c r="O65" s="139" t="s">
        <v>119</v>
      </c>
      <c r="P65" s="40" t="s">
        <v>133</v>
      </c>
      <c r="Q65" s="229" t="s">
        <v>3222</v>
      </c>
      <c r="R65" s="201" t="s">
        <v>2917</v>
      </c>
      <c r="S65" s="141" t="s">
        <v>122</v>
      </c>
      <c r="T65" s="243"/>
    </row>
    <row r="66" spans="1:20" ht="58" customHeight="1">
      <c r="A66" s="231" t="s">
        <v>2435</v>
      </c>
      <c r="B66" s="42" t="s">
        <v>5</v>
      </c>
      <c r="C66" s="41" t="s">
        <v>1526</v>
      </c>
      <c r="D66" s="41" t="s">
        <v>136</v>
      </c>
      <c r="E66" s="200" t="s">
        <v>3922</v>
      </c>
      <c r="F66" s="200" t="s">
        <v>3923</v>
      </c>
      <c r="G66" s="245" t="s">
        <v>3924</v>
      </c>
      <c r="H66" s="42" t="s">
        <v>2</v>
      </c>
      <c r="I66" s="248" t="s">
        <v>3011</v>
      </c>
      <c r="J66" s="233" t="s">
        <v>3220</v>
      </c>
      <c r="K66" s="162"/>
      <c r="L66" s="241"/>
      <c r="M66" s="241"/>
      <c r="N66" s="161"/>
      <c r="O66" s="139" t="s">
        <v>119</v>
      </c>
      <c r="P66" s="40" t="s">
        <v>135</v>
      </c>
      <c r="Q66" s="229" t="s">
        <v>3222</v>
      </c>
      <c r="R66" s="201" t="s">
        <v>2927</v>
      </c>
      <c r="S66" s="141" t="s">
        <v>122</v>
      </c>
      <c r="T66" s="243"/>
    </row>
    <row r="67" spans="1:20" ht="58" customHeight="1">
      <c r="A67" s="231" t="s">
        <v>2435</v>
      </c>
      <c r="B67" s="42" t="s">
        <v>5</v>
      </c>
      <c r="C67" s="41" t="s">
        <v>1526</v>
      </c>
      <c r="D67" s="41" t="s">
        <v>139</v>
      </c>
      <c r="E67" s="200" t="s">
        <v>3757</v>
      </c>
      <c r="F67" s="200" t="s">
        <v>3985</v>
      </c>
      <c r="G67" s="245" t="s">
        <v>3004</v>
      </c>
      <c r="H67" s="42" t="s">
        <v>958</v>
      </c>
      <c r="I67" s="248" t="s">
        <v>3012</v>
      </c>
      <c r="J67" s="233" t="s">
        <v>3220</v>
      </c>
      <c r="K67" s="162"/>
      <c r="L67" s="241"/>
      <c r="M67" s="241"/>
      <c r="N67" s="161"/>
      <c r="O67" s="139" t="s">
        <v>137</v>
      </c>
      <c r="P67" s="40" t="s">
        <v>138</v>
      </c>
      <c r="Q67" s="229" t="s">
        <v>3222</v>
      </c>
      <c r="R67" s="201" t="s">
        <v>2928</v>
      </c>
      <c r="S67" s="141" t="s">
        <v>140</v>
      </c>
      <c r="T67" s="243"/>
    </row>
    <row r="68" spans="1:20" ht="58" customHeight="1">
      <c r="A68" s="231" t="s">
        <v>2435</v>
      </c>
      <c r="B68" s="42" t="s">
        <v>5</v>
      </c>
      <c r="C68" s="41" t="s">
        <v>1526</v>
      </c>
      <c r="D68" s="41" t="s">
        <v>142</v>
      </c>
      <c r="E68" s="200" t="s">
        <v>3758</v>
      </c>
      <c r="F68" s="200" t="s">
        <v>3986</v>
      </c>
      <c r="G68" s="245" t="s">
        <v>3004</v>
      </c>
      <c r="H68" s="42" t="s">
        <v>958</v>
      </c>
      <c r="I68" s="248" t="s">
        <v>3012</v>
      </c>
      <c r="J68" s="233" t="s">
        <v>3220</v>
      </c>
      <c r="K68" s="162"/>
      <c r="L68" s="241"/>
      <c r="M68" s="241"/>
      <c r="N68" s="161"/>
      <c r="O68" s="139" t="s">
        <v>137</v>
      </c>
      <c r="P68" s="40" t="s">
        <v>141</v>
      </c>
      <c r="Q68" s="229" t="s">
        <v>3222</v>
      </c>
      <c r="R68" s="201" t="s">
        <v>2928</v>
      </c>
      <c r="S68" s="141" t="s">
        <v>140</v>
      </c>
      <c r="T68" s="243"/>
    </row>
    <row r="69" spans="1:20" ht="58" customHeight="1">
      <c r="A69" s="231" t="s">
        <v>2435</v>
      </c>
      <c r="B69" s="42" t="s">
        <v>5</v>
      </c>
      <c r="C69" s="41" t="s">
        <v>1527</v>
      </c>
      <c r="D69" s="41" t="s">
        <v>145</v>
      </c>
      <c r="E69" s="200" t="s">
        <v>719</v>
      </c>
      <c r="F69" s="200" t="s">
        <v>3295</v>
      </c>
      <c r="G69" s="245" t="s">
        <v>3296</v>
      </c>
      <c r="H69" s="42" t="s">
        <v>1522</v>
      </c>
      <c r="I69" s="248" t="s">
        <v>3013</v>
      </c>
      <c r="J69" s="233" t="s">
        <v>3220</v>
      </c>
      <c r="K69" s="162" t="s">
        <v>4594</v>
      </c>
      <c r="L69" s="241" t="s">
        <v>4595</v>
      </c>
      <c r="M69" s="241"/>
      <c r="N69" s="161"/>
      <c r="O69" s="139" t="s">
        <v>143</v>
      </c>
      <c r="P69" s="40" t="s">
        <v>144</v>
      </c>
      <c r="Q69" s="229" t="s">
        <v>3222</v>
      </c>
      <c r="R69" s="201" t="s">
        <v>2929</v>
      </c>
      <c r="S69" s="141" t="s">
        <v>146</v>
      </c>
      <c r="T69" s="243" t="s">
        <v>4596</v>
      </c>
    </row>
    <row r="70" spans="1:20" ht="58" customHeight="1">
      <c r="A70" s="231" t="s">
        <v>2435</v>
      </c>
      <c r="B70" s="42" t="s">
        <v>5</v>
      </c>
      <c r="C70" s="41" t="s">
        <v>1527</v>
      </c>
      <c r="D70" s="41" t="s">
        <v>155</v>
      </c>
      <c r="E70" s="200" t="s">
        <v>722</v>
      </c>
      <c r="F70" s="200" t="s">
        <v>3987</v>
      </c>
      <c r="G70" s="245" t="s">
        <v>3007</v>
      </c>
      <c r="H70" s="42" t="s">
        <v>1522</v>
      </c>
      <c r="I70" s="248" t="s">
        <v>4477</v>
      </c>
      <c r="J70" s="233" t="s">
        <v>3838</v>
      </c>
      <c r="K70" s="162" t="s">
        <v>4265</v>
      </c>
      <c r="L70" s="241" t="s">
        <v>4389</v>
      </c>
      <c r="M70" s="241" t="s">
        <v>4390</v>
      </c>
      <c r="N70" s="161" t="s">
        <v>4256</v>
      </c>
      <c r="O70" s="139" t="s">
        <v>153</v>
      </c>
      <c r="P70" s="40" t="s">
        <v>154</v>
      </c>
      <c r="Q70" s="229" t="s">
        <v>3222</v>
      </c>
      <c r="R70" s="201" t="s">
        <v>2921</v>
      </c>
      <c r="S70" s="141" t="s">
        <v>156</v>
      </c>
      <c r="T70" s="243"/>
    </row>
    <row r="71" spans="1:20" ht="58" customHeight="1">
      <c r="A71" s="231" t="s">
        <v>2435</v>
      </c>
      <c r="B71" s="42" t="s">
        <v>5</v>
      </c>
      <c r="C71" s="41" t="s">
        <v>1527</v>
      </c>
      <c r="D71" s="41" t="s">
        <v>169</v>
      </c>
      <c r="E71" s="200" t="s">
        <v>3745</v>
      </c>
      <c r="F71" s="200" t="s">
        <v>3939</v>
      </c>
      <c r="G71" s="245" t="s">
        <v>4538</v>
      </c>
      <c r="H71" s="42" t="s">
        <v>2</v>
      </c>
      <c r="I71" s="248" t="s">
        <v>3011</v>
      </c>
      <c r="J71" s="233" t="s">
        <v>3220</v>
      </c>
      <c r="K71" s="162"/>
      <c r="L71" s="241"/>
      <c r="M71" s="241"/>
      <c r="N71" s="161"/>
      <c r="O71" s="139" t="s">
        <v>167</v>
      </c>
      <c r="P71" s="40" t="s">
        <v>168</v>
      </c>
      <c r="Q71" s="229" t="s">
        <v>3222</v>
      </c>
      <c r="R71" s="201" t="s">
        <v>2932</v>
      </c>
      <c r="S71" s="141" t="s">
        <v>170</v>
      </c>
      <c r="T71" s="243"/>
    </row>
    <row r="72" spans="1:20" ht="58" customHeight="1">
      <c r="A72" s="231" t="s">
        <v>2435</v>
      </c>
      <c r="B72" s="42" t="s">
        <v>5</v>
      </c>
      <c r="C72" s="41" t="s">
        <v>1527</v>
      </c>
      <c r="D72" s="41" t="s">
        <v>163</v>
      </c>
      <c r="E72" s="200" t="s">
        <v>725</v>
      </c>
      <c r="F72" s="200" t="s">
        <v>3297</v>
      </c>
      <c r="G72" s="245" t="s">
        <v>3298</v>
      </c>
      <c r="H72" s="42" t="s">
        <v>1522</v>
      </c>
      <c r="I72" s="248" t="s">
        <v>3013</v>
      </c>
      <c r="J72" s="233" t="s">
        <v>3220</v>
      </c>
      <c r="K72" s="162" t="s">
        <v>4597</v>
      </c>
      <c r="L72" s="241" t="s">
        <v>4598</v>
      </c>
      <c r="M72" s="241"/>
      <c r="N72" s="161"/>
      <c r="O72" s="139" t="s">
        <v>161</v>
      </c>
      <c r="P72" s="40" t="s">
        <v>162</v>
      </c>
      <c r="Q72" s="229" t="s">
        <v>3222</v>
      </c>
      <c r="R72" s="201" t="s">
        <v>2929</v>
      </c>
      <c r="S72" s="141" t="s">
        <v>164</v>
      </c>
      <c r="T72" s="243" t="s">
        <v>4596</v>
      </c>
    </row>
    <row r="73" spans="1:20" ht="58" customHeight="1">
      <c r="A73" s="231" t="s">
        <v>2435</v>
      </c>
      <c r="B73" s="42" t="s">
        <v>5</v>
      </c>
      <c r="C73" s="41" t="s">
        <v>1527</v>
      </c>
      <c r="D73" s="41" t="s">
        <v>148</v>
      </c>
      <c r="E73" s="200" t="s">
        <v>720</v>
      </c>
      <c r="F73" s="200" t="s">
        <v>3299</v>
      </c>
      <c r="G73" s="245" t="s">
        <v>3274</v>
      </c>
      <c r="H73" s="42" t="s">
        <v>2</v>
      </c>
      <c r="I73" s="248" t="s">
        <v>3011</v>
      </c>
      <c r="J73" s="233" t="s">
        <v>3220</v>
      </c>
      <c r="K73" s="162"/>
      <c r="L73" s="241"/>
      <c r="M73" s="241"/>
      <c r="N73" s="161"/>
      <c r="O73" s="139" t="s">
        <v>143</v>
      </c>
      <c r="P73" s="40" t="s">
        <v>147</v>
      </c>
      <c r="Q73" s="229" t="s">
        <v>3222</v>
      </c>
      <c r="R73" s="201" t="s">
        <v>2929</v>
      </c>
      <c r="S73" s="141" t="s">
        <v>146</v>
      </c>
      <c r="T73" s="243"/>
    </row>
    <row r="74" spans="1:20" ht="58" customHeight="1">
      <c r="A74" s="231" t="s">
        <v>2435</v>
      </c>
      <c r="B74" s="42" t="s">
        <v>5</v>
      </c>
      <c r="C74" s="41" t="s">
        <v>1527</v>
      </c>
      <c r="D74" s="41" t="s">
        <v>150</v>
      </c>
      <c r="E74" s="200" t="s">
        <v>3756</v>
      </c>
      <c r="F74" s="200" t="s">
        <v>3268</v>
      </c>
      <c r="G74" s="245" t="s">
        <v>3269</v>
      </c>
      <c r="H74" s="42" t="s">
        <v>2</v>
      </c>
      <c r="I74" s="248" t="s">
        <v>3011</v>
      </c>
      <c r="J74" s="233" t="s">
        <v>3220</v>
      </c>
      <c r="K74" s="162"/>
      <c r="L74" s="241"/>
      <c r="M74" s="241"/>
      <c r="N74" s="161"/>
      <c r="O74" s="139" t="s">
        <v>143</v>
      </c>
      <c r="P74" s="40" t="s">
        <v>149</v>
      </c>
      <c r="Q74" s="229" t="s">
        <v>3222</v>
      </c>
      <c r="R74" s="201" t="s">
        <v>2930</v>
      </c>
      <c r="S74" s="141" t="s">
        <v>146</v>
      </c>
      <c r="T74" s="243"/>
    </row>
    <row r="75" spans="1:20" ht="58" customHeight="1">
      <c r="A75" s="231" t="s">
        <v>2435</v>
      </c>
      <c r="B75" s="42" t="s">
        <v>5</v>
      </c>
      <c r="C75" s="41" t="s">
        <v>1527</v>
      </c>
      <c r="D75" s="41" t="s">
        <v>158</v>
      </c>
      <c r="E75" s="200" t="s">
        <v>723</v>
      </c>
      <c r="F75" s="200" t="s">
        <v>3988</v>
      </c>
      <c r="G75" s="245" t="s">
        <v>3003</v>
      </c>
      <c r="H75" s="42" t="s">
        <v>2</v>
      </c>
      <c r="I75" s="248" t="s">
        <v>3011</v>
      </c>
      <c r="J75" s="233" t="s">
        <v>3220</v>
      </c>
      <c r="K75" s="162"/>
      <c r="L75" s="241"/>
      <c r="M75" s="241"/>
      <c r="N75" s="161"/>
      <c r="O75" s="139" t="s">
        <v>153</v>
      </c>
      <c r="P75" s="40" t="s">
        <v>157</v>
      </c>
      <c r="Q75" s="229" t="s">
        <v>3222</v>
      </c>
      <c r="R75" s="201" t="s">
        <v>2931</v>
      </c>
      <c r="S75" s="141" t="s">
        <v>156</v>
      </c>
      <c r="T75" s="243"/>
    </row>
    <row r="76" spans="1:20" ht="58" customHeight="1">
      <c r="A76" s="231" t="s">
        <v>2435</v>
      </c>
      <c r="B76" s="42" t="s">
        <v>5</v>
      </c>
      <c r="C76" s="41" t="s">
        <v>1527</v>
      </c>
      <c r="D76" s="41" t="s">
        <v>160</v>
      </c>
      <c r="E76" s="200" t="s">
        <v>724</v>
      </c>
      <c r="F76" s="200" t="s">
        <v>3989</v>
      </c>
      <c r="G76" s="245" t="s">
        <v>3003</v>
      </c>
      <c r="H76" s="42" t="s">
        <v>2</v>
      </c>
      <c r="I76" s="248" t="s">
        <v>3011</v>
      </c>
      <c r="J76" s="233" t="s">
        <v>3220</v>
      </c>
      <c r="K76" s="162"/>
      <c r="L76" s="241"/>
      <c r="M76" s="241"/>
      <c r="N76" s="161"/>
      <c r="O76" s="139" t="s">
        <v>153</v>
      </c>
      <c r="P76" s="40" t="s">
        <v>159</v>
      </c>
      <c r="Q76" s="229" t="s">
        <v>3222</v>
      </c>
      <c r="R76" s="201" t="s">
        <v>2931</v>
      </c>
      <c r="S76" s="141" t="s">
        <v>156</v>
      </c>
      <c r="T76" s="243"/>
    </row>
    <row r="77" spans="1:20" ht="58" customHeight="1">
      <c r="A77" s="231" t="s">
        <v>2435</v>
      </c>
      <c r="B77" s="42" t="s">
        <v>5</v>
      </c>
      <c r="C77" s="41" t="s">
        <v>1527</v>
      </c>
      <c r="D77" s="41" t="s">
        <v>172</v>
      </c>
      <c r="E77" s="200" t="s">
        <v>727</v>
      </c>
      <c r="F77" s="200" t="s">
        <v>3300</v>
      </c>
      <c r="G77" s="245" t="s">
        <v>4539</v>
      </c>
      <c r="H77" s="42" t="s">
        <v>1522</v>
      </c>
      <c r="I77" s="248" t="s">
        <v>4477</v>
      </c>
      <c r="J77" s="233" t="s">
        <v>3220</v>
      </c>
      <c r="K77" s="162" t="s">
        <v>4603</v>
      </c>
      <c r="L77" s="241" t="s">
        <v>4604</v>
      </c>
      <c r="M77" s="241"/>
      <c r="N77" s="161"/>
      <c r="O77" s="139" t="s">
        <v>167</v>
      </c>
      <c r="P77" s="40" t="s">
        <v>171</v>
      </c>
      <c r="Q77" s="229" t="s">
        <v>3222</v>
      </c>
      <c r="R77" s="201" t="s">
        <v>2929</v>
      </c>
      <c r="S77" s="141" t="s">
        <v>170</v>
      </c>
      <c r="T77" s="243" t="s">
        <v>4596</v>
      </c>
    </row>
    <row r="78" spans="1:20" ht="58" customHeight="1">
      <c r="A78" s="231" t="s">
        <v>2435</v>
      </c>
      <c r="B78" s="42" t="s">
        <v>5</v>
      </c>
      <c r="C78" s="41" t="s">
        <v>1527</v>
      </c>
      <c r="D78" s="41" t="s">
        <v>174</v>
      </c>
      <c r="E78" s="200" t="s">
        <v>4066</v>
      </c>
      <c r="F78" s="200" t="s">
        <v>3301</v>
      </c>
      <c r="G78" s="245" t="s">
        <v>4067</v>
      </c>
      <c r="H78" s="42" t="s">
        <v>1522</v>
      </c>
      <c r="I78" s="248" t="s">
        <v>3013</v>
      </c>
      <c r="J78" s="233" t="s">
        <v>4068</v>
      </c>
      <c r="K78" s="162" t="s">
        <v>4526</v>
      </c>
      <c r="L78" s="241" t="s">
        <v>4527</v>
      </c>
      <c r="M78" s="241"/>
      <c r="N78" s="161" t="s">
        <v>4256</v>
      </c>
      <c r="O78" s="139" t="s">
        <v>167</v>
      </c>
      <c r="P78" s="40" t="s">
        <v>173</v>
      </c>
      <c r="Q78" s="229" t="s">
        <v>3222</v>
      </c>
      <c r="R78" s="201" t="s">
        <v>2929</v>
      </c>
      <c r="S78" s="141" t="s">
        <v>170</v>
      </c>
      <c r="T78" s="243"/>
    </row>
    <row r="79" spans="1:20" ht="58" customHeight="1">
      <c r="A79" s="231" t="s">
        <v>2435</v>
      </c>
      <c r="B79" s="42" t="s">
        <v>5</v>
      </c>
      <c r="C79" s="41" t="s">
        <v>1527</v>
      </c>
      <c r="D79" s="41" t="s">
        <v>152</v>
      </c>
      <c r="E79" s="200" t="s">
        <v>721</v>
      </c>
      <c r="F79" s="200" t="s">
        <v>3990</v>
      </c>
      <c r="G79" s="245" t="s">
        <v>3007</v>
      </c>
      <c r="H79" s="42" t="s">
        <v>1522</v>
      </c>
      <c r="I79" s="248" t="s">
        <v>4477</v>
      </c>
      <c r="J79" s="233" t="s">
        <v>3839</v>
      </c>
      <c r="K79" s="162" t="s">
        <v>4267</v>
      </c>
      <c r="L79" s="241" t="s">
        <v>4393</v>
      </c>
      <c r="M79" s="241" t="s">
        <v>4394</v>
      </c>
      <c r="N79" s="161" t="s">
        <v>4256</v>
      </c>
      <c r="O79" s="139" t="s">
        <v>143</v>
      </c>
      <c r="P79" s="40" t="s">
        <v>151</v>
      </c>
      <c r="Q79" s="229" t="s">
        <v>3222</v>
      </c>
      <c r="R79" s="201" t="s">
        <v>2921</v>
      </c>
      <c r="S79" s="141" t="s">
        <v>146</v>
      </c>
      <c r="T79" s="243"/>
    </row>
    <row r="80" spans="1:20" ht="58" customHeight="1">
      <c r="A80" s="231" t="s">
        <v>2435</v>
      </c>
      <c r="B80" s="42" t="s">
        <v>5</v>
      </c>
      <c r="C80" s="41" t="s">
        <v>1527</v>
      </c>
      <c r="D80" s="41" t="s">
        <v>166</v>
      </c>
      <c r="E80" s="200" t="s">
        <v>726</v>
      </c>
      <c r="F80" s="200" t="s">
        <v>3302</v>
      </c>
      <c r="G80" s="245" t="s">
        <v>4540</v>
      </c>
      <c r="H80" s="42" t="s">
        <v>3</v>
      </c>
      <c r="I80" s="248" t="s">
        <v>1539</v>
      </c>
      <c r="J80" s="233" t="s">
        <v>3220</v>
      </c>
      <c r="K80" s="162" t="s">
        <v>958</v>
      </c>
      <c r="L80" s="241"/>
      <c r="M80" s="241"/>
      <c r="N80" s="161"/>
      <c r="O80" s="139" t="s">
        <v>161</v>
      </c>
      <c r="P80" s="40" t="s">
        <v>165</v>
      </c>
      <c r="Q80" s="229" t="s">
        <v>3222</v>
      </c>
      <c r="R80" s="201" t="s">
        <v>2929</v>
      </c>
      <c r="S80" s="141" t="s">
        <v>164</v>
      </c>
      <c r="T80" s="243" t="s">
        <v>4605</v>
      </c>
    </row>
    <row r="81" spans="1:20" ht="58" customHeight="1">
      <c r="A81" s="231" t="s">
        <v>2435</v>
      </c>
      <c r="B81" s="42" t="s">
        <v>5</v>
      </c>
      <c r="C81" s="41" t="s">
        <v>1528</v>
      </c>
      <c r="D81" s="41" t="s">
        <v>177</v>
      </c>
      <c r="E81" s="200" t="s">
        <v>728</v>
      </c>
      <c r="F81" s="200" t="s">
        <v>3991</v>
      </c>
      <c r="G81" s="245" t="s">
        <v>3003</v>
      </c>
      <c r="H81" s="42" t="s">
        <v>2</v>
      </c>
      <c r="I81" s="248" t="s">
        <v>3011</v>
      </c>
      <c r="J81" s="233" t="s">
        <v>3220</v>
      </c>
      <c r="K81" s="162"/>
      <c r="L81" s="241"/>
      <c r="M81" s="241"/>
      <c r="N81" s="161"/>
      <c r="O81" s="139" t="s">
        <v>175</v>
      </c>
      <c r="P81" s="40" t="s">
        <v>176</v>
      </c>
      <c r="Q81" s="229" t="s">
        <v>3222</v>
      </c>
      <c r="R81" s="201" t="s">
        <v>2933</v>
      </c>
      <c r="S81" s="141" t="s">
        <v>178</v>
      </c>
      <c r="T81" s="243"/>
    </row>
    <row r="82" spans="1:20" ht="58" customHeight="1">
      <c r="A82" s="231" t="s">
        <v>2435</v>
      </c>
      <c r="B82" s="42" t="s">
        <v>5</v>
      </c>
      <c r="C82" s="41" t="s">
        <v>1528</v>
      </c>
      <c r="D82" s="41" t="s">
        <v>180</v>
      </c>
      <c r="E82" s="200" t="s">
        <v>729</v>
      </c>
      <c r="F82" s="200" t="s">
        <v>3303</v>
      </c>
      <c r="G82" s="245" t="s">
        <v>3304</v>
      </c>
      <c r="H82" s="42" t="s">
        <v>1522</v>
      </c>
      <c r="I82" s="248" t="s">
        <v>3013</v>
      </c>
      <c r="J82" s="233" t="s">
        <v>3220</v>
      </c>
      <c r="K82" s="162" t="s">
        <v>4599</v>
      </c>
      <c r="L82" s="241" t="s">
        <v>4600</v>
      </c>
      <c r="M82" s="241"/>
      <c r="N82" s="161"/>
      <c r="O82" s="139" t="s">
        <v>175</v>
      </c>
      <c r="P82" s="40" t="s">
        <v>179</v>
      </c>
      <c r="Q82" s="229" t="s">
        <v>3222</v>
      </c>
      <c r="R82" s="201" t="s">
        <v>2929</v>
      </c>
      <c r="S82" s="141" t="s">
        <v>178</v>
      </c>
      <c r="T82" s="243" t="s">
        <v>4596</v>
      </c>
    </row>
    <row r="83" spans="1:20" ht="58" customHeight="1">
      <c r="A83" s="231" t="s">
        <v>2435</v>
      </c>
      <c r="B83" s="42" t="s">
        <v>5</v>
      </c>
      <c r="C83" s="41" t="s">
        <v>1528</v>
      </c>
      <c r="D83" s="41" t="s">
        <v>182</v>
      </c>
      <c r="E83" s="200" t="s">
        <v>730</v>
      </c>
      <c r="F83" s="200" t="s">
        <v>3305</v>
      </c>
      <c r="G83" s="245" t="s">
        <v>4541</v>
      </c>
      <c r="H83" s="42" t="s">
        <v>1522</v>
      </c>
      <c r="I83" s="248" t="s">
        <v>3013</v>
      </c>
      <c r="J83" s="233" t="s">
        <v>3220</v>
      </c>
      <c r="K83" s="162" t="s">
        <v>4459</v>
      </c>
      <c r="L83" s="241" t="s">
        <v>4460</v>
      </c>
      <c r="M83" s="241"/>
      <c r="N83" s="161"/>
      <c r="O83" s="139" t="s">
        <v>175</v>
      </c>
      <c r="P83" s="40" t="s">
        <v>181</v>
      </c>
      <c r="Q83" s="229" t="s">
        <v>3222</v>
      </c>
      <c r="R83" s="201" t="s">
        <v>2929</v>
      </c>
      <c r="S83" s="141" t="s">
        <v>178</v>
      </c>
      <c r="T83" s="243"/>
    </row>
    <row r="84" spans="1:20" ht="58" customHeight="1">
      <c r="A84" s="231" t="s">
        <v>2435</v>
      </c>
      <c r="B84" s="42" t="s">
        <v>5</v>
      </c>
      <c r="C84" s="41" t="s">
        <v>1528</v>
      </c>
      <c r="D84" s="41" t="s">
        <v>184</v>
      </c>
      <c r="E84" s="200" t="s">
        <v>731</v>
      </c>
      <c r="F84" s="200" t="s">
        <v>3306</v>
      </c>
      <c r="G84" s="245" t="s">
        <v>4542</v>
      </c>
      <c r="H84" s="42" t="s">
        <v>3</v>
      </c>
      <c r="I84" s="248" t="s">
        <v>1539</v>
      </c>
      <c r="J84" s="233" t="s">
        <v>3220</v>
      </c>
      <c r="K84" s="162" t="s">
        <v>958</v>
      </c>
      <c r="L84" s="241"/>
      <c r="M84" s="241"/>
      <c r="N84" s="161"/>
      <c r="O84" s="139" t="s">
        <v>175</v>
      </c>
      <c r="P84" s="40" t="s">
        <v>183</v>
      </c>
      <c r="Q84" s="229" t="s">
        <v>3222</v>
      </c>
      <c r="R84" s="201" t="s">
        <v>2929</v>
      </c>
      <c r="S84" s="141" t="s">
        <v>178</v>
      </c>
      <c r="T84" s="243" t="s">
        <v>4606</v>
      </c>
    </row>
    <row r="85" spans="1:20" ht="58" customHeight="1">
      <c r="A85" s="231" t="s">
        <v>2435</v>
      </c>
      <c r="B85" s="42" t="s">
        <v>5</v>
      </c>
      <c r="C85" s="41" t="s">
        <v>1528</v>
      </c>
      <c r="D85" s="41" t="s">
        <v>186</v>
      </c>
      <c r="E85" s="200" t="s">
        <v>732</v>
      </c>
      <c r="F85" s="200" t="s">
        <v>3307</v>
      </c>
      <c r="G85" s="245" t="s">
        <v>4543</v>
      </c>
      <c r="H85" s="42" t="s">
        <v>1522</v>
      </c>
      <c r="I85" s="248" t="s">
        <v>3013</v>
      </c>
      <c r="J85" s="233" t="s">
        <v>3220</v>
      </c>
      <c r="K85" s="162" t="s">
        <v>4601</v>
      </c>
      <c r="L85" s="241" t="s">
        <v>4602</v>
      </c>
      <c r="M85" s="241"/>
      <c r="N85" s="161"/>
      <c r="O85" s="139" t="s">
        <v>175</v>
      </c>
      <c r="P85" s="40" t="s">
        <v>185</v>
      </c>
      <c r="Q85" s="229" t="s">
        <v>3222</v>
      </c>
      <c r="R85" s="201" t="s">
        <v>2929</v>
      </c>
      <c r="S85" s="141" t="s">
        <v>178</v>
      </c>
      <c r="T85" s="243" t="s">
        <v>4596</v>
      </c>
    </row>
    <row r="86" spans="1:20" ht="58" customHeight="1">
      <c r="A86" s="231" t="s">
        <v>2435</v>
      </c>
      <c r="B86" s="42" t="s">
        <v>5</v>
      </c>
      <c r="C86" s="41" t="s">
        <v>1528</v>
      </c>
      <c r="D86" s="41" t="s">
        <v>197</v>
      </c>
      <c r="E86" s="200" t="s">
        <v>4475</v>
      </c>
      <c r="F86" s="200" t="s">
        <v>3992</v>
      </c>
      <c r="G86" s="245" t="s">
        <v>3008</v>
      </c>
      <c r="H86" s="42" t="s">
        <v>1522</v>
      </c>
      <c r="I86" s="248" t="s">
        <v>3013</v>
      </c>
      <c r="J86" s="233" t="s">
        <v>3840</v>
      </c>
      <c r="K86" s="162" t="s">
        <v>4631</v>
      </c>
      <c r="L86" s="241" t="s">
        <v>4632</v>
      </c>
      <c r="M86" s="241"/>
      <c r="N86" s="161" t="s">
        <v>4256</v>
      </c>
      <c r="O86" s="139" t="s">
        <v>195</v>
      </c>
      <c r="P86" s="40" t="s">
        <v>196</v>
      </c>
      <c r="Q86" s="229" t="s">
        <v>3222</v>
      </c>
      <c r="R86" s="201" t="s">
        <v>2963</v>
      </c>
      <c r="S86" s="141" t="s">
        <v>198</v>
      </c>
      <c r="T86" s="243"/>
    </row>
    <row r="87" spans="1:20" ht="58" customHeight="1">
      <c r="A87" s="231" t="s">
        <v>2435</v>
      </c>
      <c r="B87" s="42" t="s">
        <v>5</v>
      </c>
      <c r="C87" s="41" t="s">
        <v>1528</v>
      </c>
      <c r="D87" s="41" t="s">
        <v>191</v>
      </c>
      <c r="E87" s="200" t="s">
        <v>733</v>
      </c>
      <c r="F87" s="200" t="s">
        <v>3993</v>
      </c>
      <c r="G87" s="245" t="s">
        <v>3007</v>
      </c>
      <c r="H87" s="42" t="s">
        <v>1522</v>
      </c>
      <c r="I87" s="248" t="s">
        <v>3013</v>
      </c>
      <c r="J87" s="233" t="s">
        <v>3841</v>
      </c>
      <c r="K87" s="162" t="s">
        <v>4534</v>
      </c>
      <c r="L87" s="241"/>
      <c r="M87" s="241"/>
      <c r="N87" s="161"/>
      <c r="O87" s="139" t="s">
        <v>189</v>
      </c>
      <c r="P87" s="40" t="s">
        <v>190</v>
      </c>
      <c r="Q87" s="229" t="s">
        <v>3222</v>
      </c>
      <c r="R87" s="201" t="s">
        <v>2921</v>
      </c>
      <c r="S87" s="141" t="s">
        <v>192</v>
      </c>
      <c r="T87" s="243"/>
    </row>
    <row r="88" spans="1:20" ht="58" customHeight="1">
      <c r="A88" s="231" t="s">
        <v>2435</v>
      </c>
      <c r="B88" s="42" t="s">
        <v>5</v>
      </c>
      <c r="C88" s="41" t="s">
        <v>1528</v>
      </c>
      <c r="D88" s="41" t="s">
        <v>194</v>
      </c>
      <c r="E88" s="200" t="s">
        <v>734</v>
      </c>
      <c r="F88" s="200" t="s">
        <v>3994</v>
      </c>
      <c r="G88" s="245" t="s">
        <v>3007</v>
      </c>
      <c r="H88" s="42" t="s">
        <v>1522</v>
      </c>
      <c r="I88" s="248" t="s">
        <v>3013</v>
      </c>
      <c r="J88" s="233" t="s">
        <v>3842</v>
      </c>
      <c r="K88" s="162" t="s">
        <v>4497</v>
      </c>
      <c r="L88" s="241" t="s">
        <v>4498</v>
      </c>
      <c r="M88" s="241" t="s">
        <v>4499</v>
      </c>
      <c r="N88" s="161" t="s">
        <v>4256</v>
      </c>
      <c r="O88" s="139" t="s">
        <v>189</v>
      </c>
      <c r="P88" s="40" t="s">
        <v>193</v>
      </c>
      <c r="Q88" s="229" t="s">
        <v>3222</v>
      </c>
      <c r="R88" s="201" t="s">
        <v>2921</v>
      </c>
      <c r="S88" s="141" t="s">
        <v>192</v>
      </c>
      <c r="T88" s="243"/>
    </row>
    <row r="89" spans="1:20" ht="58" customHeight="1">
      <c r="A89" s="231" t="s">
        <v>2435</v>
      </c>
      <c r="B89" s="42" t="s">
        <v>5</v>
      </c>
      <c r="C89" s="41" t="s">
        <v>1528</v>
      </c>
      <c r="D89" s="41" t="s">
        <v>188</v>
      </c>
      <c r="E89" s="200" t="s">
        <v>3747</v>
      </c>
      <c r="F89" s="200" t="s">
        <v>3270</v>
      </c>
      <c r="G89" s="245" t="s">
        <v>3271</v>
      </c>
      <c r="H89" s="42" t="s">
        <v>2</v>
      </c>
      <c r="I89" s="248" t="s">
        <v>3011</v>
      </c>
      <c r="J89" s="233" t="s">
        <v>3220</v>
      </c>
      <c r="K89" s="162"/>
      <c r="L89" s="241"/>
      <c r="M89" s="241"/>
      <c r="N89" s="161"/>
      <c r="O89" s="139" t="s">
        <v>175</v>
      </c>
      <c r="P89" s="40" t="s">
        <v>187</v>
      </c>
      <c r="Q89" s="229" t="s">
        <v>3222</v>
      </c>
      <c r="R89" s="201" t="s">
        <v>2934</v>
      </c>
      <c r="S89" s="141" t="s">
        <v>178</v>
      </c>
      <c r="T89" s="243"/>
    </row>
    <row r="90" spans="1:20" ht="58" customHeight="1">
      <c r="A90" s="231" t="s">
        <v>2435</v>
      </c>
      <c r="B90" s="42" t="s">
        <v>5</v>
      </c>
      <c r="C90" s="41" t="s">
        <v>1528</v>
      </c>
      <c r="D90" s="41" t="s">
        <v>200</v>
      </c>
      <c r="E90" s="200" t="s">
        <v>735</v>
      </c>
      <c r="F90" s="200" t="s">
        <v>3995</v>
      </c>
      <c r="G90" s="245" t="s">
        <v>3007</v>
      </c>
      <c r="H90" s="42" t="s">
        <v>1522</v>
      </c>
      <c r="I90" s="248" t="s">
        <v>3013</v>
      </c>
      <c r="J90" s="233" t="s">
        <v>3843</v>
      </c>
      <c r="K90" s="162" t="s">
        <v>4500</v>
      </c>
      <c r="L90" s="241" t="s">
        <v>4501</v>
      </c>
      <c r="M90" s="241" t="s">
        <v>4630</v>
      </c>
      <c r="N90" s="161" t="s">
        <v>4256</v>
      </c>
      <c r="O90" s="139" t="s">
        <v>195</v>
      </c>
      <c r="P90" s="40" t="s">
        <v>199</v>
      </c>
      <c r="Q90" s="229" t="s">
        <v>3222</v>
      </c>
      <c r="R90" s="201" t="s">
        <v>2921</v>
      </c>
      <c r="S90" s="141" t="s">
        <v>198</v>
      </c>
      <c r="T90" s="243"/>
    </row>
    <row r="91" spans="1:20" ht="58" customHeight="1">
      <c r="A91" s="231" t="s">
        <v>2435</v>
      </c>
      <c r="B91" s="42" t="s">
        <v>5</v>
      </c>
      <c r="C91" s="41" t="s">
        <v>1528</v>
      </c>
      <c r="D91" s="41" t="s">
        <v>202</v>
      </c>
      <c r="E91" s="200" t="s">
        <v>736</v>
      </c>
      <c r="F91" s="200" t="s">
        <v>3996</v>
      </c>
      <c r="G91" s="245" t="s">
        <v>3007</v>
      </c>
      <c r="H91" s="42" t="s">
        <v>1522</v>
      </c>
      <c r="I91" s="248" t="s">
        <v>3013</v>
      </c>
      <c r="J91" s="233" t="s">
        <v>3844</v>
      </c>
      <c r="K91" s="162" t="s">
        <v>4532</v>
      </c>
      <c r="L91" s="241"/>
      <c r="M91" s="241"/>
      <c r="N91" s="161"/>
      <c r="O91" s="139" t="s">
        <v>195</v>
      </c>
      <c r="P91" s="40" t="s">
        <v>201</v>
      </c>
      <c r="Q91" s="229" t="s">
        <v>3222</v>
      </c>
      <c r="R91" s="201" t="s">
        <v>2921</v>
      </c>
      <c r="S91" s="141" t="s">
        <v>198</v>
      </c>
      <c r="T91" s="243" t="s">
        <v>4533</v>
      </c>
    </row>
    <row r="92" spans="1:20" ht="58" customHeight="1">
      <c r="A92" s="231" t="s">
        <v>2435</v>
      </c>
      <c r="B92" s="42" t="s">
        <v>5</v>
      </c>
      <c r="C92" s="41" t="s">
        <v>1528</v>
      </c>
      <c r="D92" s="41" t="s">
        <v>204</v>
      </c>
      <c r="E92" s="200" t="s">
        <v>737</v>
      </c>
      <c r="F92" s="200" t="s">
        <v>3997</v>
      </c>
      <c r="G92" s="245" t="s">
        <v>3007</v>
      </c>
      <c r="H92" s="42" t="s">
        <v>1522</v>
      </c>
      <c r="I92" s="248" t="s">
        <v>3013</v>
      </c>
      <c r="J92" s="233" t="s">
        <v>3845</v>
      </c>
      <c r="K92" s="162" t="s">
        <v>4530</v>
      </c>
      <c r="L92" s="241" t="s">
        <v>4531</v>
      </c>
      <c r="M92" s="241"/>
      <c r="N92" s="161" t="s">
        <v>4256</v>
      </c>
      <c r="O92" s="139" t="s">
        <v>195</v>
      </c>
      <c r="P92" s="40" t="s">
        <v>203</v>
      </c>
      <c r="Q92" s="229" t="s">
        <v>3222</v>
      </c>
      <c r="R92" s="201" t="s">
        <v>2921</v>
      </c>
      <c r="S92" s="141" t="s">
        <v>198</v>
      </c>
      <c r="T92" s="243"/>
    </row>
    <row r="93" spans="1:20" ht="58" customHeight="1">
      <c r="A93" s="231" t="s">
        <v>2435</v>
      </c>
      <c r="B93" s="42" t="s">
        <v>5</v>
      </c>
      <c r="C93" s="41" t="s">
        <v>1529</v>
      </c>
      <c r="D93" s="41" t="s">
        <v>207</v>
      </c>
      <c r="E93" s="200" t="s">
        <v>3748</v>
      </c>
      <c r="F93" s="200" t="s">
        <v>3971</v>
      </c>
      <c r="G93" s="245" t="s">
        <v>3003</v>
      </c>
      <c r="H93" s="42" t="s">
        <v>2</v>
      </c>
      <c r="I93" s="248" t="s">
        <v>3011</v>
      </c>
      <c r="J93" s="233" t="s">
        <v>3220</v>
      </c>
      <c r="K93" s="162"/>
      <c r="L93" s="241"/>
      <c r="M93" s="241"/>
      <c r="N93" s="161"/>
      <c r="O93" s="139" t="s">
        <v>205</v>
      </c>
      <c r="P93" s="40" t="s">
        <v>206</v>
      </c>
      <c r="Q93" s="229" t="s">
        <v>3222</v>
      </c>
      <c r="R93" s="201" t="s">
        <v>2935</v>
      </c>
      <c r="S93" s="141" t="s">
        <v>208</v>
      </c>
      <c r="T93" s="243"/>
    </row>
    <row r="94" spans="1:20" ht="58" customHeight="1">
      <c r="A94" s="231" t="s">
        <v>2435</v>
      </c>
      <c r="B94" s="42" t="s">
        <v>5</v>
      </c>
      <c r="C94" s="41" t="s">
        <v>1529</v>
      </c>
      <c r="D94" s="41" t="s">
        <v>210</v>
      </c>
      <c r="E94" s="200" t="s">
        <v>3749</v>
      </c>
      <c r="F94" s="200" t="s">
        <v>3272</v>
      </c>
      <c r="G94" s="245" t="s">
        <v>4544</v>
      </c>
      <c r="H94" s="42" t="s">
        <v>2</v>
      </c>
      <c r="I94" s="248" t="s">
        <v>3011</v>
      </c>
      <c r="J94" s="233" t="s">
        <v>3220</v>
      </c>
      <c r="K94" s="162"/>
      <c r="L94" s="241"/>
      <c r="M94" s="241"/>
      <c r="N94" s="161"/>
      <c r="O94" s="139" t="s">
        <v>205</v>
      </c>
      <c r="P94" s="40" t="s">
        <v>209</v>
      </c>
      <c r="Q94" s="229" t="s">
        <v>3222</v>
      </c>
      <c r="R94" s="201" t="s">
        <v>2936</v>
      </c>
      <c r="S94" s="141" t="s">
        <v>208</v>
      </c>
      <c r="T94" s="243"/>
    </row>
    <row r="95" spans="1:20" ht="58" customHeight="1">
      <c r="A95" s="231" t="s">
        <v>2435</v>
      </c>
      <c r="B95" s="42" t="s">
        <v>5</v>
      </c>
      <c r="C95" s="41" t="s">
        <v>1529</v>
      </c>
      <c r="D95" s="41" t="s">
        <v>212</v>
      </c>
      <c r="E95" s="200" t="s">
        <v>3750</v>
      </c>
      <c r="F95" s="200" t="s">
        <v>3273</v>
      </c>
      <c r="G95" s="245" t="s">
        <v>3274</v>
      </c>
      <c r="H95" s="42" t="s">
        <v>2</v>
      </c>
      <c r="I95" s="248" t="s">
        <v>3011</v>
      </c>
      <c r="J95" s="233" t="s">
        <v>3220</v>
      </c>
      <c r="K95" s="162"/>
      <c r="L95" s="241"/>
      <c r="M95" s="241"/>
      <c r="N95" s="161"/>
      <c r="O95" s="139" t="s">
        <v>205</v>
      </c>
      <c r="P95" s="40" t="s">
        <v>211</v>
      </c>
      <c r="Q95" s="229" t="s">
        <v>3222</v>
      </c>
      <c r="R95" s="201" t="s">
        <v>2953</v>
      </c>
      <c r="S95" s="141" t="s">
        <v>208</v>
      </c>
      <c r="T95" s="243"/>
    </row>
    <row r="96" spans="1:20" ht="58" customHeight="1">
      <c r="A96" s="231" t="s">
        <v>2435</v>
      </c>
      <c r="B96" s="42" t="s">
        <v>5</v>
      </c>
      <c r="C96" s="41" t="s">
        <v>1529</v>
      </c>
      <c r="D96" s="41" t="s">
        <v>214</v>
      </c>
      <c r="E96" s="200" t="s">
        <v>3751</v>
      </c>
      <c r="F96" s="200" t="s">
        <v>3275</v>
      </c>
      <c r="G96" s="245" t="s">
        <v>4545</v>
      </c>
      <c r="H96" s="42" t="s">
        <v>3</v>
      </c>
      <c r="I96" s="248" t="s">
        <v>1539</v>
      </c>
      <c r="J96" s="233" t="s">
        <v>3220</v>
      </c>
      <c r="K96" s="162"/>
      <c r="L96" s="241"/>
      <c r="M96" s="241"/>
      <c r="N96" s="161"/>
      <c r="O96" s="139" t="s">
        <v>205</v>
      </c>
      <c r="P96" s="40" t="s">
        <v>213</v>
      </c>
      <c r="Q96" s="229" t="s">
        <v>3222</v>
      </c>
      <c r="R96" s="201" t="s">
        <v>2937</v>
      </c>
      <c r="S96" s="141" t="s">
        <v>208</v>
      </c>
      <c r="T96" s="243"/>
    </row>
    <row r="97" spans="1:20" ht="58" customHeight="1">
      <c r="A97" s="231" t="s">
        <v>2435</v>
      </c>
      <c r="B97" s="42" t="s">
        <v>5</v>
      </c>
      <c r="C97" s="41" t="s">
        <v>1529</v>
      </c>
      <c r="D97" s="41" t="s">
        <v>225</v>
      </c>
      <c r="E97" s="200" t="s">
        <v>3752</v>
      </c>
      <c r="F97" s="200" t="s">
        <v>3998</v>
      </c>
      <c r="G97" s="245" t="s">
        <v>3007</v>
      </c>
      <c r="H97" s="42" t="s">
        <v>1522</v>
      </c>
      <c r="I97" s="248" t="s">
        <v>4477</v>
      </c>
      <c r="J97" s="233" t="s">
        <v>3846</v>
      </c>
      <c r="K97" s="162" t="s">
        <v>4266</v>
      </c>
      <c r="L97" s="241" t="s">
        <v>4391</v>
      </c>
      <c r="M97" s="241" t="s">
        <v>4392</v>
      </c>
      <c r="N97" s="161" t="s">
        <v>4256</v>
      </c>
      <c r="O97" s="139" t="s">
        <v>223</v>
      </c>
      <c r="P97" s="40" t="s">
        <v>224</v>
      </c>
      <c r="Q97" s="229" t="s">
        <v>3222</v>
      </c>
      <c r="R97" s="236" t="s">
        <v>2954</v>
      </c>
      <c r="S97" s="141" t="s">
        <v>226</v>
      </c>
      <c r="T97" s="243"/>
    </row>
    <row r="98" spans="1:20" ht="58" customHeight="1">
      <c r="A98" s="231" t="s">
        <v>2435</v>
      </c>
      <c r="B98" s="42" t="s">
        <v>5</v>
      </c>
      <c r="C98" s="41" t="s">
        <v>1529</v>
      </c>
      <c r="D98" s="41" t="s">
        <v>228</v>
      </c>
      <c r="E98" s="200" t="s">
        <v>3753</v>
      </c>
      <c r="F98" s="200" t="s">
        <v>3308</v>
      </c>
      <c r="G98" s="245" t="s">
        <v>4546</v>
      </c>
      <c r="H98" s="42" t="s">
        <v>1521</v>
      </c>
      <c r="I98" s="248" t="s">
        <v>1539</v>
      </c>
      <c r="J98" s="233" t="s">
        <v>3220</v>
      </c>
      <c r="K98" s="162" t="s">
        <v>958</v>
      </c>
      <c r="L98" s="241"/>
      <c r="M98" s="241"/>
      <c r="N98" s="161"/>
      <c r="O98" s="139" t="s">
        <v>223</v>
      </c>
      <c r="P98" s="40" t="s">
        <v>227</v>
      </c>
      <c r="Q98" s="229" t="s">
        <v>3222</v>
      </c>
      <c r="R98" s="201" t="s">
        <v>2941</v>
      </c>
      <c r="S98" s="141" t="s">
        <v>226</v>
      </c>
      <c r="T98" s="243" t="s">
        <v>4607</v>
      </c>
    </row>
    <row r="99" spans="1:20" ht="58" customHeight="1">
      <c r="A99" s="231" t="s">
        <v>2435</v>
      </c>
      <c r="B99" s="42" t="s">
        <v>5</v>
      </c>
      <c r="C99" s="41" t="s">
        <v>1529</v>
      </c>
      <c r="D99" s="41" t="s">
        <v>216</v>
      </c>
      <c r="E99" s="200" t="s">
        <v>738</v>
      </c>
      <c r="F99" s="200" t="s">
        <v>3999</v>
      </c>
      <c r="G99" s="245" t="s">
        <v>3003</v>
      </c>
      <c r="H99" s="42" t="s">
        <v>2</v>
      </c>
      <c r="I99" s="248" t="s">
        <v>3011</v>
      </c>
      <c r="J99" s="233" t="s">
        <v>3220</v>
      </c>
      <c r="K99" s="162"/>
      <c r="L99" s="241"/>
      <c r="M99" s="241"/>
      <c r="N99" s="161"/>
      <c r="O99" s="139" t="s">
        <v>205</v>
      </c>
      <c r="P99" s="40" t="s">
        <v>215</v>
      </c>
      <c r="Q99" s="229" t="s">
        <v>3222</v>
      </c>
      <c r="R99" s="201" t="s">
        <v>2938</v>
      </c>
      <c r="S99" s="141" t="s">
        <v>208</v>
      </c>
      <c r="T99" s="243"/>
    </row>
    <row r="100" spans="1:20" ht="58" customHeight="1">
      <c r="A100" s="231" t="s">
        <v>2435</v>
      </c>
      <c r="B100" s="42" t="s">
        <v>5</v>
      </c>
      <c r="C100" s="41" t="s">
        <v>1529</v>
      </c>
      <c r="D100" s="41" t="s">
        <v>219</v>
      </c>
      <c r="E100" s="200" t="s">
        <v>739</v>
      </c>
      <c r="F100" s="200" t="s">
        <v>4000</v>
      </c>
      <c r="G100" s="245" t="s">
        <v>3003</v>
      </c>
      <c r="H100" s="42" t="s">
        <v>2</v>
      </c>
      <c r="I100" s="248" t="s">
        <v>3011</v>
      </c>
      <c r="J100" s="233" t="s">
        <v>3220</v>
      </c>
      <c r="K100" s="162"/>
      <c r="L100" s="241"/>
      <c r="M100" s="241"/>
      <c r="N100" s="161"/>
      <c r="O100" s="139" t="s">
        <v>217</v>
      </c>
      <c r="P100" s="40" t="s">
        <v>218</v>
      </c>
      <c r="Q100" s="229" t="s">
        <v>3222</v>
      </c>
      <c r="R100" s="201" t="s">
        <v>2940</v>
      </c>
      <c r="S100" s="141" t="s">
        <v>220</v>
      </c>
      <c r="T100" s="243"/>
    </row>
    <row r="101" spans="1:20" ht="58" customHeight="1">
      <c r="A101" s="231" t="s">
        <v>2435</v>
      </c>
      <c r="B101" s="42" t="s">
        <v>5</v>
      </c>
      <c r="C101" s="41" t="s">
        <v>1529</v>
      </c>
      <c r="D101" s="41" t="s">
        <v>222</v>
      </c>
      <c r="E101" s="200" t="s">
        <v>3754</v>
      </c>
      <c r="F101" s="200" t="s">
        <v>4001</v>
      </c>
      <c r="G101" s="245" t="s">
        <v>3003</v>
      </c>
      <c r="H101" s="42" t="s">
        <v>2</v>
      </c>
      <c r="I101" s="248" t="s">
        <v>3011</v>
      </c>
      <c r="J101" s="233" t="s">
        <v>3220</v>
      </c>
      <c r="K101" s="162"/>
      <c r="L101" s="241"/>
      <c r="M101" s="241"/>
      <c r="N101" s="161"/>
      <c r="O101" s="139" t="s">
        <v>217</v>
      </c>
      <c r="P101" s="40" t="s">
        <v>221</v>
      </c>
      <c r="Q101" s="229" t="s">
        <v>3222</v>
      </c>
      <c r="R101" s="201" t="s">
        <v>2939</v>
      </c>
      <c r="S101" s="141" t="s">
        <v>220</v>
      </c>
      <c r="T101" s="243"/>
    </row>
    <row r="102" spans="1:20" ht="58" customHeight="1">
      <c r="A102" s="231" t="s">
        <v>2435</v>
      </c>
      <c r="B102" s="42" t="s">
        <v>5</v>
      </c>
      <c r="C102" s="41" t="s">
        <v>1529</v>
      </c>
      <c r="D102" s="41" t="s">
        <v>230</v>
      </c>
      <c r="E102" s="200" t="s">
        <v>3755</v>
      </c>
      <c r="F102" s="200" t="s">
        <v>4279</v>
      </c>
      <c r="G102" s="245" t="s">
        <v>4280</v>
      </c>
      <c r="H102" s="42" t="s">
        <v>3</v>
      </c>
      <c r="I102" s="248" t="s">
        <v>1539</v>
      </c>
      <c r="J102" s="233" t="s">
        <v>3220</v>
      </c>
      <c r="K102" s="162"/>
      <c r="L102" s="241"/>
      <c r="M102" s="241"/>
      <c r="N102" s="161"/>
      <c r="O102" s="139" t="s">
        <v>223</v>
      </c>
      <c r="P102" s="40" t="s">
        <v>229</v>
      </c>
      <c r="Q102" s="229" t="s">
        <v>3222</v>
      </c>
      <c r="R102" s="201" t="s">
        <v>2942</v>
      </c>
      <c r="S102" s="141" t="s">
        <v>226</v>
      </c>
      <c r="T102" s="243"/>
    </row>
    <row r="103" spans="1:20" ht="58" customHeight="1">
      <c r="A103" s="231" t="s">
        <v>2435</v>
      </c>
      <c r="B103" s="42" t="s">
        <v>6</v>
      </c>
      <c r="C103" s="41" t="s">
        <v>1531</v>
      </c>
      <c r="D103" s="41" t="s">
        <v>245</v>
      </c>
      <c r="E103" s="200" t="s">
        <v>746</v>
      </c>
      <c r="F103" s="200" t="s">
        <v>4002</v>
      </c>
      <c r="G103" s="245" t="s">
        <v>3007</v>
      </c>
      <c r="H103" s="42" t="s">
        <v>1522</v>
      </c>
      <c r="I103" s="248" t="s">
        <v>4090</v>
      </c>
      <c r="J103" s="233" t="s">
        <v>3847</v>
      </c>
      <c r="K103" s="162" t="s">
        <v>4268</v>
      </c>
      <c r="L103" s="241" t="s">
        <v>4395</v>
      </c>
      <c r="M103" s="241" t="s">
        <v>4396</v>
      </c>
      <c r="N103" s="161" t="s">
        <v>4256</v>
      </c>
      <c r="O103" s="139" t="s">
        <v>243</v>
      </c>
      <c r="P103" s="40" t="s">
        <v>244</v>
      </c>
      <c r="Q103" s="229" t="s">
        <v>3222</v>
      </c>
      <c r="R103" s="201" t="s">
        <v>2955</v>
      </c>
      <c r="S103" s="141" t="s">
        <v>246</v>
      </c>
      <c r="T103" s="243"/>
    </row>
    <row r="104" spans="1:20" ht="58" customHeight="1">
      <c r="A104" s="231" t="s">
        <v>2435</v>
      </c>
      <c r="B104" s="42" t="s">
        <v>6</v>
      </c>
      <c r="C104" s="41" t="s">
        <v>1531</v>
      </c>
      <c r="D104" s="41" t="s">
        <v>257</v>
      </c>
      <c r="E104" s="200" t="s">
        <v>748</v>
      </c>
      <c r="F104" s="200" t="s">
        <v>4003</v>
      </c>
      <c r="G104" s="245" t="s">
        <v>3007</v>
      </c>
      <c r="H104" s="42" t="s">
        <v>1522</v>
      </c>
      <c r="I104" s="248" t="s">
        <v>4477</v>
      </c>
      <c r="J104" s="233" t="s">
        <v>3848</v>
      </c>
      <c r="K104" s="162" t="s">
        <v>4269</v>
      </c>
      <c r="L104" s="241" t="s">
        <v>4397</v>
      </c>
      <c r="M104" s="241" t="s">
        <v>4398</v>
      </c>
      <c r="N104" s="161" t="s">
        <v>4256</v>
      </c>
      <c r="O104" s="139" t="s">
        <v>255</v>
      </c>
      <c r="P104" s="40" t="s">
        <v>256</v>
      </c>
      <c r="Q104" s="229" t="s">
        <v>3222</v>
      </c>
      <c r="R104" s="201" t="s">
        <v>2921</v>
      </c>
      <c r="S104" s="141" t="s">
        <v>258</v>
      </c>
      <c r="T104" s="243"/>
    </row>
    <row r="105" spans="1:20" ht="58" customHeight="1">
      <c r="A105" s="231" t="s">
        <v>2435</v>
      </c>
      <c r="B105" s="42" t="s">
        <v>6</v>
      </c>
      <c r="C105" s="41" t="s">
        <v>1531</v>
      </c>
      <c r="D105" s="41" t="s">
        <v>248</v>
      </c>
      <c r="E105" s="200" t="s">
        <v>747</v>
      </c>
      <c r="F105" s="200" t="s">
        <v>4004</v>
      </c>
      <c r="G105" s="245" t="s">
        <v>3004</v>
      </c>
      <c r="H105" s="42" t="s">
        <v>958</v>
      </c>
      <c r="I105" s="248" t="s">
        <v>3012</v>
      </c>
      <c r="J105" s="233" t="s">
        <v>3220</v>
      </c>
      <c r="K105" s="162"/>
      <c r="L105" s="241"/>
      <c r="M105" s="241"/>
      <c r="N105" s="161"/>
      <c r="O105" s="139" t="s">
        <v>243</v>
      </c>
      <c r="P105" s="40" t="s">
        <v>247</v>
      </c>
      <c r="Q105" s="229" t="s">
        <v>3222</v>
      </c>
      <c r="R105" s="201" t="s">
        <v>2917</v>
      </c>
      <c r="S105" s="141" t="s">
        <v>246</v>
      </c>
      <c r="T105" s="243"/>
    </row>
    <row r="106" spans="1:20" ht="58" customHeight="1">
      <c r="A106" s="231" t="s">
        <v>2435</v>
      </c>
      <c r="B106" s="42" t="s">
        <v>6</v>
      </c>
      <c r="C106" s="41" t="s">
        <v>1531</v>
      </c>
      <c r="D106" s="41" t="s">
        <v>250</v>
      </c>
      <c r="E106" s="200" t="s">
        <v>3759</v>
      </c>
      <c r="F106" s="200" t="s">
        <v>3276</v>
      </c>
      <c r="G106" s="245" t="s">
        <v>3277</v>
      </c>
      <c r="H106" s="42" t="s">
        <v>2</v>
      </c>
      <c r="I106" s="248" t="s">
        <v>3011</v>
      </c>
      <c r="J106" s="233" t="s">
        <v>3220</v>
      </c>
      <c r="K106" s="162"/>
      <c r="L106" s="241"/>
      <c r="M106" s="241"/>
      <c r="N106" s="161"/>
      <c r="O106" s="139" t="s">
        <v>243</v>
      </c>
      <c r="P106" s="40" t="s">
        <v>249</v>
      </c>
      <c r="Q106" s="229" t="s">
        <v>3222</v>
      </c>
      <c r="R106" s="201" t="s">
        <v>2943</v>
      </c>
      <c r="S106" s="141" t="s">
        <v>246</v>
      </c>
      <c r="T106" s="243"/>
    </row>
    <row r="107" spans="1:20" ht="58" customHeight="1">
      <c r="A107" s="231" t="s">
        <v>2435</v>
      </c>
      <c r="B107" s="42" t="s">
        <v>6</v>
      </c>
      <c r="C107" s="41" t="s">
        <v>1531</v>
      </c>
      <c r="D107" s="41" t="s">
        <v>252</v>
      </c>
      <c r="E107" s="200" t="s">
        <v>3760</v>
      </c>
      <c r="F107" s="200" t="s">
        <v>3278</v>
      </c>
      <c r="G107" s="245" t="s">
        <v>3279</v>
      </c>
      <c r="H107" s="42" t="s">
        <v>2</v>
      </c>
      <c r="I107" s="248" t="s">
        <v>3011</v>
      </c>
      <c r="J107" s="233" t="s">
        <v>3220</v>
      </c>
      <c r="K107" s="162"/>
      <c r="L107" s="241"/>
      <c r="M107" s="241"/>
      <c r="N107" s="161"/>
      <c r="O107" s="139" t="s">
        <v>243</v>
      </c>
      <c r="P107" s="40" t="s">
        <v>251</v>
      </c>
      <c r="Q107" s="229" t="s">
        <v>3222</v>
      </c>
      <c r="R107" s="201" t="s">
        <v>2943</v>
      </c>
      <c r="S107" s="141" t="s">
        <v>246</v>
      </c>
      <c r="T107" s="243"/>
    </row>
    <row r="108" spans="1:20" ht="58" customHeight="1">
      <c r="A108" s="231" t="s">
        <v>2435</v>
      </c>
      <c r="B108" s="42" t="s">
        <v>6</v>
      </c>
      <c r="C108" s="41" t="s">
        <v>1531</v>
      </c>
      <c r="D108" s="41" t="s">
        <v>260</v>
      </c>
      <c r="E108" s="200" t="s">
        <v>749</v>
      </c>
      <c r="F108" s="200" t="s">
        <v>4060</v>
      </c>
      <c r="G108" s="245" t="s">
        <v>3007</v>
      </c>
      <c r="H108" s="42" t="s">
        <v>1522</v>
      </c>
      <c r="I108" s="248" t="s">
        <v>3013</v>
      </c>
      <c r="J108" s="233" t="s">
        <v>3849</v>
      </c>
      <c r="K108" s="162" t="s">
        <v>4476</v>
      </c>
      <c r="L108" s="241" t="s">
        <v>4489</v>
      </c>
      <c r="M108" s="241" t="s">
        <v>4490</v>
      </c>
      <c r="N108" s="161" t="s">
        <v>4255</v>
      </c>
      <c r="O108" s="139" t="s">
        <v>255</v>
      </c>
      <c r="P108" s="40" t="s">
        <v>259</v>
      </c>
      <c r="Q108" s="229" t="s">
        <v>3222</v>
      </c>
      <c r="R108" s="201" t="s">
        <v>2921</v>
      </c>
      <c r="S108" s="141" t="s">
        <v>258</v>
      </c>
      <c r="T108" s="243"/>
    </row>
    <row r="109" spans="1:20" ht="58" customHeight="1">
      <c r="A109" s="231" t="s">
        <v>2435</v>
      </c>
      <c r="B109" s="42" t="s">
        <v>6</v>
      </c>
      <c r="C109" s="41" t="s">
        <v>1531</v>
      </c>
      <c r="D109" s="41" t="s">
        <v>262</v>
      </c>
      <c r="E109" s="200" t="s">
        <v>750</v>
      </c>
      <c r="F109" s="200" t="s">
        <v>4005</v>
      </c>
      <c r="G109" s="245" t="s">
        <v>3007</v>
      </c>
      <c r="H109" s="42" t="s">
        <v>1522</v>
      </c>
      <c r="I109" s="248" t="s">
        <v>4477</v>
      </c>
      <c r="J109" s="233" t="s">
        <v>3850</v>
      </c>
      <c r="K109" s="162" t="s">
        <v>4250</v>
      </c>
      <c r="L109" s="241" t="s">
        <v>4409</v>
      </c>
      <c r="M109" s="241"/>
      <c r="N109" s="161" t="s">
        <v>4256</v>
      </c>
      <c r="O109" s="139" t="s">
        <v>255</v>
      </c>
      <c r="P109" s="40" t="s">
        <v>261</v>
      </c>
      <c r="Q109" s="229" t="s">
        <v>3222</v>
      </c>
      <c r="R109" s="201" t="s">
        <v>2921</v>
      </c>
      <c r="S109" s="141" t="s">
        <v>258</v>
      </c>
      <c r="T109" s="243"/>
    </row>
    <row r="110" spans="1:20" ht="58" customHeight="1">
      <c r="A110" s="231" t="s">
        <v>2435</v>
      </c>
      <c r="B110" s="42" t="s">
        <v>6</v>
      </c>
      <c r="C110" s="41" t="s">
        <v>1531</v>
      </c>
      <c r="D110" s="41" t="s">
        <v>254</v>
      </c>
      <c r="E110" s="200" t="s">
        <v>3761</v>
      </c>
      <c r="F110" s="200" t="s">
        <v>3280</v>
      </c>
      <c r="G110" s="245" t="s">
        <v>4547</v>
      </c>
      <c r="H110" s="42" t="s">
        <v>3</v>
      </c>
      <c r="I110" s="248" t="s">
        <v>3015</v>
      </c>
      <c r="J110" s="233" t="s">
        <v>3220</v>
      </c>
      <c r="K110" s="162"/>
      <c r="L110" s="241"/>
      <c r="M110" s="241"/>
      <c r="N110" s="161"/>
      <c r="O110" s="139" t="s">
        <v>243</v>
      </c>
      <c r="P110" s="40" t="s">
        <v>253</v>
      </c>
      <c r="Q110" s="229" t="s">
        <v>3222</v>
      </c>
      <c r="R110" s="201" t="s">
        <v>2943</v>
      </c>
      <c r="S110" s="141" t="s">
        <v>246</v>
      </c>
      <c r="T110" s="243"/>
    </row>
    <row r="111" spans="1:20" ht="58" customHeight="1">
      <c r="A111" s="231" t="s">
        <v>2435</v>
      </c>
      <c r="B111" s="42" t="s">
        <v>6</v>
      </c>
      <c r="C111" s="41" t="s">
        <v>1531</v>
      </c>
      <c r="D111" s="41" t="s">
        <v>4097</v>
      </c>
      <c r="E111" s="200" t="s">
        <v>751</v>
      </c>
      <c r="F111" s="200" t="s">
        <v>4006</v>
      </c>
      <c r="G111" s="245" t="s">
        <v>3006</v>
      </c>
      <c r="H111" s="42" t="s">
        <v>1522</v>
      </c>
      <c r="I111" s="248" t="s">
        <v>3013</v>
      </c>
      <c r="J111" s="233" t="s">
        <v>3851</v>
      </c>
      <c r="K111" s="162" t="s">
        <v>4098</v>
      </c>
      <c r="L111" s="241" t="s">
        <v>4285</v>
      </c>
      <c r="M111" s="241" t="s">
        <v>4286</v>
      </c>
      <c r="N111" s="161" t="s">
        <v>4255</v>
      </c>
      <c r="O111" s="139" t="s">
        <v>263</v>
      </c>
      <c r="P111" s="40" t="s">
        <v>4096</v>
      </c>
      <c r="Q111" s="229" t="s">
        <v>3222</v>
      </c>
      <c r="R111" s="201" t="s">
        <v>2920</v>
      </c>
      <c r="S111" s="141" t="s">
        <v>265</v>
      </c>
      <c r="T111" s="243"/>
    </row>
    <row r="112" spans="1:20" ht="58" customHeight="1">
      <c r="A112" s="231" t="s">
        <v>2435</v>
      </c>
      <c r="B112" s="42" t="s">
        <v>6</v>
      </c>
      <c r="C112" s="41" t="s">
        <v>1531</v>
      </c>
      <c r="D112" s="41" t="s">
        <v>4099</v>
      </c>
      <c r="E112" s="200" t="s">
        <v>751</v>
      </c>
      <c r="F112" s="200" t="s">
        <v>4006</v>
      </c>
      <c r="G112" s="245" t="s">
        <v>3006</v>
      </c>
      <c r="H112" s="42" t="s">
        <v>1522</v>
      </c>
      <c r="I112" s="248" t="s">
        <v>3013</v>
      </c>
      <c r="J112" s="233" t="s">
        <v>3851</v>
      </c>
      <c r="K112" s="162" t="s">
        <v>4101</v>
      </c>
      <c r="L112" s="241" t="s">
        <v>4287</v>
      </c>
      <c r="M112" s="241" t="s">
        <v>4288</v>
      </c>
      <c r="N112" s="161" t="s">
        <v>4255</v>
      </c>
      <c r="O112" s="139" t="s">
        <v>263</v>
      </c>
      <c r="P112" s="40" t="s">
        <v>4100</v>
      </c>
      <c r="Q112" s="229" t="s">
        <v>3222</v>
      </c>
      <c r="R112" s="201" t="s">
        <v>2920</v>
      </c>
      <c r="S112" s="141" t="s">
        <v>265</v>
      </c>
      <c r="T112" s="243"/>
    </row>
    <row r="113" spans="1:20" ht="58" customHeight="1">
      <c r="A113" s="231" t="s">
        <v>2435</v>
      </c>
      <c r="B113" s="42" t="s">
        <v>6</v>
      </c>
      <c r="C113" s="41" t="s">
        <v>1531</v>
      </c>
      <c r="D113" s="41" t="s">
        <v>267</v>
      </c>
      <c r="E113" s="200" t="s">
        <v>752</v>
      </c>
      <c r="F113" s="200" t="s">
        <v>4007</v>
      </c>
      <c r="G113" s="245" t="s">
        <v>3007</v>
      </c>
      <c r="H113" s="42" t="s">
        <v>1522</v>
      </c>
      <c r="I113" s="248" t="s">
        <v>3013</v>
      </c>
      <c r="J113" s="233" t="s">
        <v>3852</v>
      </c>
      <c r="K113" s="162" t="s">
        <v>4534</v>
      </c>
      <c r="L113" s="241"/>
      <c r="M113" s="241"/>
      <c r="N113" s="161"/>
      <c r="O113" s="139" t="s">
        <v>263</v>
      </c>
      <c r="P113" s="40" t="s">
        <v>266</v>
      </c>
      <c r="Q113" s="229" t="s">
        <v>3222</v>
      </c>
      <c r="R113" s="201" t="s">
        <v>2921</v>
      </c>
      <c r="S113" s="141" t="s">
        <v>265</v>
      </c>
      <c r="T113" s="243"/>
    </row>
    <row r="114" spans="1:20" ht="58" customHeight="1">
      <c r="A114" s="231" t="s">
        <v>2435</v>
      </c>
      <c r="B114" s="42" t="s">
        <v>6</v>
      </c>
      <c r="C114" s="41" t="s">
        <v>1531</v>
      </c>
      <c r="D114" s="41" t="s">
        <v>269</v>
      </c>
      <c r="E114" s="200" t="s">
        <v>753</v>
      </c>
      <c r="F114" s="200" t="s">
        <v>4008</v>
      </c>
      <c r="G114" s="245" t="s">
        <v>3007</v>
      </c>
      <c r="H114" s="42" t="s">
        <v>1522</v>
      </c>
      <c r="I114" s="248" t="s">
        <v>3013</v>
      </c>
      <c r="J114" s="233" t="s">
        <v>3853</v>
      </c>
      <c r="K114" s="162" t="s">
        <v>4519</v>
      </c>
      <c r="L114" s="241" t="s">
        <v>4521</v>
      </c>
      <c r="M114" s="241"/>
      <c r="N114" s="161" t="s">
        <v>4255</v>
      </c>
      <c r="O114" s="139" t="s">
        <v>263</v>
      </c>
      <c r="P114" s="40" t="s">
        <v>268</v>
      </c>
      <c r="Q114" s="229" t="s">
        <v>3222</v>
      </c>
      <c r="R114" s="201" t="s">
        <v>2921</v>
      </c>
      <c r="S114" s="141" t="s">
        <v>265</v>
      </c>
      <c r="T114" s="243"/>
    </row>
    <row r="115" spans="1:20" ht="58" customHeight="1">
      <c r="A115" s="231" t="s">
        <v>2435</v>
      </c>
      <c r="B115" s="42" t="s">
        <v>6</v>
      </c>
      <c r="C115" s="41" t="s">
        <v>1531</v>
      </c>
      <c r="D115" s="41" t="s">
        <v>271</v>
      </c>
      <c r="E115" s="200" t="s">
        <v>754</v>
      </c>
      <c r="F115" s="200" t="s">
        <v>4057</v>
      </c>
      <c r="G115" s="245" t="s">
        <v>3006</v>
      </c>
      <c r="H115" s="42" t="s">
        <v>1522</v>
      </c>
      <c r="I115" s="248" t="s">
        <v>3013</v>
      </c>
      <c r="J115" s="233" t="s">
        <v>3854</v>
      </c>
      <c r="K115" s="162" t="s">
        <v>4222</v>
      </c>
      <c r="L115" s="241" t="s">
        <v>4636</v>
      </c>
      <c r="M115" s="241" t="s">
        <v>4637</v>
      </c>
      <c r="N115" s="161" t="s">
        <v>4256</v>
      </c>
      <c r="O115" s="139" t="s">
        <v>263</v>
      </c>
      <c r="P115" s="40" t="s">
        <v>270</v>
      </c>
      <c r="Q115" s="229" t="s">
        <v>3222</v>
      </c>
      <c r="R115" s="201" t="s">
        <v>2920</v>
      </c>
      <c r="S115" s="141" t="s">
        <v>265</v>
      </c>
      <c r="T115" s="243" t="s">
        <v>4466</v>
      </c>
    </row>
    <row r="116" spans="1:20" ht="58" customHeight="1">
      <c r="A116" s="231" t="s">
        <v>2435</v>
      </c>
      <c r="B116" s="42" t="s">
        <v>6</v>
      </c>
      <c r="C116" s="41" t="s">
        <v>1531</v>
      </c>
      <c r="D116" s="41" t="s">
        <v>273</v>
      </c>
      <c r="E116" s="200" t="s">
        <v>755</v>
      </c>
      <c r="F116" s="200" t="s">
        <v>4009</v>
      </c>
      <c r="G116" s="245" t="s">
        <v>3003</v>
      </c>
      <c r="H116" s="42" t="s">
        <v>2</v>
      </c>
      <c r="I116" s="248" t="s">
        <v>3011</v>
      </c>
      <c r="J116" s="233" t="s">
        <v>3220</v>
      </c>
      <c r="K116" s="162"/>
      <c r="L116" s="241"/>
      <c r="M116" s="241"/>
      <c r="N116" s="161"/>
      <c r="O116" s="139" t="s">
        <v>263</v>
      </c>
      <c r="P116" s="40" t="s">
        <v>272</v>
      </c>
      <c r="Q116" s="229" t="s">
        <v>3222</v>
      </c>
      <c r="R116" s="201" t="s">
        <v>2940</v>
      </c>
      <c r="S116" s="141" t="s">
        <v>265</v>
      </c>
      <c r="T116" s="243"/>
    </row>
    <row r="117" spans="1:20" ht="58" customHeight="1">
      <c r="A117" s="231" t="s">
        <v>2435</v>
      </c>
      <c r="B117" s="42" t="s">
        <v>6</v>
      </c>
      <c r="C117" s="41" t="s">
        <v>1531</v>
      </c>
      <c r="D117" s="41" t="s">
        <v>275</v>
      </c>
      <c r="E117" s="200" t="s">
        <v>756</v>
      </c>
      <c r="F117" s="200" t="s">
        <v>4627</v>
      </c>
      <c r="G117" s="245" t="s">
        <v>4628</v>
      </c>
      <c r="H117" s="42" t="s">
        <v>1522</v>
      </c>
      <c r="I117" s="248" t="s">
        <v>3013</v>
      </c>
      <c r="J117" s="233" t="s">
        <v>3220</v>
      </c>
      <c r="K117" s="162" t="s">
        <v>4246</v>
      </c>
      <c r="L117" s="241" t="s">
        <v>4629</v>
      </c>
      <c r="M117" s="241"/>
      <c r="N117" s="161" t="s">
        <v>4255</v>
      </c>
      <c r="O117" s="139" t="s">
        <v>263</v>
      </c>
      <c r="P117" s="40" t="s">
        <v>274</v>
      </c>
      <c r="Q117" s="229" t="s">
        <v>3222</v>
      </c>
      <c r="R117" s="201" t="s">
        <v>2940</v>
      </c>
      <c r="S117" s="141" t="s">
        <v>265</v>
      </c>
      <c r="T117" s="243"/>
    </row>
    <row r="118" spans="1:20" ht="58" customHeight="1">
      <c r="A118" s="231" t="s">
        <v>2435</v>
      </c>
      <c r="B118" s="42" t="s">
        <v>6</v>
      </c>
      <c r="C118" s="41" t="s">
        <v>1531</v>
      </c>
      <c r="D118" s="41" t="s">
        <v>277</v>
      </c>
      <c r="E118" s="200" t="s">
        <v>3762</v>
      </c>
      <c r="F118" s="200" t="s">
        <v>3309</v>
      </c>
      <c r="G118" s="245" t="s">
        <v>4548</v>
      </c>
      <c r="H118" s="42" t="s">
        <v>3</v>
      </c>
      <c r="I118" s="248" t="s">
        <v>3015</v>
      </c>
      <c r="J118" s="233" t="s">
        <v>3220</v>
      </c>
      <c r="K118" s="162"/>
      <c r="L118" s="241"/>
      <c r="M118" s="241"/>
      <c r="N118" s="161"/>
      <c r="O118" s="139" t="s">
        <v>263</v>
      </c>
      <c r="P118" s="40" t="s">
        <v>276</v>
      </c>
      <c r="Q118" s="229" t="s">
        <v>3222</v>
      </c>
      <c r="R118" s="201" t="s">
        <v>2956</v>
      </c>
      <c r="S118" s="141" t="s">
        <v>265</v>
      </c>
      <c r="T118" s="243"/>
    </row>
    <row r="119" spans="1:20" ht="58" customHeight="1">
      <c r="A119" s="231" t="s">
        <v>2435</v>
      </c>
      <c r="B119" s="42" t="s">
        <v>6</v>
      </c>
      <c r="C119" s="41" t="s">
        <v>1530</v>
      </c>
      <c r="D119" s="41" t="s">
        <v>4103</v>
      </c>
      <c r="E119" s="200" t="s">
        <v>740</v>
      </c>
      <c r="F119" s="200" t="s">
        <v>4010</v>
      </c>
      <c r="G119" s="245" t="s">
        <v>3006</v>
      </c>
      <c r="H119" s="42" t="s">
        <v>1522</v>
      </c>
      <c r="I119" s="248" t="s">
        <v>3013</v>
      </c>
      <c r="J119" s="233" t="s">
        <v>3855</v>
      </c>
      <c r="K119" s="162" t="s">
        <v>4104</v>
      </c>
      <c r="L119" s="241" t="s">
        <v>4289</v>
      </c>
      <c r="M119" s="241" t="s">
        <v>4290</v>
      </c>
      <c r="N119" s="161" t="s">
        <v>4255</v>
      </c>
      <c r="O119" s="139" t="s">
        <v>231</v>
      </c>
      <c r="P119" s="40" t="s">
        <v>4102</v>
      </c>
      <c r="Q119" s="229" t="s">
        <v>3222</v>
      </c>
      <c r="R119" s="201" t="s">
        <v>2920</v>
      </c>
      <c r="S119" s="141" t="s">
        <v>233</v>
      </c>
      <c r="T119" s="243"/>
    </row>
    <row r="120" spans="1:20" ht="58" customHeight="1">
      <c r="A120" s="231" t="s">
        <v>2435</v>
      </c>
      <c r="B120" s="42" t="s">
        <v>6</v>
      </c>
      <c r="C120" s="41" t="s">
        <v>1530</v>
      </c>
      <c r="D120" s="41" t="s">
        <v>4105</v>
      </c>
      <c r="E120" s="200" t="s">
        <v>740</v>
      </c>
      <c r="F120" s="200" t="s">
        <v>4010</v>
      </c>
      <c r="G120" s="245" t="s">
        <v>3006</v>
      </c>
      <c r="H120" s="42" t="s">
        <v>1522</v>
      </c>
      <c r="I120" s="248" t="s">
        <v>3013</v>
      </c>
      <c r="J120" s="233" t="s">
        <v>3855</v>
      </c>
      <c r="K120" s="162" t="s">
        <v>4107</v>
      </c>
      <c r="L120" s="241" t="s">
        <v>4295</v>
      </c>
      <c r="M120" s="241" t="s">
        <v>4296</v>
      </c>
      <c r="N120" s="161" t="s">
        <v>4256</v>
      </c>
      <c r="O120" s="139" t="s">
        <v>231</v>
      </c>
      <c r="P120" s="40" t="s">
        <v>4106</v>
      </c>
      <c r="Q120" s="229" t="s">
        <v>3222</v>
      </c>
      <c r="R120" s="201" t="s">
        <v>2920</v>
      </c>
      <c r="S120" s="141" t="s">
        <v>233</v>
      </c>
      <c r="T120" s="243"/>
    </row>
    <row r="121" spans="1:20" ht="58" customHeight="1">
      <c r="A121" s="231" t="s">
        <v>2435</v>
      </c>
      <c r="B121" s="42" t="s">
        <v>6</v>
      </c>
      <c r="C121" s="41" t="s">
        <v>1530</v>
      </c>
      <c r="D121" s="41" t="s">
        <v>4109</v>
      </c>
      <c r="E121" s="200" t="s">
        <v>741</v>
      </c>
      <c r="F121" s="200" t="s">
        <v>4011</v>
      </c>
      <c r="G121" s="245" t="s">
        <v>3006</v>
      </c>
      <c r="H121" s="42" t="s">
        <v>1522</v>
      </c>
      <c r="I121" s="248" t="s">
        <v>4090</v>
      </c>
      <c r="J121" s="233" t="s">
        <v>3856</v>
      </c>
      <c r="K121" s="162" t="s">
        <v>4110</v>
      </c>
      <c r="L121" s="241" t="s">
        <v>4297</v>
      </c>
      <c r="M121" s="241" t="s">
        <v>4298</v>
      </c>
      <c r="N121" s="161" t="s">
        <v>4256</v>
      </c>
      <c r="O121" s="139" t="s">
        <v>231</v>
      </c>
      <c r="P121" s="40" t="s">
        <v>4108</v>
      </c>
      <c r="Q121" s="229" t="s">
        <v>3222</v>
      </c>
      <c r="R121" s="201" t="s">
        <v>2920</v>
      </c>
      <c r="S121" s="141" t="s">
        <v>233</v>
      </c>
      <c r="T121" s="243"/>
    </row>
    <row r="122" spans="1:20" ht="58" customHeight="1">
      <c r="A122" s="231" t="s">
        <v>2435</v>
      </c>
      <c r="B122" s="42" t="s">
        <v>6</v>
      </c>
      <c r="C122" s="41" t="s">
        <v>1530</v>
      </c>
      <c r="D122" s="41" t="s">
        <v>4111</v>
      </c>
      <c r="E122" s="200" t="s">
        <v>741</v>
      </c>
      <c r="F122" s="200" t="s">
        <v>4011</v>
      </c>
      <c r="G122" s="245" t="s">
        <v>3006</v>
      </c>
      <c r="H122" s="42" t="s">
        <v>1522</v>
      </c>
      <c r="I122" s="248" t="s">
        <v>4090</v>
      </c>
      <c r="J122" s="233" t="s">
        <v>3856</v>
      </c>
      <c r="K122" s="162" t="s">
        <v>4113</v>
      </c>
      <c r="L122" s="241" t="s">
        <v>4305</v>
      </c>
      <c r="M122" s="241" t="s">
        <v>4306</v>
      </c>
      <c r="N122" s="161" t="s">
        <v>4257</v>
      </c>
      <c r="O122" s="139" t="s">
        <v>231</v>
      </c>
      <c r="P122" s="40" t="s">
        <v>4112</v>
      </c>
      <c r="Q122" s="229" t="s">
        <v>3222</v>
      </c>
      <c r="R122" s="201" t="s">
        <v>2920</v>
      </c>
      <c r="S122" s="141" t="s">
        <v>233</v>
      </c>
      <c r="T122" s="243"/>
    </row>
    <row r="123" spans="1:20" ht="58" customHeight="1">
      <c r="A123" s="231" t="s">
        <v>2435</v>
      </c>
      <c r="B123" s="42" t="s">
        <v>6</v>
      </c>
      <c r="C123" s="41" t="s">
        <v>1530</v>
      </c>
      <c r="D123" s="41" t="s">
        <v>236</v>
      </c>
      <c r="E123" s="200" t="s">
        <v>742</v>
      </c>
      <c r="F123" s="200" t="s">
        <v>4012</v>
      </c>
      <c r="G123" s="245" t="s">
        <v>3003</v>
      </c>
      <c r="H123" s="42" t="s">
        <v>2</v>
      </c>
      <c r="I123" s="248" t="s">
        <v>3011</v>
      </c>
      <c r="J123" s="233" t="s">
        <v>3220</v>
      </c>
      <c r="K123" s="162"/>
      <c r="L123" s="241"/>
      <c r="M123" s="241"/>
      <c r="N123" s="161"/>
      <c r="O123" s="139" t="s">
        <v>231</v>
      </c>
      <c r="P123" s="40" t="s">
        <v>235</v>
      </c>
      <c r="Q123" s="229" t="s">
        <v>3222</v>
      </c>
      <c r="R123" s="201" t="s">
        <v>2940</v>
      </c>
      <c r="S123" s="141" t="s">
        <v>233</v>
      </c>
      <c r="T123" s="243"/>
    </row>
    <row r="124" spans="1:20" ht="58" customHeight="1">
      <c r="A124" s="231" t="s">
        <v>2435</v>
      </c>
      <c r="B124" s="42" t="s">
        <v>6</v>
      </c>
      <c r="C124" s="41" t="s">
        <v>1530</v>
      </c>
      <c r="D124" s="41" t="s">
        <v>238</v>
      </c>
      <c r="E124" s="200" t="s">
        <v>743</v>
      </c>
      <c r="F124" s="200" t="s">
        <v>4013</v>
      </c>
      <c r="G124" s="245" t="s">
        <v>3003</v>
      </c>
      <c r="H124" s="42" t="s">
        <v>2</v>
      </c>
      <c r="I124" s="248" t="s">
        <v>3011</v>
      </c>
      <c r="J124" s="233" t="s">
        <v>3220</v>
      </c>
      <c r="K124" s="162"/>
      <c r="L124" s="241"/>
      <c r="M124" s="241"/>
      <c r="N124" s="161"/>
      <c r="O124" s="139" t="s">
        <v>231</v>
      </c>
      <c r="P124" s="40" t="s">
        <v>237</v>
      </c>
      <c r="Q124" s="229" t="s">
        <v>3222</v>
      </c>
      <c r="R124" s="201" t="s">
        <v>2940</v>
      </c>
      <c r="S124" s="141" t="s">
        <v>233</v>
      </c>
      <c r="T124" s="243"/>
    </row>
    <row r="125" spans="1:20" ht="58" customHeight="1">
      <c r="A125" s="231" t="s">
        <v>2435</v>
      </c>
      <c r="B125" s="42" t="s">
        <v>6</v>
      </c>
      <c r="C125" s="41" t="s">
        <v>1530</v>
      </c>
      <c r="D125" s="41" t="s">
        <v>240</v>
      </c>
      <c r="E125" s="200" t="s">
        <v>744</v>
      </c>
      <c r="F125" s="200" t="s">
        <v>4014</v>
      </c>
      <c r="G125" s="245" t="s">
        <v>3003</v>
      </c>
      <c r="H125" s="42" t="s">
        <v>2</v>
      </c>
      <c r="I125" s="248" t="s">
        <v>3011</v>
      </c>
      <c r="J125" s="233" t="s">
        <v>3220</v>
      </c>
      <c r="K125" s="162"/>
      <c r="L125" s="241"/>
      <c r="M125" s="241"/>
      <c r="N125" s="161"/>
      <c r="O125" s="139" t="s">
        <v>231</v>
      </c>
      <c r="P125" s="40" t="s">
        <v>239</v>
      </c>
      <c r="Q125" s="229" t="s">
        <v>3222</v>
      </c>
      <c r="R125" s="201" t="s">
        <v>2940</v>
      </c>
      <c r="S125" s="141" t="s">
        <v>233</v>
      </c>
      <c r="T125" s="243"/>
    </row>
    <row r="126" spans="1:20" ht="58" customHeight="1">
      <c r="A126" s="231" t="s">
        <v>2435</v>
      </c>
      <c r="B126" s="42" t="s">
        <v>6</v>
      </c>
      <c r="C126" s="41" t="s">
        <v>1530</v>
      </c>
      <c r="D126" s="41" t="s">
        <v>242</v>
      </c>
      <c r="E126" s="200" t="s">
        <v>745</v>
      </c>
      <c r="F126" s="200" t="s">
        <v>4015</v>
      </c>
      <c r="G126" s="245" t="s">
        <v>3003</v>
      </c>
      <c r="H126" s="42" t="s">
        <v>2</v>
      </c>
      <c r="I126" s="248" t="s">
        <v>3011</v>
      </c>
      <c r="J126" s="233" t="s">
        <v>3220</v>
      </c>
      <c r="K126" s="162"/>
      <c r="L126" s="241"/>
      <c r="M126" s="241"/>
      <c r="N126" s="161"/>
      <c r="O126" s="139" t="s">
        <v>231</v>
      </c>
      <c r="P126" s="40" t="s">
        <v>241</v>
      </c>
      <c r="Q126" s="229" t="s">
        <v>3222</v>
      </c>
      <c r="R126" s="201" t="s">
        <v>2940</v>
      </c>
      <c r="S126" s="141" t="s">
        <v>233</v>
      </c>
      <c r="T126" s="243"/>
    </row>
    <row r="127" spans="1:20" ht="58" customHeight="1">
      <c r="A127" s="231" t="s">
        <v>2435</v>
      </c>
      <c r="B127" s="42" t="s">
        <v>6</v>
      </c>
      <c r="C127" s="41" t="s">
        <v>1530</v>
      </c>
      <c r="D127" s="41" t="s">
        <v>331</v>
      </c>
      <c r="E127" s="200" t="s">
        <v>3932</v>
      </c>
      <c r="F127" s="200" t="s">
        <v>3281</v>
      </c>
      <c r="G127" s="245" t="s">
        <v>4635</v>
      </c>
      <c r="H127" s="42" t="s">
        <v>1522</v>
      </c>
      <c r="I127" s="248" t="s">
        <v>3013</v>
      </c>
      <c r="J127" s="233" t="s">
        <v>3935</v>
      </c>
      <c r="K127" s="162" t="s">
        <v>4219</v>
      </c>
      <c r="L127" s="241" t="s">
        <v>4633</v>
      </c>
      <c r="M127" s="241" t="s">
        <v>4634</v>
      </c>
      <c r="N127" s="161" t="s">
        <v>4255</v>
      </c>
      <c r="O127" s="139" t="s">
        <v>329</v>
      </c>
      <c r="P127" s="40" t="s">
        <v>330</v>
      </c>
      <c r="Q127" s="229" t="s">
        <v>3222</v>
      </c>
      <c r="R127" s="201" t="s">
        <v>2960</v>
      </c>
      <c r="S127" s="141" t="s">
        <v>332</v>
      </c>
      <c r="T127" s="243"/>
    </row>
    <row r="128" spans="1:20" ht="58" customHeight="1">
      <c r="A128" s="231" t="s">
        <v>2435</v>
      </c>
      <c r="B128" s="42" t="s">
        <v>6</v>
      </c>
      <c r="C128" s="41" t="s">
        <v>1530</v>
      </c>
      <c r="D128" s="41" t="s">
        <v>334</v>
      </c>
      <c r="E128" s="200" t="s">
        <v>3925</v>
      </c>
      <c r="F128" s="200" t="s">
        <v>3926</v>
      </c>
      <c r="G128" s="245" t="s">
        <v>3927</v>
      </c>
      <c r="H128" s="42" t="s">
        <v>1522</v>
      </c>
      <c r="I128" s="248" t="s">
        <v>3013</v>
      </c>
      <c r="J128" s="233" t="s">
        <v>3934</v>
      </c>
      <c r="K128" s="162" t="s">
        <v>4246</v>
      </c>
      <c r="L128" s="241" t="s">
        <v>4638</v>
      </c>
      <c r="M128" s="241"/>
      <c r="N128" s="161" t="s">
        <v>4255</v>
      </c>
      <c r="O128" s="139" t="s">
        <v>329</v>
      </c>
      <c r="P128" s="40" t="s">
        <v>333</v>
      </c>
      <c r="Q128" s="229" t="s">
        <v>3222</v>
      </c>
      <c r="R128" s="201" t="s">
        <v>2959</v>
      </c>
      <c r="S128" s="141" t="s">
        <v>332</v>
      </c>
      <c r="T128" s="243" t="s">
        <v>3928</v>
      </c>
    </row>
    <row r="129" spans="1:20" ht="58" customHeight="1">
      <c r="A129" s="231" t="s">
        <v>2435</v>
      </c>
      <c r="B129" s="42" t="s">
        <v>6</v>
      </c>
      <c r="C129" s="41" t="s">
        <v>1530</v>
      </c>
      <c r="D129" s="41" t="s">
        <v>336</v>
      </c>
      <c r="E129" s="200" t="s">
        <v>3929</v>
      </c>
      <c r="F129" s="200" t="s">
        <v>3282</v>
      </c>
      <c r="G129" s="245" t="s">
        <v>3930</v>
      </c>
      <c r="H129" s="42" t="s">
        <v>2</v>
      </c>
      <c r="I129" s="248" t="s">
        <v>3011</v>
      </c>
      <c r="J129" s="233" t="s">
        <v>3915</v>
      </c>
      <c r="K129" s="162" t="s">
        <v>958</v>
      </c>
      <c r="L129" s="241"/>
      <c r="M129" s="241"/>
      <c r="N129" s="161"/>
      <c r="O129" s="139" t="s">
        <v>329</v>
      </c>
      <c r="P129" s="40" t="s">
        <v>335</v>
      </c>
      <c r="Q129" s="229" t="s">
        <v>3222</v>
      </c>
      <c r="R129" s="201" t="s">
        <v>2961</v>
      </c>
      <c r="S129" s="141" t="s">
        <v>332</v>
      </c>
      <c r="T129" s="243" t="s">
        <v>3931</v>
      </c>
    </row>
    <row r="130" spans="1:20" ht="58" customHeight="1">
      <c r="A130" s="231" t="s">
        <v>2435</v>
      </c>
      <c r="B130" s="42" t="s">
        <v>6</v>
      </c>
      <c r="C130" s="41" t="s">
        <v>1530</v>
      </c>
      <c r="D130" s="41" t="s">
        <v>338</v>
      </c>
      <c r="E130" s="200" t="s">
        <v>776</v>
      </c>
      <c r="F130" s="200" t="s">
        <v>4016</v>
      </c>
      <c r="G130" s="245" t="s">
        <v>3006</v>
      </c>
      <c r="H130" s="42" t="s">
        <v>1522</v>
      </c>
      <c r="I130" s="248" t="s">
        <v>3013</v>
      </c>
      <c r="J130" s="233" t="s">
        <v>3857</v>
      </c>
      <c r="K130" s="162" t="s">
        <v>4223</v>
      </c>
      <c r="L130" s="241" t="s">
        <v>4299</v>
      </c>
      <c r="M130" s="241" t="s">
        <v>4300</v>
      </c>
      <c r="N130" s="161" t="s">
        <v>4256</v>
      </c>
      <c r="O130" s="139" t="s">
        <v>329</v>
      </c>
      <c r="P130" s="40" t="s">
        <v>337</v>
      </c>
      <c r="Q130" s="229" t="s">
        <v>3222</v>
      </c>
      <c r="R130" s="201" t="s">
        <v>2920</v>
      </c>
      <c r="S130" s="141" t="s">
        <v>332</v>
      </c>
      <c r="T130" s="243"/>
    </row>
    <row r="131" spans="1:20" ht="58" customHeight="1">
      <c r="A131" s="231" t="s">
        <v>2435</v>
      </c>
      <c r="B131" s="42" t="s">
        <v>6</v>
      </c>
      <c r="C131" s="41" t="s">
        <v>1530</v>
      </c>
      <c r="D131" s="41" t="s">
        <v>340</v>
      </c>
      <c r="E131" s="200" t="s">
        <v>777</v>
      </c>
      <c r="F131" s="200" t="s">
        <v>4017</v>
      </c>
      <c r="G131" s="245" t="s">
        <v>3006</v>
      </c>
      <c r="H131" s="42" t="s">
        <v>1522</v>
      </c>
      <c r="I131" s="248" t="s">
        <v>3013</v>
      </c>
      <c r="J131" s="233" t="s">
        <v>3858</v>
      </c>
      <c r="K131" s="162" t="s">
        <v>4224</v>
      </c>
      <c r="L131" s="241" t="s">
        <v>4301</v>
      </c>
      <c r="M131" s="241" t="s">
        <v>4302</v>
      </c>
      <c r="N131" s="161" t="s">
        <v>4256</v>
      </c>
      <c r="O131" s="139" t="s">
        <v>329</v>
      </c>
      <c r="P131" s="40" t="s">
        <v>339</v>
      </c>
      <c r="Q131" s="229" t="s">
        <v>3222</v>
      </c>
      <c r="R131" s="201" t="s">
        <v>2920</v>
      </c>
      <c r="S131" s="141" t="s">
        <v>332</v>
      </c>
      <c r="T131" s="243"/>
    </row>
    <row r="132" spans="1:20" ht="58" customHeight="1">
      <c r="A132" s="231" t="s">
        <v>2435</v>
      </c>
      <c r="B132" s="42" t="s">
        <v>6</v>
      </c>
      <c r="C132" s="41" t="s">
        <v>1530</v>
      </c>
      <c r="D132" s="41" t="s">
        <v>342</v>
      </c>
      <c r="E132" s="200" t="s">
        <v>778</v>
      </c>
      <c r="F132" s="200" t="s">
        <v>4018</v>
      </c>
      <c r="G132" s="245" t="s">
        <v>3006</v>
      </c>
      <c r="H132" s="42" t="s">
        <v>1522</v>
      </c>
      <c r="I132" s="248" t="s">
        <v>3013</v>
      </c>
      <c r="J132" s="233" t="s">
        <v>3859</v>
      </c>
      <c r="K132" s="162" t="s">
        <v>4246</v>
      </c>
      <c r="L132" s="241" t="s">
        <v>4639</v>
      </c>
      <c r="M132" s="241"/>
      <c r="N132" s="161" t="s">
        <v>4255</v>
      </c>
      <c r="O132" s="139" t="s">
        <v>329</v>
      </c>
      <c r="P132" s="40" t="s">
        <v>341</v>
      </c>
      <c r="Q132" s="229" t="s">
        <v>3222</v>
      </c>
      <c r="R132" s="201" t="s">
        <v>2920</v>
      </c>
      <c r="S132" s="141" t="s">
        <v>332</v>
      </c>
      <c r="T132" s="243"/>
    </row>
    <row r="133" spans="1:20" ht="58" customHeight="1">
      <c r="A133" s="231" t="s">
        <v>2435</v>
      </c>
      <c r="B133" s="42" t="s">
        <v>6</v>
      </c>
      <c r="C133" s="41" t="s">
        <v>1530</v>
      </c>
      <c r="D133" s="41" t="s">
        <v>344</v>
      </c>
      <c r="E133" s="200" t="s">
        <v>779</v>
      </c>
      <c r="F133" s="200" t="s">
        <v>345</v>
      </c>
      <c r="G133" s="245" t="s">
        <v>3006</v>
      </c>
      <c r="H133" s="42" t="s">
        <v>1522</v>
      </c>
      <c r="I133" s="248" t="s">
        <v>4090</v>
      </c>
      <c r="J133" s="233" t="s">
        <v>3860</v>
      </c>
      <c r="K133" s="162" t="s">
        <v>4225</v>
      </c>
      <c r="L133" s="241" t="s">
        <v>4303</v>
      </c>
      <c r="M133" s="241" t="s">
        <v>4304</v>
      </c>
      <c r="N133" s="161" t="s">
        <v>4256</v>
      </c>
      <c r="O133" s="139" t="s">
        <v>329</v>
      </c>
      <c r="P133" s="40" t="s">
        <v>343</v>
      </c>
      <c r="Q133" s="229" t="s">
        <v>3222</v>
      </c>
      <c r="R133" s="201" t="s">
        <v>2920</v>
      </c>
      <c r="S133" s="141" t="s">
        <v>332</v>
      </c>
      <c r="T133" s="243"/>
    </row>
    <row r="134" spans="1:20" ht="58" customHeight="1">
      <c r="A134" s="231" t="s">
        <v>2435</v>
      </c>
      <c r="B134" s="42" t="s">
        <v>6</v>
      </c>
      <c r="C134" s="41" t="s">
        <v>1530</v>
      </c>
      <c r="D134" s="41" t="s">
        <v>347</v>
      </c>
      <c r="E134" s="200" t="s">
        <v>780</v>
      </c>
      <c r="F134" s="200" t="s">
        <v>4019</v>
      </c>
      <c r="G134" s="245" t="s">
        <v>3006</v>
      </c>
      <c r="H134" s="42" t="s">
        <v>1522</v>
      </c>
      <c r="I134" s="248" t="s">
        <v>4090</v>
      </c>
      <c r="J134" s="233" t="s">
        <v>3861</v>
      </c>
      <c r="K134" s="162" t="s">
        <v>4220</v>
      </c>
      <c r="L134" s="241" t="s">
        <v>4291</v>
      </c>
      <c r="M134" s="241" t="s">
        <v>4292</v>
      </c>
      <c r="N134" s="161" t="s">
        <v>4255</v>
      </c>
      <c r="O134" s="139" t="s">
        <v>329</v>
      </c>
      <c r="P134" s="40" t="s">
        <v>346</v>
      </c>
      <c r="Q134" s="229" t="s">
        <v>3222</v>
      </c>
      <c r="R134" s="201" t="s">
        <v>2920</v>
      </c>
      <c r="S134" s="141" t="s">
        <v>332</v>
      </c>
      <c r="T134" s="243"/>
    </row>
    <row r="135" spans="1:20" ht="58" customHeight="1">
      <c r="A135" s="231" t="s">
        <v>2435</v>
      </c>
      <c r="B135" s="42" t="s">
        <v>6</v>
      </c>
      <c r="C135" s="41" t="s">
        <v>1532</v>
      </c>
      <c r="D135" s="41" t="s">
        <v>280</v>
      </c>
      <c r="E135" s="200" t="s">
        <v>757</v>
      </c>
      <c r="F135" s="200" t="s">
        <v>4020</v>
      </c>
      <c r="G135" s="245" t="s">
        <v>3003</v>
      </c>
      <c r="H135" s="42" t="s">
        <v>2</v>
      </c>
      <c r="I135" s="248" t="s">
        <v>3011</v>
      </c>
      <c r="J135" s="233" t="s">
        <v>3220</v>
      </c>
      <c r="K135" s="162"/>
      <c r="L135" s="241"/>
      <c r="M135" s="241"/>
      <c r="N135" s="161"/>
      <c r="O135" s="139" t="s">
        <v>278</v>
      </c>
      <c r="P135" s="40" t="s">
        <v>279</v>
      </c>
      <c r="Q135" s="229" t="s">
        <v>3222</v>
      </c>
      <c r="R135" s="201" t="s">
        <v>2940</v>
      </c>
      <c r="S135" s="141" t="s">
        <v>281</v>
      </c>
      <c r="T135" s="243"/>
    </row>
    <row r="136" spans="1:20" ht="58" customHeight="1">
      <c r="A136" s="231" t="s">
        <v>2435</v>
      </c>
      <c r="B136" s="42" t="s">
        <v>6</v>
      </c>
      <c r="C136" s="41" t="s">
        <v>1532</v>
      </c>
      <c r="D136" s="41" t="s">
        <v>283</v>
      </c>
      <c r="E136" s="200" t="s">
        <v>758</v>
      </c>
      <c r="F136" s="200" t="s">
        <v>4021</v>
      </c>
      <c r="G136" s="245" t="s">
        <v>3003</v>
      </c>
      <c r="H136" s="42" t="s">
        <v>2</v>
      </c>
      <c r="I136" s="248" t="s">
        <v>3011</v>
      </c>
      <c r="J136" s="233" t="s">
        <v>3220</v>
      </c>
      <c r="K136" s="162"/>
      <c r="L136" s="241"/>
      <c r="M136" s="241"/>
      <c r="N136" s="161"/>
      <c r="O136" s="139" t="s">
        <v>278</v>
      </c>
      <c r="P136" s="40" t="s">
        <v>282</v>
      </c>
      <c r="Q136" s="229" t="s">
        <v>3222</v>
      </c>
      <c r="R136" s="201" t="s">
        <v>2940</v>
      </c>
      <c r="S136" s="141" t="s">
        <v>281</v>
      </c>
      <c r="T136" s="243"/>
    </row>
    <row r="137" spans="1:20" ht="58" customHeight="1">
      <c r="A137" s="231" t="s">
        <v>2435</v>
      </c>
      <c r="B137" s="42" t="s">
        <v>6</v>
      </c>
      <c r="C137" s="41" t="s">
        <v>1532</v>
      </c>
      <c r="D137" s="41" t="s">
        <v>285</v>
      </c>
      <c r="E137" s="200" t="s">
        <v>759</v>
      </c>
      <c r="F137" s="200" t="s">
        <v>4022</v>
      </c>
      <c r="G137" s="245" t="s">
        <v>3007</v>
      </c>
      <c r="H137" s="42" t="s">
        <v>1522</v>
      </c>
      <c r="I137" s="248" t="s">
        <v>3013</v>
      </c>
      <c r="J137" s="233" t="s">
        <v>3862</v>
      </c>
      <c r="K137" s="162" t="s">
        <v>4534</v>
      </c>
      <c r="L137" s="241"/>
      <c r="M137" s="241"/>
      <c r="N137" s="161"/>
      <c r="O137" s="139" t="s">
        <v>278</v>
      </c>
      <c r="P137" s="40" t="s">
        <v>284</v>
      </c>
      <c r="Q137" s="229" t="s">
        <v>3222</v>
      </c>
      <c r="R137" s="201" t="s">
        <v>2921</v>
      </c>
      <c r="S137" s="141" t="s">
        <v>281</v>
      </c>
      <c r="T137" s="243"/>
    </row>
    <row r="138" spans="1:20" ht="58" customHeight="1">
      <c r="A138" s="231" t="s">
        <v>2435</v>
      </c>
      <c r="B138" s="42" t="s">
        <v>6</v>
      </c>
      <c r="C138" s="41" t="s">
        <v>1532</v>
      </c>
      <c r="D138" s="41" t="s">
        <v>292</v>
      </c>
      <c r="E138" s="200" t="s">
        <v>762</v>
      </c>
      <c r="F138" s="200" t="s">
        <v>4023</v>
      </c>
      <c r="G138" s="245" t="s">
        <v>3007</v>
      </c>
      <c r="H138" s="42" t="s">
        <v>1522</v>
      </c>
      <c r="I138" s="248" t="s">
        <v>3013</v>
      </c>
      <c r="J138" s="233" t="s">
        <v>3863</v>
      </c>
      <c r="K138" s="162" t="s">
        <v>4534</v>
      </c>
      <c r="L138" s="241"/>
      <c r="M138" s="241"/>
      <c r="N138" s="161"/>
      <c r="O138" s="139" t="s">
        <v>290</v>
      </c>
      <c r="P138" s="40" t="s">
        <v>291</v>
      </c>
      <c r="Q138" s="229" t="s">
        <v>3222</v>
      </c>
      <c r="R138" s="201" t="s">
        <v>2921</v>
      </c>
      <c r="S138" s="141" t="s">
        <v>293</v>
      </c>
      <c r="T138" s="243"/>
    </row>
    <row r="139" spans="1:20" ht="58" customHeight="1">
      <c r="A139" s="231" t="s">
        <v>2435</v>
      </c>
      <c r="B139" s="42" t="s">
        <v>6</v>
      </c>
      <c r="C139" s="41" t="s">
        <v>1532</v>
      </c>
      <c r="D139" s="41" t="s">
        <v>295</v>
      </c>
      <c r="E139" s="200" t="s">
        <v>763</v>
      </c>
      <c r="F139" s="200" t="s">
        <v>4024</v>
      </c>
      <c r="G139" s="245" t="s">
        <v>3007</v>
      </c>
      <c r="H139" s="42" t="s">
        <v>1522</v>
      </c>
      <c r="I139" s="248" t="s">
        <v>3013</v>
      </c>
      <c r="J139" s="233" t="s">
        <v>3864</v>
      </c>
      <c r="K139" s="162" t="s">
        <v>4534</v>
      </c>
      <c r="L139" s="241"/>
      <c r="M139" s="241"/>
      <c r="N139" s="161"/>
      <c r="O139" s="139" t="s">
        <v>290</v>
      </c>
      <c r="P139" s="40" t="s">
        <v>294</v>
      </c>
      <c r="Q139" s="229" t="s">
        <v>3222</v>
      </c>
      <c r="R139" s="201" t="s">
        <v>2921</v>
      </c>
      <c r="S139" s="141" t="s">
        <v>293</v>
      </c>
      <c r="T139" s="243"/>
    </row>
    <row r="140" spans="1:20" ht="58" customHeight="1">
      <c r="A140" s="231" t="s">
        <v>2435</v>
      </c>
      <c r="B140" s="42" t="s">
        <v>6</v>
      </c>
      <c r="C140" s="41" t="s">
        <v>1532</v>
      </c>
      <c r="D140" s="41" t="s">
        <v>297</v>
      </c>
      <c r="E140" s="200" t="s">
        <v>764</v>
      </c>
      <c r="F140" s="200" t="s">
        <v>4025</v>
      </c>
      <c r="G140" s="245" t="s">
        <v>3007</v>
      </c>
      <c r="H140" s="42" t="s">
        <v>1522</v>
      </c>
      <c r="I140" s="248" t="s">
        <v>3013</v>
      </c>
      <c r="J140" s="233" t="s">
        <v>3865</v>
      </c>
      <c r="K140" s="162" t="s">
        <v>4534</v>
      </c>
      <c r="L140" s="241"/>
      <c r="M140" s="241"/>
      <c r="N140" s="161"/>
      <c r="O140" s="139" t="s">
        <v>290</v>
      </c>
      <c r="P140" s="40" t="s">
        <v>296</v>
      </c>
      <c r="Q140" s="229" t="s">
        <v>3222</v>
      </c>
      <c r="R140" s="201" t="s">
        <v>2921</v>
      </c>
      <c r="S140" s="141" t="s">
        <v>293</v>
      </c>
      <c r="T140" s="243"/>
    </row>
    <row r="141" spans="1:20" ht="58" customHeight="1">
      <c r="A141" s="231" t="s">
        <v>2435</v>
      </c>
      <c r="B141" s="42" t="s">
        <v>6</v>
      </c>
      <c r="C141" s="41" t="s">
        <v>1532</v>
      </c>
      <c r="D141" s="41" t="s">
        <v>299</v>
      </c>
      <c r="E141" s="200" t="s">
        <v>765</v>
      </c>
      <c r="F141" s="200" t="s">
        <v>4026</v>
      </c>
      <c r="G141" s="245" t="s">
        <v>3007</v>
      </c>
      <c r="H141" s="42" t="s">
        <v>1522</v>
      </c>
      <c r="I141" s="248" t="s">
        <v>3013</v>
      </c>
      <c r="J141" s="233" t="s">
        <v>3866</v>
      </c>
      <c r="K141" s="162" t="s">
        <v>4534</v>
      </c>
      <c r="L141" s="241"/>
      <c r="M141" s="241"/>
      <c r="N141" s="161"/>
      <c r="O141" s="139" t="s">
        <v>290</v>
      </c>
      <c r="P141" s="40" t="s">
        <v>298</v>
      </c>
      <c r="Q141" s="229" t="s">
        <v>3222</v>
      </c>
      <c r="R141" s="201" t="s">
        <v>2921</v>
      </c>
      <c r="S141" s="141" t="s">
        <v>293</v>
      </c>
      <c r="T141" s="243"/>
    </row>
    <row r="142" spans="1:20" ht="58" customHeight="1">
      <c r="A142" s="231" t="s">
        <v>2435</v>
      </c>
      <c r="B142" s="42" t="s">
        <v>6</v>
      </c>
      <c r="C142" s="41" t="s">
        <v>1532</v>
      </c>
      <c r="D142" s="41" t="s">
        <v>301</v>
      </c>
      <c r="E142" s="200" t="s">
        <v>766</v>
      </c>
      <c r="F142" s="200" t="s">
        <v>4027</v>
      </c>
      <c r="G142" s="245" t="s">
        <v>3007</v>
      </c>
      <c r="H142" s="42" t="s">
        <v>1522</v>
      </c>
      <c r="I142" s="248" t="s">
        <v>3013</v>
      </c>
      <c r="J142" s="233" t="s">
        <v>3867</v>
      </c>
      <c r="K142" s="162" t="s">
        <v>4534</v>
      </c>
      <c r="L142" s="241"/>
      <c r="M142" s="241"/>
      <c r="N142" s="161"/>
      <c r="O142" s="139" t="s">
        <v>290</v>
      </c>
      <c r="P142" s="40" t="s">
        <v>300</v>
      </c>
      <c r="Q142" s="229" t="s">
        <v>3222</v>
      </c>
      <c r="R142" s="201" t="s">
        <v>2921</v>
      </c>
      <c r="S142" s="141" t="s">
        <v>293</v>
      </c>
      <c r="T142" s="243"/>
    </row>
    <row r="143" spans="1:20" ht="58" customHeight="1">
      <c r="A143" s="231" t="s">
        <v>2435</v>
      </c>
      <c r="B143" s="42" t="s">
        <v>6</v>
      </c>
      <c r="C143" s="41" t="s">
        <v>1532</v>
      </c>
      <c r="D143" s="41" t="s">
        <v>287</v>
      </c>
      <c r="E143" s="200" t="s">
        <v>760</v>
      </c>
      <c r="F143" s="200" t="s">
        <v>4028</v>
      </c>
      <c r="G143" s="245" t="s">
        <v>3007</v>
      </c>
      <c r="H143" s="42" t="s">
        <v>1522</v>
      </c>
      <c r="I143" s="248" t="s">
        <v>3013</v>
      </c>
      <c r="J143" s="233" t="s">
        <v>3868</v>
      </c>
      <c r="K143" s="162" t="s">
        <v>4534</v>
      </c>
      <c r="L143" s="241"/>
      <c r="M143" s="241"/>
      <c r="N143" s="161"/>
      <c r="O143" s="139" t="s">
        <v>278</v>
      </c>
      <c r="P143" s="40" t="s">
        <v>286</v>
      </c>
      <c r="Q143" s="229" t="s">
        <v>3222</v>
      </c>
      <c r="R143" s="201" t="s">
        <v>2921</v>
      </c>
      <c r="S143" s="141" t="s">
        <v>281</v>
      </c>
      <c r="T143" s="243"/>
    </row>
    <row r="144" spans="1:20" ht="58" customHeight="1">
      <c r="A144" s="231" t="s">
        <v>2435</v>
      </c>
      <c r="B144" s="42" t="s">
        <v>6</v>
      </c>
      <c r="C144" s="41" t="s">
        <v>1532</v>
      </c>
      <c r="D144" s="41" t="s">
        <v>306</v>
      </c>
      <c r="E144" s="200" t="s">
        <v>768</v>
      </c>
      <c r="F144" s="200" t="s">
        <v>4061</v>
      </c>
      <c r="G144" s="245" t="s">
        <v>3007</v>
      </c>
      <c r="H144" s="42" t="s">
        <v>1522</v>
      </c>
      <c r="I144" s="248" t="s">
        <v>3013</v>
      </c>
      <c r="J144" s="233" t="s">
        <v>3869</v>
      </c>
      <c r="K144" s="162" t="s">
        <v>4534</v>
      </c>
      <c r="L144" s="241"/>
      <c r="M144" s="241"/>
      <c r="N144" s="161"/>
      <c r="O144" s="139" t="s">
        <v>304</v>
      </c>
      <c r="P144" s="40" t="s">
        <v>305</v>
      </c>
      <c r="Q144" s="229" t="s">
        <v>3222</v>
      </c>
      <c r="R144" s="201" t="s">
        <v>2921</v>
      </c>
      <c r="S144" s="141" t="s">
        <v>307</v>
      </c>
      <c r="T144" s="243"/>
    </row>
    <row r="145" spans="1:20" ht="58" customHeight="1">
      <c r="A145" s="231" t="s">
        <v>2435</v>
      </c>
      <c r="B145" s="42" t="s">
        <v>6</v>
      </c>
      <c r="C145" s="41" t="s">
        <v>1532</v>
      </c>
      <c r="D145" s="41" t="s">
        <v>309</v>
      </c>
      <c r="E145" s="200" t="s">
        <v>769</v>
      </c>
      <c r="F145" s="200" t="s">
        <v>4062</v>
      </c>
      <c r="G145" s="245" t="s">
        <v>3007</v>
      </c>
      <c r="H145" s="42" t="s">
        <v>1522</v>
      </c>
      <c r="I145" s="248" t="s">
        <v>3013</v>
      </c>
      <c r="J145" s="233" t="s">
        <v>3870</v>
      </c>
      <c r="K145" s="162" t="s">
        <v>4494</v>
      </c>
      <c r="L145" s="241" t="s">
        <v>4495</v>
      </c>
      <c r="M145" s="241" t="s">
        <v>4496</v>
      </c>
      <c r="N145" s="161" t="s">
        <v>4256</v>
      </c>
      <c r="O145" s="139" t="s">
        <v>304</v>
      </c>
      <c r="P145" s="40" t="s">
        <v>308</v>
      </c>
      <c r="Q145" s="229" t="s">
        <v>3222</v>
      </c>
      <c r="R145" s="201" t="s">
        <v>2921</v>
      </c>
      <c r="S145" s="141" t="s">
        <v>307</v>
      </c>
      <c r="T145" s="243"/>
    </row>
    <row r="146" spans="1:20" ht="58" customHeight="1">
      <c r="A146" s="231" t="s">
        <v>2435</v>
      </c>
      <c r="B146" s="42" t="s">
        <v>6</v>
      </c>
      <c r="C146" s="41" t="s">
        <v>1532</v>
      </c>
      <c r="D146" s="41" t="s">
        <v>319</v>
      </c>
      <c r="E146" s="200" t="s">
        <v>3763</v>
      </c>
      <c r="F146" s="200" t="s">
        <v>4029</v>
      </c>
      <c r="G146" s="245" t="s">
        <v>3003</v>
      </c>
      <c r="H146" s="42" t="s">
        <v>2</v>
      </c>
      <c r="I146" s="248" t="s">
        <v>3011</v>
      </c>
      <c r="J146" s="233" t="s">
        <v>3220</v>
      </c>
      <c r="K146" s="162"/>
      <c r="L146" s="241"/>
      <c r="M146" s="241"/>
      <c r="N146" s="161"/>
      <c r="O146" s="139" t="s">
        <v>317</v>
      </c>
      <c r="P146" s="40" t="s">
        <v>318</v>
      </c>
      <c r="Q146" s="229" t="s">
        <v>3222</v>
      </c>
      <c r="R146" s="201" t="s">
        <v>2944</v>
      </c>
      <c r="S146" s="141" t="s">
        <v>320</v>
      </c>
      <c r="T146" s="243"/>
    </row>
    <row r="147" spans="1:20" ht="58" customHeight="1">
      <c r="A147" s="231" t="s">
        <v>2435</v>
      </c>
      <c r="B147" s="42" t="s">
        <v>6</v>
      </c>
      <c r="C147" s="41" t="s">
        <v>1532</v>
      </c>
      <c r="D147" s="41" t="s">
        <v>311</v>
      </c>
      <c r="E147" s="200" t="s">
        <v>770</v>
      </c>
      <c r="F147" s="200" t="s">
        <v>4058</v>
      </c>
      <c r="G147" s="245" t="s">
        <v>3003</v>
      </c>
      <c r="H147" s="42" t="s">
        <v>2</v>
      </c>
      <c r="I147" s="248" t="s">
        <v>3011</v>
      </c>
      <c r="J147" s="233" t="s">
        <v>3220</v>
      </c>
      <c r="K147" s="162"/>
      <c r="L147" s="241"/>
      <c r="M147" s="241"/>
      <c r="N147" s="161"/>
      <c r="O147" s="139" t="s">
        <v>304</v>
      </c>
      <c r="P147" s="40" t="s">
        <v>310</v>
      </c>
      <c r="Q147" s="229" t="s">
        <v>3222</v>
      </c>
      <c r="R147" s="201" t="s">
        <v>2940</v>
      </c>
      <c r="S147" s="141" t="s">
        <v>307</v>
      </c>
      <c r="T147" s="243"/>
    </row>
    <row r="148" spans="1:20" ht="58" customHeight="1">
      <c r="A148" s="231" t="s">
        <v>2435</v>
      </c>
      <c r="B148" s="42" t="s">
        <v>6</v>
      </c>
      <c r="C148" s="41" t="s">
        <v>1532</v>
      </c>
      <c r="D148" s="41" t="s">
        <v>313</v>
      </c>
      <c r="E148" s="200" t="s">
        <v>771</v>
      </c>
      <c r="F148" s="200" t="s">
        <v>314</v>
      </c>
      <c r="G148" s="245" t="s">
        <v>3007</v>
      </c>
      <c r="H148" s="42" t="s">
        <v>1522</v>
      </c>
      <c r="I148" s="248" t="s">
        <v>3013</v>
      </c>
      <c r="J148" s="233" t="s">
        <v>3871</v>
      </c>
      <c r="K148" s="162" t="s">
        <v>4508</v>
      </c>
      <c r="L148" s="241" t="s">
        <v>4509</v>
      </c>
      <c r="M148" s="241" t="s">
        <v>4510</v>
      </c>
      <c r="N148" s="161" t="s">
        <v>4256</v>
      </c>
      <c r="O148" s="139" t="s">
        <v>304</v>
      </c>
      <c r="P148" s="40" t="s">
        <v>312</v>
      </c>
      <c r="Q148" s="229" t="s">
        <v>3222</v>
      </c>
      <c r="R148" s="201" t="s">
        <v>2921</v>
      </c>
      <c r="S148" s="141" t="s">
        <v>307</v>
      </c>
      <c r="T148" s="243"/>
    </row>
    <row r="149" spans="1:20" ht="58" customHeight="1">
      <c r="A149" s="231" t="s">
        <v>2435</v>
      </c>
      <c r="B149" s="42" t="s">
        <v>6</v>
      </c>
      <c r="C149" s="41" t="s">
        <v>1532</v>
      </c>
      <c r="D149" s="41" t="s">
        <v>316</v>
      </c>
      <c r="E149" s="200" t="s">
        <v>772</v>
      </c>
      <c r="F149" s="200" t="s">
        <v>4281</v>
      </c>
      <c r="G149" s="245" t="s">
        <v>4282</v>
      </c>
      <c r="H149" s="42" t="s">
        <v>3</v>
      </c>
      <c r="I149" s="248" t="s">
        <v>3015</v>
      </c>
      <c r="J149" s="233" t="s">
        <v>3872</v>
      </c>
      <c r="K149" s="162" t="s">
        <v>958</v>
      </c>
      <c r="L149" s="241"/>
      <c r="M149" s="241"/>
      <c r="N149" s="161"/>
      <c r="O149" s="139" t="s">
        <v>304</v>
      </c>
      <c r="P149" s="40" t="s">
        <v>315</v>
      </c>
      <c r="Q149" s="229" t="s">
        <v>3222</v>
      </c>
      <c r="R149" s="201" t="s">
        <v>2957</v>
      </c>
      <c r="S149" s="141" t="s">
        <v>307</v>
      </c>
      <c r="T149" s="243"/>
    </row>
    <row r="150" spans="1:20" ht="58" customHeight="1">
      <c r="A150" s="231" t="s">
        <v>2435</v>
      </c>
      <c r="B150" s="42" t="s">
        <v>6</v>
      </c>
      <c r="C150" s="41" t="s">
        <v>1532</v>
      </c>
      <c r="D150" s="41" t="s">
        <v>289</v>
      </c>
      <c r="E150" s="200" t="s">
        <v>761</v>
      </c>
      <c r="F150" s="200" t="s">
        <v>4030</v>
      </c>
      <c r="G150" s="245" t="s">
        <v>3003</v>
      </c>
      <c r="H150" s="42" t="s">
        <v>2</v>
      </c>
      <c r="I150" s="248" t="s">
        <v>3011</v>
      </c>
      <c r="J150" s="233" t="s">
        <v>3220</v>
      </c>
      <c r="K150" s="162"/>
      <c r="L150" s="241"/>
      <c r="M150" s="241"/>
      <c r="N150" s="161"/>
      <c r="O150" s="139" t="s">
        <v>278</v>
      </c>
      <c r="P150" s="40" t="s">
        <v>288</v>
      </c>
      <c r="Q150" s="229" t="s">
        <v>3222</v>
      </c>
      <c r="R150" s="201" t="s">
        <v>2940</v>
      </c>
      <c r="S150" s="141" t="s">
        <v>281</v>
      </c>
      <c r="T150" s="243"/>
    </row>
    <row r="151" spans="1:20" ht="58" customHeight="1">
      <c r="A151" s="231" t="s">
        <v>2435</v>
      </c>
      <c r="B151" s="42" t="s">
        <v>6</v>
      </c>
      <c r="C151" s="41" t="s">
        <v>1532</v>
      </c>
      <c r="D151" s="41" t="s">
        <v>322</v>
      </c>
      <c r="E151" s="200" t="s">
        <v>773</v>
      </c>
      <c r="F151" s="200" t="s">
        <v>4031</v>
      </c>
      <c r="G151" s="245" t="s">
        <v>3003</v>
      </c>
      <c r="H151" s="42" t="s">
        <v>2</v>
      </c>
      <c r="I151" s="248" t="s">
        <v>3011</v>
      </c>
      <c r="J151" s="233" t="s">
        <v>3220</v>
      </c>
      <c r="K151" s="162"/>
      <c r="L151" s="241"/>
      <c r="M151" s="241"/>
      <c r="N151" s="161"/>
      <c r="O151" s="139" t="s">
        <v>317</v>
      </c>
      <c r="P151" s="40" t="s">
        <v>321</v>
      </c>
      <c r="Q151" s="229" t="s">
        <v>3222</v>
      </c>
      <c r="R151" s="201" t="s">
        <v>2940</v>
      </c>
      <c r="S151" s="141" t="s">
        <v>320</v>
      </c>
      <c r="T151" s="243"/>
    </row>
    <row r="152" spans="1:20" ht="58" customHeight="1">
      <c r="A152" s="231" t="s">
        <v>2435</v>
      </c>
      <c r="B152" s="42" t="s">
        <v>6</v>
      </c>
      <c r="C152" s="41" t="s">
        <v>1532</v>
      </c>
      <c r="D152" s="41" t="s">
        <v>324</v>
      </c>
      <c r="E152" s="200" t="s">
        <v>3764</v>
      </c>
      <c r="F152" s="200" t="s">
        <v>3283</v>
      </c>
      <c r="G152" s="245" t="s">
        <v>3274</v>
      </c>
      <c r="H152" s="42" t="s">
        <v>2</v>
      </c>
      <c r="I152" s="248" t="s">
        <v>3011</v>
      </c>
      <c r="J152" s="233" t="s">
        <v>3220</v>
      </c>
      <c r="K152" s="162"/>
      <c r="L152" s="241"/>
      <c r="M152" s="241"/>
      <c r="N152" s="161"/>
      <c r="O152" s="139" t="s">
        <v>317</v>
      </c>
      <c r="P152" s="40" t="s">
        <v>323</v>
      </c>
      <c r="Q152" s="229" t="s">
        <v>3222</v>
      </c>
      <c r="R152" s="201" t="s">
        <v>2958</v>
      </c>
      <c r="S152" s="141" t="s">
        <v>320</v>
      </c>
      <c r="T152" s="243"/>
    </row>
    <row r="153" spans="1:20" ht="58" customHeight="1">
      <c r="A153" s="231" t="s">
        <v>2435</v>
      </c>
      <c r="B153" s="42" t="s">
        <v>6</v>
      </c>
      <c r="C153" s="41" t="s">
        <v>1532</v>
      </c>
      <c r="D153" s="41" t="s">
        <v>326</v>
      </c>
      <c r="E153" s="200" t="s">
        <v>774</v>
      </c>
      <c r="F153" s="200" t="s">
        <v>4032</v>
      </c>
      <c r="G153" s="245" t="s">
        <v>3003</v>
      </c>
      <c r="H153" s="42" t="s">
        <v>2</v>
      </c>
      <c r="I153" s="248" t="s">
        <v>3011</v>
      </c>
      <c r="J153" s="233" t="s">
        <v>3220</v>
      </c>
      <c r="K153" s="162"/>
      <c r="L153" s="241"/>
      <c r="M153" s="241"/>
      <c r="N153" s="161"/>
      <c r="O153" s="139" t="s">
        <v>317</v>
      </c>
      <c r="P153" s="40" t="s">
        <v>325</v>
      </c>
      <c r="Q153" s="229" t="s">
        <v>3222</v>
      </c>
      <c r="R153" s="201" t="s">
        <v>2945</v>
      </c>
      <c r="S153" s="141" t="s">
        <v>320</v>
      </c>
      <c r="T153" s="243"/>
    </row>
    <row r="154" spans="1:20" ht="58" customHeight="1">
      <c r="A154" s="231" t="s">
        <v>2435</v>
      </c>
      <c r="B154" s="42" t="s">
        <v>6</v>
      </c>
      <c r="C154" s="41" t="s">
        <v>1532</v>
      </c>
      <c r="D154" s="41" t="s">
        <v>328</v>
      </c>
      <c r="E154" s="200" t="s">
        <v>775</v>
      </c>
      <c r="F154" s="200" t="s">
        <v>4033</v>
      </c>
      <c r="G154" s="245" t="s">
        <v>3003</v>
      </c>
      <c r="H154" s="42" t="s">
        <v>2</v>
      </c>
      <c r="I154" s="248" t="s">
        <v>3011</v>
      </c>
      <c r="J154" s="233" t="s">
        <v>3220</v>
      </c>
      <c r="K154" s="162"/>
      <c r="L154" s="241"/>
      <c r="M154" s="241"/>
      <c r="N154" s="161"/>
      <c r="O154" s="139" t="s">
        <v>317</v>
      </c>
      <c r="P154" s="40" t="s">
        <v>327</v>
      </c>
      <c r="Q154" s="229" t="s">
        <v>3222</v>
      </c>
      <c r="R154" s="201" t="s">
        <v>2945</v>
      </c>
      <c r="S154" s="141" t="s">
        <v>320</v>
      </c>
      <c r="T154" s="243"/>
    </row>
    <row r="155" spans="1:20" ht="58" customHeight="1">
      <c r="A155" s="231" t="s">
        <v>2435</v>
      </c>
      <c r="B155" s="42" t="s">
        <v>6</v>
      </c>
      <c r="C155" s="41" t="s">
        <v>1532</v>
      </c>
      <c r="D155" s="41" t="s">
        <v>303</v>
      </c>
      <c r="E155" s="200" t="s">
        <v>767</v>
      </c>
      <c r="F155" s="200" t="s">
        <v>4610</v>
      </c>
      <c r="G155" s="245" t="s">
        <v>4611</v>
      </c>
      <c r="H155" s="42" t="s">
        <v>2</v>
      </c>
      <c r="I155" s="248" t="s">
        <v>3011</v>
      </c>
      <c r="J155" s="233" t="s">
        <v>3220</v>
      </c>
      <c r="K155" s="162" t="s">
        <v>958</v>
      </c>
      <c r="L155" s="241"/>
      <c r="M155" s="241"/>
      <c r="N155" s="161"/>
      <c r="O155" s="139" t="s">
        <v>290</v>
      </c>
      <c r="P155" s="40" t="s">
        <v>302</v>
      </c>
      <c r="Q155" s="229" t="s">
        <v>3222</v>
      </c>
      <c r="R155" s="201" t="s">
        <v>2921</v>
      </c>
      <c r="S155" s="141" t="s">
        <v>293</v>
      </c>
      <c r="T155" s="243" t="s">
        <v>4612</v>
      </c>
    </row>
    <row r="156" spans="1:20" ht="58" customHeight="1">
      <c r="A156" s="231" t="s">
        <v>2435</v>
      </c>
      <c r="B156" s="42" t="s">
        <v>6</v>
      </c>
      <c r="C156" s="41" t="s">
        <v>1534</v>
      </c>
      <c r="D156" s="41" t="s">
        <v>377</v>
      </c>
      <c r="E156" s="200" t="s">
        <v>791</v>
      </c>
      <c r="F156" s="200" t="s">
        <v>4034</v>
      </c>
      <c r="G156" s="245" t="s">
        <v>3007</v>
      </c>
      <c r="H156" s="42" t="s">
        <v>1522</v>
      </c>
      <c r="I156" s="248" t="s">
        <v>3013</v>
      </c>
      <c r="J156" s="233" t="s">
        <v>3873</v>
      </c>
      <c r="K156" s="162" t="s">
        <v>4534</v>
      </c>
      <c r="L156" s="241"/>
      <c r="M156" s="241"/>
      <c r="N156" s="161"/>
      <c r="O156" s="139" t="s">
        <v>375</v>
      </c>
      <c r="P156" s="40" t="s">
        <v>376</v>
      </c>
      <c r="Q156" s="229" t="s">
        <v>3222</v>
      </c>
      <c r="R156" s="201" t="s">
        <v>2947</v>
      </c>
      <c r="S156" s="141" t="s">
        <v>378</v>
      </c>
      <c r="T156" s="243"/>
    </row>
    <row r="157" spans="1:20" ht="58" customHeight="1">
      <c r="A157" s="231" t="s">
        <v>2435</v>
      </c>
      <c r="B157" s="42" t="s">
        <v>6</v>
      </c>
      <c r="C157" s="41" t="s">
        <v>1534</v>
      </c>
      <c r="D157" s="41" t="s">
        <v>380</v>
      </c>
      <c r="E157" s="200" t="s">
        <v>3765</v>
      </c>
      <c r="F157" s="200" t="s">
        <v>4035</v>
      </c>
      <c r="G157" s="245" t="s">
        <v>3006</v>
      </c>
      <c r="H157" s="42" t="s">
        <v>1522</v>
      </c>
      <c r="I157" s="248" t="s">
        <v>3013</v>
      </c>
      <c r="J157" s="233" t="s">
        <v>3874</v>
      </c>
      <c r="K157" s="162" t="s">
        <v>4242</v>
      </c>
      <c r="L157" s="241" t="s">
        <v>4410</v>
      </c>
      <c r="M157" s="241" t="s">
        <v>4411</v>
      </c>
      <c r="N157" s="161" t="s">
        <v>4255</v>
      </c>
      <c r="O157" s="139" t="s">
        <v>375</v>
      </c>
      <c r="P157" s="40" t="s">
        <v>379</v>
      </c>
      <c r="Q157" s="229" t="s">
        <v>3222</v>
      </c>
      <c r="R157" s="201" t="s">
        <v>2948</v>
      </c>
      <c r="S157" s="141" t="s">
        <v>378</v>
      </c>
      <c r="T157" s="243"/>
    </row>
    <row r="158" spans="1:20" ht="58" customHeight="1">
      <c r="A158" s="231" t="s">
        <v>2435</v>
      </c>
      <c r="B158" s="42" t="s">
        <v>6</v>
      </c>
      <c r="C158" s="41" t="s">
        <v>1534</v>
      </c>
      <c r="D158" s="41" t="s">
        <v>385</v>
      </c>
      <c r="E158" s="200" t="s">
        <v>792</v>
      </c>
      <c r="F158" s="200" t="s">
        <v>4036</v>
      </c>
      <c r="G158" s="245" t="s">
        <v>3006</v>
      </c>
      <c r="H158" s="42" t="s">
        <v>1522</v>
      </c>
      <c r="I158" s="248" t="s">
        <v>3013</v>
      </c>
      <c r="J158" s="233" t="s">
        <v>3875</v>
      </c>
      <c r="K158" s="162" t="s">
        <v>4243</v>
      </c>
      <c r="L158" s="241" t="s">
        <v>4420</v>
      </c>
      <c r="M158" s="241" t="s">
        <v>4421</v>
      </c>
      <c r="N158" s="161" t="s">
        <v>4256</v>
      </c>
      <c r="O158" s="139" t="s">
        <v>383</v>
      </c>
      <c r="P158" s="40" t="s">
        <v>384</v>
      </c>
      <c r="Q158" s="229" t="s">
        <v>3222</v>
      </c>
      <c r="R158" s="201" t="s">
        <v>2920</v>
      </c>
      <c r="S158" s="141" t="s">
        <v>386</v>
      </c>
      <c r="T158" s="243"/>
    </row>
    <row r="159" spans="1:20" ht="58" customHeight="1">
      <c r="A159" s="231" t="s">
        <v>2435</v>
      </c>
      <c r="B159" s="42" t="s">
        <v>6</v>
      </c>
      <c r="C159" s="41" t="s">
        <v>1534</v>
      </c>
      <c r="D159" s="41" t="s">
        <v>388</v>
      </c>
      <c r="E159" s="200" t="s">
        <v>3766</v>
      </c>
      <c r="F159" s="200" t="s">
        <v>3940</v>
      </c>
      <c r="G159" s="245" t="s">
        <v>3941</v>
      </c>
      <c r="H159" s="42" t="s">
        <v>2</v>
      </c>
      <c r="I159" s="248" t="s">
        <v>3011</v>
      </c>
      <c r="J159" s="233" t="s">
        <v>3220</v>
      </c>
      <c r="K159" s="162"/>
      <c r="L159" s="241"/>
      <c r="M159" s="241"/>
      <c r="N159" s="161"/>
      <c r="O159" s="139" t="s">
        <v>383</v>
      </c>
      <c r="P159" s="40" t="s">
        <v>387</v>
      </c>
      <c r="Q159" s="229" t="s">
        <v>3222</v>
      </c>
      <c r="R159" s="201" t="s">
        <v>2950</v>
      </c>
      <c r="S159" s="141" t="s">
        <v>386</v>
      </c>
      <c r="T159" s="243"/>
    </row>
    <row r="160" spans="1:20" ht="58" customHeight="1">
      <c r="A160" s="231" t="s">
        <v>2435</v>
      </c>
      <c r="B160" s="42" t="s">
        <v>6</v>
      </c>
      <c r="C160" s="41" t="s">
        <v>1534</v>
      </c>
      <c r="D160" s="41" t="s">
        <v>4190</v>
      </c>
      <c r="E160" s="200" t="s">
        <v>793</v>
      </c>
      <c r="F160" s="200" t="s">
        <v>4037</v>
      </c>
      <c r="G160" s="245" t="s">
        <v>3006</v>
      </c>
      <c r="H160" s="42" t="s">
        <v>1522</v>
      </c>
      <c r="I160" s="248" t="s">
        <v>4090</v>
      </c>
      <c r="J160" s="233" t="s">
        <v>3876</v>
      </c>
      <c r="K160" s="162" t="s">
        <v>4191</v>
      </c>
      <c r="L160" s="241" t="s">
        <v>4448</v>
      </c>
      <c r="M160" s="241" t="s">
        <v>4449</v>
      </c>
      <c r="N160" s="161" t="s">
        <v>4257</v>
      </c>
      <c r="O160" s="139" t="s">
        <v>383</v>
      </c>
      <c r="P160" s="40" t="s">
        <v>4189</v>
      </c>
      <c r="Q160" s="229" t="s">
        <v>3222</v>
      </c>
      <c r="R160" s="201" t="s">
        <v>2920</v>
      </c>
      <c r="S160" s="141" t="s">
        <v>386</v>
      </c>
      <c r="T160" s="243"/>
    </row>
    <row r="161" spans="1:20" ht="58" customHeight="1">
      <c r="A161" s="231" t="s">
        <v>2435</v>
      </c>
      <c r="B161" s="42" t="s">
        <v>6</v>
      </c>
      <c r="C161" s="41" t="s">
        <v>1534</v>
      </c>
      <c r="D161" s="41" t="s">
        <v>4192</v>
      </c>
      <c r="E161" s="200" t="s">
        <v>793</v>
      </c>
      <c r="F161" s="200" t="s">
        <v>4037</v>
      </c>
      <c r="G161" s="245" t="s">
        <v>3006</v>
      </c>
      <c r="H161" s="42" t="s">
        <v>1522</v>
      </c>
      <c r="I161" s="248" t="s">
        <v>4090</v>
      </c>
      <c r="J161" s="233" t="s">
        <v>3876</v>
      </c>
      <c r="K161" s="162" t="s">
        <v>4194</v>
      </c>
      <c r="L161" s="241" t="s">
        <v>4422</v>
      </c>
      <c r="M161" s="241" t="s">
        <v>4423</v>
      </c>
      <c r="N161" s="161" t="s">
        <v>4256</v>
      </c>
      <c r="O161" s="139" t="s">
        <v>383</v>
      </c>
      <c r="P161" s="40" t="s">
        <v>4193</v>
      </c>
      <c r="Q161" s="229" t="s">
        <v>3222</v>
      </c>
      <c r="R161" s="201" t="s">
        <v>2920</v>
      </c>
      <c r="S161" s="141" t="s">
        <v>386</v>
      </c>
      <c r="T161" s="243"/>
    </row>
    <row r="162" spans="1:20" ht="58" customHeight="1">
      <c r="A162" s="231" t="s">
        <v>2435</v>
      </c>
      <c r="B162" s="42" t="s">
        <v>6</v>
      </c>
      <c r="C162" s="41" t="s">
        <v>1534</v>
      </c>
      <c r="D162" s="41" t="s">
        <v>4196</v>
      </c>
      <c r="E162" s="200" t="s">
        <v>3228</v>
      </c>
      <c r="F162" s="200" t="s">
        <v>4038</v>
      </c>
      <c r="G162" s="245" t="s">
        <v>3006</v>
      </c>
      <c r="H162" s="42" t="s">
        <v>1522</v>
      </c>
      <c r="I162" s="248" t="s">
        <v>3013</v>
      </c>
      <c r="J162" s="233" t="s">
        <v>3877</v>
      </c>
      <c r="K162" s="162" t="s">
        <v>4197</v>
      </c>
      <c r="L162" s="241" t="s">
        <v>4450</v>
      </c>
      <c r="M162" s="241" t="s">
        <v>4451</v>
      </c>
      <c r="N162" s="161" t="s">
        <v>4257</v>
      </c>
      <c r="O162" s="139" t="s">
        <v>383</v>
      </c>
      <c r="P162" s="40" t="s">
        <v>4195</v>
      </c>
      <c r="Q162" s="229" t="s">
        <v>3222</v>
      </c>
      <c r="R162" s="201" t="s">
        <v>3001</v>
      </c>
      <c r="S162" s="141" t="s">
        <v>386</v>
      </c>
      <c r="T162" s="243"/>
    </row>
    <row r="163" spans="1:20" ht="58" customHeight="1">
      <c r="A163" s="231" t="s">
        <v>2435</v>
      </c>
      <c r="B163" s="42" t="s">
        <v>6</v>
      </c>
      <c r="C163" s="41" t="s">
        <v>1534</v>
      </c>
      <c r="D163" s="41" t="s">
        <v>4198</v>
      </c>
      <c r="E163" s="200" t="s">
        <v>3228</v>
      </c>
      <c r="F163" s="200" t="s">
        <v>4038</v>
      </c>
      <c r="G163" s="245" t="s">
        <v>3006</v>
      </c>
      <c r="H163" s="42" t="s">
        <v>1522</v>
      </c>
      <c r="I163" s="248" t="s">
        <v>3013</v>
      </c>
      <c r="J163" s="233" t="s">
        <v>3877</v>
      </c>
      <c r="K163" s="162" t="s">
        <v>4200</v>
      </c>
      <c r="L163" s="241" t="s">
        <v>4424</v>
      </c>
      <c r="M163" s="241" t="s">
        <v>4425</v>
      </c>
      <c r="N163" s="161" t="s">
        <v>4256</v>
      </c>
      <c r="O163" s="139" t="s">
        <v>383</v>
      </c>
      <c r="P163" s="40" t="s">
        <v>4199</v>
      </c>
      <c r="Q163" s="229" t="s">
        <v>3222</v>
      </c>
      <c r="R163" s="201" t="s">
        <v>3001</v>
      </c>
      <c r="S163" s="141" t="s">
        <v>386</v>
      </c>
      <c r="T163" s="243"/>
    </row>
    <row r="164" spans="1:20" ht="58" customHeight="1">
      <c r="A164" s="231" t="s">
        <v>2435</v>
      </c>
      <c r="B164" s="42" t="s">
        <v>6</v>
      </c>
      <c r="C164" s="41" t="s">
        <v>1534</v>
      </c>
      <c r="D164" s="41" t="s">
        <v>4163</v>
      </c>
      <c r="E164" s="200" t="s">
        <v>794</v>
      </c>
      <c r="F164" s="200" t="s">
        <v>4059</v>
      </c>
      <c r="G164" s="245" t="s">
        <v>3006</v>
      </c>
      <c r="H164" s="42" t="s">
        <v>1522</v>
      </c>
      <c r="I164" s="248" t="s">
        <v>3013</v>
      </c>
      <c r="J164" s="233" t="s">
        <v>3878</v>
      </c>
      <c r="K164" s="162" t="s">
        <v>4164</v>
      </c>
      <c r="L164" s="241" t="s">
        <v>4426</v>
      </c>
      <c r="M164" s="241" t="s">
        <v>4427</v>
      </c>
      <c r="N164" s="161" t="s">
        <v>4256</v>
      </c>
      <c r="O164" s="139" t="s">
        <v>383</v>
      </c>
      <c r="P164" s="40" t="s">
        <v>4162</v>
      </c>
      <c r="Q164" s="229" t="s">
        <v>3222</v>
      </c>
      <c r="R164" s="201" t="s">
        <v>2920</v>
      </c>
      <c r="S164" s="141" t="s">
        <v>386</v>
      </c>
      <c r="T164" s="243"/>
    </row>
    <row r="165" spans="1:20" ht="58" customHeight="1">
      <c r="A165" s="231" t="s">
        <v>2435</v>
      </c>
      <c r="B165" s="42" t="s">
        <v>6</v>
      </c>
      <c r="C165" s="41" t="s">
        <v>1534</v>
      </c>
      <c r="D165" s="41" t="s">
        <v>4165</v>
      </c>
      <c r="E165" s="200" t="s">
        <v>794</v>
      </c>
      <c r="F165" s="200" t="s">
        <v>4059</v>
      </c>
      <c r="G165" s="245" t="s">
        <v>3006</v>
      </c>
      <c r="H165" s="42" t="s">
        <v>1522</v>
      </c>
      <c r="I165" s="248" t="s">
        <v>3013</v>
      </c>
      <c r="J165" s="233" t="s">
        <v>3878</v>
      </c>
      <c r="K165" s="162" t="s">
        <v>4167</v>
      </c>
      <c r="L165" s="241" t="s">
        <v>4412</v>
      </c>
      <c r="M165" s="241" t="s">
        <v>4413</v>
      </c>
      <c r="N165" s="161" t="s">
        <v>4255</v>
      </c>
      <c r="O165" s="139" t="s">
        <v>383</v>
      </c>
      <c r="P165" s="40" t="s">
        <v>4166</v>
      </c>
      <c r="Q165" s="229" t="s">
        <v>3222</v>
      </c>
      <c r="R165" s="201" t="s">
        <v>2920</v>
      </c>
      <c r="S165" s="141" t="s">
        <v>386</v>
      </c>
      <c r="T165" s="243"/>
    </row>
    <row r="166" spans="1:20" ht="58" customHeight="1">
      <c r="A166" s="231" t="s">
        <v>2435</v>
      </c>
      <c r="B166" s="42" t="s">
        <v>6</v>
      </c>
      <c r="C166" s="41" t="s">
        <v>1534</v>
      </c>
      <c r="D166" s="41" t="s">
        <v>382</v>
      </c>
      <c r="E166" s="200" t="s">
        <v>3767</v>
      </c>
      <c r="F166" s="200" t="s">
        <v>3284</v>
      </c>
      <c r="G166" s="245" t="s">
        <v>3285</v>
      </c>
      <c r="H166" s="42" t="s">
        <v>1522</v>
      </c>
      <c r="I166" s="248" t="s">
        <v>3013</v>
      </c>
      <c r="J166" s="233" t="s">
        <v>3220</v>
      </c>
      <c r="K166" s="162" t="s">
        <v>4524</v>
      </c>
      <c r="L166" s="241" t="s">
        <v>4590</v>
      </c>
      <c r="M166" s="241"/>
      <c r="N166" s="161" t="s">
        <v>4255</v>
      </c>
      <c r="O166" s="139" t="s">
        <v>375</v>
      </c>
      <c r="P166" s="40" t="s">
        <v>381</v>
      </c>
      <c r="Q166" s="229" t="s">
        <v>3222</v>
      </c>
      <c r="R166" s="201" t="s">
        <v>2949</v>
      </c>
      <c r="S166" s="141" t="s">
        <v>378</v>
      </c>
      <c r="T166" s="243"/>
    </row>
    <row r="167" spans="1:20" ht="58" customHeight="1">
      <c r="A167" s="231" t="s">
        <v>2435</v>
      </c>
      <c r="B167" s="42" t="s">
        <v>6</v>
      </c>
      <c r="C167" s="41" t="s">
        <v>1534</v>
      </c>
      <c r="D167" s="41" t="s">
        <v>4202</v>
      </c>
      <c r="E167" s="200" t="s">
        <v>795</v>
      </c>
      <c r="F167" s="200" t="s">
        <v>4039</v>
      </c>
      <c r="G167" s="245" t="s">
        <v>3006</v>
      </c>
      <c r="H167" s="42" t="s">
        <v>1522</v>
      </c>
      <c r="I167" s="248" t="s">
        <v>3013</v>
      </c>
      <c r="J167" s="233" t="s">
        <v>3879</v>
      </c>
      <c r="K167" s="162" t="s">
        <v>4203</v>
      </c>
      <c r="L167" s="241" t="s">
        <v>4428</v>
      </c>
      <c r="M167" s="241" t="s">
        <v>4429</v>
      </c>
      <c r="N167" s="161" t="s">
        <v>4256</v>
      </c>
      <c r="O167" s="139" t="s">
        <v>394</v>
      </c>
      <c r="P167" s="40" t="s">
        <v>4201</v>
      </c>
      <c r="Q167" s="229" t="s">
        <v>3222</v>
      </c>
      <c r="R167" s="201" t="s">
        <v>2952</v>
      </c>
      <c r="S167" s="141" t="s">
        <v>396</v>
      </c>
      <c r="T167" s="243"/>
    </row>
    <row r="168" spans="1:20" ht="58" customHeight="1">
      <c r="A168" s="231" t="s">
        <v>2435</v>
      </c>
      <c r="B168" s="42" t="s">
        <v>6</v>
      </c>
      <c r="C168" s="41" t="s">
        <v>1534</v>
      </c>
      <c r="D168" s="41" t="s">
        <v>4204</v>
      </c>
      <c r="E168" s="200" t="s">
        <v>795</v>
      </c>
      <c r="F168" s="200" t="s">
        <v>4039</v>
      </c>
      <c r="G168" s="245" t="s">
        <v>3006</v>
      </c>
      <c r="H168" s="42" t="s">
        <v>1522</v>
      </c>
      <c r="I168" s="248" t="s">
        <v>3013</v>
      </c>
      <c r="J168" s="233" t="s">
        <v>3879</v>
      </c>
      <c r="K168" s="162" t="s">
        <v>4206</v>
      </c>
      <c r="L168" s="241" t="s">
        <v>4430</v>
      </c>
      <c r="M168" s="241" t="s">
        <v>4431</v>
      </c>
      <c r="N168" s="161" t="s">
        <v>4256</v>
      </c>
      <c r="O168" s="139" t="s">
        <v>394</v>
      </c>
      <c r="P168" s="40" t="s">
        <v>4205</v>
      </c>
      <c r="Q168" s="229" t="s">
        <v>3222</v>
      </c>
      <c r="R168" s="201" t="s">
        <v>2952</v>
      </c>
      <c r="S168" s="141" t="s">
        <v>396</v>
      </c>
      <c r="T168" s="243"/>
    </row>
    <row r="169" spans="1:20" ht="58" customHeight="1">
      <c r="A169" s="231" t="s">
        <v>2435</v>
      </c>
      <c r="B169" s="42" t="s">
        <v>6</v>
      </c>
      <c r="C169" s="41" t="s">
        <v>1534</v>
      </c>
      <c r="D169" s="41" t="s">
        <v>4251</v>
      </c>
      <c r="E169" s="200" t="s">
        <v>795</v>
      </c>
      <c r="F169" s="200" t="s">
        <v>4039</v>
      </c>
      <c r="G169" s="245" t="s">
        <v>3006</v>
      </c>
      <c r="H169" s="42" t="s">
        <v>1522</v>
      </c>
      <c r="I169" s="248" t="s">
        <v>3013</v>
      </c>
      <c r="J169" s="233" t="s">
        <v>3879</v>
      </c>
      <c r="K169" s="162" t="s">
        <v>4245</v>
      </c>
      <c r="L169" s="241" t="s">
        <v>4452</v>
      </c>
      <c r="M169" s="241" t="s">
        <v>4453</v>
      </c>
      <c r="N169" s="161" t="s">
        <v>4257</v>
      </c>
      <c r="O169" s="139" t="s">
        <v>394</v>
      </c>
      <c r="P169" s="40" t="s">
        <v>4252</v>
      </c>
      <c r="Q169" s="229" t="s">
        <v>3222</v>
      </c>
      <c r="R169" s="201" t="s">
        <v>2952</v>
      </c>
      <c r="S169" s="141" t="s">
        <v>396</v>
      </c>
      <c r="T169" s="243"/>
    </row>
    <row r="170" spans="1:20" ht="58" customHeight="1">
      <c r="A170" s="231" t="s">
        <v>2435</v>
      </c>
      <c r="B170" s="42" t="s">
        <v>6</v>
      </c>
      <c r="C170" s="41" t="s">
        <v>1534</v>
      </c>
      <c r="D170" s="41" t="s">
        <v>393</v>
      </c>
      <c r="E170" s="200" t="s">
        <v>3768</v>
      </c>
      <c r="F170" s="200" t="s">
        <v>4040</v>
      </c>
      <c r="G170" s="245" t="s">
        <v>3007</v>
      </c>
      <c r="H170" s="42" t="s">
        <v>1522</v>
      </c>
      <c r="I170" s="248" t="s">
        <v>3013</v>
      </c>
      <c r="J170" s="233" t="s">
        <v>3880</v>
      </c>
      <c r="K170" s="162" t="s">
        <v>4534</v>
      </c>
      <c r="L170" s="241"/>
      <c r="M170" s="241"/>
      <c r="N170" s="161"/>
      <c r="O170" s="139" t="s">
        <v>383</v>
      </c>
      <c r="P170" s="40" t="s">
        <v>392</v>
      </c>
      <c r="Q170" s="229" t="s">
        <v>3222</v>
      </c>
      <c r="R170" s="201" t="s">
        <v>2951</v>
      </c>
      <c r="S170" s="141" t="s">
        <v>386</v>
      </c>
      <c r="T170" s="243"/>
    </row>
    <row r="171" spans="1:20" ht="58" customHeight="1">
      <c r="A171" s="231" t="s">
        <v>2435</v>
      </c>
      <c r="B171" s="42" t="s">
        <v>6</v>
      </c>
      <c r="C171" s="41" t="s">
        <v>1534</v>
      </c>
      <c r="D171" s="41" t="s">
        <v>398</v>
      </c>
      <c r="E171" s="200" t="s">
        <v>3769</v>
      </c>
      <c r="F171" s="200" t="s">
        <v>3310</v>
      </c>
      <c r="G171" s="245" t="s">
        <v>4549</v>
      </c>
      <c r="H171" s="42" t="s">
        <v>2</v>
      </c>
      <c r="I171" s="248" t="s">
        <v>3011</v>
      </c>
      <c r="J171" s="233" t="s">
        <v>3220</v>
      </c>
      <c r="K171" s="162"/>
      <c r="L171" s="241"/>
      <c r="M171" s="241"/>
      <c r="N171" s="161"/>
      <c r="O171" s="139" t="s">
        <v>394</v>
      </c>
      <c r="P171" s="40" t="s">
        <v>397</v>
      </c>
      <c r="Q171" s="229" t="s">
        <v>3222</v>
      </c>
      <c r="R171" s="201" t="s">
        <v>2964</v>
      </c>
      <c r="S171" s="141" t="s">
        <v>396</v>
      </c>
      <c r="T171" s="243"/>
    </row>
    <row r="172" spans="1:20" ht="58" customHeight="1">
      <c r="A172" s="231" t="s">
        <v>2435</v>
      </c>
      <c r="B172" s="42" t="s">
        <v>6</v>
      </c>
      <c r="C172" s="41" t="s">
        <v>1533</v>
      </c>
      <c r="D172" s="41" t="s">
        <v>350</v>
      </c>
      <c r="E172" s="200" t="s">
        <v>781</v>
      </c>
      <c r="F172" s="200" t="s">
        <v>4041</v>
      </c>
      <c r="G172" s="245" t="s">
        <v>3007</v>
      </c>
      <c r="H172" s="42" t="s">
        <v>1522</v>
      </c>
      <c r="I172" s="248" t="s">
        <v>3013</v>
      </c>
      <c r="J172" s="233" t="s">
        <v>3881</v>
      </c>
      <c r="K172" s="162" t="s">
        <v>4534</v>
      </c>
      <c r="L172" s="241"/>
      <c r="M172" s="241"/>
      <c r="N172" s="161"/>
      <c r="O172" s="139" t="s">
        <v>348</v>
      </c>
      <c r="P172" s="40" t="s">
        <v>349</v>
      </c>
      <c r="Q172" s="229" t="s">
        <v>3222</v>
      </c>
      <c r="R172" s="201" t="s">
        <v>2921</v>
      </c>
      <c r="S172" s="141" t="s">
        <v>351</v>
      </c>
      <c r="T172" s="243"/>
    </row>
    <row r="173" spans="1:20" ht="58" customHeight="1">
      <c r="A173" s="231" t="s">
        <v>2435</v>
      </c>
      <c r="B173" s="42" t="s">
        <v>6</v>
      </c>
      <c r="C173" s="41" t="s">
        <v>1533</v>
      </c>
      <c r="D173" s="41" t="s">
        <v>353</v>
      </c>
      <c r="E173" s="200" t="s">
        <v>782</v>
      </c>
      <c r="F173" s="200" t="s">
        <v>4042</v>
      </c>
      <c r="G173" s="245" t="s">
        <v>3007</v>
      </c>
      <c r="H173" s="42" t="s">
        <v>1522</v>
      </c>
      <c r="I173" s="248" t="s">
        <v>3013</v>
      </c>
      <c r="J173" s="233" t="s">
        <v>3882</v>
      </c>
      <c r="K173" s="162" t="s">
        <v>4534</v>
      </c>
      <c r="L173" s="241"/>
      <c r="M173" s="241"/>
      <c r="N173" s="161"/>
      <c r="O173" s="139" t="s">
        <v>348</v>
      </c>
      <c r="P173" s="40" t="s">
        <v>352</v>
      </c>
      <c r="Q173" s="229" t="s">
        <v>3222</v>
      </c>
      <c r="R173" s="201" t="s">
        <v>2921</v>
      </c>
      <c r="S173" s="141" t="s">
        <v>351</v>
      </c>
      <c r="T173" s="243"/>
    </row>
    <row r="174" spans="1:20" ht="58" customHeight="1">
      <c r="A174" s="231" t="s">
        <v>2435</v>
      </c>
      <c r="B174" s="42" t="s">
        <v>6</v>
      </c>
      <c r="C174" s="41" t="s">
        <v>1533</v>
      </c>
      <c r="D174" s="41" t="s">
        <v>355</v>
      </c>
      <c r="E174" s="200" t="s">
        <v>783</v>
      </c>
      <c r="F174" s="200" t="s">
        <v>356</v>
      </c>
      <c r="G174" s="245" t="s">
        <v>3007</v>
      </c>
      <c r="H174" s="42" t="s">
        <v>1522</v>
      </c>
      <c r="I174" s="248" t="s">
        <v>3013</v>
      </c>
      <c r="J174" s="233" t="s">
        <v>3883</v>
      </c>
      <c r="K174" s="162" t="s">
        <v>4534</v>
      </c>
      <c r="L174" s="241"/>
      <c r="M174" s="241"/>
      <c r="N174" s="161"/>
      <c r="O174" s="139" t="s">
        <v>348</v>
      </c>
      <c r="P174" s="40" t="s">
        <v>354</v>
      </c>
      <c r="Q174" s="229" t="s">
        <v>3222</v>
      </c>
      <c r="R174" s="201" t="s">
        <v>2921</v>
      </c>
      <c r="S174" s="141" t="s">
        <v>351</v>
      </c>
      <c r="T174" s="243"/>
    </row>
    <row r="175" spans="1:20" ht="58" customHeight="1">
      <c r="A175" s="231" t="s">
        <v>2435</v>
      </c>
      <c r="B175" s="42" t="s">
        <v>6</v>
      </c>
      <c r="C175" s="41" t="s">
        <v>1533</v>
      </c>
      <c r="D175" s="41" t="s">
        <v>358</v>
      </c>
      <c r="E175" s="200" t="s">
        <v>784</v>
      </c>
      <c r="F175" s="200" t="s">
        <v>4043</v>
      </c>
      <c r="G175" s="245" t="s">
        <v>3007</v>
      </c>
      <c r="H175" s="42" t="s">
        <v>1522</v>
      </c>
      <c r="I175" s="248" t="s">
        <v>3013</v>
      </c>
      <c r="J175" s="233" t="s">
        <v>3884</v>
      </c>
      <c r="K175" s="162" t="s">
        <v>4534</v>
      </c>
      <c r="L175" s="241"/>
      <c r="M175" s="241"/>
      <c r="N175" s="161"/>
      <c r="O175" s="139" t="s">
        <v>348</v>
      </c>
      <c r="P175" s="40" t="s">
        <v>357</v>
      </c>
      <c r="Q175" s="229" t="s">
        <v>3222</v>
      </c>
      <c r="R175" s="201" t="s">
        <v>2921</v>
      </c>
      <c r="S175" s="141" t="s">
        <v>351</v>
      </c>
      <c r="T175" s="243"/>
    </row>
    <row r="176" spans="1:20" ht="58" customHeight="1">
      <c r="A176" s="231" t="s">
        <v>2435</v>
      </c>
      <c r="B176" s="42" t="s">
        <v>6</v>
      </c>
      <c r="C176" s="41" t="s">
        <v>1533</v>
      </c>
      <c r="D176" s="41" t="s">
        <v>361</v>
      </c>
      <c r="E176" s="200" t="s">
        <v>785</v>
      </c>
      <c r="F176" s="200" t="s">
        <v>4044</v>
      </c>
      <c r="G176" s="245" t="s">
        <v>3007</v>
      </c>
      <c r="H176" s="42" t="s">
        <v>1522</v>
      </c>
      <c r="I176" s="248" t="s">
        <v>3013</v>
      </c>
      <c r="J176" s="233" t="s">
        <v>3885</v>
      </c>
      <c r="K176" s="162" t="s">
        <v>4534</v>
      </c>
      <c r="L176" s="241"/>
      <c r="M176" s="241"/>
      <c r="N176" s="161"/>
      <c r="O176" s="139" t="s">
        <v>359</v>
      </c>
      <c r="P176" s="40" t="s">
        <v>360</v>
      </c>
      <c r="Q176" s="229" t="s">
        <v>3222</v>
      </c>
      <c r="R176" s="201" t="s">
        <v>2921</v>
      </c>
      <c r="S176" s="141" t="s">
        <v>362</v>
      </c>
      <c r="T176" s="243"/>
    </row>
    <row r="177" spans="1:20" ht="58" customHeight="1">
      <c r="A177" s="231" t="s">
        <v>2435</v>
      </c>
      <c r="B177" s="42" t="s">
        <v>6</v>
      </c>
      <c r="C177" s="41" t="s">
        <v>1533</v>
      </c>
      <c r="D177" s="41" t="s">
        <v>4208</v>
      </c>
      <c r="E177" s="200" t="s">
        <v>786</v>
      </c>
      <c r="F177" s="200" t="s">
        <v>4045</v>
      </c>
      <c r="G177" s="245" t="s">
        <v>3006</v>
      </c>
      <c r="H177" s="42" t="s">
        <v>1522</v>
      </c>
      <c r="I177" s="248" t="s">
        <v>4090</v>
      </c>
      <c r="J177" s="233" t="s">
        <v>3886</v>
      </c>
      <c r="K177" s="162" t="s">
        <v>4209</v>
      </c>
      <c r="L177" s="241" t="s">
        <v>4432</v>
      </c>
      <c r="M177" s="241" t="s">
        <v>4433</v>
      </c>
      <c r="N177" s="161" t="s">
        <v>4256</v>
      </c>
      <c r="O177" s="139" t="s">
        <v>359</v>
      </c>
      <c r="P177" s="40" t="s">
        <v>4207</v>
      </c>
      <c r="Q177" s="229" t="s">
        <v>3222</v>
      </c>
      <c r="R177" s="201" t="s">
        <v>2920</v>
      </c>
      <c r="S177" s="141" t="s">
        <v>362</v>
      </c>
      <c r="T177" s="243"/>
    </row>
    <row r="178" spans="1:20" ht="58" customHeight="1">
      <c r="A178" s="231" t="s">
        <v>2435</v>
      </c>
      <c r="B178" s="42" t="s">
        <v>6</v>
      </c>
      <c r="C178" s="41" t="s">
        <v>1533</v>
      </c>
      <c r="D178" s="41" t="s">
        <v>4210</v>
      </c>
      <c r="E178" s="200" t="s">
        <v>786</v>
      </c>
      <c r="F178" s="200" t="s">
        <v>4045</v>
      </c>
      <c r="G178" s="245" t="s">
        <v>3006</v>
      </c>
      <c r="H178" s="42" t="s">
        <v>1522</v>
      </c>
      <c r="I178" s="248" t="s">
        <v>4090</v>
      </c>
      <c r="J178" s="233" t="s">
        <v>3886</v>
      </c>
      <c r="K178" s="162" t="s">
        <v>4212</v>
      </c>
      <c r="L178" s="241" t="s">
        <v>4434</v>
      </c>
      <c r="M178" s="241" t="s">
        <v>4435</v>
      </c>
      <c r="N178" s="161" t="s">
        <v>4256</v>
      </c>
      <c r="O178" s="139" t="s">
        <v>359</v>
      </c>
      <c r="P178" s="40" t="s">
        <v>4211</v>
      </c>
      <c r="Q178" s="229" t="s">
        <v>3222</v>
      </c>
      <c r="R178" s="201" t="s">
        <v>2920</v>
      </c>
      <c r="S178" s="141" t="s">
        <v>362</v>
      </c>
      <c r="T178" s="243"/>
    </row>
    <row r="179" spans="1:20" ht="58" customHeight="1">
      <c r="A179" s="231" t="s">
        <v>2435</v>
      </c>
      <c r="B179" s="42" t="s">
        <v>6</v>
      </c>
      <c r="C179" s="41" t="s">
        <v>1533</v>
      </c>
      <c r="D179" s="41" t="s">
        <v>4214</v>
      </c>
      <c r="E179" s="200" t="s">
        <v>787</v>
      </c>
      <c r="F179" s="200" t="s">
        <v>365</v>
      </c>
      <c r="G179" s="245" t="s">
        <v>3006</v>
      </c>
      <c r="H179" s="42" t="s">
        <v>1522</v>
      </c>
      <c r="I179" s="248" t="s">
        <v>4090</v>
      </c>
      <c r="J179" s="233" t="s">
        <v>3887</v>
      </c>
      <c r="K179" s="162" t="s">
        <v>4215</v>
      </c>
      <c r="L179" s="241" t="s">
        <v>4436</v>
      </c>
      <c r="M179" s="241" t="s">
        <v>4437</v>
      </c>
      <c r="N179" s="161" t="s">
        <v>4256</v>
      </c>
      <c r="O179" s="139" t="s">
        <v>359</v>
      </c>
      <c r="P179" s="40" t="s">
        <v>4213</v>
      </c>
      <c r="Q179" s="229" t="s">
        <v>3222</v>
      </c>
      <c r="R179" s="201" t="s">
        <v>2920</v>
      </c>
      <c r="S179" s="141" t="s">
        <v>362</v>
      </c>
      <c r="T179" s="243"/>
    </row>
    <row r="180" spans="1:20" ht="58" customHeight="1">
      <c r="A180" s="231" t="s">
        <v>2435</v>
      </c>
      <c r="B180" s="42" t="s">
        <v>6</v>
      </c>
      <c r="C180" s="41" t="s">
        <v>1533</v>
      </c>
      <c r="D180" s="41" t="s">
        <v>4216</v>
      </c>
      <c r="E180" s="200" t="s">
        <v>787</v>
      </c>
      <c r="F180" s="200" t="s">
        <v>365</v>
      </c>
      <c r="G180" s="245" t="s">
        <v>3006</v>
      </c>
      <c r="H180" s="42" t="s">
        <v>1522</v>
      </c>
      <c r="I180" s="248" t="s">
        <v>4090</v>
      </c>
      <c r="J180" s="233" t="s">
        <v>3887</v>
      </c>
      <c r="K180" s="162" t="s">
        <v>4218</v>
      </c>
      <c r="L180" s="241" t="s">
        <v>4438</v>
      </c>
      <c r="M180" s="241" t="s">
        <v>4439</v>
      </c>
      <c r="N180" s="161" t="s">
        <v>4256</v>
      </c>
      <c r="O180" s="139" t="s">
        <v>359</v>
      </c>
      <c r="P180" s="40" t="s">
        <v>4217</v>
      </c>
      <c r="Q180" s="229" t="s">
        <v>3222</v>
      </c>
      <c r="R180" s="201" t="s">
        <v>2920</v>
      </c>
      <c r="S180" s="141" t="s">
        <v>362</v>
      </c>
      <c r="T180" s="243"/>
    </row>
    <row r="181" spans="1:20" ht="58" customHeight="1">
      <c r="A181" s="231" t="s">
        <v>2435</v>
      </c>
      <c r="B181" s="42" t="s">
        <v>6</v>
      </c>
      <c r="C181" s="41" t="s">
        <v>1533</v>
      </c>
      <c r="D181" s="41" t="s">
        <v>4169</v>
      </c>
      <c r="E181" s="200" t="s">
        <v>789</v>
      </c>
      <c r="F181" s="200" t="s">
        <v>4046</v>
      </c>
      <c r="G181" s="245" t="s">
        <v>3006</v>
      </c>
      <c r="H181" s="42" t="s">
        <v>1522</v>
      </c>
      <c r="I181" s="248" t="s">
        <v>3013</v>
      </c>
      <c r="J181" s="233" t="s">
        <v>3888</v>
      </c>
      <c r="K181" s="162" t="s">
        <v>4170</v>
      </c>
      <c r="L181" s="241" t="s">
        <v>4414</v>
      </c>
      <c r="M181" s="241" t="s">
        <v>4415</v>
      </c>
      <c r="N181" s="161" t="s">
        <v>4255</v>
      </c>
      <c r="O181" s="139" t="s">
        <v>368</v>
      </c>
      <c r="P181" s="40" t="s">
        <v>4168</v>
      </c>
      <c r="Q181" s="229" t="s">
        <v>3222</v>
      </c>
      <c r="R181" s="201" t="s">
        <v>2920</v>
      </c>
      <c r="S181" s="141" t="s">
        <v>370</v>
      </c>
      <c r="T181" s="243"/>
    </row>
    <row r="182" spans="1:20" ht="58" customHeight="1">
      <c r="A182" s="231" t="s">
        <v>2435</v>
      </c>
      <c r="B182" s="42" t="s">
        <v>6</v>
      </c>
      <c r="C182" s="41" t="s">
        <v>1533</v>
      </c>
      <c r="D182" s="41" t="s">
        <v>4171</v>
      </c>
      <c r="E182" s="200" t="s">
        <v>789</v>
      </c>
      <c r="F182" s="200" t="s">
        <v>4046</v>
      </c>
      <c r="G182" s="245" t="s">
        <v>3006</v>
      </c>
      <c r="H182" s="42" t="s">
        <v>1522</v>
      </c>
      <c r="I182" s="248" t="s">
        <v>3013</v>
      </c>
      <c r="J182" s="233" t="s">
        <v>3888</v>
      </c>
      <c r="K182" s="162" t="s">
        <v>4173</v>
      </c>
      <c r="L182" s="241" t="s">
        <v>4440</v>
      </c>
      <c r="M182" s="241" t="s">
        <v>4441</v>
      </c>
      <c r="N182" s="161" t="s">
        <v>4256</v>
      </c>
      <c r="O182" s="139" t="s">
        <v>368</v>
      </c>
      <c r="P182" s="40" t="s">
        <v>4172</v>
      </c>
      <c r="Q182" s="229" t="s">
        <v>3222</v>
      </c>
      <c r="R182" s="201" t="s">
        <v>2920</v>
      </c>
      <c r="S182" s="141" t="s">
        <v>370</v>
      </c>
      <c r="T182" s="243"/>
    </row>
    <row r="183" spans="1:20" ht="58" customHeight="1">
      <c r="A183" s="231" t="s">
        <v>2435</v>
      </c>
      <c r="B183" s="42" t="s">
        <v>6</v>
      </c>
      <c r="C183" s="41" t="s">
        <v>1533</v>
      </c>
      <c r="D183" s="41" t="s">
        <v>372</v>
      </c>
      <c r="E183" s="200" t="s">
        <v>790</v>
      </c>
      <c r="F183" s="200" t="s">
        <v>4047</v>
      </c>
      <c r="G183" s="245" t="s">
        <v>3007</v>
      </c>
      <c r="H183" s="42" t="s">
        <v>1522</v>
      </c>
      <c r="I183" s="248" t="s">
        <v>3013</v>
      </c>
      <c r="J183" s="233" t="s">
        <v>3889</v>
      </c>
      <c r="K183" s="162" t="s">
        <v>4511</v>
      </c>
      <c r="L183" s="241" t="s">
        <v>4512</v>
      </c>
      <c r="M183" s="241" t="s">
        <v>4513</v>
      </c>
      <c r="N183" s="161" t="s">
        <v>4257</v>
      </c>
      <c r="O183" s="139" t="s">
        <v>368</v>
      </c>
      <c r="P183" s="40" t="s">
        <v>371</v>
      </c>
      <c r="Q183" s="229" t="s">
        <v>3222</v>
      </c>
      <c r="R183" s="201" t="s">
        <v>2921</v>
      </c>
      <c r="S183" s="141" t="s">
        <v>370</v>
      </c>
      <c r="T183" s="243"/>
    </row>
    <row r="184" spans="1:20" ht="58" customHeight="1">
      <c r="A184" s="231" t="s">
        <v>2435</v>
      </c>
      <c r="B184" s="42" t="s">
        <v>6</v>
      </c>
      <c r="C184" s="41" t="s">
        <v>1533</v>
      </c>
      <c r="D184" s="41" t="s">
        <v>367</v>
      </c>
      <c r="E184" s="200" t="s">
        <v>788</v>
      </c>
      <c r="F184" s="200" t="s">
        <v>4613</v>
      </c>
      <c r="G184" s="245" t="s">
        <v>4614</v>
      </c>
      <c r="H184" s="42" t="s">
        <v>3</v>
      </c>
      <c r="I184" s="248" t="s">
        <v>3015</v>
      </c>
      <c r="J184" s="233" t="s">
        <v>3890</v>
      </c>
      <c r="K184" s="162" t="s">
        <v>958</v>
      </c>
      <c r="L184" s="241"/>
      <c r="M184" s="241"/>
      <c r="N184" s="161"/>
      <c r="O184" s="139" t="s">
        <v>359</v>
      </c>
      <c r="P184" s="40" t="s">
        <v>366</v>
      </c>
      <c r="Q184" s="229" t="s">
        <v>3222</v>
      </c>
      <c r="R184" s="201" t="s">
        <v>2921</v>
      </c>
      <c r="S184" s="141" t="s">
        <v>362</v>
      </c>
      <c r="T184" s="243" t="s">
        <v>4615</v>
      </c>
    </row>
    <row r="185" spans="1:20" ht="58" customHeight="1">
      <c r="A185" s="231" t="s">
        <v>2435</v>
      </c>
      <c r="B185" s="42" t="s">
        <v>6</v>
      </c>
      <c r="C185" s="41" t="s">
        <v>1533</v>
      </c>
      <c r="D185" s="41" t="s">
        <v>374</v>
      </c>
      <c r="E185" s="200" t="s">
        <v>2946</v>
      </c>
      <c r="F185" s="200" t="s">
        <v>4048</v>
      </c>
      <c r="G185" s="245" t="s">
        <v>3007</v>
      </c>
      <c r="H185" s="42" t="s">
        <v>1522</v>
      </c>
      <c r="I185" s="248" t="s">
        <v>3013</v>
      </c>
      <c r="J185" s="233" t="s">
        <v>3891</v>
      </c>
      <c r="K185" s="162" t="s">
        <v>4516</v>
      </c>
      <c r="L185" s="241" t="s">
        <v>4518</v>
      </c>
      <c r="M185" s="241"/>
      <c r="N185" s="161" t="s">
        <v>4256</v>
      </c>
      <c r="O185" s="139" t="s">
        <v>368</v>
      </c>
      <c r="P185" s="40" t="s">
        <v>373</v>
      </c>
      <c r="Q185" s="229" t="s">
        <v>3222</v>
      </c>
      <c r="R185" s="201" t="s">
        <v>2921</v>
      </c>
      <c r="S185" s="141" t="s">
        <v>370</v>
      </c>
      <c r="T185" s="243"/>
    </row>
    <row r="186" spans="1:20" ht="58" customHeight="1">
      <c r="A186" s="231" t="s">
        <v>2435</v>
      </c>
      <c r="B186" s="42" t="s">
        <v>6</v>
      </c>
      <c r="C186" s="41" t="s">
        <v>1535</v>
      </c>
      <c r="D186" s="41" t="s">
        <v>401</v>
      </c>
      <c r="E186" s="200" t="s">
        <v>3770</v>
      </c>
      <c r="F186" s="200" t="s">
        <v>4049</v>
      </c>
      <c r="G186" s="245" t="s">
        <v>4550</v>
      </c>
      <c r="H186" s="42" t="s">
        <v>3</v>
      </c>
      <c r="I186" s="248" t="s">
        <v>1539</v>
      </c>
      <c r="J186" s="233" t="s">
        <v>3220</v>
      </c>
      <c r="K186" s="162"/>
      <c r="L186" s="241"/>
      <c r="M186" s="241"/>
      <c r="N186" s="161"/>
      <c r="O186" s="139" t="s">
        <v>399</v>
      </c>
      <c r="P186" s="40" t="s">
        <v>400</v>
      </c>
      <c r="Q186" s="229" t="s">
        <v>3222</v>
      </c>
      <c r="R186" s="201" t="s">
        <v>2966</v>
      </c>
      <c r="S186" s="141" t="s">
        <v>402</v>
      </c>
      <c r="T186" s="243"/>
    </row>
    <row r="187" spans="1:20" ht="58" customHeight="1">
      <c r="A187" s="231" t="s">
        <v>2435</v>
      </c>
      <c r="B187" s="42" t="s">
        <v>6</v>
      </c>
      <c r="C187" s="41" t="s">
        <v>1535</v>
      </c>
      <c r="D187" s="41" t="s">
        <v>404</v>
      </c>
      <c r="E187" s="200" t="s">
        <v>3771</v>
      </c>
      <c r="F187" s="200" t="s">
        <v>3311</v>
      </c>
      <c r="G187" s="245" t="s">
        <v>4551</v>
      </c>
      <c r="H187" s="42" t="s">
        <v>3</v>
      </c>
      <c r="I187" s="248" t="s">
        <v>3015</v>
      </c>
      <c r="J187" s="233" t="s">
        <v>3220</v>
      </c>
      <c r="K187" s="162"/>
      <c r="L187" s="241"/>
      <c r="M187" s="241"/>
      <c r="N187" s="161"/>
      <c r="O187" s="139" t="s">
        <v>399</v>
      </c>
      <c r="P187" s="40" t="s">
        <v>403</v>
      </c>
      <c r="Q187" s="229" t="s">
        <v>3222</v>
      </c>
      <c r="R187" s="201" t="s">
        <v>2965</v>
      </c>
      <c r="S187" s="141" t="s">
        <v>402</v>
      </c>
      <c r="T187" s="243"/>
    </row>
    <row r="188" spans="1:20" ht="58" customHeight="1">
      <c r="A188" s="231" t="s">
        <v>2435</v>
      </c>
      <c r="B188" s="42" t="s">
        <v>6</v>
      </c>
      <c r="C188" s="41" t="s">
        <v>1535</v>
      </c>
      <c r="D188" s="41" t="s">
        <v>406</v>
      </c>
      <c r="E188" s="200" t="s">
        <v>796</v>
      </c>
      <c r="F188" s="200" t="s">
        <v>3286</v>
      </c>
      <c r="G188" s="245" t="s">
        <v>3287</v>
      </c>
      <c r="H188" s="42" t="s">
        <v>2</v>
      </c>
      <c r="I188" s="248" t="s">
        <v>3011</v>
      </c>
      <c r="J188" s="233" t="s">
        <v>3220</v>
      </c>
      <c r="K188" s="162"/>
      <c r="L188" s="241"/>
      <c r="M188" s="241"/>
      <c r="N188" s="161"/>
      <c r="O188" s="139" t="s">
        <v>399</v>
      </c>
      <c r="P188" s="40" t="s">
        <v>405</v>
      </c>
      <c r="Q188" s="229" t="s">
        <v>3222</v>
      </c>
      <c r="R188" s="201" t="s">
        <v>446</v>
      </c>
      <c r="S188" s="141" t="s">
        <v>402</v>
      </c>
      <c r="T188" s="243"/>
    </row>
    <row r="189" spans="1:20" ht="58" customHeight="1">
      <c r="A189" s="231" t="s">
        <v>2435</v>
      </c>
      <c r="B189" s="42" t="s">
        <v>6</v>
      </c>
      <c r="C189" s="41" t="s">
        <v>1535</v>
      </c>
      <c r="D189" s="41" t="s">
        <v>408</v>
      </c>
      <c r="E189" s="200" t="s">
        <v>3772</v>
      </c>
      <c r="F189" s="200" t="s">
        <v>4063</v>
      </c>
      <c r="G189" s="245" t="s">
        <v>3288</v>
      </c>
      <c r="H189" s="42" t="s">
        <v>958</v>
      </c>
      <c r="I189" s="248" t="s">
        <v>3012</v>
      </c>
      <c r="J189" s="233" t="s">
        <v>3220</v>
      </c>
      <c r="K189" s="162"/>
      <c r="L189" s="241"/>
      <c r="M189" s="241"/>
      <c r="N189" s="161"/>
      <c r="O189" s="139" t="s">
        <v>399</v>
      </c>
      <c r="P189" s="40" t="s">
        <v>407</v>
      </c>
      <c r="Q189" s="229" t="s">
        <v>3222</v>
      </c>
      <c r="R189" s="201" t="s">
        <v>2967</v>
      </c>
      <c r="S189" s="141" t="s">
        <v>402</v>
      </c>
      <c r="T189" s="243"/>
    </row>
    <row r="190" spans="1:20" ht="58" customHeight="1">
      <c r="A190" s="231" t="s">
        <v>2435</v>
      </c>
      <c r="B190" s="42" t="s">
        <v>6</v>
      </c>
      <c r="C190" s="41" t="s">
        <v>1535</v>
      </c>
      <c r="D190" s="41" t="s">
        <v>410</v>
      </c>
      <c r="E190" s="200" t="s">
        <v>3773</v>
      </c>
      <c r="F190" s="200" t="s">
        <v>3312</v>
      </c>
      <c r="G190" s="245" t="s">
        <v>4552</v>
      </c>
      <c r="H190" s="42" t="s">
        <v>3</v>
      </c>
      <c r="I190" s="248" t="s">
        <v>3015</v>
      </c>
      <c r="J190" s="233" t="s">
        <v>3220</v>
      </c>
      <c r="K190" s="162"/>
      <c r="L190" s="241"/>
      <c r="M190" s="241"/>
      <c r="N190" s="161"/>
      <c r="O190" s="139" t="s">
        <v>399</v>
      </c>
      <c r="P190" s="40" t="s">
        <v>409</v>
      </c>
      <c r="Q190" s="229" t="s">
        <v>3222</v>
      </c>
      <c r="R190" s="201" t="s">
        <v>2968</v>
      </c>
      <c r="S190" s="141" t="s">
        <v>402</v>
      </c>
      <c r="T190" s="243"/>
    </row>
    <row r="191" spans="1:20" ht="58" customHeight="1">
      <c r="A191" s="231" t="s">
        <v>2435</v>
      </c>
      <c r="B191" s="42" t="s">
        <v>6</v>
      </c>
      <c r="C191" s="41" t="s">
        <v>1535</v>
      </c>
      <c r="D191" s="41" t="s">
        <v>412</v>
      </c>
      <c r="E191" s="200" t="s">
        <v>3774</v>
      </c>
      <c r="F191" s="200" t="s">
        <v>3313</v>
      </c>
      <c r="G191" s="245" t="s">
        <v>3314</v>
      </c>
      <c r="H191" s="42" t="s">
        <v>3</v>
      </c>
      <c r="I191" s="248" t="s">
        <v>3015</v>
      </c>
      <c r="J191" s="233" t="s">
        <v>3220</v>
      </c>
      <c r="K191" s="162"/>
      <c r="L191" s="241"/>
      <c r="M191" s="241"/>
      <c r="N191" s="161"/>
      <c r="O191" s="139" t="s">
        <v>399</v>
      </c>
      <c r="P191" s="40" t="s">
        <v>411</v>
      </c>
      <c r="Q191" s="229" t="s">
        <v>3222</v>
      </c>
      <c r="R191" s="201" t="s">
        <v>2969</v>
      </c>
      <c r="S191" s="141" t="s">
        <v>402</v>
      </c>
      <c r="T191" s="243"/>
    </row>
    <row r="192" spans="1:20" ht="58" customHeight="1">
      <c r="A192" s="231" t="s">
        <v>2435</v>
      </c>
      <c r="B192" s="42" t="s">
        <v>6</v>
      </c>
      <c r="C192" s="41" t="s">
        <v>1535</v>
      </c>
      <c r="D192" s="41" t="s">
        <v>414</v>
      </c>
      <c r="E192" s="200" t="s">
        <v>3775</v>
      </c>
      <c r="F192" s="200" t="s">
        <v>3289</v>
      </c>
      <c r="G192" s="245" t="s">
        <v>4553</v>
      </c>
      <c r="H192" s="42" t="s">
        <v>2</v>
      </c>
      <c r="I192" s="248" t="s">
        <v>3011</v>
      </c>
      <c r="J192" s="233" t="s">
        <v>3220</v>
      </c>
      <c r="K192" s="162"/>
      <c r="L192" s="241"/>
      <c r="M192" s="241"/>
      <c r="N192" s="161"/>
      <c r="O192" s="139" t="s">
        <v>399</v>
      </c>
      <c r="P192" s="40" t="s">
        <v>413</v>
      </c>
      <c r="Q192" s="229" t="s">
        <v>3222</v>
      </c>
      <c r="R192" s="201" t="s">
        <v>2970</v>
      </c>
      <c r="S192" s="141" t="s">
        <v>402</v>
      </c>
      <c r="T192" s="243"/>
    </row>
    <row r="193" spans="1:20" ht="58" customHeight="1">
      <c r="A193" s="231" t="s">
        <v>2435</v>
      </c>
      <c r="B193" s="42" t="s">
        <v>6</v>
      </c>
      <c r="C193" s="41" t="s">
        <v>1535</v>
      </c>
      <c r="D193" s="41" t="s">
        <v>416</v>
      </c>
      <c r="E193" s="200" t="s">
        <v>3776</v>
      </c>
      <c r="F193" s="200" t="s">
        <v>417</v>
      </c>
      <c r="G193" s="245" t="s">
        <v>3003</v>
      </c>
      <c r="H193" s="42" t="s">
        <v>2</v>
      </c>
      <c r="I193" s="248" t="s">
        <v>3011</v>
      </c>
      <c r="J193" s="233" t="s">
        <v>3220</v>
      </c>
      <c r="K193" s="162"/>
      <c r="L193" s="241"/>
      <c r="M193" s="241"/>
      <c r="N193" s="161"/>
      <c r="O193" s="139" t="s">
        <v>399</v>
      </c>
      <c r="P193" s="40" t="s">
        <v>415</v>
      </c>
      <c r="Q193" s="229" t="s">
        <v>3222</v>
      </c>
      <c r="R193" s="201" t="s">
        <v>2971</v>
      </c>
      <c r="S193" s="141" t="s">
        <v>402</v>
      </c>
      <c r="T193" s="243"/>
    </row>
    <row r="194" spans="1:20" ht="58" customHeight="1">
      <c r="A194" s="231" t="s">
        <v>2435</v>
      </c>
      <c r="B194" s="42" t="s">
        <v>6</v>
      </c>
      <c r="C194" s="41" t="s">
        <v>1535</v>
      </c>
      <c r="D194" s="41" t="s">
        <v>419</v>
      </c>
      <c r="E194" s="200" t="s">
        <v>3777</v>
      </c>
      <c r="F194" s="200" t="s">
        <v>420</v>
      </c>
      <c r="G194" s="245" t="s">
        <v>3003</v>
      </c>
      <c r="H194" s="42" t="s">
        <v>2</v>
      </c>
      <c r="I194" s="248" t="s">
        <v>3011</v>
      </c>
      <c r="J194" s="233" t="s">
        <v>3220</v>
      </c>
      <c r="K194" s="162"/>
      <c r="L194" s="241"/>
      <c r="M194" s="241"/>
      <c r="N194" s="161"/>
      <c r="O194" s="139" t="s">
        <v>399</v>
      </c>
      <c r="P194" s="40" t="s">
        <v>418</v>
      </c>
      <c r="Q194" s="229" t="s">
        <v>3222</v>
      </c>
      <c r="R194" s="201" t="s">
        <v>2971</v>
      </c>
      <c r="S194" s="141" t="s">
        <v>402</v>
      </c>
      <c r="T194" s="243"/>
    </row>
    <row r="195" spans="1:20" ht="58" customHeight="1">
      <c r="A195" s="231" t="s">
        <v>2435</v>
      </c>
      <c r="B195" s="42" t="s">
        <v>6</v>
      </c>
      <c r="C195" s="41" t="s">
        <v>1535</v>
      </c>
      <c r="D195" s="41" t="s">
        <v>422</v>
      </c>
      <c r="E195" s="200" t="s">
        <v>3778</v>
      </c>
      <c r="F195" s="200" t="s">
        <v>4050</v>
      </c>
      <c r="G195" s="245" t="s">
        <v>4554</v>
      </c>
      <c r="H195" s="42" t="s">
        <v>3</v>
      </c>
      <c r="I195" s="248" t="s">
        <v>3015</v>
      </c>
      <c r="J195" s="233" t="s">
        <v>3220</v>
      </c>
      <c r="K195" s="162"/>
      <c r="L195" s="241"/>
      <c r="M195" s="241"/>
      <c r="N195" s="161"/>
      <c r="O195" s="139" t="s">
        <v>399</v>
      </c>
      <c r="P195" s="40" t="s">
        <v>421</v>
      </c>
      <c r="Q195" s="229" t="s">
        <v>3222</v>
      </c>
      <c r="R195" s="201" t="s">
        <v>2967</v>
      </c>
      <c r="S195" s="141" t="s">
        <v>402</v>
      </c>
      <c r="T195" s="243"/>
    </row>
    <row r="196" spans="1:20" ht="58" customHeight="1">
      <c r="A196" s="231" t="s">
        <v>2435</v>
      </c>
      <c r="B196" s="42" t="s">
        <v>6</v>
      </c>
      <c r="C196" s="41" t="s">
        <v>1535</v>
      </c>
      <c r="D196" s="41" t="s">
        <v>424</v>
      </c>
      <c r="E196" s="200" t="s">
        <v>3779</v>
      </c>
      <c r="F196" s="200" t="s">
        <v>3290</v>
      </c>
      <c r="G196" s="245" t="s">
        <v>3291</v>
      </c>
      <c r="H196" s="42" t="s">
        <v>3</v>
      </c>
      <c r="I196" s="248" t="s">
        <v>3015</v>
      </c>
      <c r="J196" s="233" t="s">
        <v>3220</v>
      </c>
      <c r="K196" s="162"/>
      <c r="L196" s="241"/>
      <c r="M196" s="241"/>
      <c r="N196" s="161"/>
      <c r="O196" s="139" t="s">
        <v>399</v>
      </c>
      <c r="P196" s="40" t="s">
        <v>423</v>
      </c>
      <c r="Q196" s="229" t="s">
        <v>3222</v>
      </c>
      <c r="R196" s="201" t="s">
        <v>2967</v>
      </c>
      <c r="S196" s="141" t="s">
        <v>402</v>
      </c>
      <c r="T196" s="243"/>
    </row>
    <row r="197" spans="1:20" ht="58" customHeight="1">
      <c r="A197" s="231" t="s">
        <v>2435</v>
      </c>
      <c r="B197" s="42" t="s">
        <v>6</v>
      </c>
      <c r="C197" s="41" t="s">
        <v>1536</v>
      </c>
      <c r="D197" s="41" t="s">
        <v>427</v>
      </c>
      <c r="E197" s="200" t="s">
        <v>797</v>
      </c>
      <c r="F197" s="200" t="s">
        <v>4051</v>
      </c>
      <c r="G197" s="245" t="s">
        <v>3004</v>
      </c>
      <c r="H197" s="42" t="s">
        <v>958</v>
      </c>
      <c r="I197" s="248" t="s">
        <v>3012</v>
      </c>
      <c r="J197" s="233" t="s">
        <v>3220</v>
      </c>
      <c r="K197" s="162"/>
      <c r="L197" s="241"/>
      <c r="M197" s="241"/>
      <c r="N197" s="161"/>
      <c r="O197" s="139" t="s">
        <v>425</v>
      </c>
      <c r="P197" s="40" t="s">
        <v>426</v>
      </c>
      <c r="Q197" s="229" t="s">
        <v>3222</v>
      </c>
      <c r="R197" s="201" t="s">
        <v>2972</v>
      </c>
      <c r="S197" s="141" t="s">
        <v>428</v>
      </c>
      <c r="T197" s="243"/>
    </row>
    <row r="198" spans="1:20" ht="58" customHeight="1">
      <c r="A198" s="231" t="s">
        <v>2435</v>
      </c>
      <c r="B198" s="42" t="s">
        <v>6</v>
      </c>
      <c r="C198" s="41" t="s">
        <v>1536</v>
      </c>
      <c r="D198" s="41" t="s">
        <v>430</v>
      </c>
      <c r="E198" s="200" t="s">
        <v>4070</v>
      </c>
      <c r="F198" s="200" t="s">
        <v>4071</v>
      </c>
      <c r="G198" s="245" t="s">
        <v>4072</v>
      </c>
      <c r="H198" s="42" t="s">
        <v>1522</v>
      </c>
      <c r="I198" s="248" t="s">
        <v>4477</v>
      </c>
      <c r="J198" s="233" t="s">
        <v>4073</v>
      </c>
      <c r="K198" s="162" t="s">
        <v>958</v>
      </c>
      <c r="L198" s="241"/>
      <c r="M198" s="241"/>
      <c r="N198" s="161"/>
      <c r="O198" s="139" t="s">
        <v>425</v>
      </c>
      <c r="P198" s="40" t="s">
        <v>429</v>
      </c>
      <c r="Q198" s="229" t="s">
        <v>3222</v>
      </c>
      <c r="R198" s="201" t="s">
        <v>4074</v>
      </c>
      <c r="S198" s="141" t="s">
        <v>428</v>
      </c>
      <c r="T198" s="243"/>
    </row>
    <row r="199" spans="1:20" ht="58" customHeight="1">
      <c r="A199" s="231" t="s">
        <v>2435</v>
      </c>
      <c r="B199" s="42" t="s">
        <v>6</v>
      </c>
      <c r="C199" s="41" t="s">
        <v>1536</v>
      </c>
      <c r="D199" s="41" t="s">
        <v>432</v>
      </c>
      <c r="E199" s="200" t="s">
        <v>798</v>
      </c>
      <c r="F199" s="200" t="s">
        <v>4052</v>
      </c>
      <c r="G199" s="245" t="s">
        <v>3003</v>
      </c>
      <c r="H199" s="42" t="s">
        <v>2</v>
      </c>
      <c r="I199" s="248" t="s">
        <v>3011</v>
      </c>
      <c r="J199" s="233" t="s">
        <v>3220</v>
      </c>
      <c r="K199" s="162"/>
      <c r="L199" s="241"/>
      <c r="M199" s="241"/>
      <c r="N199" s="161"/>
      <c r="O199" s="139" t="s">
        <v>425</v>
      </c>
      <c r="P199" s="40" t="s">
        <v>431</v>
      </c>
      <c r="Q199" s="229" t="s">
        <v>3222</v>
      </c>
      <c r="R199" s="201" t="s">
        <v>2945</v>
      </c>
      <c r="S199" s="141" t="s">
        <v>428</v>
      </c>
      <c r="T199" s="243"/>
    </row>
    <row r="200" spans="1:20" ht="58" customHeight="1">
      <c r="A200" s="231" t="s">
        <v>2435</v>
      </c>
      <c r="B200" s="42" t="s">
        <v>6</v>
      </c>
      <c r="C200" s="41" t="s">
        <v>1536</v>
      </c>
      <c r="D200" s="41" t="s">
        <v>434</v>
      </c>
      <c r="E200" s="200" t="s">
        <v>3780</v>
      </c>
      <c r="F200" s="200" t="s">
        <v>3315</v>
      </c>
      <c r="G200" s="245" t="s">
        <v>3316</v>
      </c>
      <c r="H200" s="42" t="s">
        <v>3</v>
      </c>
      <c r="I200" s="248" t="s">
        <v>3015</v>
      </c>
      <c r="J200" s="233" t="s">
        <v>3220</v>
      </c>
      <c r="K200" s="162"/>
      <c r="L200" s="241"/>
      <c r="M200" s="241"/>
      <c r="N200" s="161"/>
      <c r="O200" s="139" t="s">
        <v>425</v>
      </c>
      <c r="P200" s="40" t="s">
        <v>433</v>
      </c>
      <c r="Q200" s="229" t="s">
        <v>3222</v>
      </c>
      <c r="R200" s="201" t="s">
        <v>2973</v>
      </c>
      <c r="S200" s="141" t="s">
        <v>428</v>
      </c>
      <c r="T200" s="243"/>
    </row>
    <row r="201" spans="1:20" ht="58" customHeight="1">
      <c r="A201" s="231" t="s">
        <v>2435</v>
      </c>
      <c r="B201" s="42" t="s">
        <v>6</v>
      </c>
      <c r="C201" s="41" t="s">
        <v>1536</v>
      </c>
      <c r="D201" s="41" t="s">
        <v>436</v>
      </c>
      <c r="E201" s="200" t="s">
        <v>3781</v>
      </c>
      <c r="F201" s="200" t="s">
        <v>3292</v>
      </c>
      <c r="G201" s="245" t="s">
        <v>4555</v>
      </c>
      <c r="H201" s="42" t="s">
        <v>2</v>
      </c>
      <c r="I201" s="248" t="s">
        <v>3011</v>
      </c>
      <c r="J201" s="233" t="s">
        <v>3220</v>
      </c>
      <c r="K201" s="162"/>
      <c r="L201" s="241"/>
      <c r="M201" s="241"/>
      <c r="N201" s="161"/>
      <c r="O201" s="139" t="s">
        <v>425</v>
      </c>
      <c r="P201" s="40" t="s">
        <v>435</v>
      </c>
      <c r="Q201" s="229" t="s">
        <v>3222</v>
      </c>
      <c r="R201" s="201" t="s">
        <v>2974</v>
      </c>
      <c r="S201" s="141" t="s">
        <v>428</v>
      </c>
      <c r="T201" s="243"/>
    </row>
    <row r="202" spans="1:20" ht="58" customHeight="1">
      <c r="A202" s="231" t="s">
        <v>2435</v>
      </c>
      <c r="B202" s="42" t="s">
        <v>1541</v>
      </c>
      <c r="C202" s="41" t="s">
        <v>1520</v>
      </c>
      <c r="D202" s="41" t="s">
        <v>1515</v>
      </c>
      <c r="E202" s="200" t="s">
        <v>3783</v>
      </c>
      <c r="F202" s="200" t="s">
        <v>3324</v>
      </c>
      <c r="G202" s="245" t="s">
        <v>3325</v>
      </c>
      <c r="H202" s="42" t="s">
        <v>3</v>
      </c>
      <c r="I202" s="248" t="s">
        <v>3015</v>
      </c>
      <c r="J202" s="233" t="s">
        <v>3220</v>
      </c>
      <c r="K202" s="162" t="s">
        <v>958</v>
      </c>
      <c r="L202" s="241"/>
      <c r="M202" s="241"/>
      <c r="N202" s="161"/>
      <c r="O202" s="139" t="s">
        <v>1510</v>
      </c>
      <c r="P202" s="40" t="s">
        <v>1514</v>
      </c>
      <c r="Q202" s="229" t="s">
        <v>3223</v>
      </c>
      <c r="R202" s="201" t="s">
        <v>2994</v>
      </c>
      <c r="S202" s="141" t="s">
        <v>1466</v>
      </c>
      <c r="T202" s="243" t="s">
        <v>4608</v>
      </c>
    </row>
    <row r="203" spans="1:20" ht="58" customHeight="1">
      <c r="A203" s="231" t="s">
        <v>2435</v>
      </c>
      <c r="B203" s="42" t="s">
        <v>1541</v>
      </c>
      <c r="C203" s="41" t="s">
        <v>1523</v>
      </c>
      <c r="D203" s="41" t="s">
        <v>4478</v>
      </c>
      <c r="E203" s="200" t="s">
        <v>4479</v>
      </c>
      <c r="F203" s="200" t="s">
        <v>4480</v>
      </c>
      <c r="G203" s="245" t="s">
        <v>4481</v>
      </c>
      <c r="H203" s="42" t="s">
        <v>1522</v>
      </c>
      <c r="I203" s="248" t="s">
        <v>3013</v>
      </c>
      <c r="J203" s="233" t="s">
        <v>4482</v>
      </c>
      <c r="K203" s="162" t="s">
        <v>4483</v>
      </c>
      <c r="L203" s="241" t="s">
        <v>4484</v>
      </c>
      <c r="M203" s="241" t="s">
        <v>4485</v>
      </c>
      <c r="N203" s="161" t="s">
        <v>4255</v>
      </c>
      <c r="O203" s="139" t="s">
        <v>60</v>
      </c>
      <c r="P203" s="40" t="s">
        <v>4486</v>
      </c>
      <c r="Q203" s="229" t="s">
        <v>3223</v>
      </c>
      <c r="R203" s="201" t="s">
        <v>4487</v>
      </c>
      <c r="S203" s="141" t="s">
        <v>4488</v>
      </c>
      <c r="T203" s="243" t="s">
        <v>5224</v>
      </c>
    </row>
    <row r="204" spans="1:20" ht="58" customHeight="1">
      <c r="A204" s="231" t="s">
        <v>2435</v>
      </c>
      <c r="B204" s="42" t="s">
        <v>1541</v>
      </c>
      <c r="C204" s="41" t="s">
        <v>1524</v>
      </c>
      <c r="D204" s="41" t="s">
        <v>1496</v>
      </c>
      <c r="E204" s="200" t="s">
        <v>3792</v>
      </c>
      <c r="F204" s="200" t="s">
        <v>1497</v>
      </c>
      <c r="G204" s="245" t="s">
        <v>3007</v>
      </c>
      <c r="H204" s="42" t="s">
        <v>1522</v>
      </c>
      <c r="I204" s="248" t="s">
        <v>3013</v>
      </c>
      <c r="J204" s="233" t="s">
        <v>3892</v>
      </c>
      <c r="K204" s="162" t="s">
        <v>4534</v>
      </c>
      <c r="L204" s="241"/>
      <c r="M204" s="241"/>
      <c r="N204" s="161"/>
      <c r="O204" s="139" t="s">
        <v>1494</v>
      </c>
      <c r="P204" s="40" t="s">
        <v>1495</v>
      </c>
      <c r="Q204" s="229" t="s">
        <v>3223</v>
      </c>
      <c r="R204" s="201" t="s">
        <v>2990</v>
      </c>
      <c r="S204" s="141" t="s">
        <v>1466</v>
      </c>
      <c r="T204" s="243"/>
    </row>
    <row r="205" spans="1:20" ht="58" customHeight="1">
      <c r="A205" s="231" t="s">
        <v>2435</v>
      </c>
      <c r="B205" s="42" t="s">
        <v>1541</v>
      </c>
      <c r="C205" s="41" t="s">
        <v>1524</v>
      </c>
      <c r="D205" s="41" t="s">
        <v>1500</v>
      </c>
      <c r="E205" s="200" t="s">
        <v>3793</v>
      </c>
      <c r="F205" s="200" t="s">
        <v>1501</v>
      </c>
      <c r="G205" s="245" t="s">
        <v>3007</v>
      </c>
      <c r="H205" s="42" t="s">
        <v>1522</v>
      </c>
      <c r="I205" s="248" t="s">
        <v>3013</v>
      </c>
      <c r="J205" s="233" t="s">
        <v>3893</v>
      </c>
      <c r="K205" s="162" t="s">
        <v>4534</v>
      </c>
      <c r="L205" s="241"/>
      <c r="M205" s="241"/>
      <c r="N205" s="161"/>
      <c r="O205" s="139" t="s">
        <v>1498</v>
      </c>
      <c r="P205" s="40" t="s">
        <v>1499</v>
      </c>
      <c r="Q205" s="229" t="s">
        <v>3223</v>
      </c>
      <c r="R205" s="201" t="s">
        <v>2991</v>
      </c>
      <c r="S205" s="141" t="s">
        <v>1466</v>
      </c>
      <c r="T205" s="243"/>
    </row>
    <row r="206" spans="1:20" ht="58" customHeight="1">
      <c r="A206" s="231" t="s">
        <v>2435</v>
      </c>
      <c r="B206" s="42" t="s">
        <v>1541</v>
      </c>
      <c r="C206" s="41" t="s">
        <v>1525</v>
      </c>
      <c r="D206" s="41" t="s">
        <v>1465</v>
      </c>
      <c r="E206" s="200" t="s">
        <v>3788</v>
      </c>
      <c r="F206" s="200" t="s">
        <v>2999</v>
      </c>
      <c r="G206" s="245" t="s">
        <v>3007</v>
      </c>
      <c r="H206" s="42" t="s">
        <v>1522</v>
      </c>
      <c r="I206" s="248" t="s">
        <v>3013</v>
      </c>
      <c r="J206" s="233" t="s">
        <v>3894</v>
      </c>
      <c r="K206" s="162" t="s">
        <v>4534</v>
      </c>
      <c r="L206" s="241"/>
      <c r="M206" s="241"/>
      <c r="N206" s="161"/>
      <c r="O206" s="139" t="s">
        <v>1463</v>
      </c>
      <c r="P206" s="40" t="s">
        <v>1464</v>
      </c>
      <c r="Q206" s="229" t="s">
        <v>3223</v>
      </c>
      <c r="R206" s="201" t="s">
        <v>3000</v>
      </c>
      <c r="S206" s="141" t="s">
        <v>1466</v>
      </c>
      <c r="T206" s="243"/>
    </row>
    <row r="207" spans="1:20" ht="58" customHeight="1">
      <c r="A207" s="231" t="s">
        <v>2435</v>
      </c>
      <c r="B207" s="42" t="s">
        <v>1541</v>
      </c>
      <c r="C207" s="41" t="s">
        <v>1525</v>
      </c>
      <c r="D207" s="41" t="s">
        <v>1476</v>
      </c>
      <c r="E207" s="200" t="s">
        <v>1477</v>
      </c>
      <c r="F207" s="200" t="s">
        <v>1478</v>
      </c>
      <c r="G207" s="245" t="s">
        <v>3007</v>
      </c>
      <c r="H207" s="42" t="s">
        <v>1522</v>
      </c>
      <c r="I207" s="248" t="s">
        <v>3013</v>
      </c>
      <c r="J207" s="233" t="s">
        <v>3895</v>
      </c>
      <c r="K207" s="162" t="s">
        <v>4534</v>
      </c>
      <c r="L207" s="241"/>
      <c r="M207" s="241"/>
      <c r="N207" s="161"/>
      <c r="O207" s="139" t="s">
        <v>1474</v>
      </c>
      <c r="P207" s="40" t="s">
        <v>1475</v>
      </c>
      <c r="Q207" s="229" t="s">
        <v>3223</v>
      </c>
      <c r="R207" s="201" t="s">
        <v>2921</v>
      </c>
      <c r="S207" s="141" t="s">
        <v>1466</v>
      </c>
      <c r="T207" s="243"/>
    </row>
    <row r="208" spans="1:20" ht="58" customHeight="1">
      <c r="A208" s="231" t="s">
        <v>2435</v>
      </c>
      <c r="B208" s="42" t="s">
        <v>1541</v>
      </c>
      <c r="C208" s="41" t="s">
        <v>1525</v>
      </c>
      <c r="D208" s="41" t="s">
        <v>1480</v>
      </c>
      <c r="E208" s="200" t="s">
        <v>1481</v>
      </c>
      <c r="F208" s="200" t="s">
        <v>1482</v>
      </c>
      <c r="G208" s="245" t="s">
        <v>3007</v>
      </c>
      <c r="H208" s="42" t="s">
        <v>1522</v>
      </c>
      <c r="I208" s="248" t="s">
        <v>3013</v>
      </c>
      <c r="J208" s="233" t="s">
        <v>3896</v>
      </c>
      <c r="K208" s="162" t="s">
        <v>4534</v>
      </c>
      <c r="L208" s="241"/>
      <c r="M208" s="241"/>
      <c r="N208" s="161"/>
      <c r="O208" s="139" t="s">
        <v>1474</v>
      </c>
      <c r="P208" s="40" t="s">
        <v>1479</v>
      </c>
      <c r="Q208" s="229" t="s">
        <v>3223</v>
      </c>
      <c r="R208" s="201" t="s">
        <v>2921</v>
      </c>
      <c r="S208" s="141" t="s">
        <v>1466</v>
      </c>
      <c r="T208" s="243"/>
    </row>
    <row r="209" spans="1:20" ht="58" customHeight="1">
      <c r="A209" s="231" t="s">
        <v>2435</v>
      </c>
      <c r="B209" s="42" t="s">
        <v>1541</v>
      </c>
      <c r="C209" s="41" t="s">
        <v>1526</v>
      </c>
      <c r="D209" s="41" t="s">
        <v>1490</v>
      </c>
      <c r="E209" s="200" t="s">
        <v>3789</v>
      </c>
      <c r="F209" s="200" t="s">
        <v>4283</v>
      </c>
      <c r="G209" s="245" t="s">
        <v>4284</v>
      </c>
      <c r="H209" s="42" t="s">
        <v>1522</v>
      </c>
      <c r="I209" s="248" t="s">
        <v>3013</v>
      </c>
      <c r="J209" s="233" t="s">
        <v>3220</v>
      </c>
      <c r="K209" s="162" t="s">
        <v>4592</v>
      </c>
      <c r="L209" s="241" t="s">
        <v>4593</v>
      </c>
      <c r="M209" s="241"/>
      <c r="N209" s="161" t="s">
        <v>4256</v>
      </c>
      <c r="O209" s="139" t="s">
        <v>1488</v>
      </c>
      <c r="P209" s="40" t="s">
        <v>1489</v>
      </c>
      <c r="Q209" s="229" t="s">
        <v>3223</v>
      </c>
      <c r="R209" s="201" t="s">
        <v>2988</v>
      </c>
      <c r="S209" s="141" t="s">
        <v>1466</v>
      </c>
      <c r="T209" s="243"/>
    </row>
    <row r="210" spans="1:20" ht="58" customHeight="1">
      <c r="A210" s="231" t="s">
        <v>2435</v>
      </c>
      <c r="B210" s="42" t="s">
        <v>1541</v>
      </c>
      <c r="C210" s="41" t="s">
        <v>1526</v>
      </c>
      <c r="D210" s="41" t="s">
        <v>1469</v>
      </c>
      <c r="E210" s="200" t="s">
        <v>3790</v>
      </c>
      <c r="F210" s="200" t="s">
        <v>3266</v>
      </c>
      <c r="G210" s="245" t="s">
        <v>3267</v>
      </c>
      <c r="H210" s="42" t="s">
        <v>1522</v>
      </c>
      <c r="I210" s="248" t="s">
        <v>3013</v>
      </c>
      <c r="J210" s="233" t="s">
        <v>3920</v>
      </c>
      <c r="K210" s="162" t="s">
        <v>4514</v>
      </c>
      <c r="L210" s="241" t="s">
        <v>4515</v>
      </c>
      <c r="M210" s="241"/>
      <c r="N210" s="161" t="s">
        <v>4255</v>
      </c>
      <c r="O210" s="139" t="s">
        <v>1467</v>
      </c>
      <c r="P210" s="40" t="s">
        <v>1468</v>
      </c>
      <c r="Q210" s="229" t="s">
        <v>3223</v>
      </c>
      <c r="R210" s="201" t="s">
        <v>2986</v>
      </c>
      <c r="S210" s="141" t="s">
        <v>1466</v>
      </c>
      <c r="T210" s="243"/>
    </row>
    <row r="211" spans="1:20" ht="58" customHeight="1">
      <c r="A211" s="231" t="s">
        <v>2435</v>
      </c>
      <c r="B211" s="42" t="s">
        <v>1541</v>
      </c>
      <c r="C211" s="41" t="s">
        <v>1528</v>
      </c>
      <c r="D211" s="41" t="s">
        <v>2730</v>
      </c>
      <c r="E211" s="200" t="s">
        <v>3791</v>
      </c>
      <c r="F211" s="200" t="s">
        <v>2731</v>
      </c>
      <c r="G211" s="245" t="s">
        <v>3003</v>
      </c>
      <c r="H211" s="42" t="s">
        <v>2</v>
      </c>
      <c r="I211" s="248" t="s">
        <v>3011</v>
      </c>
      <c r="J211" s="233" t="s">
        <v>3905</v>
      </c>
      <c r="K211" s="162" t="s">
        <v>958</v>
      </c>
      <c r="L211" s="241"/>
      <c r="M211" s="241"/>
      <c r="N211" s="161"/>
      <c r="O211" s="139" t="s">
        <v>2732</v>
      </c>
      <c r="P211" s="40" t="s">
        <v>2733</v>
      </c>
      <c r="Q211" s="229" t="s">
        <v>3936</v>
      </c>
      <c r="R211" s="201" t="s">
        <v>2995</v>
      </c>
      <c r="S211" s="141" t="s">
        <v>2734</v>
      </c>
      <c r="T211" s="243" t="s">
        <v>3937</v>
      </c>
    </row>
    <row r="212" spans="1:20" ht="58" customHeight="1">
      <c r="A212" s="231" t="s">
        <v>2435</v>
      </c>
      <c r="B212" s="42" t="s">
        <v>1541</v>
      </c>
      <c r="C212" s="41" t="s">
        <v>1529</v>
      </c>
      <c r="D212" s="41" t="s">
        <v>1517</v>
      </c>
      <c r="E212" s="200" t="s">
        <v>3784</v>
      </c>
      <c r="F212" s="200" t="s">
        <v>3326</v>
      </c>
      <c r="G212" s="245" t="s">
        <v>3327</v>
      </c>
      <c r="H212" s="42" t="s">
        <v>3</v>
      </c>
      <c r="I212" s="248" t="s">
        <v>3015</v>
      </c>
      <c r="J212" s="233" t="s">
        <v>3220</v>
      </c>
      <c r="K212" s="162" t="s">
        <v>958</v>
      </c>
      <c r="L212" s="241"/>
      <c r="M212" s="241"/>
      <c r="N212" s="161"/>
      <c r="O212" s="139" t="s">
        <v>1510</v>
      </c>
      <c r="P212" s="40" t="s">
        <v>1516</v>
      </c>
      <c r="Q212" s="229" t="s">
        <v>3223</v>
      </c>
      <c r="R212" s="201" t="s">
        <v>2994</v>
      </c>
      <c r="S212" s="141" t="s">
        <v>1466</v>
      </c>
      <c r="T212" s="243" t="s">
        <v>4609</v>
      </c>
    </row>
    <row r="213" spans="1:20" ht="58" customHeight="1">
      <c r="A213" s="231" t="s">
        <v>2435</v>
      </c>
      <c r="B213" s="42" t="s">
        <v>1541</v>
      </c>
      <c r="C213" s="41" t="s">
        <v>1531</v>
      </c>
      <c r="D213" s="41" t="s">
        <v>3414</v>
      </c>
      <c r="E213" s="200" t="s">
        <v>3415</v>
      </c>
      <c r="F213" s="200" t="s">
        <v>3416</v>
      </c>
      <c r="G213" s="245" t="s">
        <v>3417</v>
      </c>
      <c r="H213" s="42" t="s">
        <v>1522</v>
      </c>
      <c r="I213" s="248" t="s">
        <v>3013</v>
      </c>
      <c r="J213" s="233" t="s">
        <v>3916</v>
      </c>
      <c r="K213" s="162" t="s">
        <v>4522</v>
      </c>
      <c r="L213" s="241" t="s">
        <v>4523</v>
      </c>
      <c r="M213" s="241"/>
      <c r="N213" s="161" t="s">
        <v>4255</v>
      </c>
      <c r="O213" s="139" t="s">
        <v>3418</v>
      </c>
      <c r="P213" s="40" t="s">
        <v>531</v>
      </c>
      <c r="Q213" s="229" t="s">
        <v>3223</v>
      </c>
      <c r="R213" s="201" t="s">
        <v>3419</v>
      </c>
      <c r="S213" s="141" t="s">
        <v>3420</v>
      </c>
      <c r="T213" s="243"/>
    </row>
    <row r="214" spans="1:20" ht="58" customHeight="1">
      <c r="A214" s="231" t="s">
        <v>2435</v>
      </c>
      <c r="B214" s="42" t="s">
        <v>1541</v>
      </c>
      <c r="C214" s="41" t="s">
        <v>1532</v>
      </c>
      <c r="D214" s="41" t="s">
        <v>1512</v>
      </c>
      <c r="E214" s="200" t="s">
        <v>3785</v>
      </c>
      <c r="F214" s="200" t="s">
        <v>1513</v>
      </c>
      <c r="G214" s="245" t="s">
        <v>3007</v>
      </c>
      <c r="H214" s="42" t="s">
        <v>1522</v>
      </c>
      <c r="I214" s="248" t="s">
        <v>3013</v>
      </c>
      <c r="J214" s="233" t="s">
        <v>3897</v>
      </c>
      <c r="K214" s="162" t="s">
        <v>4534</v>
      </c>
      <c r="L214" s="241"/>
      <c r="M214" s="241"/>
      <c r="N214" s="161"/>
      <c r="O214" s="139" t="s">
        <v>1510</v>
      </c>
      <c r="P214" s="40" t="s">
        <v>1511</v>
      </c>
      <c r="Q214" s="229" t="s">
        <v>3223</v>
      </c>
      <c r="R214" s="201" t="s">
        <v>2993</v>
      </c>
      <c r="S214" s="141" t="s">
        <v>1466</v>
      </c>
      <c r="T214" s="243"/>
    </row>
    <row r="215" spans="1:20" ht="58" customHeight="1">
      <c r="A215" s="231" t="s">
        <v>2435</v>
      </c>
      <c r="B215" s="42" t="s">
        <v>1541</v>
      </c>
      <c r="C215" s="41" t="s">
        <v>1532</v>
      </c>
      <c r="D215" s="41" t="s">
        <v>3245</v>
      </c>
      <c r="E215" s="200" t="s">
        <v>3246</v>
      </c>
      <c r="F215" s="200" t="s">
        <v>3247</v>
      </c>
      <c r="G215" s="245" t="s">
        <v>3248</v>
      </c>
      <c r="H215" s="42" t="s">
        <v>1522</v>
      </c>
      <c r="I215" s="248" t="s">
        <v>3013</v>
      </c>
      <c r="J215" s="233" t="s">
        <v>3898</v>
      </c>
      <c r="K215" s="162" t="s">
        <v>4491</v>
      </c>
      <c r="L215" s="241" t="s">
        <v>4492</v>
      </c>
      <c r="M215" s="241" t="s">
        <v>4493</v>
      </c>
      <c r="N215" s="161" t="s">
        <v>4256</v>
      </c>
      <c r="O215" s="139" t="s">
        <v>3249</v>
      </c>
      <c r="P215" s="40" t="s">
        <v>3250</v>
      </c>
      <c r="Q215" s="229" t="s">
        <v>3223</v>
      </c>
      <c r="R215" s="201" t="s">
        <v>3251</v>
      </c>
      <c r="S215" s="141" t="s">
        <v>3237</v>
      </c>
      <c r="T215" s="243"/>
    </row>
    <row r="216" spans="1:20" ht="58" customHeight="1">
      <c r="A216" s="231" t="s">
        <v>2435</v>
      </c>
      <c r="B216" s="42" t="s">
        <v>1541</v>
      </c>
      <c r="C216" s="41" t="s">
        <v>1532</v>
      </c>
      <c r="D216" s="41" t="s">
        <v>3258</v>
      </c>
      <c r="E216" s="200" t="s">
        <v>3259</v>
      </c>
      <c r="F216" s="200" t="s">
        <v>3260</v>
      </c>
      <c r="G216" s="245" t="s">
        <v>3261</v>
      </c>
      <c r="H216" s="42" t="s">
        <v>1522</v>
      </c>
      <c r="I216" s="248" t="s">
        <v>3013</v>
      </c>
      <c r="J216" s="233" t="s">
        <v>3899</v>
      </c>
      <c r="K216" s="162" t="s">
        <v>4505</v>
      </c>
      <c r="L216" s="241" t="s">
        <v>4506</v>
      </c>
      <c r="M216" s="241" t="s">
        <v>4507</v>
      </c>
      <c r="N216" s="161" t="s">
        <v>4256</v>
      </c>
      <c r="O216" s="139" t="s">
        <v>3262</v>
      </c>
      <c r="P216" s="40" t="s">
        <v>3263</v>
      </c>
      <c r="Q216" s="229" t="s">
        <v>3223</v>
      </c>
      <c r="R216" s="201" t="s">
        <v>3251</v>
      </c>
      <c r="S216" s="141" t="s">
        <v>3237</v>
      </c>
      <c r="T216" s="243"/>
    </row>
    <row r="217" spans="1:20" ht="58" customHeight="1">
      <c r="A217" s="231" t="s">
        <v>2435</v>
      </c>
      <c r="B217" s="42" t="s">
        <v>1541</v>
      </c>
      <c r="C217" s="41" t="s">
        <v>1532</v>
      </c>
      <c r="D217" s="41" t="s">
        <v>1472</v>
      </c>
      <c r="E217" s="200" t="s">
        <v>3786</v>
      </c>
      <c r="F217" s="200" t="s">
        <v>1473</v>
      </c>
      <c r="G217" s="245" t="s">
        <v>3004</v>
      </c>
      <c r="H217" s="42" t="s">
        <v>958</v>
      </c>
      <c r="I217" s="248" t="s">
        <v>3012</v>
      </c>
      <c r="J217" s="233" t="s">
        <v>3220</v>
      </c>
      <c r="K217" s="162"/>
      <c r="L217" s="241"/>
      <c r="M217" s="241"/>
      <c r="N217" s="161"/>
      <c r="O217" s="139" t="s">
        <v>1470</v>
      </c>
      <c r="P217" s="40" t="s">
        <v>1471</v>
      </c>
      <c r="Q217" s="229" t="s">
        <v>3223</v>
      </c>
      <c r="R217" s="201" t="s">
        <v>2987</v>
      </c>
      <c r="S217" s="141" t="s">
        <v>1466</v>
      </c>
      <c r="T217" s="243"/>
    </row>
    <row r="218" spans="1:20" ht="58" customHeight="1">
      <c r="A218" s="231" t="s">
        <v>2435</v>
      </c>
      <c r="B218" s="42" t="s">
        <v>1541</v>
      </c>
      <c r="C218" s="41" t="s">
        <v>1534</v>
      </c>
      <c r="D218" s="41" t="s">
        <v>3422</v>
      </c>
      <c r="E218" s="200" t="s">
        <v>3423</v>
      </c>
      <c r="F218" s="200" t="s">
        <v>3424</v>
      </c>
      <c r="G218" s="245" t="s">
        <v>3425</v>
      </c>
      <c r="H218" s="42" t="s">
        <v>1522</v>
      </c>
      <c r="I218" s="248" t="s">
        <v>3013</v>
      </c>
      <c r="J218" s="233" t="s">
        <v>3917</v>
      </c>
      <c r="K218" s="162" t="s">
        <v>4524</v>
      </c>
      <c r="L218" s="241" t="s">
        <v>4525</v>
      </c>
      <c r="M218" s="241"/>
      <c r="N218" s="161" t="s">
        <v>4255</v>
      </c>
      <c r="O218" s="139" t="s">
        <v>3421</v>
      </c>
      <c r="P218" s="40" t="s">
        <v>536</v>
      </c>
      <c r="Q218" s="229" t="s">
        <v>3223</v>
      </c>
      <c r="R218" s="201" t="s">
        <v>3419</v>
      </c>
      <c r="S218" s="141" t="s">
        <v>3420</v>
      </c>
      <c r="T218" s="243"/>
    </row>
    <row r="219" spans="1:20" ht="58" customHeight="1">
      <c r="A219" s="231" t="s">
        <v>2435</v>
      </c>
      <c r="B219" s="42" t="s">
        <v>1541</v>
      </c>
      <c r="C219" s="41" t="s">
        <v>1534</v>
      </c>
      <c r="D219" s="41" t="s">
        <v>3230</v>
      </c>
      <c r="E219" s="200" t="s">
        <v>3231</v>
      </c>
      <c r="F219" s="200" t="s">
        <v>3232</v>
      </c>
      <c r="G219" s="245" t="s">
        <v>3233</v>
      </c>
      <c r="H219" s="42" t="s">
        <v>1522</v>
      </c>
      <c r="I219" s="248" t="s">
        <v>3013</v>
      </c>
      <c r="J219" s="233" t="s">
        <v>3900</v>
      </c>
      <c r="K219" s="162" t="s">
        <v>4253</v>
      </c>
      <c r="L219" s="241" t="s">
        <v>4454</v>
      </c>
      <c r="M219" s="241"/>
      <c r="N219" s="161" t="s">
        <v>4257</v>
      </c>
      <c r="O219" s="139" t="s">
        <v>3234</v>
      </c>
      <c r="P219" s="40" t="s">
        <v>3235</v>
      </c>
      <c r="Q219" s="229" t="s">
        <v>3223</v>
      </c>
      <c r="R219" s="201" t="s">
        <v>3236</v>
      </c>
      <c r="S219" s="141" t="s">
        <v>3237</v>
      </c>
      <c r="T219" s="243"/>
    </row>
    <row r="220" spans="1:20" ht="58" customHeight="1">
      <c r="A220" s="231" t="s">
        <v>2435</v>
      </c>
      <c r="B220" s="42" t="s">
        <v>1541</v>
      </c>
      <c r="C220" s="41" t="s">
        <v>1534</v>
      </c>
      <c r="D220" s="41" t="s">
        <v>1504</v>
      </c>
      <c r="E220" s="200" t="s">
        <v>3787</v>
      </c>
      <c r="F220" s="200" t="s">
        <v>4625</v>
      </c>
      <c r="G220" s="245" t="s">
        <v>4626</v>
      </c>
      <c r="H220" s="42" t="s">
        <v>3</v>
      </c>
      <c r="I220" s="248" t="s">
        <v>3015</v>
      </c>
      <c r="J220" s="233" t="s">
        <v>3220</v>
      </c>
      <c r="K220" s="162" t="s">
        <v>958</v>
      </c>
      <c r="L220" s="241"/>
      <c r="M220" s="241"/>
      <c r="N220" s="161"/>
      <c r="O220" s="139" t="s">
        <v>1502</v>
      </c>
      <c r="P220" s="40" t="s">
        <v>1503</v>
      </c>
      <c r="Q220" s="229" t="s">
        <v>3223</v>
      </c>
      <c r="R220" s="201" t="s">
        <v>2992</v>
      </c>
      <c r="S220" s="141" t="s">
        <v>1466</v>
      </c>
      <c r="T220" s="243"/>
    </row>
    <row r="221" spans="1:20" ht="58" customHeight="1">
      <c r="A221" s="231" t="s">
        <v>2435</v>
      </c>
      <c r="B221" s="42" t="s">
        <v>1541</v>
      </c>
      <c r="C221" s="41" t="s">
        <v>1534</v>
      </c>
      <c r="D221" s="41" t="s">
        <v>3238</v>
      </c>
      <c r="E221" s="200" t="s">
        <v>3239</v>
      </c>
      <c r="F221" s="200" t="s">
        <v>3240</v>
      </c>
      <c r="G221" s="245" t="s">
        <v>3241</v>
      </c>
      <c r="H221" s="42" t="s">
        <v>1522</v>
      </c>
      <c r="I221" s="248" t="s">
        <v>3013</v>
      </c>
      <c r="J221" s="233" t="s">
        <v>3901</v>
      </c>
      <c r="K221" s="162" t="s">
        <v>4528</v>
      </c>
      <c r="L221" s="241" t="s">
        <v>4529</v>
      </c>
      <c r="M221" s="241"/>
      <c r="N221" s="161" t="s">
        <v>4255</v>
      </c>
      <c r="O221" s="139" t="s">
        <v>3242</v>
      </c>
      <c r="P221" s="40" t="s">
        <v>3243</v>
      </c>
      <c r="Q221" s="229" t="s">
        <v>3223</v>
      </c>
      <c r="R221" s="201" t="s">
        <v>3244</v>
      </c>
      <c r="S221" s="141" t="s">
        <v>3237</v>
      </c>
      <c r="T221" s="243"/>
    </row>
    <row r="222" spans="1:20" ht="58" customHeight="1">
      <c r="A222" s="231" t="s">
        <v>2435</v>
      </c>
      <c r="B222" s="42" t="s">
        <v>1541</v>
      </c>
      <c r="C222" s="41" t="s">
        <v>1534</v>
      </c>
      <c r="D222" s="41" t="s">
        <v>1507</v>
      </c>
      <c r="E222" s="200" t="s">
        <v>1508</v>
      </c>
      <c r="F222" s="200" t="s">
        <v>1509</v>
      </c>
      <c r="G222" s="245" t="s">
        <v>3007</v>
      </c>
      <c r="H222" s="42" t="s">
        <v>1522</v>
      </c>
      <c r="I222" s="248" t="s">
        <v>3013</v>
      </c>
      <c r="J222" s="233" t="s">
        <v>3902</v>
      </c>
      <c r="K222" s="162" t="s">
        <v>4534</v>
      </c>
      <c r="L222" s="241"/>
      <c r="M222" s="241"/>
      <c r="N222" s="161"/>
      <c r="O222" s="139" t="s">
        <v>1505</v>
      </c>
      <c r="P222" s="40" t="s">
        <v>1506</v>
      </c>
      <c r="Q222" s="229" t="s">
        <v>3223</v>
      </c>
      <c r="R222" s="201" t="s">
        <v>2921</v>
      </c>
      <c r="S222" s="141" t="s">
        <v>1466</v>
      </c>
      <c r="T222" s="243"/>
    </row>
    <row r="223" spans="1:20" ht="58" customHeight="1">
      <c r="A223" s="231" t="s">
        <v>2435</v>
      </c>
      <c r="B223" s="42" t="s">
        <v>1541</v>
      </c>
      <c r="C223" s="41" t="s">
        <v>1533</v>
      </c>
      <c r="D223" s="41" t="s">
        <v>3426</v>
      </c>
      <c r="E223" s="200" t="s">
        <v>3427</v>
      </c>
      <c r="F223" s="200" t="s">
        <v>3428</v>
      </c>
      <c r="G223" s="245" t="s">
        <v>4556</v>
      </c>
      <c r="H223" s="42" t="s">
        <v>1522</v>
      </c>
      <c r="I223" s="248" t="s">
        <v>3013</v>
      </c>
      <c r="J223" s="233" t="s">
        <v>3918</v>
      </c>
      <c r="K223" s="162" t="s">
        <v>4516</v>
      </c>
      <c r="L223" s="241" t="s">
        <v>4517</v>
      </c>
      <c r="M223" s="241"/>
      <c r="N223" s="161" t="s">
        <v>4256</v>
      </c>
      <c r="O223" s="139" t="s">
        <v>3184</v>
      </c>
      <c r="P223" s="40" t="s">
        <v>542</v>
      </c>
      <c r="Q223" s="229" t="s">
        <v>3223</v>
      </c>
      <c r="R223" s="201" t="s">
        <v>3419</v>
      </c>
      <c r="S223" s="141" t="s">
        <v>3420</v>
      </c>
      <c r="T223" s="243"/>
    </row>
    <row r="224" spans="1:20" ht="58" customHeight="1">
      <c r="A224" s="231" t="s">
        <v>2435</v>
      </c>
      <c r="B224" s="42" t="s">
        <v>1541</v>
      </c>
      <c r="C224" s="41" t="s">
        <v>1533</v>
      </c>
      <c r="D224" s="41" t="s">
        <v>1493</v>
      </c>
      <c r="E224" s="200" t="s">
        <v>3782</v>
      </c>
      <c r="F224" s="200" t="s">
        <v>3328</v>
      </c>
      <c r="G224" s="245" t="s">
        <v>4557</v>
      </c>
      <c r="H224" s="42" t="s">
        <v>1522</v>
      </c>
      <c r="I224" s="248" t="s">
        <v>3013</v>
      </c>
      <c r="J224" s="233" t="s">
        <v>4065</v>
      </c>
      <c r="K224" s="162" t="s">
        <v>4502</v>
      </c>
      <c r="L224" s="241" t="s">
        <v>4503</v>
      </c>
      <c r="M224" s="241" t="s">
        <v>4504</v>
      </c>
      <c r="N224" s="161" t="s">
        <v>4256</v>
      </c>
      <c r="O224" s="139" t="s">
        <v>1491</v>
      </c>
      <c r="P224" s="40" t="s">
        <v>1492</v>
      </c>
      <c r="Q224" s="229" t="s">
        <v>3223</v>
      </c>
      <c r="R224" s="201" t="s">
        <v>2989</v>
      </c>
      <c r="S224" s="141" t="s">
        <v>1466</v>
      </c>
      <c r="T224" s="243"/>
    </row>
    <row r="225" spans="1:20" ht="58" customHeight="1">
      <c r="A225" s="231" t="s">
        <v>2435</v>
      </c>
      <c r="B225" s="42" t="s">
        <v>1541</v>
      </c>
      <c r="C225" s="41" t="s">
        <v>1533</v>
      </c>
      <c r="D225" s="41" t="s">
        <v>3252</v>
      </c>
      <c r="E225" s="200" t="s">
        <v>3253</v>
      </c>
      <c r="F225" s="200" t="s">
        <v>3254</v>
      </c>
      <c r="G225" s="245" t="s">
        <v>3255</v>
      </c>
      <c r="H225" s="42" t="s">
        <v>1522</v>
      </c>
      <c r="I225" s="248" t="s">
        <v>4477</v>
      </c>
      <c r="J225" s="233" t="s">
        <v>3903</v>
      </c>
      <c r="K225" s="162" t="s">
        <v>4270</v>
      </c>
      <c r="L225" s="241" t="s">
        <v>4399</v>
      </c>
      <c r="M225" s="241" t="s">
        <v>4400</v>
      </c>
      <c r="N225" s="161" t="s">
        <v>4256</v>
      </c>
      <c r="O225" s="139" t="s">
        <v>3256</v>
      </c>
      <c r="P225" s="40" t="s">
        <v>3257</v>
      </c>
      <c r="Q225" s="229" t="s">
        <v>3223</v>
      </c>
      <c r="R225" s="201" t="s">
        <v>3251</v>
      </c>
      <c r="S225" s="141" t="s">
        <v>3237</v>
      </c>
      <c r="T225" s="243"/>
    </row>
    <row r="226" spans="1:20" ht="58" customHeight="1">
      <c r="A226" s="231" t="s">
        <v>2435</v>
      </c>
      <c r="B226" s="42" t="s">
        <v>1541</v>
      </c>
      <c r="C226" s="41" t="s">
        <v>1533</v>
      </c>
      <c r="D226" s="41" t="s">
        <v>1485</v>
      </c>
      <c r="E226" s="200" t="s">
        <v>1486</v>
      </c>
      <c r="F226" s="200" t="s">
        <v>1487</v>
      </c>
      <c r="G226" s="245" t="s">
        <v>3007</v>
      </c>
      <c r="H226" s="42" t="s">
        <v>1522</v>
      </c>
      <c r="I226" s="248" t="s">
        <v>3013</v>
      </c>
      <c r="J226" s="233" t="s">
        <v>3904</v>
      </c>
      <c r="K226" s="162" t="s">
        <v>4534</v>
      </c>
      <c r="L226" s="241"/>
      <c r="M226" s="241"/>
      <c r="N226" s="161"/>
      <c r="O226" s="139" t="s">
        <v>1483</v>
      </c>
      <c r="P226" s="40" t="s">
        <v>1484</v>
      </c>
      <c r="Q226" s="229" t="s">
        <v>3223</v>
      </c>
      <c r="R226" s="201" t="s">
        <v>2921</v>
      </c>
      <c r="S226" s="141" t="s">
        <v>1466</v>
      </c>
      <c r="T226" s="243"/>
    </row>
    <row r="227" spans="1:20" ht="58" customHeight="1">
      <c r="A227" s="231" t="s">
        <v>2435</v>
      </c>
      <c r="B227" s="42" t="s">
        <v>1541</v>
      </c>
      <c r="C227" s="41" t="s">
        <v>1536</v>
      </c>
      <c r="D227" s="41" t="s">
        <v>4075</v>
      </c>
      <c r="E227" s="200" t="s">
        <v>4076</v>
      </c>
      <c r="F227" s="200" t="s">
        <v>4077</v>
      </c>
      <c r="G227" s="245" t="s">
        <v>4558</v>
      </c>
      <c r="H227" s="42" t="s">
        <v>1522</v>
      </c>
      <c r="I227" s="248" t="s">
        <v>4477</v>
      </c>
      <c r="J227" s="233" t="s">
        <v>4078</v>
      </c>
      <c r="K227" s="162" t="s">
        <v>4244</v>
      </c>
      <c r="L227" s="241" t="s">
        <v>4371</v>
      </c>
      <c r="M227" s="241" t="s">
        <v>4372</v>
      </c>
      <c r="N227" s="161" t="s">
        <v>4255</v>
      </c>
      <c r="O227" s="139" t="s">
        <v>4079</v>
      </c>
      <c r="P227" s="40" t="s">
        <v>4080</v>
      </c>
      <c r="Q227" s="229" t="s">
        <v>3223</v>
      </c>
      <c r="R227" s="201" t="s">
        <v>4081</v>
      </c>
      <c r="S227" s="141" t="s">
        <v>4082</v>
      </c>
      <c r="T227" s="243"/>
    </row>
    <row r="228" spans="1:20" ht="58" customHeight="1">
      <c r="A228" s="231" t="s">
        <v>2435</v>
      </c>
      <c r="B228" s="42" t="s">
        <v>1541</v>
      </c>
      <c r="C228" s="41" t="s">
        <v>1536</v>
      </c>
      <c r="D228" s="41" t="s">
        <v>4083</v>
      </c>
      <c r="E228" s="200" t="s">
        <v>4084</v>
      </c>
      <c r="F228" s="200" t="s">
        <v>4085</v>
      </c>
      <c r="G228" s="245" t="s">
        <v>4559</v>
      </c>
      <c r="H228" s="42" t="s">
        <v>1522</v>
      </c>
      <c r="I228" s="248" t="s">
        <v>4090</v>
      </c>
      <c r="J228" s="233" t="s">
        <v>4086</v>
      </c>
      <c r="K228" s="162" t="s">
        <v>4247</v>
      </c>
      <c r="L228" s="241" t="s">
        <v>4373</v>
      </c>
      <c r="M228" s="241" t="s">
        <v>4374</v>
      </c>
      <c r="N228" s="161" t="s">
        <v>4255</v>
      </c>
      <c r="O228" s="139" t="s">
        <v>4079</v>
      </c>
      <c r="P228" s="40" t="s">
        <v>4087</v>
      </c>
      <c r="Q228" s="229" t="s">
        <v>3223</v>
      </c>
      <c r="R228" s="201" t="s">
        <v>4088</v>
      </c>
      <c r="S228" s="141" t="s">
        <v>4082</v>
      </c>
      <c r="T228" s="243"/>
    </row>
    <row r="229" spans="1:20" ht="58" customHeight="1">
      <c r="A229" s="231" t="s">
        <v>2436</v>
      </c>
      <c r="B229" s="42" t="s">
        <v>1425</v>
      </c>
      <c r="C229" s="41" t="s">
        <v>1525</v>
      </c>
      <c r="D229" s="41" t="s">
        <v>467</v>
      </c>
      <c r="E229" s="200" t="s">
        <v>804</v>
      </c>
      <c r="F229" s="200" t="s">
        <v>468</v>
      </c>
      <c r="G229" s="245" t="s">
        <v>3007</v>
      </c>
      <c r="H229" s="42" t="s">
        <v>1522</v>
      </c>
      <c r="I229" s="248" t="s">
        <v>4090</v>
      </c>
      <c r="J229" s="233" t="s">
        <v>3907</v>
      </c>
      <c r="K229" s="162" t="s">
        <v>4259</v>
      </c>
      <c r="L229" s="241" t="s">
        <v>4377</v>
      </c>
      <c r="M229" s="241" t="s">
        <v>4378</v>
      </c>
      <c r="N229" s="161" t="s">
        <v>4255</v>
      </c>
      <c r="O229" s="139" t="s">
        <v>465</v>
      </c>
      <c r="P229" s="40" t="s">
        <v>466</v>
      </c>
      <c r="Q229" s="229" t="s">
        <v>3225</v>
      </c>
      <c r="R229" s="201" t="s">
        <v>2921</v>
      </c>
      <c r="S229" s="141" t="s">
        <v>440</v>
      </c>
      <c r="T229" s="243"/>
    </row>
    <row r="230" spans="1:20" ht="58" customHeight="1">
      <c r="A230" s="231" t="s">
        <v>2436</v>
      </c>
      <c r="B230" s="42" t="s">
        <v>1425</v>
      </c>
      <c r="C230" s="41" t="s">
        <v>1525</v>
      </c>
      <c r="D230" s="41" t="s">
        <v>475</v>
      </c>
      <c r="E230" s="200" t="s">
        <v>806</v>
      </c>
      <c r="F230" s="200" t="s">
        <v>476</v>
      </c>
      <c r="G230" s="245" t="s">
        <v>3007</v>
      </c>
      <c r="H230" s="42" t="s">
        <v>1522</v>
      </c>
      <c r="I230" s="248" t="s">
        <v>4090</v>
      </c>
      <c r="J230" s="233" t="s">
        <v>3909</v>
      </c>
      <c r="K230" s="162" t="s">
        <v>4271</v>
      </c>
      <c r="L230" s="241" t="s">
        <v>4401</v>
      </c>
      <c r="M230" s="241" t="s">
        <v>4402</v>
      </c>
      <c r="N230" s="161" t="s">
        <v>4256</v>
      </c>
      <c r="O230" s="139" t="s">
        <v>473</v>
      </c>
      <c r="P230" s="40" t="s">
        <v>474</v>
      </c>
      <c r="Q230" s="229" t="s">
        <v>3225</v>
      </c>
      <c r="R230" s="201" t="s">
        <v>2921</v>
      </c>
      <c r="S230" s="141" t="s">
        <v>440</v>
      </c>
      <c r="T230" s="243"/>
    </row>
    <row r="231" spans="1:20" ht="58" customHeight="1">
      <c r="A231" s="231" t="s">
        <v>2436</v>
      </c>
      <c r="B231" s="42" t="s">
        <v>1425</v>
      </c>
      <c r="C231" s="41" t="s">
        <v>1526</v>
      </c>
      <c r="D231" s="41" t="s">
        <v>457</v>
      </c>
      <c r="E231" s="200" t="s">
        <v>801</v>
      </c>
      <c r="F231" s="200" t="s">
        <v>458</v>
      </c>
      <c r="G231" s="245" t="s">
        <v>3003</v>
      </c>
      <c r="H231" s="42" t="s">
        <v>2</v>
      </c>
      <c r="I231" s="248" t="s">
        <v>3011</v>
      </c>
      <c r="J231" s="233" t="s">
        <v>3220</v>
      </c>
      <c r="K231" s="162"/>
      <c r="L231" s="241"/>
      <c r="M231" s="241"/>
      <c r="N231" s="161"/>
      <c r="O231" s="139" t="s">
        <v>455</v>
      </c>
      <c r="P231" s="40" t="s">
        <v>456</v>
      </c>
      <c r="Q231" s="229" t="s">
        <v>3225</v>
      </c>
      <c r="R231" s="201" t="s">
        <v>2979</v>
      </c>
      <c r="S231" s="141" t="s">
        <v>440</v>
      </c>
      <c r="T231" s="243"/>
    </row>
    <row r="232" spans="1:20" ht="58" customHeight="1">
      <c r="A232" s="231" t="s">
        <v>2436</v>
      </c>
      <c r="B232" s="42" t="s">
        <v>1425</v>
      </c>
      <c r="C232" s="41" t="s">
        <v>1526</v>
      </c>
      <c r="D232" s="41" t="s">
        <v>471</v>
      </c>
      <c r="E232" s="200" t="s">
        <v>805</v>
      </c>
      <c r="F232" s="200" t="s">
        <v>472</v>
      </c>
      <c r="G232" s="245" t="s">
        <v>3007</v>
      </c>
      <c r="H232" s="42" t="s">
        <v>1522</v>
      </c>
      <c r="I232" s="248" t="s">
        <v>3013</v>
      </c>
      <c r="J232" s="233" t="s">
        <v>3908</v>
      </c>
      <c r="K232" s="162" t="s">
        <v>4534</v>
      </c>
      <c r="L232" s="241"/>
      <c r="M232" s="241"/>
      <c r="N232" s="161"/>
      <c r="O232" s="139" t="s">
        <v>469</v>
      </c>
      <c r="P232" s="40" t="s">
        <v>470</v>
      </c>
      <c r="Q232" s="229" t="s">
        <v>3225</v>
      </c>
      <c r="R232" s="201" t="s">
        <v>2921</v>
      </c>
      <c r="S232" s="141" t="s">
        <v>440</v>
      </c>
      <c r="T232" s="243"/>
    </row>
    <row r="233" spans="1:20" ht="58" customHeight="1">
      <c r="A233" s="231" t="s">
        <v>2436</v>
      </c>
      <c r="B233" s="42" t="s">
        <v>1425</v>
      </c>
      <c r="C233" s="41" t="s">
        <v>1527</v>
      </c>
      <c r="D233" s="41" t="s">
        <v>2727</v>
      </c>
      <c r="E233" s="200" t="s">
        <v>2726</v>
      </c>
      <c r="F233" s="200" t="s">
        <v>4473</v>
      </c>
      <c r="G233" s="245" t="s">
        <v>4560</v>
      </c>
      <c r="H233" s="42" t="s">
        <v>2</v>
      </c>
      <c r="I233" s="248" t="s">
        <v>1539</v>
      </c>
      <c r="J233" s="233" t="s">
        <v>3220</v>
      </c>
      <c r="K233" s="162"/>
      <c r="L233" s="241"/>
      <c r="M233" s="241"/>
      <c r="N233" s="161"/>
      <c r="O233" s="139" t="s">
        <v>2728</v>
      </c>
      <c r="P233" s="40" t="s">
        <v>2729</v>
      </c>
      <c r="Q233" s="229" t="s">
        <v>3226</v>
      </c>
      <c r="R233" s="201" t="s">
        <v>4474</v>
      </c>
      <c r="S233" s="141" t="s">
        <v>2501</v>
      </c>
      <c r="T233" s="243"/>
    </row>
    <row r="234" spans="1:20" ht="58" customHeight="1">
      <c r="A234" s="231" t="s">
        <v>2436</v>
      </c>
      <c r="B234" s="42" t="s">
        <v>1425</v>
      </c>
      <c r="C234" s="41" t="s">
        <v>1527</v>
      </c>
      <c r="D234" s="41" t="s">
        <v>461</v>
      </c>
      <c r="E234" s="200" t="s">
        <v>802</v>
      </c>
      <c r="F234" s="200" t="s">
        <v>462</v>
      </c>
      <c r="G234" s="245" t="s">
        <v>3003</v>
      </c>
      <c r="H234" s="42" t="s">
        <v>2</v>
      </c>
      <c r="I234" s="248" t="s">
        <v>3011</v>
      </c>
      <c r="J234" s="233" t="s">
        <v>3220</v>
      </c>
      <c r="K234" s="162"/>
      <c r="L234" s="241"/>
      <c r="M234" s="241"/>
      <c r="N234" s="161"/>
      <c r="O234" s="139" t="s">
        <v>459</v>
      </c>
      <c r="P234" s="40" t="s">
        <v>460</v>
      </c>
      <c r="Q234" s="229" t="s">
        <v>3225</v>
      </c>
      <c r="R234" s="201" t="s">
        <v>2979</v>
      </c>
      <c r="S234" s="141" t="s">
        <v>447</v>
      </c>
      <c r="T234" s="243"/>
    </row>
    <row r="235" spans="1:20" ht="58" customHeight="1">
      <c r="A235" s="231" t="s">
        <v>2436</v>
      </c>
      <c r="B235" s="42" t="s">
        <v>1425</v>
      </c>
      <c r="C235" s="41" t="s">
        <v>1527</v>
      </c>
      <c r="D235" s="41" t="s">
        <v>4175</v>
      </c>
      <c r="E235" s="200" t="s">
        <v>803</v>
      </c>
      <c r="F235" s="200" t="s">
        <v>464</v>
      </c>
      <c r="G235" s="245" t="s">
        <v>3009</v>
      </c>
      <c r="H235" s="42" t="s">
        <v>1522</v>
      </c>
      <c r="I235" s="248" t="s">
        <v>4090</v>
      </c>
      <c r="J235" s="233" t="s">
        <v>3906</v>
      </c>
      <c r="K235" s="162" t="s">
        <v>4176</v>
      </c>
      <c r="L235" s="241" t="s">
        <v>4442</v>
      </c>
      <c r="M235" s="241" t="s">
        <v>4443</v>
      </c>
      <c r="N235" s="161" t="s">
        <v>4256</v>
      </c>
      <c r="O235" s="139" t="s">
        <v>463</v>
      </c>
      <c r="P235" s="40" t="s">
        <v>4174</v>
      </c>
      <c r="Q235" s="229" t="s">
        <v>3225</v>
      </c>
      <c r="R235" s="201" t="s">
        <v>2980</v>
      </c>
      <c r="S235" s="141" t="s">
        <v>440</v>
      </c>
      <c r="T235" s="243"/>
    </row>
    <row r="236" spans="1:20" ht="58" customHeight="1">
      <c r="A236" s="231" t="s">
        <v>2436</v>
      </c>
      <c r="B236" s="42" t="s">
        <v>1425</v>
      </c>
      <c r="C236" s="41" t="s">
        <v>1527</v>
      </c>
      <c r="D236" s="41" t="s">
        <v>4177</v>
      </c>
      <c r="E236" s="200" t="s">
        <v>803</v>
      </c>
      <c r="F236" s="200" t="s">
        <v>464</v>
      </c>
      <c r="G236" s="245" t="s">
        <v>3009</v>
      </c>
      <c r="H236" s="42" t="s">
        <v>1522</v>
      </c>
      <c r="I236" s="248" t="s">
        <v>4090</v>
      </c>
      <c r="J236" s="233" t="s">
        <v>3906</v>
      </c>
      <c r="K236" s="162" t="s">
        <v>4179</v>
      </c>
      <c r="L236" s="241" t="s">
        <v>4416</v>
      </c>
      <c r="M236" s="241" t="s">
        <v>4417</v>
      </c>
      <c r="N236" s="161" t="s">
        <v>4255</v>
      </c>
      <c r="O236" s="139" t="s">
        <v>463</v>
      </c>
      <c r="P236" s="40" t="s">
        <v>4178</v>
      </c>
      <c r="Q236" s="229" t="s">
        <v>3225</v>
      </c>
      <c r="R236" s="201" t="s">
        <v>2980</v>
      </c>
      <c r="S236" s="141" t="s">
        <v>440</v>
      </c>
      <c r="T236" s="243"/>
    </row>
    <row r="237" spans="1:20" ht="58" customHeight="1">
      <c r="A237" s="231" t="s">
        <v>2436</v>
      </c>
      <c r="B237" s="42" t="s">
        <v>1425</v>
      </c>
      <c r="C237" s="41" t="s">
        <v>1527</v>
      </c>
      <c r="D237" s="41" t="s">
        <v>479</v>
      </c>
      <c r="E237" s="200" t="s">
        <v>807</v>
      </c>
      <c r="F237" s="200" t="s">
        <v>480</v>
      </c>
      <c r="G237" s="245" t="s">
        <v>3003</v>
      </c>
      <c r="H237" s="42" t="s">
        <v>2</v>
      </c>
      <c r="I237" s="248" t="s">
        <v>3011</v>
      </c>
      <c r="J237" s="233" t="s">
        <v>3220</v>
      </c>
      <c r="K237" s="162"/>
      <c r="L237" s="241"/>
      <c r="M237" s="241"/>
      <c r="N237" s="161"/>
      <c r="O237" s="139" t="s">
        <v>477</v>
      </c>
      <c r="P237" s="40" t="s">
        <v>478</v>
      </c>
      <c r="Q237" s="229" t="s">
        <v>3225</v>
      </c>
      <c r="R237" s="201" t="s">
        <v>2979</v>
      </c>
      <c r="S237" s="141" t="s">
        <v>440</v>
      </c>
      <c r="T237" s="243"/>
    </row>
    <row r="238" spans="1:20" ht="58" customHeight="1">
      <c r="A238" s="231" t="s">
        <v>2436</v>
      </c>
      <c r="B238" s="42" t="s">
        <v>1425</v>
      </c>
      <c r="C238" s="41" t="s">
        <v>1529</v>
      </c>
      <c r="D238" s="41" t="s">
        <v>483</v>
      </c>
      <c r="E238" s="200" t="s">
        <v>808</v>
      </c>
      <c r="F238" s="200" t="s">
        <v>484</v>
      </c>
      <c r="G238" s="245" t="s">
        <v>3003</v>
      </c>
      <c r="H238" s="42" t="s">
        <v>2</v>
      </c>
      <c r="I238" s="248" t="s">
        <v>3011</v>
      </c>
      <c r="J238" s="233" t="s">
        <v>3220</v>
      </c>
      <c r="K238" s="162"/>
      <c r="L238" s="241"/>
      <c r="M238" s="241"/>
      <c r="N238" s="161"/>
      <c r="O238" s="139" t="s">
        <v>481</v>
      </c>
      <c r="P238" s="40" t="s">
        <v>482</v>
      </c>
      <c r="Q238" s="229" t="s">
        <v>3225</v>
      </c>
      <c r="R238" s="201" t="s">
        <v>2979</v>
      </c>
      <c r="S238" s="141" t="s">
        <v>440</v>
      </c>
      <c r="T238" s="243"/>
    </row>
    <row r="239" spans="1:20" ht="58" customHeight="1">
      <c r="A239" s="231" t="s">
        <v>2436</v>
      </c>
      <c r="B239" s="42" t="s">
        <v>1425</v>
      </c>
      <c r="C239" s="41" t="s">
        <v>1529</v>
      </c>
      <c r="D239" s="41" t="s">
        <v>487</v>
      </c>
      <c r="E239" s="200" t="s">
        <v>809</v>
      </c>
      <c r="F239" s="200" t="s">
        <v>488</v>
      </c>
      <c r="G239" s="245" t="s">
        <v>3009</v>
      </c>
      <c r="H239" s="42" t="s">
        <v>1522</v>
      </c>
      <c r="I239" s="248" t="s">
        <v>4477</v>
      </c>
      <c r="J239" s="233" t="s">
        <v>3910</v>
      </c>
      <c r="K239" s="162" t="s">
        <v>4230</v>
      </c>
      <c r="L239" s="241" t="s">
        <v>4319</v>
      </c>
      <c r="M239" s="241" t="s">
        <v>4320</v>
      </c>
      <c r="N239" s="161" t="s">
        <v>4255</v>
      </c>
      <c r="O239" s="139" t="s">
        <v>485</v>
      </c>
      <c r="P239" s="40" t="s">
        <v>486</v>
      </c>
      <c r="Q239" s="229" t="s">
        <v>3225</v>
      </c>
      <c r="R239" s="201" t="s">
        <v>2980</v>
      </c>
      <c r="S239" s="141" t="s">
        <v>440</v>
      </c>
      <c r="T239" s="243"/>
    </row>
    <row r="240" spans="1:20" ht="58" customHeight="1">
      <c r="A240" s="231" t="s">
        <v>2436</v>
      </c>
      <c r="B240" s="42" t="s">
        <v>1425</v>
      </c>
      <c r="C240" s="41" t="s">
        <v>1529</v>
      </c>
      <c r="D240" s="41" t="s">
        <v>4467</v>
      </c>
      <c r="E240" s="200" t="s">
        <v>4468</v>
      </c>
      <c r="F240" s="200" t="s">
        <v>4469</v>
      </c>
      <c r="G240" s="245" t="s">
        <v>4561</v>
      </c>
      <c r="H240" s="42" t="s">
        <v>2</v>
      </c>
      <c r="I240" s="248" t="s">
        <v>1539</v>
      </c>
      <c r="J240" s="233" t="s">
        <v>3220</v>
      </c>
      <c r="K240" s="162"/>
      <c r="L240" s="241"/>
      <c r="M240" s="241"/>
      <c r="N240" s="161"/>
      <c r="O240" s="139" t="s">
        <v>2725</v>
      </c>
      <c r="P240" s="40" t="s">
        <v>4470</v>
      </c>
      <c r="Q240" s="229" t="s">
        <v>3225</v>
      </c>
      <c r="R240" s="201" t="s">
        <v>4471</v>
      </c>
      <c r="S240" s="141" t="s">
        <v>4472</v>
      </c>
      <c r="T240" s="243"/>
    </row>
    <row r="241" spans="1:20" ht="58" customHeight="1">
      <c r="A241" s="231" t="s">
        <v>2436</v>
      </c>
      <c r="B241" s="42" t="s">
        <v>1425</v>
      </c>
      <c r="C241" s="41" t="s">
        <v>1537</v>
      </c>
      <c r="D241" s="41" t="s">
        <v>439</v>
      </c>
      <c r="E241" s="200" t="s">
        <v>799</v>
      </c>
      <c r="F241" s="200" t="s">
        <v>3293</v>
      </c>
      <c r="G241" s="245" t="s">
        <v>3294</v>
      </c>
      <c r="H241" s="42" t="s">
        <v>1521</v>
      </c>
      <c r="I241" s="248" t="s">
        <v>3015</v>
      </c>
      <c r="J241" s="233" t="s">
        <v>3220</v>
      </c>
      <c r="K241" s="162"/>
      <c r="L241" s="241"/>
      <c r="M241" s="241"/>
      <c r="N241" s="161"/>
      <c r="O241" s="139" t="s">
        <v>437</v>
      </c>
      <c r="P241" s="40" t="s">
        <v>438</v>
      </c>
      <c r="Q241" s="229" t="s">
        <v>3225</v>
      </c>
      <c r="R241" s="201" t="s">
        <v>2976</v>
      </c>
      <c r="S241" s="141" t="s">
        <v>440</v>
      </c>
      <c r="T241" s="243"/>
    </row>
    <row r="242" spans="1:20" ht="58" customHeight="1">
      <c r="A242" s="231" t="s">
        <v>2436</v>
      </c>
      <c r="B242" s="42" t="s">
        <v>1425</v>
      </c>
      <c r="C242" s="41" t="s">
        <v>1537</v>
      </c>
      <c r="D242" s="41" t="s">
        <v>498</v>
      </c>
      <c r="E242" s="200" t="s">
        <v>3796</v>
      </c>
      <c r="F242" s="200" t="s">
        <v>4276</v>
      </c>
      <c r="G242" s="245" t="s">
        <v>4562</v>
      </c>
      <c r="H242" s="42" t="s">
        <v>3</v>
      </c>
      <c r="I242" s="248" t="s">
        <v>3015</v>
      </c>
      <c r="J242" s="233" t="s">
        <v>3220</v>
      </c>
      <c r="K242" s="162"/>
      <c r="L242" s="241"/>
      <c r="M242" s="241"/>
      <c r="N242" s="161"/>
      <c r="O242" s="139" t="s">
        <v>496</v>
      </c>
      <c r="P242" s="40" t="s">
        <v>497</v>
      </c>
      <c r="Q242" s="229" t="s">
        <v>3225</v>
      </c>
      <c r="R242" s="201" t="s">
        <v>2982</v>
      </c>
      <c r="S242" s="141" t="s">
        <v>499</v>
      </c>
      <c r="T242" s="243"/>
    </row>
    <row r="243" spans="1:20" ht="58" customHeight="1">
      <c r="A243" s="231" t="s">
        <v>2436</v>
      </c>
      <c r="B243" s="42" t="s">
        <v>1425</v>
      </c>
      <c r="C243" s="41" t="s">
        <v>1537</v>
      </c>
      <c r="D243" s="41" t="s">
        <v>502</v>
      </c>
      <c r="E243" s="200" t="s">
        <v>812</v>
      </c>
      <c r="F243" s="200" t="s">
        <v>4462</v>
      </c>
      <c r="G243" s="245" t="s">
        <v>4563</v>
      </c>
      <c r="H243" s="42" t="s">
        <v>1522</v>
      </c>
      <c r="I243" s="248" t="s">
        <v>4461</v>
      </c>
      <c r="J243" s="233" t="s">
        <v>3911</v>
      </c>
      <c r="K243" s="162" t="s">
        <v>958</v>
      </c>
      <c r="L243" s="241"/>
      <c r="M243" s="241"/>
      <c r="N243" s="161"/>
      <c r="O243" s="139" t="s">
        <v>500</v>
      </c>
      <c r="P243" s="40" t="s">
        <v>501</v>
      </c>
      <c r="Q243" s="229" t="s">
        <v>3225</v>
      </c>
      <c r="R243" s="201" t="s">
        <v>2921</v>
      </c>
      <c r="S243" s="141" t="s">
        <v>440</v>
      </c>
      <c r="T243" s="243" t="s">
        <v>4463</v>
      </c>
    </row>
    <row r="244" spans="1:20" ht="58" customHeight="1">
      <c r="A244" s="231" t="s">
        <v>2436</v>
      </c>
      <c r="B244" s="42" t="s">
        <v>1425</v>
      </c>
      <c r="C244" s="41" t="s">
        <v>1537</v>
      </c>
      <c r="D244" s="41" t="s">
        <v>2722</v>
      </c>
      <c r="E244" s="200" t="s">
        <v>2721</v>
      </c>
      <c r="F244" s="200" t="s">
        <v>4455</v>
      </c>
      <c r="G244" s="245" t="s">
        <v>4456</v>
      </c>
      <c r="H244" s="42" t="s">
        <v>2</v>
      </c>
      <c r="I244" s="248" t="s">
        <v>1539</v>
      </c>
      <c r="J244" s="233" t="s">
        <v>3220</v>
      </c>
      <c r="K244" s="162"/>
      <c r="L244" s="241"/>
      <c r="M244" s="241"/>
      <c r="N244" s="161"/>
      <c r="O244" s="139" t="s">
        <v>2723</v>
      </c>
      <c r="P244" s="40" t="s">
        <v>4457</v>
      </c>
      <c r="Q244" s="229" t="s">
        <v>3225</v>
      </c>
      <c r="R244" s="201" t="s">
        <v>4458</v>
      </c>
      <c r="S244" s="141" t="s">
        <v>2724</v>
      </c>
      <c r="T244" s="243"/>
    </row>
    <row r="245" spans="1:20" ht="58" customHeight="1">
      <c r="A245" s="231" t="s">
        <v>2436</v>
      </c>
      <c r="B245" s="42" t="s">
        <v>1425</v>
      </c>
      <c r="C245" s="41" t="s">
        <v>1531</v>
      </c>
      <c r="D245" s="41" t="s">
        <v>443</v>
      </c>
      <c r="E245" s="200" t="s">
        <v>3797</v>
      </c>
      <c r="F245" s="200" t="s">
        <v>3921</v>
      </c>
      <c r="G245" s="245" t="s">
        <v>4564</v>
      </c>
      <c r="H245" s="42" t="s">
        <v>2</v>
      </c>
      <c r="I245" s="248" t="s">
        <v>3011</v>
      </c>
      <c r="J245" s="233" t="s">
        <v>3220</v>
      </c>
      <c r="K245" s="162"/>
      <c r="L245" s="241"/>
      <c r="M245" s="241"/>
      <c r="N245" s="161"/>
      <c r="O245" s="139" t="s">
        <v>441</v>
      </c>
      <c r="P245" s="40" t="s">
        <v>442</v>
      </c>
      <c r="Q245" s="229" t="s">
        <v>3225</v>
      </c>
      <c r="R245" s="201" t="s">
        <v>2977</v>
      </c>
      <c r="S245" s="141" t="s">
        <v>440</v>
      </c>
      <c r="T245" s="243"/>
    </row>
    <row r="246" spans="1:20" ht="58" customHeight="1">
      <c r="A246" s="231" t="s">
        <v>2436</v>
      </c>
      <c r="B246" s="42" t="s">
        <v>1425</v>
      </c>
      <c r="C246" s="41" t="s">
        <v>1531</v>
      </c>
      <c r="D246" s="41" t="s">
        <v>495</v>
      </c>
      <c r="E246" s="200" t="s">
        <v>811</v>
      </c>
      <c r="F246" s="200" t="s">
        <v>3322</v>
      </c>
      <c r="G246" s="245" t="s">
        <v>3323</v>
      </c>
      <c r="H246" s="42" t="s">
        <v>1521</v>
      </c>
      <c r="I246" s="248" t="s">
        <v>3015</v>
      </c>
      <c r="J246" s="233" t="s">
        <v>3220</v>
      </c>
      <c r="K246" s="162"/>
      <c r="L246" s="241"/>
      <c r="M246" s="241"/>
      <c r="N246" s="161"/>
      <c r="O246" s="139" t="s">
        <v>493</v>
      </c>
      <c r="P246" s="40" t="s">
        <v>494</v>
      </c>
      <c r="Q246" s="229" t="s">
        <v>3225</v>
      </c>
      <c r="R246" s="201" t="s">
        <v>2981</v>
      </c>
      <c r="S246" s="141" t="s">
        <v>440</v>
      </c>
      <c r="T246" s="243"/>
    </row>
    <row r="247" spans="1:20" ht="58" customHeight="1">
      <c r="A247" s="231" t="s">
        <v>2436</v>
      </c>
      <c r="B247" s="42" t="s">
        <v>1425</v>
      </c>
      <c r="C247" s="41" t="s">
        <v>1530</v>
      </c>
      <c r="D247" s="41" t="s">
        <v>450</v>
      </c>
      <c r="E247" s="200" t="s">
        <v>800</v>
      </c>
      <c r="F247" s="200" t="s">
        <v>451</v>
      </c>
      <c r="G247" s="245" t="s">
        <v>3006</v>
      </c>
      <c r="H247" s="42" t="s">
        <v>1522</v>
      </c>
      <c r="I247" s="248" t="s">
        <v>3013</v>
      </c>
      <c r="J247" s="233" t="s">
        <v>3912</v>
      </c>
      <c r="K247" s="162" t="s">
        <v>4221</v>
      </c>
      <c r="L247" s="241" t="s">
        <v>4293</v>
      </c>
      <c r="M247" s="241" t="s">
        <v>4294</v>
      </c>
      <c r="N247" s="161" t="s">
        <v>4255</v>
      </c>
      <c r="O247" s="139" t="s">
        <v>448</v>
      </c>
      <c r="P247" s="40" t="s">
        <v>449</v>
      </c>
      <c r="Q247" s="229" t="s">
        <v>3225</v>
      </c>
      <c r="R247" s="201" t="s">
        <v>2920</v>
      </c>
      <c r="S247" s="141" t="s">
        <v>440</v>
      </c>
      <c r="T247" s="243"/>
    </row>
    <row r="248" spans="1:20" ht="58" customHeight="1">
      <c r="A248" s="231" t="s">
        <v>2436</v>
      </c>
      <c r="B248" s="42" t="s">
        <v>1425</v>
      </c>
      <c r="C248" s="41" t="s">
        <v>1530</v>
      </c>
      <c r="D248" s="41" t="s">
        <v>454</v>
      </c>
      <c r="E248" s="200" t="s">
        <v>3798</v>
      </c>
      <c r="F248" s="200" t="s">
        <v>3321</v>
      </c>
      <c r="G248" s="245" t="s">
        <v>4565</v>
      </c>
      <c r="H248" s="42" t="s">
        <v>1522</v>
      </c>
      <c r="I248" s="248" t="s">
        <v>3013</v>
      </c>
      <c r="J248" s="233" t="s">
        <v>3933</v>
      </c>
      <c r="K248" s="162" t="s">
        <v>4246</v>
      </c>
      <c r="L248" s="241" t="s">
        <v>4640</v>
      </c>
      <c r="M248" s="241"/>
      <c r="N248" s="161" t="s">
        <v>4255</v>
      </c>
      <c r="O248" s="139" t="s">
        <v>452</v>
      </c>
      <c r="P248" s="40" t="s">
        <v>453</v>
      </c>
      <c r="Q248" s="229" t="s">
        <v>3225</v>
      </c>
      <c r="R248" s="201" t="s">
        <v>2978</v>
      </c>
      <c r="S248" s="141" t="s">
        <v>447</v>
      </c>
      <c r="T248" s="243" t="s">
        <v>3799</v>
      </c>
    </row>
    <row r="249" spans="1:20" ht="58" customHeight="1">
      <c r="A249" s="231" t="s">
        <v>2436</v>
      </c>
      <c r="B249" s="42" t="s">
        <v>1425</v>
      </c>
      <c r="C249" s="41" t="s">
        <v>1530</v>
      </c>
      <c r="D249" s="41" t="s">
        <v>491</v>
      </c>
      <c r="E249" s="200" t="s">
        <v>810</v>
      </c>
      <c r="F249" s="200" t="s">
        <v>492</v>
      </c>
      <c r="G249" s="245" t="s">
        <v>3003</v>
      </c>
      <c r="H249" s="42" t="s">
        <v>2</v>
      </c>
      <c r="I249" s="248" t="s">
        <v>3011</v>
      </c>
      <c r="J249" s="233" t="s">
        <v>3220</v>
      </c>
      <c r="K249" s="162"/>
      <c r="L249" s="241"/>
      <c r="M249" s="241"/>
      <c r="N249" s="161"/>
      <c r="O249" s="139" t="s">
        <v>489</v>
      </c>
      <c r="P249" s="40" t="s">
        <v>490</v>
      </c>
      <c r="Q249" s="229" t="s">
        <v>3225</v>
      </c>
      <c r="R249" s="201" t="s">
        <v>2979</v>
      </c>
      <c r="S249" s="141" t="s">
        <v>440</v>
      </c>
      <c r="T249" s="243"/>
    </row>
    <row r="250" spans="1:20" ht="58" customHeight="1">
      <c r="A250" s="231" t="s">
        <v>2436</v>
      </c>
      <c r="B250" s="42" t="s">
        <v>1425</v>
      </c>
      <c r="C250" s="41" t="s">
        <v>1534</v>
      </c>
      <c r="D250" s="41" t="s">
        <v>446</v>
      </c>
      <c r="E250" s="200" t="s">
        <v>3229</v>
      </c>
      <c r="F250" s="200" t="s">
        <v>4274</v>
      </c>
      <c r="G250" s="245" t="s">
        <v>4275</v>
      </c>
      <c r="H250" s="42" t="s">
        <v>1522</v>
      </c>
      <c r="I250" s="248" t="s">
        <v>3013</v>
      </c>
      <c r="J250" s="233" t="s">
        <v>3220</v>
      </c>
      <c r="K250" s="162" t="s">
        <v>4588</v>
      </c>
      <c r="L250" s="241" t="s">
        <v>4589</v>
      </c>
      <c r="M250" s="241"/>
      <c r="N250" s="161" t="s">
        <v>4257</v>
      </c>
      <c r="O250" s="139" t="s">
        <v>444</v>
      </c>
      <c r="P250" s="40" t="s">
        <v>445</v>
      </c>
      <c r="Q250" s="229" t="s">
        <v>3225</v>
      </c>
      <c r="R250" s="201" t="s">
        <v>3002</v>
      </c>
      <c r="S250" s="141" t="s">
        <v>447</v>
      </c>
      <c r="T250" s="243"/>
    </row>
    <row r="251" spans="1:20" ht="58" customHeight="1">
      <c r="A251" s="231" t="s">
        <v>2436</v>
      </c>
      <c r="B251" s="42" t="s">
        <v>1538</v>
      </c>
      <c r="C251" s="41" t="s">
        <v>1527</v>
      </c>
      <c r="D251" s="41" t="s">
        <v>512</v>
      </c>
      <c r="E251" s="200" t="s">
        <v>814</v>
      </c>
      <c r="F251" s="200" t="s">
        <v>3317</v>
      </c>
      <c r="G251" s="245" t="s">
        <v>4566</v>
      </c>
      <c r="H251" s="42" t="s">
        <v>3</v>
      </c>
      <c r="I251" s="248" t="s">
        <v>1539</v>
      </c>
      <c r="J251" s="233" t="s">
        <v>3220</v>
      </c>
      <c r="K251" s="162"/>
      <c r="L251" s="241"/>
      <c r="M251" s="241"/>
      <c r="N251" s="161"/>
      <c r="O251" s="139" t="s">
        <v>510</v>
      </c>
      <c r="P251" s="40" t="s">
        <v>511</v>
      </c>
      <c r="Q251" s="229" t="s">
        <v>3227</v>
      </c>
      <c r="R251" s="201" t="s">
        <v>2981</v>
      </c>
      <c r="S251" s="141" t="s">
        <v>506</v>
      </c>
      <c r="T251" s="243"/>
    </row>
    <row r="252" spans="1:20" ht="58" customHeight="1">
      <c r="A252" s="231" t="s">
        <v>2436</v>
      </c>
      <c r="B252" s="42" t="s">
        <v>1538</v>
      </c>
      <c r="C252" s="41" t="s">
        <v>1527</v>
      </c>
      <c r="D252" s="41" t="s">
        <v>509</v>
      </c>
      <c r="E252" s="200" t="s">
        <v>813</v>
      </c>
      <c r="F252" s="200" t="s">
        <v>3318</v>
      </c>
      <c r="G252" s="245" t="s">
        <v>3319</v>
      </c>
      <c r="H252" s="42" t="s">
        <v>3</v>
      </c>
      <c r="I252" s="248" t="s">
        <v>1539</v>
      </c>
      <c r="J252" s="233" t="s">
        <v>3220</v>
      </c>
      <c r="K252" s="162"/>
      <c r="L252" s="241"/>
      <c r="M252" s="241"/>
      <c r="N252" s="161"/>
      <c r="O252" s="139" t="s">
        <v>503</v>
      </c>
      <c r="P252" s="40" t="s">
        <v>508</v>
      </c>
      <c r="Q252" s="229" t="s">
        <v>3227</v>
      </c>
      <c r="R252" s="201" t="s">
        <v>2981</v>
      </c>
      <c r="S252" s="141" t="s">
        <v>506</v>
      </c>
      <c r="T252" s="243"/>
    </row>
    <row r="253" spans="1:20" ht="58" customHeight="1">
      <c r="A253" s="231" t="s">
        <v>2436</v>
      </c>
      <c r="B253" s="42" t="s">
        <v>1538</v>
      </c>
      <c r="C253" s="41" t="s">
        <v>1537</v>
      </c>
      <c r="D253" s="41" t="s">
        <v>516</v>
      </c>
      <c r="E253" s="200" t="s">
        <v>815</v>
      </c>
      <c r="F253" s="200" t="s">
        <v>4464</v>
      </c>
      <c r="G253" s="245" t="s">
        <v>4567</v>
      </c>
      <c r="H253" s="42" t="s">
        <v>1522</v>
      </c>
      <c r="I253" s="248" t="s">
        <v>4461</v>
      </c>
      <c r="J253" s="233" t="s">
        <v>3913</v>
      </c>
      <c r="K253" s="162" t="s">
        <v>958</v>
      </c>
      <c r="L253" s="241"/>
      <c r="M253" s="241"/>
      <c r="N253" s="161"/>
      <c r="O253" s="139" t="s">
        <v>514</v>
      </c>
      <c r="P253" s="40" t="s">
        <v>515</v>
      </c>
      <c r="Q253" s="229" t="s">
        <v>3227</v>
      </c>
      <c r="R253" s="201" t="s">
        <v>2921</v>
      </c>
      <c r="S253" s="141" t="s">
        <v>507</v>
      </c>
      <c r="T253" s="243" t="s">
        <v>4465</v>
      </c>
    </row>
    <row r="254" spans="1:20" ht="58" customHeight="1">
      <c r="A254" s="231" t="s">
        <v>2436</v>
      </c>
      <c r="B254" s="42" t="s">
        <v>1538</v>
      </c>
      <c r="C254" s="41" t="s">
        <v>1531</v>
      </c>
      <c r="D254" s="41" t="s">
        <v>505</v>
      </c>
      <c r="E254" s="200" t="s">
        <v>3795</v>
      </c>
      <c r="F254" s="200" t="s">
        <v>3320</v>
      </c>
      <c r="G254" s="245" t="s">
        <v>4568</v>
      </c>
      <c r="H254" s="42" t="s">
        <v>1521</v>
      </c>
      <c r="I254" s="248" t="s">
        <v>1539</v>
      </c>
      <c r="J254" s="233" t="s">
        <v>3220</v>
      </c>
      <c r="K254" s="162"/>
      <c r="L254" s="241"/>
      <c r="M254" s="241"/>
      <c r="N254" s="161"/>
      <c r="O254" s="139" t="s">
        <v>503</v>
      </c>
      <c r="P254" s="40" t="s">
        <v>504</v>
      </c>
      <c r="Q254" s="229" t="s">
        <v>3227</v>
      </c>
      <c r="R254" s="201" t="s">
        <v>2983</v>
      </c>
      <c r="S254" s="141" t="s">
        <v>506</v>
      </c>
      <c r="T254" s="243"/>
    </row>
    <row r="255" spans="1:20" ht="58" customHeight="1">
      <c r="A255" s="231" t="s">
        <v>2436</v>
      </c>
      <c r="B255" s="42" t="s">
        <v>1538</v>
      </c>
      <c r="C255" s="41" t="s">
        <v>1530</v>
      </c>
      <c r="D255" s="41" t="s">
        <v>521</v>
      </c>
      <c r="E255" s="200" t="s">
        <v>3800</v>
      </c>
      <c r="F255" s="200" t="s">
        <v>522</v>
      </c>
      <c r="G255" s="245" t="s">
        <v>4569</v>
      </c>
      <c r="H255" s="42" t="s">
        <v>1522</v>
      </c>
      <c r="I255" s="248" t="s">
        <v>3013</v>
      </c>
      <c r="J255" s="233" t="s">
        <v>3220</v>
      </c>
      <c r="K255" s="162" t="s">
        <v>4246</v>
      </c>
      <c r="L255" s="241" t="s">
        <v>4591</v>
      </c>
      <c r="M255" s="241"/>
      <c r="N255" s="161" t="s">
        <v>4255</v>
      </c>
      <c r="O255" s="139" t="s">
        <v>519</v>
      </c>
      <c r="P255" s="40" t="s">
        <v>520</v>
      </c>
      <c r="Q255" s="229" t="s">
        <v>3227</v>
      </c>
      <c r="R255" s="201" t="s">
        <v>2985</v>
      </c>
      <c r="S255" s="141" t="s">
        <v>507</v>
      </c>
      <c r="T255" s="243" t="s">
        <v>4069</v>
      </c>
    </row>
    <row r="256" spans="1:20" ht="58" customHeight="1">
      <c r="A256" s="231" t="s">
        <v>2436</v>
      </c>
      <c r="B256" s="42" t="s">
        <v>1538</v>
      </c>
      <c r="C256" s="41" t="s">
        <v>1534</v>
      </c>
      <c r="D256" s="41" t="s">
        <v>4181</v>
      </c>
      <c r="E256" s="200" t="s">
        <v>3794</v>
      </c>
      <c r="F256" s="200" t="s">
        <v>518</v>
      </c>
      <c r="G256" s="245" t="s">
        <v>3006</v>
      </c>
      <c r="H256" s="42" t="s">
        <v>1522</v>
      </c>
      <c r="I256" s="248" t="s">
        <v>3013</v>
      </c>
      <c r="J256" s="233" t="s">
        <v>3914</v>
      </c>
      <c r="K256" s="162" t="s">
        <v>4182</v>
      </c>
      <c r="L256" s="241" t="s">
        <v>4418</v>
      </c>
      <c r="M256" s="241" t="s">
        <v>4419</v>
      </c>
      <c r="N256" s="161" t="s">
        <v>4255</v>
      </c>
      <c r="O256" s="139" t="s">
        <v>517</v>
      </c>
      <c r="P256" s="40" t="s">
        <v>4180</v>
      </c>
      <c r="Q256" s="229" t="s">
        <v>3227</v>
      </c>
      <c r="R256" s="201" t="s">
        <v>2984</v>
      </c>
      <c r="S256" s="141" t="s">
        <v>507</v>
      </c>
      <c r="T256" s="243"/>
    </row>
    <row r="257" spans="1:20" ht="58" customHeight="1">
      <c r="A257" s="231" t="s">
        <v>2436</v>
      </c>
      <c r="B257" s="42" t="s">
        <v>1538</v>
      </c>
      <c r="C257" s="41" t="s">
        <v>1534</v>
      </c>
      <c r="D257" s="41" t="s">
        <v>4183</v>
      </c>
      <c r="E257" s="200" t="s">
        <v>3794</v>
      </c>
      <c r="F257" s="200" t="s">
        <v>518</v>
      </c>
      <c r="G257" s="245" t="s">
        <v>3006</v>
      </c>
      <c r="H257" s="42" t="s">
        <v>1522</v>
      </c>
      <c r="I257" s="248" t="s">
        <v>3013</v>
      </c>
      <c r="J257" s="233" t="s">
        <v>3914</v>
      </c>
      <c r="K257" s="162" t="s">
        <v>4185</v>
      </c>
      <c r="L257" s="241" t="s">
        <v>4444</v>
      </c>
      <c r="M257" s="241" t="s">
        <v>4445</v>
      </c>
      <c r="N257" s="161" t="s">
        <v>4256</v>
      </c>
      <c r="O257" s="139" t="s">
        <v>517</v>
      </c>
      <c r="P257" s="40" t="s">
        <v>4184</v>
      </c>
      <c r="Q257" s="229" t="s">
        <v>3227</v>
      </c>
      <c r="R257" s="201" t="s">
        <v>2984</v>
      </c>
      <c r="S257" s="141" t="s">
        <v>507</v>
      </c>
      <c r="T257" s="243"/>
    </row>
    <row r="258" spans="1:20" ht="58" customHeight="1">
      <c r="A258" s="231" t="s">
        <v>2436</v>
      </c>
      <c r="B258" s="42" t="s">
        <v>1538</v>
      </c>
      <c r="C258" s="41" t="s">
        <v>1534</v>
      </c>
      <c r="D258" s="41" t="s">
        <v>4186</v>
      </c>
      <c r="E258" s="200" t="s">
        <v>3794</v>
      </c>
      <c r="F258" s="200" t="s">
        <v>518</v>
      </c>
      <c r="G258" s="245" t="s">
        <v>3006</v>
      </c>
      <c r="H258" s="42" t="s">
        <v>1522</v>
      </c>
      <c r="I258" s="248" t="s">
        <v>3013</v>
      </c>
      <c r="J258" s="233" t="s">
        <v>3914</v>
      </c>
      <c r="K258" s="162" t="s">
        <v>4188</v>
      </c>
      <c r="L258" s="241" t="s">
        <v>4446</v>
      </c>
      <c r="M258" s="241" t="s">
        <v>4447</v>
      </c>
      <c r="N258" s="161" t="s">
        <v>4256</v>
      </c>
      <c r="O258" s="139" t="s">
        <v>517</v>
      </c>
      <c r="P258" s="40" t="s">
        <v>4187</v>
      </c>
      <c r="Q258" s="229" t="s">
        <v>3227</v>
      </c>
      <c r="R258" s="201" t="s">
        <v>2984</v>
      </c>
      <c r="S258" s="141" t="s">
        <v>507</v>
      </c>
      <c r="T258" s="243"/>
    </row>
    <row r="259" spans="1:20" ht="58" customHeight="1">
      <c r="A259" s="231" t="s">
        <v>2436</v>
      </c>
      <c r="B259" s="42" t="s">
        <v>1538</v>
      </c>
      <c r="C259" s="41" t="s">
        <v>1534</v>
      </c>
      <c r="D259" s="41" t="s">
        <v>525</v>
      </c>
      <c r="E259" s="200" t="s">
        <v>816</v>
      </c>
      <c r="F259" s="200" t="s">
        <v>526</v>
      </c>
      <c r="G259" s="245" t="s">
        <v>3004</v>
      </c>
      <c r="H259" s="42" t="s">
        <v>958</v>
      </c>
      <c r="I259" s="248" t="s">
        <v>3012</v>
      </c>
      <c r="J259" s="233" t="s">
        <v>3220</v>
      </c>
      <c r="K259" s="162"/>
      <c r="L259" s="241"/>
      <c r="M259" s="241"/>
      <c r="N259" s="161"/>
      <c r="O259" s="139" t="s">
        <v>523</v>
      </c>
      <c r="P259" s="40" t="s">
        <v>524</v>
      </c>
      <c r="Q259" s="229" t="s">
        <v>3227</v>
      </c>
      <c r="R259" s="201" t="s">
        <v>958</v>
      </c>
      <c r="S259" s="141" t="s">
        <v>507</v>
      </c>
      <c r="T259" s="243"/>
    </row>
    <row r="260" spans="1:20" ht="58" customHeight="1">
      <c r="A260" s="231" t="s">
        <v>2436</v>
      </c>
      <c r="B260" s="42" t="s">
        <v>1539</v>
      </c>
      <c r="C260" s="41" t="s">
        <v>1520</v>
      </c>
      <c r="D260" s="41" t="s">
        <v>532</v>
      </c>
      <c r="E260" s="200" t="s">
        <v>818</v>
      </c>
      <c r="F260" s="200" t="s">
        <v>3332</v>
      </c>
      <c r="G260" s="245" t="s">
        <v>3333</v>
      </c>
      <c r="H260" s="42" t="s">
        <v>3</v>
      </c>
      <c r="I260" s="248" t="s">
        <v>1539</v>
      </c>
      <c r="J260" s="233" t="s">
        <v>3220</v>
      </c>
      <c r="K260" s="162"/>
      <c r="L260" s="241"/>
      <c r="M260" s="241"/>
      <c r="N260" s="161"/>
      <c r="O260" s="139" t="s">
        <v>527</v>
      </c>
      <c r="P260" s="40" t="s">
        <v>531</v>
      </c>
      <c r="Q260" s="229" t="s">
        <v>3224</v>
      </c>
      <c r="R260" s="201" t="s">
        <v>2996</v>
      </c>
      <c r="S260" s="141" t="s">
        <v>533</v>
      </c>
      <c r="T260" s="243"/>
    </row>
    <row r="261" spans="1:20" ht="58" customHeight="1">
      <c r="A261" s="231" t="s">
        <v>2436</v>
      </c>
      <c r="B261" s="42" t="s">
        <v>1539</v>
      </c>
      <c r="C261" s="41" t="s">
        <v>1523</v>
      </c>
      <c r="D261" s="41" t="s">
        <v>537</v>
      </c>
      <c r="E261" s="200" t="s">
        <v>820</v>
      </c>
      <c r="F261" s="200" t="s">
        <v>3336</v>
      </c>
      <c r="G261" s="245" t="s">
        <v>3337</v>
      </c>
      <c r="H261" s="42" t="s">
        <v>958</v>
      </c>
      <c r="I261" s="248" t="s">
        <v>1539</v>
      </c>
      <c r="J261" s="233" t="s">
        <v>3220</v>
      </c>
      <c r="K261" s="162"/>
      <c r="L261" s="241"/>
      <c r="M261" s="241"/>
      <c r="N261" s="161"/>
      <c r="O261" s="139" t="s">
        <v>527</v>
      </c>
      <c r="P261" s="40" t="s">
        <v>536</v>
      </c>
      <c r="Q261" s="229" t="s">
        <v>3224</v>
      </c>
      <c r="R261" s="201" t="s">
        <v>2997</v>
      </c>
      <c r="S261" s="141" t="s">
        <v>530</v>
      </c>
      <c r="T261" s="243"/>
    </row>
    <row r="262" spans="1:20" ht="58" customHeight="1">
      <c r="A262" s="231" t="s">
        <v>2436</v>
      </c>
      <c r="B262" s="42" t="s">
        <v>1539</v>
      </c>
      <c r="C262" s="41" t="s">
        <v>1523</v>
      </c>
      <c r="D262" s="41" t="s">
        <v>539</v>
      </c>
      <c r="E262" s="200" t="s">
        <v>821</v>
      </c>
      <c r="F262" s="200" t="s">
        <v>3338</v>
      </c>
      <c r="G262" s="245" t="s">
        <v>4570</v>
      </c>
      <c r="H262" s="42" t="s">
        <v>3</v>
      </c>
      <c r="I262" s="248" t="s">
        <v>1539</v>
      </c>
      <c r="J262" s="233" t="s">
        <v>3220</v>
      </c>
      <c r="K262" s="162"/>
      <c r="L262" s="241"/>
      <c r="M262" s="241"/>
      <c r="N262" s="161"/>
      <c r="O262" s="139" t="s">
        <v>527</v>
      </c>
      <c r="P262" s="40" t="s">
        <v>538</v>
      </c>
      <c r="Q262" s="229" t="s">
        <v>3224</v>
      </c>
      <c r="R262" s="201"/>
      <c r="S262" s="141" t="s">
        <v>530</v>
      </c>
      <c r="T262" s="243"/>
    </row>
    <row r="263" spans="1:20" ht="58" customHeight="1">
      <c r="A263" s="231" t="s">
        <v>2436</v>
      </c>
      <c r="B263" s="42" t="s">
        <v>1539</v>
      </c>
      <c r="C263" s="41" t="s">
        <v>1523</v>
      </c>
      <c r="D263" s="41" t="s">
        <v>541</v>
      </c>
      <c r="E263" s="200" t="s">
        <v>822</v>
      </c>
      <c r="F263" s="200" t="s">
        <v>3339</v>
      </c>
      <c r="G263" s="245" t="s">
        <v>4571</v>
      </c>
      <c r="H263" s="42" t="s">
        <v>3</v>
      </c>
      <c r="I263" s="248" t="s">
        <v>1539</v>
      </c>
      <c r="J263" s="233" t="s">
        <v>3220</v>
      </c>
      <c r="K263" s="162"/>
      <c r="L263" s="241"/>
      <c r="M263" s="241"/>
      <c r="N263" s="161"/>
      <c r="O263" s="139" t="s">
        <v>527</v>
      </c>
      <c r="P263" s="40" t="s">
        <v>540</v>
      </c>
      <c r="Q263" s="229" t="s">
        <v>3224</v>
      </c>
      <c r="R263" s="201"/>
      <c r="S263" s="141" t="s">
        <v>530</v>
      </c>
      <c r="T263" s="243"/>
    </row>
    <row r="264" spans="1:20" ht="58" customHeight="1">
      <c r="A264" s="231" t="s">
        <v>2436</v>
      </c>
      <c r="B264" s="42" t="s">
        <v>1539</v>
      </c>
      <c r="C264" s="41" t="s">
        <v>1523</v>
      </c>
      <c r="D264" s="41" t="s">
        <v>584</v>
      </c>
      <c r="E264" s="200" t="s">
        <v>841</v>
      </c>
      <c r="F264" s="200" t="s">
        <v>3363</v>
      </c>
      <c r="G264" s="245" t="s">
        <v>3356</v>
      </c>
      <c r="H264" s="42" t="s">
        <v>3</v>
      </c>
      <c r="I264" s="248" t="s">
        <v>1539</v>
      </c>
      <c r="J264" s="233" t="s">
        <v>3220</v>
      </c>
      <c r="K264" s="162"/>
      <c r="L264" s="241"/>
      <c r="M264" s="241"/>
      <c r="N264" s="161"/>
      <c r="O264" s="139" t="s">
        <v>567</v>
      </c>
      <c r="P264" s="40" t="s">
        <v>583</v>
      </c>
      <c r="Q264" s="229" t="s">
        <v>3224</v>
      </c>
      <c r="R264" s="201"/>
      <c r="S264" s="141" t="s">
        <v>570</v>
      </c>
      <c r="T264" s="243"/>
    </row>
    <row r="265" spans="1:20" ht="58" customHeight="1">
      <c r="A265" s="231" t="s">
        <v>2436</v>
      </c>
      <c r="B265" s="42" t="s">
        <v>1539</v>
      </c>
      <c r="C265" s="41" t="s">
        <v>1523</v>
      </c>
      <c r="D265" s="41" t="s">
        <v>587</v>
      </c>
      <c r="E265" s="200" t="s">
        <v>842</v>
      </c>
      <c r="F265" s="200" t="s">
        <v>3364</v>
      </c>
      <c r="G265" s="245" t="s">
        <v>3356</v>
      </c>
      <c r="H265" s="42" t="s">
        <v>3</v>
      </c>
      <c r="I265" s="248" t="s">
        <v>1539</v>
      </c>
      <c r="J265" s="233" t="s">
        <v>3220</v>
      </c>
      <c r="K265" s="162"/>
      <c r="L265" s="241"/>
      <c r="M265" s="241"/>
      <c r="N265" s="161"/>
      <c r="O265" s="139" t="s">
        <v>585</v>
      </c>
      <c r="P265" s="40" t="s">
        <v>586</v>
      </c>
      <c r="Q265" s="229" t="s">
        <v>3224</v>
      </c>
      <c r="R265" s="201"/>
      <c r="S265" s="141" t="s">
        <v>588</v>
      </c>
      <c r="T265" s="243"/>
    </row>
    <row r="266" spans="1:20" ht="58" customHeight="1">
      <c r="A266" s="231" t="s">
        <v>2436</v>
      </c>
      <c r="B266" s="42" t="s">
        <v>1539</v>
      </c>
      <c r="C266" s="41" t="s">
        <v>1523</v>
      </c>
      <c r="D266" s="41" t="s">
        <v>606</v>
      </c>
      <c r="E266" s="200" t="s">
        <v>851</v>
      </c>
      <c r="F266" s="200" t="s">
        <v>3378</v>
      </c>
      <c r="G266" s="245" t="s">
        <v>3379</v>
      </c>
      <c r="H266" s="42" t="s">
        <v>958</v>
      </c>
      <c r="I266" s="248" t="s">
        <v>1539</v>
      </c>
      <c r="J266" s="233" t="s">
        <v>3220</v>
      </c>
      <c r="K266" s="162"/>
      <c r="L266" s="241"/>
      <c r="M266" s="241"/>
      <c r="N266" s="161"/>
      <c r="O266" s="139" t="s">
        <v>585</v>
      </c>
      <c r="P266" s="40" t="s">
        <v>605</v>
      </c>
      <c r="Q266" s="229" t="s">
        <v>3224</v>
      </c>
      <c r="R266" s="201"/>
      <c r="S266" s="141" t="s">
        <v>588</v>
      </c>
      <c r="T266" s="243"/>
    </row>
    <row r="267" spans="1:20" ht="58" customHeight="1">
      <c r="A267" s="231" t="s">
        <v>2436</v>
      </c>
      <c r="B267" s="42" t="s">
        <v>1539</v>
      </c>
      <c r="C267" s="41" t="s">
        <v>1523</v>
      </c>
      <c r="D267" s="41" t="s">
        <v>608</v>
      </c>
      <c r="E267" s="200" t="s">
        <v>852</v>
      </c>
      <c r="F267" s="200" t="s">
        <v>3380</v>
      </c>
      <c r="G267" s="245" t="s">
        <v>4572</v>
      </c>
      <c r="H267" s="42" t="s">
        <v>3</v>
      </c>
      <c r="I267" s="248" t="s">
        <v>1539</v>
      </c>
      <c r="J267" s="233" t="s">
        <v>3220</v>
      </c>
      <c r="K267" s="162"/>
      <c r="L267" s="241"/>
      <c r="M267" s="241"/>
      <c r="N267" s="161"/>
      <c r="O267" s="139" t="s">
        <v>585</v>
      </c>
      <c r="P267" s="40" t="s">
        <v>607</v>
      </c>
      <c r="Q267" s="229" t="s">
        <v>3224</v>
      </c>
      <c r="R267" s="201"/>
      <c r="S267" s="141" t="s">
        <v>588</v>
      </c>
      <c r="T267" s="243"/>
    </row>
    <row r="268" spans="1:20" ht="58" customHeight="1">
      <c r="A268" s="231" t="s">
        <v>2436</v>
      </c>
      <c r="B268" s="42" t="s">
        <v>1539</v>
      </c>
      <c r="C268" s="41" t="s">
        <v>1524</v>
      </c>
      <c r="D268" s="41" t="s">
        <v>590</v>
      </c>
      <c r="E268" s="200" t="s">
        <v>843</v>
      </c>
      <c r="F268" s="200" t="s">
        <v>3365</v>
      </c>
      <c r="G268" s="245" t="s">
        <v>3366</v>
      </c>
      <c r="H268" s="42" t="s">
        <v>3</v>
      </c>
      <c r="I268" s="248" t="s">
        <v>1539</v>
      </c>
      <c r="J268" s="233" t="s">
        <v>3220</v>
      </c>
      <c r="K268" s="162"/>
      <c r="L268" s="241"/>
      <c r="M268" s="241"/>
      <c r="N268" s="161"/>
      <c r="O268" s="139" t="s">
        <v>585</v>
      </c>
      <c r="P268" s="40" t="s">
        <v>589</v>
      </c>
      <c r="Q268" s="229" t="s">
        <v>3224</v>
      </c>
      <c r="R268" s="201"/>
      <c r="S268" s="141" t="s">
        <v>588</v>
      </c>
      <c r="T268" s="243"/>
    </row>
    <row r="269" spans="1:20" ht="58" customHeight="1">
      <c r="A269" s="231" t="s">
        <v>2436</v>
      </c>
      <c r="B269" s="42" t="s">
        <v>1539</v>
      </c>
      <c r="C269" s="41" t="s">
        <v>1526</v>
      </c>
      <c r="D269" s="41" t="s">
        <v>616</v>
      </c>
      <c r="E269" s="200" t="s">
        <v>856</v>
      </c>
      <c r="F269" s="200" t="s">
        <v>3384</v>
      </c>
      <c r="G269" s="245" t="s">
        <v>4573</v>
      </c>
      <c r="H269" s="42" t="s">
        <v>3</v>
      </c>
      <c r="I269" s="248" t="s">
        <v>1539</v>
      </c>
      <c r="J269" s="233" t="s">
        <v>3220</v>
      </c>
      <c r="K269" s="162"/>
      <c r="L269" s="241"/>
      <c r="M269" s="241"/>
      <c r="N269" s="161"/>
      <c r="O269" s="139" t="s">
        <v>585</v>
      </c>
      <c r="P269" s="40" t="s">
        <v>615</v>
      </c>
      <c r="Q269" s="229" t="s">
        <v>3224</v>
      </c>
      <c r="R269" s="201"/>
      <c r="S269" s="141" t="s">
        <v>588</v>
      </c>
      <c r="T269" s="243"/>
    </row>
    <row r="270" spans="1:20" ht="58" customHeight="1">
      <c r="A270" s="231" t="s">
        <v>2436</v>
      </c>
      <c r="B270" s="42" t="s">
        <v>1539</v>
      </c>
      <c r="C270" s="41" t="s">
        <v>1527</v>
      </c>
      <c r="D270" s="41" t="s">
        <v>535</v>
      </c>
      <c r="E270" s="200" t="s">
        <v>819</v>
      </c>
      <c r="F270" s="200" t="s">
        <v>3334</v>
      </c>
      <c r="G270" s="245" t="s">
        <v>3335</v>
      </c>
      <c r="H270" s="42" t="s">
        <v>3</v>
      </c>
      <c r="I270" s="248" t="s">
        <v>1539</v>
      </c>
      <c r="J270" s="233" t="s">
        <v>3220</v>
      </c>
      <c r="K270" s="162"/>
      <c r="L270" s="241"/>
      <c r="M270" s="241"/>
      <c r="N270" s="161"/>
      <c r="O270" s="139" t="s">
        <v>527</v>
      </c>
      <c r="P270" s="40" t="s">
        <v>534</v>
      </c>
      <c r="Q270" s="229" t="s">
        <v>3224</v>
      </c>
      <c r="R270" s="201"/>
      <c r="S270" s="141" t="s">
        <v>530</v>
      </c>
      <c r="T270" s="243"/>
    </row>
    <row r="271" spans="1:20" ht="58" customHeight="1">
      <c r="A271" s="231" t="s">
        <v>2436</v>
      </c>
      <c r="B271" s="42" t="s">
        <v>1539</v>
      </c>
      <c r="C271" s="41" t="s">
        <v>1527</v>
      </c>
      <c r="D271" s="41" t="s">
        <v>592</v>
      </c>
      <c r="E271" s="200" t="s">
        <v>844</v>
      </c>
      <c r="F271" s="200" t="s">
        <v>3367</v>
      </c>
      <c r="G271" s="245" t="s">
        <v>3356</v>
      </c>
      <c r="H271" s="42" t="s">
        <v>2</v>
      </c>
      <c r="I271" s="248" t="s">
        <v>3011</v>
      </c>
      <c r="J271" s="233" t="s">
        <v>3220</v>
      </c>
      <c r="K271" s="162"/>
      <c r="L271" s="241"/>
      <c r="M271" s="241"/>
      <c r="N271" s="161"/>
      <c r="O271" s="139" t="s">
        <v>585</v>
      </c>
      <c r="P271" s="40" t="s">
        <v>591</v>
      </c>
      <c r="Q271" s="229" t="s">
        <v>3224</v>
      </c>
      <c r="R271" s="201" t="s">
        <v>5302</v>
      </c>
      <c r="S271" s="141" t="s">
        <v>588</v>
      </c>
      <c r="T271" s="243"/>
    </row>
    <row r="272" spans="1:20" ht="58" customHeight="1">
      <c r="A272" s="231" t="s">
        <v>2436</v>
      </c>
      <c r="B272" s="42" t="s">
        <v>1539</v>
      </c>
      <c r="C272" s="41" t="s">
        <v>1527</v>
      </c>
      <c r="D272" s="41" t="s">
        <v>594</v>
      </c>
      <c r="E272" s="200" t="s">
        <v>845</v>
      </c>
      <c r="F272" s="200" t="s">
        <v>3368</v>
      </c>
      <c r="G272" s="245" t="s">
        <v>4574</v>
      </c>
      <c r="H272" s="42" t="s">
        <v>2</v>
      </c>
      <c r="I272" s="248" t="s">
        <v>3011</v>
      </c>
      <c r="J272" s="233" t="s">
        <v>3220</v>
      </c>
      <c r="K272" s="162"/>
      <c r="L272" s="241"/>
      <c r="M272" s="241"/>
      <c r="N272" s="161"/>
      <c r="O272" s="139" t="s">
        <v>585</v>
      </c>
      <c r="P272" s="40" t="s">
        <v>593</v>
      </c>
      <c r="Q272" s="229" t="s">
        <v>3224</v>
      </c>
      <c r="R272" s="201" t="s">
        <v>5302</v>
      </c>
      <c r="S272" s="141" t="s">
        <v>588</v>
      </c>
      <c r="T272" s="243"/>
    </row>
    <row r="273" spans="1:20" ht="58" customHeight="1">
      <c r="A273" s="231" t="s">
        <v>2436</v>
      </c>
      <c r="B273" s="42" t="s">
        <v>1539</v>
      </c>
      <c r="C273" s="41" t="s">
        <v>1527</v>
      </c>
      <c r="D273" s="41" t="s">
        <v>602</v>
      </c>
      <c r="E273" s="200" t="s">
        <v>849</v>
      </c>
      <c r="F273" s="200" t="s">
        <v>3374</v>
      </c>
      <c r="G273" s="245" t="s">
        <v>3375</v>
      </c>
      <c r="H273" s="42" t="s">
        <v>3</v>
      </c>
      <c r="I273" s="248" t="s">
        <v>1539</v>
      </c>
      <c r="J273" s="233" t="s">
        <v>3220</v>
      </c>
      <c r="K273" s="162"/>
      <c r="L273" s="241"/>
      <c r="M273" s="241"/>
      <c r="N273" s="161"/>
      <c r="O273" s="139" t="s">
        <v>585</v>
      </c>
      <c r="P273" s="40" t="s">
        <v>601</v>
      </c>
      <c r="Q273" s="229" t="s">
        <v>3224</v>
      </c>
      <c r="R273" s="201"/>
      <c r="S273" s="141" t="s">
        <v>588</v>
      </c>
      <c r="T273" s="243"/>
    </row>
    <row r="274" spans="1:20" ht="58" customHeight="1">
      <c r="A274" s="231" t="s">
        <v>2436</v>
      </c>
      <c r="B274" s="42" t="s">
        <v>1539</v>
      </c>
      <c r="C274" s="41" t="s">
        <v>1527</v>
      </c>
      <c r="D274" s="41" t="s">
        <v>621</v>
      </c>
      <c r="E274" s="200" t="s">
        <v>858</v>
      </c>
      <c r="F274" s="200" t="s">
        <v>3387</v>
      </c>
      <c r="G274" s="245" t="s">
        <v>3388</v>
      </c>
      <c r="H274" s="42" t="s">
        <v>3</v>
      </c>
      <c r="I274" s="248" t="s">
        <v>1539</v>
      </c>
      <c r="J274" s="233" t="s">
        <v>3220</v>
      </c>
      <c r="K274" s="162"/>
      <c r="L274" s="241"/>
      <c r="M274" s="241"/>
      <c r="N274" s="161"/>
      <c r="O274" s="139" t="s">
        <v>585</v>
      </c>
      <c r="P274" s="40" t="s">
        <v>620</v>
      </c>
      <c r="Q274" s="229" t="s">
        <v>3224</v>
      </c>
      <c r="R274" s="201"/>
      <c r="S274" s="141" t="s">
        <v>588</v>
      </c>
      <c r="T274" s="243"/>
    </row>
    <row r="275" spans="1:20" ht="58" customHeight="1">
      <c r="A275" s="231" t="s">
        <v>2436</v>
      </c>
      <c r="B275" s="42" t="s">
        <v>1539</v>
      </c>
      <c r="C275" s="41" t="s">
        <v>1529</v>
      </c>
      <c r="D275" s="41" t="s">
        <v>547</v>
      </c>
      <c r="E275" s="200" t="s">
        <v>825</v>
      </c>
      <c r="F275" s="200" t="s">
        <v>3343</v>
      </c>
      <c r="G275" s="245" t="s">
        <v>4575</v>
      </c>
      <c r="H275" s="42" t="s">
        <v>3</v>
      </c>
      <c r="I275" s="248" t="s">
        <v>1539</v>
      </c>
      <c r="J275" s="233" t="s">
        <v>3220</v>
      </c>
      <c r="K275" s="162"/>
      <c r="L275" s="241"/>
      <c r="M275" s="241"/>
      <c r="N275" s="161"/>
      <c r="O275" s="139" t="s">
        <v>527</v>
      </c>
      <c r="P275" s="40" t="s">
        <v>546</v>
      </c>
      <c r="Q275" s="229" t="s">
        <v>3224</v>
      </c>
      <c r="R275" s="201"/>
      <c r="S275" s="141" t="s">
        <v>530</v>
      </c>
      <c r="T275" s="243"/>
    </row>
    <row r="276" spans="1:20" ht="58" customHeight="1">
      <c r="A276" s="231" t="s">
        <v>2436</v>
      </c>
      <c r="B276" s="42" t="s">
        <v>1539</v>
      </c>
      <c r="C276" s="41" t="s">
        <v>1529</v>
      </c>
      <c r="D276" s="41" t="s">
        <v>553</v>
      </c>
      <c r="E276" s="200" t="s">
        <v>828</v>
      </c>
      <c r="F276" s="200" t="s">
        <v>3346</v>
      </c>
      <c r="G276" s="245" t="s">
        <v>3347</v>
      </c>
      <c r="H276" s="42" t="s">
        <v>3</v>
      </c>
      <c r="I276" s="248" t="s">
        <v>1539</v>
      </c>
      <c r="J276" s="233" t="s">
        <v>3220</v>
      </c>
      <c r="K276" s="162"/>
      <c r="L276" s="241"/>
      <c r="M276" s="241"/>
      <c r="N276" s="161"/>
      <c r="O276" s="139" t="s">
        <v>527</v>
      </c>
      <c r="P276" s="40" t="s">
        <v>552</v>
      </c>
      <c r="Q276" s="229" t="s">
        <v>3224</v>
      </c>
      <c r="R276" s="201"/>
      <c r="S276" s="141" t="s">
        <v>554</v>
      </c>
      <c r="T276" s="243"/>
    </row>
    <row r="277" spans="1:20" ht="58" customHeight="1">
      <c r="A277" s="231" t="s">
        <v>2436</v>
      </c>
      <c r="B277" s="42" t="s">
        <v>1539</v>
      </c>
      <c r="C277" s="41" t="s">
        <v>1529</v>
      </c>
      <c r="D277" s="41" t="s">
        <v>596</v>
      </c>
      <c r="E277" s="200" t="s">
        <v>846</v>
      </c>
      <c r="F277" s="200" t="s">
        <v>3369</v>
      </c>
      <c r="G277" s="245" t="s">
        <v>3370</v>
      </c>
      <c r="H277" s="42" t="s">
        <v>3</v>
      </c>
      <c r="I277" s="248" t="s">
        <v>1539</v>
      </c>
      <c r="J277" s="233" t="s">
        <v>3220</v>
      </c>
      <c r="K277" s="162"/>
      <c r="L277" s="241"/>
      <c r="M277" s="241"/>
      <c r="N277" s="161"/>
      <c r="O277" s="139" t="s">
        <v>585</v>
      </c>
      <c r="P277" s="40" t="s">
        <v>595</v>
      </c>
      <c r="Q277" s="229" t="s">
        <v>3224</v>
      </c>
      <c r="R277" s="201"/>
      <c r="S277" s="141" t="s">
        <v>588</v>
      </c>
      <c r="T277" s="243"/>
    </row>
    <row r="278" spans="1:20" ht="58" customHeight="1">
      <c r="A278" s="231" t="s">
        <v>2436</v>
      </c>
      <c r="B278" s="42" t="s">
        <v>1539</v>
      </c>
      <c r="C278" s="41" t="s">
        <v>1529</v>
      </c>
      <c r="D278" s="41" t="s">
        <v>604</v>
      </c>
      <c r="E278" s="200" t="s">
        <v>850</v>
      </c>
      <c r="F278" s="200" t="s">
        <v>3376</v>
      </c>
      <c r="G278" s="245" t="s">
        <v>3377</v>
      </c>
      <c r="H278" s="42" t="s">
        <v>3</v>
      </c>
      <c r="I278" s="248" t="s">
        <v>1539</v>
      </c>
      <c r="J278" s="233" t="s">
        <v>3220</v>
      </c>
      <c r="K278" s="162"/>
      <c r="L278" s="241"/>
      <c r="M278" s="241"/>
      <c r="N278" s="161"/>
      <c r="O278" s="139" t="s">
        <v>585</v>
      </c>
      <c r="P278" s="40" t="s">
        <v>603</v>
      </c>
      <c r="Q278" s="229" t="s">
        <v>3224</v>
      </c>
      <c r="R278" s="201"/>
      <c r="S278" s="141" t="s">
        <v>588</v>
      </c>
      <c r="T278" s="243"/>
    </row>
    <row r="279" spans="1:20" ht="58" customHeight="1">
      <c r="A279" s="231" t="s">
        <v>2436</v>
      </c>
      <c r="B279" s="42" t="s">
        <v>1539</v>
      </c>
      <c r="C279" s="41" t="s">
        <v>1529</v>
      </c>
      <c r="D279" s="41" t="s">
        <v>618</v>
      </c>
      <c r="E279" s="200" t="s">
        <v>857</v>
      </c>
      <c r="F279" s="200" t="s">
        <v>3385</v>
      </c>
      <c r="G279" s="245" t="s">
        <v>3386</v>
      </c>
      <c r="H279" s="42" t="s">
        <v>3</v>
      </c>
      <c r="I279" s="248" t="s">
        <v>1539</v>
      </c>
      <c r="J279" s="233" t="s">
        <v>3220</v>
      </c>
      <c r="K279" s="162"/>
      <c r="L279" s="241"/>
      <c r="M279" s="241"/>
      <c r="N279" s="161"/>
      <c r="O279" s="139" t="s">
        <v>585</v>
      </c>
      <c r="P279" s="40" t="s">
        <v>617</v>
      </c>
      <c r="Q279" s="229" t="s">
        <v>3224</v>
      </c>
      <c r="R279" s="201"/>
      <c r="S279" s="141" t="s">
        <v>619</v>
      </c>
      <c r="T279" s="243"/>
    </row>
    <row r="280" spans="1:20" ht="58" customHeight="1">
      <c r="A280" s="231" t="s">
        <v>2436</v>
      </c>
      <c r="B280" s="42" t="s">
        <v>1539</v>
      </c>
      <c r="C280" s="41" t="s">
        <v>1537</v>
      </c>
      <c r="D280" s="41" t="s">
        <v>557</v>
      </c>
      <c r="E280" s="200" t="s">
        <v>829</v>
      </c>
      <c r="F280" s="200" t="s">
        <v>3348</v>
      </c>
      <c r="G280" s="245" t="s">
        <v>4616</v>
      </c>
      <c r="H280" s="42" t="s">
        <v>3</v>
      </c>
      <c r="I280" s="248" t="s">
        <v>1539</v>
      </c>
      <c r="J280" s="233" t="s">
        <v>3220</v>
      </c>
      <c r="K280" s="162"/>
      <c r="L280" s="241"/>
      <c r="M280" s="241"/>
      <c r="N280" s="161"/>
      <c r="O280" s="139" t="s">
        <v>555</v>
      </c>
      <c r="P280" s="40" t="s">
        <v>556</v>
      </c>
      <c r="Q280" s="229" t="s">
        <v>3224</v>
      </c>
      <c r="R280" s="201"/>
      <c r="S280" s="141" t="s">
        <v>558</v>
      </c>
      <c r="T280" s="243" t="s">
        <v>4617</v>
      </c>
    </row>
    <row r="281" spans="1:20" ht="58" customHeight="1">
      <c r="A281" s="231" t="s">
        <v>2436</v>
      </c>
      <c r="B281" s="42" t="s">
        <v>1539</v>
      </c>
      <c r="C281" s="41" t="s">
        <v>1537</v>
      </c>
      <c r="D281" s="41" t="s">
        <v>560</v>
      </c>
      <c r="E281" s="200" t="s">
        <v>830</v>
      </c>
      <c r="F281" s="200" t="s">
        <v>3349</v>
      </c>
      <c r="G281" s="245" t="s">
        <v>4576</v>
      </c>
      <c r="H281" s="42" t="s">
        <v>3</v>
      </c>
      <c r="I281" s="248" t="s">
        <v>1539</v>
      </c>
      <c r="J281" s="233" t="s">
        <v>3220</v>
      </c>
      <c r="K281" s="162"/>
      <c r="L281" s="241"/>
      <c r="M281" s="241"/>
      <c r="N281" s="161"/>
      <c r="O281" s="139" t="s">
        <v>555</v>
      </c>
      <c r="P281" s="40" t="s">
        <v>559</v>
      </c>
      <c r="Q281" s="229" t="s">
        <v>3224</v>
      </c>
      <c r="R281" s="201"/>
      <c r="S281" s="141" t="s">
        <v>558</v>
      </c>
      <c r="T281" s="243"/>
    </row>
    <row r="282" spans="1:20" ht="58" customHeight="1">
      <c r="A282" s="231" t="s">
        <v>2436</v>
      </c>
      <c r="B282" s="42" t="s">
        <v>1539</v>
      </c>
      <c r="C282" s="41" t="s">
        <v>1537</v>
      </c>
      <c r="D282" s="41" t="s">
        <v>562</v>
      </c>
      <c r="E282" s="200" t="s">
        <v>831</v>
      </c>
      <c r="F282" s="200" t="s">
        <v>3350</v>
      </c>
      <c r="G282" s="245" t="s">
        <v>4618</v>
      </c>
      <c r="H282" s="42" t="s">
        <v>3</v>
      </c>
      <c r="I282" s="248" t="s">
        <v>1539</v>
      </c>
      <c r="J282" s="233" t="s">
        <v>3220</v>
      </c>
      <c r="K282" s="162"/>
      <c r="L282" s="241"/>
      <c r="M282" s="241"/>
      <c r="N282" s="161"/>
      <c r="O282" s="139" t="s">
        <v>555</v>
      </c>
      <c r="P282" s="40" t="s">
        <v>561</v>
      </c>
      <c r="Q282" s="229" t="s">
        <v>3224</v>
      </c>
      <c r="R282" s="201"/>
      <c r="S282" s="141" t="s">
        <v>558</v>
      </c>
      <c r="T282" s="243" t="s">
        <v>4619</v>
      </c>
    </row>
    <row r="283" spans="1:20" ht="58" customHeight="1">
      <c r="A283" s="231" t="s">
        <v>2436</v>
      </c>
      <c r="B283" s="42" t="s">
        <v>1539</v>
      </c>
      <c r="C283" s="41" t="s">
        <v>1537</v>
      </c>
      <c r="D283" s="41" t="s">
        <v>564</v>
      </c>
      <c r="E283" s="200" t="s">
        <v>832</v>
      </c>
      <c r="F283" s="200" t="s">
        <v>3351</v>
      </c>
      <c r="G283" s="245" t="s">
        <v>4577</v>
      </c>
      <c r="H283" s="42" t="s">
        <v>3</v>
      </c>
      <c r="I283" s="248" t="s">
        <v>1539</v>
      </c>
      <c r="J283" s="233" t="s">
        <v>3220</v>
      </c>
      <c r="K283" s="162"/>
      <c r="L283" s="241"/>
      <c r="M283" s="241"/>
      <c r="N283" s="161"/>
      <c r="O283" s="139" t="s">
        <v>555</v>
      </c>
      <c r="P283" s="40" t="s">
        <v>563</v>
      </c>
      <c r="Q283" s="229" t="s">
        <v>3224</v>
      </c>
      <c r="R283" s="201"/>
      <c r="S283" s="141" t="s">
        <v>558</v>
      </c>
      <c r="T283" s="243"/>
    </row>
    <row r="284" spans="1:20" ht="58" customHeight="1">
      <c r="A284" s="232" t="s">
        <v>2436</v>
      </c>
      <c r="B284" s="46" t="s">
        <v>1539</v>
      </c>
      <c r="C284" s="45" t="s">
        <v>1537</v>
      </c>
      <c r="D284" s="45" t="s">
        <v>566</v>
      </c>
      <c r="E284" s="246" t="s">
        <v>833</v>
      </c>
      <c r="F284" s="246" t="s">
        <v>3352</v>
      </c>
      <c r="G284" s="247" t="s">
        <v>4578</v>
      </c>
      <c r="H284" s="46" t="s">
        <v>3</v>
      </c>
      <c r="I284" s="249" t="s">
        <v>1539</v>
      </c>
      <c r="J284" s="234" t="s">
        <v>3220</v>
      </c>
      <c r="K284" s="162"/>
      <c r="L284" s="241"/>
      <c r="M284" s="241"/>
      <c r="N284" s="161"/>
      <c r="O284" s="140" t="s">
        <v>555</v>
      </c>
      <c r="P284" s="44" t="s">
        <v>565</v>
      </c>
      <c r="Q284" s="230" t="s">
        <v>3224</v>
      </c>
      <c r="R284" s="202"/>
      <c r="S284" s="142" t="s">
        <v>558</v>
      </c>
      <c r="T284" s="244"/>
    </row>
    <row r="285" spans="1:20" ht="58" customHeight="1">
      <c r="A285" s="232" t="s">
        <v>2436</v>
      </c>
      <c r="B285" s="46" t="s">
        <v>1539</v>
      </c>
      <c r="C285" s="45" t="s">
        <v>1537</v>
      </c>
      <c r="D285" s="45" t="s">
        <v>638</v>
      </c>
      <c r="E285" s="246" t="s">
        <v>864</v>
      </c>
      <c r="F285" s="246" t="s">
        <v>3397</v>
      </c>
      <c r="G285" s="247" t="s">
        <v>3356</v>
      </c>
      <c r="H285" s="46" t="s">
        <v>3</v>
      </c>
      <c r="I285" s="249" t="s">
        <v>1539</v>
      </c>
      <c r="J285" s="234" t="s">
        <v>3220</v>
      </c>
      <c r="K285" s="162"/>
      <c r="L285" s="241"/>
      <c r="M285" s="241"/>
      <c r="N285" s="161"/>
      <c r="O285" s="140" t="s">
        <v>624</v>
      </c>
      <c r="P285" s="44" t="s">
        <v>637</v>
      </c>
      <c r="Q285" s="230" t="s">
        <v>3224</v>
      </c>
      <c r="R285" s="202"/>
      <c r="S285" s="142" t="s">
        <v>627</v>
      </c>
      <c r="T285" s="244"/>
    </row>
    <row r="286" spans="1:20" ht="58" customHeight="1">
      <c r="A286" s="232" t="s">
        <v>2436</v>
      </c>
      <c r="B286" s="46" t="s">
        <v>1539</v>
      </c>
      <c r="C286" s="45" t="s">
        <v>1531</v>
      </c>
      <c r="D286" s="45" t="s">
        <v>529</v>
      </c>
      <c r="E286" s="246" t="s">
        <v>817</v>
      </c>
      <c r="F286" s="246" t="s">
        <v>3331</v>
      </c>
      <c r="G286" s="247" t="s">
        <v>4579</v>
      </c>
      <c r="H286" s="46" t="s">
        <v>3</v>
      </c>
      <c r="I286" s="249" t="s">
        <v>1539</v>
      </c>
      <c r="J286" s="234" t="s">
        <v>3220</v>
      </c>
      <c r="K286" s="162"/>
      <c r="L286" s="241"/>
      <c r="M286" s="241"/>
      <c r="N286" s="161"/>
      <c r="O286" s="140" t="s">
        <v>527</v>
      </c>
      <c r="P286" s="44" t="s">
        <v>528</v>
      </c>
      <c r="Q286" s="230" t="s">
        <v>3224</v>
      </c>
      <c r="R286" s="202"/>
      <c r="S286" s="142" t="s">
        <v>530</v>
      </c>
      <c r="T286" s="244"/>
    </row>
    <row r="287" spans="1:20" ht="58" customHeight="1">
      <c r="A287" s="232" t="s">
        <v>2436</v>
      </c>
      <c r="B287" s="46" t="s">
        <v>1539</v>
      </c>
      <c r="C287" s="45" t="s">
        <v>1531</v>
      </c>
      <c r="D287" s="45" t="s">
        <v>545</v>
      </c>
      <c r="E287" s="246" t="s">
        <v>824</v>
      </c>
      <c r="F287" s="246" t="s">
        <v>3342</v>
      </c>
      <c r="G287" s="247" t="s">
        <v>4580</v>
      </c>
      <c r="H287" s="46" t="s">
        <v>3</v>
      </c>
      <c r="I287" s="249" t="s">
        <v>1539</v>
      </c>
      <c r="J287" s="234" t="s">
        <v>3220</v>
      </c>
      <c r="K287" s="162"/>
      <c r="L287" s="241"/>
      <c r="M287" s="241"/>
      <c r="N287" s="161"/>
      <c r="O287" s="140" t="s">
        <v>527</v>
      </c>
      <c r="P287" s="44" t="s">
        <v>544</v>
      </c>
      <c r="Q287" s="230" t="s">
        <v>3224</v>
      </c>
      <c r="R287" s="202"/>
      <c r="S287" s="142" t="s">
        <v>530</v>
      </c>
      <c r="T287" s="244"/>
    </row>
    <row r="288" spans="1:20" ht="58" customHeight="1">
      <c r="A288" s="232" t="s">
        <v>2436</v>
      </c>
      <c r="B288" s="46" t="s">
        <v>1539</v>
      </c>
      <c r="C288" s="45" t="s">
        <v>1531</v>
      </c>
      <c r="D288" s="45" t="s">
        <v>549</v>
      </c>
      <c r="E288" s="246" t="s">
        <v>826</v>
      </c>
      <c r="F288" s="246" t="s">
        <v>3344</v>
      </c>
      <c r="G288" s="247" t="s">
        <v>4581</v>
      </c>
      <c r="H288" s="46" t="s">
        <v>3</v>
      </c>
      <c r="I288" s="249" t="s">
        <v>1539</v>
      </c>
      <c r="J288" s="234" t="s">
        <v>3220</v>
      </c>
      <c r="K288" s="162"/>
      <c r="L288" s="241"/>
      <c r="M288" s="241"/>
      <c r="N288" s="161"/>
      <c r="O288" s="140" t="s">
        <v>527</v>
      </c>
      <c r="P288" s="44" t="s">
        <v>548</v>
      </c>
      <c r="Q288" s="230" t="s">
        <v>3224</v>
      </c>
      <c r="R288" s="202"/>
      <c r="S288" s="142" t="s">
        <v>530</v>
      </c>
      <c r="T288" s="244"/>
    </row>
    <row r="289" spans="1:20" ht="58" customHeight="1">
      <c r="A289" s="232" t="s">
        <v>2436</v>
      </c>
      <c r="B289" s="46" t="s">
        <v>1539</v>
      </c>
      <c r="C289" s="45" t="s">
        <v>1531</v>
      </c>
      <c r="D289" s="45" t="s">
        <v>569</v>
      </c>
      <c r="E289" s="246" t="s">
        <v>834</v>
      </c>
      <c r="F289" s="246" t="s">
        <v>3353</v>
      </c>
      <c r="G289" s="247" t="s">
        <v>3354</v>
      </c>
      <c r="H289" s="46" t="s">
        <v>3</v>
      </c>
      <c r="I289" s="249" t="s">
        <v>1539</v>
      </c>
      <c r="J289" s="234" t="s">
        <v>3220</v>
      </c>
      <c r="K289" s="162"/>
      <c r="L289" s="241"/>
      <c r="M289" s="241"/>
      <c r="N289" s="161"/>
      <c r="O289" s="140" t="s">
        <v>567</v>
      </c>
      <c r="P289" s="44" t="s">
        <v>568</v>
      </c>
      <c r="Q289" s="230" t="s">
        <v>3224</v>
      </c>
      <c r="R289" s="202"/>
      <c r="S289" s="142" t="s">
        <v>570</v>
      </c>
      <c r="T289" s="244"/>
    </row>
    <row r="290" spans="1:20" ht="58" customHeight="1">
      <c r="A290" s="232" t="s">
        <v>2436</v>
      </c>
      <c r="B290" s="46" t="s">
        <v>1539</v>
      </c>
      <c r="C290" s="45" t="s">
        <v>1531</v>
      </c>
      <c r="D290" s="45" t="s">
        <v>629</v>
      </c>
      <c r="E290" s="246" t="s">
        <v>860</v>
      </c>
      <c r="F290" s="246" t="s">
        <v>3392</v>
      </c>
      <c r="G290" s="247" t="s">
        <v>4582</v>
      </c>
      <c r="H290" s="46" t="s">
        <v>3</v>
      </c>
      <c r="I290" s="249" t="s">
        <v>1539</v>
      </c>
      <c r="J290" s="234" t="s">
        <v>3220</v>
      </c>
      <c r="K290" s="162"/>
      <c r="L290" s="241"/>
      <c r="M290" s="241"/>
      <c r="N290" s="161"/>
      <c r="O290" s="140" t="s">
        <v>624</v>
      </c>
      <c r="P290" s="44" t="s">
        <v>628</v>
      </c>
      <c r="Q290" s="230" t="s">
        <v>3224</v>
      </c>
      <c r="R290" s="202"/>
      <c r="S290" s="142" t="s">
        <v>630</v>
      </c>
      <c r="T290" s="244"/>
    </row>
    <row r="291" spans="1:20" ht="58" customHeight="1">
      <c r="A291" s="232" t="s">
        <v>2436</v>
      </c>
      <c r="B291" s="46" t="s">
        <v>1539</v>
      </c>
      <c r="C291" s="45" t="s">
        <v>1531</v>
      </c>
      <c r="D291" s="45" t="s">
        <v>634</v>
      </c>
      <c r="E291" s="246" t="s">
        <v>862</v>
      </c>
      <c r="F291" s="246" t="s">
        <v>3395</v>
      </c>
      <c r="G291" s="247" t="s">
        <v>3356</v>
      </c>
      <c r="H291" s="46" t="s">
        <v>3</v>
      </c>
      <c r="I291" s="249" t="s">
        <v>1539</v>
      </c>
      <c r="J291" s="234" t="s">
        <v>3220</v>
      </c>
      <c r="K291" s="162"/>
      <c r="L291" s="241"/>
      <c r="M291" s="241"/>
      <c r="N291" s="161"/>
      <c r="O291" s="140" t="s">
        <v>624</v>
      </c>
      <c r="P291" s="44" t="s">
        <v>633</v>
      </c>
      <c r="Q291" s="230" t="s">
        <v>3224</v>
      </c>
      <c r="R291" s="202"/>
      <c r="S291" s="142" t="s">
        <v>627</v>
      </c>
      <c r="T291" s="244"/>
    </row>
    <row r="292" spans="1:20" ht="58" customHeight="1">
      <c r="A292" s="232" t="s">
        <v>2436</v>
      </c>
      <c r="B292" s="46" t="s">
        <v>1539</v>
      </c>
      <c r="C292" s="45" t="s">
        <v>1530</v>
      </c>
      <c r="D292" s="45" t="s">
        <v>543</v>
      </c>
      <c r="E292" s="246" t="s">
        <v>823</v>
      </c>
      <c r="F292" s="246" t="s">
        <v>3340</v>
      </c>
      <c r="G292" s="247" t="s">
        <v>3341</v>
      </c>
      <c r="H292" s="46" t="s">
        <v>3</v>
      </c>
      <c r="I292" s="249" t="s">
        <v>1539</v>
      </c>
      <c r="J292" s="234" t="s">
        <v>3220</v>
      </c>
      <c r="K292" s="162"/>
      <c r="L292" s="241"/>
      <c r="M292" s="241"/>
      <c r="N292" s="161"/>
      <c r="O292" s="140" t="s">
        <v>527</v>
      </c>
      <c r="P292" s="44" t="s">
        <v>542</v>
      </c>
      <c r="Q292" s="230" t="s">
        <v>3224</v>
      </c>
      <c r="R292" s="202" t="s">
        <v>2998</v>
      </c>
      <c r="S292" s="142" t="s">
        <v>530</v>
      </c>
      <c r="T292" s="244"/>
    </row>
    <row r="293" spans="1:20" ht="58" customHeight="1">
      <c r="A293" s="232" t="s">
        <v>2436</v>
      </c>
      <c r="B293" s="46" t="s">
        <v>1539</v>
      </c>
      <c r="C293" s="45" t="s">
        <v>1530</v>
      </c>
      <c r="D293" s="45" t="s">
        <v>623</v>
      </c>
      <c r="E293" s="246" t="s">
        <v>3801</v>
      </c>
      <c r="F293" s="246" t="s">
        <v>3389</v>
      </c>
      <c r="G293" s="247" t="s">
        <v>3802</v>
      </c>
      <c r="H293" s="46" t="s">
        <v>3</v>
      </c>
      <c r="I293" s="249" t="s">
        <v>1539</v>
      </c>
      <c r="J293" s="234" t="s">
        <v>3220</v>
      </c>
      <c r="K293" s="162"/>
      <c r="L293" s="241"/>
      <c r="M293" s="241"/>
      <c r="N293" s="161"/>
      <c r="O293" s="140" t="s">
        <v>585</v>
      </c>
      <c r="P293" s="44" t="s">
        <v>622</v>
      </c>
      <c r="Q293" s="230" t="s">
        <v>3224</v>
      </c>
      <c r="R293" s="202"/>
      <c r="S293" s="142" t="s">
        <v>588</v>
      </c>
      <c r="T293" s="244" t="s">
        <v>3803</v>
      </c>
    </row>
    <row r="294" spans="1:20" ht="58" customHeight="1">
      <c r="A294" s="232" t="s">
        <v>2436</v>
      </c>
      <c r="B294" s="46" t="s">
        <v>1539</v>
      </c>
      <c r="C294" s="45" t="s">
        <v>1532</v>
      </c>
      <c r="D294" s="45" t="s">
        <v>600</v>
      </c>
      <c r="E294" s="246" t="s">
        <v>848</v>
      </c>
      <c r="F294" s="246" t="s">
        <v>3372</v>
      </c>
      <c r="G294" s="247" t="s">
        <v>3373</v>
      </c>
      <c r="H294" s="46" t="s">
        <v>3</v>
      </c>
      <c r="I294" s="249" t="s">
        <v>1539</v>
      </c>
      <c r="J294" s="234" t="s">
        <v>3220</v>
      </c>
      <c r="K294" s="162"/>
      <c r="L294" s="241"/>
      <c r="M294" s="241"/>
      <c r="N294" s="161"/>
      <c r="O294" s="140" t="s">
        <v>585</v>
      </c>
      <c r="P294" s="44" t="s">
        <v>599</v>
      </c>
      <c r="Q294" s="230" t="s">
        <v>3224</v>
      </c>
      <c r="R294" s="202"/>
      <c r="S294" s="142" t="s">
        <v>588</v>
      </c>
      <c r="T294" s="244"/>
    </row>
    <row r="295" spans="1:20" ht="58" customHeight="1">
      <c r="A295" s="232" t="s">
        <v>2436</v>
      </c>
      <c r="B295" s="46" t="s">
        <v>1539</v>
      </c>
      <c r="C295" s="45" t="s">
        <v>1532</v>
      </c>
      <c r="D295" s="45" t="s">
        <v>610</v>
      </c>
      <c r="E295" s="246" t="s">
        <v>853</v>
      </c>
      <c r="F295" s="246" t="s">
        <v>3381</v>
      </c>
      <c r="G295" s="247" t="s">
        <v>4583</v>
      </c>
      <c r="H295" s="46" t="s">
        <v>3</v>
      </c>
      <c r="I295" s="249" t="s">
        <v>1539</v>
      </c>
      <c r="J295" s="234" t="s">
        <v>3220</v>
      </c>
      <c r="K295" s="162"/>
      <c r="L295" s="241"/>
      <c r="M295" s="241"/>
      <c r="N295" s="161"/>
      <c r="O295" s="140" t="s">
        <v>585</v>
      </c>
      <c r="P295" s="44" t="s">
        <v>609</v>
      </c>
      <c r="Q295" s="230" t="s">
        <v>3224</v>
      </c>
      <c r="R295" s="202"/>
      <c r="S295" s="142" t="s">
        <v>588</v>
      </c>
      <c r="T295" s="244"/>
    </row>
    <row r="296" spans="1:20" ht="58" customHeight="1">
      <c r="A296" s="232" t="s">
        <v>2436</v>
      </c>
      <c r="B296" s="46" t="s">
        <v>1539</v>
      </c>
      <c r="C296" s="45" t="s">
        <v>1532</v>
      </c>
      <c r="D296" s="45" t="s">
        <v>612</v>
      </c>
      <c r="E296" s="246" t="s">
        <v>854</v>
      </c>
      <c r="F296" s="246" t="s">
        <v>3382</v>
      </c>
      <c r="G296" s="247" t="s">
        <v>3356</v>
      </c>
      <c r="H296" s="46" t="s">
        <v>3</v>
      </c>
      <c r="I296" s="249" t="s">
        <v>1539</v>
      </c>
      <c r="J296" s="234" t="s">
        <v>3220</v>
      </c>
      <c r="K296" s="162"/>
      <c r="L296" s="241"/>
      <c r="M296" s="241"/>
      <c r="N296" s="161"/>
      <c r="O296" s="140" t="s">
        <v>585</v>
      </c>
      <c r="P296" s="44" t="s">
        <v>611</v>
      </c>
      <c r="Q296" s="230" t="s">
        <v>3224</v>
      </c>
      <c r="R296" s="202"/>
      <c r="S296" s="142" t="s">
        <v>588</v>
      </c>
      <c r="T296" s="244"/>
    </row>
    <row r="297" spans="1:20" ht="58" customHeight="1">
      <c r="A297" s="232" t="s">
        <v>2436</v>
      </c>
      <c r="B297" s="46" t="s">
        <v>1539</v>
      </c>
      <c r="C297" s="45" t="s">
        <v>1532</v>
      </c>
      <c r="D297" s="45" t="s">
        <v>614</v>
      </c>
      <c r="E297" s="246" t="s">
        <v>855</v>
      </c>
      <c r="F297" s="246" t="s">
        <v>3383</v>
      </c>
      <c r="G297" s="247" t="s">
        <v>3356</v>
      </c>
      <c r="H297" s="46" t="s">
        <v>3</v>
      </c>
      <c r="I297" s="249" t="s">
        <v>1539</v>
      </c>
      <c r="J297" s="234" t="s">
        <v>3220</v>
      </c>
      <c r="K297" s="162"/>
      <c r="L297" s="241"/>
      <c r="M297" s="241"/>
      <c r="N297" s="161"/>
      <c r="O297" s="140" t="s">
        <v>585</v>
      </c>
      <c r="P297" s="44" t="s">
        <v>613</v>
      </c>
      <c r="Q297" s="230" t="s">
        <v>3224</v>
      </c>
      <c r="R297" s="202"/>
      <c r="S297" s="142" t="s">
        <v>588</v>
      </c>
      <c r="T297" s="244"/>
    </row>
    <row r="298" spans="1:20" ht="58" customHeight="1">
      <c r="A298" s="232" t="s">
        <v>2436</v>
      </c>
      <c r="B298" s="46" t="s">
        <v>1539</v>
      </c>
      <c r="C298" s="45" t="s">
        <v>1532</v>
      </c>
      <c r="D298" s="45" t="s">
        <v>642</v>
      </c>
      <c r="E298" s="246" t="s">
        <v>866</v>
      </c>
      <c r="F298" s="246" t="s">
        <v>3400</v>
      </c>
      <c r="G298" s="247" t="s">
        <v>3356</v>
      </c>
      <c r="H298" s="46" t="s">
        <v>3</v>
      </c>
      <c r="I298" s="249" t="s">
        <v>1539</v>
      </c>
      <c r="J298" s="234" t="s">
        <v>3220</v>
      </c>
      <c r="K298" s="162"/>
      <c r="L298" s="241"/>
      <c r="M298" s="241"/>
      <c r="N298" s="161"/>
      <c r="O298" s="140" t="s">
        <v>624</v>
      </c>
      <c r="P298" s="44" t="s">
        <v>641</v>
      </c>
      <c r="Q298" s="230" t="s">
        <v>3224</v>
      </c>
      <c r="R298" s="202"/>
      <c r="S298" s="142" t="s">
        <v>627</v>
      </c>
      <c r="T298" s="244"/>
    </row>
    <row r="299" spans="1:20" ht="58" customHeight="1">
      <c r="A299" s="232" t="s">
        <v>2436</v>
      </c>
      <c r="B299" s="46" t="s">
        <v>1539</v>
      </c>
      <c r="C299" s="45" t="s">
        <v>1532</v>
      </c>
      <c r="D299" s="45" t="s">
        <v>654</v>
      </c>
      <c r="E299" s="246" t="s">
        <v>870</v>
      </c>
      <c r="F299" s="246" t="s">
        <v>3406</v>
      </c>
      <c r="G299" s="247" t="s">
        <v>4620</v>
      </c>
      <c r="H299" s="46" t="s">
        <v>3</v>
      </c>
      <c r="I299" s="249" t="s">
        <v>1539</v>
      </c>
      <c r="J299" s="234" t="s">
        <v>3220</v>
      </c>
      <c r="K299" s="162"/>
      <c r="L299" s="241"/>
      <c r="M299" s="241"/>
      <c r="N299" s="161"/>
      <c r="O299" s="140" t="s">
        <v>643</v>
      </c>
      <c r="P299" s="44" t="s">
        <v>653</v>
      </c>
      <c r="Q299" s="230" t="s">
        <v>3224</v>
      </c>
      <c r="R299" s="202"/>
      <c r="S299" s="142" t="s">
        <v>649</v>
      </c>
      <c r="T299" s="244" t="s">
        <v>4621</v>
      </c>
    </row>
    <row r="300" spans="1:20" ht="58" customHeight="1">
      <c r="A300" s="232" t="s">
        <v>2436</v>
      </c>
      <c r="B300" s="46" t="s">
        <v>1539</v>
      </c>
      <c r="C300" s="45" t="s">
        <v>1534</v>
      </c>
      <c r="D300" s="45" t="s">
        <v>582</v>
      </c>
      <c r="E300" s="246" t="s">
        <v>840</v>
      </c>
      <c r="F300" s="246" t="s">
        <v>3361</v>
      </c>
      <c r="G300" s="247" t="s">
        <v>3362</v>
      </c>
      <c r="H300" s="46" t="s">
        <v>3</v>
      </c>
      <c r="I300" s="249" t="s">
        <v>1539</v>
      </c>
      <c r="J300" s="234" t="s">
        <v>3220</v>
      </c>
      <c r="K300" s="162"/>
      <c r="L300" s="241"/>
      <c r="M300" s="241"/>
      <c r="N300" s="161"/>
      <c r="O300" s="140" t="s">
        <v>567</v>
      </c>
      <c r="P300" s="44" t="s">
        <v>581</v>
      </c>
      <c r="Q300" s="230" t="s">
        <v>3224</v>
      </c>
      <c r="R300" s="202"/>
      <c r="S300" s="142" t="s">
        <v>570</v>
      </c>
      <c r="T300" s="244"/>
    </row>
    <row r="301" spans="1:20" ht="58" customHeight="1">
      <c r="A301" s="232" t="s">
        <v>2436</v>
      </c>
      <c r="B301" s="46" t="s">
        <v>1539</v>
      </c>
      <c r="C301" s="45" t="s">
        <v>1534</v>
      </c>
      <c r="D301" s="45" t="s">
        <v>651</v>
      </c>
      <c r="E301" s="246" t="s">
        <v>869</v>
      </c>
      <c r="F301" s="246" t="s">
        <v>3405</v>
      </c>
      <c r="G301" s="247" t="s">
        <v>4622</v>
      </c>
      <c r="H301" s="46" t="s">
        <v>3</v>
      </c>
      <c r="I301" s="249" t="s">
        <v>1539</v>
      </c>
      <c r="J301" s="234" t="s">
        <v>3220</v>
      </c>
      <c r="K301" s="162"/>
      <c r="L301" s="241"/>
      <c r="M301" s="241"/>
      <c r="N301" s="161"/>
      <c r="O301" s="140" t="s">
        <v>643</v>
      </c>
      <c r="P301" s="44" t="s">
        <v>650</v>
      </c>
      <c r="Q301" s="230" t="s">
        <v>3224</v>
      </c>
      <c r="R301" s="202"/>
      <c r="S301" s="142" t="s">
        <v>652</v>
      </c>
      <c r="T301" s="244" t="s">
        <v>4623</v>
      </c>
    </row>
    <row r="302" spans="1:20" ht="58" customHeight="1">
      <c r="A302" s="232" t="s">
        <v>2436</v>
      </c>
      <c r="B302" s="46" t="s">
        <v>1539</v>
      </c>
      <c r="C302" s="45" t="s">
        <v>1533</v>
      </c>
      <c r="D302" s="45" t="s">
        <v>551</v>
      </c>
      <c r="E302" s="246" t="s">
        <v>827</v>
      </c>
      <c r="F302" s="246" t="s">
        <v>3345</v>
      </c>
      <c r="G302" s="247" t="s">
        <v>4584</v>
      </c>
      <c r="H302" s="46" t="s">
        <v>3</v>
      </c>
      <c r="I302" s="249" t="s">
        <v>1539</v>
      </c>
      <c r="J302" s="234" t="s">
        <v>3220</v>
      </c>
      <c r="K302" s="162"/>
      <c r="L302" s="241"/>
      <c r="M302" s="241"/>
      <c r="N302" s="161"/>
      <c r="O302" s="140" t="s">
        <v>527</v>
      </c>
      <c r="P302" s="44" t="s">
        <v>550</v>
      </c>
      <c r="Q302" s="230" t="s">
        <v>3224</v>
      </c>
      <c r="R302" s="202"/>
      <c r="S302" s="142" t="s">
        <v>530</v>
      </c>
      <c r="T302" s="244"/>
    </row>
    <row r="303" spans="1:20" ht="58" customHeight="1">
      <c r="A303" s="232" t="s">
        <v>2436</v>
      </c>
      <c r="B303" s="46" t="s">
        <v>1539</v>
      </c>
      <c r="C303" s="45" t="s">
        <v>1533</v>
      </c>
      <c r="D303" s="45" t="s">
        <v>598</v>
      </c>
      <c r="E303" s="246" t="s">
        <v>847</v>
      </c>
      <c r="F303" s="246" t="s">
        <v>3371</v>
      </c>
      <c r="G303" s="247" t="s">
        <v>4585</v>
      </c>
      <c r="H303" s="46" t="s">
        <v>3</v>
      </c>
      <c r="I303" s="249" t="s">
        <v>1539</v>
      </c>
      <c r="J303" s="234" t="s">
        <v>3220</v>
      </c>
      <c r="K303" s="162"/>
      <c r="L303" s="241"/>
      <c r="M303" s="241"/>
      <c r="N303" s="161"/>
      <c r="O303" s="140" t="s">
        <v>585</v>
      </c>
      <c r="P303" s="44" t="s">
        <v>597</v>
      </c>
      <c r="Q303" s="230" t="s">
        <v>3224</v>
      </c>
      <c r="R303" s="202"/>
      <c r="S303" s="142" t="s">
        <v>588</v>
      </c>
      <c r="T303" s="244"/>
    </row>
    <row r="304" spans="1:20" ht="58" customHeight="1">
      <c r="A304" s="232" t="s">
        <v>2436</v>
      </c>
      <c r="B304" s="46" t="s">
        <v>1539</v>
      </c>
      <c r="C304" s="45" t="s">
        <v>1533</v>
      </c>
      <c r="D304" s="45" t="s">
        <v>626</v>
      </c>
      <c r="E304" s="246" t="s">
        <v>859</v>
      </c>
      <c r="F304" s="246" t="s">
        <v>3390</v>
      </c>
      <c r="G304" s="247" t="s">
        <v>3391</v>
      </c>
      <c r="H304" s="46" t="s">
        <v>3</v>
      </c>
      <c r="I304" s="249" t="s">
        <v>1539</v>
      </c>
      <c r="J304" s="234" t="s">
        <v>3220</v>
      </c>
      <c r="K304" s="162"/>
      <c r="L304" s="241"/>
      <c r="M304" s="241"/>
      <c r="N304" s="161"/>
      <c r="O304" s="140" t="s">
        <v>624</v>
      </c>
      <c r="P304" s="44" t="s">
        <v>625</v>
      </c>
      <c r="Q304" s="230" t="s">
        <v>3224</v>
      </c>
      <c r="R304" s="202"/>
      <c r="S304" s="142" t="s">
        <v>627</v>
      </c>
      <c r="T304" s="244"/>
    </row>
    <row r="305" spans="1:20" ht="58" customHeight="1">
      <c r="A305" s="232" t="s">
        <v>2436</v>
      </c>
      <c r="B305" s="46" t="s">
        <v>1539</v>
      </c>
      <c r="C305" s="45" t="s">
        <v>1533</v>
      </c>
      <c r="D305" s="45" t="s">
        <v>636</v>
      </c>
      <c r="E305" s="246" t="s">
        <v>863</v>
      </c>
      <c r="F305" s="246" t="s">
        <v>3396</v>
      </c>
      <c r="G305" s="247" t="s">
        <v>4586</v>
      </c>
      <c r="H305" s="46" t="s">
        <v>3</v>
      </c>
      <c r="I305" s="249" t="s">
        <v>1539</v>
      </c>
      <c r="J305" s="234" t="s">
        <v>3220</v>
      </c>
      <c r="K305" s="162"/>
      <c r="L305" s="241"/>
      <c r="M305" s="241"/>
      <c r="N305" s="161"/>
      <c r="O305" s="140" t="s">
        <v>624</v>
      </c>
      <c r="P305" s="44" t="s">
        <v>635</v>
      </c>
      <c r="Q305" s="230" t="s">
        <v>3224</v>
      </c>
      <c r="R305" s="202"/>
      <c r="S305" s="142" t="s">
        <v>627</v>
      </c>
      <c r="T305" s="244"/>
    </row>
    <row r="306" spans="1:20" ht="58" customHeight="1">
      <c r="A306" s="232" t="s">
        <v>2436</v>
      </c>
      <c r="B306" s="46" t="s">
        <v>1539</v>
      </c>
      <c r="C306" s="45" t="s">
        <v>1533</v>
      </c>
      <c r="D306" s="45" t="s">
        <v>640</v>
      </c>
      <c r="E306" s="246" t="s">
        <v>865</v>
      </c>
      <c r="F306" s="246" t="s">
        <v>3398</v>
      </c>
      <c r="G306" s="247" t="s">
        <v>3399</v>
      </c>
      <c r="H306" s="46" t="s">
        <v>3</v>
      </c>
      <c r="I306" s="249" t="s">
        <v>1539</v>
      </c>
      <c r="J306" s="234" t="s">
        <v>3220</v>
      </c>
      <c r="K306" s="162"/>
      <c r="L306" s="241"/>
      <c r="M306" s="241"/>
      <c r="N306" s="161"/>
      <c r="O306" s="140" t="s">
        <v>624</v>
      </c>
      <c r="P306" s="44" t="s">
        <v>639</v>
      </c>
      <c r="Q306" s="230" t="s">
        <v>3224</v>
      </c>
      <c r="R306" s="202"/>
      <c r="S306" s="142" t="s">
        <v>627</v>
      </c>
      <c r="T306" s="244"/>
    </row>
    <row r="307" spans="1:20" ht="58" customHeight="1">
      <c r="A307" s="232" t="s">
        <v>2436</v>
      </c>
      <c r="B307" s="46" t="s">
        <v>1539</v>
      </c>
      <c r="C307" s="45" t="s">
        <v>1533</v>
      </c>
      <c r="D307" s="45" t="s">
        <v>657</v>
      </c>
      <c r="E307" s="246" t="s">
        <v>871</v>
      </c>
      <c r="F307" s="246" t="s">
        <v>3407</v>
      </c>
      <c r="G307" s="247" t="s">
        <v>3408</v>
      </c>
      <c r="H307" s="46" t="s">
        <v>3</v>
      </c>
      <c r="I307" s="249" t="s">
        <v>1539</v>
      </c>
      <c r="J307" s="234" t="s">
        <v>3220</v>
      </c>
      <c r="K307" s="162"/>
      <c r="L307" s="241"/>
      <c r="M307" s="241"/>
      <c r="N307" s="161"/>
      <c r="O307" s="140" t="s">
        <v>655</v>
      </c>
      <c r="P307" s="44" t="s">
        <v>656</v>
      </c>
      <c r="Q307" s="230" t="s">
        <v>3224</v>
      </c>
      <c r="R307" s="202"/>
      <c r="S307" s="142" t="s">
        <v>658</v>
      </c>
      <c r="T307" s="244"/>
    </row>
    <row r="308" spans="1:20" ht="58" customHeight="1">
      <c r="A308" s="232" t="s">
        <v>2436</v>
      </c>
      <c r="B308" s="46" t="s">
        <v>1539</v>
      </c>
      <c r="C308" s="45" t="s">
        <v>1533</v>
      </c>
      <c r="D308" s="45" t="s">
        <v>660</v>
      </c>
      <c r="E308" s="246" t="s">
        <v>872</v>
      </c>
      <c r="F308" s="246" t="s">
        <v>3409</v>
      </c>
      <c r="G308" s="247" t="s">
        <v>3410</v>
      </c>
      <c r="H308" s="46" t="s">
        <v>958</v>
      </c>
      <c r="I308" s="249" t="s">
        <v>1539</v>
      </c>
      <c r="J308" s="234" t="s">
        <v>3220</v>
      </c>
      <c r="K308" s="162"/>
      <c r="L308" s="241"/>
      <c r="M308" s="241"/>
      <c r="N308" s="161"/>
      <c r="O308" s="140" t="s">
        <v>655</v>
      </c>
      <c r="P308" s="44" t="s">
        <v>659</v>
      </c>
      <c r="Q308" s="230" t="s">
        <v>3224</v>
      </c>
      <c r="R308" s="202"/>
      <c r="S308" s="142" t="s">
        <v>658</v>
      </c>
      <c r="T308" s="244"/>
    </row>
    <row r="309" spans="1:20" ht="58" customHeight="1">
      <c r="A309" s="232" t="s">
        <v>2436</v>
      </c>
      <c r="B309" s="46" t="s">
        <v>1539</v>
      </c>
      <c r="C309" s="45" t="s">
        <v>1533</v>
      </c>
      <c r="D309" s="45" t="s">
        <v>662</v>
      </c>
      <c r="E309" s="246" t="s">
        <v>873</v>
      </c>
      <c r="F309" s="246" t="s">
        <v>3411</v>
      </c>
      <c r="G309" s="247" t="s">
        <v>3412</v>
      </c>
      <c r="H309" s="46" t="s">
        <v>3</v>
      </c>
      <c r="I309" s="249" t="s">
        <v>1539</v>
      </c>
      <c r="J309" s="234" t="s">
        <v>3220</v>
      </c>
      <c r="K309" s="162"/>
      <c r="L309" s="241"/>
      <c r="M309" s="241"/>
      <c r="N309" s="161"/>
      <c r="O309" s="140" t="s">
        <v>655</v>
      </c>
      <c r="P309" s="44" t="s">
        <v>661</v>
      </c>
      <c r="Q309" s="230" t="s">
        <v>3224</v>
      </c>
      <c r="R309" s="202"/>
      <c r="S309" s="142" t="s">
        <v>658</v>
      </c>
      <c r="T309" s="244"/>
    </row>
    <row r="310" spans="1:20" ht="58" customHeight="1">
      <c r="A310" s="232" t="s">
        <v>2436</v>
      </c>
      <c r="B310" s="46" t="s">
        <v>1539</v>
      </c>
      <c r="C310" s="45" t="s">
        <v>1535</v>
      </c>
      <c r="D310" s="45" t="s">
        <v>632</v>
      </c>
      <c r="E310" s="246" t="s">
        <v>861</v>
      </c>
      <c r="F310" s="246" t="s">
        <v>3393</v>
      </c>
      <c r="G310" s="247" t="s">
        <v>3394</v>
      </c>
      <c r="H310" s="46" t="s">
        <v>3</v>
      </c>
      <c r="I310" s="249" t="s">
        <v>1539</v>
      </c>
      <c r="J310" s="234" t="s">
        <v>3220</v>
      </c>
      <c r="K310" s="162"/>
      <c r="L310" s="241"/>
      <c r="M310" s="241"/>
      <c r="N310" s="161"/>
      <c r="O310" s="140" t="s">
        <v>624</v>
      </c>
      <c r="P310" s="44" t="s">
        <v>631</v>
      </c>
      <c r="Q310" s="230" t="s">
        <v>3224</v>
      </c>
      <c r="R310" s="202"/>
      <c r="S310" s="142" t="s">
        <v>627</v>
      </c>
      <c r="T310" s="244"/>
    </row>
    <row r="311" spans="1:20" ht="58" customHeight="1">
      <c r="A311" s="232" t="s">
        <v>2436</v>
      </c>
      <c r="B311" s="46" t="s">
        <v>1539</v>
      </c>
      <c r="C311" s="45" t="s">
        <v>1540</v>
      </c>
      <c r="D311" s="45" t="s">
        <v>572</v>
      </c>
      <c r="E311" s="246" t="s">
        <v>835</v>
      </c>
      <c r="F311" s="246" t="s">
        <v>3355</v>
      </c>
      <c r="G311" s="247" t="s">
        <v>3356</v>
      </c>
      <c r="H311" s="46" t="s">
        <v>3</v>
      </c>
      <c r="I311" s="249" t="s">
        <v>1539</v>
      </c>
      <c r="J311" s="234" t="s">
        <v>3220</v>
      </c>
      <c r="K311" s="162"/>
      <c r="L311" s="241"/>
      <c r="M311" s="241"/>
      <c r="N311" s="161"/>
      <c r="O311" s="140" t="s">
        <v>567</v>
      </c>
      <c r="P311" s="44" t="s">
        <v>571</v>
      </c>
      <c r="Q311" s="230" t="s">
        <v>3224</v>
      </c>
      <c r="R311" s="202"/>
      <c r="S311" s="142" t="s">
        <v>570</v>
      </c>
      <c r="T311" s="244"/>
    </row>
    <row r="312" spans="1:20" ht="58" customHeight="1">
      <c r="A312" s="232" t="s">
        <v>2436</v>
      </c>
      <c r="B312" s="46" t="s">
        <v>1539</v>
      </c>
      <c r="C312" s="45" t="s">
        <v>1540</v>
      </c>
      <c r="D312" s="45" t="s">
        <v>574</v>
      </c>
      <c r="E312" s="246" t="s">
        <v>836</v>
      </c>
      <c r="F312" s="246" t="s">
        <v>3357</v>
      </c>
      <c r="G312" s="247" t="s">
        <v>4587</v>
      </c>
      <c r="H312" s="46" t="s">
        <v>3</v>
      </c>
      <c r="I312" s="249" t="s">
        <v>1539</v>
      </c>
      <c r="J312" s="234" t="s">
        <v>3220</v>
      </c>
      <c r="K312" s="162"/>
      <c r="L312" s="241"/>
      <c r="M312" s="241"/>
      <c r="N312" s="161"/>
      <c r="O312" s="140" t="s">
        <v>567</v>
      </c>
      <c r="P312" s="44" t="s">
        <v>573</v>
      </c>
      <c r="Q312" s="230" t="s">
        <v>3224</v>
      </c>
      <c r="R312" s="202"/>
      <c r="S312" s="142" t="s">
        <v>570</v>
      </c>
      <c r="T312" s="244"/>
    </row>
    <row r="313" spans="1:20" ht="58" customHeight="1">
      <c r="A313" s="232" t="s">
        <v>2436</v>
      </c>
      <c r="B313" s="46" t="s">
        <v>1539</v>
      </c>
      <c r="C313" s="45" t="s">
        <v>1540</v>
      </c>
      <c r="D313" s="45" t="s">
        <v>576</v>
      </c>
      <c r="E313" s="246" t="s">
        <v>837</v>
      </c>
      <c r="F313" s="246" t="s">
        <v>3358</v>
      </c>
      <c r="G313" s="247" t="s">
        <v>3356</v>
      </c>
      <c r="H313" s="46" t="s">
        <v>3</v>
      </c>
      <c r="I313" s="249" t="s">
        <v>1539</v>
      </c>
      <c r="J313" s="234" t="s">
        <v>3220</v>
      </c>
      <c r="K313" s="162"/>
      <c r="L313" s="241"/>
      <c r="M313" s="241"/>
      <c r="N313" s="161"/>
      <c r="O313" s="140" t="s">
        <v>567</v>
      </c>
      <c r="P313" s="44" t="s">
        <v>575</v>
      </c>
      <c r="Q313" s="230" t="s">
        <v>3224</v>
      </c>
      <c r="R313" s="202"/>
      <c r="S313" s="142" t="s">
        <v>570</v>
      </c>
      <c r="T313" s="244"/>
    </row>
    <row r="314" spans="1:20" ht="58" customHeight="1">
      <c r="A314" s="232" t="s">
        <v>2436</v>
      </c>
      <c r="B314" s="46" t="s">
        <v>1539</v>
      </c>
      <c r="C314" s="45" t="s">
        <v>1540</v>
      </c>
      <c r="D314" s="45" t="s">
        <v>578</v>
      </c>
      <c r="E314" s="246" t="s">
        <v>838</v>
      </c>
      <c r="F314" s="246" t="s">
        <v>3359</v>
      </c>
      <c r="G314" s="247" t="s">
        <v>3356</v>
      </c>
      <c r="H314" s="46" t="s">
        <v>3</v>
      </c>
      <c r="I314" s="249" t="s">
        <v>1539</v>
      </c>
      <c r="J314" s="234" t="s">
        <v>3220</v>
      </c>
      <c r="K314" s="162"/>
      <c r="L314" s="241"/>
      <c r="M314" s="241"/>
      <c r="N314" s="161"/>
      <c r="O314" s="140" t="s">
        <v>567</v>
      </c>
      <c r="P314" s="44" t="s">
        <v>577</v>
      </c>
      <c r="Q314" s="230" t="s">
        <v>3224</v>
      </c>
      <c r="R314" s="202"/>
      <c r="S314" s="142" t="s">
        <v>570</v>
      </c>
      <c r="T314" s="244"/>
    </row>
    <row r="315" spans="1:20" ht="58" customHeight="1">
      <c r="A315" s="232" t="s">
        <v>2436</v>
      </c>
      <c r="B315" s="46" t="s">
        <v>1539</v>
      </c>
      <c r="C315" s="45" t="s">
        <v>1540</v>
      </c>
      <c r="D315" s="45" t="s">
        <v>580</v>
      </c>
      <c r="E315" s="246" t="s">
        <v>839</v>
      </c>
      <c r="F315" s="246" t="s">
        <v>3360</v>
      </c>
      <c r="G315" s="247" t="s">
        <v>3356</v>
      </c>
      <c r="H315" s="46" t="s">
        <v>3</v>
      </c>
      <c r="I315" s="249" t="s">
        <v>1539</v>
      </c>
      <c r="J315" s="234" t="s">
        <v>3220</v>
      </c>
      <c r="K315" s="162"/>
      <c r="L315" s="241"/>
      <c r="M315" s="241"/>
      <c r="N315" s="161"/>
      <c r="O315" s="140" t="s">
        <v>567</v>
      </c>
      <c r="P315" s="44" t="s">
        <v>579</v>
      </c>
      <c r="Q315" s="230" t="s">
        <v>3224</v>
      </c>
      <c r="R315" s="202"/>
      <c r="S315" s="142" t="s">
        <v>570</v>
      </c>
      <c r="T315" s="244"/>
    </row>
    <row r="316" spans="1:20" ht="58" customHeight="1">
      <c r="A316" s="232" t="s">
        <v>2436</v>
      </c>
      <c r="B316" s="46" t="s">
        <v>1539</v>
      </c>
      <c r="C316" s="45" t="s">
        <v>1540</v>
      </c>
      <c r="D316" s="45" t="s">
        <v>645</v>
      </c>
      <c r="E316" s="246" t="s">
        <v>867</v>
      </c>
      <c r="F316" s="246" t="s">
        <v>3401</v>
      </c>
      <c r="G316" s="247" t="s">
        <v>3402</v>
      </c>
      <c r="H316" s="46" t="s">
        <v>3</v>
      </c>
      <c r="I316" s="249" t="s">
        <v>1539</v>
      </c>
      <c r="J316" s="234" t="s">
        <v>3220</v>
      </c>
      <c r="K316" s="162"/>
      <c r="L316" s="241"/>
      <c r="M316" s="241"/>
      <c r="N316" s="161"/>
      <c r="O316" s="140" t="s">
        <v>643</v>
      </c>
      <c r="P316" s="44" t="s">
        <v>644</v>
      </c>
      <c r="Q316" s="230" t="s">
        <v>3224</v>
      </c>
      <c r="R316" s="202"/>
      <c r="S316" s="142" t="s">
        <v>646</v>
      </c>
      <c r="T316" s="244"/>
    </row>
    <row r="317" spans="1:20" ht="58" customHeight="1">
      <c r="A317" s="232" t="s">
        <v>2436</v>
      </c>
      <c r="B317" s="46" t="s">
        <v>1539</v>
      </c>
      <c r="C317" s="45" t="s">
        <v>1540</v>
      </c>
      <c r="D317" s="45" t="s">
        <v>648</v>
      </c>
      <c r="E317" s="246" t="s">
        <v>868</v>
      </c>
      <c r="F317" s="246" t="s">
        <v>3403</v>
      </c>
      <c r="G317" s="247" t="s">
        <v>3404</v>
      </c>
      <c r="H317" s="46" t="s">
        <v>1522</v>
      </c>
      <c r="I317" s="249" t="s">
        <v>1539</v>
      </c>
      <c r="J317" s="234" t="s">
        <v>3220</v>
      </c>
      <c r="K317" s="162"/>
      <c r="L317" s="241"/>
      <c r="M317" s="241"/>
      <c r="N317" s="161"/>
      <c r="O317" s="140" t="s">
        <v>643</v>
      </c>
      <c r="P317" s="44" t="s">
        <v>647</v>
      </c>
      <c r="Q317" s="230" t="s">
        <v>3224</v>
      </c>
      <c r="R317" s="202"/>
      <c r="S317" s="142" t="s">
        <v>649</v>
      </c>
      <c r="T317" s="244" t="s">
        <v>4624</v>
      </c>
    </row>
    <row r="318" spans="1:20" ht="58" customHeight="1">
      <c r="A318" s="232" t="s">
        <v>2436</v>
      </c>
      <c r="B318" s="46" t="s">
        <v>1539</v>
      </c>
      <c r="C318" s="45" t="s">
        <v>1540</v>
      </c>
      <c r="D318" s="45" t="s">
        <v>664</v>
      </c>
      <c r="E318" s="246" t="s">
        <v>874</v>
      </c>
      <c r="F318" s="246" t="s">
        <v>3413</v>
      </c>
      <c r="G318" s="247" t="s">
        <v>3356</v>
      </c>
      <c r="H318" s="46" t="s">
        <v>3</v>
      </c>
      <c r="I318" s="249" t="s">
        <v>1539</v>
      </c>
      <c r="J318" s="234" t="s">
        <v>3220</v>
      </c>
      <c r="K318" s="162"/>
      <c r="L318" s="241"/>
      <c r="M318" s="241"/>
      <c r="N318" s="161"/>
      <c r="O318" s="140" t="s">
        <v>655</v>
      </c>
      <c r="P318" s="44" t="s">
        <v>663</v>
      </c>
      <c r="Q318" s="230" t="s">
        <v>3224</v>
      </c>
      <c r="R318" s="202"/>
      <c r="S318" s="142" t="s">
        <v>658</v>
      </c>
      <c r="T318" s="244"/>
    </row>
    <row r="319" spans="1:20" ht="58" customHeight="1">
      <c r="A319" s="232" t="s">
        <v>2436</v>
      </c>
      <c r="B319" s="46" t="s">
        <v>1539</v>
      </c>
      <c r="C319" s="45" t="s">
        <v>1530</v>
      </c>
      <c r="D319" s="45" t="s">
        <v>4795</v>
      </c>
      <c r="E319" s="246" t="s">
        <v>4796</v>
      </c>
      <c r="F319" s="246" t="s">
        <v>4797</v>
      </c>
      <c r="G319" s="247" t="s">
        <v>4798</v>
      </c>
      <c r="H319" s="46" t="s">
        <v>2</v>
      </c>
      <c r="I319" s="249" t="s">
        <v>1539</v>
      </c>
      <c r="J319" s="234" t="s">
        <v>3220</v>
      </c>
      <c r="K319" s="162" t="s">
        <v>958</v>
      </c>
      <c r="L319" s="241"/>
      <c r="M319" s="241"/>
      <c r="N319" s="161"/>
      <c r="O319" s="140" t="s">
        <v>4799</v>
      </c>
      <c r="P319" s="44" t="s">
        <v>4800</v>
      </c>
      <c r="Q319" s="230" t="s">
        <v>4801</v>
      </c>
      <c r="R319" s="202" t="s">
        <v>4802</v>
      </c>
      <c r="S319" s="142" t="s">
        <v>4803</v>
      </c>
      <c r="T319" s="244"/>
    </row>
    <row r="320" spans="1:20" ht="58" customHeight="1">
      <c r="A320" s="232" t="s">
        <v>2436</v>
      </c>
      <c r="B320" s="46" t="s">
        <v>1539</v>
      </c>
      <c r="C320" s="45" t="s">
        <v>1533</v>
      </c>
      <c r="D320" s="45" t="s">
        <v>4804</v>
      </c>
      <c r="E320" s="246" t="s">
        <v>4805</v>
      </c>
      <c r="F320" s="246" t="s">
        <v>4806</v>
      </c>
      <c r="G320" s="247" t="s">
        <v>4807</v>
      </c>
      <c r="H320" s="46" t="s">
        <v>2</v>
      </c>
      <c r="I320" s="249" t="s">
        <v>1539</v>
      </c>
      <c r="J320" s="234" t="s">
        <v>3220</v>
      </c>
      <c r="K320" s="162" t="s">
        <v>958</v>
      </c>
      <c r="L320" s="241"/>
      <c r="M320" s="241"/>
      <c r="N320" s="161"/>
      <c r="O320" s="140" t="s">
        <v>4799</v>
      </c>
      <c r="P320" s="44" t="s">
        <v>4808</v>
      </c>
      <c r="Q320" s="230" t="s">
        <v>4801</v>
      </c>
      <c r="R320" s="202" t="s">
        <v>4802</v>
      </c>
      <c r="S320" s="142" t="s">
        <v>4809</v>
      </c>
      <c r="T320" s="244"/>
    </row>
    <row r="321" spans="1:20" ht="58" customHeight="1">
      <c r="A321" s="232" t="s">
        <v>2436</v>
      </c>
      <c r="B321" s="46" t="s">
        <v>1539</v>
      </c>
      <c r="C321" s="45" t="s">
        <v>1533</v>
      </c>
      <c r="D321" s="45" t="s">
        <v>4810</v>
      </c>
      <c r="E321" s="246" t="s">
        <v>4811</v>
      </c>
      <c r="F321" s="246" t="s">
        <v>4812</v>
      </c>
      <c r="G321" s="247" t="s">
        <v>4813</v>
      </c>
      <c r="H321" s="46" t="s">
        <v>2</v>
      </c>
      <c r="I321" s="249" t="s">
        <v>1539</v>
      </c>
      <c r="J321" s="234" t="s">
        <v>3220</v>
      </c>
      <c r="K321" s="162" t="s">
        <v>958</v>
      </c>
      <c r="L321" s="241"/>
      <c r="M321" s="241"/>
      <c r="N321" s="161"/>
      <c r="O321" s="140" t="s">
        <v>4799</v>
      </c>
      <c r="P321" s="44" t="s">
        <v>4814</v>
      </c>
      <c r="Q321" s="230" t="s">
        <v>4801</v>
      </c>
      <c r="R321" s="202" t="s">
        <v>4802</v>
      </c>
      <c r="S321" s="142" t="s">
        <v>4809</v>
      </c>
      <c r="T321" s="244"/>
    </row>
    <row r="322" spans="1:20" ht="58" customHeight="1">
      <c r="A322" s="232" t="s">
        <v>2436</v>
      </c>
      <c r="B322" s="46" t="s">
        <v>1539</v>
      </c>
      <c r="C322" s="45" t="s">
        <v>1533</v>
      </c>
      <c r="D322" s="45" t="s">
        <v>4815</v>
      </c>
      <c r="E322" s="246" t="s">
        <v>4816</v>
      </c>
      <c r="F322" s="246" t="s">
        <v>4817</v>
      </c>
      <c r="G322" s="247" t="s">
        <v>4818</v>
      </c>
      <c r="H322" s="46" t="s">
        <v>2</v>
      </c>
      <c r="I322" s="249" t="s">
        <v>1539</v>
      </c>
      <c r="J322" s="234" t="s">
        <v>3220</v>
      </c>
      <c r="K322" s="162" t="s">
        <v>958</v>
      </c>
      <c r="L322" s="241"/>
      <c r="M322" s="241"/>
      <c r="N322" s="161"/>
      <c r="O322" s="140" t="s">
        <v>4799</v>
      </c>
      <c r="P322" s="44" t="s">
        <v>4819</v>
      </c>
      <c r="Q322" s="230" t="s">
        <v>4801</v>
      </c>
      <c r="R322" s="202" t="s">
        <v>4802</v>
      </c>
      <c r="S322" s="142" t="s">
        <v>4809</v>
      </c>
      <c r="T322" s="244"/>
    </row>
    <row r="323" spans="1:20" ht="58" customHeight="1">
      <c r="A323" s="232" t="s">
        <v>2436</v>
      </c>
      <c r="B323" s="46" t="s">
        <v>1539</v>
      </c>
      <c r="C323" s="45" t="s">
        <v>1537</v>
      </c>
      <c r="D323" s="45" t="s">
        <v>4820</v>
      </c>
      <c r="E323" s="246" t="s">
        <v>4821</v>
      </c>
      <c r="F323" s="246" t="s">
        <v>4822</v>
      </c>
      <c r="G323" s="247" t="s">
        <v>4823</v>
      </c>
      <c r="H323" s="46" t="s">
        <v>2</v>
      </c>
      <c r="I323" s="249" t="s">
        <v>1539</v>
      </c>
      <c r="J323" s="234" t="s">
        <v>3220</v>
      </c>
      <c r="K323" s="162" t="s">
        <v>958</v>
      </c>
      <c r="L323" s="241"/>
      <c r="M323" s="241"/>
      <c r="N323" s="161"/>
      <c r="O323" s="140" t="s">
        <v>4799</v>
      </c>
      <c r="P323" s="44" t="s">
        <v>4824</v>
      </c>
      <c r="Q323" s="230" t="s">
        <v>4801</v>
      </c>
      <c r="R323" s="202" t="s">
        <v>4802</v>
      </c>
      <c r="S323" s="142" t="s">
        <v>4825</v>
      </c>
      <c r="T323" s="244"/>
    </row>
    <row r="324" spans="1:20" ht="58" customHeight="1">
      <c r="A324" s="232" t="s">
        <v>2436</v>
      </c>
      <c r="B324" s="46" t="s">
        <v>1539</v>
      </c>
      <c r="C324" s="45" t="s">
        <v>1537</v>
      </c>
      <c r="D324" s="45" t="s">
        <v>4826</v>
      </c>
      <c r="E324" s="246" t="s">
        <v>4827</v>
      </c>
      <c r="F324" s="246" t="s">
        <v>4828</v>
      </c>
      <c r="G324" s="247" t="s">
        <v>4829</v>
      </c>
      <c r="H324" s="46" t="s">
        <v>2</v>
      </c>
      <c r="I324" s="249" t="s">
        <v>1539</v>
      </c>
      <c r="J324" s="234" t="s">
        <v>3220</v>
      </c>
      <c r="K324" s="162" t="s">
        <v>958</v>
      </c>
      <c r="L324" s="241"/>
      <c r="M324" s="241"/>
      <c r="N324" s="161"/>
      <c r="O324" s="140" t="s">
        <v>4799</v>
      </c>
      <c r="P324" s="44" t="s">
        <v>4830</v>
      </c>
      <c r="Q324" s="230" t="s">
        <v>4801</v>
      </c>
      <c r="R324" s="202" t="s">
        <v>4802</v>
      </c>
      <c r="S324" s="142" t="s">
        <v>4831</v>
      </c>
      <c r="T324" s="244"/>
    </row>
    <row r="325" spans="1:20" ht="58" customHeight="1">
      <c r="A325" s="232" t="s">
        <v>2436</v>
      </c>
      <c r="B325" s="46" t="s">
        <v>1539</v>
      </c>
      <c r="C325" s="45" t="s">
        <v>1533</v>
      </c>
      <c r="D325" s="45" t="s">
        <v>4832</v>
      </c>
      <c r="E325" s="246" t="s">
        <v>4833</v>
      </c>
      <c r="F325" s="246" t="s">
        <v>4834</v>
      </c>
      <c r="G325" s="247" t="s">
        <v>4835</v>
      </c>
      <c r="H325" s="46" t="s">
        <v>2</v>
      </c>
      <c r="I325" s="249" t="s">
        <v>1539</v>
      </c>
      <c r="J325" s="234" t="s">
        <v>3220</v>
      </c>
      <c r="K325" s="162" t="s">
        <v>958</v>
      </c>
      <c r="L325" s="241"/>
      <c r="M325" s="241"/>
      <c r="N325" s="161"/>
      <c r="O325" s="140" t="s">
        <v>4799</v>
      </c>
      <c r="P325" s="44" t="s">
        <v>4836</v>
      </c>
      <c r="Q325" s="230" t="s">
        <v>4801</v>
      </c>
      <c r="R325" s="202" t="s">
        <v>4802</v>
      </c>
      <c r="S325" s="142" t="s">
        <v>4801</v>
      </c>
      <c r="T325" s="244"/>
    </row>
    <row r="326" spans="1:20" ht="58" customHeight="1">
      <c r="A326" s="232" t="s">
        <v>2436</v>
      </c>
      <c r="B326" s="46" t="s">
        <v>1539</v>
      </c>
      <c r="C326" s="45" t="s">
        <v>1540</v>
      </c>
      <c r="D326" s="45" t="s">
        <v>4837</v>
      </c>
      <c r="E326" s="246" t="s">
        <v>4838</v>
      </c>
      <c r="F326" s="246" t="s">
        <v>4839</v>
      </c>
      <c r="G326" s="247" t="s">
        <v>4840</v>
      </c>
      <c r="H326" s="46" t="s">
        <v>2</v>
      </c>
      <c r="I326" s="249" t="s">
        <v>1539</v>
      </c>
      <c r="J326" s="234" t="s">
        <v>3220</v>
      </c>
      <c r="K326" s="162" t="s">
        <v>958</v>
      </c>
      <c r="L326" s="241"/>
      <c r="M326" s="241"/>
      <c r="N326" s="161"/>
      <c r="O326" s="140" t="s">
        <v>4799</v>
      </c>
      <c r="P326" s="44" t="s">
        <v>4841</v>
      </c>
      <c r="Q326" s="230" t="s">
        <v>4801</v>
      </c>
      <c r="R326" s="202" t="s">
        <v>4802</v>
      </c>
      <c r="S326" s="142" t="s">
        <v>4842</v>
      </c>
      <c r="T326" s="244"/>
    </row>
    <row r="327" spans="1:20" ht="58" customHeight="1">
      <c r="A327" s="232" t="s">
        <v>2435</v>
      </c>
      <c r="B327" s="46" t="s">
        <v>1541</v>
      </c>
      <c r="C327" s="45" t="s">
        <v>1526</v>
      </c>
      <c r="D327" s="45" t="s">
        <v>5227</v>
      </c>
      <c r="E327" s="246" t="s">
        <v>5228</v>
      </c>
      <c r="F327" s="246" t="s">
        <v>5229</v>
      </c>
      <c r="G327" s="247" t="s">
        <v>5230</v>
      </c>
      <c r="H327" s="46" t="s">
        <v>1522</v>
      </c>
      <c r="I327" s="249" t="s">
        <v>4477</v>
      </c>
      <c r="J327" s="234" t="s">
        <v>5231</v>
      </c>
      <c r="K327" s="162" t="s">
        <v>5173</v>
      </c>
      <c r="L327" s="241"/>
      <c r="M327" s="241"/>
      <c r="N327" s="161" t="s">
        <v>4255</v>
      </c>
      <c r="O327" s="140" t="s">
        <v>5232</v>
      </c>
      <c r="P327" s="44" t="s">
        <v>5173</v>
      </c>
      <c r="Q327" s="230" t="s">
        <v>5234</v>
      </c>
      <c r="R327" s="202" t="s">
        <v>5233</v>
      </c>
      <c r="S327" s="142" t="s">
        <v>5235</v>
      </c>
      <c r="T327" s="244"/>
    </row>
    <row r="328" spans="1:20" ht="58" customHeight="1">
      <c r="A328" s="232" t="s">
        <v>2435</v>
      </c>
      <c r="B328" s="46" t="s">
        <v>1541</v>
      </c>
      <c r="C328" s="45" t="s">
        <v>1526</v>
      </c>
      <c r="D328" s="45" t="s">
        <v>5236</v>
      </c>
      <c r="E328" s="246" t="s">
        <v>5237</v>
      </c>
      <c r="F328" s="246" t="s">
        <v>5238</v>
      </c>
      <c r="G328" s="247" t="s">
        <v>5239</v>
      </c>
      <c r="H328" s="46" t="s">
        <v>1522</v>
      </c>
      <c r="I328" s="249" t="s">
        <v>4477</v>
      </c>
      <c r="J328" s="234" t="s">
        <v>5240</v>
      </c>
      <c r="K328" s="162" t="s">
        <v>5181</v>
      </c>
      <c r="L328" s="241"/>
      <c r="M328" s="241"/>
      <c r="N328" s="161" t="s">
        <v>4255</v>
      </c>
      <c r="O328" s="140" t="s">
        <v>5232</v>
      </c>
      <c r="P328" s="44" t="s">
        <v>5181</v>
      </c>
      <c r="Q328" s="230" t="s">
        <v>5234</v>
      </c>
      <c r="R328" s="202" t="s">
        <v>5233</v>
      </c>
      <c r="S328" s="142" t="s">
        <v>5235</v>
      </c>
      <c r="T328" s="244"/>
    </row>
    <row r="329" spans="1:20" ht="58" customHeight="1">
      <c r="A329" s="232" t="s">
        <v>2435</v>
      </c>
      <c r="B329" s="46" t="s">
        <v>1541</v>
      </c>
      <c r="C329" s="45" t="s">
        <v>1526</v>
      </c>
      <c r="D329" s="45" t="s">
        <v>5241</v>
      </c>
      <c r="E329" s="246" t="s">
        <v>5242</v>
      </c>
      <c r="F329" s="246" t="s">
        <v>5243</v>
      </c>
      <c r="G329" s="247" t="s">
        <v>5244</v>
      </c>
      <c r="H329" s="46" t="s">
        <v>1522</v>
      </c>
      <c r="I329" s="249" t="s">
        <v>4477</v>
      </c>
      <c r="J329" s="234" t="s">
        <v>5245</v>
      </c>
      <c r="K329" s="162" t="s">
        <v>5188</v>
      </c>
      <c r="L329" s="241"/>
      <c r="M329" s="241"/>
      <c r="N329" s="161" t="s">
        <v>4256</v>
      </c>
      <c r="O329" s="140" t="s">
        <v>5232</v>
      </c>
      <c r="P329" s="44" t="s">
        <v>5188</v>
      </c>
      <c r="Q329" s="230" t="s">
        <v>5234</v>
      </c>
      <c r="R329" s="202" t="s">
        <v>5246</v>
      </c>
      <c r="S329" s="142" t="s">
        <v>5235</v>
      </c>
      <c r="T329" s="244"/>
    </row>
    <row r="330" spans="1:20" ht="58" customHeight="1">
      <c r="A330" s="232" t="s">
        <v>2435</v>
      </c>
      <c r="B330" s="46" t="s">
        <v>1541</v>
      </c>
      <c r="C330" s="45" t="s">
        <v>1527</v>
      </c>
      <c r="D330" s="45" t="s">
        <v>5247</v>
      </c>
      <c r="E330" s="246" t="s">
        <v>5248</v>
      </c>
      <c r="F330" s="246" t="s">
        <v>5249</v>
      </c>
      <c r="G330" s="247" t="s">
        <v>5250</v>
      </c>
      <c r="H330" s="46" t="s">
        <v>1522</v>
      </c>
      <c r="I330" s="249" t="s">
        <v>4477</v>
      </c>
      <c r="J330" s="234" t="s">
        <v>5251</v>
      </c>
      <c r="K330" s="162" t="s">
        <v>5195</v>
      </c>
      <c r="L330" s="241"/>
      <c r="M330" s="241"/>
      <c r="N330" s="161" t="s">
        <v>4256</v>
      </c>
      <c r="O330" s="140" t="s">
        <v>5232</v>
      </c>
      <c r="P330" s="44" t="s">
        <v>5195</v>
      </c>
      <c r="Q330" s="230" t="s">
        <v>5234</v>
      </c>
      <c r="R330" s="202" t="s">
        <v>5246</v>
      </c>
      <c r="S330" s="142" t="s">
        <v>5235</v>
      </c>
      <c r="T330" s="244"/>
    </row>
    <row r="331" spans="1:20" ht="58" customHeight="1">
      <c r="A331" s="232" t="s">
        <v>2435</v>
      </c>
      <c r="B331" s="46" t="s">
        <v>1541</v>
      </c>
      <c r="C331" s="45" t="s">
        <v>1534</v>
      </c>
      <c r="D331" s="45" t="s">
        <v>5252</v>
      </c>
      <c r="E331" s="246" t="s">
        <v>5253</v>
      </c>
      <c r="F331" s="246" t="s">
        <v>5254</v>
      </c>
      <c r="G331" s="247" t="s">
        <v>5255</v>
      </c>
      <c r="H331" s="46" t="s">
        <v>1522</v>
      </c>
      <c r="I331" s="249" t="s">
        <v>3013</v>
      </c>
      <c r="J331" s="234" t="s">
        <v>5256</v>
      </c>
      <c r="K331" s="162" t="s">
        <v>5202</v>
      </c>
      <c r="L331" s="241"/>
      <c r="M331" s="241"/>
      <c r="N331" s="161" t="s">
        <v>4255</v>
      </c>
      <c r="O331" s="140" t="s">
        <v>5232</v>
      </c>
      <c r="P331" s="44" t="s">
        <v>5202</v>
      </c>
      <c r="Q331" s="230" t="s">
        <v>5234</v>
      </c>
      <c r="R331" s="202" t="s">
        <v>5257</v>
      </c>
      <c r="S331" s="142" t="s">
        <v>5235</v>
      </c>
      <c r="T331" s="244"/>
    </row>
    <row r="332" spans="1:20" ht="58" customHeight="1">
      <c r="A332" s="232" t="s">
        <v>2435</v>
      </c>
      <c r="B332" s="46" t="s">
        <v>1541</v>
      </c>
      <c r="C332" s="45" t="s">
        <v>1527</v>
      </c>
      <c r="D332" s="45" t="s">
        <v>5258</v>
      </c>
      <c r="E332" s="246" t="s">
        <v>5259</v>
      </c>
      <c r="F332" s="246" t="s">
        <v>5260</v>
      </c>
      <c r="G332" s="247" t="s">
        <v>5261</v>
      </c>
      <c r="H332" s="46" t="s">
        <v>1522</v>
      </c>
      <c r="I332" s="249" t="s">
        <v>3013</v>
      </c>
      <c r="J332" s="234" t="s">
        <v>5262</v>
      </c>
      <c r="K332" s="162" t="s">
        <v>5210</v>
      </c>
      <c r="L332" s="241"/>
      <c r="M332" s="241"/>
      <c r="N332" s="161" t="s">
        <v>4255</v>
      </c>
      <c r="O332" s="140" t="s">
        <v>5232</v>
      </c>
      <c r="P332" s="44" t="s">
        <v>5210</v>
      </c>
      <c r="Q332" s="230" t="s">
        <v>5234</v>
      </c>
      <c r="R332" s="202" t="s">
        <v>5263</v>
      </c>
      <c r="S332" s="142" t="s">
        <v>5235</v>
      </c>
      <c r="T332" s="244" t="s">
        <v>5264</v>
      </c>
    </row>
    <row r="333" spans="1:20" ht="58" customHeight="1">
      <c r="A333" s="232" t="s">
        <v>2435</v>
      </c>
      <c r="B333" s="46" t="s">
        <v>1541</v>
      </c>
      <c r="C333" s="45" t="s">
        <v>1527</v>
      </c>
      <c r="D333" s="45" t="s">
        <v>5265</v>
      </c>
      <c r="E333" s="246" t="s">
        <v>5266</v>
      </c>
      <c r="F333" s="246" t="s">
        <v>5267</v>
      </c>
      <c r="G333" s="247" t="s">
        <v>5268</v>
      </c>
      <c r="H333" s="46" t="s">
        <v>1522</v>
      </c>
      <c r="I333" s="249" t="s">
        <v>3013</v>
      </c>
      <c r="J333" s="234" t="s">
        <v>5269</v>
      </c>
      <c r="K333" s="162" t="s">
        <v>5217</v>
      </c>
      <c r="L333" s="241"/>
      <c r="M333" s="241"/>
      <c r="N333" s="161" t="s">
        <v>4256</v>
      </c>
      <c r="O333" s="140" t="s">
        <v>5232</v>
      </c>
      <c r="P333" s="44" t="s">
        <v>5217</v>
      </c>
      <c r="Q333" s="230" t="s">
        <v>5234</v>
      </c>
      <c r="R333" s="202" t="s">
        <v>5246</v>
      </c>
      <c r="S333" s="142" t="s">
        <v>5235</v>
      </c>
      <c r="T333" s="244"/>
    </row>
    <row r="334" spans="1:20" ht="58" customHeight="1">
      <c r="A334" s="232" t="s">
        <v>2436</v>
      </c>
      <c r="B334" s="46" t="s">
        <v>1538</v>
      </c>
      <c r="C334" s="45" t="s">
        <v>1532</v>
      </c>
      <c r="D334" s="45" t="s">
        <v>5272</v>
      </c>
      <c r="E334" s="246" t="s">
        <v>5273</v>
      </c>
      <c r="F334" s="246" t="s">
        <v>5274</v>
      </c>
      <c r="G334" s="247" t="s">
        <v>5275</v>
      </c>
      <c r="H334" s="46" t="s">
        <v>1522</v>
      </c>
      <c r="I334" s="249" t="s">
        <v>4461</v>
      </c>
      <c r="J334" s="234" t="s">
        <v>3220</v>
      </c>
      <c r="K334" s="162" t="s">
        <v>958</v>
      </c>
      <c r="L334" s="241"/>
      <c r="M334" s="241"/>
      <c r="N334" s="161" t="s">
        <v>4255</v>
      </c>
      <c r="O334" s="140" t="s">
        <v>5276</v>
      </c>
      <c r="P334" s="44" t="s">
        <v>5277</v>
      </c>
      <c r="Q334" s="230" t="s">
        <v>3227</v>
      </c>
      <c r="R334" s="202" t="s">
        <v>5278</v>
      </c>
      <c r="S334" s="142" t="s">
        <v>5279</v>
      </c>
      <c r="T334" s="244"/>
    </row>
    <row r="335" spans="1:20" ht="58" customHeight="1">
      <c r="A335" s="232" t="s">
        <v>2436</v>
      </c>
      <c r="B335" s="46" t="s">
        <v>1538</v>
      </c>
      <c r="C335" s="45" t="s">
        <v>1532</v>
      </c>
      <c r="D335" s="45" t="s">
        <v>5280</v>
      </c>
      <c r="E335" s="246" t="s">
        <v>5281</v>
      </c>
      <c r="F335" s="246" t="s">
        <v>5282</v>
      </c>
      <c r="G335" s="247" t="s">
        <v>5283</v>
      </c>
      <c r="H335" s="46" t="s">
        <v>1522</v>
      </c>
      <c r="I335" s="249" t="s">
        <v>4461</v>
      </c>
      <c r="J335" s="234" t="s">
        <v>3220</v>
      </c>
      <c r="K335" s="162" t="s">
        <v>958</v>
      </c>
      <c r="L335" s="241"/>
      <c r="M335" s="241"/>
      <c r="N335" s="161" t="s">
        <v>4255</v>
      </c>
      <c r="O335" s="140" t="s">
        <v>5284</v>
      </c>
      <c r="P335" s="44" t="s">
        <v>5285</v>
      </c>
      <c r="Q335" s="230" t="s">
        <v>3223</v>
      </c>
      <c r="R335" s="202" t="s">
        <v>5286</v>
      </c>
      <c r="S335" s="142" t="s">
        <v>5287</v>
      </c>
      <c r="T335" s="244"/>
    </row>
    <row r="336" spans="1:20" ht="58" customHeight="1">
      <c r="A336" s="232" t="s">
        <v>2436</v>
      </c>
      <c r="B336" s="46" t="s">
        <v>1538</v>
      </c>
      <c r="C336" s="45" t="s">
        <v>1532</v>
      </c>
      <c r="D336" s="45" t="s">
        <v>5288</v>
      </c>
      <c r="E336" s="246" t="s">
        <v>5289</v>
      </c>
      <c r="F336" s="246" t="s">
        <v>5290</v>
      </c>
      <c r="G336" s="247" t="s">
        <v>5291</v>
      </c>
      <c r="H336" s="46" t="s">
        <v>1522</v>
      </c>
      <c r="I336" s="249" t="s">
        <v>4461</v>
      </c>
      <c r="J336" s="234" t="s">
        <v>3220</v>
      </c>
      <c r="K336" s="162" t="s">
        <v>958</v>
      </c>
      <c r="L336" s="241"/>
      <c r="M336" s="241"/>
      <c r="N336" s="161" t="s">
        <v>4255</v>
      </c>
      <c r="O336" s="140" t="s">
        <v>5284</v>
      </c>
      <c r="P336" s="44" t="s">
        <v>5292</v>
      </c>
      <c r="Q336" s="230" t="s">
        <v>3223</v>
      </c>
      <c r="R336" s="202" t="s">
        <v>5286</v>
      </c>
      <c r="S336" s="142" t="s">
        <v>5293</v>
      </c>
      <c r="T336" s="244"/>
    </row>
    <row r="337" spans="1:20" ht="58" customHeight="1">
      <c r="A337" s="232" t="s">
        <v>2436</v>
      </c>
      <c r="B337" s="46" t="s">
        <v>1538</v>
      </c>
      <c r="C337" s="45" t="s">
        <v>1525</v>
      </c>
      <c r="D337" s="45" t="s">
        <v>5294</v>
      </c>
      <c r="E337" s="246" t="s">
        <v>5295</v>
      </c>
      <c r="F337" s="246" t="s">
        <v>5296</v>
      </c>
      <c r="G337" s="247" t="s">
        <v>5297</v>
      </c>
      <c r="H337" s="46" t="s">
        <v>3</v>
      </c>
      <c r="I337" s="249" t="s">
        <v>1539</v>
      </c>
      <c r="J337" s="234" t="s">
        <v>3220</v>
      </c>
      <c r="K337" s="162" t="s">
        <v>958</v>
      </c>
      <c r="L337" s="241"/>
      <c r="M337" s="241"/>
      <c r="N337" s="161" t="s">
        <v>4256</v>
      </c>
      <c r="O337" s="140" t="s">
        <v>5298</v>
      </c>
      <c r="P337" s="44" t="s">
        <v>1442</v>
      </c>
      <c r="Q337" s="230" t="s">
        <v>3227</v>
      </c>
      <c r="R337" s="202" t="s">
        <v>5299</v>
      </c>
      <c r="S337" s="142" t="s">
        <v>5300</v>
      </c>
      <c r="T337" s="244" t="s">
        <v>5301</v>
      </c>
    </row>
  </sheetData>
  <autoFilter ref="A3:T337" xr:uid="{4F6F187A-C144-EF41-838F-8FD30632C19C}"/>
  <phoneticPr fontId="3"/>
  <conditionalFormatting sqref="A4:S1000">
    <cfRule type="expression" dxfId="96" priority="1">
      <formula>AND($P4&lt;&gt;"",$H4="確定")</formula>
    </cfRule>
  </conditionalFormatting>
  <conditionalFormatting sqref="A4:S1000">
    <cfRule type="expression" dxfId="95" priority="2">
      <formula>AND($P4&lt;&gt;"",$H4="方向性確定（条件付き）")</formula>
    </cfRule>
  </conditionalFormatting>
  <conditionalFormatting sqref="A4:S1000">
    <cfRule type="expression" dxfId="94" priority="3">
      <formula>AND($P4&lt;&gt;"",$H4="検討中")</formula>
    </cfRule>
  </conditionalFormatting>
  <conditionalFormatting sqref="A4:S1000">
    <cfRule type="expression" dxfId="93" priority="4">
      <formula>AND($P4&lt;&gt;"",$H4="外部待ち")</formula>
    </cfRule>
  </conditionalFormatting>
  <conditionalFormatting sqref="A4:S1000">
    <cfRule type="expression" dxfId="92" priority="5">
      <formula>AND($P4&lt;&gt;"",$H4="対象外")</formula>
    </cfRule>
  </conditionalFormatting>
  <conditionalFormatting sqref="I4:I1000">
    <cfRule type="expression" dxfId="91" priority="6">
      <formula>$I4="顧客ヒアリング"</formula>
    </cfRule>
  </conditionalFormatting>
  <conditionalFormatting sqref="I4:I1000">
    <cfRule type="expression" dxfId="90" priority="7">
      <formula>$I4="顧客ヒアリング（アプリチーム）"</formula>
    </cfRule>
  </conditionalFormatting>
  <conditionalFormatting sqref="I4:I1000">
    <cfRule type="expression" dxfId="89" priority="8">
      <formula>$I4="顧客ヒアリング→アプリ確認"</formula>
    </cfRule>
  </conditionalFormatting>
  <conditionalFormatting sqref="I4:I1000">
    <cfRule type="expression" dxfId="88" priority="9">
      <formula>$I4="他組織ヒアリング（要求仕様）"</formula>
    </cfRule>
  </conditionalFormatting>
  <conditionalFormatting sqref="I4:I1000">
    <cfRule type="expression" dxfId="87" priority="10">
      <formula>$I4="社内判断待ち"</formula>
    </cfRule>
  </conditionalFormatting>
  <conditionalFormatting sqref="I4:I1000">
    <cfRule type="expression" dxfId="86" priority="11">
      <formula>$I4="設計タスク"</formula>
    </cfRule>
  </conditionalFormatting>
  <conditionalFormatting sqref="I4:I1000">
    <cfRule type="expression" dxfId="85" priority="12">
      <formula>$I4="確定（反映のみ）"</formula>
    </cfRule>
  </conditionalFormatting>
  <conditionalFormatting sqref="I4:I1000">
    <cfRule type="expression" dxfId="84" priority="13">
      <formula>$I4="スコープ外"</formula>
    </cfRule>
  </conditionalFormatting>
  <conditionalFormatting sqref="T4:T1000">
    <cfRule type="expression" dxfId="83" priority="14">
      <formula>$T4&lt;&gt;""</formula>
    </cfRule>
  </conditionalFormatting>
  <conditionalFormatting sqref="N4:N1000">
    <cfRule type="expression" dxfId="82" priority="15">
      <formula>$N4="最優先"</formula>
    </cfRule>
  </conditionalFormatting>
  <conditionalFormatting sqref="N4:N1000">
    <cfRule type="expression" dxfId="81" priority="16">
      <formula>$N4="通常"</formula>
    </cfRule>
  </conditionalFormatting>
  <conditionalFormatting sqref="N4:N1000">
    <cfRule type="expression" dxfId="80"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79" priority="1">
      <formula>$B5="U2 Keycloak論理"</formula>
    </cfRule>
  </conditionalFormatting>
  <conditionalFormatting sqref="A5:E189">
    <cfRule type="expression" dxfId="78" priority="2">
      <formula>$B5="U3 ID・プロビジョニング"</formula>
    </cfRule>
  </conditionalFormatting>
  <conditionalFormatting sqref="A5:E189">
    <cfRule type="expression" dxfId="77" priority="3">
      <formula>$B5="U5 トークン・認可"</formula>
    </cfRule>
  </conditionalFormatting>
  <conditionalFormatting sqref="A5:E189">
    <cfRule type="expression" dxfId="76" priority="4">
      <formula>$B5="U4 認証体験・UX"</formula>
    </cfRule>
  </conditionalFormatting>
  <conditionalFormatting sqref="A5:E189">
    <cfRule type="expression" dxfId="75" priority="5">
      <formula>$B5="U7 セキュリティ"</formula>
    </cfRule>
  </conditionalFormatting>
  <conditionalFormatting sqref="A5:E189">
    <cfRule type="expression" dxfId="74" priority="6">
      <formula>$B5="U8 可用性・DR"</formula>
    </cfRule>
  </conditionalFormatting>
  <conditionalFormatting sqref="A5:E189">
    <cfRule type="expression" dxfId="73" priority="7">
      <formula>$B5="U6 インフラ・NW"</formula>
    </cfRule>
  </conditionalFormatting>
  <conditionalFormatting sqref="A5:E189">
    <cfRule type="expression" dxfId="72" priority="8">
      <formula>$B5="U9 運用・監視・IaC"</formula>
    </cfRule>
  </conditionalFormatting>
  <conditionalFormatting sqref="A5:E189">
    <cfRule type="expression" dxfId="71"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70" priority="1">
      <formula>$G5="未対応"</formula>
    </cfRule>
  </conditionalFormatting>
  <conditionalFormatting sqref="A5:H183">
    <cfRule type="expression" dxfId="69" priority="2">
      <formula>$G5="単元未取込"</formula>
    </cfRule>
  </conditionalFormatting>
  <conditionalFormatting sqref="A5:H183">
    <cfRule type="expression" dxfId="68" priority="3">
      <formula>$G5="部分"</formula>
    </cfRule>
  </conditionalFormatting>
  <conditionalFormatting sqref="A5:H183">
    <cfRule type="expression" dxfId="67" priority="4">
      <formula>$G5="設計済"</formula>
    </cfRule>
  </conditionalFormatting>
  <conditionalFormatting sqref="A5:H183">
    <cfRule type="expression" dxfId="66"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65" priority="1">
      <formula>$D6="スコープ増"</formula>
    </cfRule>
  </conditionalFormatting>
  <conditionalFormatting sqref="A6:F55">
    <cfRule type="expression" dxfId="64" priority="2">
      <formula>$D6="要件側の書き漏れ"</formula>
    </cfRule>
  </conditionalFormatting>
  <conditionalFormatting sqref="A6:F55">
    <cfRule type="expression" dxfId="63" priority="3">
      <formula>$D6="参照漏れ"</formula>
    </cfRule>
  </conditionalFormatting>
  <conditionalFormatting sqref="A6:F55">
    <cfRule type="expression" dxfId="62" priority="4">
      <formula>$D6="内部技術判断"</formula>
    </cfRule>
  </conditionalFormatting>
  <conditionalFormatting sqref="A6:F55">
    <cfRule type="expression" dxfId="61"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4846</v>
      </c>
      <c r="D33" s="286" t="s">
        <v>2710</v>
      </c>
      <c r="E33" s="287" t="s">
        <v>4847</v>
      </c>
      <c r="F33" s="235"/>
      <c r="G33" s="235"/>
      <c r="H33" s="235"/>
      <c r="I33" s="235"/>
    </row>
    <row r="34" spans="1:9">
      <c r="A34" s="283" t="s">
        <v>2599</v>
      </c>
      <c r="B34" s="284" t="s">
        <v>2600</v>
      </c>
      <c r="C34" s="285" t="s">
        <v>4846</v>
      </c>
      <c r="D34" s="286" t="s">
        <v>2710</v>
      </c>
      <c r="E34" s="287" t="s">
        <v>4848</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4849</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60" priority="1">
      <formula>$C6="Accepted"</formula>
    </cfRule>
  </conditionalFormatting>
  <conditionalFormatting sqref="A6:E72">
    <cfRule type="expression" dxfId="59" priority="2">
      <formula>$C6="Accepted (Phase 1)"</formula>
    </cfRule>
  </conditionalFormatting>
  <conditionalFormatting sqref="A6:E72">
    <cfRule type="expression" dxfId="58" priority="3">
      <formula>$C6="Accepted（条件付き）"</formula>
    </cfRule>
  </conditionalFormatting>
  <conditionalFormatting sqref="A6:E72">
    <cfRule type="expression" dxfId="57" priority="4">
      <formula>$C6="Scope Reduced"</formula>
    </cfRule>
  </conditionalFormatting>
  <conditionalFormatting sqref="A6:E72">
    <cfRule type="expression" dxfId="56" priority="5">
      <formula>$C6="Out of Scope"</formula>
    </cfRule>
  </conditionalFormatting>
  <conditionalFormatting sqref="A6:E72">
    <cfRule type="expression" dxfId="55"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sheetPr filterMode="1"/>
  <dimension ref="A1:AA456"/>
  <sheetViews>
    <sheetView tabSelected="1" topLeftCell="I1" zoomScaleNormal="100" workbookViewId="0">
      <pane ySplit="6" topLeftCell="A7" activePane="bottomLeft" state="frozen"/>
      <selection activeCell="L1" sqref="L1"/>
      <selection pane="bottomLeft" activeCell="O18" sqref="O18"/>
    </sheetView>
  </sheetViews>
  <sheetFormatPr baseColWidth="10" defaultRowHeight="22" customHeight="1"/>
  <cols>
    <col min="1" max="1" width="12.5703125" style="117" customWidth="1"/>
    <col min="2" max="3" width="21.42578125" style="117" customWidth="1"/>
    <col min="4" max="4" width="35.7109375" style="117" customWidth="1"/>
    <col min="5" max="6" width="48.5703125" style="117" customWidth="1"/>
    <col min="7" max="7" width="7.42578125" style="117" customWidth="1"/>
    <col min="8" max="9" width="28.5703125" style="117" customWidth="1"/>
    <col min="10" max="10" width="17.140625" style="117" customWidth="1"/>
    <col min="11" max="11" width="20" style="117" customWidth="1"/>
    <col min="12" max="12" width="45.7109375" style="117" customWidth="1"/>
    <col min="13" max="13" width="32.85546875" style="117" customWidth="1"/>
    <col min="14" max="14" width="21.42578125" style="117" customWidth="1"/>
    <col min="15" max="15" width="24.28515625" style="117" customWidth="1"/>
    <col min="16" max="16" width="15.7109375" style="117" customWidth="1"/>
    <col min="17" max="17" width="10" style="117" customWidth="1"/>
    <col min="18" max="18" width="28.5703125" style="117" customWidth="1"/>
    <col min="19" max="19" width="21.42578125" style="117" customWidth="1"/>
    <col min="20" max="20" width="10" style="117" customWidth="1"/>
    <col min="21" max="21" width="15.7109375" style="117" customWidth="1"/>
    <col min="22" max="22" width="10" style="117" customWidth="1"/>
    <col min="23" max="23" width="14.28515625" style="117" customWidth="1"/>
    <col min="24" max="24" width="12.85546875" style="117" customWidth="1"/>
    <col min="25" max="25" width="28.5703125" style="117" customWidth="1"/>
    <col min="26" max="26" width="24.28515625" style="117" customWidth="1"/>
    <col min="27" max="16384" width="10.7109375" style="117"/>
  </cols>
  <sheetData>
    <row r="1" spans="1:19" ht="22" customHeight="1">
      <c r="A1" s="85" t="s">
        <v>8707</v>
      </c>
      <c r="B1" s="34"/>
      <c r="C1" s="34"/>
      <c r="D1" s="34"/>
      <c r="E1" s="34"/>
      <c r="F1" s="34"/>
      <c r="G1" s="34"/>
      <c r="H1" s="34"/>
      <c r="I1" s="34"/>
      <c r="J1" s="34"/>
      <c r="K1" s="34"/>
      <c r="L1" s="34"/>
      <c r="M1" s="34"/>
      <c r="N1" s="34"/>
      <c r="O1" s="34"/>
      <c r="P1" s="34"/>
      <c r="Q1" s="34"/>
      <c r="R1" s="34"/>
      <c r="S1" s="34"/>
    </row>
    <row r="2" spans="1:19" ht="22" customHeight="1">
      <c r="A2" s="453" t="s">
        <v>8679</v>
      </c>
      <c r="B2" s="34"/>
      <c r="C2" s="34"/>
      <c r="D2" s="34"/>
      <c r="E2" s="34"/>
      <c r="F2" s="34"/>
      <c r="G2" s="34"/>
      <c r="H2" s="34"/>
      <c r="I2" s="34"/>
      <c r="J2" s="34"/>
      <c r="K2" s="34"/>
      <c r="L2" s="34"/>
      <c r="M2" s="34"/>
      <c r="N2" s="34"/>
      <c r="O2" s="34"/>
      <c r="P2" s="34"/>
      <c r="Q2" s="34"/>
      <c r="R2" s="34"/>
      <c r="S2" s="34"/>
    </row>
    <row r="3" spans="1:19" ht="22" customHeight="1">
      <c r="A3" s="441" t="s">
        <v>8671</v>
      </c>
      <c r="B3" s="34"/>
      <c r="C3" s="34"/>
      <c r="D3" s="34"/>
      <c r="E3" s="34"/>
      <c r="F3" s="34"/>
      <c r="G3" s="34"/>
      <c r="H3" s="34"/>
      <c r="I3" s="34"/>
      <c r="J3" s="34"/>
      <c r="K3" s="34"/>
      <c r="L3" s="34"/>
      <c r="M3" s="34"/>
      <c r="N3" s="34"/>
      <c r="O3" s="34"/>
      <c r="P3" s="34"/>
      <c r="Q3" s="34"/>
      <c r="R3" s="34"/>
      <c r="S3" s="34"/>
    </row>
    <row r="4" spans="1:19" ht="22" customHeight="1">
      <c r="A4" s="442" t="s">
        <v>8597</v>
      </c>
      <c r="B4" s="34"/>
      <c r="C4" s="34"/>
      <c r="D4" s="34"/>
      <c r="E4" s="34"/>
      <c r="F4" s="34"/>
      <c r="G4" s="34"/>
      <c r="H4" s="34"/>
      <c r="I4" s="34"/>
      <c r="J4" s="34"/>
      <c r="K4" s="34"/>
      <c r="L4" s="34"/>
      <c r="M4" s="34"/>
      <c r="N4" s="34"/>
      <c r="O4" s="34"/>
      <c r="P4" s="34"/>
      <c r="Q4" s="34"/>
      <c r="R4" s="34"/>
      <c r="S4" s="34"/>
    </row>
    <row r="5" spans="1:19" ht="22" customHeight="1">
      <c r="A5" s="443" t="s">
        <v>8672</v>
      </c>
      <c r="B5" s="34"/>
      <c r="C5" s="34"/>
      <c r="D5" s="34"/>
      <c r="E5" s="34"/>
      <c r="F5" s="34"/>
      <c r="G5" s="34"/>
      <c r="H5" s="34"/>
      <c r="I5" s="34"/>
      <c r="J5" s="34"/>
      <c r="K5" s="34"/>
      <c r="L5" s="34"/>
      <c r="M5" s="34"/>
      <c r="N5" s="34"/>
      <c r="O5" s="34"/>
      <c r="P5" s="34"/>
      <c r="Q5" s="34"/>
      <c r="R5" s="34"/>
      <c r="S5" s="34"/>
    </row>
    <row r="6" spans="1:19" ht="22" customHeight="1">
      <c r="A6" s="432" t="s">
        <v>3482</v>
      </c>
      <c r="B6" s="432" t="s">
        <v>8018</v>
      </c>
      <c r="C6" s="432" t="s">
        <v>8633</v>
      </c>
      <c r="D6" s="432" t="s">
        <v>8019</v>
      </c>
      <c r="E6" s="432" t="s">
        <v>7388</v>
      </c>
      <c r="F6" s="432" t="s">
        <v>7389</v>
      </c>
      <c r="G6" s="432" t="s">
        <v>3577</v>
      </c>
      <c r="H6" s="432" t="s">
        <v>7813</v>
      </c>
      <c r="I6" s="432" t="s">
        <v>7286</v>
      </c>
      <c r="J6" s="432" t="s">
        <v>8275</v>
      </c>
      <c r="K6" s="432" t="s">
        <v>8290</v>
      </c>
      <c r="L6" s="432" t="s">
        <v>8308</v>
      </c>
      <c r="M6" s="432" t="s">
        <v>8602</v>
      </c>
      <c r="N6" s="432" t="s">
        <v>8665</v>
      </c>
      <c r="O6" s="432" t="s">
        <v>8674</v>
      </c>
      <c r="P6" s="432" t="s">
        <v>7390</v>
      </c>
      <c r="Q6" s="432" t="s">
        <v>2444</v>
      </c>
      <c r="R6" s="432" t="s">
        <v>1550</v>
      </c>
      <c r="S6" s="432" t="s">
        <v>6531</v>
      </c>
    </row>
    <row r="7" spans="1:19" ht="22" customHeight="1">
      <c r="A7" s="433" t="s">
        <v>5303</v>
      </c>
      <c r="B7" s="433" t="s">
        <v>7628</v>
      </c>
      <c r="C7" s="433"/>
      <c r="D7" s="434" t="s">
        <v>7494</v>
      </c>
      <c r="E7" s="434" t="s">
        <v>7629</v>
      </c>
      <c r="F7" s="434" t="s">
        <v>7630</v>
      </c>
      <c r="G7" s="435">
        <v>2</v>
      </c>
      <c r="H7" s="434" t="s">
        <v>2740</v>
      </c>
      <c r="I7" s="434" t="s">
        <v>7289</v>
      </c>
      <c r="J7" s="439" t="s">
        <v>8276</v>
      </c>
      <c r="K7" s="440" t="s">
        <v>8306</v>
      </c>
      <c r="L7" s="449" t="s">
        <v>8314</v>
      </c>
      <c r="M7" s="424" t="s">
        <v>8623</v>
      </c>
      <c r="N7" s="440" t="s">
        <v>8667</v>
      </c>
      <c r="O7" s="440" t="s">
        <v>8675</v>
      </c>
      <c r="P7" s="433" t="s">
        <v>2234</v>
      </c>
      <c r="Q7" s="433" t="s">
        <v>4</v>
      </c>
      <c r="R7" s="433"/>
      <c r="S7" s="433" t="s">
        <v>2740</v>
      </c>
    </row>
    <row r="8" spans="1:19" ht="22" customHeight="1">
      <c r="A8" s="433" t="s">
        <v>5304</v>
      </c>
      <c r="B8" s="433" t="s">
        <v>7631</v>
      </c>
      <c r="C8" s="433"/>
      <c r="D8" s="434" t="s">
        <v>7632</v>
      </c>
      <c r="E8" s="434" t="s">
        <v>7633</v>
      </c>
      <c r="F8" s="434" t="s">
        <v>7634</v>
      </c>
      <c r="G8" s="435">
        <v>2</v>
      </c>
      <c r="H8" s="434" t="s">
        <v>2740</v>
      </c>
      <c r="I8" s="434" t="s">
        <v>7635</v>
      </c>
      <c r="J8" s="439" t="s">
        <v>8276</v>
      </c>
      <c r="K8" s="440" t="s">
        <v>8306</v>
      </c>
      <c r="L8" s="449" t="s">
        <v>8314</v>
      </c>
      <c r="M8" s="424" t="s">
        <v>8629</v>
      </c>
      <c r="N8" s="440" t="s">
        <v>8667</v>
      </c>
      <c r="O8" s="440" t="s">
        <v>8675</v>
      </c>
      <c r="P8" s="433" t="s">
        <v>2234</v>
      </c>
      <c r="Q8" s="433" t="s">
        <v>4</v>
      </c>
      <c r="R8" s="433"/>
      <c r="S8" s="433" t="s">
        <v>2740</v>
      </c>
    </row>
    <row r="9" spans="1:19" ht="22" hidden="1" customHeight="1">
      <c r="A9" s="433" t="s">
        <v>5305</v>
      </c>
      <c r="B9" s="433" t="s">
        <v>7631</v>
      </c>
      <c r="C9" s="433"/>
      <c r="D9" s="434" t="s">
        <v>7636</v>
      </c>
      <c r="E9" s="434" t="s">
        <v>7637</v>
      </c>
      <c r="F9" s="434" t="s">
        <v>7638</v>
      </c>
      <c r="G9" s="435">
        <v>3</v>
      </c>
      <c r="H9" s="434" t="s">
        <v>7949</v>
      </c>
      <c r="I9" s="434" t="s">
        <v>7950</v>
      </c>
      <c r="J9" s="439" t="s">
        <v>8276</v>
      </c>
      <c r="K9" s="440" t="s">
        <v>8292</v>
      </c>
      <c r="L9" s="449" t="s">
        <v>8326</v>
      </c>
      <c r="M9" s="424" t="s">
        <v>8620</v>
      </c>
      <c r="N9" s="440" t="s">
        <v>8669</v>
      </c>
      <c r="O9" s="440" t="s">
        <v>8677</v>
      </c>
      <c r="P9" s="433" t="s">
        <v>2234</v>
      </c>
      <c r="Q9" s="433" t="s">
        <v>4</v>
      </c>
      <c r="R9" s="433"/>
      <c r="S9" s="433" t="s">
        <v>7948</v>
      </c>
    </row>
    <row r="10" spans="1:19" ht="22" customHeight="1">
      <c r="A10" s="433" t="s">
        <v>5306</v>
      </c>
      <c r="B10" s="433" t="s">
        <v>7631</v>
      </c>
      <c r="C10" s="433"/>
      <c r="D10" s="434" t="s">
        <v>7639</v>
      </c>
      <c r="E10" s="434" t="s">
        <v>7640</v>
      </c>
      <c r="F10" s="434" t="s">
        <v>7641</v>
      </c>
      <c r="G10" s="435">
        <v>2</v>
      </c>
      <c r="H10" s="434" t="s">
        <v>2740</v>
      </c>
      <c r="I10" s="434" t="s">
        <v>7635</v>
      </c>
      <c r="J10" s="439" t="s">
        <v>8276</v>
      </c>
      <c r="K10" s="440" t="s">
        <v>8306</v>
      </c>
      <c r="L10" s="449" t="s">
        <v>8314</v>
      </c>
      <c r="M10" s="424" t="s">
        <v>8620</v>
      </c>
      <c r="N10" s="440" t="s">
        <v>8667</v>
      </c>
      <c r="O10" s="440" t="s">
        <v>8675</v>
      </c>
      <c r="P10" s="433" t="s">
        <v>2234</v>
      </c>
      <c r="Q10" s="433" t="s">
        <v>4</v>
      </c>
      <c r="R10" s="433"/>
      <c r="S10" s="433" t="s">
        <v>2740</v>
      </c>
    </row>
    <row r="11" spans="1:19" ht="22" customHeight="1">
      <c r="A11" s="433" t="s">
        <v>5307</v>
      </c>
      <c r="B11" s="433" t="s">
        <v>7631</v>
      </c>
      <c r="C11" s="433"/>
      <c r="D11" s="434" t="s">
        <v>7642</v>
      </c>
      <c r="E11" s="434" t="s">
        <v>7643</v>
      </c>
      <c r="F11" s="434" t="s">
        <v>7644</v>
      </c>
      <c r="G11" s="435">
        <v>1</v>
      </c>
      <c r="H11" s="434" t="s">
        <v>2740</v>
      </c>
      <c r="I11" s="434" t="s">
        <v>7645</v>
      </c>
      <c r="J11" s="439" t="s">
        <v>8276</v>
      </c>
      <c r="K11" s="440" t="s">
        <v>8306</v>
      </c>
      <c r="L11" s="449" t="s">
        <v>8314</v>
      </c>
      <c r="M11" s="424" t="s">
        <v>8620</v>
      </c>
      <c r="N11" s="440" t="s">
        <v>8667</v>
      </c>
      <c r="O11" s="440" t="s">
        <v>8675</v>
      </c>
      <c r="P11" s="433" t="s">
        <v>2234</v>
      </c>
      <c r="Q11" s="433" t="s">
        <v>4</v>
      </c>
      <c r="R11" s="433"/>
      <c r="S11" s="433" t="s">
        <v>2740</v>
      </c>
    </row>
    <row r="12" spans="1:19" ht="22" hidden="1" customHeight="1">
      <c r="A12" s="433" t="s">
        <v>5308</v>
      </c>
      <c r="B12" s="433" t="s">
        <v>7646</v>
      </c>
      <c r="C12" s="433"/>
      <c r="D12" s="434" t="s">
        <v>7647</v>
      </c>
      <c r="E12" s="434" t="s">
        <v>7648</v>
      </c>
      <c r="F12" s="434" t="s">
        <v>7649</v>
      </c>
      <c r="G12" s="435">
        <v>5</v>
      </c>
      <c r="H12" s="434" t="s">
        <v>7825</v>
      </c>
      <c r="I12" s="434" t="s">
        <v>7324</v>
      </c>
      <c r="J12" s="439" t="s">
        <v>8276</v>
      </c>
      <c r="K12" s="440" t="s">
        <v>8294</v>
      </c>
      <c r="L12" s="449" t="s">
        <v>8331</v>
      </c>
      <c r="M12" s="424" t="s">
        <v>8620</v>
      </c>
      <c r="N12" s="440" t="s">
        <v>8670</v>
      </c>
      <c r="O12" s="440" t="s">
        <v>8677</v>
      </c>
      <c r="P12" s="433" t="s">
        <v>2234</v>
      </c>
      <c r="Q12" s="433" t="s">
        <v>4</v>
      </c>
      <c r="R12" s="433"/>
      <c r="S12" s="433" t="s">
        <v>6340</v>
      </c>
    </row>
    <row r="13" spans="1:19" ht="22" hidden="1" customHeight="1">
      <c r="A13" s="433" t="s">
        <v>5309</v>
      </c>
      <c r="B13" s="433" t="s">
        <v>7646</v>
      </c>
      <c r="C13" s="433"/>
      <c r="D13" s="434" t="s">
        <v>7651</v>
      </c>
      <c r="E13" s="434" t="s">
        <v>7652</v>
      </c>
      <c r="F13" s="434" t="s">
        <v>7653</v>
      </c>
      <c r="G13" s="435">
        <v>3</v>
      </c>
      <c r="H13" s="434" t="s">
        <v>7825</v>
      </c>
      <c r="I13" s="434" t="s">
        <v>7324</v>
      </c>
      <c r="J13" s="439" t="s">
        <v>8276</v>
      </c>
      <c r="K13" s="440" t="s">
        <v>8294</v>
      </c>
      <c r="L13" s="449" t="s">
        <v>8331</v>
      </c>
      <c r="M13" s="424" t="s">
        <v>8620</v>
      </c>
      <c r="N13" s="440" t="s">
        <v>8670</v>
      </c>
      <c r="O13" s="440" t="s">
        <v>8677</v>
      </c>
      <c r="P13" s="433" t="s">
        <v>2234</v>
      </c>
      <c r="Q13" s="433" t="s">
        <v>4</v>
      </c>
      <c r="R13" s="433"/>
      <c r="S13" s="433" t="s">
        <v>6340</v>
      </c>
    </row>
    <row r="14" spans="1:19" ht="22" hidden="1" customHeight="1">
      <c r="A14" s="433" t="s">
        <v>5310</v>
      </c>
      <c r="B14" s="433" t="s">
        <v>7646</v>
      </c>
      <c r="C14" s="433"/>
      <c r="D14" s="434" t="s">
        <v>7654</v>
      </c>
      <c r="E14" s="434" t="s">
        <v>7655</v>
      </c>
      <c r="F14" s="434" t="s">
        <v>7656</v>
      </c>
      <c r="G14" s="435">
        <v>1</v>
      </c>
      <c r="H14" s="434" t="s">
        <v>7827</v>
      </c>
      <c r="I14" s="434" t="s">
        <v>7331</v>
      </c>
      <c r="J14" s="439" t="s">
        <v>8276</v>
      </c>
      <c r="K14" s="440" t="s">
        <v>8295</v>
      </c>
      <c r="L14" s="449" t="s">
        <v>8310</v>
      </c>
      <c r="M14" s="424" t="s">
        <v>8620</v>
      </c>
      <c r="N14" s="440" t="s">
        <v>8670</v>
      </c>
      <c r="O14" s="440" t="s">
        <v>8677</v>
      </c>
      <c r="P14" s="433" t="s">
        <v>2234</v>
      </c>
      <c r="Q14" s="433" t="s">
        <v>4</v>
      </c>
      <c r="R14" s="433"/>
      <c r="S14" s="433" t="s">
        <v>6359</v>
      </c>
    </row>
    <row r="15" spans="1:19" ht="22" customHeight="1">
      <c r="A15" s="433" t="s">
        <v>5312</v>
      </c>
      <c r="B15" s="433" t="s">
        <v>7657</v>
      </c>
      <c r="C15" s="433"/>
      <c r="D15" s="434" t="s">
        <v>7658</v>
      </c>
      <c r="E15" s="434" t="s">
        <v>7659</v>
      </c>
      <c r="F15" s="434" t="s">
        <v>7660</v>
      </c>
      <c r="G15" s="435">
        <v>3</v>
      </c>
      <c r="H15" s="434" t="s">
        <v>7816</v>
      </c>
      <c r="I15" s="434" t="s">
        <v>7297</v>
      </c>
      <c r="J15" s="439" t="s">
        <v>8276</v>
      </c>
      <c r="K15" s="440" t="s">
        <v>8291</v>
      </c>
      <c r="L15" s="449" t="s">
        <v>8317</v>
      </c>
      <c r="M15" s="424" t="s">
        <v>8620</v>
      </c>
      <c r="N15" s="440" t="s">
        <v>8669</v>
      </c>
      <c r="O15" s="440" t="s">
        <v>8675</v>
      </c>
      <c r="P15" s="433" t="s">
        <v>7708</v>
      </c>
      <c r="Q15" s="433" t="s">
        <v>4</v>
      </c>
      <c r="R15" s="433" t="s">
        <v>7709</v>
      </c>
      <c r="S15" s="433" t="s">
        <v>6282</v>
      </c>
    </row>
    <row r="16" spans="1:19" ht="22" customHeight="1">
      <c r="A16" s="433" t="s">
        <v>5313</v>
      </c>
      <c r="B16" s="433" t="s">
        <v>7657</v>
      </c>
      <c r="C16" s="433"/>
      <c r="D16" s="434" t="s">
        <v>7661</v>
      </c>
      <c r="E16" s="434" t="s">
        <v>7662</v>
      </c>
      <c r="F16" s="434" t="s">
        <v>7663</v>
      </c>
      <c r="G16" s="435">
        <v>2</v>
      </c>
      <c r="H16" s="434" t="s">
        <v>7816</v>
      </c>
      <c r="I16" s="434" t="s">
        <v>7297</v>
      </c>
      <c r="J16" s="439" t="s">
        <v>8276</v>
      </c>
      <c r="K16" s="440" t="s">
        <v>8291</v>
      </c>
      <c r="L16" s="449" t="s">
        <v>8317</v>
      </c>
      <c r="M16" s="424" t="s">
        <v>8620</v>
      </c>
      <c r="N16" s="440" t="s">
        <v>8669</v>
      </c>
      <c r="O16" s="440" t="s">
        <v>8675</v>
      </c>
      <c r="P16" s="433" t="s">
        <v>7708</v>
      </c>
      <c r="Q16" s="433" t="s">
        <v>4</v>
      </c>
      <c r="R16" s="433"/>
      <c r="S16" s="433" t="s">
        <v>6282</v>
      </c>
    </row>
    <row r="17" spans="1:19" ht="22" customHeight="1">
      <c r="A17" s="433" t="s">
        <v>5314</v>
      </c>
      <c r="B17" s="433" t="s">
        <v>7657</v>
      </c>
      <c r="C17" s="433"/>
      <c r="D17" s="434" t="s">
        <v>7664</v>
      </c>
      <c r="E17" s="434" t="s">
        <v>7665</v>
      </c>
      <c r="F17" s="434" t="s">
        <v>7666</v>
      </c>
      <c r="G17" s="435">
        <v>2</v>
      </c>
      <c r="H17" s="434" t="s">
        <v>7816</v>
      </c>
      <c r="I17" s="434" t="s">
        <v>7952</v>
      </c>
      <c r="J17" s="439" t="s">
        <v>8276</v>
      </c>
      <c r="K17" s="440" t="s">
        <v>8291</v>
      </c>
      <c r="L17" s="449" t="s">
        <v>8317</v>
      </c>
      <c r="M17" s="424" t="s">
        <v>8620</v>
      </c>
      <c r="N17" s="440" t="s">
        <v>8669</v>
      </c>
      <c r="O17" s="440" t="s">
        <v>8675</v>
      </c>
      <c r="P17" s="433" t="s">
        <v>7708</v>
      </c>
      <c r="Q17" s="433" t="s">
        <v>4</v>
      </c>
      <c r="R17" s="433"/>
      <c r="S17" s="433" t="s">
        <v>7951</v>
      </c>
    </row>
    <row r="18" spans="1:19" ht="22" customHeight="1">
      <c r="A18" s="433" t="s">
        <v>5315</v>
      </c>
      <c r="B18" s="433" t="s">
        <v>7657</v>
      </c>
      <c r="C18" s="433"/>
      <c r="D18" s="434" t="s">
        <v>7667</v>
      </c>
      <c r="E18" s="434" t="s">
        <v>7668</v>
      </c>
      <c r="F18" s="434" t="s">
        <v>7669</v>
      </c>
      <c r="G18" s="435">
        <v>1</v>
      </c>
      <c r="H18" s="434" t="s">
        <v>7816</v>
      </c>
      <c r="I18" s="434" t="s">
        <v>7297</v>
      </c>
      <c r="J18" s="439" t="s">
        <v>8276</v>
      </c>
      <c r="K18" s="440" t="s">
        <v>8291</v>
      </c>
      <c r="L18" s="449" t="s">
        <v>8317</v>
      </c>
      <c r="M18" s="424" t="s">
        <v>8620</v>
      </c>
      <c r="N18" s="440" t="s">
        <v>8669</v>
      </c>
      <c r="O18" s="440" t="s">
        <v>8675</v>
      </c>
      <c r="P18" s="433" t="s">
        <v>7708</v>
      </c>
      <c r="Q18" s="433" t="s">
        <v>4</v>
      </c>
      <c r="R18" s="433"/>
      <c r="S18" s="433" t="s">
        <v>6282</v>
      </c>
    </row>
    <row r="19" spans="1:19" ht="22" hidden="1" customHeight="1">
      <c r="A19" s="433" t="s">
        <v>5316</v>
      </c>
      <c r="B19" s="433" t="s">
        <v>7670</v>
      </c>
      <c r="C19" s="433"/>
      <c r="D19" s="434" t="s">
        <v>7671</v>
      </c>
      <c r="E19" s="434" t="s">
        <v>7672</v>
      </c>
      <c r="F19" s="434" t="s">
        <v>7673</v>
      </c>
      <c r="G19" s="435">
        <v>3</v>
      </c>
      <c r="H19" s="434" t="s">
        <v>7818</v>
      </c>
      <c r="I19" s="434" t="s">
        <v>7318</v>
      </c>
      <c r="J19" s="439" t="s">
        <v>8276</v>
      </c>
      <c r="K19" s="440" t="s">
        <v>8292</v>
      </c>
      <c r="L19" s="449" t="s">
        <v>8321</v>
      </c>
      <c r="M19" s="424" t="s">
        <v>8620</v>
      </c>
      <c r="N19" s="440" t="s">
        <v>8670</v>
      </c>
      <c r="O19" s="440" t="s">
        <v>8677</v>
      </c>
      <c r="P19" s="433" t="s">
        <v>2234</v>
      </c>
      <c r="Q19" s="433" t="s">
        <v>4</v>
      </c>
      <c r="R19" s="433"/>
      <c r="S19" s="433" t="s">
        <v>6314</v>
      </c>
    </row>
    <row r="20" spans="1:19" ht="22" customHeight="1">
      <c r="A20" s="433" t="s">
        <v>7674</v>
      </c>
      <c r="B20" s="433" t="s">
        <v>7675</v>
      </c>
      <c r="C20" s="433"/>
      <c r="D20" s="434" t="s">
        <v>7676</v>
      </c>
      <c r="E20" s="434" t="s">
        <v>7677</v>
      </c>
      <c r="F20" s="434" t="s">
        <v>7678</v>
      </c>
      <c r="G20" s="435">
        <v>3</v>
      </c>
      <c r="H20" s="434" t="s">
        <v>2740</v>
      </c>
      <c r="I20" s="434" t="s">
        <v>7953</v>
      </c>
      <c r="J20" s="439" t="s">
        <v>8276</v>
      </c>
      <c r="K20" s="440" t="s">
        <v>8306</v>
      </c>
      <c r="L20" s="449" t="s">
        <v>8314</v>
      </c>
      <c r="M20" s="424" t="s">
        <v>8620</v>
      </c>
      <c r="N20" s="440" t="s">
        <v>8667</v>
      </c>
      <c r="O20" s="440" t="s">
        <v>8675</v>
      </c>
      <c r="P20" s="433" t="s">
        <v>2234</v>
      </c>
      <c r="Q20" s="433" t="s">
        <v>4</v>
      </c>
      <c r="R20" s="433"/>
      <c r="S20" s="433" t="s">
        <v>2740</v>
      </c>
    </row>
    <row r="21" spans="1:19" ht="22" customHeight="1">
      <c r="A21" s="433" t="s">
        <v>7679</v>
      </c>
      <c r="B21" s="433" t="s">
        <v>7680</v>
      </c>
      <c r="C21" s="433"/>
      <c r="D21" s="434" t="s">
        <v>7681</v>
      </c>
      <c r="E21" s="434" t="s">
        <v>7682</v>
      </c>
      <c r="F21" s="434" t="s">
        <v>7683</v>
      </c>
      <c r="G21" s="435">
        <v>3</v>
      </c>
      <c r="H21" s="434" t="s">
        <v>2740</v>
      </c>
      <c r="I21" s="434" t="s">
        <v>7289</v>
      </c>
      <c r="J21" s="439" t="s">
        <v>8276</v>
      </c>
      <c r="K21" s="440" t="s">
        <v>8306</v>
      </c>
      <c r="L21" s="449" t="s">
        <v>8682</v>
      </c>
      <c r="M21" s="424" t="s">
        <v>8624</v>
      </c>
      <c r="N21" s="440" t="s">
        <v>8667</v>
      </c>
      <c r="O21" s="440" t="s">
        <v>8675</v>
      </c>
      <c r="P21" s="433" t="s">
        <v>2234</v>
      </c>
      <c r="Q21" s="433" t="s">
        <v>4</v>
      </c>
      <c r="R21" s="433"/>
      <c r="S21" s="433" t="s">
        <v>2740</v>
      </c>
    </row>
    <row r="22" spans="1:19" ht="22" customHeight="1">
      <c r="A22" s="433" t="s">
        <v>7684</v>
      </c>
      <c r="B22" s="433" t="s">
        <v>7685</v>
      </c>
      <c r="C22" s="433"/>
      <c r="D22" s="434" t="s">
        <v>7686</v>
      </c>
      <c r="E22" s="434" t="s">
        <v>7687</v>
      </c>
      <c r="F22" s="434" t="s">
        <v>7688</v>
      </c>
      <c r="G22" s="435">
        <v>1</v>
      </c>
      <c r="H22" s="434" t="s">
        <v>2740</v>
      </c>
      <c r="I22" s="434" t="s">
        <v>7289</v>
      </c>
      <c r="J22" s="439" t="s">
        <v>8276</v>
      </c>
      <c r="K22" s="440" t="s">
        <v>8306</v>
      </c>
      <c r="L22" s="449" t="s">
        <v>8314</v>
      </c>
      <c r="M22" s="424" t="s">
        <v>8620</v>
      </c>
      <c r="N22" s="440" t="s">
        <v>8667</v>
      </c>
      <c r="O22" s="440" t="s">
        <v>8675</v>
      </c>
      <c r="P22" s="433" t="s">
        <v>2234</v>
      </c>
      <c r="Q22" s="433" t="s">
        <v>4</v>
      </c>
      <c r="R22" s="433"/>
      <c r="S22" s="433" t="s">
        <v>2740</v>
      </c>
    </row>
    <row r="23" spans="1:19" ht="22" customHeight="1">
      <c r="A23" s="433" t="s">
        <v>8603</v>
      </c>
      <c r="B23" s="433" t="s">
        <v>7685</v>
      </c>
      <c r="C23" s="433"/>
      <c r="D23" s="434" t="s">
        <v>8604</v>
      </c>
      <c r="E23" s="434" t="s">
        <v>8605</v>
      </c>
      <c r="F23" s="434" t="s">
        <v>8606</v>
      </c>
      <c r="G23" s="435">
        <v>3</v>
      </c>
      <c r="H23" s="434" t="s">
        <v>2740</v>
      </c>
      <c r="I23" s="434" t="s">
        <v>7289</v>
      </c>
      <c r="J23" s="439" t="s">
        <v>8276</v>
      </c>
      <c r="K23" s="440" t="s">
        <v>8295</v>
      </c>
      <c r="L23" s="449" t="s">
        <v>8607</v>
      </c>
      <c r="M23" s="424" t="s">
        <v>8620</v>
      </c>
      <c r="N23" s="440" t="s">
        <v>8669</v>
      </c>
      <c r="O23" s="440" t="s">
        <v>8675</v>
      </c>
      <c r="P23" s="433" t="s">
        <v>2234</v>
      </c>
      <c r="Q23" s="433" t="s">
        <v>4</v>
      </c>
      <c r="R23" s="433"/>
      <c r="S23" s="433" t="s">
        <v>2740</v>
      </c>
    </row>
    <row r="24" spans="1:19" ht="22" customHeight="1">
      <c r="A24" s="433" t="s">
        <v>8608</v>
      </c>
      <c r="B24" s="433" t="s">
        <v>7685</v>
      </c>
      <c r="C24" s="433"/>
      <c r="D24" s="434" t="s">
        <v>8609</v>
      </c>
      <c r="E24" s="434" t="s">
        <v>8610</v>
      </c>
      <c r="F24" s="434" t="s">
        <v>8611</v>
      </c>
      <c r="G24" s="435">
        <v>0.5</v>
      </c>
      <c r="H24" s="434" t="s">
        <v>2740</v>
      </c>
      <c r="I24" s="434" t="s">
        <v>7289</v>
      </c>
      <c r="J24" s="439" t="s">
        <v>8276</v>
      </c>
      <c r="K24" s="440" t="s">
        <v>8295</v>
      </c>
      <c r="L24" s="449" t="s">
        <v>8683</v>
      </c>
      <c r="M24" s="424" t="s">
        <v>8624</v>
      </c>
      <c r="N24" s="440" t="s">
        <v>8667</v>
      </c>
      <c r="O24" s="440" t="s">
        <v>8675</v>
      </c>
      <c r="P24" s="433" t="s">
        <v>2234</v>
      </c>
      <c r="Q24" s="433" t="s">
        <v>4</v>
      </c>
      <c r="R24" s="433"/>
      <c r="S24" s="433" t="s">
        <v>2740</v>
      </c>
    </row>
    <row r="25" spans="1:19" ht="22" customHeight="1">
      <c r="A25" s="433" t="s">
        <v>542</v>
      </c>
      <c r="B25" s="433" t="s">
        <v>7689</v>
      </c>
      <c r="C25" s="433"/>
      <c r="D25" s="434" t="s">
        <v>7690</v>
      </c>
      <c r="E25" s="434" t="s">
        <v>7691</v>
      </c>
      <c r="F25" s="434" t="s">
        <v>7692</v>
      </c>
      <c r="G25" s="435">
        <v>1</v>
      </c>
      <c r="H25" s="434" t="s">
        <v>2740</v>
      </c>
      <c r="I25" s="434" t="s">
        <v>7289</v>
      </c>
      <c r="J25" s="439" t="s">
        <v>8276</v>
      </c>
      <c r="K25" s="440" t="s">
        <v>8306</v>
      </c>
      <c r="L25" s="449" t="s">
        <v>8314</v>
      </c>
      <c r="M25" s="424" t="s">
        <v>8625</v>
      </c>
      <c r="N25" s="440" t="s">
        <v>8667</v>
      </c>
      <c r="O25" s="440" t="s">
        <v>8675</v>
      </c>
      <c r="P25" s="433" t="s">
        <v>2234</v>
      </c>
      <c r="Q25" s="433" t="s">
        <v>4</v>
      </c>
      <c r="R25" s="433"/>
      <c r="S25" s="433" t="s">
        <v>2740</v>
      </c>
    </row>
    <row r="26" spans="1:19" ht="22" hidden="1" customHeight="1">
      <c r="A26" s="433" t="s">
        <v>546</v>
      </c>
      <c r="B26" s="433" t="s">
        <v>7693</v>
      </c>
      <c r="C26" s="433"/>
      <c r="D26" s="434" t="s">
        <v>7365</v>
      </c>
      <c r="E26" s="434" t="s">
        <v>7694</v>
      </c>
      <c r="F26" s="434" t="s">
        <v>7695</v>
      </c>
      <c r="G26" s="435">
        <v>0.5</v>
      </c>
      <c r="H26" s="434" t="s">
        <v>7839</v>
      </c>
      <c r="I26" s="434" t="s">
        <v>7349</v>
      </c>
      <c r="J26" s="439" t="s">
        <v>8276</v>
      </c>
      <c r="K26" s="440" t="s">
        <v>8291</v>
      </c>
      <c r="L26" s="449" t="s">
        <v>8338</v>
      </c>
      <c r="M26" s="424" t="s">
        <v>8620</v>
      </c>
      <c r="N26" s="440" t="s">
        <v>8670</v>
      </c>
      <c r="O26" s="440" t="s">
        <v>8677</v>
      </c>
      <c r="P26" s="433" t="s">
        <v>2234</v>
      </c>
      <c r="Q26" s="433" t="s">
        <v>4</v>
      </c>
      <c r="R26" s="433"/>
      <c r="S26" s="433" t="s">
        <v>6421</v>
      </c>
    </row>
    <row r="27" spans="1:19" ht="22" hidden="1" customHeight="1">
      <c r="A27" s="433" t="s">
        <v>550</v>
      </c>
      <c r="B27" s="433" t="s">
        <v>7696</v>
      </c>
      <c r="C27" s="433"/>
      <c r="D27" s="434" t="s">
        <v>7697</v>
      </c>
      <c r="E27" s="434" t="s">
        <v>7698</v>
      </c>
      <c r="F27" s="434" t="s">
        <v>7699</v>
      </c>
      <c r="G27" s="435">
        <v>0.5</v>
      </c>
      <c r="H27" s="434" t="s">
        <v>7815</v>
      </c>
      <c r="I27" s="434" t="s">
        <v>7305</v>
      </c>
      <c r="J27" s="439" t="s">
        <v>8276</v>
      </c>
      <c r="K27" s="440" t="s">
        <v>8292</v>
      </c>
      <c r="L27" s="449" t="s">
        <v>8326</v>
      </c>
      <c r="M27" s="424" t="s">
        <v>8620</v>
      </c>
      <c r="N27" s="440" t="s">
        <v>8666</v>
      </c>
      <c r="O27" s="440" t="s">
        <v>8677</v>
      </c>
      <c r="P27" s="433" t="s">
        <v>2234</v>
      </c>
      <c r="Q27" s="433" t="s">
        <v>4</v>
      </c>
      <c r="R27" s="433"/>
      <c r="S27" s="433" t="s">
        <v>6273</v>
      </c>
    </row>
    <row r="28" spans="1:19" ht="22" hidden="1" customHeight="1">
      <c r="A28" s="433" t="s">
        <v>5317</v>
      </c>
      <c r="B28" s="433" t="s">
        <v>7700</v>
      </c>
      <c r="C28" s="433"/>
      <c r="D28" s="434" t="s">
        <v>7701</v>
      </c>
      <c r="E28" s="434" t="s">
        <v>7702</v>
      </c>
      <c r="F28" s="434" t="s">
        <v>7703</v>
      </c>
      <c r="G28" s="435">
        <v>1</v>
      </c>
      <c r="H28" s="434" t="s">
        <v>7853</v>
      </c>
      <c r="I28" s="434" t="s">
        <v>7303</v>
      </c>
      <c r="J28" s="439" t="s">
        <v>8276</v>
      </c>
      <c r="K28" s="440" t="s">
        <v>8294</v>
      </c>
      <c r="L28" s="449" t="s">
        <v>8324</v>
      </c>
      <c r="M28" s="424" t="s">
        <v>8620</v>
      </c>
      <c r="N28" s="440" t="s">
        <v>8670</v>
      </c>
      <c r="O28" s="440" t="s">
        <v>8677</v>
      </c>
      <c r="P28" s="433" t="s">
        <v>2234</v>
      </c>
      <c r="Q28" s="433" t="s">
        <v>4</v>
      </c>
      <c r="R28" s="433"/>
      <c r="S28" s="433" t="s">
        <v>6496</v>
      </c>
    </row>
    <row r="29" spans="1:19" ht="22" customHeight="1">
      <c r="A29" s="433" t="s">
        <v>5318</v>
      </c>
      <c r="B29" s="433" t="s">
        <v>7704</v>
      </c>
      <c r="C29" s="433"/>
      <c r="D29" s="434" t="s">
        <v>7705</v>
      </c>
      <c r="E29" s="434" t="s">
        <v>7706</v>
      </c>
      <c r="F29" s="434" t="s">
        <v>7707</v>
      </c>
      <c r="G29" s="435">
        <v>1</v>
      </c>
      <c r="H29" s="434" t="s">
        <v>2740</v>
      </c>
      <c r="I29" s="434" t="s">
        <v>7289</v>
      </c>
      <c r="J29" s="439" t="s">
        <v>8276</v>
      </c>
      <c r="K29" s="440" t="s">
        <v>8306</v>
      </c>
      <c r="L29" s="449" t="s">
        <v>8314</v>
      </c>
      <c r="M29" s="424" t="s">
        <v>8620</v>
      </c>
      <c r="N29" s="440" t="s">
        <v>8667</v>
      </c>
      <c r="O29" s="440" t="s">
        <v>8675</v>
      </c>
      <c r="P29" s="433" t="s">
        <v>2234</v>
      </c>
      <c r="Q29" s="433" t="s">
        <v>4</v>
      </c>
      <c r="R29" s="433"/>
      <c r="S29" s="433" t="s">
        <v>2740</v>
      </c>
    </row>
    <row r="30" spans="1:19" ht="22" customHeight="1">
      <c r="A30" s="433" t="s">
        <v>536</v>
      </c>
      <c r="B30" s="433" t="s">
        <v>536</v>
      </c>
      <c r="C30" s="433"/>
      <c r="D30" s="434" t="s">
        <v>7778</v>
      </c>
      <c r="E30" s="434" t="s">
        <v>6729</v>
      </c>
      <c r="F30" s="434" t="s">
        <v>6730</v>
      </c>
      <c r="G30" s="435">
        <v>0</v>
      </c>
      <c r="H30" s="434" t="s">
        <v>2740</v>
      </c>
      <c r="I30" s="434" t="s">
        <v>7287</v>
      </c>
      <c r="J30" s="439" t="s">
        <v>8276</v>
      </c>
      <c r="K30" s="440" t="s">
        <v>8306</v>
      </c>
      <c r="L30" s="449" t="s">
        <v>8314</v>
      </c>
      <c r="M30" s="424" t="s">
        <v>8620</v>
      </c>
      <c r="N30" s="440" t="s">
        <v>8667</v>
      </c>
      <c r="O30" s="440" t="s">
        <v>8675</v>
      </c>
      <c r="P30" s="433" t="s">
        <v>2234</v>
      </c>
      <c r="Q30" s="433" t="s">
        <v>5311</v>
      </c>
      <c r="R30" s="433"/>
      <c r="S30" s="433" t="s">
        <v>2234</v>
      </c>
    </row>
    <row r="31" spans="1:19" ht="22" customHeight="1">
      <c r="A31" s="433" t="s">
        <v>5319</v>
      </c>
      <c r="B31" s="433" t="s">
        <v>556</v>
      </c>
      <c r="C31" s="433"/>
      <c r="D31" s="434" t="s">
        <v>7735</v>
      </c>
      <c r="E31" s="434" t="s">
        <v>7867</v>
      </c>
      <c r="F31" s="434" t="s">
        <v>7868</v>
      </c>
      <c r="G31" s="435">
        <v>4</v>
      </c>
      <c r="H31" s="434" t="s">
        <v>2740</v>
      </c>
      <c r="I31" s="434" t="s">
        <v>7289</v>
      </c>
      <c r="J31" s="439" t="s">
        <v>8276</v>
      </c>
      <c r="K31" s="440" t="s">
        <v>8305</v>
      </c>
      <c r="L31" s="449" t="s">
        <v>8369</v>
      </c>
      <c r="M31" s="424" t="s">
        <v>8626</v>
      </c>
      <c r="N31" s="440" t="s">
        <v>8667</v>
      </c>
      <c r="O31" s="440" t="s">
        <v>8675</v>
      </c>
      <c r="P31" s="433" t="s">
        <v>5320</v>
      </c>
      <c r="Q31" s="433" t="s">
        <v>4</v>
      </c>
      <c r="R31" s="433"/>
      <c r="S31" s="433" t="s">
        <v>2740</v>
      </c>
    </row>
    <row r="32" spans="1:19" ht="22" customHeight="1">
      <c r="A32" s="433" t="s">
        <v>5321</v>
      </c>
      <c r="B32" s="433" t="s">
        <v>556</v>
      </c>
      <c r="C32" s="433"/>
      <c r="D32" s="434" t="s">
        <v>7736</v>
      </c>
      <c r="E32" s="434" t="s">
        <v>7869</v>
      </c>
      <c r="F32" s="434" t="s">
        <v>7870</v>
      </c>
      <c r="G32" s="435">
        <v>3</v>
      </c>
      <c r="H32" s="434" t="s">
        <v>2740</v>
      </c>
      <c r="I32" s="434" t="s">
        <v>7289</v>
      </c>
      <c r="J32" s="439" t="s">
        <v>8276</v>
      </c>
      <c r="K32" s="440" t="s">
        <v>8305</v>
      </c>
      <c r="L32" s="449" t="s">
        <v>8369</v>
      </c>
      <c r="M32" s="424" t="s">
        <v>8626</v>
      </c>
      <c r="N32" s="440" t="s">
        <v>8667</v>
      </c>
      <c r="O32" s="440" t="s">
        <v>8675</v>
      </c>
      <c r="P32" s="433" t="s">
        <v>5319</v>
      </c>
      <c r="Q32" s="433" t="s">
        <v>4</v>
      </c>
      <c r="R32" s="433"/>
      <c r="S32" s="433" t="s">
        <v>2740</v>
      </c>
    </row>
    <row r="33" spans="1:19" ht="22" customHeight="1">
      <c r="A33" s="433" t="s">
        <v>5322</v>
      </c>
      <c r="B33" s="433" t="s">
        <v>556</v>
      </c>
      <c r="C33" s="433"/>
      <c r="D33" s="434" t="s">
        <v>7737</v>
      </c>
      <c r="E33" s="434" t="s">
        <v>7871</v>
      </c>
      <c r="F33" s="434" t="s">
        <v>7872</v>
      </c>
      <c r="G33" s="435">
        <v>5</v>
      </c>
      <c r="H33" s="434" t="s">
        <v>2740</v>
      </c>
      <c r="I33" s="434" t="s">
        <v>7289</v>
      </c>
      <c r="J33" s="439" t="s">
        <v>8276</v>
      </c>
      <c r="K33" s="440" t="s">
        <v>8305</v>
      </c>
      <c r="L33" s="449" t="s">
        <v>8369</v>
      </c>
      <c r="M33" s="424" t="s">
        <v>8626</v>
      </c>
      <c r="N33" s="440" t="s">
        <v>8667</v>
      </c>
      <c r="O33" s="440" t="s">
        <v>8675</v>
      </c>
      <c r="P33" s="433" t="s">
        <v>5321</v>
      </c>
      <c r="Q33" s="433" t="s">
        <v>4</v>
      </c>
      <c r="R33" s="433"/>
      <c r="S33" s="433" t="s">
        <v>2740</v>
      </c>
    </row>
    <row r="34" spans="1:19" ht="22" customHeight="1">
      <c r="A34" s="433" t="s">
        <v>5323</v>
      </c>
      <c r="B34" s="433" t="s">
        <v>559</v>
      </c>
      <c r="C34" s="433"/>
      <c r="D34" s="434" t="s">
        <v>7738</v>
      </c>
      <c r="E34" s="434" t="s">
        <v>7873</v>
      </c>
      <c r="F34" s="434" t="s">
        <v>7874</v>
      </c>
      <c r="G34" s="435">
        <v>3</v>
      </c>
      <c r="H34" s="434" t="s">
        <v>2740</v>
      </c>
      <c r="I34" s="434" t="s">
        <v>7289</v>
      </c>
      <c r="J34" s="439" t="s">
        <v>8276</v>
      </c>
      <c r="K34" s="440" t="s">
        <v>8305</v>
      </c>
      <c r="L34" s="449" t="s">
        <v>8369</v>
      </c>
      <c r="M34" s="424" t="s">
        <v>8626</v>
      </c>
      <c r="N34" s="440" t="s">
        <v>8667</v>
      </c>
      <c r="O34" s="440" t="s">
        <v>8675</v>
      </c>
      <c r="P34" s="433" t="s">
        <v>2234</v>
      </c>
      <c r="Q34" s="433" t="s">
        <v>4</v>
      </c>
      <c r="R34" s="433"/>
      <c r="S34" s="433" t="s">
        <v>2740</v>
      </c>
    </row>
    <row r="35" spans="1:19" ht="22" customHeight="1">
      <c r="A35" s="433" t="s">
        <v>5324</v>
      </c>
      <c r="B35" s="433" t="s">
        <v>559</v>
      </c>
      <c r="C35" s="433"/>
      <c r="D35" s="434" t="s">
        <v>7739</v>
      </c>
      <c r="E35" s="434" t="s">
        <v>7875</v>
      </c>
      <c r="F35" s="434" t="s">
        <v>7876</v>
      </c>
      <c r="G35" s="435">
        <v>2</v>
      </c>
      <c r="H35" s="434" t="s">
        <v>2740</v>
      </c>
      <c r="I35" s="434" t="s">
        <v>7289</v>
      </c>
      <c r="J35" s="439" t="s">
        <v>8276</v>
      </c>
      <c r="K35" s="440" t="s">
        <v>8305</v>
      </c>
      <c r="L35" s="449" t="s">
        <v>8369</v>
      </c>
      <c r="M35" s="424" t="s">
        <v>8626</v>
      </c>
      <c r="N35" s="440" t="s">
        <v>8667</v>
      </c>
      <c r="O35" s="440" t="s">
        <v>8675</v>
      </c>
      <c r="P35" s="433" t="s">
        <v>5323</v>
      </c>
      <c r="Q35" s="433" t="s">
        <v>4</v>
      </c>
      <c r="R35" s="433"/>
      <c r="S35" s="433" t="s">
        <v>2740</v>
      </c>
    </row>
    <row r="36" spans="1:19" ht="22" customHeight="1">
      <c r="A36" s="433" t="s">
        <v>561</v>
      </c>
      <c r="B36" s="433" t="s">
        <v>561</v>
      </c>
      <c r="C36" s="433"/>
      <c r="D36" s="434" t="s">
        <v>7740</v>
      </c>
      <c r="E36" s="434" t="s">
        <v>7877</v>
      </c>
      <c r="F36" s="434" t="s">
        <v>7878</v>
      </c>
      <c r="G36" s="435">
        <v>2</v>
      </c>
      <c r="H36" s="434" t="s">
        <v>2740</v>
      </c>
      <c r="I36" s="434" t="s">
        <v>7289</v>
      </c>
      <c r="J36" s="439" t="s">
        <v>8276</v>
      </c>
      <c r="K36" s="440" t="s">
        <v>8305</v>
      </c>
      <c r="L36" s="449" t="s">
        <v>8682</v>
      </c>
      <c r="M36" s="424" t="s">
        <v>8624</v>
      </c>
      <c r="N36" s="440" t="s">
        <v>8667</v>
      </c>
      <c r="O36" s="440" t="s">
        <v>8675</v>
      </c>
      <c r="P36" s="433" t="s">
        <v>5325</v>
      </c>
      <c r="Q36" s="433" t="s">
        <v>4</v>
      </c>
      <c r="R36" s="433"/>
      <c r="S36" s="433" t="s">
        <v>2740</v>
      </c>
    </row>
    <row r="37" spans="1:19" ht="22" customHeight="1">
      <c r="A37" s="433" t="s">
        <v>5326</v>
      </c>
      <c r="B37" s="433" t="s">
        <v>563</v>
      </c>
      <c r="C37" s="433"/>
      <c r="D37" s="434" t="s">
        <v>7741</v>
      </c>
      <c r="E37" s="434" t="s">
        <v>7879</v>
      </c>
      <c r="F37" s="434" t="s">
        <v>7880</v>
      </c>
      <c r="G37" s="435">
        <v>1</v>
      </c>
      <c r="H37" s="434" t="s">
        <v>2740</v>
      </c>
      <c r="I37" s="434" t="s">
        <v>7289</v>
      </c>
      <c r="J37" s="439" t="s">
        <v>8276</v>
      </c>
      <c r="K37" s="440" t="s">
        <v>8305</v>
      </c>
      <c r="L37" s="449" t="s">
        <v>8369</v>
      </c>
      <c r="M37" s="424" t="s">
        <v>8626</v>
      </c>
      <c r="N37" s="440" t="s">
        <v>8667</v>
      </c>
      <c r="O37" s="440" t="s">
        <v>8675</v>
      </c>
      <c r="P37" s="433" t="s">
        <v>5319</v>
      </c>
      <c r="Q37" s="433" t="s">
        <v>4</v>
      </c>
      <c r="R37" s="433"/>
      <c r="S37" s="433" t="s">
        <v>2740</v>
      </c>
    </row>
    <row r="38" spans="1:19" ht="22" customHeight="1">
      <c r="A38" s="433" t="s">
        <v>5327</v>
      </c>
      <c r="B38" s="433" t="s">
        <v>563</v>
      </c>
      <c r="C38" s="433"/>
      <c r="D38" s="434" t="s">
        <v>7742</v>
      </c>
      <c r="E38" s="434" t="s">
        <v>7881</v>
      </c>
      <c r="F38" s="434" t="s">
        <v>7882</v>
      </c>
      <c r="G38" s="435">
        <v>2</v>
      </c>
      <c r="H38" s="434" t="s">
        <v>2740</v>
      </c>
      <c r="I38" s="434" t="s">
        <v>7289</v>
      </c>
      <c r="J38" s="439" t="s">
        <v>8276</v>
      </c>
      <c r="K38" s="440" t="s">
        <v>8305</v>
      </c>
      <c r="L38" s="449" t="s">
        <v>8369</v>
      </c>
      <c r="M38" s="424" t="s">
        <v>8625</v>
      </c>
      <c r="N38" s="440" t="s">
        <v>8667</v>
      </c>
      <c r="O38" s="440" t="s">
        <v>8675</v>
      </c>
      <c r="P38" s="433" t="s">
        <v>5328</v>
      </c>
      <c r="Q38" s="433" t="s">
        <v>4</v>
      </c>
      <c r="R38" s="433"/>
      <c r="S38" s="433" t="s">
        <v>2740</v>
      </c>
    </row>
    <row r="39" spans="1:19" ht="22" hidden="1" customHeight="1">
      <c r="A39" s="433" t="s">
        <v>565</v>
      </c>
      <c r="B39" s="433" t="s">
        <v>565</v>
      </c>
      <c r="C39" s="433"/>
      <c r="D39" s="434" t="s">
        <v>7743</v>
      </c>
      <c r="E39" s="434" t="s">
        <v>7883</v>
      </c>
      <c r="F39" s="434" t="s">
        <v>7884</v>
      </c>
      <c r="G39" s="435">
        <v>1</v>
      </c>
      <c r="H39" s="434" t="s">
        <v>7857</v>
      </c>
      <c r="I39" s="434" t="s">
        <v>7363</v>
      </c>
      <c r="J39" s="439" t="s">
        <v>8276</v>
      </c>
      <c r="K39" s="440" t="s">
        <v>8292</v>
      </c>
      <c r="L39" s="449" t="s">
        <v>8343</v>
      </c>
      <c r="M39" s="424" t="s">
        <v>8626</v>
      </c>
      <c r="N39" s="440" t="s">
        <v>8668</v>
      </c>
      <c r="O39" s="440" t="s">
        <v>8677</v>
      </c>
      <c r="P39" s="433" t="s">
        <v>5319</v>
      </c>
      <c r="Q39" s="433" t="s">
        <v>4</v>
      </c>
      <c r="R39" s="433"/>
      <c r="S39" s="433" t="s">
        <v>6489</v>
      </c>
    </row>
    <row r="40" spans="1:19" ht="22" customHeight="1">
      <c r="A40" s="433" t="s">
        <v>586</v>
      </c>
      <c r="B40" s="433" t="s">
        <v>586</v>
      </c>
      <c r="C40" s="433"/>
      <c r="D40" s="434" t="s">
        <v>7517</v>
      </c>
      <c r="E40" s="434" t="s">
        <v>7572</v>
      </c>
      <c r="F40" s="434" t="s">
        <v>7573</v>
      </c>
      <c r="G40" s="435">
        <v>2</v>
      </c>
      <c r="H40" s="434" t="s">
        <v>2740</v>
      </c>
      <c r="I40" s="434" t="s">
        <v>7574</v>
      </c>
      <c r="J40" s="439" t="s">
        <v>8276</v>
      </c>
      <c r="K40" s="440" t="s">
        <v>8306</v>
      </c>
      <c r="L40" s="449" t="s">
        <v>8315</v>
      </c>
      <c r="M40" s="424" t="s">
        <v>8620</v>
      </c>
      <c r="N40" s="440" t="s">
        <v>8670</v>
      </c>
      <c r="O40" s="440" t="s">
        <v>8675</v>
      </c>
      <c r="P40" s="433" t="s">
        <v>2234</v>
      </c>
      <c r="Q40" s="433" t="s">
        <v>4</v>
      </c>
      <c r="R40" s="433"/>
      <c r="S40" s="433" t="s">
        <v>2740</v>
      </c>
    </row>
    <row r="41" spans="1:19" ht="22" hidden="1" customHeight="1">
      <c r="A41" s="433" t="s">
        <v>589</v>
      </c>
      <c r="B41" s="433" t="s">
        <v>589</v>
      </c>
      <c r="C41" s="433" t="s">
        <v>8634</v>
      </c>
      <c r="D41" s="434" t="s">
        <v>8632</v>
      </c>
      <c r="E41" s="434" t="s">
        <v>7575</v>
      </c>
      <c r="F41" s="434" t="s">
        <v>7576</v>
      </c>
      <c r="G41" s="435">
        <v>3</v>
      </c>
      <c r="H41" s="434" t="s">
        <v>7817</v>
      </c>
      <c r="I41" s="434" t="s">
        <v>7301</v>
      </c>
      <c r="J41" s="439" t="s">
        <v>8276</v>
      </c>
      <c r="K41" s="440" t="s">
        <v>8292</v>
      </c>
      <c r="L41" s="449" t="s">
        <v>8321</v>
      </c>
      <c r="M41" s="424" t="s">
        <v>8620</v>
      </c>
      <c r="N41" s="440" t="s">
        <v>8669</v>
      </c>
      <c r="O41" s="440" t="s">
        <v>8677</v>
      </c>
      <c r="P41" s="433" t="s">
        <v>5332</v>
      </c>
      <c r="Q41" s="433" t="s">
        <v>4</v>
      </c>
      <c r="R41" s="433"/>
      <c r="S41" s="433" t="s">
        <v>6316</v>
      </c>
    </row>
    <row r="42" spans="1:19" ht="22" customHeight="1">
      <c r="A42" s="433" t="s">
        <v>591</v>
      </c>
      <c r="B42" s="433" t="s">
        <v>591</v>
      </c>
      <c r="C42" s="433"/>
      <c r="D42" s="434" t="s">
        <v>592</v>
      </c>
      <c r="E42" s="434" t="s">
        <v>6731</v>
      </c>
      <c r="F42" s="434" t="s">
        <v>6732</v>
      </c>
      <c r="G42" s="435">
        <v>0</v>
      </c>
      <c r="H42" s="434" t="s">
        <v>2740</v>
      </c>
      <c r="I42" s="434" t="s">
        <v>7288</v>
      </c>
      <c r="J42" s="439" t="s">
        <v>8276</v>
      </c>
      <c r="K42" s="440" t="s">
        <v>8306</v>
      </c>
      <c r="L42" s="449" t="s">
        <v>8315</v>
      </c>
      <c r="M42" s="424" t="s">
        <v>8620</v>
      </c>
      <c r="N42" s="440" t="s">
        <v>8670</v>
      </c>
      <c r="O42" s="440" t="s">
        <v>8675</v>
      </c>
      <c r="P42" s="433" t="s">
        <v>2234</v>
      </c>
      <c r="Q42" s="433" t="s">
        <v>5333</v>
      </c>
      <c r="R42" s="433"/>
      <c r="S42" s="433" t="s">
        <v>2234</v>
      </c>
    </row>
    <row r="43" spans="1:19" ht="22" customHeight="1">
      <c r="A43" s="433" t="s">
        <v>593</v>
      </c>
      <c r="B43" s="433" t="s">
        <v>593</v>
      </c>
      <c r="C43" s="433"/>
      <c r="D43" s="434" t="s">
        <v>7779</v>
      </c>
      <c r="E43" s="434" t="s">
        <v>6733</v>
      </c>
      <c r="F43" s="434" t="s">
        <v>6732</v>
      </c>
      <c r="G43" s="435">
        <v>0</v>
      </c>
      <c r="H43" s="434" t="s">
        <v>2740</v>
      </c>
      <c r="I43" s="434" t="s">
        <v>7288</v>
      </c>
      <c r="J43" s="439" t="s">
        <v>8276</v>
      </c>
      <c r="K43" s="440" t="s">
        <v>8306</v>
      </c>
      <c r="L43" s="449" t="s">
        <v>8315</v>
      </c>
      <c r="M43" s="424" t="s">
        <v>8620</v>
      </c>
      <c r="N43" s="440" t="s">
        <v>8670</v>
      </c>
      <c r="O43" s="440" t="s">
        <v>8675</v>
      </c>
      <c r="P43" s="433" t="s">
        <v>2234</v>
      </c>
      <c r="Q43" s="433" t="s">
        <v>5333</v>
      </c>
      <c r="R43" s="433"/>
      <c r="S43" s="433" t="s">
        <v>2234</v>
      </c>
    </row>
    <row r="44" spans="1:19" ht="22" hidden="1" customHeight="1">
      <c r="A44" s="433" t="s">
        <v>595</v>
      </c>
      <c r="B44" s="433" t="s">
        <v>595</v>
      </c>
      <c r="C44" s="433"/>
      <c r="D44" s="434" t="s">
        <v>7518</v>
      </c>
      <c r="E44" s="434" t="s">
        <v>7577</v>
      </c>
      <c r="F44" s="434" t="s">
        <v>7578</v>
      </c>
      <c r="G44" s="435">
        <v>1</v>
      </c>
      <c r="H44" s="434" t="s">
        <v>7846</v>
      </c>
      <c r="I44" s="434" t="s">
        <v>7847</v>
      </c>
      <c r="J44" s="439" t="s">
        <v>8276</v>
      </c>
      <c r="K44" s="440" t="s">
        <v>8295</v>
      </c>
      <c r="L44" s="449" t="s">
        <v>8318</v>
      </c>
      <c r="M44" s="424" t="s">
        <v>8620</v>
      </c>
      <c r="N44" s="440" t="s">
        <v>8668</v>
      </c>
      <c r="O44" s="440" t="s">
        <v>8677</v>
      </c>
      <c r="P44" s="433" t="s">
        <v>2234</v>
      </c>
      <c r="Q44" s="433" t="s">
        <v>4</v>
      </c>
      <c r="R44" s="433"/>
      <c r="S44" s="433" t="s">
        <v>6458</v>
      </c>
    </row>
    <row r="45" spans="1:19" ht="22" customHeight="1">
      <c r="A45" s="433" t="s">
        <v>597</v>
      </c>
      <c r="B45" s="433" t="s">
        <v>597</v>
      </c>
      <c r="C45" s="433" t="s">
        <v>8635</v>
      </c>
      <c r="D45" s="434" t="s">
        <v>8637</v>
      </c>
      <c r="E45" s="434" t="s">
        <v>7579</v>
      </c>
      <c r="F45" s="434" t="s">
        <v>7580</v>
      </c>
      <c r="G45" s="435">
        <v>3</v>
      </c>
      <c r="H45" s="434" t="s">
        <v>7853</v>
      </c>
      <c r="I45" s="434" t="s">
        <v>7361</v>
      </c>
      <c r="J45" s="439" t="s">
        <v>8276</v>
      </c>
      <c r="K45" s="440" t="s">
        <v>8293</v>
      </c>
      <c r="L45" s="449" t="s">
        <v>8342</v>
      </c>
      <c r="M45" s="424" t="s">
        <v>8620</v>
      </c>
      <c r="N45" s="440" t="s">
        <v>8668</v>
      </c>
      <c r="O45" s="440" t="s">
        <v>8675</v>
      </c>
      <c r="P45" s="433" t="s">
        <v>2234</v>
      </c>
      <c r="Q45" s="433" t="s">
        <v>4</v>
      </c>
      <c r="R45" s="433"/>
      <c r="S45" s="433" t="s">
        <v>6482</v>
      </c>
    </row>
    <row r="46" spans="1:19" ht="22" customHeight="1">
      <c r="A46" s="433" t="s">
        <v>7519</v>
      </c>
      <c r="B46" s="433" t="s">
        <v>599</v>
      </c>
      <c r="C46" s="433"/>
      <c r="D46" s="434" t="s">
        <v>7520</v>
      </c>
      <c r="E46" s="434" t="s">
        <v>7521</v>
      </c>
      <c r="F46" s="434" t="s">
        <v>7522</v>
      </c>
      <c r="G46" s="435">
        <v>1.5</v>
      </c>
      <c r="H46" s="434" t="s">
        <v>7851</v>
      </c>
      <c r="I46" s="434" t="s">
        <v>7357</v>
      </c>
      <c r="J46" s="439" t="s">
        <v>8276</v>
      </c>
      <c r="K46" s="440" t="s">
        <v>8294</v>
      </c>
      <c r="L46" s="449" t="s">
        <v>8322</v>
      </c>
      <c r="M46" s="424" t="s">
        <v>8625</v>
      </c>
      <c r="N46" s="440" t="s">
        <v>8668</v>
      </c>
      <c r="O46" s="440" t="s">
        <v>8675</v>
      </c>
      <c r="P46" s="433" t="s">
        <v>5328</v>
      </c>
      <c r="Q46" s="433" t="s">
        <v>4</v>
      </c>
      <c r="R46" s="433"/>
      <c r="S46" s="433" t="s">
        <v>6464</v>
      </c>
    </row>
    <row r="47" spans="1:19" ht="22" customHeight="1">
      <c r="A47" s="433" t="s">
        <v>7523</v>
      </c>
      <c r="B47" s="433" t="s">
        <v>599</v>
      </c>
      <c r="C47" s="433" t="s">
        <v>8636</v>
      </c>
      <c r="D47" s="434" t="s">
        <v>7524</v>
      </c>
      <c r="E47" s="434" t="s">
        <v>7525</v>
      </c>
      <c r="F47" s="434" t="s">
        <v>7526</v>
      </c>
      <c r="G47" s="435">
        <v>1.5</v>
      </c>
      <c r="H47" s="434" t="s">
        <v>2740</v>
      </c>
      <c r="I47" s="434" t="s">
        <v>7930</v>
      </c>
      <c r="J47" s="439" t="s">
        <v>8276</v>
      </c>
      <c r="K47" s="440" t="s">
        <v>8306</v>
      </c>
      <c r="L47" s="449" t="s">
        <v>8315</v>
      </c>
      <c r="M47" s="424" t="s">
        <v>8625</v>
      </c>
      <c r="N47" s="440" t="s">
        <v>8670</v>
      </c>
      <c r="O47" s="440" t="s">
        <v>8675</v>
      </c>
      <c r="P47" s="433" t="s">
        <v>5328</v>
      </c>
      <c r="Q47" s="433" t="s">
        <v>4</v>
      </c>
      <c r="R47" s="433"/>
      <c r="S47" s="433" t="s">
        <v>2740</v>
      </c>
    </row>
    <row r="48" spans="1:19" ht="22" hidden="1" customHeight="1">
      <c r="A48" s="433" t="s">
        <v>7527</v>
      </c>
      <c r="B48" s="433" t="s">
        <v>601</v>
      </c>
      <c r="C48" s="433" t="s">
        <v>8638</v>
      </c>
      <c r="D48" s="434" t="s">
        <v>7528</v>
      </c>
      <c r="E48" s="434" t="s">
        <v>7529</v>
      </c>
      <c r="F48" s="434" t="s">
        <v>7530</v>
      </c>
      <c r="G48" s="435">
        <v>1</v>
      </c>
      <c r="H48" s="434" t="s">
        <v>7826</v>
      </c>
      <c r="I48" s="434" t="s">
        <v>7330</v>
      </c>
      <c r="J48" s="439" t="s">
        <v>8276</v>
      </c>
      <c r="K48" s="440" t="s">
        <v>8291</v>
      </c>
      <c r="L48" s="449" t="s">
        <v>8333</v>
      </c>
      <c r="M48" s="424" t="s">
        <v>8620</v>
      </c>
      <c r="N48" s="440" t="s">
        <v>8670</v>
      </c>
      <c r="O48" s="440" t="s">
        <v>8677</v>
      </c>
      <c r="P48" s="433" t="s">
        <v>2234</v>
      </c>
      <c r="Q48" s="433" t="s">
        <v>4</v>
      </c>
      <c r="R48" s="433"/>
      <c r="S48" s="433" t="s">
        <v>6357</v>
      </c>
    </row>
    <row r="49" spans="1:19" ht="22" hidden="1" customHeight="1">
      <c r="A49" s="433" t="s">
        <v>7531</v>
      </c>
      <c r="B49" s="433" t="s">
        <v>601</v>
      </c>
      <c r="C49" s="433" t="s">
        <v>8638</v>
      </c>
      <c r="D49" s="434" t="s">
        <v>7532</v>
      </c>
      <c r="E49" s="434" t="s">
        <v>7533</v>
      </c>
      <c r="F49" s="434" t="s">
        <v>7534</v>
      </c>
      <c r="G49" s="435">
        <v>0.5</v>
      </c>
      <c r="H49" s="434" t="s">
        <v>7826</v>
      </c>
      <c r="I49" s="434" t="s">
        <v>7329</v>
      </c>
      <c r="J49" s="439" t="s">
        <v>8276</v>
      </c>
      <c r="K49" s="440" t="s">
        <v>8291</v>
      </c>
      <c r="L49" s="449" t="s">
        <v>8332</v>
      </c>
      <c r="M49" s="424" t="s">
        <v>8620</v>
      </c>
      <c r="N49" s="440" t="s">
        <v>8670</v>
      </c>
      <c r="O49" s="440" t="s">
        <v>8677</v>
      </c>
      <c r="P49" s="433" t="s">
        <v>2234</v>
      </c>
      <c r="Q49" s="433" t="s">
        <v>4</v>
      </c>
      <c r="R49" s="433"/>
      <c r="S49" s="433" t="s">
        <v>6354</v>
      </c>
    </row>
    <row r="50" spans="1:19" ht="22" hidden="1" customHeight="1">
      <c r="A50" s="433" t="s">
        <v>7535</v>
      </c>
      <c r="B50" s="433" t="s">
        <v>601</v>
      </c>
      <c r="C50" s="433"/>
      <c r="D50" s="434" t="s">
        <v>7536</v>
      </c>
      <c r="E50" s="434" t="s">
        <v>7537</v>
      </c>
      <c r="F50" s="434" t="s">
        <v>7538</v>
      </c>
      <c r="G50" s="435">
        <v>0.5</v>
      </c>
      <c r="H50" s="434" t="s">
        <v>7859</v>
      </c>
      <c r="I50" s="434" t="s">
        <v>7366</v>
      </c>
      <c r="J50" s="439" t="s">
        <v>8276</v>
      </c>
      <c r="K50" s="440" t="s">
        <v>8295</v>
      </c>
      <c r="L50" s="449" t="s">
        <v>8310</v>
      </c>
      <c r="M50" s="424" t="s">
        <v>8620</v>
      </c>
      <c r="N50" s="440" t="s">
        <v>8670</v>
      </c>
      <c r="O50" s="440" t="s">
        <v>8677</v>
      </c>
      <c r="P50" s="433" t="s">
        <v>2234</v>
      </c>
      <c r="Q50" s="433" t="s">
        <v>4</v>
      </c>
      <c r="R50" s="433"/>
      <c r="S50" s="433" t="s">
        <v>6499</v>
      </c>
    </row>
    <row r="51" spans="1:19" ht="22" hidden="1" customHeight="1">
      <c r="A51" s="433" t="s">
        <v>5334</v>
      </c>
      <c r="B51" s="433" t="s">
        <v>603</v>
      </c>
      <c r="C51" s="433"/>
      <c r="D51" s="434" t="s">
        <v>7539</v>
      </c>
      <c r="E51" s="434" t="s">
        <v>7581</v>
      </c>
      <c r="F51" s="434" t="s">
        <v>7582</v>
      </c>
      <c r="G51" s="435">
        <v>1.5</v>
      </c>
      <c r="H51" s="434" t="s">
        <v>7833</v>
      </c>
      <c r="I51" s="434" t="s">
        <v>7346</v>
      </c>
      <c r="J51" s="439" t="s">
        <v>8274</v>
      </c>
      <c r="K51" s="440" t="s">
        <v>8299</v>
      </c>
      <c r="L51" s="449" t="s">
        <v>8336</v>
      </c>
      <c r="M51" s="424" t="s">
        <v>8620</v>
      </c>
      <c r="N51" s="440" t="s">
        <v>8670</v>
      </c>
      <c r="O51" s="440" t="s">
        <v>8677</v>
      </c>
      <c r="P51" s="433" t="s">
        <v>2234</v>
      </c>
      <c r="Q51" s="433" t="s">
        <v>4</v>
      </c>
      <c r="R51" s="433"/>
      <c r="S51" s="433" t="s">
        <v>6407</v>
      </c>
    </row>
    <row r="52" spans="1:19" ht="22" customHeight="1">
      <c r="A52" s="433" t="s">
        <v>5335</v>
      </c>
      <c r="B52" s="433" t="s">
        <v>603</v>
      </c>
      <c r="C52" s="433"/>
      <c r="D52" s="434" t="s">
        <v>7540</v>
      </c>
      <c r="E52" s="434" t="s">
        <v>7583</v>
      </c>
      <c r="F52" s="434" t="s">
        <v>7584</v>
      </c>
      <c r="G52" s="435">
        <v>1.5</v>
      </c>
      <c r="H52" s="434" t="s">
        <v>7840</v>
      </c>
      <c r="I52" s="434" t="s">
        <v>7351</v>
      </c>
      <c r="J52" s="439" t="s">
        <v>8277</v>
      </c>
      <c r="K52" s="440" t="s">
        <v>8298</v>
      </c>
      <c r="L52" s="449" t="s">
        <v>8339</v>
      </c>
      <c r="M52" s="424" t="s">
        <v>8620</v>
      </c>
      <c r="N52" s="440" t="s">
        <v>8668</v>
      </c>
      <c r="O52" s="440" t="s">
        <v>8675</v>
      </c>
      <c r="P52" s="433" t="s">
        <v>2234</v>
      </c>
      <c r="Q52" s="433" t="s">
        <v>4</v>
      </c>
      <c r="R52" s="433"/>
      <c r="S52" s="433" t="s">
        <v>6426</v>
      </c>
    </row>
    <row r="53" spans="1:19" ht="22" hidden="1" customHeight="1">
      <c r="A53" s="433" t="s">
        <v>7541</v>
      </c>
      <c r="B53" s="433" t="s">
        <v>603</v>
      </c>
      <c r="C53" s="433"/>
      <c r="D53" s="434" t="s">
        <v>7542</v>
      </c>
      <c r="E53" s="434" t="s">
        <v>7543</v>
      </c>
      <c r="F53" s="434" t="s">
        <v>7544</v>
      </c>
      <c r="G53" s="435">
        <v>0.5</v>
      </c>
      <c r="H53" s="434" t="s">
        <v>7839</v>
      </c>
      <c r="I53" s="434" t="s">
        <v>7349</v>
      </c>
      <c r="J53" s="439" t="s">
        <v>8276</v>
      </c>
      <c r="K53" s="440" t="s">
        <v>8291</v>
      </c>
      <c r="L53" s="449" t="s">
        <v>8338</v>
      </c>
      <c r="M53" s="424" t="s">
        <v>8620</v>
      </c>
      <c r="N53" s="440" t="s">
        <v>8670</v>
      </c>
      <c r="O53" s="440" t="s">
        <v>8677</v>
      </c>
      <c r="P53" s="433" t="s">
        <v>2234</v>
      </c>
      <c r="Q53" s="433" t="s">
        <v>4</v>
      </c>
      <c r="R53" s="433"/>
      <c r="S53" s="433" t="s">
        <v>6421</v>
      </c>
    </row>
    <row r="54" spans="1:19" ht="22" hidden="1" customHeight="1">
      <c r="A54" s="433" t="s">
        <v>7545</v>
      </c>
      <c r="B54" s="433" t="s">
        <v>603</v>
      </c>
      <c r="C54" s="433"/>
      <c r="D54" s="434" t="s">
        <v>7546</v>
      </c>
      <c r="E54" s="434" t="s">
        <v>7547</v>
      </c>
      <c r="F54" s="434" t="s">
        <v>7548</v>
      </c>
      <c r="G54" s="435">
        <v>1</v>
      </c>
      <c r="H54" s="434" t="s">
        <v>7857</v>
      </c>
      <c r="I54" s="434" t="s">
        <v>7362</v>
      </c>
      <c r="J54" s="439" t="s">
        <v>8276</v>
      </c>
      <c r="K54" s="440" t="s">
        <v>8295</v>
      </c>
      <c r="L54" s="449" t="s">
        <v>8686</v>
      </c>
      <c r="M54" s="424" t="s">
        <v>8620</v>
      </c>
      <c r="N54" s="440" t="s">
        <v>8668</v>
      </c>
      <c r="O54" s="440" t="s">
        <v>8677</v>
      </c>
      <c r="P54" s="433" t="s">
        <v>2234</v>
      </c>
      <c r="Q54" s="433" t="s">
        <v>4</v>
      </c>
      <c r="R54" s="433"/>
      <c r="S54" s="433" t="s">
        <v>6486</v>
      </c>
    </row>
    <row r="55" spans="1:19" ht="22" customHeight="1">
      <c r="A55" s="433" t="s">
        <v>7549</v>
      </c>
      <c r="B55" s="433" t="s">
        <v>603</v>
      </c>
      <c r="C55" s="433"/>
      <c r="D55" s="434" t="s">
        <v>7550</v>
      </c>
      <c r="E55" s="434" t="s">
        <v>7551</v>
      </c>
      <c r="F55" s="434" t="s">
        <v>7552</v>
      </c>
      <c r="G55" s="435">
        <v>0.5</v>
      </c>
      <c r="H55" s="434" t="s">
        <v>2740</v>
      </c>
      <c r="I55" s="434" t="s">
        <v>7954</v>
      </c>
      <c r="J55" s="439" t="s">
        <v>8276</v>
      </c>
      <c r="K55" s="440" t="s">
        <v>8306</v>
      </c>
      <c r="L55" s="449" t="s">
        <v>8315</v>
      </c>
      <c r="M55" s="424" t="s">
        <v>8620</v>
      </c>
      <c r="N55" s="440" t="s">
        <v>8670</v>
      </c>
      <c r="O55" s="440" t="s">
        <v>8675</v>
      </c>
      <c r="P55" s="433" t="s">
        <v>2234</v>
      </c>
      <c r="Q55" s="433" t="s">
        <v>4</v>
      </c>
      <c r="R55" s="433"/>
      <c r="S55" s="433" t="s">
        <v>2740</v>
      </c>
    </row>
    <row r="56" spans="1:19" ht="22" customHeight="1">
      <c r="A56" s="433" t="s">
        <v>605</v>
      </c>
      <c r="B56" s="433" t="s">
        <v>605</v>
      </c>
      <c r="C56" s="433"/>
      <c r="D56" s="434" t="s">
        <v>606</v>
      </c>
      <c r="E56" s="434" t="s">
        <v>6734</v>
      </c>
      <c r="F56" s="434" t="s">
        <v>6730</v>
      </c>
      <c r="G56" s="435">
        <v>0</v>
      </c>
      <c r="H56" s="434" t="s">
        <v>2740</v>
      </c>
      <c r="I56" s="434" t="s">
        <v>7288</v>
      </c>
      <c r="J56" s="439" t="s">
        <v>8276</v>
      </c>
      <c r="K56" s="440" t="s">
        <v>8306</v>
      </c>
      <c r="L56" s="449" t="s">
        <v>8315</v>
      </c>
      <c r="M56" s="424" t="s">
        <v>8620</v>
      </c>
      <c r="N56" s="440" t="s">
        <v>8670</v>
      </c>
      <c r="O56" s="440" t="s">
        <v>8675</v>
      </c>
      <c r="P56" s="433" t="s">
        <v>2234</v>
      </c>
      <c r="Q56" s="433" t="s">
        <v>5311</v>
      </c>
      <c r="R56" s="433"/>
      <c r="S56" s="433" t="s">
        <v>2234</v>
      </c>
    </row>
    <row r="57" spans="1:19" ht="22" customHeight="1">
      <c r="A57" s="433" t="s">
        <v>607</v>
      </c>
      <c r="B57" s="433" t="s">
        <v>607</v>
      </c>
      <c r="C57" s="433"/>
      <c r="D57" s="434" t="s">
        <v>7553</v>
      </c>
      <c r="E57" s="434" t="s">
        <v>7250</v>
      </c>
      <c r="F57" s="434" t="s">
        <v>7251</v>
      </c>
      <c r="G57" s="435">
        <v>2</v>
      </c>
      <c r="H57" s="434" t="s">
        <v>7816</v>
      </c>
      <c r="I57" s="434" t="s">
        <v>7308</v>
      </c>
      <c r="J57" s="439" t="s">
        <v>8276</v>
      </c>
      <c r="K57" s="440" t="s">
        <v>8291</v>
      </c>
      <c r="L57" s="449" t="s">
        <v>8317</v>
      </c>
      <c r="M57" s="424" t="s">
        <v>8620</v>
      </c>
      <c r="N57" s="440" t="s">
        <v>8669</v>
      </c>
      <c r="O57" s="440" t="s">
        <v>8675</v>
      </c>
      <c r="P57" s="433" t="s">
        <v>538</v>
      </c>
      <c r="Q57" s="433" t="s">
        <v>4</v>
      </c>
      <c r="R57" s="433"/>
      <c r="S57" s="433" t="s">
        <v>6286</v>
      </c>
    </row>
    <row r="58" spans="1:19" ht="22" customHeight="1">
      <c r="A58" s="433" t="s">
        <v>609</v>
      </c>
      <c r="B58" s="433" t="s">
        <v>609</v>
      </c>
      <c r="C58" s="433"/>
      <c r="D58" s="434" t="s">
        <v>7554</v>
      </c>
      <c r="E58" s="434" t="s">
        <v>7252</v>
      </c>
      <c r="F58" s="434" t="s">
        <v>7253</v>
      </c>
      <c r="G58" s="435">
        <v>3</v>
      </c>
      <c r="H58" s="434" t="s">
        <v>7955</v>
      </c>
      <c r="I58" s="434" t="s">
        <v>7385</v>
      </c>
      <c r="J58" s="439" t="s">
        <v>8276</v>
      </c>
      <c r="K58" s="440" t="s">
        <v>8292</v>
      </c>
      <c r="L58" s="449" t="s">
        <v>8343</v>
      </c>
      <c r="M58" s="424" t="s">
        <v>8620</v>
      </c>
      <c r="N58" s="440" t="s">
        <v>8670</v>
      </c>
      <c r="O58" s="440" t="s">
        <v>8675</v>
      </c>
      <c r="P58" s="433" t="s">
        <v>546</v>
      </c>
      <c r="Q58" s="433" t="s">
        <v>4</v>
      </c>
      <c r="R58" s="433"/>
      <c r="S58" s="433" t="s">
        <v>6711</v>
      </c>
    </row>
    <row r="59" spans="1:19" ht="22" customHeight="1">
      <c r="A59" s="433" t="s">
        <v>611</v>
      </c>
      <c r="B59" s="433" t="s">
        <v>611</v>
      </c>
      <c r="C59" s="433"/>
      <c r="D59" s="434" t="s">
        <v>7555</v>
      </c>
      <c r="E59" s="434" t="s">
        <v>7254</v>
      </c>
      <c r="F59" s="434" t="s">
        <v>7255</v>
      </c>
      <c r="G59" s="435">
        <v>2</v>
      </c>
      <c r="H59" s="434" t="s">
        <v>7819</v>
      </c>
      <c r="I59" s="434" t="s">
        <v>7321</v>
      </c>
      <c r="J59" s="439" t="s">
        <v>8276</v>
      </c>
      <c r="K59" s="440" t="s">
        <v>8295</v>
      </c>
      <c r="L59" s="449" t="s">
        <v>8329</v>
      </c>
      <c r="M59" s="424" t="s">
        <v>8620</v>
      </c>
      <c r="N59" s="440" t="s">
        <v>8666</v>
      </c>
      <c r="O59" s="440" t="s">
        <v>8675</v>
      </c>
      <c r="P59" s="433" t="s">
        <v>2234</v>
      </c>
      <c r="Q59" s="433" t="s">
        <v>4</v>
      </c>
      <c r="R59" s="433"/>
      <c r="S59" s="433" t="s">
        <v>6323</v>
      </c>
    </row>
    <row r="60" spans="1:19" ht="22" hidden="1" customHeight="1">
      <c r="A60" s="433" t="s">
        <v>613</v>
      </c>
      <c r="B60" s="433" t="s">
        <v>613</v>
      </c>
      <c r="C60" s="433"/>
      <c r="D60" s="434" t="s">
        <v>7556</v>
      </c>
      <c r="E60" s="434" t="s">
        <v>7256</v>
      </c>
      <c r="F60" s="434" t="s">
        <v>7257</v>
      </c>
      <c r="G60" s="435">
        <v>1</v>
      </c>
      <c r="H60" s="434" t="s">
        <v>7815</v>
      </c>
      <c r="I60" s="434" t="s">
        <v>7386</v>
      </c>
      <c r="J60" s="439" t="s">
        <v>8276</v>
      </c>
      <c r="K60" s="440" t="s">
        <v>8292</v>
      </c>
      <c r="L60" s="449" t="s">
        <v>8326</v>
      </c>
      <c r="M60" s="424" t="s">
        <v>8620</v>
      </c>
      <c r="N60" s="440" t="s">
        <v>8666</v>
      </c>
      <c r="O60" s="440" t="s">
        <v>8677</v>
      </c>
      <c r="P60" s="433" t="s">
        <v>2234</v>
      </c>
      <c r="Q60" s="433" t="s">
        <v>4</v>
      </c>
      <c r="R60" s="433"/>
      <c r="S60" s="433" t="s">
        <v>6712</v>
      </c>
    </row>
    <row r="61" spans="1:19" ht="22" customHeight="1">
      <c r="A61" s="433" t="s">
        <v>615</v>
      </c>
      <c r="B61" s="433" t="s">
        <v>615</v>
      </c>
      <c r="C61" s="433"/>
      <c r="D61" s="434" t="s">
        <v>7557</v>
      </c>
      <c r="E61" s="434" t="s">
        <v>7258</v>
      </c>
      <c r="F61" s="434" t="s">
        <v>7259</v>
      </c>
      <c r="G61" s="435">
        <v>2</v>
      </c>
      <c r="H61" s="434" t="s">
        <v>2740</v>
      </c>
      <c r="I61" s="434" t="s">
        <v>7288</v>
      </c>
      <c r="J61" s="439" t="s">
        <v>8276</v>
      </c>
      <c r="K61" s="440" t="s">
        <v>8306</v>
      </c>
      <c r="L61" s="449" t="s">
        <v>8315</v>
      </c>
      <c r="M61" s="424" t="s">
        <v>8620</v>
      </c>
      <c r="N61" s="440" t="s">
        <v>8670</v>
      </c>
      <c r="O61" s="440" t="s">
        <v>8675</v>
      </c>
      <c r="P61" s="433" t="s">
        <v>653</v>
      </c>
      <c r="Q61" s="433" t="s">
        <v>4</v>
      </c>
      <c r="R61" s="433"/>
      <c r="S61" s="433" t="s">
        <v>2234</v>
      </c>
    </row>
    <row r="62" spans="1:19" ht="22" hidden="1" customHeight="1">
      <c r="A62" s="433" t="s">
        <v>5336</v>
      </c>
      <c r="B62" s="433" t="s">
        <v>6101</v>
      </c>
      <c r="C62" s="433"/>
      <c r="D62" s="434" t="s">
        <v>7558</v>
      </c>
      <c r="E62" s="434" t="s">
        <v>7260</v>
      </c>
      <c r="F62" s="434" t="s">
        <v>7261</v>
      </c>
      <c r="G62" s="435">
        <v>2</v>
      </c>
      <c r="H62" s="434" t="s">
        <v>7852</v>
      </c>
      <c r="I62" s="434" t="s">
        <v>7384</v>
      </c>
      <c r="J62" s="439" t="s">
        <v>8276</v>
      </c>
      <c r="K62" s="440" t="s">
        <v>8294</v>
      </c>
      <c r="L62" s="449" t="s">
        <v>8319</v>
      </c>
      <c r="M62" s="424" t="s">
        <v>8620</v>
      </c>
      <c r="N62" s="440" t="s">
        <v>8670</v>
      </c>
      <c r="O62" s="440" t="s">
        <v>8677</v>
      </c>
      <c r="P62" s="433" t="s">
        <v>5337</v>
      </c>
      <c r="Q62" s="433" t="s">
        <v>4</v>
      </c>
      <c r="R62" s="433"/>
      <c r="S62" s="433" t="s">
        <v>6709</v>
      </c>
    </row>
    <row r="63" spans="1:19" ht="22" hidden="1" customHeight="1">
      <c r="A63" s="433" t="s">
        <v>5338</v>
      </c>
      <c r="B63" s="433" t="s">
        <v>6101</v>
      </c>
      <c r="C63" s="433"/>
      <c r="D63" s="434" t="s">
        <v>7559</v>
      </c>
      <c r="E63" s="434" t="s">
        <v>7262</v>
      </c>
      <c r="F63" s="434" t="s">
        <v>7263</v>
      </c>
      <c r="G63" s="435">
        <v>1</v>
      </c>
      <c r="H63" s="434" t="s">
        <v>7852</v>
      </c>
      <c r="I63" s="434" t="s">
        <v>7384</v>
      </c>
      <c r="J63" s="439" t="s">
        <v>8276</v>
      </c>
      <c r="K63" s="440" t="s">
        <v>8294</v>
      </c>
      <c r="L63" s="449" t="s">
        <v>8319</v>
      </c>
      <c r="M63" s="424" t="s">
        <v>8620</v>
      </c>
      <c r="N63" s="440" t="s">
        <v>8670</v>
      </c>
      <c r="O63" s="440" t="s">
        <v>8677</v>
      </c>
      <c r="P63" s="433" t="s">
        <v>2234</v>
      </c>
      <c r="Q63" s="433" t="s">
        <v>4</v>
      </c>
      <c r="R63" s="433"/>
      <c r="S63" s="433" t="s">
        <v>6709</v>
      </c>
    </row>
    <row r="64" spans="1:19" ht="22" hidden="1" customHeight="1">
      <c r="A64" s="433" t="s">
        <v>5339</v>
      </c>
      <c r="B64" s="433" t="s">
        <v>6101</v>
      </c>
      <c r="C64" s="433"/>
      <c r="D64" s="434" t="s">
        <v>7560</v>
      </c>
      <c r="E64" s="434" t="s">
        <v>7264</v>
      </c>
      <c r="F64" s="434" t="s">
        <v>7265</v>
      </c>
      <c r="G64" s="435">
        <v>1</v>
      </c>
      <c r="H64" s="434" t="s">
        <v>7852</v>
      </c>
      <c r="I64" s="434" t="s">
        <v>7384</v>
      </c>
      <c r="J64" s="439" t="s">
        <v>8276</v>
      </c>
      <c r="K64" s="440" t="s">
        <v>8294</v>
      </c>
      <c r="L64" s="449" t="s">
        <v>8319</v>
      </c>
      <c r="M64" s="424" t="s">
        <v>8620</v>
      </c>
      <c r="N64" s="440" t="s">
        <v>8670</v>
      </c>
      <c r="O64" s="440" t="s">
        <v>8677</v>
      </c>
      <c r="P64" s="433" t="s">
        <v>2234</v>
      </c>
      <c r="Q64" s="433" t="s">
        <v>4</v>
      </c>
      <c r="R64" s="433"/>
      <c r="S64" s="433" t="s">
        <v>6709</v>
      </c>
    </row>
    <row r="65" spans="1:19" ht="22" customHeight="1">
      <c r="A65" s="433" t="s">
        <v>5340</v>
      </c>
      <c r="B65" s="433" t="s">
        <v>6102</v>
      </c>
      <c r="C65" s="433"/>
      <c r="D65" s="434" t="s">
        <v>7561</v>
      </c>
      <c r="E65" s="434" t="s">
        <v>7266</v>
      </c>
      <c r="F65" s="434" t="s">
        <v>7267</v>
      </c>
      <c r="G65" s="435">
        <v>1</v>
      </c>
      <c r="H65" s="434" t="s">
        <v>7956</v>
      </c>
      <c r="I65" s="434" t="s">
        <v>7387</v>
      </c>
      <c r="J65" s="439" t="s">
        <v>8276</v>
      </c>
      <c r="K65" s="440" t="s">
        <v>8291</v>
      </c>
      <c r="L65" s="449" t="s">
        <v>8328</v>
      </c>
      <c r="M65" s="424" t="s">
        <v>8620</v>
      </c>
      <c r="N65" s="440" t="s">
        <v>8669</v>
      </c>
      <c r="O65" s="440" t="s">
        <v>8675</v>
      </c>
      <c r="P65" s="433" t="s">
        <v>2234</v>
      </c>
      <c r="Q65" s="433" t="s">
        <v>4</v>
      </c>
      <c r="R65" s="433"/>
      <c r="S65" s="433" t="s">
        <v>6713</v>
      </c>
    </row>
    <row r="66" spans="1:19" ht="22" hidden="1" customHeight="1">
      <c r="A66" s="433" t="s">
        <v>5341</v>
      </c>
      <c r="B66" s="433" t="s">
        <v>6102</v>
      </c>
      <c r="C66" s="433"/>
      <c r="D66" s="434" t="s">
        <v>7562</v>
      </c>
      <c r="E66" s="434" t="s">
        <v>7268</v>
      </c>
      <c r="F66" s="434" t="s">
        <v>7269</v>
      </c>
      <c r="G66" s="435">
        <v>1.5</v>
      </c>
      <c r="H66" s="434" t="s">
        <v>7826</v>
      </c>
      <c r="I66" s="434" t="s">
        <v>7330</v>
      </c>
      <c r="J66" s="439" t="s">
        <v>8276</v>
      </c>
      <c r="K66" s="440" t="s">
        <v>8291</v>
      </c>
      <c r="L66" s="449" t="s">
        <v>8333</v>
      </c>
      <c r="M66" s="424" t="s">
        <v>8620</v>
      </c>
      <c r="N66" s="440" t="s">
        <v>8670</v>
      </c>
      <c r="O66" s="440" t="s">
        <v>8677</v>
      </c>
      <c r="P66" s="433" t="s">
        <v>2234</v>
      </c>
      <c r="Q66" s="433" t="s">
        <v>4</v>
      </c>
      <c r="R66" s="433"/>
      <c r="S66" s="433" t="s">
        <v>6357</v>
      </c>
    </row>
    <row r="67" spans="1:19" ht="22" customHeight="1">
      <c r="A67" s="433" t="s">
        <v>5342</v>
      </c>
      <c r="B67" s="433" t="s">
        <v>6102</v>
      </c>
      <c r="C67" s="433"/>
      <c r="D67" s="434" t="s">
        <v>7563</v>
      </c>
      <c r="E67" s="434" t="s">
        <v>7270</v>
      </c>
      <c r="F67" s="434" t="s">
        <v>7267</v>
      </c>
      <c r="G67" s="435">
        <v>1</v>
      </c>
      <c r="H67" s="434" t="s">
        <v>7817</v>
      </c>
      <c r="I67" s="434" t="s">
        <v>7313</v>
      </c>
      <c r="J67" s="439" t="s">
        <v>8276</v>
      </c>
      <c r="K67" s="440" t="s">
        <v>8293</v>
      </c>
      <c r="L67" s="449" t="s">
        <v>8328</v>
      </c>
      <c r="M67" s="424" t="s">
        <v>8620</v>
      </c>
      <c r="N67" s="440" t="s">
        <v>8669</v>
      </c>
      <c r="O67" s="440" t="s">
        <v>8675</v>
      </c>
      <c r="P67" s="433" t="s">
        <v>2234</v>
      </c>
      <c r="Q67" s="433" t="s">
        <v>4</v>
      </c>
      <c r="R67" s="433"/>
      <c r="S67" s="433" t="s">
        <v>6302</v>
      </c>
    </row>
    <row r="68" spans="1:19" ht="22" customHeight="1">
      <c r="A68" s="433" t="s">
        <v>5343</v>
      </c>
      <c r="B68" s="433" t="s">
        <v>6102</v>
      </c>
      <c r="C68" s="433"/>
      <c r="D68" s="434" t="s">
        <v>7564</v>
      </c>
      <c r="E68" s="434" t="s">
        <v>7271</v>
      </c>
      <c r="F68" s="434" t="s">
        <v>7272</v>
      </c>
      <c r="G68" s="435">
        <v>1</v>
      </c>
      <c r="H68" s="434" t="s">
        <v>7817</v>
      </c>
      <c r="I68" s="434" t="s">
        <v>7313</v>
      </c>
      <c r="J68" s="439" t="s">
        <v>8276</v>
      </c>
      <c r="K68" s="440" t="s">
        <v>8293</v>
      </c>
      <c r="L68" s="449" t="s">
        <v>8328</v>
      </c>
      <c r="M68" s="424" t="s">
        <v>8620</v>
      </c>
      <c r="N68" s="440" t="s">
        <v>8669</v>
      </c>
      <c r="O68" s="440" t="s">
        <v>8675</v>
      </c>
      <c r="P68" s="433" t="s">
        <v>2234</v>
      </c>
      <c r="Q68" s="433" t="s">
        <v>4</v>
      </c>
      <c r="R68" s="433"/>
      <c r="S68" s="433" t="s">
        <v>6302</v>
      </c>
    </row>
    <row r="69" spans="1:19" ht="22" customHeight="1">
      <c r="A69" s="433" t="s">
        <v>5344</v>
      </c>
      <c r="B69" s="433" t="s">
        <v>6102</v>
      </c>
      <c r="C69" s="433"/>
      <c r="D69" s="434" t="s">
        <v>7565</v>
      </c>
      <c r="E69" s="434" t="s">
        <v>7273</v>
      </c>
      <c r="F69" s="434" t="s">
        <v>7114</v>
      </c>
      <c r="G69" s="435">
        <v>0.5</v>
      </c>
      <c r="H69" s="434" t="s">
        <v>7956</v>
      </c>
      <c r="I69" s="434" t="s">
        <v>7387</v>
      </c>
      <c r="J69" s="439" t="s">
        <v>8276</v>
      </c>
      <c r="K69" s="440" t="s">
        <v>8291</v>
      </c>
      <c r="L69" s="449" t="s">
        <v>8328</v>
      </c>
      <c r="M69" s="424" t="s">
        <v>8620</v>
      </c>
      <c r="N69" s="440" t="s">
        <v>8669</v>
      </c>
      <c r="O69" s="440" t="s">
        <v>8675</v>
      </c>
      <c r="P69" s="433" t="s">
        <v>5345</v>
      </c>
      <c r="Q69" s="433" t="s">
        <v>4</v>
      </c>
      <c r="R69" s="433"/>
      <c r="S69" s="433" t="s">
        <v>6713</v>
      </c>
    </row>
    <row r="70" spans="1:19" ht="22" customHeight="1">
      <c r="A70" s="433" t="s">
        <v>5346</v>
      </c>
      <c r="B70" s="433" t="s">
        <v>6103</v>
      </c>
      <c r="C70" s="433"/>
      <c r="D70" s="434" t="s">
        <v>7566</v>
      </c>
      <c r="E70" s="434" t="s">
        <v>7274</v>
      </c>
      <c r="F70" s="434" t="s">
        <v>7275</v>
      </c>
      <c r="G70" s="435">
        <v>2</v>
      </c>
      <c r="H70" s="434" t="s">
        <v>2740</v>
      </c>
      <c r="I70" s="434" t="s">
        <v>7288</v>
      </c>
      <c r="J70" s="439" t="s">
        <v>8276</v>
      </c>
      <c r="K70" s="440" t="s">
        <v>8306</v>
      </c>
      <c r="L70" s="449" t="s">
        <v>8315</v>
      </c>
      <c r="M70" s="424" t="s">
        <v>8625</v>
      </c>
      <c r="N70" s="440" t="s">
        <v>8670</v>
      </c>
      <c r="O70" s="440" t="s">
        <v>8675</v>
      </c>
      <c r="P70" s="433" t="s">
        <v>2234</v>
      </c>
      <c r="Q70" s="433" t="s">
        <v>4</v>
      </c>
      <c r="R70" s="433"/>
      <c r="S70" s="433" t="s">
        <v>2234</v>
      </c>
    </row>
    <row r="71" spans="1:19" ht="22" customHeight="1">
      <c r="A71" s="433" t="s">
        <v>5328</v>
      </c>
      <c r="B71" s="433" t="s">
        <v>6103</v>
      </c>
      <c r="C71" s="433"/>
      <c r="D71" s="434" t="s">
        <v>7567</v>
      </c>
      <c r="E71" s="434" t="s">
        <v>7276</v>
      </c>
      <c r="F71" s="434" t="s">
        <v>7277</v>
      </c>
      <c r="G71" s="435">
        <v>3</v>
      </c>
      <c r="H71" s="434" t="s">
        <v>2740</v>
      </c>
      <c r="I71" s="434" t="s">
        <v>7288</v>
      </c>
      <c r="J71" s="439" t="s">
        <v>8276</v>
      </c>
      <c r="K71" s="440" t="s">
        <v>8306</v>
      </c>
      <c r="L71" s="449" t="s">
        <v>8315</v>
      </c>
      <c r="M71" s="424" t="s">
        <v>8625</v>
      </c>
      <c r="N71" s="440" t="s">
        <v>8670</v>
      </c>
      <c r="O71" s="440" t="s">
        <v>8675</v>
      </c>
      <c r="P71" s="433" t="s">
        <v>5346</v>
      </c>
      <c r="Q71" s="433" t="s">
        <v>4</v>
      </c>
      <c r="R71" s="433"/>
      <c r="S71" s="433" t="s">
        <v>2234</v>
      </c>
    </row>
    <row r="72" spans="1:19" ht="22" customHeight="1">
      <c r="A72" s="433" t="s">
        <v>5347</v>
      </c>
      <c r="B72" s="433" t="s">
        <v>6104</v>
      </c>
      <c r="C72" s="433"/>
      <c r="D72" s="434" t="s">
        <v>7568</v>
      </c>
      <c r="E72" s="434" t="s">
        <v>7278</v>
      </c>
      <c r="F72" s="434" t="s">
        <v>7279</v>
      </c>
      <c r="G72" s="435">
        <v>4</v>
      </c>
      <c r="H72" s="434" t="s">
        <v>2740</v>
      </c>
      <c r="I72" s="434" t="s">
        <v>7288</v>
      </c>
      <c r="J72" s="439" t="s">
        <v>8276</v>
      </c>
      <c r="K72" s="440" t="s">
        <v>8306</v>
      </c>
      <c r="L72" s="449" t="s">
        <v>8315</v>
      </c>
      <c r="M72" s="424" t="s">
        <v>8625</v>
      </c>
      <c r="N72" s="440" t="s">
        <v>8670</v>
      </c>
      <c r="O72" s="440" t="s">
        <v>8675</v>
      </c>
      <c r="P72" s="433" t="s">
        <v>5328</v>
      </c>
      <c r="Q72" s="433" t="s">
        <v>4</v>
      </c>
      <c r="R72" s="433"/>
      <c r="S72" s="433" t="s">
        <v>2234</v>
      </c>
    </row>
    <row r="73" spans="1:19" ht="22" customHeight="1">
      <c r="A73" s="433" t="s">
        <v>5348</v>
      </c>
      <c r="B73" s="433" t="s">
        <v>6104</v>
      </c>
      <c r="C73" s="433"/>
      <c r="D73" s="434" t="s">
        <v>7569</v>
      </c>
      <c r="E73" s="434" t="s">
        <v>7280</v>
      </c>
      <c r="F73" s="434" t="s">
        <v>7281</v>
      </c>
      <c r="G73" s="435">
        <v>2</v>
      </c>
      <c r="H73" s="434" t="s">
        <v>2740</v>
      </c>
      <c r="I73" s="434" t="s">
        <v>7288</v>
      </c>
      <c r="J73" s="439" t="s">
        <v>8276</v>
      </c>
      <c r="K73" s="440" t="s">
        <v>8306</v>
      </c>
      <c r="L73" s="449" t="s">
        <v>8315</v>
      </c>
      <c r="M73" s="424" t="s">
        <v>8625</v>
      </c>
      <c r="N73" s="440" t="s">
        <v>8670</v>
      </c>
      <c r="O73" s="440" t="s">
        <v>8675</v>
      </c>
      <c r="P73" s="433" t="s">
        <v>5347</v>
      </c>
      <c r="Q73" s="433" t="s">
        <v>4</v>
      </c>
      <c r="R73" s="433"/>
      <c r="S73" s="433" t="s">
        <v>2234</v>
      </c>
    </row>
    <row r="74" spans="1:19" ht="22" customHeight="1">
      <c r="A74" s="433" t="s">
        <v>8589</v>
      </c>
      <c r="B74" s="433" t="s">
        <v>6104</v>
      </c>
      <c r="C74" s="433"/>
      <c r="D74" s="434" t="s">
        <v>8590</v>
      </c>
      <c r="E74" s="434" t="s">
        <v>8591</v>
      </c>
      <c r="F74" s="434" t="s">
        <v>8592</v>
      </c>
      <c r="G74" s="435">
        <v>2</v>
      </c>
      <c r="H74" s="434" t="s">
        <v>2740</v>
      </c>
      <c r="I74" s="434" t="s">
        <v>7289</v>
      </c>
      <c r="J74" s="439" t="s">
        <v>8276</v>
      </c>
      <c r="K74" s="440" t="s">
        <v>8301</v>
      </c>
      <c r="L74" s="449" t="s">
        <v>8684</v>
      </c>
      <c r="M74" s="424" t="s">
        <v>8620</v>
      </c>
      <c r="N74" s="440" t="s">
        <v>8670</v>
      </c>
      <c r="O74" s="440" t="s">
        <v>8675</v>
      </c>
      <c r="P74" s="433" t="s">
        <v>2234</v>
      </c>
      <c r="Q74" s="433" t="s">
        <v>4</v>
      </c>
      <c r="R74" s="433"/>
      <c r="S74" s="433" t="s">
        <v>2234</v>
      </c>
    </row>
    <row r="75" spans="1:19" ht="22" customHeight="1">
      <c r="A75" s="433" t="s">
        <v>8593</v>
      </c>
      <c r="B75" s="433" t="s">
        <v>6104</v>
      </c>
      <c r="C75" s="433"/>
      <c r="D75" s="434" t="s">
        <v>8594</v>
      </c>
      <c r="E75" s="434" t="s">
        <v>8595</v>
      </c>
      <c r="F75" s="434" t="s">
        <v>8596</v>
      </c>
      <c r="G75" s="435">
        <v>0.5</v>
      </c>
      <c r="H75" s="434" t="s">
        <v>2740</v>
      </c>
      <c r="I75" s="434" t="s">
        <v>7289</v>
      </c>
      <c r="J75" s="439" t="s">
        <v>8276</v>
      </c>
      <c r="K75" s="440" t="s">
        <v>8306</v>
      </c>
      <c r="L75" s="449" t="s">
        <v>8685</v>
      </c>
      <c r="M75" s="424" t="s">
        <v>8620</v>
      </c>
      <c r="N75" s="440" t="s">
        <v>8670</v>
      </c>
      <c r="O75" s="440" t="s">
        <v>8675</v>
      </c>
      <c r="P75" s="433" t="s">
        <v>2234</v>
      </c>
      <c r="Q75" s="433" t="s">
        <v>4</v>
      </c>
      <c r="R75" s="433"/>
      <c r="S75" s="433" t="s">
        <v>2234</v>
      </c>
    </row>
    <row r="76" spans="1:19" ht="22" customHeight="1">
      <c r="A76" s="433" t="s">
        <v>5330</v>
      </c>
      <c r="B76" s="433" t="s">
        <v>5330</v>
      </c>
      <c r="C76" s="433"/>
      <c r="D76" s="434" t="s">
        <v>7570</v>
      </c>
      <c r="E76" s="434" t="s">
        <v>7282</v>
      </c>
      <c r="F76" s="434" t="s">
        <v>7283</v>
      </c>
      <c r="G76" s="435">
        <v>5</v>
      </c>
      <c r="H76" s="434" t="s">
        <v>2740</v>
      </c>
      <c r="I76" s="434" t="s">
        <v>7288</v>
      </c>
      <c r="J76" s="439" t="s">
        <v>8276</v>
      </c>
      <c r="K76" s="440" t="s">
        <v>8306</v>
      </c>
      <c r="L76" s="449" t="s">
        <v>8315</v>
      </c>
      <c r="M76" s="424" t="s">
        <v>8623</v>
      </c>
      <c r="N76" s="440" t="s">
        <v>8666</v>
      </c>
      <c r="O76" s="440" t="s">
        <v>8675</v>
      </c>
      <c r="P76" s="433" t="s">
        <v>2234</v>
      </c>
      <c r="Q76" s="433" t="s">
        <v>4</v>
      </c>
      <c r="R76" s="433"/>
      <c r="S76" s="433" t="s">
        <v>2234</v>
      </c>
    </row>
    <row r="77" spans="1:19" ht="22" customHeight="1">
      <c r="A77" s="433" t="s">
        <v>5349</v>
      </c>
      <c r="B77" s="433" t="s">
        <v>5349</v>
      </c>
      <c r="C77" s="433"/>
      <c r="D77" s="434" t="s">
        <v>7571</v>
      </c>
      <c r="E77" s="434" t="s">
        <v>7284</v>
      </c>
      <c r="F77" s="434" t="s">
        <v>7285</v>
      </c>
      <c r="G77" s="435">
        <v>2</v>
      </c>
      <c r="H77" s="434" t="s">
        <v>2740</v>
      </c>
      <c r="I77" s="434" t="s">
        <v>7288</v>
      </c>
      <c r="J77" s="439" t="s">
        <v>8276</v>
      </c>
      <c r="K77" s="440" t="s">
        <v>8306</v>
      </c>
      <c r="L77" s="449" t="s">
        <v>8315</v>
      </c>
      <c r="M77" s="424" t="s">
        <v>8620</v>
      </c>
      <c r="N77" s="440" t="s">
        <v>8670</v>
      </c>
      <c r="O77" s="440" t="s">
        <v>8675</v>
      </c>
      <c r="P77" s="433" t="s">
        <v>2234</v>
      </c>
      <c r="Q77" s="433" t="s">
        <v>4</v>
      </c>
      <c r="R77" s="433"/>
      <c r="S77" s="433" t="s">
        <v>2234</v>
      </c>
    </row>
    <row r="78" spans="1:19" ht="22" customHeight="1">
      <c r="A78" s="433" t="s">
        <v>5350</v>
      </c>
      <c r="B78" s="433" t="s">
        <v>6105</v>
      </c>
      <c r="C78" s="433"/>
      <c r="D78" s="434" t="s">
        <v>7744</v>
      </c>
      <c r="E78" s="434" t="s">
        <v>7885</v>
      </c>
      <c r="F78" s="434" t="s">
        <v>7886</v>
      </c>
      <c r="G78" s="435">
        <v>2</v>
      </c>
      <c r="H78" s="434" t="s">
        <v>2740</v>
      </c>
      <c r="I78" s="434" t="s">
        <v>7289</v>
      </c>
      <c r="J78" s="439" t="s">
        <v>8276</v>
      </c>
      <c r="K78" s="440" t="s">
        <v>8306</v>
      </c>
      <c r="L78" s="449" t="s">
        <v>8370</v>
      </c>
      <c r="M78" s="424" t="s">
        <v>8620</v>
      </c>
      <c r="N78" s="440" t="s">
        <v>8667</v>
      </c>
      <c r="O78" s="440" t="s">
        <v>8675</v>
      </c>
      <c r="P78" s="433" t="s">
        <v>2234</v>
      </c>
      <c r="Q78" s="433" t="s">
        <v>4</v>
      </c>
      <c r="R78" s="433"/>
      <c r="S78" s="433" t="s">
        <v>2740</v>
      </c>
    </row>
    <row r="79" spans="1:19" ht="22" customHeight="1">
      <c r="A79" s="433" t="s">
        <v>5351</v>
      </c>
      <c r="B79" s="433" t="s">
        <v>6105</v>
      </c>
      <c r="C79" s="433"/>
      <c r="D79" s="434" t="s">
        <v>7745</v>
      </c>
      <c r="E79" s="434" t="s">
        <v>7887</v>
      </c>
      <c r="F79" s="434" t="s">
        <v>7888</v>
      </c>
      <c r="G79" s="435">
        <v>3</v>
      </c>
      <c r="H79" s="434" t="s">
        <v>2740</v>
      </c>
      <c r="I79" s="434" t="s">
        <v>7289</v>
      </c>
      <c r="J79" s="439" t="s">
        <v>8276</v>
      </c>
      <c r="K79" s="440" t="s">
        <v>8306</v>
      </c>
      <c r="L79" s="449" t="s">
        <v>8370</v>
      </c>
      <c r="M79" s="424" t="s">
        <v>8620</v>
      </c>
      <c r="N79" s="440" t="s">
        <v>8667</v>
      </c>
      <c r="O79" s="440" t="s">
        <v>8675</v>
      </c>
      <c r="P79" s="433" t="s">
        <v>5350</v>
      </c>
      <c r="Q79" s="433" t="s">
        <v>4</v>
      </c>
      <c r="R79" s="433"/>
      <c r="S79" s="433" t="s">
        <v>2740</v>
      </c>
    </row>
    <row r="80" spans="1:19" ht="22" customHeight="1">
      <c r="A80" s="433" t="s">
        <v>5352</v>
      </c>
      <c r="B80" s="433" t="s">
        <v>6105</v>
      </c>
      <c r="C80" s="433"/>
      <c r="D80" s="434" t="s">
        <v>7746</v>
      </c>
      <c r="E80" s="434" t="s">
        <v>7889</v>
      </c>
      <c r="F80" s="434" t="s">
        <v>7890</v>
      </c>
      <c r="G80" s="435">
        <v>3</v>
      </c>
      <c r="H80" s="434" t="s">
        <v>2740</v>
      </c>
      <c r="I80" s="434" t="s">
        <v>7289</v>
      </c>
      <c r="J80" s="439" t="s">
        <v>8276</v>
      </c>
      <c r="K80" s="440" t="s">
        <v>8306</v>
      </c>
      <c r="L80" s="449" t="s">
        <v>8370</v>
      </c>
      <c r="M80" s="424" t="s">
        <v>8620</v>
      </c>
      <c r="N80" s="440" t="s">
        <v>8667</v>
      </c>
      <c r="O80" s="440" t="s">
        <v>8675</v>
      </c>
      <c r="P80" s="433" t="s">
        <v>5350</v>
      </c>
      <c r="Q80" s="433" t="s">
        <v>4</v>
      </c>
      <c r="R80" s="433"/>
      <c r="S80" s="433" t="s">
        <v>2740</v>
      </c>
    </row>
    <row r="81" spans="1:19" ht="22" customHeight="1">
      <c r="A81" s="433" t="s">
        <v>628</v>
      </c>
      <c r="B81" s="433" t="s">
        <v>628</v>
      </c>
      <c r="C81" s="433"/>
      <c r="D81" s="434" t="s">
        <v>7747</v>
      </c>
      <c r="E81" s="434" t="s">
        <v>7891</v>
      </c>
      <c r="F81" s="434" t="s">
        <v>7892</v>
      </c>
      <c r="G81" s="435">
        <v>4</v>
      </c>
      <c r="H81" s="434" t="s">
        <v>2740</v>
      </c>
      <c r="I81" s="434" t="s">
        <v>7289</v>
      </c>
      <c r="J81" s="439" t="s">
        <v>8276</v>
      </c>
      <c r="K81" s="440" t="s">
        <v>8306</v>
      </c>
      <c r="L81" s="449" t="s">
        <v>8370</v>
      </c>
      <c r="M81" s="424" t="s">
        <v>8623</v>
      </c>
      <c r="N81" s="440" t="s">
        <v>8666</v>
      </c>
      <c r="O81" s="440" t="s">
        <v>8675</v>
      </c>
      <c r="P81" s="433" t="s">
        <v>2234</v>
      </c>
      <c r="Q81" s="433" t="s">
        <v>4</v>
      </c>
      <c r="R81" s="433"/>
      <c r="S81" s="433" t="s">
        <v>2740</v>
      </c>
    </row>
    <row r="82" spans="1:19" ht="22" customHeight="1">
      <c r="A82" s="433" t="s">
        <v>631</v>
      </c>
      <c r="B82" s="433" t="s">
        <v>631</v>
      </c>
      <c r="C82" s="433"/>
      <c r="D82" s="434" t="s">
        <v>7748</v>
      </c>
      <c r="E82" s="434" t="s">
        <v>7893</v>
      </c>
      <c r="F82" s="434" t="s">
        <v>7894</v>
      </c>
      <c r="G82" s="435">
        <v>4</v>
      </c>
      <c r="H82" s="434" t="s">
        <v>2740</v>
      </c>
      <c r="I82" s="434" t="s">
        <v>7289</v>
      </c>
      <c r="J82" s="439" t="s">
        <v>8276</v>
      </c>
      <c r="K82" s="440" t="s">
        <v>8306</v>
      </c>
      <c r="L82" s="449" t="s">
        <v>8370</v>
      </c>
      <c r="M82" s="424" t="s">
        <v>8620</v>
      </c>
      <c r="N82" s="440" t="s">
        <v>8667</v>
      </c>
      <c r="O82" s="440" t="s">
        <v>8675</v>
      </c>
      <c r="P82" s="433" t="s">
        <v>2234</v>
      </c>
      <c r="Q82" s="433" t="s">
        <v>4</v>
      </c>
      <c r="R82" s="433"/>
      <c r="S82" s="433" t="s">
        <v>2740</v>
      </c>
    </row>
    <row r="83" spans="1:19" ht="22" customHeight="1">
      <c r="A83" s="433" t="s">
        <v>633</v>
      </c>
      <c r="B83" s="433" t="s">
        <v>633</v>
      </c>
      <c r="C83" s="433"/>
      <c r="D83" s="434" t="s">
        <v>7749</v>
      </c>
      <c r="E83" s="434" t="s">
        <v>7895</v>
      </c>
      <c r="F83" s="434" t="s">
        <v>7896</v>
      </c>
      <c r="G83" s="435">
        <v>5</v>
      </c>
      <c r="H83" s="434" t="s">
        <v>2740</v>
      </c>
      <c r="I83" s="434" t="s">
        <v>7394</v>
      </c>
      <c r="J83" s="439" t="s">
        <v>8276</v>
      </c>
      <c r="K83" s="440" t="s">
        <v>8306</v>
      </c>
      <c r="L83" s="449" t="s">
        <v>8370</v>
      </c>
      <c r="M83" s="424" t="s">
        <v>8620</v>
      </c>
      <c r="N83" s="440" t="s">
        <v>8667</v>
      </c>
      <c r="O83" s="440" t="s">
        <v>8675</v>
      </c>
      <c r="P83" s="433" t="s">
        <v>2234</v>
      </c>
      <c r="Q83" s="433" t="s">
        <v>4</v>
      </c>
      <c r="R83" s="433"/>
      <c r="S83" s="433" t="s">
        <v>2740</v>
      </c>
    </row>
    <row r="84" spans="1:19" ht="22" customHeight="1">
      <c r="A84" s="433" t="s">
        <v>635</v>
      </c>
      <c r="B84" s="433" t="s">
        <v>635</v>
      </c>
      <c r="C84" s="433"/>
      <c r="D84" s="434" t="s">
        <v>7750</v>
      </c>
      <c r="E84" s="434" t="s">
        <v>7897</v>
      </c>
      <c r="F84" s="434" t="s">
        <v>7898</v>
      </c>
      <c r="G84" s="435">
        <v>5</v>
      </c>
      <c r="H84" s="434" t="s">
        <v>2740</v>
      </c>
      <c r="I84" s="434" t="s">
        <v>7289</v>
      </c>
      <c r="J84" s="439" t="s">
        <v>8276</v>
      </c>
      <c r="K84" s="440" t="s">
        <v>8306</v>
      </c>
      <c r="L84" s="449" t="s">
        <v>8370</v>
      </c>
      <c r="M84" s="424" t="s">
        <v>8620</v>
      </c>
      <c r="N84" s="440" t="s">
        <v>8667</v>
      </c>
      <c r="O84" s="440" t="s">
        <v>8675</v>
      </c>
      <c r="P84" s="433" t="s">
        <v>550</v>
      </c>
      <c r="Q84" s="433" t="s">
        <v>4</v>
      </c>
      <c r="R84" s="433"/>
      <c r="S84" s="433" t="s">
        <v>2740</v>
      </c>
    </row>
    <row r="85" spans="1:19" ht="22" customHeight="1">
      <c r="A85" s="433" t="s">
        <v>637</v>
      </c>
      <c r="B85" s="433" t="s">
        <v>637</v>
      </c>
      <c r="C85" s="433"/>
      <c r="D85" s="434" t="s">
        <v>7751</v>
      </c>
      <c r="E85" s="434" t="s">
        <v>7899</v>
      </c>
      <c r="F85" s="434" t="s">
        <v>7900</v>
      </c>
      <c r="G85" s="435">
        <v>3</v>
      </c>
      <c r="H85" s="434" t="s">
        <v>2740</v>
      </c>
      <c r="I85" s="434" t="s">
        <v>7289</v>
      </c>
      <c r="J85" s="439" t="s">
        <v>8276</v>
      </c>
      <c r="K85" s="440" t="s">
        <v>8306</v>
      </c>
      <c r="L85" s="449" t="s">
        <v>8370</v>
      </c>
      <c r="M85" s="424" t="s">
        <v>8620</v>
      </c>
      <c r="N85" s="440" t="s">
        <v>8667</v>
      </c>
      <c r="O85" s="440" t="s">
        <v>8675</v>
      </c>
      <c r="P85" s="433" t="s">
        <v>2234</v>
      </c>
      <c r="Q85" s="433" t="s">
        <v>4</v>
      </c>
      <c r="R85" s="433"/>
      <c r="S85" s="433" t="s">
        <v>2740</v>
      </c>
    </row>
    <row r="86" spans="1:19" ht="22" customHeight="1">
      <c r="A86" s="433" t="s">
        <v>639</v>
      </c>
      <c r="B86" s="433" t="s">
        <v>639</v>
      </c>
      <c r="C86" s="433"/>
      <c r="D86" s="434" t="s">
        <v>7752</v>
      </c>
      <c r="E86" s="434" t="s">
        <v>7901</v>
      </c>
      <c r="F86" s="434" t="s">
        <v>7902</v>
      </c>
      <c r="G86" s="435">
        <v>3</v>
      </c>
      <c r="H86" s="434" t="s">
        <v>7840</v>
      </c>
      <c r="I86" s="434" t="s">
        <v>7351</v>
      </c>
      <c r="J86" s="439" t="s">
        <v>8277</v>
      </c>
      <c r="K86" s="440" t="s">
        <v>8298</v>
      </c>
      <c r="L86" s="449" t="s">
        <v>8339</v>
      </c>
      <c r="M86" s="424" t="s">
        <v>8620</v>
      </c>
      <c r="N86" s="440" t="s">
        <v>8668</v>
      </c>
      <c r="O86" s="440" t="s">
        <v>8675</v>
      </c>
      <c r="P86" s="433" t="s">
        <v>2234</v>
      </c>
      <c r="Q86" s="433" t="s">
        <v>4</v>
      </c>
      <c r="R86" s="433"/>
      <c r="S86" s="433" t="s">
        <v>6426</v>
      </c>
    </row>
    <row r="87" spans="1:19" ht="22" customHeight="1">
      <c r="A87" s="433" t="s">
        <v>641</v>
      </c>
      <c r="B87" s="433" t="s">
        <v>641</v>
      </c>
      <c r="C87" s="433"/>
      <c r="D87" s="434" t="s">
        <v>7753</v>
      </c>
      <c r="E87" s="434" t="s">
        <v>7903</v>
      </c>
      <c r="F87" s="434" t="s">
        <v>7904</v>
      </c>
      <c r="G87" s="435">
        <v>1</v>
      </c>
      <c r="H87" s="434" t="s">
        <v>7819</v>
      </c>
      <c r="I87" s="434" t="s">
        <v>7905</v>
      </c>
      <c r="J87" s="439" t="s">
        <v>8276</v>
      </c>
      <c r="K87" s="440" t="s">
        <v>8295</v>
      </c>
      <c r="L87" s="449" t="s">
        <v>8329</v>
      </c>
      <c r="M87" s="424" t="s">
        <v>8620</v>
      </c>
      <c r="N87" s="440" t="s">
        <v>8666</v>
      </c>
      <c r="O87" s="440" t="s">
        <v>8675</v>
      </c>
      <c r="P87" s="433" t="s">
        <v>2234</v>
      </c>
      <c r="Q87" s="433" t="s">
        <v>4</v>
      </c>
      <c r="R87" s="433"/>
      <c r="S87" s="433" t="s">
        <v>6714</v>
      </c>
    </row>
    <row r="88" spans="1:19" ht="22" customHeight="1">
      <c r="A88" s="433" t="s">
        <v>644</v>
      </c>
      <c r="B88" s="433" t="s">
        <v>644</v>
      </c>
      <c r="C88" s="433"/>
      <c r="D88" s="434" t="s">
        <v>7754</v>
      </c>
      <c r="E88" s="434" t="s">
        <v>7906</v>
      </c>
      <c r="F88" s="434" t="s">
        <v>7907</v>
      </c>
      <c r="G88" s="435">
        <v>2</v>
      </c>
      <c r="H88" s="434" t="s">
        <v>2740</v>
      </c>
      <c r="I88" s="434" t="s">
        <v>7289</v>
      </c>
      <c r="J88" s="439" t="s">
        <v>8276</v>
      </c>
      <c r="K88" s="440" t="s">
        <v>8301</v>
      </c>
      <c r="L88" s="449" t="s">
        <v>8371</v>
      </c>
      <c r="M88" s="424" t="s">
        <v>8620</v>
      </c>
      <c r="N88" s="440" t="s">
        <v>8668</v>
      </c>
      <c r="O88" s="440" t="s">
        <v>8675</v>
      </c>
      <c r="P88" s="433" t="s">
        <v>2234</v>
      </c>
      <c r="Q88" s="433" t="s">
        <v>4</v>
      </c>
      <c r="R88" s="433"/>
      <c r="S88" s="433" t="s">
        <v>2740</v>
      </c>
    </row>
    <row r="89" spans="1:19" ht="22" customHeight="1">
      <c r="A89" s="433" t="s">
        <v>647</v>
      </c>
      <c r="B89" s="433" t="s">
        <v>647</v>
      </c>
      <c r="C89" s="433"/>
      <c r="D89" s="434" t="s">
        <v>7755</v>
      </c>
      <c r="E89" s="434" t="s">
        <v>7908</v>
      </c>
      <c r="F89" s="434" t="s">
        <v>7909</v>
      </c>
      <c r="G89" s="435">
        <v>8</v>
      </c>
      <c r="H89" s="434" t="s">
        <v>2740</v>
      </c>
      <c r="I89" s="434" t="s">
        <v>7289</v>
      </c>
      <c r="J89" s="439" t="s">
        <v>8276</v>
      </c>
      <c r="K89" s="440" t="s">
        <v>8301</v>
      </c>
      <c r="L89" s="449" t="s">
        <v>8371</v>
      </c>
      <c r="M89" s="424" t="s">
        <v>8620</v>
      </c>
      <c r="N89" s="440" t="s">
        <v>8668</v>
      </c>
      <c r="O89" s="440" t="s">
        <v>8675</v>
      </c>
      <c r="P89" s="433" t="s">
        <v>644</v>
      </c>
      <c r="Q89" s="433" t="s">
        <v>4</v>
      </c>
      <c r="R89" s="433"/>
      <c r="S89" s="433" t="s">
        <v>2740</v>
      </c>
    </row>
    <row r="90" spans="1:19" ht="22" customHeight="1">
      <c r="A90" s="433" t="s">
        <v>650</v>
      </c>
      <c r="B90" s="433" t="s">
        <v>650</v>
      </c>
      <c r="C90" s="433"/>
      <c r="D90" s="434" t="s">
        <v>7756</v>
      </c>
      <c r="E90" s="434" t="s">
        <v>7910</v>
      </c>
      <c r="F90" s="434" t="s">
        <v>7911</v>
      </c>
      <c r="G90" s="435">
        <v>3</v>
      </c>
      <c r="H90" s="434" t="s">
        <v>2740</v>
      </c>
      <c r="I90" s="434" t="s">
        <v>7289</v>
      </c>
      <c r="J90" s="439" t="s">
        <v>8276</v>
      </c>
      <c r="K90" s="440" t="s">
        <v>8301</v>
      </c>
      <c r="L90" s="449" t="s">
        <v>8371</v>
      </c>
      <c r="M90" s="424" t="s">
        <v>8620</v>
      </c>
      <c r="N90" s="440" t="s">
        <v>8668</v>
      </c>
      <c r="O90" s="440" t="s">
        <v>8675</v>
      </c>
      <c r="P90" s="433" t="s">
        <v>2234</v>
      </c>
      <c r="Q90" s="433" t="s">
        <v>4</v>
      </c>
      <c r="R90" s="433"/>
      <c r="S90" s="433" t="s">
        <v>2740</v>
      </c>
    </row>
    <row r="91" spans="1:19" ht="22" customHeight="1">
      <c r="A91" s="433" t="s">
        <v>653</v>
      </c>
      <c r="B91" s="433" t="s">
        <v>653</v>
      </c>
      <c r="C91" s="433"/>
      <c r="D91" s="434" t="s">
        <v>7757</v>
      </c>
      <c r="E91" s="434" t="s">
        <v>7912</v>
      </c>
      <c r="F91" s="434" t="s">
        <v>7913</v>
      </c>
      <c r="G91" s="435">
        <v>2</v>
      </c>
      <c r="H91" s="434" t="s">
        <v>2740</v>
      </c>
      <c r="I91" s="434" t="s">
        <v>7289</v>
      </c>
      <c r="J91" s="439" t="s">
        <v>8276</v>
      </c>
      <c r="K91" s="440" t="s">
        <v>8301</v>
      </c>
      <c r="L91" s="449" t="s">
        <v>8371</v>
      </c>
      <c r="M91" s="424" t="s">
        <v>8620</v>
      </c>
      <c r="N91" s="440" t="s">
        <v>8668</v>
      </c>
      <c r="O91" s="440" t="s">
        <v>8675</v>
      </c>
      <c r="P91" s="433" t="s">
        <v>2234</v>
      </c>
      <c r="Q91" s="433" t="s">
        <v>4</v>
      </c>
      <c r="R91" s="433"/>
      <c r="S91" s="433" t="s">
        <v>2740</v>
      </c>
    </row>
    <row r="92" spans="1:19" ht="22" hidden="1" customHeight="1">
      <c r="A92" s="433" t="s">
        <v>5353</v>
      </c>
      <c r="B92" s="433" t="s">
        <v>6106</v>
      </c>
      <c r="C92" s="433"/>
      <c r="D92" s="434" t="s">
        <v>7758</v>
      </c>
      <c r="E92" s="434" t="s">
        <v>7914</v>
      </c>
      <c r="F92" s="434" t="s">
        <v>7915</v>
      </c>
      <c r="G92" s="435">
        <v>1.5</v>
      </c>
      <c r="H92" s="434" t="s">
        <v>7839</v>
      </c>
      <c r="I92" s="434" t="s">
        <v>7349</v>
      </c>
      <c r="J92" s="439" t="s">
        <v>8276</v>
      </c>
      <c r="K92" s="440" t="s">
        <v>8291</v>
      </c>
      <c r="L92" s="449" t="s">
        <v>8338</v>
      </c>
      <c r="M92" s="424" t="s">
        <v>8620</v>
      </c>
      <c r="N92" s="440" t="s">
        <v>8670</v>
      </c>
      <c r="O92" s="440" t="s">
        <v>8677</v>
      </c>
      <c r="P92" s="433" t="s">
        <v>2234</v>
      </c>
      <c r="Q92" s="433" t="s">
        <v>4</v>
      </c>
      <c r="R92" s="433"/>
      <c r="S92" s="433" t="s">
        <v>6421</v>
      </c>
    </row>
    <row r="93" spans="1:19" ht="22" customHeight="1">
      <c r="A93" s="433" t="s">
        <v>5354</v>
      </c>
      <c r="B93" s="433" t="s">
        <v>6106</v>
      </c>
      <c r="C93" s="433"/>
      <c r="D93" s="434" t="s">
        <v>7759</v>
      </c>
      <c r="E93" s="434" t="s">
        <v>7916</v>
      </c>
      <c r="F93" s="434" t="s">
        <v>7917</v>
      </c>
      <c r="G93" s="435">
        <v>1.5</v>
      </c>
      <c r="H93" s="434" t="s">
        <v>2740</v>
      </c>
      <c r="I93" s="434" t="s">
        <v>7918</v>
      </c>
      <c r="J93" s="439" t="s">
        <v>8276</v>
      </c>
      <c r="K93" s="440" t="s">
        <v>8304</v>
      </c>
      <c r="L93" s="449" t="s">
        <v>8372</v>
      </c>
      <c r="M93" s="424" t="s">
        <v>8620</v>
      </c>
      <c r="N93" s="440" t="s">
        <v>8668</v>
      </c>
      <c r="O93" s="440" t="s">
        <v>8675</v>
      </c>
      <c r="P93" s="433" t="s">
        <v>2234</v>
      </c>
      <c r="Q93" s="433" t="s">
        <v>4</v>
      </c>
      <c r="R93" s="433"/>
      <c r="S93" s="433" t="s">
        <v>2740</v>
      </c>
    </row>
    <row r="94" spans="1:19" ht="22" hidden="1" customHeight="1">
      <c r="A94" s="433" t="s">
        <v>5355</v>
      </c>
      <c r="B94" s="433" t="s">
        <v>6106</v>
      </c>
      <c r="C94" s="433"/>
      <c r="D94" s="434" t="s">
        <v>7760</v>
      </c>
      <c r="E94" s="434" t="s">
        <v>7919</v>
      </c>
      <c r="F94" s="434" t="s">
        <v>7920</v>
      </c>
      <c r="G94" s="435">
        <v>1.5</v>
      </c>
      <c r="H94" s="434" t="s">
        <v>7857</v>
      </c>
      <c r="I94" s="434" t="s">
        <v>7362</v>
      </c>
      <c r="J94" s="439" t="s">
        <v>8276</v>
      </c>
      <c r="K94" s="440" t="s">
        <v>8295</v>
      </c>
      <c r="L94" s="449" t="s">
        <v>8612</v>
      </c>
      <c r="M94" s="424" t="s">
        <v>8620</v>
      </c>
      <c r="N94" s="440" t="s">
        <v>8668</v>
      </c>
      <c r="O94" s="440" t="s">
        <v>8677</v>
      </c>
      <c r="P94" s="433" t="s">
        <v>2234</v>
      </c>
      <c r="Q94" s="433" t="s">
        <v>4</v>
      </c>
      <c r="R94" s="433"/>
      <c r="S94" s="433" t="s">
        <v>6486</v>
      </c>
    </row>
    <row r="95" spans="1:19" ht="22" customHeight="1">
      <c r="A95" s="433" t="s">
        <v>5356</v>
      </c>
      <c r="B95" s="433" t="s">
        <v>6106</v>
      </c>
      <c r="C95" s="433"/>
      <c r="D95" s="434" t="s">
        <v>7761</v>
      </c>
      <c r="E95" s="434" t="s">
        <v>7921</v>
      </c>
      <c r="F95" s="434" t="s">
        <v>7922</v>
      </c>
      <c r="G95" s="435">
        <v>1.5</v>
      </c>
      <c r="H95" s="434" t="s">
        <v>2740</v>
      </c>
      <c r="I95" s="434" t="s">
        <v>7923</v>
      </c>
      <c r="J95" s="439" t="s">
        <v>8276</v>
      </c>
      <c r="K95" s="440" t="s">
        <v>8304</v>
      </c>
      <c r="L95" s="449" t="s">
        <v>8372</v>
      </c>
      <c r="M95" s="424" t="s">
        <v>8620</v>
      </c>
      <c r="N95" s="440" t="s">
        <v>8668</v>
      </c>
      <c r="O95" s="440" t="s">
        <v>8675</v>
      </c>
      <c r="P95" s="433" t="s">
        <v>2234</v>
      </c>
      <c r="Q95" s="433" t="s">
        <v>4</v>
      </c>
      <c r="R95" s="433"/>
      <c r="S95" s="433" t="s">
        <v>2740</v>
      </c>
    </row>
    <row r="96" spans="1:19" ht="22" customHeight="1">
      <c r="A96" s="433" t="s">
        <v>5357</v>
      </c>
      <c r="B96" s="433" t="s">
        <v>6106</v>
      </c>
      <c r="C96" s="433"/>
      <c r="D96" s="434" t="s">
        <v>7762</v>
      </c>
      <c r="E96" s="434" t="s">
        <v>7924</v>
      </c>
      <c r="F96" s="434" t="s">
        <v>7925</v>
      </c>
      <c r="G96" s="435">
        <v>1</v>
      </c>
      <c r="H96" s="434" t="s">
        <v>7861</v>
      </c>
      <c r="I96" s="434" t="s">
        <v>7927</v>
      </c>
      <c r="J96" s="439" t="s">
        <v>8276</v>
      </c>
      <c r="K96" s="440" t="s">
        <v>8295</v>
      </c>
      <c r="L96" s="449" t="s">
        <v>8345</v>
      </c>
      <c r="M96" s="424" t="s">
        <v>8620</v>
      </c>
      <c r="N96" s="440" t="s">
        <v>8668</v>
      </c>
      <c r="O96" s="440" t="s">
        <v>8675</v>
      </c>
      <c r="P96" s="433" t="s">
        <v>2234</v>
      </c>
      <c r="Q96" s="433" t="s">
        <v>4</v>
      </c>
      <c r="R96" s="433"/>
      <c r="S96" s="433" t="s">
        <v>7926</v>
      </c>
    </row>
    <row r="97" spans="1:19" ht="22" customHeight="1">
      <c r="A97" s="433" t="s">
        <v>5358</v>
      </c>
      <c r="B97" s="433" t="s">
        <v>6106</v>
      </c>
      <c r="C97" s="433"/>
      <c r="D97" s="434" t="s">
        <v>7763</v>
      </c>
      <c r="E97" s="434" t="s">
        <v>7928</v>
      </c>
      <c r="F97" s="434" t="s">
        <v>7929</v>
      </c>
      <c r="G97" s="435">
        <v>1.5</v>
      </c>
      <c r="H97" s="434" t="s">
        <v>2740</v>
      </c>
      <c r="I97" s="434" t="s">
        <v>7930</v>
      </c>
      <c r="J97" s="439" t="s">
        <v>8276</v>
      </c>
      <c r="K97" s="440" t="s">
        <v>8304</v>
      </c>
      <c r="L97" s="449" t="s">
        <v>8372</v>
      </c>
      <c r="M97" s="424" t="s">
        <v>8620</v>
      </c>
      <c r="N97" s="440" t="s">
        <v>8668</v>
      </c>
      <c r="O97" s="440" t="s">
        <v>8675</v>
      </c>
      <c r="P97" s="433" t="s">
        <v>2234</v>
      </c>
      <c r="Q97" s="433" t="s">
        <v>4</v>
      </c>
      <c r="R97" s="433"/>
      <c r="S97" s="433" t="s">
        <v>2740</v>
      </c>
    </row>
    <row r="98" spans="1:19" ht="22" hidden="1" customHeight="1">
      <c r="A98" s="433" t="s">
        <v>5359</v>
      </c>
      <c r="B98" s="433" t="s">
        <v>6106</v>
      </c>
      <c r="C98" s="433"/>
      <c r="D98" s="434" t="s">
        <v>7764</v>
      </c>
      <c r="E98" s="434" t="s">
        <v>7931</v>
      </c>
      <c r="F98" s="434" t="s">
        <v>7932</v>
      </c>
      <c r="G98" s="435">
        <v>1</v>
      </c>
      <c r="H98" s="434" t="s">
        <v>7832</v>
      </c>
      <c r="I98" s="434" t="s">
        <v>7345</v>
      </c>
      <c r="J98" s="439" t="s">
        <v>8276</v>
      </c>
      <c r="K98" s="440" t="s">
        <v>8291</v>
      </c>
      <c r="L98" s="449" t="s">
        <v>8372</v>
      </c>
      <c r="M98" s="424" t="s">
        <v>8620</v>
      </c>
      <c r="N98" s="440" t="s">
        <v>8668</v>
      </c>
      <c r="O98" s="440" t="s">
        <v>8677</v>
      </c>
      <c r="P98" s="433" t="s">
        <v>2234</v>
      </c>
      <c r="Q98" s="433" t="s">
        <v>4</v>
      </c>
      <c r="R98" s="433"/>
      <c r="S98" s="433" t="s">
        <v>6404</v>
      </c>
    </row>
    <row r="99" spans="1:19" ht="22" customHeight="1">
      <c r="A99" s="433" t="s">
        <v>5360</v>
      </c>
      <c r="B99" s="433" t="s">
        <v>6106</v>
      </c>
      <c r="C99" s="433"/>
      <c r="D99" s="434" t="s">
        <v>7765</v>
      </c>
      <c r="E99" s="434" t="s">
        <v>7933</v>
      </c>
      <c r="F99" s="434" t="s">
        <v>7934</v>
      </c>
      <c r="G99" s="435">
        <v>1</v>
      </c>
      <c r="H99" s="434" t="s">
        <v>2740</v>
      </c>
      <c r="I99" s="434" t="s">
        <v>7935</v>
      </c>
      <c r="J99" s="439" t="s">
        <v>8276</v>
      </c>
      <c r="K99" s="440" t="s">
        <v>8304</v>
      </c>
      <c r="L99" s="449" t="s">
        <v>8372</v>
      </c>
      <c r="M99" s="424" t="s">
        <v>8625</v>
      </c>
      <c r="N99" s="440" t="s">
        <v>8668</v>
      </c>
      <c r="O99" s="440" t="s">
        <v>8675</v>
      </c>
      <c r="P99" s="433" t="s">
        <v>2234</v>
      </c>
      <c r="Q99" s="433" t="s">
        <v>4</v>
      </c>
      <c r="R99" s="433"/>
      <c r="S99" s="433" t="s">
        <v>2740</v>
      </c>
    </row>
    <row r="100" spans="1:19" ht="22" customHeight="1">
      <c r="A100" s="433" t="s">
        <v>5361</v>
      </c>
      <c r="B100" s="433" t="s">
        <v>6106</v>
      </c>
      <c r="C100" s="433"/>
      <c r="D100" s="434" t="s">
        <v>7766</v>
      </c>
      <c r="E100" s="434" t="s">
        <v>7936</v>
      </c>
      <c r="F100" s="434" t="s">
        <v>7937</v>
      </c>
      <c r="G100" s="435">
        <v>2.5</v>
      </c>
      <c r="H100" s="434" t="s">
        <v>2740</v>
      </c>
      <c r="I100" s="434" t="s">
        <v>7935</v>
      </c>
      <c r="J100" s="439" t="s">
        <v>8276</v>
      </c>
      <c r="K100" s="440" t="s">
        <v>8304</v>
      </c>
      <c r="L100" s="449" t="s">
        <v>8372</v>
      </c>
      <c r="M100" s="424" t="s">
        <v>8625</v>
      </c>
      <c r="N100" s="440" t="s">
        <v>8668</v>
      </c>
      <c r="O100" s="440" t="s">
        <v>8675</v>
      </c>
      <c r="P100" s="433" t="s">
        <v>5328</v>
      </c>
      <c r="Q100" s="433" t="s">
        <v>4</v>
      </c>
      <c r="R100" s="433"/>
      <c r="S100" s="433" t="s">
        <v>2740</v>
      </c>
    </row>
    <row r="101" spans="1:19" ht="22" customHeight="1">
      <c r="A101" s="433" t="s">
        <v>5362</v>
      </c>
      <c r="B101" s="433" t="s">
        <v>6106</v>
      </c>
      <c r="C101" s="433"/>
      <c r="D101" s="434" t="s">
        <v>7767</v>
      </c>
      <c r="E101" s="434" t="s">
        <v>7938</v>
      </c>
      <c r="F101" s="434" t="s">
        <v>7939</v>
      </c>
      <c r="G101" s="435">
        <v>2</v>
      </c>
      <c r="H101" s="434" t="s">
        <v>2740</v>
      </c>
      <c r="I101" s="434" t="s">
        <v>7935</v>
      </c>
      <c r="J101" s="439" t="s">
        <v>8276</v>
      </c>
      <c r="K101" s="440" t="s">
        <v>8304</v>
      </c>
      <c r="L101" s="449" t="s">
        <v>8372</v>
      </c>
      <c r="M101" s="424" t="s">
        <v>8620</v>
      </c>
      <c r="N101" s="440" t="s">
        <v>8668</v>
      </c>
      <c r="O101" s="440" t="s">
        <v>8675</v>
      </c>
      <c r="P101" s="433" t="s">
        <v>5347</v>
      </c>
      <c r="Q101" s="433" t="s">
        <v>4</v>
      </c>
      <c r="R101" s="433"/>
      <c r="S101" s="433" t="s">
        <v>2740</v>
      </c>
    </row>
    <row r="102" spans="1:19" ht="22" customHeight="1">
      <c r="A102" s="433" t="s">
        <v>5363</v>
      </c>
      <c r="B102" s="433" t="s">
        <v>6106</v>
      </c>
      <c r="C102" s="433"/>
      <c r="D102" s="434" t="s">
        <v>7768</v>
      </c>
      <c r="E102" s="434" t="s">
        <v>7940</v>
      </c>
      <c r="F102" s="434" t="s">
        <v>7941</v>
      </c>
      <c r="G102" s="435">
        <v>1</v>
      </c>
      <c r="H102" s="434" t="s">
        <v>2740</v>
      </c>
      <c r="I102" s="434" t="s">
        <v>7935</v>
      </c>
      <c r="J102" s="439" t="s">
        <v>8276</v>
      </c>
      <c r="K102" s="440" t="s">
        <v>8304</v>
      </c>
      <c r="L102" s="449" t="s">
        <v>8372</v>
      </c>
      <c r="M102" s="424" t="s">
        <v>8625</v>
      </c>
      <c r="N102" s="440" t="s">
        <v>8668</v>
      </c>
      <c r="O102" s="440" t="s">
        <v>8675</v>
      </c>
      <c r="P102" s="433" t="s">
        <v>2234</v>
      </c>
      <c r="Q102" s="433" t="s">
        <v>4</v>
      </c>
      <c r="R102" s="433"/>
      <c r="S102" s="433" t="s">
        <v>2740</v>
      </c>
    </row>
    <row r="103" spans="1:19" ht="22" customHeight="1">
      <c r="A103" s="433" t="s">
        <v>661</v>
      </c>
      <c r="B103" s="433" t="s">
        <v>661</v>
      </c>
      <c r="C103" s="433"/>
      <c r="D103" s="434" t="s">
        <v>7769</v>
      </c>
      <c r="E103" s="434" t="s">
        <v>7942</v>
      </c>
      <c r="F103" s="434" t="s">
        <v>7943</v>
      </c>
      <c r="G103" s="435">
        <v>2</v>
      </c>
      <c r="H103" s="434" t="s">
        <v>2740</v>
      </c>
      <c r="I103" s="434" t="s">
        <v>7289</v>
      </c>
      <c r="J103" s="439" t="s">
        <v>8276</v>
      </c>
      <c r="K103" s="440" t="s">
        <v>8304</v>
      </c>
      <c r="L103" s="449" t="s">
        <v>8372</v>
      </c>
      <c r="M103" s="424" t="s">
        <v>8620</v>
      </c>
      <c r="N103" s="440" t="s">
        <v>8668</v>
      </c>
      <c r="O103" s="440" t="s">
        <v>8675</v>
      </c>
      <c r="P103" s="433" t="s">
        <v>2234</v>
      </c>
      <c r="Q103" s="433" t="s">
        <v>4</v>
      </c>
      <c r="R103" s="433"/>
      <c r="S103" s="433" t="s">
        <v>2740</v>
      </c>
    </row>
    <row r="104" spans="1:19" ht="22" customHeight="1">
      <c r="A104" s="433" t="s">
        <v>5364</v>
      </c>
      <c r="B104" s="433" t="s">
        <v>6107</v>
      </c>
      <c r="C104" s="433"/>
      <c r="D104" s="434" t="s">
        <v>7770</v>
      </c>
      <c r="E104" s="434" t="s">
        <v>7944</v>
      </c>
      <c r="F104" s="434" t="s">
        <v>7945</v>
      </c>
      <c r="G104" s="435">
        <v>2</v>
      </c>
      <c r="H104" s="434" t="s">
        <v>2740</v>
      </c>
      <c r="I104" s="434" t="s">
        <v>7289</v>
      </c>
      <c r="J104" s="439" t="s">
        <v>8276</v>
      </c>
      <c r="K104" s="440" t="s">
        <v>8304</v>
      </c>
      <c r="L104" s="449" t="s">
        <v>8372</v>
      </c>
      <c r="M104" s="424" t="s">
        <v>8620</v>
      </c>
      <c r="N104" s="440" t="s">
        <v>8668</v>
      </c>
      <c r="O104" s="440" t="s">
        <v>8675</v>
      </c>
      <c r="P104" s="433" t="s">
        <v>5329</v>
      </c>
      <c r="Q104" s="433" t="s">
        <v>4</v>
      </c>
      <c r="R104" s="433"/>
      <c r="S104" s="433" t="s">
        <v>2740</v>
      </c>
    </row>
    <row r="105" spans="1:19" ht="22" customHeight="1">
      <c r="A105" s="433" t="s">
        <v>5365</v>
      </c>
      <c r="B105" s="433" t="s">
        <v>6107</v>
      </c>
      <c r="C105" s="433"/>
      <c r="D105" s="434" t="s">
        <v>7771</v>
      </c>
      <c r="E105" s="434" t="s">
        <v>7946</v>
      </c>
      <c r="F105" s="434" t="s">
        <v>7947</v>
      </c>
      <c r="G105" s="435">
        <v>2</v>
      </c>
      <c r="H105" s="434" t="s">
        <v>2740</v>
      </c>
      <c r="I105" s="434" t="s">
        <v>7289</v>
      </c>
      <c r="J105" s="439" t="s">
        <v>8276</v>
      </c>
      <c r="K105" s="440" t="s">
        <v>8304</v>
      </c>
      <c r="L105" s="449" t="s">
        <v>8682</v>
      </c>
      <c r="M105" s="424" t="s">
        <v>8624</v>
      </c>
      <c r="N105" s="440" t="s">
        <v>8668</v>
      </c>
      <c r="O105" s="440" t="s">
        <v>8675</v>
      </c>
      <c r="P105" s="433" t="s">
        <v>5331</v>
      </c>
      <c r="Q105" s="433" t="s">
        <v>4</v>
      </c>
      <c r="R105" s="433"/>
      <c r="S105" s="433" t="s">
        <v>2740</v>
      </c>
    </row>
    <row r="106" spans="1:19" ht="22" customHeight="1">
      <c r="A106" s="433" t="s">
        <v>5647</v>
      </c>
      <c r="B106" s="433" t="s">
        <v>5785</v>
      </c>
      <c r="C106" s="433"/>
      <c r="D106" s="434" t="s">
        <v>6108</v>
      </c>
      <c r="E106" s="434" t="s">
        <v>7038</v>
      </c>
      <c r="F106" s="434" t="s">
        <v>7039</v>
      </c>
      <c r="G106" s="435">
        <v>1.5</v>
      </c>
      <c r="H106" s="434" t="s">
        <v>2740</v>
      </c>
      <c r="I106" s="434" t="s">
        <v>7289</v>
      </c>
      <c r="J106" s="439" t="s">
        <v>8278</v>
      </c>
      <c r="K106" s="440" t="s">
        <v>8303</v>
      </c>
      <c r="L106" s="449" t="s">
        <v>8367</v>
      </c>
      <c r="M106" s="424" t="s">
        <v>8620</v>
      </c>
      <c r="N106" s="440" t="s">
        <v>8669</v>
      </c>
      <c r="O106" s="440" t="s">
        <v>8675</v>
      </c>
      <c r="P106" s="433" t="s">
        <v>2234</v>
      </c>
      <c r="Q106" s="433" t="s">
        <v>4</v>
      </c>
      <c r="R106" s="433"/>
      <c r="S106" s="433" t="s">
        <v>2740</v>
      </c>
    </row>
    <row r="107" spans="1:19" ht="22" customHeight="1">
      <c r="A107" s="433" t="s">
        <v>5648</v>
      </c>
      <c r="B107" s="433" t="s">
        <v>5785</v>
      </c>
      <c r="C107" s="433"/>
      <c r="D107" s="434" t="s">
        <v>6109</v>
      </c>
      <c r="E107" s="434" t="s">
        <v>7040</v>
      </c>
      <c r="F107" s="434" t="s">
        <v>7041</v>
      </c>
      <c r="G107" s="435">
        <v>1.5</v>
      </c>
      <c r="H107" s="434" t="s">
        <v>2740</v>
      </c>
      <c r="I107" s="434" t="s">
        <v>7289</v>
      </c>
      <c r="J107" s="439" t="s">
        <v>8278</v>
      </c>
      <c r="K107" s="440" t="s">
        <v>8303</v>
      </c>
      <c r="L107" s="449" t="s">
        <v>8367</v>
      </c>
      <c r="M107" s="424" t="s">
        <v>8620</v>
      </c>
      <c r="N107" s="440" t="s">
        <v>8669</v>
      </c>
      <c r="O107" s="440" t="s">
        <v>8675</v>
      </c>
      <c r="P107" s="433" t="s">
        <v>2234</v>
      </c>
      <c r="Q107" s="433" t="s">
        <v>4</v>
      </c>
      <c r="R107" s="433"/>
      <c r="S107" s="433" t="s">
        <v>2740</v>
      </c>
    </row>
    <row r="108" spans="1:19" ht="22" customHeight="1">
      <c r="A108" s="433" t="s">
        <v>5649</v>
      </c>
      <c r="B108" s="433" t="s">
        <v>5785</v>
      </c>
      <c r="C108" s="433"/>
      <c r="D108" s="434" t="s">
        <v>6110</v>
      </c>
      <c r="E108" s="434" t="s">
        <v>7042</v>
      </c>
      <c r="F108" s="434" t="s">
        <v>7043</v>
      </c>
      <c r="G108" s="435">
        <v>1</v>
      </c>
      <c r="H108" s="434" t="s">
        <v>2740</v>
      </c>
      <c r="I108" s="434" t="s">
        <v>7289</v>
      </c>
      <c r="J108" s="439" t="s">
        <v>8278</v>
      </c>
      <c r="K108" s="440" t="s">
        <v>8303</v>
      </c>
      <c r="L108" s="449" t="s">
        <v>8367</v>
      </c>
      <c r="M108" s="424" t="s">
        <v>8620</v>
      </c>
      <c r="N108" s="440" t="s">
        <v>8669</v>
      </c>
      <c r="O108" s="440" t="s">
        <v>8675</v>
      </c>
      <c r="P108" s="433" t="s">
        <v>2234</v>
      </c>
      <c r="Q108" s="433" t="s">
        <v>4</v>
      </c>
      <c r="R108" s="433"/>
      <c r="S108" s="433" t="s">
        <v>2740</v>
      </c>
    </row>
    <row r="109" spans="1:19" ht="22" customHeight="1">
      <c r="A109" s="433" t="s">
        <v>5650</v>
      </c>
      <c r="B109" s="433" t="s">
        <v>5785</v>
      </c>
      <c r="C109" s="433"/>
      <c r="D109" s="434" t="s">
        <v>6111</v>
      </c>
      <c r="E109" s="434" t="s">
        <v>7044</v>
      </c>
      <c r="F109" s="434" t="s">
        <v>7045</v>
      </c>
      <c r="G109" s="435">
        <v>1.5</v>
      </c>
      <c r="H109" s="434" t="s">
        <v>2740</v>
      </c>
      <c r="I109" s="434" t="s">
        <v>7289</v>
      </c>
      <c r="J109" s="439" t="s">
        <v>8278</v>
      </c>
      <c r="K109" s="440" t="s">
        <v>8303</v>
      </c>
      <c r="L109" s="449" t="s">
        <v>8367</v>
      </c>
      <c r="M109" s="424" t="s">
        <v>8620</v>
      </c>
      <c r="N109" s="440" t="s">
        <v>8669</v>
      </c>
      <c r="O109" s="440" t="s">
        <v>8675</v>
      </c>
      <c r="P109" s="433" t="s">
        <v>2234</v>
      </c>
      <c r="Q109" s="433" t="s">
        <v>4</v>
      </c>
      <c r="R109" s="433"/>
      <c r="S109" s="433" t="s">
        <v>2740</v>
      </c>
    </row>
    <row r="110" spans="1:19" ht="22" customHeight="1">
      <c r="A110" s="433" t="s">
        <v>5651</v>
      </c>
      <c r="B110" s="433" t="s">
        <v>5785</v>
      </c>
      <c r="C110" s="433"/>
      <c r="D110" s="434" t="s">
        <v>6112</v>
      </c>
      <c r="E110" s="434" t="s">
        <v>7046</v>
      </c>
      <c r="F110" s="434" t="s">
        <v>7047</v>
      </c>
      <c r="G110" s="435">
        <v>1.5</v>
      </c>
      <c r="H110" s="434" t="s">
        <v>2740</v>
      </c>
      <c r="I110" s="434" t="s">
        <v>7289</v>
      </c>
      <c r="J110" s="439" t="s">
        <v>8278</v>
      </c>
      <c r="K110" s="440" t="s">
        <v>8303</v>
      </c>
      <c r="L110" s="449" t="s">
        <v>8682</v>
      </c>
      <c r="M110" s="424" t="s">
        <v>8624</v>
      </c>
      <c r="N110" s="440" t="s">
        <v>8669</v>
      </c>
      <c r="O110" s="440" t="s">
        <v>8675</v>
      </c>
      <c r="P110" s="433" t="s">
        <v>2234</v>
      </c>
      <c r="Q110" s="433" t="s">
        <v>4</v>
      </c>
      <c r="R110" s="433"/>
      <c r="S110" s="433" t="s">
        <v>2740</v>
      </c>
    </row>
    <row r="111" spans="1:19" ht="22" hidden="1" customHeight="1">
      <c r="A111" s="433" t="s">
        <v>5652</v>
      </c>
      <c r="B111" s="433" t="s">
        <v>5785</v>
      </c>
      <c r="C111" s="433"/>
      <c r="D111" s="434" t="s">
        <v>6113</v>
      </c>
      <c r="E111" s="434" t="s">
        <v>7048</v>
      </c>
      <c r="F111" s="434" t="s">
        <v>7049</v>
      </c>
      <c r="G111" s="435">
        <v>2</v>
      </c>
      <c r="H111" s="434" t="s">
        <v>2740</v>
      </c>
      <c r="I111" s="434" t="s">
        <v>7289</v>
      </c>
      <c r="J111" s="439" t="s">
        <v>8278</v>
      </c>
      <c r="K111" s="440" t="s">
        <v>8303</v>
      </c>
      <c r="L111" s="449" t="s">
        <v>8367</v>
      </c>
      <c r="M111" s="424" t="s">
        <v>8620</v>
      </c>
      <c r="N111" s="440" t="s">
        <v>8669</v>
      </c>
      <c r="O111" s="440" t="s">
        <v>8677</v>
      </c>
      <c r="P111" s="433" t="s">
        <v>2234</v>
      </c>
      <c r="Q111" s="433" t="s">
        <v>4</v>
      </c>
      <c r="R111" s="433"/>
      <c r="S111" s="433" t="s">
        <v>2740</v>
      </c>
    </row>
    <row r="112" spans="1:19" ht="22" hidden="1" customHeight="1">
      <c r="A112" s="433" t="s">
        <v>5653</v>
      </c>
      <c r="B112" s="433" t="s">
        <v>5785</v>
      </c>
      <c r="C112" s="433"/>
      <c r="D112" s="434" t="s">
        <v>6114</v>
      </c>
      <c r="E112" s="434" t="s">
        <v>7050</v>
      </c>
      <c r="F112" s="434" t="s">
        <v>7051</v>
      </c>
      <c r="G112" s="435">
        <v>2</v>
      </c>
      <c r="H112" s="434" t="s">
        <v>2740</v>
      </c>
      <c r="I112" s="434" t="s">
        <v>7289</v>
      </c>
      <c r="J112" s="439" t="s">
        <v>8278</v>
      </c>
      <c r="K112" s="440" t="s">
        <v>8303</v>
      </c>
      <c r="L112" s="449" t="s">
        <v>8367</v>
      </c>
      <c r="M112" s="424" t="s">
        <v>8620</v>
      </c>
      <c r="N112" s="440" t="s">
        <v>8669</v>
      </c>
      <c r="O112" s="440" t="s">
        <v>8677</v>
      </c>
      <c r="P112" s="433" t="s">
        <v>2234</v>
      </c>
      <c r="Q112" s="433" t="s">
        <v>4</v>
      </c>
      <c r="R112" s="433"/>
      <c r="S112" s="433" t="s">
        <v>2740</v>
      </c>
    </row>
    <row r="113" spans="1:19" ht="22" hidden="1" customHeight="1">
      <c r="A113" s="433" t="s">
        <v>5654</v>
      </c>
      <c r="B113" s="433" t="s">
        <v>5785</v>
      </c>
      <c r="C113" s="433"/>
      <c r="D113" s="434" t="s">
        <v>6115</v>
      </c>
      <c r="E113" s="434" t="s">
        <v>7052</v>
      </c>
      <c r="F113" s="434" t="s">
        <v>7053</v>
      </c>
      <c r="G113" s="435">
        <v>2</v>
      </c>
      <c r="H113" s="434" t="s">
        <v>2740</v>
      </c>
      <c r="I113" s="434" t="s">
        <v>7289</v>
      </c>
      <c r="J113" s="439" t="s">
        <v>8278</v>
      </c>
      <c r="K113" s="440" t="s">
        <v>8303</v>
      </c>
      <c r="L113" s="449" t="s">
        <v>8367</v>
      </c>
      <c r="M113" s="424" t="s">
        <v>8620</v>
      </c>
      <c r="N113" s="440" t="s">
        <v>8669</v>
      </c>
      <c r="O113" s="440" t="s">
        <v>8677</v>
      </c>
      <c r="P113" s="433" t="s">
        <v>2234</v>
      </c>
      <c r="Q113" s="433" t="s">
        <v>4</v>
      </c>
      <c r="R113" s="433"/>
      <c r="S113" s="433" t="s">
        <v>2740</v>
      </c>
    </row>
    <row r="114" spans="1:19" ht="22" hidden="1" customHeight="1">
      <c r="A114" s="433" t="s">
        <v>5655</v>
      </c>
      <c r="B114" s="433" t="s">
        <v>5785</v>
      </c>
      <c r="C114" s="433"/>
      <c r="D114" s="434" t="s">
        <v>6116</v>
      </c>
      <c r="E114" s="434" t="s">
        <v>7054</v>
      </c>
      <c r="F114" s="434" t="s">
        <v>7055</v>
      </c>
      <c r="G114" s="435">
        <v>2</v>
      </c>
      <c r="H114" s="434" t="s">
        <v>2234</v>
      </c>
      <c r="I114" s="434" t="s">
        <v>7373</v>
      </c>
      <c r="J114" s="439" t="s">
        <v>8278</v>
      </c>
      <c r="K114" s="440" t="s">
        <v>8298</v>
      </c>
      <c r="L114" s="449" t="s">
        <v>8312</v>
      </c>
      <c r="M114" s="424" t="s">
        <v>8620</v>
      </c>
      <c r="N114" s="440" t="s">
        <v>8669</v>
      </c>
      <c r="O114" s="440" t="s">
        <v>8677</v>
      </c>
      <c r="P114" s="433" t="s">
        <v>2234</v>
      </c>
      <c r="Q114" s="433" t="s">
        <v>4</v>
      </c>
      <c r="R114" s="433"/>
      <c r="S114" s="433" t="s">
        <v>6715</v>
      </c>
    </row>
    <row r="115" spans="1:19" ht="22" hidden="1" customHeight="1">
      <c r="A115" s="433" t="s">
        <v>5656</v>
      </c>
      <c r="B115" s="433" t="s">
        <v>5785</v>
      </c>
      <c r="C115" s="433"/>
      <c r="D115" s="434" t="s">
        <v>6117</v>
      </c>
      <c r="E115" s="434" t="s">
        <v>7056</v>
      </c>
      <c r="F115" s="434" t="s">
        <v>7057</v>
      </c>
      <c r="G115" s="435">
        <v>2</v>
      </c>
      <c r="H115" s="434" t="s">
        <v>2740</v>
      </c>
      <c r="I115" s="434" t="s">
        <v>7289</v>
      </c>
      <c r="J115" s="439" t="s">
        <v>8278</v>
      </c>
      <c r="K115" s="440" t="s">
        <v>8303</v>
      </c>
      <c r="L115" s="449" t="s">
        <v>8692</v>
      </c>
      <c r="M115" s="424" t="s">
        <v>8620</v>
      </c>
      <c r="N115" s="440" t="s">
        <v>8669</v>
      </c>
      <c r="O115" s="440" t="s">
        <v>8678</v>
      </c>
      <c r="P115" s="433" t="s">
        <v>2234</v>
      </c>
      <c r="Q115" s="433" t="s">
        <v>4</v>
      </c>
      <c r="R115" s="433"/>
      <c r="S115" s="433" t="s">
        <v>2740</v>
      </c>
    </row>
    <row r="116" spans="1:19" ht="22" customHeight="1">
      <c r="A116" s="433" t="s">
        <v>5657</v>
      </c>
      <c r="B116" s="433" t="s">
        <v>5785</v>
      </c>
      <c r="C116" s="433"/>
      <c r="D116" s="434" t="s">
        <v>6118</v>
      </c>
      <c r="E116" s="434" t="s">
        <v>7058</v>
      </c>
      <c r="F116" s="434" t="s">
        <v>7059</v>
      </c>
      <c r="G116" s="435">
        <v>1.5</v>
      </c>
      <c r="H116" s="434" t="s">
        <v>2740</v>
      </c>
      <c r="I116" s="434" t="s">
        <v>7289</v>
      </c>
      <c r="J116" s="439" t="s">
        <v>8278</v>
      </c>
      <c r="K116" s="440" t="s">
        <v>8303</v>
      </c>
      <c r="L116" s="449" t="s">
        <v>8367</v>
      </c>
      <c r="M116" s="424" t="s">
        <v>8620</v>
      </c>
      <c r="N116" s="440" t="s">
        <v>8669</v>
      </c>
      <c r="O116" s="440" t="s">
        <v>8675</v>
      </c>
      <c r="P116" s="433" t="s">
        <v>2234</v>
      </c>
      <c r="Q116" s="433" t="s">
        <v>4</v>
      </c>
      <c r="R116" s="433"/>
      <c r="S116" s="433" t="s">
        <v>2740</v>
      </c>
    </row>
    <row r="117" spans="1:19" ht="22" hidden="1" customHeight="1">
      <c r="A117" s="433" t="s">
        <v>5658</v>
      </c>
      <c r="B117" s="433" t="s">
        <v>5785</v>
      </c>
      <c r="C117" s="433"/>
      <c r="D117" s="434" t="s">
        <v>6119</v>
      </c>
      <c r="E117" s="434" t="s">
        <v>7060</v>
      </c>
      <c r="F117" s="434" t="s">
        <v>7061</v>
      </c>
      <c r="G117" s="435">
        <v>1.5</v>
      </c>
      <c r="H117" s="434" t="s">
        <v>2740</v>
      </c>
      <c r="I117" s="434" t="s">
        <v>7289</v>
      </c>
      <c r="J117" s="439" t="s">
        <v>8278</v>
      </c>
      <c r="K117" s="440" t="s">
        <v>8303</v>
      </c>
      <c r="L117" s="449" t="s">
        <v>8367</v>
      </c>
      <c r="M117" s="424" t="s">
        <v>8620</v>
      </c>
      <c r="N117" s="440" t="s">
        <v>8669</v>
      </c>
      <c r="O117" s="440" t="s">
        <v>8677</v>
      </c>
      <c r="P117" s="433" t="s">
        <v>2234</v>
      </c>
      <c r="Q117" s="433" t="s">
        <v>4</v>
      </c>
      <c r="R117" s="433"/>
      <c r="S117" s="433" t="s">
        <v>2740</v>
      </c>
    </row>
    <row r="118" spans="1:19" ht="22" hidden="1" customHeight="1">
      <c r="A118" s="433" t="s">
        <v>5659</v>
      </c>
      <c r="B118" s="433" t="s">
        <v>5785</v>
      </c>
      <c r="C118" s="433"/>
      <c r="D118" s="434" t="s">
        <v>6120</v>
      </c>
      <c r="E118" s="434" t="s">
        <v>7062</v>
      </c>
      <c r="F118" s="434" t="s">
        <v>7063</v>
      </c>
      <c r="G118" s="435">
        <v>2</v>
      </c>
      <c r="H118" s="434" t="s">
        <v>7815</v>
      </c>
      <c r="I118" s="434" t="s">
        <v>7305</v>
      </c>
      <c r="J118" s="439" t="s">
        <v>8276</v>
      </c>
      <c r="K118" s="440" t="s">
        <v>8292</v>
      </c>
      <c r="L118" s="449" t="s">
        <v>8693</v>
      </c>
      <c r="M118" s="424" t="s">
        <v>8620</v>
      </c>
      <c r="N118" s="440" t="s">
        <v>8666</v>
      </c>
      <c r="O118" s="440" t="s">
        <v>8678</v>
      </c>
      <c r="P118" s="433" t="s">
        <v>2234</v>
      </c>
      <c r="Q118" s="433" t="s">
        <v>4</v>
      </c>
      <c r="R118" s="433"/>
      <c r="S118" s="433" t="s">
        <v>6273</v>
      </c>
    </row>
    <row r="119" spans="1:19" ht="22" hidden="1" customHeight="1">
      <c r="A119" s="433" t="s">
        <v>5660</v>
      </c>
      <c r="B119" s="433" t="s">
        <v>5785</v>
      </c>
      <c r="C119" s="433"/>
      <c r="D119" s="434" t="s">
        <v>6121</v>
      </c>
      <c r="E119" s="434" t="s">
        <v>7064</v>
      </c>
      <c r="F119" s="434" t="s">
        <v>7065</v>
      </c>
      <c r="G119" s="435">
        <v>2</v>
      </c>
      <c r="H119" s="434" t="s">
        <v>7829</v>
      </c>
      <c r="I119" s="434" t="s">
        <v>7336</v>
      </c>
      <c r="J119" s="439" t="s">
        <v>8274</v>
      </c>
      <c r="K119" s="440" t="s">
        <v>8297</v>
      </c>
      <c r="L119" s="449" t="s">
        <v>8694</v>
      </c>
      <c r="M119" s="424" t="s">
        <v>8620</v>
      </c>
      <c r="N119" s="440" t="s">
        <v>8670</v>
      </c>
      <c r="O119" s="440" t="s">
        <v>8678</v>
      </c>
      <c r="P119" s="433" t="s">
        <v>2234</v>
      </c>
      <c r="Q119" s="433" t="s">
        <v>4</v>
      </c>
      <c r="R119" s="433"/>
      <c r="S119" s="433" t="s">
        <v>6375</v>
      </c>
    </row>
    <row r="120" spans="1:19" ht="22" hidden="1" customHeight="1">
      <c r="A120" s="433" t="s">
        <v>5661</v>
      </c>
      <c r="B120" s="433" t="s">
        <v>5785</v>
      </c>
      <c r="C120" s="433"/>
      <c r="D120" s="434" t="s">
        <v>6122</v>
      </c>
      <c r="E120" s="434" t="s">
        <v>7066</v>
      </c>
      <c r="F120" s="434" t="s">
        <v>7067</v>
      </c>
      <c r="G120" s="435">
        <v>1.5</v>
      </c>
      <c r="H120" s="434" t="s">
        <v>2740</v>
      </c>
      <c r="I120" s="434" t="s">
        <v>7289</v>
      </c>
      <c r="J120" s="439" t="s">
        <v>8278</v>
      </c>
      <c r="K120" s="440" t="s">
        <v>8303</v>
      </c>
      <c r="L120" s="449" t="s">
        <v>8367</v>
      </c>
      <c r="M120" s="424" t="s">
        <v>8620</v>
      </c>
      <c r="N120" s="440" t="s">
        <v>8669</v>
      </c>
      <c r="O120" s="440" t="s">
        <v>8677</v>
      </c>
      <c r="P120" s="433" t="s">
        <v>2234</v>
      </c>
      <c r="Q120" s="433" t="s">
        <v>4</v>
      </c>
      <c r="R120" s="433"/>
      <c r="S120" s="433" t="s">
        <v>2740</v>
      </c>
    </row>
    <row r="121" spans="1:19" ht="22" customHeight="1">
      <c r="A121" s="433" t="s">
        <v>5662</v>
      </c>
      <c r="B121" s="433" t="s">
        <v>5785</v>
      </c>
      <c r="C121" s="433"/>
      <c r="D121" s="434" t="s">
        <v>6123</v>
      </c>
      <c r="E121" s="434" t="s">
        <v>7068</v>
      </c>
      <c r="F121" s="434" t="s">
        <v>7069</v>
      </c>
      <c r="G121" s="435">
        <v>2</v>
      </c>
      <c r="H121" s="434" t="s">
        <v>2740</v>
      </c>
      <c r="I121" s="434" t="s">
        <v>7289</v>
      </c>
      <c r="J121" s="439" t="s">
        <v>8278</v>
      </c>
      <c r="K121" s="440" t="s">
        <v>8303</v>
      </c>
      <c r="L121" s="449" t="s">
        <v>8367</v>
      </c>
      <c r="M121" s="424" t="s">
        <v>8620</v>
      </c>
      <c r="N121" s="440" t="s">
        <v>8669</v>
      </c>
      <c r="O121" s="440" t="s">
        <v>8675</v>
      </c>
      <c r="P121" s="433" t="s">
        <v>2234</v>
      </c>
      <c r="Q121" s="433" t="s">
        <v>4</v>
      </c>
      <c r="R121" s="433"/>
      <c r="S121" s="433" t="s">
        <v>2740</v>
      </c>
    </row>
    <row r="122" spans="1:19" ht="22" customHeight="1">
      <c r="A122" s="433" t="s">
        <v>5663</v>
      </c>
      <c r="B122" s="433" t="s">
        <v>5785</v>
      </c>
      <c r="C122" s="433"/>
      <c r="D122" s="434" t="s">
        <v>7780</v>
      </c>
      <c r="E122" s="434" t="s">
        <v>7070</v>
      </c>
      <c r="F122" s="434" t="s">
        <v>7071</v>
      </c>
      <c r="G122" s="435">
        <v>2</v>
      </c>
      <c r="H122" s="434" t="s">
        <v>2740</v>
      </c>
      <c r="I122" s="434" t="s">
        <v>7289</v>
      </c>
      <c r="J122" s="439" t="s">
        <v>8278</v>
      </c>
      <c r="K122" s="440" t="s">
        <v>8303</v>
      </c>
      <c r="L122" s="449" t="s">
        <v>8367</v>
      </c>
      <c r="M122" s="424" t="s">
        <v>8620</v>
      </c>
      <c r="N122" s="440" t="s">
        <v>8667</v>
      </c>
      <c r="O122" s="440" t="s">
        <v>8675</v>
      </c>
      <c r="P122" s="433" t="s">
        <v>2234</v>
      </c>
      <c r="Q122" s="433" t="s">
        <v>4</v>
      </c>
      <c r="R122" s="433"/>
      <c r="S122" s="433" t="s">
        <v>2740</v>
      </c>
    </row>
    <row r="123" spans="1:19" ht="22" hidden="1" customHeight="1">
      <c r="A123" s="433" t="s">
        <v>5664</v>
      </c>
      <c r="B123" s="433" t="s">
        <v>5785</v>
      </c>
      <c r="C123" s="433"/>
      <c r="D123" s="434" t="s">
        <v>6124</v>
      </c>
      <c r="E123" s="434" t="s">
        <v>7072</v>
      </c>
      <c r="F123" s="434" t="s">
        <v>7073</v>
      </c>
      <c r="G123" s="435">
        <v>1</v>
      </c>
      <c r="H123" s="434" t="s">
        <v>2740</v>
      </c>
      <c r="I123" s="434" t="s">
        <v>7289</v>
      </c>
      <c r="J123" s="439" t="s">
        <v>8278</v>
      </c>
      <c r="K123" s="440" t="s">
        <v>8303</v>
      </c>
      <c r="L123" s="449" t="s">
        <v>8367</v>
      </c>
      <c r="M123" s="424" t="s">
        <v>8620</v>
      </c>
      <c r="N123" s="440" t="s">
        <v>8669</v>
      </c>
      <c r="O123" s="440" t="s">
        <v>8677</v>
      </c>
      <c r="P123" s="433" t="s">
        <v>2234</v>
      </c>
      <c r="Q123" s="433" t="s">
        <v>4</v>
      </c>
      <c r="R123" s="433"/>
      <c r="S123" s="433" t="s">
        <v>2740</v>
      </c>
    </row>
    <row r="124" spans="1:19" ht="22" hidden="1" customHeight="1">
      <c r="A124" s="433" t="s">
        <v>5665</v>
      </c>
      <c r="B124" s="433" t="s">
        <v>5785</v>
      </c>
      <c r="C124" s="433"/>
      <c r="D124" s="434" t="s">
        <v>6125</v>
      </c>
      <c r="E124" s="434" t="s">
        <v>7074</v>
      </c>
      <c r="F124" s="434" t="s">
        <v>7075</v>
      </c>
      <c r="G124" s="435">
        <v>1</v>
      </c>
      <c r="H124" s="434" t="s">
        <v>2740</v>
      </c>
      <c r="I124" s="434" t="s">
        <v>7289</v>
      </c>
      <c r="J124" s="439" t="s">
        <v>8278</v>
      </c>
      <c r="K124" s="440" t="s">
        <v>8303</v>
      </c>
      <c r="L124" s="449" t="s">
        <v>8367</v>
      </c>
      <c r="M124" s="424" t="s">
        <v>8620</v>
      </c>
      <c r="N124" s="440" t="s">
        <v>8669</v>
      </c>
      <c r="O124" s="440" t="s">
        <v>8677</v>
      </c>
      <c r="P124" s="433" t="s">
        <v>2234</v>
      </c>
      <c r="Q124" s="433" t="s">
        <v>4</v>
      </c>
      <c r="R124" s="433"/>
      <c r="S124" s="433" t="s">
        <v>2740</v>
      </c>
    </row>
    <row r="125" spans="1:19" ht="22" hidden="1" customHeight="1">
      <c r="A125" s="433" t="s">
        <v>5666</v>
      </c>
      <c r="B125" s="433" t="s">
        <v>5785</v>
      </c>
      <c r="C125" s="433"/>
      <c r="D125" s="434" t="s">
        <v>6126</v>
      </c>
      <c r="E125" s="434" t="s">
        <v>7076</v>
      </c>
      <c r="F125" s="434" t="s">
        <v>7077</v>
      </c>
      <c r="G125" s="435">
        <v>3</v>
      </c>
      <c r="H125" s="434" t="s">
        <v>2740</v>
      </c>
      <c r="I125" s="434" t="s">
        <v>7289</v>
      </c>
      <c r="J125" s="439" t="s">
        <v>8278</v>
      </c>
      <c r="K125" s="440" t="s">
        <v>8303</v>
      </c>
      <c r="L125" s="449" t="s">
        <v>8695</v>
      </c>
      <c r="M125" s="424" t="s">
        <v>8623</v>
      </c>
      <c r="N125" s="440" t="s">
        <v>8666</v>
      </c>
      <c r="O125" s="440" t="s">
        <v>8678</v>
      </c>
      <c r="P125" s="433" t="s">
        <v>2234</v>
      </c>
      <c r="Q125" s="433" t="s">
        <v>4</v>
      </c>
      <c r="R125" s="433"/>
      <c r="S125" s="433" t="s">
        <v>2740</v>
      </c>
    </row>
    <row r="126" spans="1:19" ht="22" hidden="1" customHeight="1">
      <c r="A126" s="433" t="s">
        <v>5667</v>
      </c>
      <c r="B126" s="433" t="s">
        <v>5785</v>
      </c>
      <c r="C126" s="433"/>
      <c r="D126" s="434" t="s">
        <v>6127</v>
      </c>
      <c r="E126" s="434" t="s">
        <v>7078</v>
      </c>
      <c r="F126" s="434" t="s">
        <v>7079</v>
      </c>
      <c r="G126" s="435">
        <v>4</v>
      </c>
      <c r="H126" s="434" t="s">
        <v>2740</v>
      </c>
      <c r="I126" s="434" t="s">
        <v>7289</v>
      </c>
      <c r="J126" s="439" t="s">
        <v>8278</v>
      </c>
      <c r="K126" s="440" t="s">
        <v>8303</v>
      </c>
      <c r="L126" s="449" t="s">
        <v>8696</v>
      </c>
      <c r="M126" s="424" t="s">
        <v>8623</v>
      </c>
      <c r="N126" s="440" t="s">
        <v>8666</v>
      </c>
      <c r="O126" s="440" t="s">
        <v>8678</v>
      </c>
      <c r="P126" s="433" t="s">
        <v>2234</v>
      </c>
      <c r="Q126" s="433" t="s">
        <v>4</v>
      </c>
      <c r="R126" s="433"/>
      <c r="S126" s="433" t="s">
        <v>2740</v>
      </c>
    </row>
    <row r="127" spans="1:19" ht="22" customHeight="1">
      <c r="A127" s="433" t="s">
        <v>5668</v>
      </c>
      <c r="B127" s="433" t="s">
        <v>5785</v>
      </c>
      <c r="C127" s="433"/>
      <c r="D127" s="434" t="s">
        <v>6128</v>
      </c>
      <c r="E127" s="434" t="s">
        <v>7080</v>
      </c>
      <c r="F127" s="434" t="s">
        <v>7081</v>
      </c>
      <c r="G127" s="435">
        <v>4</v>
      </c>
      <c r="H127" s="434" t="s">
        <v>2740</v>
      </c>
      <c r="I127" s="434" t="s">
        <v>7289</v>
      </c>
      <c r="J127" s="439" t="s">
        <v>8278</v>
      </c>
      <c r="K127" s="440" t="s">
        <v>8303</v>
      </c>
      <c r="L127" s="449" t="s">
        <v>8367</v>
      </c>
      <c r="M127" s="424" t="s">
        <v>8623</v>
      </c>
      <c r="N127" s="440" t="s">
        <v>8666</v>
      </c>
      <c r="O127" s="440" t="s">
        <v>8675</v>
      </c>
      <c r="P127" s="433" t="s">
        <v>2234</v>
      </c>
      <c r="Q127" s="433" t="s">
        <v>4</v>
      </c>
      <c r="R127" s="433"/>
      <c r="S127" s="433" t="s">
        <v>2740</v>
      </c>
    </row>
    <row r="128" spans="1:19" ht="22" hidden="1" customHeight="1">
      <c r="A128" s="433" t="s">
        <v>5669</v>
      </c>
      <c r="B128" s="433" t="s">
        <v>5785</v>
      </c>
      <c r="C128" s="433"/>
      <c r="D128" s="434" t="s">
        <v>6129</v>
      </c>
      <c r="E128" s="434" t="s">
        <v>7082</v>
      </c>
      <c r="F128" s="434" t="s">
        <v>7083</v>
      </c>
      <c r="G128" s="435">
        <v>1.5</v>
      </c>
      <c r="H128" s="434" t="s">
        <v>2740</v>
      </c>
      <c r="I128" s="434" t="s">
        <v>7289</v>
      </c>
      <c r="J128" s="439" t="s">
        <v>8278</v>
      </c>
      <c r="K128" s="440" t="s">
        <v>8303</v>
      </c>
      <c r="L128" s="449" t="s">
        <v>8367</v>
      </c>
      <c r="M128" s="424" t="s">
        <v>8620</v>
      </c>
      <c r="N128" s="440" t="s">
        <v>8669</v>
      </c>
      <c r="O128" s="440" t="s">
        <v>8677</v>
      </c>
      <c r="P128" s="433" t="s">
        <v>2234</v>
      </c>
      <c r="Q128" s="433" t="s">
        <v>4</v>
      </c>
      <c r="R128" s="433"/>
      <c r="S128" s="433" t="s">
        <v>2740</v>
      </c>
    </row>
    <row r="129" spans="1:19" ht="22" customHeight="1">
      <c r="A129" s="433" t="s">
        <v>5670</v>
      </c>
      <c r="B129" s="433" t="s">
        <v>5785</v>
      </c>
      <c r="C129" s="433"/>
      <c r="D129" s="434" t="s">
        <v>6130</v>
      </c>
      <c r="E129" s="434" t="s">
        <v>7084</v>
      </c>
      <c r="F129" s="434" t="s">
        <v>7085</v>
      </c>
      <c r="G129" s="435">
        <v>5</v>
      </c>
      <c r="H129" s="434" t="s">
        <v>2740</v>
      </c>
      <c r="I129" s="434" t="s">
        <v>7289</v>
      </c>
      <c r="J129" s="439" t="s">
        <v>8278</v>
      </c>
      <c r="K129" s="440" t="s">
        <v>8303</v>
      </c>
      <c r="L129" s="449" t="s">
        <v>8367</v>
      </c>
      <c r="M129" s="424" t="s">
        <v>8620</v>
      </c>
      <c r="N129" s="440" t="s">
        <v>8669</v>
      </c>
      <c r="O129" s="440" t="s">
        <v>8675</v>
      </c>
      <c r="P129" s="433" t="s">
        <v>2234</v>
      </c>
      <c r="Q129" s="433" t="s">
        <v>4</v>
      </c>
      <c r="R129" s="433"/>
      <c r="S129" s="433" t="s">
        <v>2740</v>
      </c>
    </row>
    <row r="130" spans="1:19" ht="22" customHeight="1">
      <c r="A130" s="433" t="s">
        <v>5671</v>
      </c>
      <c r="B130" s="433" t="s">
        <v>5785</v>
      </c>
      <c r="C130" s="433"/>
      <c r="D130" s="434" t="s">
        <v>6131</v>
      </c>
      <c r="E130" s="434" t="s">
        <v>7086</v>
      </c>
      <c r="F130" s="434" t="s">
        <v>7087</v>
      </c>
      <c r="G130" s="435">
        <v>2</v>
      </c>
      <c r="H130" s="434" t="s">
        <v>2740</v>
      </c>
      <c r="I130" s="434" t="s">
        <v>7289</v>
      </c>
      <c r="J130" s="439" t="s">
        <v>8278</v>
      </c>
      <c r="K130" s="440" t="s">
        <v>8303</v>
      </c>
      <c r="L130" s="449" t="s">
        <v>8367</v>
      </c>
      <c r="M130" s="424" t="s">
        <v>8620</v>
      </c>
      <c r="N130" s="440" t="s">
        <v>8669</v>
      </c>
      <c r="O130" s="440" t="s">
        <v>8675</v>
      </c>
      <c r="P130" s="433" t="s">
        <v>2234</v>
      </c>
      <c r="Q130" s="433" t="s">
        <v>4</v>
      </c>
      <c r="R130" s="433"/>
      <c r="S130" s="433" t="s">
        <v>2740</v>
      </c>
    </row>
    <row r="131" spans="1:19" ht="22" customHeight="1">
      <c r="A131" s="433" t="s">
        <v>5672</v>
      </c>
      <c r="B131" s="433" t="s">
        <v>5785</v>
      </c>
      <c r="C131" s="433"/>
      <c r="D131" s="434" t="s">
        <v>7781</v>
      </c>
      <c r="E131" s="434" t="s">
        <v>7088</v>
      </c>
      <c r="F131" s="434" t="s">
        <v>7089</v>
      </c>
      <c r="G131" s="435">
        <v>3</v>
      </c>
      <c r="H131" s="434" t="s">
        <v>7861</v>
      </c>
      <c r="I131" s="434" t="s">
        <v>7369</v>
      </c>
      <c r="J131" s="439" t="s">
        <v>8276</v>
      </c>
      <c r="K131" s="440" t="s">
        <v>8295</v>
      </c>
      <c r="L131" s="449" t="s">
        <v>8345</v>
      </c>
      <c r="M131" s="424" t="s">
        <v>8620</v>
      </c>
      <c r="N131" s="440" t="s">
        <v>8668</v>
      </c>
      <c r="O131" s="440" t="s">
        <v>8675</v>
      </c>
      <c r="P131" s="433" t="s">
        <v>2234</v>
      </c>
      <c r="Q131" s="433" t="s">
        <v>4</v>
      </c>
      <c r="R131" s="433"/>
      <c r="S131" s="433" t="s">
        <v>6509</v>
      </c>
    </row>
    <row r="132" spans="1:19" ht="22" customHeight="1">
      <c r="A132" s="433" t="s">
        <v>5673</v>
      </c>
      <c r="B132" s="433" t="s">
        <v>5785</v>
      </c>
      <c r="C132" s="433"/>
      <c r="D132" s="434" t="s">
        <v>7782</v>
      </c>
      <c r="E132" s="434" t="s">
        <v>7090</v>
      </c>
      <c r="F132" s="434" t="s">
        <v>7091</v>
      </c>
      <c r="G132" s="435">
        <v>2</v>
      </c>
      <c r="H132" s="434" t="s">
        <v>7840</v>
      </c>
      <c r="I132" s="434" t="s">
        <v>7352</v>
      </c>
      <c r="J132" s="439" t="s">
        <v>8276</v>
      </c>
      <c r="K132" s="440" t="s">
        <v>8294</v>
      </c>
      <c r="L132" s="449" t="s">
        <v>8322</v>
      </c>
      <c r="M132" s="424" t="s">
        <v>8620</v>
      </c>
      <c r="N132" s="440" t="s">
        <v>8670</v>
      </c>
      <c r="O132" s="440" t="s">
        <v>8675</v>
      </c>
      <c r="P132" s="433" t="s">
        <v>2234</v>
      </c>
      <c r="Q132" s="433" t="s">
        <v>4</v>
      </c>
      <c r="R132" s="433"/>
      <c r="S132" s="433" t="s">
        <v>6438</v>
      </c>
    </row>
    <row r="133" spans="1:19" ht="22" hidden="1" customHeight="1">
      <c r="A133" s="433" t="s">
        <v>5674</v>
      </c>
      <c r="B133" s="433" t="s">
        <v>5397</v>
      </c>
      <c r="C133" s="433"/>
      <c r="D133" s="434" t="s">
        <v>8443</v>
      </c>
      <c r="E133" s="434" t="s">
        <v>8444</v>
      </c>
      <c r="F133" s="434" t="s">
        <v>8445</v>
      </c>
      <c r="G133" s="435">
        <v>2</v>
      </c>
      <c r="H133" s="434" t="s">
        <v>2740</v>
      </c>
      <c r="I133" s="434" t="s">
        <v>7289</v>
      </c>
      <c r="J133" s="439" t="s">
        <v>8276</v>
      </c>
      <c r="K133" s="440" t="s">
        <v>8303</v>
      </c>
      <c r="L133" s="449" t="s">
        <v>8309</v>
      </c>
      <c r="M133" s="424" t="s">
        <v>8620</v>
      </c>
      <c r="N133" s="440" t="s">
        <v>8669</v>
      </c>
      <c r="O133" s="440" t="s">
        <v>8677</v>
      </c>
      <c r="P133" s="433" t="s">
        <v>2234</v>
      </c>
      <c r="Q133" s="433" t="s">
        <v>4</v>
      </c>
      <c r="R133" s="433"/>
      <c r="S133" s="433" t="s">
        <v>2740</v>
      </c>
    </row>
    <row r="134" spans="1:19" ht="22" hidden="1" customHeight="1">
      <c r="A134" s="433" t="s">
        <v>5675</v>
      </c>
      <c r="B134" s="433" t="s">
        <v>5397</v>
      </c>
      <c r="C134" s="433"/>
      <c r="D134" s="434" t="s">
        <v>8446</v>
      </c>
      <c r="E134" s="434" t="s">
        <v>8447</v>
      </c>
      <c r="F134" s="434" t="s">
        <v>8448</v>
      </c>
      <c r="G134" s="435">
        <v>2</v>
      </c>
      <c r="H134" s="434" t="s">
        <v>2740</v>
      </c>
      <c r="I134" s="434" t="s">
        <v>7289</v>
      </c>
      <c r="J134" s="439" t="s">
        <v>8276</v>
      </c>
      <c r="K134" s="440" t="s">
        <v>8303</v>
      </c>
      <c r="L134" s="449" t="s">
        <v>8309</v>
      </c>
      <c r="M134" s="424" t="s">
        <v>8620</v>
      </c>
      <c r="N134" s="440" t="s">
        <v>8669</v>
      </c>
      <c r="O134" s="440" t="s">
        <v>8677</v>
      </c>
      <c r="P134" s="433" t="s">
        <v>8449</v>
      </c>
      <c r="Q134" s="433" t="s">
        <v>4</v>
      </c>
      <c r="R134" s="433"/>
      <c r="S134" s="433" t="s">
        <v>2740</v>
      </c>
    </row>
    <row r="135" spans="1:19" ht="22" hidden="1" customHeight="1">
      <c r="A135" s="433" t="s">
        <v>5676</v>
      </c>
      <c r="B135" s="433" t="s">
        <v>5397</v>
      </c>
      <c r="C135" s="433"/>
      <c r="D135" s="434" t="s">
        <v>6132</v>
      </c>
      <c r="E135" s="434" t="s">
        <v>6735</v>
      </c>
      <c r="F135" s="434" t="s">
        <v>6736</v>
      </c>
      <c r="G135" s="435">
        <v>0</v>
      </c>
      <c r="H135" s="434" t="s">
        <v>2740</v>
      </c>
      <c r="I135" s="434" t="s">
        <v>7290</v>
      </c>
      <c r="J135" s="439" t="s">
        <v>8276</v>
      </c>
      <c r="K135" s="440" t="s">
        <v>8303</v>
      </c>
      <c r="L135" s="449" t="s">
        <v>8309</v>
      </c>
      <c r="M135" s="424" t="s">
        <v>8620</v>
      </c>
      <c r="N135" s="440" t="s">
        <v>8669</v>
      </c>
      <c r="O135" s="440" t="s">
        <v>8677</v>
      </c>
      <c r="P135" s="433" t="s">
        <v>2234</v>
      </c>
      <c r="Q135" s="433" t="s">
        <v>6532</v>
      </c>
      <c r="R135" s="433"/>
      <c r="S135" s="433" t="s">
        <v>2234</v>
      </c>
    </row>
    <row r="136" spans="1:19" ht="22" hidden="1" customHeight="1">
      <c r="A136" s="433" t="s">
        <v>5677</v>
      </c>
      <c r="B136" s="433" t="s">
        <v>5397</v>
      </c>
      <c r="C136" s="433"/>
      <c r="D136" s="434" t="s">
        <v>6133</v>
      </c>
      <c r="E136" s="434" t="s">
        <v>6737</v>
      </c>
      <c r="F136" s="434" t="s">
        <v>6736</v>
      </c>
      <c r="G136" s="435">
        <v>0</v>
      </c>
      <c r="H136" s="434" t="s">
        <v>2740</v>
      </c>
      <c r="I136" s="434" t="s">
        <v>7290</v>
      </c>
      <c r="J136" s="439" t="s">
        <v>8276</v>
      </c>
      <c r="K136" s="440" t="s">
        <v>8303</v>
      </c>
      <c r="L136" s="449" t="s">
        <v>8309</v>
      </c>
      <c r="M136" s="424" t="s">
        <v>8620</v>
      </c>
      <c r="N136" s="440" t="s">
        <v>8669</v>
      </c>
      <c r="O136" s="440" t="s">
        <v>8677</v>
      </c>
      <c r="P136" s="433" t="s">
        <v>2234</v>
      </c>
      <c r="Q136" s="433" t="s">
        <v>6532</v>
      </c>
      <c r="R136" s="433"/>
      <c r="S136" s="433" t="s">
        <v>2234</v>
      </c>
    </row>
    <row r="137" spans="1:19" ht="22" hidden="1" customHeight="1">
      <c r="A137" s="433" t="s">
        <v>5678</v>
      </c>
      <c r="B137" s="433" t="s">
        <v>5397</v>
      </c>
      <c r="C137" s="433"/>
      <c r="D137" s="434" t="s">
        <v>6134</v>
      </c>
      <c r="E137" s="434" t="s">
        <v>6738</v>
      </c>
      <c r="F137" s="434" t="s">
        <v>6736</v>
      </c>
      <c r="G137" s="435">
        <v>0</v>
      </c>
      <c r="H137" s="434" t="s">
        <v>2740</v>
      </c>
      <c r="I137" s="434" t="s">
        <v>7290</v>
      </c>
      <c r="J137" s="439" t="s">
        <v>8276</v>
      </c>
      <c r="K137" s="440" t="s">
        <v>8303</v>
      </c>
      <c r="L137" s="449" t="s">
        <v>8309</v>
      </c>
      <c r="M137" s="424" t="s">
        <v>8620</v>
      </c>
      <c r="N137" s="440" t="s">
        <v>8669</v>
      </c>
      <c r="O137" s="440" t="s">
        <v>8677</v>
      </c>
      <c r="P137" s="433" t="s">
        <v>2234</v>
      </c>
      <c r="Q137" s="433" t="s">
        <v>6532</v>
      </c>
      <c r="R137" s="433"/>
      <c r="S137" s="433" t="s">
        <v>2234</v>
      </c>
    </row>
    <row r="138" spans="1:19" ht="22" hidden="1" customHeight="1">
      <c r="A138" s="433" t="s">
        <v>5679</v>
      </c>
      <c r="B138" s="433" t="s">
        <v>5397</v>
      </c>
      <c r="C138" s="433"/>
      <c r="D138" s="434" t="s">
        <v>6135</v>
      </c>
      <c r="E138" s="434" t="s">
        <v>6739</v>
      </c>
      <c r="F138" s="434" t="s">
        <v>6736</v>
      </c>
      <c r="G138" s="435">
        <v>0</v>
      </c>
      <c r="H138" s="434" t="s">
        <v>2740</v>
      </c>
      <c r="I138" s="434" t="s">
        <v>7290</v>
      </c>
      <c r="J138" s="439" t="s">
        <v>8276</v>
      </c>
      <c r="K138" s="440" t="s">
        <v>8303</v>
      </c>
      <c r="L138" s="449" t="s">
        <v>8309</v>
      </c>
      <c r="M138" s="424" t="s">
        <v>8620</v>
      </c>
      <c r="N138" s="440" t="s">
        <v>8669</v>
      </c>
      <c r="O138" s="440" t="s">
        <v>8677</v>
      </c>
      <c r="P138" s="433" t="s">
        <v>2234</v>
      </c>
      <c r="Q138" s="433" t="s">
        <v>6532</v>
      </c>
      <c r="R138" s="433"/>
      <c r="S138" s="433" t="s">
        <v>2234</v>
      </c>
    </row>
    <row r="139" spans="1:19" ht="22" hidden="1" customHeight="1">
      <c r="A139" s="433" t="s">
        <v>5680</v>
      </c>
      <c r="B139" s="433" t="s">
        <v>5397</v>
      </c>
      <c r="C139" s="433"/>
      <c r="D139" s="434" t="s">
        <v>6136</v>
      </c>
      <c r="E139" s="434" t="s">
        <v>6740</v>
      </c>
      <c r="F139" s="434" t="s">
        <v>6736</v>
      </c>
      <c r="G139" s="435">
        <v>0</v>
      </c>
      <c r="H139" s="434" t="s">
        <v>2740</v>
      </c>
      <c r="I139" s="434" t="s">
        <v>7290</v>
      </c>
      <c r="J139" s="439" t="s">
        <v>8276</v>
      </c>
      <c r="K139" s="440" t="s">
        <v>8303</v>
      </c>
      <c r="L139" s="449" t="s">
        <v>8309</v>
      </c>
      <c r="M139" s="424" t="s">
        <v>8620</v>
      </c>
      <c r="N139" s="440" t="s">
        <v>8669</v>
      </c>
      <c r="O139" s="440" t="s">
        <v>8677</v>
      </c>
      <c r="P139" s="433" t="s">
        <v>2234</v>
      </c>
      <c r="Q139" s="433" t="s">
        <v>6532</v>
      </c>
      <c r="R139" s="433"/>
      <c r="S139" s="433" t="s">
        <v>2234</v>
      </c>
    </row>
    <row r="140" spans="1:19" ht="22" hidden="1" customHeight="1">
      <c r="A140" s="433" t="s">
        <v>5681</v>
      </c>
      <c r="B140" s="433" t="s">
        <v>5397</v>
      </c>
      <c r="C140" s="433"/>
      <c r="D140" s="434" t="s">
        <v>6137</v>
      </c>
      <c r="E140" s="434" t="s">
        <v>6741</v>
      </c>
      <c r="F140" s="434" t="s">
        <v>6736</v>
      </c>
      <c r="G140" s="435">
        <v>0</v>
      </c>
      <c r="H140" s="434" t="s">
        <v>2740</v>
      </c>
      <c r="I140" s="434" t="s">
        <v>7290</v>
      </c>
      <c r="J140" s="439" t="s">
        <v>8276</v>
      </c>
      <c r="K140" s="440" t="s">
        <v>8303</v>
      </c>
      <c r="L140" s="449" t="s">
        <v>8309</v>
      </c>
      <c r="M140" s="424" t="s">
        <v>8620</v>
      </c>
      <c r="N140" s="440" t="s">
        <v>8669</v>
      </c>
      <c r="O140" s="440" t="s">
        <v>8677</v>
      </c>
      <c r="P140" s="433" t="s">
        <v>2234</v>
      </c>
      <c r="Q140" s="433" t="s">
        <v>6532</v>
      </c>
      <c r="R140" s="433"/>
      <c r="S140" s="433" t="s">
        <v>2234</v>
      </c>
    </row>
    <row r="141" spans="1:19" ht="22" hidden="1" customHeight="1">
      <c r="A141" s="433" t="s">
        <v>5682</v>
      </c>
      <c r="B141" s="433" t="s">
        <v>5397</v>
      </c>
      <c r="C141" s="433"/>
      <c r="D141" s="434" t="s">
        <v>6138</v>
      </c>
      <c r="E141" s="434" t="s">
        <v>6742</v>
      </c>
      <c r="F141" s="434" t="s">
        <v>6743</v>
      </c>
      <c r="G141" s="435">
        <v>4</v>
      </c>
      <c r="H141" s="434" t="s">
        <v>2740</v>
      </c>
      <c r="I141" s="434" t="s">
        <v>7291</v>
      </c>
      <c r="J141" s="439" t="s">
        <v>8276</v>
      </c>
      <c r="K141" s="440" t="s">
        <v>8303</v>
      </c>
      <c r="L141" s="449" t="s">
        <v>8309</v>
      </c>
      <c r="M141" s="424" t="s">
        <v>8620</v>
      </c>
      <c r="N141" s="440" t="s">
        <v>8669</v>
      </c>
      <c r="O141" s="440" t="s">
        <v>8677</v>
      </c>
      <c r="P141" s="433" t="s">
        <v>2234</v>
      </c>
      <c r="Q141" s="433" t="s">
        <v>4</v>
      </c>
      <c r="R141" s="433"/>
      <c r="S141" s="433" t="s">
        <v>2740</v>
      </c>
    </row>
    <row r="142" spans="1:19" ht="22" hidden="1" customHeight="1">
      <c r="A142" s="433" t="s">
        <v>5683</v>
      </c>
      <c r="B142" s="433" t="s">
        <v>5397</v>
      </c>
      <c r="C142" s="433"/>
      <c r="D142" s="434" t="s">
        <v>6139</v>
      </c>
      <c r="E142" s="434" t="s">
        <v>6744</v>
      </c>
      <c r="F142" s="434" t="s">
        <v>6745</v>
      </c>
      <c r="G142" s="435">
        <v>3.5</v>
      </c>
      <c r="H142" s="434" t="s">
        <v>2740</v>
      </c>
      <c r="I142" s="434" t="s">
        <v>7291</v>
      </c>
      <c r="J142" s="439" t="s">
        <v>8276</v>
      </c>
      <c r="K142" s="440" t="s">
        <v>8303</v>
      </c>
      <c r="L142" s="449" t="s">
        <v>8309</v>
      </c>
      <c r="M142" s="424" t="s">
        <v>8620</v>
      </c>
      <c r="N142" s="440" t="s">
        <v>8669</v>
      </c>
      <c r="O142" s="440" t="s">
        <v>8677</v>
      </c>
      <c r="P142" s="433" t="s">
        <v>2234</v>
      </c>
      <c r="Q142" s="433" t="s">
        <v>4</v>
      </c>
      <c r="R142" s="433"/>
      <c r="S142" s="433" t="s">
        <v>2740</v>
      </c>
    </row>
    <row r="143" spans="1:19" ht="22" hidden="1" customHeight="1">
      <c r="A143" s="433" t="s">
        <v>5684</v>
      </c>
      <c r="B143" s="433" t="s">
        <v>5397</v>
      </c>
      <c r="C143" s="433"/>
      <c r="D143" s="434" t="s">
        <v>6140</v>
      </c>
      <c r="E143" s="434" t="s">
        <v>6746</v>
      </c>
      <c r="F143" s="434" t="s">
        <v>6747</v>
      </c>
      <c r="G143" s="435">
        <v>2.5</v>
      </c>
      <c r="H143" s="434" t="s">
        <v>2740</v>
      </c>
      <c r="I143" s="434" t="s">
        <v>7291</v>
      </c>
      <c r="J143" s="439" t="s">
        <v>8276</v>
      </c>
      <c r="K143" s="440" t="s">
        <v>8303</v>
      </c>
      <c r="L143" s="449" t="s">
        <v>8309</v>
      </c>
      <c r="M143" s="424" t="s">
        <v>8620</v>
      </c>
      <c r="N143" s="440" t="s">
        <v>8669</v>
      </c>
      <c r="O143" s="440" t="s">
        <v>8677</v>
      </c>
      <c r="P143" s="433" t="s">
        <v>2234</v>
      </c>
      <c r="Q143" s="433" t="s">
        <v>4</v>
      </c>
      <c r="R143" s="433"/>
      <c r="S143" s="433" t="s">
        <v>2740</v>
      </c>
    </row>
    <row r="144" spans="1:19" ht="22" hidden="1" customHeight="1">
      <c r="A144" s="433" t="s">
        <v>5685</v>
      </c>
      <c r="B144" s="433" t="s">
        <v>5397</v>
      </c>
      <c r="C144" s="433"/>
      <c r="D144" s="434" t="s">
        <v>6141</v>
      </c>
      <c r="E144" s="434" t="s">
        <v>6748</v>
      </c>
      <c r="F144" s="434" t="s">
        <v>6749</v>
      </c>
      <c r="G144" s="435">
        <v>3</v>
      </c>
      <c r="H144" s="434" t="s">
        <v>7827</v>
      </c>
      <c r="I144" s="434" t="s">
        <v>7967</v>
      </c>
      <c r="J144" s="439" t="s">
        <v>8276</v>
      </c>
      <c r="K144" s="440" t="s">
        <v>8295</v>
      </c>
      <c r="L144" s="449" t="s">
        <v>8310</v>
      </c>
      <c r="M144" s="424" t="s">
        <v>8620</v>
      </c>
      <c r="N144" s="440" t="s">
        <v>8670</v>
      </c>
      <c r="O144" s="440" t="s">
        <v>8677</v>
      </c>
      <c r="P144" s="433" t="s">
        <v>2234</v>
      </c>
      <c r="Q144" s="433" t="s">
        <v>4</v>
      </c>
      <c r="R144" s="433"/>
      <c r="S144" s="433" t="s">
        <v>6717</v>
      </c>
    </row>
    <row r="145" spans="1:19" ht="22" hidden="1" customHeight="1">
      <c r="A145" s="433" t="s">
        <v>5686</v>
      </c>
      <c r="B145" s="433" t="s">
        <v>5397</v>
      </c>
      <c r="C145" s="433"/>
      <c r="D145" s="434" t="s">
        <v>6142</v>
      </c>
      <c r="E145" s="434" t="s">
        <v>6750</v>
      </c>
      <c r="F145" s="434" t="s">
        <v>6751</v>
      </c>
      <c r="G145" s="435">
        <v>3</v>
      </c>
      <c r="H145" s="434" t="s">
        <v>7845</v>
      </c>
      <c r="I145" s="434" t="s">
        <v>7292</v>
      </c>
      <c r="J145" s="439" t="s">
        <v>8276</v>
      </c>
      <c r="K145" s="440" t="s">
        <v>8295</v>
      </c>
      <c r="L145" s="449" t="s">
        <v>8311</v>
      </c>
      <c r="M145" s="424" t="s">
        <v>8620</v>
      </c>
      <c r="N145" s="440" t="s">
        <v>8670</v>
      </c>
      <c r="O145" s="440" t="s">
        <v>8677</v>
      </c>
      <c r="P145" s="433" t="s">
        <v>2234</v>
      </c>
      <c r="Q145" s="433" t="s">
        <v>4</v>
      </c>
      <c r="R145" s="433"/>
      <c r="S145" s="433" t="s">
        <v>6452</v>
      </c>
    </row>
    <row r="146" spans="1:19" ht="22" hidden="1" customHeight="1">
      <c r="A146" s="433" t="s">
        <v>5687</v>
      </c>
      <c r="B146" s="433" t="s">
        <v>5397</v>
      </c>
      <c r="C146" s="433"/>
      <c r="D146" s="434" t="s">
        <v>6143</v>
      </c>
      <c r="E146" s="434" t="s">
        <v>6752</v>
      </c>
      <c r="F146" s="434" t="s">
        <v>6753</v>
      </c>
      <c r="G146" s="435">
        <v>2</v>
      </c>
      <c r="H146" s="434" t="s">
        <v>7830</v>
      </c>
      <c r="I146" s="434" t="s">
        <v>7293</v>
      </c>
      <c r="J146" s="439" t="s">
        <v>8274</v>
      </c>
      <c r="K146" s="440" t="s">
        <v>8298</v>
      </c>
      <c r="L146" s="449" t="s">
        <v>8452</v>
      </c>
      <c r="M146" s="424" t="s">
        <v>8620</v>
      </c>
      <c r="N146" s="440" t="s">
        <v>8669</v>
      </c>
      <c r="O146" s="440" t="s">
        <v>8677</v>
      </c>
      <c r="P146" s="433" t="s">
        <v>2234</v>
      </c>
      <c r="Q146" s="433" t="s">
        <v>4</v>
      </c>
      <c r="R146" s="433"/>
      <c r="S146" s="433" t="s">
        <v>6381</v>
      </c>
    </row>
    <row r="147" spans="1:19" ht="22" hidden="1" customHeight="1">
      <c r="A147" s="433" t="s">
        <v>5688</v>
      </c>
      <c r="B147" s="433" t="s">
        <v>5397</v>
      </c>
      <c r="C147" s="433"/>
      <c r="D147" s="434" t="s">
        <v>6144</v>
      </c>
      <c r="E147" s="434" t="s">
        <v>6754</v>
      </c>
      <c r="F147" s="434" t="s">
        <v>6755</v>
      </c>
      <c r="G147" s="435">
        <v>3</v>
      </c>
      <c r="H147" s="434" t="s">
        <v>7840</v>
      </c>
      <c r="I147" s="434" t="s">
        <v>7294</v>
      </c>
      <c r="J147" s="439" t="s">
        <v>8276</v>
      </c>
      <c r="K147" s="440" t="s">
        <v>8291</v>
      </c>
      <c r="L147" s="449" t="s">
        <v>8453</v>
      </c>
      <c r="M147" s="424" t="s">
        <v>8620</v>
      </c>
      <c r="N147" s="440" t="s">
        <v>8670</v>
      </c>
      <c r="O147" s="440" t="s">
        <v>8677</v>
      </c>
      <c r="P147" s="433" t="s">
        <v>2234</v>
      </c>
      <c r="Q147" s="433" t="s">
        <v>4</v>
      </c>
      <c r="R147" s="433"/>
      <c r="S147" s="433" t="s">
        <v>6432</v>
      </c>
    </row>
    <row r="148" spans="1:19" ht="22" hidden="1" customHeight="1">
      <c r="A148" s="433" t="s">
        <v>5689</v>
      </c>
      <c r="B148" s="433" t="s">
        <v>5397</v>
      </c>
      <c r="C148" s="433"/>
      <c r="D148" s="434" t="s">
        <v>6145</v>
      </c>
      <c r="E148" s="434" t="s">
        <v>6756</v>
      </c>
      <c r="F148" s="434" t="s">
        <v>6757</v>
      </c>
      <c r="G148" s="435">
        <v>3</v>
      </c>
      <c r="H148" s="434" t="s">
        <v>7840</v>
      </c>
      <c r="I148" s="434" t="s">
        <v>7295</v>
      </c>
      <c r="J148" s="439" t="s">
        <v>8276</v>
      </c>
      <c r="K148" s="440" t="s">
        <v>8291</v>
      </c>
      <c r="L148" s="449" t="s">
        <v>8453</v>
      </c>
      <c r="M148" s="424" t="s">
        <v>8620</v>
      </c>
      <c r="N148" s="440" t="s">
        <v>8670</v>
      </c>
      <c r="O148" s="440" t="s">
        <v>8677</v>
      </c>
      <c r="P148" s="433" t="s">
        <v>2234</v>
      </c>
      <c r="Q148" s="433" t="s">
        <v>4</v>
      </c>
      <c r="R148" s="433"/>
      <c r="S148" s="433" t="s">
        <v>6435</v>
      </c>
    </row>
    <row r="149" spans="1:19" ht="22" customHeight="1">
      <c r="A149" s="433" t="s">
        <v>6533</v>
      </c>
      <c r="B149" s="433" t="s">
        <v>5397</v>
      </c>
      <c r="C149" s="433"/>
      <c r="D149" s="434" t="s">
        <v>6534</v>
      </c>
      <c r="E149" s="434" t="s">
        <v>6866</v>
      </c>
      <c r="F149" s="434" t="s">
        <v>6867</v>
      </c>
      <c r="G149" s="435">
        <v>0.75</v>
      </c>
      <c r="H149" s="434" t="s">
        <v>7814</v>
      </c>
      <c r="I149" s="434" t="s">
        <v>7304</v>
      </c>
      <c r="J149" s="439" t="s">
        <v>8276</v>
      </c>
      <c r="K149" s="440" t="s">
        <v>8291</v>
      </c>
      <c r="L149" s="449" t="s">
        <v>8325</v>
      </c>
      <c r="M149" s="424" t="s">
        <v>8620</v>
      </c>
      <c r="N149" s="440" t="s">
        <v>8669</v>
      </c>
      <c r="O149" s="440" t="s">
        <v>8675</v>
      </c>
      <c r="P149" s="433" t="s">
        <v>6526</v>
      </c>
      <c r="Q149" s="433" t="s">
        <v>4</v>
      </c>
      <c r="R149" s="433" t="s">
        <v>6270</v>
      </c>
      <c r="S149" s="433" t="s">
        <v>6267</v>
      </c>
    </row>
    <row r="150" spans="1:19" ht="22" hidden="1" customHeight="1">
      <c r="A150" s="433" t="s">
        <v>6535</v>
      </c>
      <c r="B150" s="433" t="s">
        <v>5397</v>
      </c>
      <c r="C150" s="433"/>
      <c r="D150" s="434" t="s">
        <v>6536</v>
      </c>
      <c r="E150" s="434" t="s">
        <v>6868</v>
      </c>
      <c r="F150" s="434" t="s">
        <v>6869</v>
      </c>
      <c r="G150" s="435">
        <v>1</v>
      </c>
      <c r="H150" s="434" t="s">
        <v>7815</v>
      </c>
      <c r="I150" s="434" t="s">
        <v>7305</v>
      </c>
      <c r="J150" s="439" t="s">
        <v>8276</v>
      </c>
      <c r="K150" s="440" t="s">
        <v>8292</v>
      </c>
      <c r="L150" s="449" t="s">
        <v>8326</v>
      </c>
      <c r="M150" s="424" t="s">
        <v>8623</v>
      </c>
      <c r="N150" s="440" t="s">
        <v>8666</v>
      </c>
      <c r="O150" s="440" t="s">
        <v>8677</v>
      </c>
      <c r="P150" s="433" t="s">
        <v>6526</v>
      </c>
      <c r="Q150" s="433" t="s">
        <v>4</v>
      </c>
      <c r="R150" s="433" t="s">
        <v>6275</v>
      </c>
      <c r="S150" s="433" t="s">
        <v>6273</v>
      </c>
    </row>
    <row r="151" spans="1:19" ht="22" hidden="1" customHeight="1">
      <c r="A151" s="433" t="s">
        <v>6537</v>
      </c>
      <c r="B151" s="433" t="s">
        <v>5397</v>
      </c>
      <c r="C151" s="433"/>
      <c r="D151" s="434" t="s">
        <v>6538</v>
      </c>
      <c r="E151" s="434" t="s">
        <v>6870</v>
      </c>
      <c r="F151" s="434" t="s">
        <v>6871</v>
      </c>
      <c r="G151" s="435">
        <v>0.5</v>
      </c>
      <c r="H151" s="434" t="s">
        <v>7815</v>
      </c>
      <c r="I151" s="434" t="s">
        <v>7306</v>
      </c>
      <c r="J151" s="439" t="s">
        <v>8276</v>
      </c>
      <c r="K151" s="440" t="s">
        <v>8292</v>
      </c>
      <c r="L151" s="449" t="s">
        <v>8326</v>
      </c>
      <c r="M151" s="424" t="s">
        <v>8620</v>
      </c>
      <c r="N151" s="440" t="s">
        <v>8666</v>
      </c>
      <c r="O151" s="440" t="s">
        <v>8677</v>
      </c>
      <c r="P151" s="433" t="s">
        <v>6526</v>
      </c>
      <c r="Q151" s="433" t="s">
        <v>4</v>
      </c>
      <c r="R151" s="433" t="s">
        <v>6278</v>
      </c>
      <c r="S151" s="433" t="s">
        <v>6276</v>
      </c>
    </row>
    <row r="152" spans="1:19" ht="22" hidden="1" customHeight="1">
      <c r="A152" s="433" t="s">
        <v>6539</v>
      </c>
      <c r="B152" s="433" t="s">
        <v>5397</v>
      </c>
      <c r="C152" s="433"/>
      <c r="D152" s="434" t="s">
        <v>6540</v>
      </c>
      <c r="E152" s="434" t="s">
        <v>6872</v>
      </c>
      <c r="F152" s="434" t="s">
        <v>6873</v>
      </c>
      <c r="G152" s="435">
        <v>0.5</v>
      </c>
      <c r="H152" s="434" t="s">
        <v>7815</v>
      </c>
      <c r="I152" s="434" t="s">
        <v>7307</v>
      </c>
      <c r="J152" s="439" t="s">
        <v>8276</v>
      </c>
      <c r="K152" s="440" t="s">
        <v>8292</v>
      </c>
      <c r="L152" s="449" t="s">
        <v>8326</v>
      </c>
      <c r="M152" s="424" t="s">
        <v>8620</v>
      </c>
      <c r="N152" s="440" t="s">
        <v>8666</v>
      </c>
      <c r="O152" s="440" t="s">
        <v>8677</v>
      </c>
      <c r="P152" s="433" t="s">
        <v>6526</v>
      </c>
      <c r="Q152" s="433" t="s">
        <v>4</v>
      </c>
      <c r="R152" s="433" t="s">
        <v>6281</v>
      </c>
      <c r="S152" s="433" t="s">
        <v>6279</v>
      </c>
    </row>
    <row r="153" spans="1:19" ht="22" customHeight="1">
      <c r="A153" s="433" t="s">
        <v>6541</v>
      </c>
      <c r="B153" s="433" t="s">
        <v>5397</v>
      </c>
      <c r="C153" s="433"/>
      <c r="D153" s="434" t="s">
        <v>6542</v>
      </c>
      <c r="E153" s="434" t="s">
        <v>6874</v>
      </c>
      <c r="F153" s="434" t="s">
        <v>6875</v>
      </c>
      <c r="G153" s="435">
        <v>0.75</v>
      </c>
      <c r="H153" s="434" t="s">
        <v>7816</v>
      </c>
      <c r="I153" s="434" t="s">
        <v>7297</v>
      </c>
      <c r="J153" s="439" t="s">
        <v>8276</v>
      </c>
      <c r="K153" s="440" t="s">
        <v>8291</v>
      </c>
      <c r="L153" s="449" t="s">
        <v>8317</v>
      </c>
      <c r="M153" s="424" t="s">
        <v>8620</v>
      </c>
      <c r="N153" s="440" t="s">
        <v>8669</v>
      </c>
      <c r="O153" s="440" t="s">
        <v>8675</v>
      </c>
      <c r="P153" s="433" t="s">
        <v>6526</v>
      </c>
      <c r="Q153" s="433" t="s">
        <v>4</v>
      </c>
      <c r="R153" s="433" t="s">
        <v>6284</v>
      </c>
      <c r="S153" s="433" t="s">
        <v>6282</v>
      </c>
    </row>
    <row r="154" spans="1:19" ht="22" customHeight="1">
      <c r="A154" s="433" t="s">
        <v>6543</v>
      </c>
      <c r="B154" s="433" t="s">
        <v>5397</v>
      </c>
      <c r="C154" s="433"/>
      <c r="D154" s="434" t="s">
        <v>6544</v>
      </c>
      <c r="E154" s="434" t="s">
        <v>6876</v>
      </c>
      <c r="F154" s="434" t="s">
        <v>6877</v>
      </c>
      <c r="G154" s="435">
        <v>0.75</v>
      </c>
      <c r="H154" s="434" t="s">
        <v>7816</v>
      </c>
      <c r="I154" s="434" t="s">
        <v>7308</v>
      </c>
      <c r="J154" s="439" t="s">
        <v>8276</v>
      </c>
      <c r="K154" s="440" t="s">
        <v>8291</v>
      </c>
      <c r="L154" s="449" t="s">
        <v>8317</v>
      </c>
      <c r="M154" s="424" t="s">
        <v>8620</v>
      </c>
      <c r="N154" s="440" t="s">
        <v>8669</v>
      </c>
      <c r="O154" s="440" t="s">
        <v>8675</v>
      </c>
      <c r="P154" s="433" t="s">
        <v>6526</v>
      </c>
      <c r="Q154" s="433" t="s">
        <v>4</v>
      </c>
      <c r="R154" s="433" t="s">
        <v>6288</v>
      </c>
      <c r="S154" s="433" t="s">
        <v>6286</v>
      </c>
    </row>
    <row r="155" spans="1:19" ht="22" hidden="1" customHeight="1">
      <c r="A155" s="433" t="s">
        <v>6545</v>
      </c>
      <c r="B155" s="433" t="s">
        <v>5397</v>
      </c>
      <c r="C155" s="433"/>
      <c r="D155" s="434" t="s">
        <v>6546</v>
      </c>
      <c r="E155" s="434" t="s">
        <v>6878</v>
      </c>
      <c r="F155" s="434" t="s">
        <v>6879</v>
      </c>
      <c r="G155" s="435">
        <v>1</v>
      </c>
      <c r="H155" s="434" t="s">
        <v>7816</v>
      </c>
      <c r="I155" s="434" t="s">
        <v>7309</v>
      </c>
      <c r="J155" s="439" t="s">
        <v>8276</v>
      </c>
      <c r="K155" s="440" t="s">
        <v>8291</v>
      </c>
      <c r="L155" s="449" t="s">
        <v>8327</v>
      </c>
      <c r="M155" s="424" t="s">
        <v>8620</v>
      </c>
      <c r="N155" s="440" t="s">
        <v>8669</v>
      </c>
      <c r="O155" s="440" t="s">
        <v>8677</v>
      </c>
      <c r="P155" s="433" t="s">
        <v>6526</v>
      </c>
      <c r="Q155" s="433" t="s">
        <v>4</v>
      </c>
      <c r="R155" s="433" t="s">
        <v>6291</v>
      </c>
      <c r="S155" s="433" t="s">
        <v>6289</v>
      </c>
    </row>
    <row r="156" spans="1:19" ht="22" hidden="1" customHeight="1">
      <c r="A156" s="433" t="s">
        <v>6547</v>
      </c>
      <c r="B156" s="433" t="s">
        <v>5397</v>
      </c>
      <c r="C156" s="433"/>
      <c r="D156" s="434" t="s">
        <v>6548</v>
      </c>
      <c r="E156" s="434" t="s">
        <v>6880</v>
      </c>
      <c r="F156" s="434" t="s">
        <v>6881</v>
      </c>
      <c r="G156" s="435">
        <v>0.5</v>
      </c>
      <c r="H156" s="434" t="s">
        <v>7816</v>
      </c>
      <c r="I156" s="434" t="s">
        <v>7310</v>
      </c>
      <c r="J156" s="439" t="s">
        <v>8276</v>
      </c>
      <c r="K156" s="440" t="s">
        <v>8291</v>
      </c>
      <c r="L156" s="449" t="s">
        <v>8327</v>
      </c>
      <c r="M156" s="424" t="s">
        <v>8620</v>
      </c>
      <c r="N156" s="440" t="s">
        <v>8669</v>
      </c>
      <c r="O156" s="440" t="s">
        <v>8677</v>
      </c>
      <c r="P156" s="433" t="s">
        <v>6526</v>
      </c>
      <c r="Q156" s="433" t="s">
        <v>4</v>
      </c>
      <c r="R156" s="433" t="s">
        <v>6294</v>
      </c>
      <c r="S156" s="433" t="s">
        <v>6292</v>
      </c>
    </row>
    <row r="157" spans="1:19" ht="22" hidden="1" customHeight="1">
      <c r="A157" s="433" t="s">
        <v>6549</v>
      </c>
      <c r="B157" s="433" t="s">
        <v>5397</v>
      </c>
      <c r="C157" s="433"/>
      <c r="D157" s="434" t="s">
        <v>6550</v>
      </c>
      <c r="E157" s="434" t="s">
        <v>6882</v>
      </c>
      <c r="F157" s="434" t="s">
        <v>6883</v>
      </c>
      <c r="G157" s="435">
        <v>0.75</v>
      </c>
      <c r="H157" s="434" t="s">
        <v>7816</v>
      </c>
      <c r="I157" s="434" t="s">
        <v>7311</v>
      </c>
      <c r="J157" s="439" t="s">
        <v>8276</v>
      </c>
      <c r="K157" s="440" t="s">
        <v>8613</v>
      </c>
      <c r="L157" s="449" t="s">
        <v>8614</v>
      </c>
      <c r="M157" s="424" t="s">
        <v>8629</v>
      </c>
      <c r="N157" s="440" t="s">
        <v>8666</v>
      </c>
      <c r="O157" s="440" t="s">
        <v>8677</v>
      </c>
      <c r="P157" s="433" t="s">
        <v>6526</v>
      </c>
      <c r="Q157" s="433" t="s">
        <v>4</v>
      </c>
      <c r="R157" s="433" t="s">
        <v>6297</v>
      </c>
      <c r="S157" s="433" t="s">
        <v>6295</v>
      </c>
    </row>
    <row r="158" spans="1:19" ht="22" customHeight="1">
      <c r="A158" s="433" t="s">
        <v>6551</v>
      </c>
      <c r="B158" s="433" t="s">
        <v>5397</v>
      </c>
      <c r="C158" s="433"/>
      <c r="D158" s="434" t="s">
        <v>6552</v>
      </c>
      <c r="E158" s="434" t="s">
        <v>6884</v>
      </c>
      <c r="F158" s="434" t="s">
        <v>6885</v>
      </c>
      <c r="G158" s="435">
        <v>0.5</v>
      </c>
      <c r="H158" s="434" t="s">
        <v>7817</v>
      </c>
      <c r="I158" s="434" t="s">
        <v>7312</v>
      </c>
      <c r="J158" s="439" t="s">
        <v>8276</v>
      </c>
      <c r="K158" s="440" t="s">
        <v>8293</v>
      </c>
      <c r="L158" s="449" t="s">
        <v>8328</v>
      </c>
      <c r="M158" s="424" t="s">
        <v>8620</v>
      </c>
      <c r="N158" s="440" t="s">
        <v>8669</v>
      </c>
      <c r="O158" s="440" t="s">
        <v>8675</v>
      </c>
      <c r="P158" s="433" t="s">
        <v>6526</v>
      </c>
      <c r="Q158" s="433" t="s">
        <v>4</v>
      </c>
      <c r="R158" s="433" t="s">
        <v>6300</v>
      </c>
      <c r="S158" s="433" t="s">
        <v>6298</v>
      </c>
    </row>
    <row r="159" spans="1:19" ht="22" customHeight="1">
      <c r="A159" s="433" t="s">
        <v>6553</v>
      </c>
      <c r="B159" s="433" t="s">
        <v>5397</v>
      </c>
      <c r="C159" s="433"/>
      <c r="D159" s="434" t="s">
        <v>6554</v>
      </c>
      <c r="E159" s="434" t="s">
        <v>6886</v>
      </c>
      <c r="F159" s="434" t="s">
        <v>6887</v>
      </c>
      <c r="G159" s="435">
        <v>0.75</v>
      </c>
      <c r="H159" s="434" t="s">
        <v>7817</v>
      </c>
      <c r="I159" s="434" t="s">
        <v>7313</v>
      </c>
      <c r="J159" s="439" t="s">
        <v>8276</v>
      </c>
      <c r="K159" s="440" t="s">
        <v>8293</v>
      </c>
      <c r="L159" s="449" t="s">
        <v>8328</v>
      </c>
      <c r="M159" s="424" t="s">
        <v>8620</v>
      </c>
      <c r="N159" s="440" t="s">
        <v>8669</v>
      </c>
      <c r="O159" s="440" t="s">
        <v>8675</v>
      </c>
      <c r="P159" s="433" t="s">
        <v>6526</v>
      </c>
      <c r="Q159" s="433" t="s">
        <v>4</v>
      </c>
      <c r="R159" s="433" t="s">
        <v>6300</v>
      </c>
      <c r="S159" s="433" t="s">
        <v>6302</v>
      </c>
    </row>
    <row r="160" spans="1:19" ht="22" customHeight="1">
      <c r="A160" s="433" t="s">
        <v>6555</v>
      </c>
      <c r="B160" s="433" t="s">
        <v>5397</v>
      </c>
      <c r="C160" s="433"/>
      <c r="D160" s="434" t="s">
        <v>6556</v>
      </c>
      <c r="E160" s="434" t="s">
        <v>6888</v>
      </c>
      <c r="F160" s="434" t="s">
        <v>6889</v>
      </c>
      <c r="G160" s="435">
        <v>0.5</v>
      </c>
      <c r="H160" s="434" t="s">
        <v>7817</v>
      </c>
      <c r="I160" s="434" t="s">
        <v>7314</v>
      </c>
      <c r="J160" s="439" t="s">
        <v>8276</v>
      </c>
      <c r="K160" s="440" t="s">
        <v>8293</v>
      </c>
      <c r="L160" s="449" t="s">
        <v>8328</v>
      </c>
      <c r="M160" s="424" t="s">
        <v>8620</v>
      </c>
      <c r="N160" s="440" t="s">
        <v>8669</v>
      </c>
      <c r="O160" s="440" t="s">
        <v>8675</v>
      </c>
      <c r="P160" s="433" t="s">
        <v>6526</v>
      </c>
      <c r="Q160" s="433" t="s">
        <v>4</v>
      </c>
      <c r="R160" s="433" t="s">
        <v>6306</v>
      </c>
      <c r="S160" s="433" t="s">
        <v>6304</v>
      </c>
    </row>
    <row r="161" spans="1:19" ht="22" customHeight="1">
      <c r="A161" s="433" t="s">
        <v>6557</v>
      </c>
      <c r="B161" s="433" t="s">
        <v>5397</v>
      </c>
      <c r="C161" s="433"/>
      <c r="D161" s="434" t="s">
        <v>6558</v>
      </c>
      <c r="E161" s="434" t="s">
        <v>6890</v>
      </c>
      <c r="F161" s="434" t="s">
        <v>6891</v>
      </c>
      <c r="G161" s="435">
        <v>0.5</v>
      </c>
      <c r="H161" s="434" t="s">
        <v>7817</v>
      </c>
      <c r="I161" s="434" t="s">
        <v>7315</v>
      </c>
      <c r="J161" s="439" t="s">
        <v>8276</v>
      </c>
      <c r="K161" s="440" t="s">
        <v>8293</v>
      </c>
      <c r="L161" s="449" t="s">
        <v>8328</v>
      </c>
      <c r="M161" s="424" t="s">
        <v>8620</v>
      </c>
      <c r="N161" s="440" t="s">
        <v>8669</v>
      </c>
      <c r="O161" s="440" t="s">
        <v>8675</v>
      </c>
      <c r="P161" s="433" t="s">
        <v>6526</v>
      </c>
      <c r="Q161" s="433" t="s">
        <v>4</v>
      </c>
      <c r="R161" s="433" t="s">
        <v>6306</v>
      </c>
      <c r="S161" s="433" t="s">
        <v>6307</v>
      </c>
    </row>
    <row r="162" spans="1:19" ht="22" hidden="1" customHeight="1">
      <c r="A162" s="433" t="s">
        <v>6559</v>
      </c>
      <c r="B162" s="433" t="s">
        <v>5397</v>
      </c>
      <c r="C162" s="433"/>
      <c r="D162" s="434" t="s">
        <v>6560</v>
      </c>
      <c r="E162" s="434" t="s">
        <v>6892</v>
      </c>
      <c r="F162" s="434" t="s">
        <v>6893</v>
      </c>
      <c r="G162" s="435">
        <v>0.5</v>
      </c>
      <c r="H162" s="434" t="s">
        <v>7817</v>
      </c>
      <c r="I162" s="434" t="s">
        <v>7316</v>
      </c>
      <c r="J162" s="439" t="s">
        <v>8276</v>
      </c>
      <c r="K162" s="440" t="s">
        <v>8294</v>
      </c>
      <c r="L162" s="449" t="s">
        <v>8322</v>
      </c>
      <c r="M162" s="424" t="s">
        <v>8620</v>
      </c>
      <c r="N162" s="440" t="s">
        <v>8670</v>
      </c>
      <c r="O162" s="440" t="s">
        <v>8677</v>
      </c>
      <c r="P162" s="433" t="s">
        <v>6526</v>
      </c>
      <c r="Q162" s="433" t="s">
        <v>4</v>
      </c>
      <c r="R162" s="433" t="s">
        <v>1430</v>
      </c>
      <c r="S162" s="433" t="s">
        <v>6309</v>
      </c>
    </row>
    <row r="163" spans="1:19" ht="22" customHeight="1">
      <c r="A163" s="433" t="s">
        <v>6561</v>
      </c>
      <c r="B163" s="433" t="s">
        <v>5397</v>
      </c>
      <c r="C163" s="433"/>
      <c r="D163" s="434" t="s">
        <v>6562</v>
      </c>
      <c r="E163" s="434" t="s">
        <v>6894</v>
      </c>
      <c r="F163" s="434" t="s">
        <v>6895</v>
      </c>
      <c r="G163" s="435">
        <v>0.5</v>
      </c>
      <c r="H163" s="434" t="s">
        <v>7818</v>
      </c>
      <c r="I163" s="434" t="s">
        <v>7317</v>
      </c>
      <c r="J163" s="439" t="s">
        <v>8276</v>
      </c>
      <c r="K163" s="440" t="s">
        <v>8293</v>
      </c>
      <c r="L163" s="449" t="s">
        <v>8328</v>
      </c>
      <c r="M163" s="424" t="s">
        <v>8620</v>
      </c>
      <c r="N163" s="440" t="s">
        <v>8669</v>
      </c>
      <c r="O163" s="440" t="s">
        <v>8675</v>
      </c>
      <c r="P163" s="433" t="s">
        <v>6526</v>
      </c>
      <c r="Q163" s="433" t="s">
        <v>4</v>
      </c>
      <c r="R163" s="433" t="s">
        <v>1432</v>
      </c>
      <c r="S163" s="433" t="s">
        <v>6311</v>
      </c>
    </row>
    <row r="164" spans="1:19" ht="22" hidden="1" customHeight="1">
      <c r="A164" s="433" t="s">
        <v>6563</v>
      </c>
      <c r="B164" s="433" t="s">
        <v>5397</v>
      </c>
      <c r="C164" s="433"/>
      <c r="D164" s="434" t="s">
        <v>6564</v>
      </c>
      <c r="E164" s="434" t="s">
        <v>6896</v>
      </c>
      <c r="F164" s="434" t="s">
        <v>6897</v>
      </c>
      <c r="G164" s="435">
        <v>0.5</v>
      </c>
      <c r="H164" s="434" t="s">
        <v>7818</v>
      </c>
      <c r="I164" s="434" t="s">
        <v>7318</v>
      </c>
      <c r="J164" s="439" t="s">
        <v>8276</v>
      </c>
      <c r="K164" s="440" t="s">
        <v>8292</v>
      </c>
      <c r="L164" s="449" t="s">
        <v>8321</v>
      </c>
      <c r="M164" s="424" t="s">
        <v>8620</v>
      </c>
      <c r="N164" s="440" t="s">
        <v>8670</v>
      </c>
      <c r="O164" s="440" t="s">
        <v>8677</v>
      </c>
      <c r="P164" s="433" t="s">
        <v>6526</v>
      </c>
      <c r="Q164" s="433" t="s">
        <v>4</v>
      </c>
      <c r="R164" s="433" t="s">
        <v>1432</v>
      </c>
      <c r="S164" s="433" t="s">
        <v>6314</v>
      </c>
    </row>
    <row r="165" spans="1:19" ht="22" hidden="1" customHeight="1">
      <c r="A165" s="433" t="s">
        <v>6565</v>
      </c>
      <c r="B165" s="433" t="s">
        <v>5397</v>
      </c>
      <c r="C165" s="433"/>
      <c r="D165" s="434" t="s">
        <v>6566</v>
      </c>
      <c r="E165" s="434" t="s">
        <v>6898</v>
      </c>
      <c r="F165" s="434" t="s">
        <v>6899</v>
      </c>
      <c r="G165" s="435">
        <v>0.75</v>
      </c>
      <c r="H165" s="434" t="s">
        <v>7817</v>
      </c>
      <c r="I165" s="434" t="s">
        <v>7301</v>
      </c>
      <c r="J165" s="439" t="s">
        <v>8276</v>
      </c>
      <c r="K165" s="440" t="s">
        <v>8292</v>
      </c>
      <c r="L165" s="449" t="s">
        <v>8321</v>
      </c>
      <c r="M165" s="424" t="s">
        <v>8620</v>
      </c>
      <c r="N165" s="440" t="s">
        <v>8669</v>
      </c>
      <c r="O165" s="440" t="s">
        <v>8677</v>
      </c>
      <c r="P165" s="433" t="s">
        <v>6526</v>
      </c>
      <c r="Q165" s="433" t="s">
        <v>4</v>
      </c>
      <c r="R165" s="433" t="s">
        <v>6318</v>
      </c>
      <c r="S165" s="433" t="s">
        <v>6316</v>
      </c>
    </row>
    <row r="166" spans="1:19" ht="22" hidden="1" customHeight="1">
      <c r="A166" s="433" t="s">
        <v>6567</v>
      </c>
      <c r="B166" s="433" t="s">
        <v>5397</v>
      </c>
      <c r="C166" s="433"/>
      <c r="D166" s="434" t="s">
        <v>6568</v>
      </c>
      <c r="E166" s="434" t="s">
        <v>6900</v>
      </c>
      <c r="F166" s="434" t="s">
        <v>6901</v>
      </c>
      <c r="G166" s="435">
        <v>0.5</v>
      </c>
      <c r="H166" s="434" t="s">
        <v>7818</v>
      </c>
      <c r="I166" s="434" t="s">
        <v>7319</v>
      </c>
      <c r="J166" s="439" t="s">
        <v>8276</v>
      </c>
      <c r="K166" s="440" t="s">
        <v>8292</v>
      </c>
      <c r="L166" s="449" t="s">
        <v>8321</v>
      </c>
      <c r="M166" s="424" t="s">
        <v>8620</v>
      </c>
      <c r="N166" s="440" t="s">
        <v>8669</v>
      </c>
      <c r="O166" s="440" t="s">
        <v>8677</v>
      </c>
      <c r="P166" s="433" t="s">
        <v>6526</v>
      </c>
      <c r="Q166" s="433" t="s">
        <v>4</v>
      </c>
      <c r="R166" s="433" t="s">
        <v>40</v>
      </c>
      <c r="S166" s="433" t="s">
        <v>6319</v>
      </c>
    </row>
    <row r="167" spans="1:19" ht="22" customHeight="1">
      <c r="A167" s="433" t="s">
        <v>6569</v>
      </c>
      <c r="B167" s="433" t="s">
        <v>5397</v>
      </c>
      <c r="C167" s="433"/>
      <c r="D167" s="434" t="s">
        <v>6570</v>
      </c>
      <c r="E167" s="434" t="s">
        <v>6902</v>
      </c>
      <c r="F167" s="434" t="s">
        <v>6903</v>
      </c>
      <c r="G167" s="435">
        <v>0.5</v>
      </c>
      <c r="H167" s="434" t="s">
        <v>7818</v>
      </c>
      <c r="I167" s="434" t="s">
        <v>7320</v>
      </c>
      <c r="J167" s="439" t="s">
        <v>8276</v>
      </c>
      <c r="K167" s="440" t="s">
        <v>8293</v>
      </c>
      <c r="L167" s="449" t="s">
        <v>8328</v>
      </c>
      <c r="M167" s="424" t="s">
        <v>8620</v>
      </c>
      <c r="N167" s="440" t="s">
        <v>8669</v>
      </c>
      <c r="O167" s="440" t="s">
        <v>8675</v>
      </c>
      <c r="P167" s="433" t="s">
        <v>6526</v>
      </c>
      <c r="Q167" s="433" t="s">
        <v>4</v>
      </c>
      <c r="R167" s="433" t="s">
        <v>6300</v>
      </c>
      <c r="S167" s="433" t="s">
        <v>6321</v>
      </c>
    </row>
    <row r="168" spans="1:19" ht="22" customHeight="1">
      <c r="A168" s="433" t="s">
        <v>6571</v>
      </c>
      <c r="B168" s="433" t="s">
        <v>5397</v>
      </c>
      <c r="C168" s="433"/>
      <c r="D168" s="434" t="s">
        <v>6572</v>
      </c>
      <c r="E168" s="434" t="s">
        <v>6904</v>
      </c>
      <c r="F168" s="434" t="s">
        <v>6905</v>
      </c>
      <c r="G168" s="435">
        <v>0.5</v>
      </c>
      <c r="H168" s="434" t="s">
        <v>7819</v>
      </c>
      <c r="I168" s="434" t="s">
        <v>7321</v>
      </c>
      <c r="J168" s="439" t="s">
        <v>8276</v>
      </c>
      <c r="K168" s="440" t="s">
        <v>8295</v>
      </c>
      <c r="L168" s="449" t="s">
        <v>8329</v>
      </c>
      <c r="M168" s="424" t="s">
        <v>8620</v>
      </c>
      <c r="N168" s="440" t="s">
        <v>8666</v>
      </c>
      <c r="O168" s="440" t="s">
        <v>8675</v>
      </c>
      <c r="P168" s="433" t="s">
        <v>6526</v>
      </c>
      <c r="Q168" s="433" t="s">
        <v>4</v>
      </c>
      <c r="R168" s="433" t="s">
        <v>6325</v>
      </c>
      <c r="S168" s="433" t="s">
        <v>6323</v>
      </c>
    </row>
    <row r="169" spans="1:19" ht="22" hidden="1" customHeight="1">
      <c r="A169" s="433" t="s">
        <v>6573</v>
      </c>
      <c r="B169" s="433" t="s">
        <v>5397</v>
      </c>
      <c r="C169" s="433"/>
      <c r="D169" s="434" t="s">
        <v>6574</v>
      </c>
      <c r="E169" s="434" t="s">
        <v>7821</v>
      </c>
      <c r="F169" s="434" t="s">
        <v>6906</v>
      </c>
      <c r="G169" s="435">
        <v>0.5</v>
      </c>
      <c r="H169" s="434" t="s">
        <v>7819</v>
      </c>
      <c r="I169" s="434" t="s">
        <v>7820</v>
      </c>
      <c r="J169" s="439" t="s">
        <v>8276</v>
      </c>
      <c r="K169" s="440" t="s">
        <v>8295</v>
      </c>
      <c r="L169" s="449" t="s">
        <v>8329</v>
      </c>
      <c r="M169" s="424" t="s">
        <v>8620</v>
      </c>
      <c r="N169" s="440" t="s">
        <v>8666</v>
      </c>
      <c r="O169" s="440" t="s">
        <v>8677</v>
      </c>
      <c r="P169" s="433" t="s">
        <v>6526</v>
      </c>
      <c r="Q169" s="433" t="s">
        <v>4</v>
      </c>
      <c r="R169" s="433" t="s">
        <v>6329</v>
      </c>
      <c r="S169" s="433" t="s">
        <v>6327</v>
      </c>
    </row>
    <row r="170" spans="1:19" ht="22" hidden="1" customHeight="1">
      <c r="A170" s="433" t="s">
        <v>6575</v>
      </c>
      <c r="B170" s="433" t="s">
        <v>5397</v>
      </c>
      <c r="C170" s="433"/>
      <c r="D170" s="434" t="s">
        <v>6576</v>
      </c>
      <c r="E170" s="434" t="s">
        <v>7823</v>
      </c>
      <c r="F170" s="434" t="s">
        <v>6907</v>
      </c>
      <c r="G170" s="435">
        <v>0.5</v>
      </c>
      <c r="H170" s="434" t="s">
        <v>7819</v>
      </c>
      <c r="I170" s="434" t="s">
        <v>7822</v>
      </c>
      <c r="J170" s="439" t="s">
        <v>8276</v>
      </c>
      <c r="K170" s="440" t="s">
        <v>8292</v>
      </c>
      <c r="L170" s="449" t="s">
        <v>8330</v>
      </c>
      <c r="M170" s="424" t="s">
        <v>8620</v>
      </c>
      <c r="N170" s="440" t="s">
        <v>8666</v>
      </c>
      <c r="O170" s="440" t="s">
        <v>8677</v>
      </c>
      <c r="P170" s="433" t="s">
        <v>6526</v>
      </c>
      <c r="Q170" s="433" t="s">
        <v>4</v>
      </c>
      <c r="R170" s="433" t="s">
        <v>2613</v>
      </c>
      <c r="S170" s="433" t="s">
        <v>6330</v>
      </c>
    </row>
    <row r="171" spans="1:19" ht="22" hidden="1" customHeight="1">
      <c r="A171" s="433" t="s">
        <v>6577</v>
      </c>
      <c r="B171" s="433" t="s">
        <v>5397</v>
      </c>
      <c r="C171" s="433"/>
      <c r="D171" s="434" t="s">
        <v>6578</v>
      </c>
      <c r="E171" s="434" t="s">
        <v>6908</v>
      </c>
      <c r="F171" s="434" t="s">
        <v>6909</v>
      </c>
      <c r="G171" s="435">
        <v>0.75</v>
      </c>
      <c r="H171" s="434" t="s">
        <v>7824</v>
      </c>
      <c r="I171" s="434" t="s">
        <v>7322</v>
      </c>
      <c r="J171" s="439" t="s">
        <v>8276</v>
      </c>
      <c r="K171" s="440" t="s">
        <v>8291</v>
      </c>
      <c r="L171" s="449" t="s">
        <v>8327</v>
      </c>
      <c r="M171" s="424" t="s">
        <v>8620</v>
      </c>
      <c r="N171" s="440" t="s">
        <v>8670</v>
      </c>
      <c r="O171" s="440" t="s">
        <v>8677</v>
      </c>
      <c r="P171" s="433" t="s">
        <v>6526</v>
      </c>
      <c r="Q171" s="433" t="s">
        <v>4</v>
      </c>
      <c r="R171" s="433" t="s">
        <v>6335</v>
      </c>
      <c r="S171" s="433" t="s">
        <v>6332</v>
      </c>
    </row>
    <row r="172" spans="1:19" ht="22" hidden="1" customHeight="1">
      <c r="A172" s="433" t="s">
        <v>6579</v>
      </c>
      <c r="B172" s="433" t="s">
        <v>5397</v>
      </c>
      <c r="C172" s="433"/>
      <c r="D172" s="434" t="s">
        <v>6580</v>
      </c>
      <c r="E172" s="434" t="s">
        <v>6910</v>
      </c>
      <c r="F172" s="434" t="s">
        <v>6911</v>
      </c>
      <c r="G172" s="435">
        <v>0.5</v>
      </c>
      <c r="H172" s="434" t="s">
        <v>7824</v>
      </c>
      <c r="I172" s="434" t="s">
        <v>7323</v>
      </c>
      <c r="J172" s="439" t="s">
        <v>8276</v>
      </c>
      <c r="K172" s="440" t="s">
        <v>8291</v>
      </c>
      <c r="L172" s="449" t="s">
        <v>8327</v>
      </c>
      <c r="M172" s="424" t="s">
        <v>8620</v>
      </c>
      <c r="N172" s="440" t="s">
        <v>8670</v>
      </c>
      <c r="O172" s="440" t="s">
        <v>8677</v>
      </c>
      <c r="P172" s="433" t="s">
        <v>6526</v>
      </c>
      <c r="Q172" s="433" t="s">
        <v>4</v>
      </c>
      <c r="R172" s="433" t="s">
        <v>6339</v>
      </c>
      <c r="S172" s="433" t="s">
        <v>6337</v>
      </c>
    </row>
    <row r="173" spans="1:19" ht="22" hidden="1" customHeight="1">
      <c r="A173" s="433" t="s">
        <v>6581</v>
      </c>
      <c r="B173" s="433" t="s">
        <v>5397</v>
      </c>
      <c r="C173" s="433"/>
      <c r="D173" s="434" t="s">
        <v>7783</v>
      </c>
      <c r="E173" s="434" t="s">
        <v>6912</v>
      </c>
      <c r="F173" s="434" t="s">
        <v>6913</v>
      </c>
      <c r="G173" s="435">
        <v>1</v>
      </c>
      <c r="H173" s="434" t="s">
        <v>7825</v>
      </c>
      <c r="I173" s="434" t="s">
        <v>7324</v>
      </c>
      <c r="J173" s="439" t="s">
        <v>8276</v>
      </c>
      <c r="K173" s="440" t="s">
        <v>8294</v>
      </c>
      <c r="L173" s="449" t="s">
        <v>8331</v>
      </c>
      <c r="M173" s="424" t="s">
        <v>8620</v>
      </c>
      <c r="N173" s="440" t="s">
        <v>8670</v>
      </c>
      <c r="O173" s="440" t="s">
        <v>8677</v>
      </c>
      <c r="P173" s="433" t="s">
        <v>6526</v>
      </c>
      <c r="Q173" s="433" t="s">
        <v>4</v>
      </c>
      <c r="R173" s="433" t="s">
        <v>6342</v>
      </c>
      <c r="S173" s="433" t="s">
        <v>6340</v>
      </c>
    </row>
    <row r="174" spans="1:19" ht="22" hidden="1" customHeight="1">
      <c r="A174" s="433" t="s">
        <v>6582</v>
      </c>
      <c r="B174" s="433" t="s">
        <v>5397</v>
      </c>
      <c r="C174" s="433"/>
      <c r="D174" s="434" t="s">
        <v>7784</v>
      </c>
      <c r="E174" s="434" t="s">
        <v>6914</v>
      </c>
      <c r="F174" s="434" t="s">
        <v>6915</v>
      </c>
      <c r="G174" s="435">
        <v>0.75</v>
      </c>
      <c r="H174" s="434" t="s">
        <v>7825</v>
      </c>
      <c r="I174" s="434" t="s">
        <v>7325</v>
      </c>
      <c r="J174" s="439" t="s">
        <v>8276</v>
      </c>
      <c r="K174" s="440" t="s">
        <v>8294</v>
      </c>
      <c r="L174" s="449" t="s">
        <v>8331</v>
      </c>
      <c r="M174" s="424" t="s">
        <v>8620</v>
      </c>
      <c r="N174" s="440" t="s">
        <v>8670</v>
      </c>
      <c r="O174" s="440" t="s">
        <v>8677</v>
      </c>
      <c r="P174" s="433" t="s">
        <v>6526</v>
      </c>
      <c r="Q174" s="433" t="s">
        <v>4</v>
      </c>
      <c r="R174" s="433" t="s">
        <v>6346</v>
      </c>
      <c r="S174" s="433" t="s">
        <v>6344</v>
      </c>
    </row>
    <row r="175" spans="1:19" ht="22" hidden="1" customHeight="1">
      <c r="A175" s="433" t="s">
        <v>6583</v>
      </c>
      <c r="B175" s="433" t="s">
        <v>5397</v>
      </c>
      <c r="C175" s="433"/>
      <c r="D175" s="434" t="s">
        <v>7785</v>
      </c>
      <c r="E175" s="434" t="s">
        <v>6916</v>
      </c>
      <c r="F175" s="434" t="s">
        <v>6917</v>
      </c>
      <c r="G175" s="435">
        <v>1</v>
      </c>
      <c r="H175" s="434" t="s">
        <v>7825</v>
      </c>
      <c r="I175" s="434" t="s">
        <v>7326</v>
      </c>
      <c r="J175" s="439" t="s">
        <v>8276</v>
      </c>
      <c r="K175" s="440" t="s">
        <v>8294</v>
      </c>
      <c r="L175" s="449" t="s">
        <v>8331</v>
      </c>
      <c r="M175" s="424" t="s">
        <v>8620</v>
      </c>
      <c r="N175" s="440" t="s">
        <v>8670</v>
      </c>
      <c r="O175" s="440" t="s">
        <v>8677</v>
      </c>
      <c r="P175" s="433" t="s">
        <v>6526</v>
      </c>
      <c r="Q175" s="433" t="s">
        <v>4</v>
      </c>
      <c r="R175" s="433" t="s">
        <v>6349</v>
      </c>
      <c r="S175" s="433" t="s">
        <v>6347</v>
      </c>
    </row>
    <row r="176" spans="1:19" ht="22" hidden="1" customHeight="1">
      <c r="A176" s="433" t="s">
        <v>6584</v>
      </c>
      <c r="B176" s="433" t="s">
        <v>5397</v>
      </c>
      <c r="C176" s="433"/>
      <c r="D176" s="434" t="s">
        <v>7786</v>
      </c>
      <c r="E176" s="434" t="s">
        <v>6918</v>
      </c>
      <c r="F176" s="434" t="s">
        <v>6919</v>
      </c>
      <c r="G176" s="435">
        <v>0.5</v>
      </c>
      <c r="H176" s="434" t="s">
        <v>7825</v>
      </c>
      <c r="I176" s="434" t="s">
        <v>7327</v>
      </c>
      <c r="J176" s="439" t="s">
        <v>8276</v>
      </c>
      <c r="K176" s="440" t="s">
        <v>8294</v>
      </c>
      <c r="L176" s="449" t="s">
        <v>8331</v>
      </c>
      <c r="M176" s="424" t="s">
        <v>8620</v>
      </c>
      <c r="N176" s="440" t="s">
        <v>8670</v>
      </c>
      <c r="O176" s="440" t="s">
        <v>8677</v>
      </c>
      <c r="P176" s="433" t="s">
        <v>6526</v>
      </c>
      <c r="Q176" s="433" t="s">
        <v>4</v>
      </c>
      <c r="R176" s="433" t="s">
        <v>511</v>
      </c>
      <c r="S176" s="433" t="s">
        <v>6350</v>
      </c>
    </row>
    <row r="177" spans="1:19" ht="22" hidden="1" customHeight="1">
      <c r="A177" s="433" t="s">
        <v>6585</v>
      </c>
      <c r="B177" s="433" t="s">
        <v>5397</v>
      </c>
      <c r="C177" s="433"/>
      <c r="D177" s="434" t="s">
        <v>7787</v>
      </c>
      <c r="E177" s="434" t="s">
        <v>6920</v>
      </c>
      <c r="F177" s="434" t="s">
        <v>6921</v>
      </c>
      <c r="G177" s="435">
        <v>0.5</v>
      </c>
      <c r="H177" s="434" t="s">
        <v>7825</v>
      </c>
      <c r="I177" s="434" t="s">
        <v>7328</v>
      </c>
      <c r="J177" s="439" t="s">
        <v>8276</v>
      </c>
      <c r="K177" s="440" t="s">
        <v>8294</v>
      </c>
      <c r="L177" s="449" t="s">
        <v>8331</v>
      </c>
      <c r="M177" s="424" t="s">
        <v>8620</v>
      </c>
      <c r="N177" s="440" t="s">
        <v>8670</v>
      </c>
      <c r="O177" s="440" t="s">
        <v>8677</v>
      </c>
      <c r="P177" s="433" t="s">
        <v>6526</v>
      </c>
      <c r="Q177" s="433" t="s">
        <v>4</v>
      </c>
      <c r="R177" s="433" t="s">
        <v>2590</v>
      </c>
      <c r="S177" s="433" t="s">
        <v>6352</v>
      </c>
    </row>
    <row r="178" spans="1:19" ht="22" hidden="1" customHeight="1">
      <c r="A178" s="433" t="s">
        <v>6586</v>
      </c>
      <c r="B178" s="433" t="s">
        <v>5397</v>
      </c>
      <c r="C178" s="433"/>
      <c r="D178" s="434" t="s">
        <v>6587</v>
      </c>
      <c r="E178" s="434" t="s">
        <v>6922</v>
      </c>
      <c r="F178" s="434" t="s">
        <v>6923</v>
      </c>
      <c r="G178" s="435">
        <v>1</v>
      </c>
      <c r="H178" s="434" t="s">
        <v>7826</v>
      </c>
      <c r="I178" s="434" t="s">
        <v>7329</v>
      </c>
      <c r="J178" s="439" t="s">
        <v>8276</v>
      </c>
      <c r="K178" s="440" t="s">
        <v>8291</v>
      </c>
      <c r="L178" s="449" t="s">
        <v>8332</v>
      </c>
      <c r="M178" s="424" t="s">
        <v>8620</v>
      </c>
      <c r="N178" s="440" t="s">
        <v>8670</v>
      </c>
      <c r="O178" s="440" t="s">
        <v>8677</v>
      </c>
      <c r="P178" s="433" t="s">
        <v>6526</v>
      </c>
      <c r="Q178" s="433" t="s">
        <v>4</v>
      </c>
      <c r="R178" s="433" t="s">
        <v>914</v>
      </c>
      <c r="S178" s="433" t="s">
        <v>6354</v>
      </c>
    </row>
    <row r="179" spans="1:19" ht="22" hidden="1" customHeight="1">
      <c r="A179" s="433" t="s">
        <v>6588</v>
      </c>
      <c r="B179" s="433" t="s">
        <v>5397</v>
      </c>
      <c r="C179" s="433"/>
      <c r="D179" s="434" t="s">
        <v>6589</v>
      </c>
      <c r="E179" s="434" t="s">
        <v>6924</v>
      </c>
      <c r="F179" s="434" t="s">
        <v>6925</v>
      </c>
      <c r="G179" s="435">
        <v>0.75</v>
      </c>
      <c r="H179" s="434" t="s">
        <v>7826</v>
      </c>
      <c r="I179" s="434" t="s">
        <v>7330</v>
      </c>
      <c r="J179" s="439" t="s">
        <v>8276</v>
      </c>
      <c r="K179" s="440" t="s">
        <v>8291</v>
      </c>
      <c r="L179" s="449" t="s">
        <v>8333</v>
      </c>
      <c r="M179" s="424" t="s">
        <v>8620</v>
      </c>
      <c r="N179" s="440" t="s">
        <v>8670</v>
      </c>
      <c r="O179" s="440" t="s">
        <v>8677</v>
      </c>
      <c r="P179" s="433" t="s">
        <v>6526</v>
      </c>
      <c r="Q179" s="433" t="s">
        <v>4</v>
      </c>
      <c r="R179" s="433" t="s">
        <v>909</v>
      </c>
      <c r="S179" s="433" t="s">
        <v>6357</v>
      </c>
    </row>
    <row r="180" spans="1:19" ht="22" hidden="1" customHeight="1">
      <c r="A180" s="433" t="s">
        <v>6590</v>
      </c>
      <c r="B180" s="433" t="s">
        <v>5397</v>
      </c>
      <c r="C180" s="433"/>
      <c r="D180" s="434" t="s">
        <v>6591</v>
      </c>
      <c r="E180" s="434" t="s">
        <v>6926</v>
      </c>
      <c r="F180" s="434" t="s">
        <v>6927</v>
      </c>
      <c r="G180" s="435">
        <v>0.75</v>
      </c>
      <c r="H180" s="434" t="s">
        <v>7827</v>
      </c>
      <c r="I180" s="434" t="s">
        <v>7331</v>
      </c>
      <c r="J180" s="439" t="s">
        <v>8276</v>
      </c>
      <c r="K180" s="440" t="s">
        <v>8295</v>
      </c>
      <c r="L180" s="449" t="s">
        <v>8310</v>
      </c>
      <c r="M180" s="424" t="s">
        <v>8620</v>
      </c>
      <c r="N180" s="440" t="s">
        <v>8670</v>
      </c>
      <c r="O180" s="440" t="s">
        <v>8677</v>
      </c>
      <c r="P180" s="433" t="s">
        <v>6526</v>
      </c>
      <c r="Q180" s="433" t="s">
        <v>4</v>
      </c>
      <c r="R180" s="433" t="s">
        <v>6361</v>
      </c>
      <c r="S180" s="433" t="s">
        <v>6359</v>
      </c>
    </row>
    <row r="181" spans="1:19" ht="22" hidden="1" customHeight="1">
      <c r="A181" s="433" t="s">
        <v>6592</v>
      </c>
      <c r="B181" s="433" t="s">
        <v>5397</v>
      </c>
      <c r="C181" s="433"/>
      <c r="D181" s="434" t="s">
        <v>6593</v>
      </c>
      <c r="E181" s="434" t="s">
        <v>6928</v>
      </c>
      <c r="F181" s="434" t="s">
        <v>6929</v>
      </c>
      <c r="G181" s="435">
        <v>0.75</v>
      </c>
      <c r="H181" s="434" t="s">
        <v>7827</v>
      </c>
      <c r="I181" s="434" t="s">
        <v>7828</v>
      </c>
      <c r="J181" s="439" t="s">
        <v>8276</v>
      </c>
      <c r="K181" s="440" t="s">
        <v>8295</v>
      </c>
      <c r="L181" s="449" t="s">
        <v>8310</v>
      </c>
      <c r="M181" s="424" t="s">
        <v>8620</v>
      </c>
      <c r="N181" s="440" t="s">
        <v>8670</v>
      </c>
      <c r="O181" s="440" t="s">
        <v>8677</v>
      </c>
      <c r="P181" s="433" t="s">
        <v>6526</v>
      </c>
      <c r="Q181" s="433" t="s">
        <v>4</v>
      </c>
      <c r="R181" s="433" t="s">
        <v>6365</v>
      </c>
      <c r="S181" s="433" t="s">
        <v>6363</v>
      </c>
    </row>
    <row r="182" spans="1:19" ht="22" hidden="1" customHeight="1">
      <c r="A182" s="433" t="s">
        <v>6594</v>
      </c>
      <c r="B182" s="433" t="s">
        <v>5397</v>
      </c>
      <c r="C182" s="433"/>
      <c r="D182" s="434" t="s">
        <v>6595</v>
      </c>
      <c r="E182" s="434" t="s">
        <v>6930</v>
      </c>
      <c r="F182" s="434" t="s">
        <v>6931</v>
      </c>
      <c r="G182" s="435">
        <v>1</v>
      </c>
      <c r="H182" s="434" t="s">
        <v>7827</v>
      </c>
      <c r="I182" s="434" t="s">
        <v>7332</v>
      </c>
      <c r="J182" s="439" t="s">
        <v>8276</v>
      </c>
      <c r="K182" s="440" t="s">
        <v>8613</v>
      </c>
      <c r="L182" s="449" t="s">
        <v>8703</v>
      </c>
      <c r="M182" s="424" t="s">
        <v>8629</v>
      </c>
      <c r="N182" s="440" t="s">
        <v>8670</v>
      </c>
      <c r="O182" s="440" t="s">
        <v>8677</v>
      </c>
      <c r="P182" s="433" t="s">
        <v>6526</v>
      </c>
      <c r="Q182" s="433" t="s">
        <v>4</v>
      </c>
      <c r="R182" s="433" t="s">
        <v>2501</v>
      </c>
      <c r="S182" s="433" t="s">
        <v>6366</v>
      </c>
    </row>
    <row r="183" spans="1:19" ht="22" hidden="1" customHeight="1">
      <c r="A183" s="433" t="s">
        <v>6596</v>
      </c>
      <c r="B183" s="433" t="s">
        <v>5397</v>
      </c>
      <c r="C183" s="433"/>
      <c r="D183" s="434" t="s">
        <v>6597</v>
      </c>
      <c r="E183" s="434" t="s">
        <v>6932</v>
      </c>
      <c r="F183" s="434" t="s">
        <v>6933</v>
      </c>
      <c r="G183" s="435">
        <v>0.5</v>
      </c>
      <c r="H183" s="434" t="s">
        <v>7827</v>
      </c>
      <c r="I183" s="434" t="s">
        <v>7333</v>
      </c>
      <c r="J183" s="439" t="s">
        <v>8276</v>
      </c>
      <c r="K183" s="440" t="s">
        <v>8613</v>
      </c>
      <c r="L183" s="449" t="s">
        <v>8704</v>
      </c>
      <c r="M183" s="424" t="s">
        <v>8629</v>
      </c>
      <c r="N183" s="440" t="s">
        <v>8670</v>
      </c>
      <c r="O183" s="440" t="s">
        <v>8677</v>
      </c>
      <c r="P183" s="433" t="s">
        <v>6526</v>
      </c>
      <c r="Q183" s="433" t="s">
        <v>4</v>
      </c>
      <c r="R183" s="433" t="s">
        <v>2457</v>
      </c>
      <c r="S183" s="433" t="s">
        <v>6368</v>
      </c>
    </row>
    <row r="184" spans="1:19" ht="22" hidden="1" customHeight="1">
      <c r="A184" s="433" t="s">
        <v>6598</v>
      </c>
      <c r="B184" s="433" t="s">
        <v>5397</v>
      </c>
      <c r="C184" s="433"/>
      <c r="D184" s="434" t="s">
        <v>6599</v>
      </c>
      <c r="E184" s="434" t="s">
        <v>6934</v>
      </c>
      <c r="F184" s="434" t="s">
        <v>6935</v>
      </c>
      <c r="G184" s="435">
        <v>0.5</v>
      </c>
      <c r="H184" s="434" t="s">
        <v>7829</v>
      </c>
      <c r="I184" s="434" t="s">
        <v>7334</v>
      </c>
      <c r="J184" s="439" t="s">
        <v>8274</v>
      </c>
      <c r="K184" s="440" t="s">
        <v>8613</v>
      </c>
      <c r="L184" s="449" t="s">
        <v>8616</v>
      </c>
      <c r="M184" s="424" t="s">
        <v>8629</v>
      </c>
      <c r="N184" s="440" t="s">
        <v>8670</v>
      </c>
      <c r="O184" s="440" t="s">
        <v>8677</v>
      </c>
      <c r="P184" s="433" t="s">
        <v>6526</v>
      </c>
      <c r="Q184" s="433" t="s">
        <v>4</v>
      </c>
      <c r="R184" s="433" t="s">
        <v>6371</v>
      </c>
      <c r="S184" s="433" t="s">
        <v>6369</v>
      </c>
    </row>
    <row r="185" spans="1:19" ht="22" hidden="1" customHeight="1">
      <c r="A185" s="433" t="s">
        <v>6600</v>
      </c>
      <c r="B185" s="433" t="s">
        <v>5397</v>
      </c>
      <c r="C185" s="433"/>
      <c r="D185" s="434" t="s">
        <v>6601</v>
      </c>
      <c r="E185" s="434" t="s">
        <v>6936</v>
      </c>
      <c r="F185" s="434" t="s">
        <v>6937</v>
      </c>
      <c r="G185" s="435">
        <v>0.5</v>
      </c>
      <c r="H185" s="434" t="s">
        <v>7829</v>
      </c>
      <c r="I185" s="434" t="s">
        <v>7335</v>
      </c>
      <c r="J185" s="439" t="s">
        <v>8274</v>
      </c>
      <c r="K185" s="440" t="s">
        <v>8296</v>
      </c>
      <c r="L185" s="449" t="s">
        <v>8334</v>
      </c>
      <c r="M185" s="424" t="s">
        <v>8627</v>
      </c>
      <c r="N185" s="440" t="s">
        <v>8670</v>
      </c>
      <c r="O185" s="440" t="s">
        <v>8677</v>
      </c>
      <c r="P185" s="433" t="s">
        <v>6526</v>
      </c>
      <c r="Q185" s="433" t="s">
        <v>4</v>
      </c>
      <c r="R185" s="433" t="s">
        <v>2692</v>
      </c>
      <c r="S185" s="433" t="s">
        <v>6373</v>
      </c>
    </row>
    <row r="186" spans="1:19" ht="22" hidden="1" customHeight="1">
      <c r="A186" s="433" t="s">
        <v>6602</v>
      </c>
      <c r="B186" s="433" t="s">
        <v>5397</v>
      </c>
      <c r="C186" s="433"/>
      <c r="D186" s="434" t="s">
        <v>6603</v>
      </c>
      <c r="E186" s="434" t="s">
        <v>6938</v>
      </c>
      <c r="F186" s="434" t="s">
        <v>6939</v>
      </c>
      <c r="G186" s="435">
        <v>0.5</v>
      </c>
      <c r="H186" s="434" t="s">
        <v>7829</v>
      </c>
      <c r="I186" s="434" t="s">
        <v>7336</v>
      </c>
      <c r="J186" s="439" t="s">
        <v>8274</v>
      </c>
      <c r="K186" s="440" t="s">
        <v>8297</v>
      </c>
      <c r="L186" s="449" t="s">
        <v>8335</v>
      </c>
      <c r="M186" s="424" t="s">
        <v>8620</v>
      </c>
      <c r="N186" s="440" t="s">
        <v>8670</v>
      </c>
      <c r="O186" s="440" t="s">
        <v>8677</v>
      </c>
      <c r="P186" s="433" t="s">
        <v>6526</v>
      </c>
      <c r="Q186" s="433" t="s">
        <v>4</v>
      </c>
      <c r="R186" s="433" t="s">
        <v>6377</v>
      </c>
      <c r="S186" s="433" t="s">
        <v>6375</v>
      </c>
    </row>
    <row r="187" spans="1:19" ht="22" hidden="1" customHeight="1">
      <c r="A187" s="433" t="s">
        <v>6604</v>
      </c>
      <c r="B187" s="433" t="s">
        <v>5397</v>
      </c>
      <c r="C187" s="433"/>
      <c r="D187" s="434" t="s">
        <v>6605</v>
      </c>
      <c r="E187" s="434" t="s">
        <v>6940</v>
      </c>
      <c r="F187" s="434" t="s">
        <v>6941</v>
      </c>
      <c r="G187" s="435">
        <v>1</v>
      </c>
      <c r="H187" s="434" t="s">
        <v>7829</v>
      </c>
      <c r="I187" s="434" t="s">
        <v>7337</v>
      </c>
      <c r="J187" s="439" t="s">
        <v>8274</v>
      </c>
      <c r="K187" s="440" t="s">
        <v>8296</v>
      </c>
      <c r="L187" s="449" t="s">
        <v>8334</v>
      </c>
      <c r="M187" s="424" t="s">
        <v>8620</v>
      </c>
      <c r="N187" s="440" t="s">
        <v>8670</v>
      </c>
      <c r="O187" s="440" t="s">
        <v>8677</v>
      </c>
      <c r="P187" s="433" t="s">
        <v>6526</v>
      </c>
      <c r="Q187" s="433" t="s">
        <v>4</v>
      </c>
      <c r="R187" s="433" t="s">
        <v>6380</v>
      </c>
      <c r="S187" s="433" t="s">
        <v>6378</v>
      </c>
    </row>
    <row r="188" spans="1:19" ht="22" hidden="1" customHeight="1">
      <c r="A188" s="433" t="s">
        <v>6606</v>
      </c>
      <c r="B188" s="433" t="s">
        <v>5397</v>
      </c>
      <c r="C188" s="433"/>
      <c r="D188" s="434" t="s">
        <v>6607</v>
      </c>
      <c r="E188" s="434" t="s">
        <v>6942</v>
      </c>
      <c r="F188" s="434" t="s">
        <v>6943</v>
      </c>
      <c r="G188" s="435">
        <v>0.75</v>
      </c>
      <c r="H188" s="434" t="s">
        <v>7830</v>
      </c>
      <c r="I188" s="434" t="s">
        <v>7293</v>
      </c>
      <c r="J188" s="439" t="s">
        <v>8276</v>
      </c>
      <c r="K188" s="440" t="s">
        <v>8291</v>
      </c>
      <c r="L188" s="449" t="s">
        <v>8453</v>
      </c>
      <c r="M188" s="424" t="s">
        <v>8620</v>
      </c>
      <c r="N188" s="440" t="s">
        <v>8669</v>
      </c>
      <c r="O188" s="440" t="s">
        <v>8677</v>
      </c>
      <c r="P188" s="433" t="s">
        <v>6526</v>
      </c>
      <c r="Q188" s="433" t="s">
        <v>4</v>
      </c>
      <c r="R188" s="433" t="s">
        <v>2621</v>
      </c>
      <c r="S188" s="433" t="s">
        <v>6381</v>
      </c>
    </row>
    <row r="189" spans="1:19" ht="22" hidden="1" customHeight="1">
      <c r="A189" s="433" t="s">
        <v>6608</v>
      </c>
      <c r="B189" s="433" t="s">
        <v>5397</v>
      </c>
      <c r="C189" s="433"/>
      <c r="D189" s="434" t="s">
        <v>6609</v>
      </c>
      <c r="E189" s="434" t="s">
        <v>6944</v>
      </c>
      <c r="F189" s="434" t="s">
        <v>6945</v>
      </c>
      <c r="G189" s="435">
        <v>0.5</v>
      </c>
      <c r="H189" s="434" t="s">
        <v>7830</v>
      </c>
      <c r="I189" s="434" t="s">
        <v>7338</v>
      </c>
      <c r="J189" s="439" t="s">
        <v>8276</v>
      </c>
      <c r="K189" s="440" t="s">
        <v>8291</v>
      </c>
      <c r="L189" s="449" t="s">
        <v>8453</v>
      </c>
      <c r="M189" s="424" t="s">
        <v>8620</v>
      </c>
      <c r="N189" s="440" t="s">
        <v>8669</v>
      </c>
      <c r="O189" s="440" t="s">
        <v>8677</v>
      </c>
      <c r="P189" s="433" t="s">
        <v>6526</v>
      </c>
      <c r="Q189" s="433" t="s">
        <v>4</v>
      </c>
      <c r="R189" s="433" t="s">
        <v>2621</v>
      </c>
      <c r="S189" s="433" t="s">
        <v>6385</v>
      </c>
    </row>
    <row r="190" spans="1:19" ht="22" hidden="1" customHeight="1">
      <c r="A190" s="433" t="s">
        <v>6610</v>
      </c>
      <c r="B190" s="433" t="s">
        <v>5397</v>
      </c>
      <c r="C190" s="433"/>
      <c r="D190" s="434" t="s">
        <v>6611</v>
      </c>
      <c r="E190" s="434" t="s">
        <v>6946</v>
      </c>
      <c r="F190" s="434" t="s">
        <v>6947</v>
      </c>
      <c r="G190" s="435">
        <v>0.75</v>
      </c>
      <c r="H190" s="434" t="s">
        <v>7830</v>
      </c>
      <c r="I190" s="434" t="s">
        <v>7339</v>
      </c>
      <c r="J190" s="439" t="s">
        <v>8276</v>
      </c>
      <c r="K190" s="440" t="s">
        <v>8291</v>
      </c>
      <c r="L190" s="449" t="s">
        <v>8453</v>
      </c>
      <c r="M190" s="424" t="s">
        <v>8620</v>
      </c>
      <c r="N190" s="440" t="s">
        <v>8669</v>
      </c>
      <c r="O190" s="440" t="s">
        <v>8677</v>
      </c>
      <c r="P190" s="433" t="s">
        <v>6526</v>
      </c>
      <c r="Q190" s="433" t="s">
        <v>4</v>
      </c>
      <c r="R190" s="433" t="s">
        <v>6389</v>
      </c>
      <c r="S190" s="433" t="s">
        <v>6387</v>
      </c>
    </row>
    <row r="191" spans="1:19" ht="22" hidden="1" customHeight="1">
      <c r="A191" s="433" t="s">
        <v>6612</v>
      </c>
      <c r="B191" s="433" t="s">
        <v>5397</v>
      </c>
      <c r="C191" s="433"/>
      <c r="D191" s="434" t="s">
        <v>6613</v>
      </c>
      <c r="E191" s="434" t="s">
        <v>6948</v>
      </c>
      <c r="F191" s="434" t="s">
        <v>6949</v>
      </c>
      <c r="G191" s="435">
        <v>0.75</v>
      </c>
      <c r="H191" s="434" t="s">
        <v>7830</v>
      </c>
      <c r="I191" s="434" t="s">
        <v>7340</v>
      </c>
      <c r="J191" s="439" t="s">
        <v>8276</v>
      </c>
      <c r="K191" s="440" t="s">
        <v>8291</v>
      </c>
      <c r="L191" s="449" t="s">
        <v>8453</v>
      </c>
      <c r="M191" s="424" t="s">
        <v>8620</v>
      </c>
      <c r="N191" s="440" t="s">
        <v>8669</v>
      </c>
      <c r="O191" s="440" t="s">
        <v>8677</v>
      </c>
      <c r="P191" s="433" t="s">
        <v>6526</v>
      </c>
      <c r="Q191" s="433" t="s">
        <v>4</v>
      </c>
      <c r="R191" s="433" t="s">
        <v>2621</v>
      </c>
      <c r="S191" s="433" t="s">
        <v>6390</v>
      </c>
    </row>
    <row r="192" spans="1:19" ht="22" hidden="1" customHeight="1">
      <c r="A192" s="433" t="s">
        <v>6614</v>
      </c>
      <c r="B192" s="433" t="s">
        <v>5397</v>
      </c>
      <c r="C192" s="433"/>
      <c r="D192" s="434" t="s">
        <v>6615</v>
      </c>
      <c r="E192" s="434" t="s">
        <v>6950</v>
      </c>
      <c r="F192" s="434" t="s">
        <v>6951</v>
      </c>
      <c r="G192" s="435">
        <v>0.75</v>
      </c>
      <c r="H192" s="434" t="s">
        <v>7830</v>
      </c>
      <c r="I192" s="434" t="s">
        <v>7831</v>
      </c>
      <c r="J192" s="439" t="s">
        <v>8276</v>
      </c>
      <c r="K192" s="440" t="s">
        <v>8291</v>
      </c>
      <c r="L192" s="449" t="s">
        <v>8453</v>
      </c>
      <c r="M192" s="424" t="s">
        <v>8620</v>
      </c>
      <c r="N192" s="440" t="s">
        <v>8668</v>
      </c>
      <c r="O192" s="440" t="s">
        <v>8677</v>
      </c>
      <c r="P192" s="433" t="s">
        <v>6526</v>
      </c>
      <c r="Q192" s="433" t="s">
        <v>4</v>
      </c>
      <c r="R192" s="433" t="s">
        <v>2621</v>
      </c>
      <c r="S192" s="433" t="s">
        <v>6392</v>
      </c>
    </row>
    <row r="193" spans="1:19" ht="22" hidden="1" customHeight="1">
      <c r="A193" s="433" t="s">
        <v>6616</v>
      </c>
      <c r="B193" s="433" t="s">
        <v>5397</v>
      </c>
      <c r="C193" s="433"/>
      <c r="D193" s="434" t="s">
        <v>6617</v>
      </c>
      <c r="E193" s="434" t="s">
        <v>6952</v>
      </c>
      <c r="F193" s="434" t="s">
        <v>6953</v>
      </c>
      <c r="G193" s="435">
        <v>0.75</v>
      </c>
      <c r="H193" s="434" t="s">
        <v>7830</v>
      </c>
      <c r="I193" s="434" t="s">
        <v>7341</v>
      </c>
      <c r="J193" s="439" t="s">
        <v>8276</v>
      </c>
      <c r="K193" s="440" t="s">
        <v>8291</v>
      </c>
      <c r="L193" s="449" t="s">
        <v>8453</v>
      </c>
      <c r="M193" s="424" t="s">
        <v>8620</v>
      </c>
      <c r="N193" s="440" t="s">
        <v>8669</v>
      </c>
      <c r="O193" s="440" t="s">
        <v>8677</v>
      </c>
      <c r="P193" s="433" t="s">
        <v>6526</v>
      </c>
      <c r="Q193" s="433" t="s">
        <v>4</v>
      </c>
      <c r="R193" s="433" t="s">
        <v>2501</v>
      </c>
      <c r="S193" s="433" t="s">
        <v>6394</v>
      </c>
    </row>
    <row r="194" spans="1:19" ht="22" hidden="1" customHeight="1">
      <c r="A194" s="433" t="s">
        <v>6618</v>
      </c>
      <c r="B194" s="433" t="s">
        <v>5397</v>
      </c>
      <c r="C194" s="433"/>
      <c r="D194" s="434" t="s">
        <v>6619</v>
      </c>
      <c r="E194" s="434" t="s">
        <v>6954</v>
      </c>
      <c r="F194" s="434" t="s">
        <v>6955</v>
      </c>
      <c r="G194" s="435">
        <v>0.5</v>
      </c>
      <c r="H194" s="434" t="s">
        <v>7832</v>
      </c>
      <c r="I194" s="434" t="s">
        <v>7342</v>
      </c>
      <c r="J194" s="439" t="s">
        <v>8276</v>
      </c>
      <c r="K194" s="440" t="s">
        <v>8291</v>
      </c>
      <c r="L194" s="449" t="s">
        <v>8453</v>
      </c>
      <c r="M194" s="424" t="s">
        <v>8620</v>
      </c>
      <c r="N194" s="440" t="s">
        <v>8669</v>
      </c>
      <c r="O194" s="440" t="s">
        <v>8677</v>
      </c>
      <c r="P194" s="433" t="s">
        <v>6526</v>
      </c>
      <c r="Q194" s="433" t="s">
        <v>4</v>
      </c>
      <c r="R194" s="433" t="s">
        <v>2621</v>
      </c>
      <c r="S194" s="433" t="s">
        <v>6396</v>
      </c>
    </row>
    <row r="195" spans="1:19" ht="22" hidden="1" customHeight="1">
      <c r="A195" s="433" t="s">
        <v>6620</v>
      </c>
      <c r="B195" s="433" t="s">
        <v>5397</v>
      </c>
      <c r="C195" s="433"/>
      <c r="D195" s="434" t="s">
        <v>6621</v>
      </c>
      <c r="E195" s="434" t="s">
        <v>6956</v>
      </c>
      <c r="F195" s="434" t="s">
        <v>6957</v>
      </c>
      <c r="G195" s="435">
        <v>0.5</v>
      </c>
      <c r="H195" s="434" t="s">
        <v>7832</v>
      </c>
      <c r="I195" s="434" t="s">
        <v>7343</v>
      </c>
      <c r="J195" s="439" t="s">
        <v>8276</v>
      </c>
      <c r="K195" s="440" t="s">
        <v>8291</v>
      </c>
      <c r="L195" s="449" t="s">
        <v>8453</v>
      </c>
      <c r="M195" s="424" t="s">
        <v>8620</v>
      </c>
      <c r="N195" s="440" t="s">
        <v>8670</v>
      </c>
      <c r="O195" s="440" t="s">
        <v>8677</v>
      </c>
      <c r="P195" s="433" t="s">
        <v>6526</v>
      </c>
      <c r="Q195" s="433" t="s">
        <v>4</v>
      </c>
      <c r="R195" s="433" t="s">
        <v>6401</v>
      </c>
      <c r="S195" s="433" t="s">
        <v>6399</v>
      </c>
    </row>
    <row r="196" spans="1:19" ht="22" hidden="1" customHeight="1">
      <c r="A196" s="433" t="s">
        <v>6622</v>
      </c>
      <c r="B196" s="433" t="s">
        <v>5397</v>
      </c>
      <c r="C196" s="433"/>
      <c r="D196" s="434" t="s">
        <v>6623</v>
      </c>
      <c r="E196" s="434" t="s">
        <v>6958</v>
      </c>
      <c r="F196" s="434" t="s">
        <v>6959</v>
      </c>
      <c r="G196" s="435">
        <v>0.5</v>
      </c>
      <c r="H196" s="434" t="s">
        <v>7832</v>
      </c>
      <c r="I196" s="434" t="s">
        <v>7344</v>
      </c>
      <c r="J196" s="439" t="s">
        <v>8276</v>
      </c>
      <c r="K196" s="440" t="s">
        <v>8291</v>
      </c>
      <c r="L196" s="449" t="s">
        <v>8453</v>
      </c>
      <c r="M196" s="424" t="s">
        <v>8620</v>
      </c>
      <c r="N196" s="440" t="s">
        <v>8668</v>
      </c>
      <c r="O196" s="440" t="s">
        <v>8677</v>
      </c>
      <c r="P196" s="433" t="s">
        <v>6526</v>
      </c>
      <c r="Q196" s="433" t="s">
        <v>4</v>
      </c>
      <c r="R196" s="433" t="s">
        <v>2621</v>
      </c>
      <c r="S196" s="433" t="s">
        <v>6402</v>
      </c>
    </row>
    <row r="197" spans="1:19" ht="22" hidden="1" customHeight="1">
      <c r="A197" s="433" t="s">
        <v>6624</v>
      </c>
      <c r="B197" s="433" t="s">
        <v>5397</v>
      </c>
      <c r="C197" s="433"/>
      <c r="D197" s="434" t="s">
        <v>6625</v>
      </c>
      <c r="E197" s="434" t="s">
        <v>6960</v>
      </c>
      <c r="F197" s="434" t="s">
        <v>6961</v>
      </c>
      <c r="G197" s="435">
        <v>0.5</v>
      </c>
      <c r="H197" s="434" t="s">
        <v>7832</v>
      </c>
      <c r="I197" s="434" t="s">
        <v>7345</v>
      </c>
      <c r="J197" s="439" t="s">
        <v>8276</v>
      </c>
      <c r="K197" s="440" t="s">
        <v>8291</v>
      </c>
      <c r="L197" s="449" t="s">
        <v>8309</v>
      </c>
      <c r="M197" s="424" t="s">
        <v>8620</v>
      </c>
      <c r="N197" s="440" t="s">
        <v>8668</v>
      </c>
      <c r="O197" s="440" t="s">
        <v>8677</v>
      </c>
      <c r="P197" s="433" t="s">
        <v>6526</v>
      </c>
      <c r="Q197" s="433" t="s">
        <v>4</v>
      </c>
      <c r="R197" s="433" t="s">
        <v>6406</v>
      </c>
      <c r="S197" s="433" t="s">
        <v>6404</v>
      </c>
    </row>
    <row r="198" spans="1:19" ht="22" hidden="1" customHeight="1">
      <c r="A198" s="433" t="s">
        <v>6626</v>
      </c>
      <c r="B198" s="433" t="s">
        <v>5397</v>
      </c>
      <c r="C198" s="433"/>
      <c r="D198" s="434" t="s">
        <v>7599</v>
      </c>
      <c r="E198" s="434" t="s">
        <v>6962</v>
      </c>
      <c r="F198" s="434" t="s">
        <v>6963</v>
      </c>
      <c r="G198" s="435">
        <v>1</v>
      </c>
      <c r="H198" s="434" t="s">
        <v>7833</v>
      </c>
      <c r="I198" s="434" t="s">
        <v>7346</v>
      </c>
      <c r="J198" s="439" t="s">
        <v>8274</v>
      </c>
      <c r="K198" s="440" t="s">
        <v>8299</v>
      </c>
      <c r="L198" s="449" t="s">
        <v>8336</v>
      </c>
      <c r="M198" s="424" t="s">
        <v>8620</v>
      </c>
      <c r="N198" s="440" t="s">
        <v>8670</v>
      </c>
      <c r="O198" s="440" t="s">
        <v>8677</v>
      </c>
      <c r="P198" s="433" t="s">
        <v>6526</v>
      </c>
      <c r="Q198" s="433" t="s">
        <v>4</v>
      </c>
      <c r="R198" s="433" t="s">
        <v>6409</v>
      </c>
      <c r="S198" s="433" t="s">
        <v>6407</v>
      </c>
    </row>
    <row r="199" spans="1:19" ht="22" hidden="1" customHeight="1">
      <c r="A199" s="433" t="s">
        <v>6627</v>
      </c>
      <c r="B199" s="433" t="s">
        <v>5397</v>
      </c>
      <c r="C199" s="433"/>
      <c r="D199" s="434" t="s">
        <v>6628</v>
      </c>
      <c r="E199" s="434" t="s">
        <v>6964</v>
      </c>
      <c r="F199" s="434" t="s">
        <v>6965</v>
      </c>
      <c r="G199" s="435">
        <v>0.75</v>
      </c>
      <c r="H199" s="434" t="s">
        <v>7833</v>
      </c>
      <c r="I199" s="434" t="s">
        <v>7347</v>
      </c>
      <c r="J199" s="439" t="s">
        <v>8274</v>
      </c>
      <c r="K199" s="440" t="s">
        <v>8299</v>
      </c>
      <c r="L199" s="449" t="s">
        <v>8336</v>
      </c>
      <c r="M199" s="424" t="s">
        <v>8620</v>
      </c>
      <c r="N199" s="440" t="s">
        <v>8670</v>
      </c>
      <c r="O199" s="440" t="s">
        <v>8677</v>
      </c>
      <c r="P199" s="433" t="s">
        <v>6526</v>
      </c>
      <c r="Q199" s="433" t="s">
        <v>4</v>
      </c>
      <c r="R199" s="433" t="s">
        <v>6413</v>
      </c>
      <c r="S199" s="433" t="s">
        <v>6411</v>
      </c>
    </row>
    <row r="200" spans="1:19" ht="22" hidden="1" customHeight="1">
      <c r="A200" s="433" t="s">
        <v>6629</v>
      </c>
      <c r="B200" s="433" t="s">
        <v>5397</v>
      </c>
      <c r="C200" s="433"/>
      <c r="D200" s="434" t="s">
        <v>6630</v>
      </c>
      <c r="E200" s="434" t="s">
        <v>6966</v>
      </c>
      <c r="F200" s="434" t="s">
        <v>6967</v>
      </c>
      <c r="G200" s="435">
        <v>0.5</v>
      </c>
      <c r="H200" s="434" t="s">
        <v>7834</v>
      </c>
      <c r="I200" s="434" t="s">
        <v>7348</v>
      </c>
      <c r="J200" s="439" t="s">
        <v>8276</v>
      </c>
      <c r="K200" s="440" t="s">
        <v>8292</v>
      </c>
      <c r="L200" s="449" t="s">
        <v>8337</v>
      </c>
      <c r="M200" s="424" t="s">
        <v>8620</v>
      </c>
      <c r="N200" s="440" t="s">
        <v>8670</v>
      </c>
      <c r="O200" s="440" t="s">
        <v>8677</v>
      </c>
      <c r="P200" s="433" t="s">
        <v>6526</v>
      </c>
      <c r="Q200" s="433" t="s">
        <v>4</v>
      </c>
      <c r="R200" s="433" t="s">
        <v>2621</v>
      </c>
      <c r="S200" s="433" t="s">
        <v>6414</v>
      </c>
    </row>
    <row r="201" spans="1:19" ht="22" hidden="1" customHeight="1">
      <c r="A201" s="433" t="s">
        <v>6631</v>
      </c>
      <c r="B201" s="433" t="s">
        <v>5397</v>
      </c>
      <c r="C201" s="433"/>
      <c r="D201" s="434" t="s">
        <v>6632</v>
      </c>
      <c r="E201" s="434" t="s">
        <v>7836</v>
      </c>
      <c r="F201" s="434" t="s">
        <v>6968</v>
      </c>
      <c r="G201" s="435">
        <v>0.5</v>
      </c>
      <c r="H201" s="434" t="s">
        <v>7834</v>
      </c>
      <c r="I201" s="434" t="s">
        <v>7835</v>
      </c>
      <c r="J201" s="439" t="s">
        <v>8276</v>
      </c>
      <c r="K201" s="440" t="s">
        <v>8291</v>
      </c>
      <c r="L201" s="449" t="s">
        <v>8338</v>
      </c>
      <c r="M201" s="424" t="s">
        <v>8620</v>
      </c>
      <c r="N201" s="440" t="s">
        <v>8670</v>
      </c>
      <c r="O201" s="440" t="s">
        <v>8677</v>
      </c>
      <c r="P201" s="433" t="s">
        <v>6526</v>
      </c>
      <c r="Q201" s="433" t="s">
        <v>4</v>
      </c>
      <c r="R201" s="433" t="s">
        <v>886</v>
      </c>
      <c r="S201" s="433" t="s">
        <v>6416</v>
      </c>
    </row>
    <row r="202" spans="1:19" ht="22" hidden="1" customHeight="1">
      <c r="A202" s="433" t="s">
        <v>6633</v>
      </c>
      <c r="B202" s="433" t="s">
        <v>5397</v>
      </c>
      <c r="C202" s="433"/>
      <c r="D202" s="434" t="s">
        <v>6634</v>
      </c>
      <c r="E202" s="434" t="s">
        <v>7838</v>
      </c>
      <c r="F202" s="434" t="s">
        <v>6969</v>
      </c>
      <c r="G202" s="435">
        <v>0.5</v>
      </c>
      <c r="H202" s="434" t="s">
        <v>7834</v>
      </c>
      <c r="I202" s="434" t="s">
        <v>7837</v>
      </c>
      <c r="J202" s="439" t="s">
        <v>8277</v>
      </c>
      <c r="K202" s="440" t="s">
        <v>8298</v>
      </c>
      <c r="L202" s="449" t="s">
        <v>8312</v>
      </c>
      <c r="M202" s="424" t="s">
        <v>8620</v>
      </c>
      <c r="N202" s="440" t="s">
        <v>8670</v>
      </c>
      <c r="O202" s="440" t="s">
        <v>8677</v>
      </c>
      <c r="P202" s="433" t="s">
        <v>6526</v>
      </c>
      <c r="Q202" s="433" t="s">
        <v>4</v>
      </c>
      <c r="R202" s="433" t="s">
        <v>886</v>
      </c>
      <c r="S202" s="433" t="s">
        <v>6419</v>
      </c>
    </row>
    <row r="203" spans="1:19" ht="22" hidden="1" customHeight="1">
      <c r="A203" s="433" t="s">
        <v>6635</v>
      </c>
      <c r="B203" s="433" t="s">
        <v>5397</v>
      </c>
      <c r="C203" s="433"/>
      <c r="D203" s="434" t="s">
        <v>6636</v>
      </c>
      <c r="E203" s="434" t="s">
        <v>6970</v>
      </c>
      <c r="F203" s="434" t="s">
        <v>6971</v>
      </c>
      <c r="G203" s="435">
        <v>0.75</v>
      </c>
      <c r="H203" s="434" t="s">
        <v>7839</v>
      </c>
      <c r="I203" s="434" t="s">
        <v>7349</v>
      </c>
      <c r="J203" s="439" t="s">
        <v>8276</v>
      </c>
      <c r="K203" s="440" t="s">
        <v>8291</v>
      </c>
      <c r="L203" s="449" t="s">
        <v>8338</v>
      </c>
      <c r="M203" s="424" t="s">
        <v>8620</v>
      </c>
      <c r="N203" s="440" t="s">
        <v>8670</v>
      </c>
      <c r="O203" s="440" t="s">
        <v>8677</v>
      </c>
      <c r="P203" s="433" t="s">
        <v>6526</v>
      </c>
      <c r="Q203" s="433" t="s">
        <v>4</v>
      </c>
      <c r="R203" s="433" t="s">
        <v>1211</v>
      </c>
      <c r="S203" s="433" t="s">
        <v>6421</v>
      </c>
    </row>
    <row r="204" spans="1:19" ht="22" hidden="1" customHeight="1">
      <c r="A204" s="433" t="s">
        <v>6637</v>
      </c>
      <c r="B204" s="433" t="s">
        <v>5397</v>
      </c>
      <c r="C204" s="433"/>
      <c r="D204" s="434" t="s">
        <v>6638</v>
      </c>
      <c r="E204" s="434" t="s">
        <v>6972</v>
      </c>
      <c r="F204" s="434" t="s">
        <v>6973</v>
      </c>
      <c r="G204" s="435">
        <v>0.5</v>
      </c>
      <c r="H204" s="434" t="s">
        <v>7839</v>
      </c>
      <c r="I204" s="434" t="s">
        <v>7350</v>
      </c>
      <c r="J204" s="439" t="s">
        <v>8276</v>
      </c>
      <c r="K204" s="440" t="s">
        <v>8291</v>
      </c>
      <c r="L204" s="449" t="s">
        <v>8338</v>
      </c>
      <c r="M204" s="424" t="s">
        <v>8620</v>
      </c>
      <c r="N204" s="440" t="s">
        <v>8670</v>
      </c>
      <c r="O204" s="440" t="s">
        <v>8677</v>
      </c>
      <c r="P204" s="433" t="s">
        <v>6526</v>
      </c>
      <c r="Q204" s="433" t="s">
        <v>4</v>
      </c>
      <c r="R204" s="433" t="s">
        <v>6425</v>
      </c>
      <c r="S204" s="433" t="s">
        <v>6423</v>
      </c>
    </row>
    <row r="205" spans="1:19" ht="22" customHeight="1">
      <c r="A205" s="433" t="s">
        <v>6639</v>
      </c>
      <c r="B205" s="433" t="s">
        <v>5397</v>
      </c>
      <c r="C205" s="433"/>
      <c r="D205" s="434" t="s">
        <v>6640</v>
      </c>
      <c r="E205" s="434" t="s">
        <v>6974</v>
      </c>
      <c r="F205" s="434" t="s">
        <v>6975</v>
      </c>
      <c r="G205" s="435">
        <v>0.5</v>
      </c>
      <c r="H205" s="434" t="s">
        <v>7840</v>
      </c>
      <c r="I205" s="434" t="s">
        <v>7351</v>
      </c>
      <c r="J205" s="439" t="s">
        <v>8277</v>
      </c>
      <c r="K205" s="440" t="s">
        <v>8298</v>
      </c>
      <c r="L205" s="449" t="s">
        <v>8339</v>
      </c>
      <c r="M205" s="424" t="s">
        <v>8628</v>
      </c>
      <c r="N205" s="440" t="s">
        <v>8668</v>
      </c>
      <c r="O205" s="440" t="s">
        <v>8675</v>
      </c>
      <c r="P205" s="433" t="s">
        <v>6526</v>
      </c>
      <c r="Q205" s="433" t="s">
        <v>4</v>
      </c>
      <c r="R205" s="433" t="s">
        <v>6428</v>
      </c>
      <c r="S205" s="433" t="s">
        <v>6426</v>
      </c>
    </row>
    <row r="206" spans="1:19" ht="22" hidden="1" customHeight="1">
      <c r="A206" s="433" t="s">
        <v>6641</v>
      </c>
      <c r="B206" s="433" t="s">
        <v>5397</v>
      </c>
      <c r="C206" s="433"/>
      <c r="D206" s="434" t="s">
        <v>6642</v>
      </c>
      <c r="E206" s="434" t="s">
        <v>7842</v>
      </c>
      <c r="F206" s="434" t="s">
        <v>6976</v>
      </c>
      <c r="G206" s="435">
        <v>0.5</v>
      </c>
      <c r="H206" s="434" t="s">
        <v>7833</v>
      </c>
      <c r="I206" s="434" t="s">
        <v>7841</v>
      </c>
      <c r="J206" s="439" t="s">
        <v>8274</v>
      </c>
      <c r="K206" s="440" t="s">
        <v>8299</v>
      </c>
      <c r="L206" s="449" t="s">
        <v>8340</v>
      </c>
      <c r="M206" s="424" t="s">
        <v>8620</v>
      </c>
      <c r="N206" s="440" t="s">
        <v>8670</v>
      </c>
      <c r="O206" s="440" t="s">
        <v>8677</v>
      </c>
      <c r="P206" s="433" t="s">
        <v>6526</v>
      </c>
      <c r="Q206" s="433" t="s">
        <v>4</v>
      </c>
      <c r="R206" s="433" t="s">
        <v>1439</v>
      </c>
      <c r="S206" s="433" t="s">
        <v>6430</v>
      </c>
    </row>
    <row r="207" spans="1:19" ht="22" hidden="1" customHeight="1">
      <c r="A207" s="433" t="s">
        <v>6643</v>
      </c>
      <c r="B207" s="433" t="s">
        <v>5397</v>
      </c>
      <c r="C207" s="433"/>
      <c r="D207" s="434" t="s">
        <v>6644</v>
      </c>
      <c r="E207" s="434" t="s">
        <v>6977</v>
      </c>
      <c r="F207" s="434" t="s">
        <v>6978</v>
      </c>
      <c r="G207" s="435">
        <v>0.5</v>
      </c>
      <c r="H207" s="434" t="s">
        <v>7840</v>
      </c>
      <c r="I207" s="434" t="s">
        <v>7294</v>
      </c>
      <c r="J207" s="439" t="s">
        <v>8276</v>
      </c>
      <c r="K207" s="440" t="s">
        <v>8291</v>
      </c>
      <c r="L207" s="449" t="s">
        <v>8453</v>
      </c>
      <c r="M207" s="424" t="s">
        <v>8620</v>
      </c>
      <c r="N207" s="440" t="s">
        <v>8670</v>
      </c>
      <c r="O207" s="440" t="s">
        <v>8677</v>
      </c>
      <c r="P207" s="433" t="s">
        <v>6526</v>
      </c>
      <c r="Q207" s="433" t="s">
        <v>4</v>
      </c>
      <c r="R207" s="433" t="s">
        <v>6434</v>
      </c>
      <c r="S207" s="433" t="s">
        <v>6432</v>
      </c>
    </row>
    <row r="208" spans="1:19" ht="22" hidden="1" customHeight="1">
      <c r="A208" s="433" t="s">
        <v>6645</v>
      </c>
      <c r="B208" s="433" t="s">
        <v>5397</v>
      </c>
      <c r="C208" s="433"/>
      <c r="D208" s="434" t="s">
        <v>6646</v>
      </c>
      <c r="E208" s="434" t="s">
        <v>6979</v>
      </c>
      <c r="F208" s="434" t="s">
        <v>6980</v>
      </c>
      <c r="G208" s="435">
        <v>0.5</v>
      </c>
      <c r="H208" s="434" t="s">
        <v>7840</v>
      </c>
      <c r="I208" s="434" t="s">
        <v>7295</v>
      </c>
      <c r="J208" s="439" t="s">
        <v>8276</v>
      </c>
      <c r="K208" s="440" t="s">
        <v>8291</v>
      </c>
      <c r="L208" s="449" t="s">
        <v>8453</v>
      </c>
      <c r="M208" s="424" t="s">
        <v>8620</v>
      </c>
      <c r="N208" s="440" t="s">
        <v>8670</v>
      </c>
      <c r="O208" s="440" t="s">
        <v>8677</v>
      </c>
      <c r="P208" s="433" t="s">
        <v>6526</v>
      </c>
      <c r="Q208" s="433" t="s">
        <v>4</v>
      </c>
      <c r="R208" s="433" t="s">
        <v>6437</v>
      </c>
      <c r="S208" s="433" t="s">
        <v>6435</v>
      </c>
    </row>
    <row r="209" spans="1:19" ht="22" hidden="1" customHeight="1">
      <c r="A209" s="433" t="s">
        <v>6647</v>
      </c>
      <c r="B209" s="433" t="s">
        <v>5397</v>
      </c>
      <c r="C209" s="433"/>
      <c r="D209" s="434" t="s">
        <v>6648</v>
      </c>
      <c r="E209" s="434" t="s">
        <v>6981</v>
      </c>
      <c r="F209" s="434" t="s">
        <v>6982</v>
      </c>
      <c r="G209" s="435">
        <v>0.5</v>
      </c>
      <c r="H209" s="434" t="s">
        <v>7840</v>
      </c>
      <c r="I209" s="434" t="s">
        <v>7352</v>
      </c>
      <c r="J209" s="439" t="s">
        <v>8276</v>
      </c>
      <c r="K209" s="440" t="s">
        <v>8294</v>
      </c>
      <c r="L209" s="449" t="s">
        <v>8322</v>
      </c>
      <c r="M209" s="424" t="s">
        <v>8620</v>
      </c>
      <c r="N209" s="440" t="s">
        <v>8670</v>
      </c>
      <c r="O209" s="440" t="s">
        <v>8677</v>
      </c>
      <c r="P209" s="433" t="s">
        <v>6526</v>
      </c>
      <c r="Q209" s="433" t="s">
        <v>4</v>
      </c>
      <c r="R209" s="433" t="s">
        <v>1437</v>
      </c>
      <c r="S209" s="433" t="s">
        <v>6438</v>
      </c>
    </row>
    <row r="210" spans="1:19" ht="22" hidden="1" customHeight="1">
      <c r="A210" s="433" t="s">
        <v>6649</v>
      </c>
      <c r="B210" s="433" t="s">
        <v>5397</v>
      </c>
      <c r="C210" s="433"/>
      <c r="D210" s="434" t="s">
        <v>6650</v>
      </c>
      <c r="E210" s="434" t="s">
        <v>6983</v>
      </c>
      <c r="F210" s="434" t="s">
        <v>6984</v>
      </c>
      <c r="G210" s="435">
        <v>1</v>
      </c>
      <c r="H210" s="434" t="s">
        <v>7843</v>
      </c>
      <c r="I210" s="434" t="s">
        <v>7300</v>
      </c>
      <c r="J210" s="439" t="s">
        <v>8274</v>
      </c>
      <c r="K210" s="440" t="s">
        <v>8299</v>
      </c>
      <c r="L210" s="449" t="s">
        <v>8320</v>
      </c>
      <c r="M210" s="424" t="s">
        <v>8620</v>
      </c>
      <c r="N210" s="440" t="s">
        <v>8670</v>
      </c>
      <c r="O210" s="440" t="s">
        <v>8677</v>
      </c>
      <c r="P210" s="433" t="s">
        <v>6526</v>
      </c>
      <c r="Q210" s="433" t="s">
        <v>4</v>
      </c>
      <c r="R210" s="433" t="s">
        <v>6443</v>
      </c>
      <c r="S210" s="433" t="s">
        <v>6440</v>
      </c>
    </row>
    <row r="211" spans="1:19" ht="22" hidden="1" customHeight="1">
      <c r="A211" s="433" t="s">
        <v>6651</v>
      </c>
      <c r="B211" s="433" t="s">
        <v>5397</v>
      </c>
      <c r="C211" s="433"/>
      <c r="D211" s="434" t="s">
        <v>6652</v>
      </c>
      <c r="E211" s="434" t="s">
        <v>6985</v>
      </c>
      <c r="F211" s="434" t="s">
        <v>6986</v>
      </c>
      <c r="G211" s="435">
        <v>0.5</v>
      </c>
      <c r="H211" s="434" t="s">
        <v>7843</v>
      </c>
      <c r="I211" s="434" t="s">
        <v>7353</v>
      </c>
      <c r="J211" s="439" t="s">
        <v>8274</v>
      </c>
      <c r="K211" s="440" t="s">
        <v>8299</v>
      </c>
      <c r="L211" s="449" t="s">
        <v>8320</v>
      </c>
      <c r="M211" s="424" t="s">
        <v>8620</v>
      </c>
      <c r="N211" s="440" t="s">
        <v>8670</v>
      </c>
      <c r="O211" s="440" t="s">
        <v>8677</v>
      </c>
      <c r="P211" s="433" t="s">
        <v>6526</v>
      </c>
      <c r="Q211" s="433" t="s">
        <v>4</v>
      </c>
      <c r="R211" s="433" t="s">
        <v>1049</v>
      </c>
      <c r="S211" s="433" t="s">
        <v>6445</v>
      </c>
    </row>
    <row r="212" spans="1:19" ht="22" hidden="1" customHeight="1">
      <c r="A212" s="433" t="s">
        <v>6653</v>
      </c>
      <c r="B212" s="433" t="s">
        <v>5397</v>
      </c>
      <c r="C212" s="433"/>
      <c r="D212" s="434" t="s">
        <v>7600</v>
      </c>
      <c r="E212" s="434" t="s">
        <v>6987</v>
      </c>
      <c r="F212" s="434" t="s">
        <v>6988</v>
      </c>
      <c r="G212" s="435">
        <v>0.75</v>
      </c>
      <c r="H212" s="434" t="s">
        <v>7844</v>
      </c>
      <c r="I212" s="434" t="s">
        <v>7354</v>
      </c>
      <c r="J212" s="439" t="s">
        <v>8274</v>
      </c>
      <c r="K212" s="440" t="s">
        <v>8299</v>
      </c>
      <c r="L212" s="449" t="s">
        <v>8341</v>
      </c>
      <c r="M212" s="424" t="s">
        <v>8620</v>
      </c>
      <c r="N212" s="440" t="s">
        <v>8670</v>
      </c>
      <c r="O212" s="440" t="s">
        <v>8677</v>
      </c>
      <c r="P212" s="433" t="s">
        <v>6526</v>
      </c>
      <c r="Q212" s="433" t="s">
        <v>4</v>
      </c>
      <c r="R212" s="433" t="s">
        <v>913</v>
      </c>
      <c r="S212" s="433" t="s">
        <v>6447</v>
      </c>
    </row>
    <row r="213" spans="1:19" ht="22" hidden="1" customHeight="1">
      <c r="A213" s="433" t="s">
        <v>6654</v>
      </c>
      <c r="B213" s="433" t="s">
        <v>5397</v>
      </c>
      <c r="C213" s="433"/>
      <c r="D213" s="434" t="s">
        <v>6655</v>
      </c>
      <c r="E213" s="434" t="s">
        <v>6989</v>
      </c>
      <c r="F213" s="434" t="s">
        <v>6990</v>
      </c>
      <c r="G213" s="435">
        <v>0.5</v>
      </c>
      <c r="H213" s="434" t="s">
        <v>7844</v>
      </c>
      <c r="I213" s="434" t="s">
        <v>7355</v>
      </c>
      <c r="J213" s="439" t="s">
        <v>8274</v>
      </c>
      <c r="K213" s="440" t="s">
        <v>8299</v>
      </c>
      <c r="L213" s="449" t="s">
        <v>8341</v>
      </c>
      <c r="M213" s="424" t="s">
        <v>8620</v>
      </c>
      <c r="N213" s="440" t="s">
        <v>8670</v>
      </c>
      <c r="O213" s="440" t="s">
        <v>8677</v>
      </c>
      <c r="P213" s="433" t="s">
        <v>6526</v>
      </c>
      <c r="Q213" s="433" t="s">
        <v>4</v>
      </c>
      <c r="R213" s="433" t="s">
        <v>6451</v>
      </c>
      <c r="S213" s="433" t="s">
        <v>6449</v>
      </c>
    </row>
    <row r="214" spans="1:19" ht="22" hidden="1" customHeight="1">
      <c r="A214" s="433" t="s">
        <v>6656</v>
      </c>
      <c r="B214" s="433" t="s">
        <v>5397</v>
      </c>
      <c r="C214" s="433"/>
      <c r="D214" s="434" t="s">
        <v>6657</v>
      </c>
      <c r="E214" s="434" t="s">
        <v>6991</v>
      </c>
      <c r="F214" s="434" t="s">
        <v>6992</v>
      </c>
      <c r="G214" s="435">
        <v>0.75</v>
      </c>
      <c r="H214" s="434" t="s">
        <v>7845</v>
      </c>
      <c r="I214" s="434" t="s">
        <v>7292</v>
      </c>
      <c r="J214" s="439" t="s">
        <v>8276</v>
      </c>
      <c r="K214" s="440" t="s">
        <v>8295</v>
      </c>
      <c r="L214" s="449" t="s">
        <v>8311</v>
      </c>
      <c r="M214" s="424" t="s">
        <v>8627</v>
      </c>
      <c r="N214" s="440" t="s">
        <v>8670</v>
      </c>
      <c r="O214" s="440" t="s">
        <v>8677</v>
      </c>
      <c r="P214" s="433" t="s">
        <v>6526</v>
      </c>
      <c r="Q214" s="433" t="s">
        <v>4</v>
      </c>
      <c r="R214" s="433" t="s">
        <v>6454</v>
      </c>
      <c r="S214" s="433" t="s">
        <v>6452</v>
      </c>
    </row>
    <row r="215" spans="1:19" ht="22" hidden="1" customHeight="1">
      <c r="A215" s="433" t="s">
        <v>6658</v>
      </c>
      <c r="B215" s="433" t="s">
        <v>5397</v>
      </c>
      <c r="C215" s="433"/>
      <c r="D215" s="434" t="s">
        <v>6659</v>
      </c>
      <c r="E215" s="434" t="s">
        <v>6993</v>
      </c>
      <c r="F215" s="434" t="s">
        <v>6994</v>
      </c>
      <c r="G215" s="435">
        <v>0.75</v>
      </c>
      <c r="H215" s="434" t="s">
        <v>7845</v>
      </c>
      <c r="I215" s="434" t="s">
        <v>7356</v>
      </c>
      <c r="J215" s="439" t="s">
        <v>8276</v>
      </c>
      <c r="K215" s="440" t="s">
        <v>8295</v>
      </c>
      <c r="L215" s="449" t="s">
        <v>8311</v>
      </c>
      <c r="M215" s="424" t="s">
        <v>8620</v>
      </c>
      <c r="N215" s="440" t="s">
        <v>8670</v>
      </c>
      <c r="O215" s="440" t="s">
        <v>8677</v>
      </c>
      <c r="P215" s="433" t="s">
        <v>6526</v>
      </c>
      <c r="Q215" s="433" t="s">
        <v>4</v>
      </c>
      <c r="R215" s="433" t="s">
        <v>2621</v>
      </c>
      <c r="S215" s="433" t="s">
        <v>6456</v>
      </c>
    </row>
    <row r="216" spans="1:19" ht="22" hidden="1" customHeight="1">
      <c r="A216" s="433" t="s">
        <v>6660</v>
      </c>
      <c r="B216" s="433" t="s">
        <v>5397</v>
      </c>
      <c r="C216" s="433"/>
      <c r="D216" s="434" t="s">
        <v>6661</v>
      </c>
      <c r="E216" s="434" t="s">
        <v>7848</v>
      </c>
      <c r="F216" s="434" t="s">
        <v>6995</v>
      </c>
      <c r="G216" s="435">
        <v>0.5</v>
      </c>
      <c r="H216" s="434" t="s">
        <v>7846</v>
      </c>
      <c r="I216" s="434" t="s">
        <v>7847</v>
      </c>
      <c r="J216" s="439" t="s">
        <v>8276</v>
      </c>
      <c r="K216" s="440" t="s">
        <v>8295</v>
      </c>
      <c r="L216" s="449" t="s">
        <v>8318</v>
      </c>
      <c r="M216" s="424" t="s">
        <v>8620</v>
      </c>
      <c r="N216" s="440" t="s">
        <v>8668</v>
      </c>
      <c r="O216" s="440" t="s">
        <v>8677</v>
      </c>
      <c r="P216" s="433" t="s">
        <v>6526</v>
      </c>
      <c r="Q216" s="433" t="s">
        <v>4</v>
      </c>
      <c r="R216" s="433" t="s">
        <v>6460</v>
      </c>
      <c r="S216" s="433" t="s">
        <v>6458</v>
      </c>
    </row>
    <row r="217" spans="1:19" ht="22" hidden="1" customHeight="1">
      <c r="A217" s="433" t="s">
        <v>6662</v>
      </c>
      <c r="B217" s="433" t="s">
        <v>5397</v>
      </c>
      <c r="C217" s="433"/>
      <c r="D217" s="434" t="s">
        <v>6663</v>
      </c>
      <c r="E217" s="434" t="s">
        <v>7850</v>
      </c>
      <c r="F217" s="434" t="s">
        <v>6996</v>
      </c>
      <c r="G217" s="435">
        <v>0.5</v>
      </c>
      <c r="H217" s="434" t="s">
        <v>7846</v>
      </c>
      <c r="I217" s="434" t="s">
        <v>7849</v>
      </c>
      <c r="J217" s="439" t="s">
        <v>8276</v>
      </c>
      <c r="K217" s="440" t="s">
        <v>8294</v>
      </c>
      <c r="L217" s="449" t="s">
        <v>8322</v>
      </c>
      <c r="M217" s="424" t="s">
        <v>8620</v>
      </c>
      <c r="N217" s="440" t="s">
        <v>8670</v>
      </c>
      <c r="O217" s="440" t="s">
        <v>8677</v>
      </c>
      <c r="P217" s="433" t="s">
        <v>6526</v>
      </c>
      <c r="Q217" s="433" t="s">
        <v>4</v>
      </c>
      <c r="R217" s="433" t="s">
        <v>6463</v>
      </c>
      <c r="S217" s="433" t="s">
        <v>6461</v>
      </c>
    </row>
    <row r="218" spans="1:19" ht="22" customHeight="1">
      <c r="A218" s="433" t="s">
        <v>6664</v>
      </c>
      <c r="B218" s="433" t="s">
        <v>5397</v>
      </c>
      <c r="C218" s="433"/>
      <c r="D218" s="434" t="s">
        <v>6665</v>
      </c>
      <c r="E218" s="434" t="s">
        <v>6997</v>
      </c>
      <c r="F218" s="434" t="s">
        <v>6998</v>
      </c>
      <c r="G218" s="435">
        <v>0.5</v>
      </c>
      <c r="H218" s="434" t="s">
        <v>7851</v>
      </c>
      <c r="I218" s="434" t="s">
        <v>7357</v>
      </c>
      <c r="J218" s="439" t="s">
        <v>8276</v>
      </c>
      <c r="K218" s="440" t="s">
        <v>8294</v>
      </c>
      <c r="L218" s="449" t="s">
        <v>8322</v>
      </c>
      <c r="M218" s="424" t="s">
        <v>8620</v>
      </c>
      <c r="N218" s="440" t="s">
        <v>8668</v>
      </c>
      <c r="O218" s="440" t="s">
        <v>8675</v>
      </c>
      <c r="P218" s="433" t="s">
        <v>6526</v>
      </c>
      <c r="Q218" s="433" t="s">
        <v>4</v>
      </c>
      <c r="R218" s="433" t="s">
        <v>1439</v>
      </c>
      <c r="S218" s="433" t="s">
        <v>6464</v>
      </c>
    </row>
    <row r="219" spans="1:19" ht="22" hidden="1" customHeight="1">
      <c r="A219" s="433" t="s">
        <v>6666</v>
      </c>
      <c r="B219" s="433" t="s">
        <v>5397</v>
      </c>
      <c r="C219" s="433"/>
      <c r="D219" s="434" t="s">
        <v>6667</v>
      </c>
      <c r="E219" s="434" t="s">
        <v>6999</v>
      </c>
      <c r="F219" s="434" t="s">
        <v>7000</v>
      </c>
      <c r="G219" s="435">
        <v>0.75</v>
      </c>
      <c r="H219" s="434" t="s">
        <v>7852</v>
      </c>
      <c r="I219" s="434" t="s">
        <v>7299</v>
      </c>
      <c r="J219" s="439" t="s">
        <v>8276</v>
      </c>
      <c r="K219" s="440" t="s">
        <v>8294</v>
      </c>
      <c r="L219" s="449" t="s">
        <v>8319</v>
      </c>
      <c r="M219" s="424" t="s">
        <v>8620</v>
      </c>
      <c r="N219" s="440" t="s">
        <v>8670</v>
      </c>
      <c r="O219" s="440" t="s">
        <v>8677</v>
      </c>
      <c r="P219" s="433" t="s">
        <v>6526</v>
      </c>
      <c r="Q219" s="433" t="s">
        <v>4</v>
      </c>
      <c r="R219" s="433" t="s">
        <v>2585</v>
      </c>
      <c r="S219" s="433" t="s">
        <v>6466</v>
      </c>
    </row>
    <row r="220" spans="1:19" ht="22" hidden="1" customHeight="1">
      <c r="A220" s="433" t="s">
        <v>6668</v>
      </c>
      <c r="B220" s="433" t="s">
        <v>5397</v>
      </c>
      <c r="C220" s="433"/>
      <c r="D220" s="434" t="s">
        <v>6669</v>
      </c>
      <c r="E220" s="434" t="s">
        <v>7001</v>
      </c>
      <c r="F220" s="434" t="s">
        <v>7002</v>
      </c>
      <c r="G220" s="435">
        <v>0.5</v>
      </c>
      <c r="H220" s="434" t="s">
        <v>7852</v>
      </c>
      <c r="I220" s="434" t="s">
        <v>7358</v>
      </c>
      <c r="J220" s="439" t="s">
        <v>8276</v>
      </c>
      <c r="K220" s="440" t="s">
        <v>8294</v>
      </c>
      <c r="L220" s="449" t="s">
        <v>8319</v>
      </c>
      <c r="M220" s="424" t="s">
        <v>8620</v>
      </c>
      <c r="N220" s="440" t="s">
        <v>8670</v>
      </c>
      <c r="O220" s="440" t="s">
        <v>8677</v>
      </c>
      <c r="P220" s="433" t="s">
        <v>6526</v>
      </c>
      <c r="Q220" s="433" t="s">
        <v>4</v>
      </c>
      <c r="R220" s="433" t="s">
        <v>6472</v>
      </c>
      <c r="S220" s="433" t="s">
        <v>6470</v>
      </c>
    </row>
    <row r="221" spans="1:19" ht="22" hidden="1" customHeight="1">
      <c r="A221" s="433" t="s">
        <v>6670</v>
      </c>
      <c r="B221" s="433" t="s">
        <v>5397</v>
      </c>
      <c r="C221" s="433"/>
      <c r="D221" s="434" t="s">
        <v>6671</v>
      </c>
      <c r="E221" s="434" t="s">
        <v>7003</v>
      </c>
      <c r="F221" s="434" t="s">
        <v>7004</v>
      </c>
      <c r="G221" s="435">
        <v>0.5</v>
      </c>
      <c r="H221" s="434" t="s">
        <v>7852</v>
      </c>
      <c r="I221" s="434" t="s">
        <v>7359</v>
      </c>
      <c r="J221" s="439" t="s">
        <v>8276</v>
      </c>
      <c r="K221" s="440" t="s">
        <v>8294</v>
      </c>
      <c r="L221" s="449" t="s">
        <v>8319</v>
      </c>
      <c r="M221" s="424" t="s">
        <v>8620</v>
      </c>
      <c r="N221" s="440" t="s">
        <v>8670</v>
      </c>
      <c r="O221" s="440" t="s">
        <v>8677</v>
      </c>
      <c r="P221" s="433" t="s">
        <v>6526</v>
      </c>
      <c r="Q221" s="433" t="s">
        <v>4</v>
      </c>
      <c r="R221" s="433" t="s">
        <v>2520</v>
      </c>
      <c r="S221" s="433" t="s">
        <v>6473</v>
      </c>
    </row>
    <row r="222" spans="1:19" ht="22" hidden="1" customHeight="1">
      <c r="A222" s="433" t="s">
        <v>6672</v>
      </c>
      <c r="B222" s="433" t="s">
        <v>5397</v>
      </c>
      <c r="C222" s="433"/>
      <c r="D222" s="434" t="s">
        <v>6673</v>
      </c>
      <c r="E222" s="434" t="s">
        <v>7005</v>
      </c>
      <c r="F222" s="434" t="s">
        <v>7006</v>
      </c>
      <c r="G222" s="435">
        <v>1</v>
      </c>
      <c r="H222" s="434" t="s">
        <v>7853</v>
      </c>
      <c r="I222" s="434" t="s">
        <v>7302</v>
      </c>
      <c r="J222" s="439" t="s">
        <v>8274</v>
      </c>
      <c r="K222" s="440" t="s">
        <v>8292</v>
      </c>
      <c r="L222" s="449" t="s">
        <v>8323</v>
      </c>
      <c r="M222" s="424" t="s">
        <v>8620</v>
      </c>
      <c r="N222" s="440" t="s">
        <v>8670</v>
      </c>
      <c r="O222" s="440" t="s">
        <v>8677</v>
      </c>
      <c r="P222" s="433" t="s">
        <v>6526</v>
      </c>
      <c r="Q222" s="433" t="s">
        <v>4</v>
      </c>
      <c r="R222" s="433" t="s">
        <v>1254</v>
      </c>
      <c r="S222" s="433" t="s">
        <v>6475</v>
      </c>
    </row>
    <row r="223" spans="1:19" ht="22" hidden="1" customHeight="1">
      <c r="A223" s="433" t="s">
        <v>6674</v>
      </c>
      <c r="B223" s="433" t="s">
        <v>5397</v>
      </c>
      <c r="C223" s="433"/>
      <c r="D223" s="434" t="s">
        <v>6675</v>
      </c>
      <c r="E223" s="434" t="s">
        <v>7856</v>
      </c>
      <c r="F223" s="434" t="s">
        <v>7007</v>
      </c>
      <c r="G223" s="435">
        <v>0.5</v>
      </c>
      <c r="H223" s="434" t="s">
        <v>7854</v>
      </c>
      <c r="I223" s="434" t="s">
        <v>7855</v>
      </c>
      <c r="J223" s="439" t="s">
        <v>8276</v>
      </c>
      <c r="K223" s="440" t="s">
        <v>8613</v>
      </c>
      <c r="L223" s="449" t="s">
        <v>8617</v>
      </c>
      <c r="M223" s="424" t="s">
        <v>8629</v>
      </c>
      <c r="N223" s="440" t="s">
        <v>8670</v>
      </c>
      <c r="O223" s="440" t="s">
        <v>8677</v>
      </c>
      <c r="P223" s="433" t="s">
        <v>6526</v>
      </c>
      <c r="Q223" s="433" t="s">
        <v>4</v>
      </c>
      <c r="R223" s="433" t="s">
        <v>2501</v>
      </c>
      <c r="S223" s="433" t="s">
        <v>6478</v>
      </c>
    </row>
    <row r="224" spans="1:19" ht="22" hidden="1" customHeight="1">
      <c r="A224" s="433" t="s">
        <v>6676</v>
      </c>
      <c r="B224" s="433" t="s">
        <v>5397</v>
      </c>
      <c r="C224" s="433"/>
      <c r="D224" s="434" t="s">
        <v>6677</v>
      </c>
      <c r="E224" s="434" t="s">
        <v>7008</v>
      </c>
      <c r="F224" s="434" t="s">
        <v>7009</v>
      </c>
      <c r="G224" s="435">
        <v>0.5</v>
      </c>
      <c r="H224" s="434" t="s">
        <v>7854</v>
      </c>
      <c r="I224" s="434" t="s">
        <v>7360</v>
      </c>
      <c r="J224" s="439" t="s">
        <v>8274</v>
      </c>
      <c r="K224" s="440" t="s">
        <v>8613</v>
      </c>
      <c r="L224" s="449" t="s">
        <v>8705</v>
      </c>
      <c r="M224" s="424" t="s">
        <v>8629</v>
      </c>
      <c r="N224" s="440" t="s">
        <v>8670</v>
      </c>
      <c r="O224" s="440" t="s">
        <v>8677</v>
      </c>
      <c r="P224" s="433" t="s">
        <v>6526</v>
      </c>
      <c r="Q224" s="433" t="s">
        <v>4</v>
      </c>
      <c r="R224" s="433" t="s">
        <v>2692</v>
      </c>
      <c r="S224" s="433" t="s">
        <v>6480</v>
      </c>
    </row>
    <row r="225" spans="1:19" ht="22" customHeight="1">
      <c r="A225" s="433" t="s">
        <v>6678</v>
      </c>
      <c r="B225" s="433" t="s">
        <v>5397</v>
      </c>
      <c r="C225" s="433"/>
      <c r="D225" s="434" t="s">
        <v>6679</v>
      </c>
      <c r="E225" s="434" t="s">
        <v>7010</v>
      </c>
      <c r="F225" s="434" t="s">
        <v>7011</v>
      </c>
      <c r="G225" s="435">
        <v>0.5</v>
      </c>
      <c r="H225" s="434" t="s">
        <v>7853</v>
      </c>
      <c r="I225" s="434" t="s">
        <v>7361</v>
      </c>
      <c r="J225" s="439" t="s">
        <v>8276</v>
      </c>
      <c r="K225" s="440" t="s">
        <v>8293</v>
      </c>
      <c r="L225" s="449" t="s">
        <v>8342</v>
      </c>
      <c r="M225" s="424" t="s">
        <v>8620</v>
      </c>
      <c r="N225" s="440" t="s">
        <v>8668</v>
      </c>
      <c r="O225" s="440" t="s">
        <v>8675</v>
      </c>
      <c r="P225" s="433" t="s">
        <v>6526</v>
      </c>
      <c r="Q225" s="433" t="s">
        <v>4</v>
      </c>
      <c r="R225" s="433" t="s">
        <v>6484</v>
      </c>
      <c r="S225" s="433" t="s">
        <v>6482</v>
      </c>
    </row>
    <row r="226" spans="1:19" ht="22" hidden="1" customHeight="1">
      <c r="A226" s="433" t="s">
        <v>6680</v>
      </c>
      <c r="B226" s="433" t="s">
        <v>5397</v>
      </c>
      <c r="C226" s="433"/>
      <c r="D226" s="434" t="s">
        <v>7601</v>
      </c>
      <c r="E226" s="434" t="s">
        <v>7012</v>
      </c>
      <c r="F226" s="434" t="s">
        <v>7013</v>
      </c>
      <c r="G226" s="435">
        <v>1</v>
      </c>
      <c r="H226" s="434" t="s">
        <v>7857</v>
      </c>
      <c r="I226" s="434" t="s">
        <v>7362</v>
      </c>
      <c r="J226" s="439" t="s">
        <v>8276</v>
      </c>
      <c r="K226" s="440" t="s">
        <v>8295</v>
      </c>
      <c r="L226" s="449" t="s">
        <v>8706</v>
      </c>
      <c r="M226" s="424" t="s">
        <v>8620</v>
      </c>
      <c r="N226" s="440" t="s">
        <v>8668</v>
      </c>
      <c r="O226" s="440" t="s">
        <v>8677</v>
      </c>
      <c r="P226" s="433" t="s">
        <v>6526</v>
      </c>
      <c r="Q226" s="433" t="s">
        <v>4</v>
      </c>
      <c r="R226" s="433" t="s">
        <v>6488</v>
      </c>
      <c r="S226" s="433" t="s">
        <v>6486</v>
      </c>
    </row>
    <row r="227" spans="1:19" ht="22" hidden="1" customHeight="1">
      <c r="A227" s="433" t="s">
        <v>6681</v>
      </c>
      <c r="B227" s="433" t="s">
        <v>5397</v>
      </c>
      <c r="C227" s="433"/>
      <c r="D227" s="434" t="s">
        <v>7788</v>
      </c>
      <c r="E227" s="434" t="s">
        <v>7014</v>
      </c>
      <c r="F227" s="434" t="s">
        <v>7015</v>
      </c>
      <c r="G227" s="435">
        <v>0.5</v>
      </c>
      <c r="H227" s="434" t="s">
        <v>7857</v>
      </c>
      <c r="I227" s="434" t="s">
        <v>7363</v>
      </c>
      <c r="J227" s="439" t="s">
        <v>8276</v>
      </c>
      <c r="K227" s="440" t="s">
        <v>8292</v>
      </c>
      <c r="L227" s="449" t="s">
        <v>8343</v>
      </c>
      <c r="M227" s="424" t="s">
        <v>8620</v>
      </c>
      <c r="N227" s="440" t="s">
        <v>8668</v>
      </c>
      <c r="O227" s="440" t="s">
        <v>8677</v>
      </c>
      <c r="P227" s="433" t="s">
        <v>6526</v>
      </c>
      <c r="Q227" s="433" t="s">
        <v>4</v>
      </c>
      <c r="R227" s="433" t="s">
        <v>2678</v>
      </c>
      <c r="S227" s="433" t="s">
        <v>6489</v>
      </c>
    </row>
    <row r="228" spans="1:19" ht="22" hidden="1" customHeight="1">
      <c r="A228" s="433" t="s">
        <v>6682</v>
      </c>
      <c r="B228" s="433" t="s">
        <v>5397</v>
      </c>
      <c r="C228" s="433"/>
      <c r="D228" s="434" t="s">
        <v>6683</v>
      </c>
      <c r="E228" s="434" t="s">
        <v>7016</v>
      </c>
      <c r="F228" s="434" t="s">
        <v>7017</v>
      </c>
      <c r="G228" s="435">
        <v>0.5</v>
      </c>
      <c r="H228" s="434" t="s">
        <v>7857</v>
      </c>
      <c r="I228" s="434" t="s">
        <v>7364</v>
      </c>
      <c r="J228" s="439" t="s">
        <v>8276</v>
      </c>
      <c r="K228" s="440" t="s">
        <v>8292</v>
      </c>
      <c r="L228" s="449" t="s">
        <v>8343</v>
      </c>
      <c r="M228" s="424" t="s">
        <v>8620</v>
      </c>
      <c r="N228" s="440" t="s">
        <v>8670</v>
      </c>
      <c r="O228" s="440" t="s">
        <v>8677</v>
      </c>
      <c r="P228" s="433" t="s">
        <v>6526</v>
      </c>
      <c r="Q228" s="433" t="s">
        <v>4</v>
      </c>
      <c r="R228" s="433" t="s">
        <v>2684</v>
      </c>
      <c r="S228" s="433" t="s">
        <v>6491</v>
      </c>
    </row>
    <row r="229" spans="1:19" ht="22" hidden="1" customHeight="1">
      <c r="A229" s="433" t="s">
        <v>6684</v>
      </c>
      <c r="B229" s="433" t="s">
        <v>5397</v>
      </c>
      <c r="C229" s="433"/>
      <c r="D229" s="434" t="s">
        <v>6685</v>
      </c>
      <c r="E229" s="434" t="s">
        <v>7018</v>
      </c>
      <c r="F229" s="434" t="s">
        <v>7019</v>
      </c>
      <c r="G229" s="435">
        <v>0.5</v>
      </c>
      <c r="H229" s="434" t="s">
        <v>7858</v>
      </c>
      <c r="I229" s="434" t="s">
        <v>7365</v>
      </c>
      <c r="J229" s="439" t="s">
        <v>8276</v>
      </c>
      <c r="K229" s="440" t="s">
        <v>8292</v>
      </c>
      <c r="L229" s="449" t="s">
        <v>8343</v>
      </c>
      <c r="M229" s="424" t="s">
        <v>8620</v>
      </c>
      <c r="N229" s="440" t="s">
        <v>8670</v>
      </c>
      <c r="O229" s="440" t="s">
        <v>8677</v>
      </c>
      <c r="P229" s="433" t="s">
        <v>6526</v>
      </c>
      <c r="Q229" s="433" t="s">
        <v>4</v>
      </c>
      <c r="R229" s="433" t="s">
        <v>6495</v>
      </c>
      <c r="S229" s="433" t="s">
        <v>6493</v>
      </c>
    </row>
    <row r="230" spans="1:19" ht="22" hidden="1" customHeight="1">
      <c r="A230" s="433" t="s">
        <v>6686</v>
      </c>
      <c r="B230" s="433" t="s">
        <v>5397</v>
      </c>
      <c r="C230" s="433"/>
      <c r="D230" s="434" t="s">
        <v>6687</v>
      </c>
      <c r="E230" s="434" t="s">
        <v>7020</v>
      </c>
      <c r="F230" s="434" t="s">
        <v>7021</v>
      </c>
      <c r="G230" s="435">
        <v>0.5</v>
      </c>
      <c r="H230" s="434" t="s">
        <v>7853</v>
      </c>
      <c r="I230" s="434" t="s">
        <v>7303</v>
      </c>
      <c r="J230" s="439" t="s">
        <v>8276</v>
      </c>
      <c r="K230" s="440" t="s">
        <v>8294</v>
      </c>
      <c r="L230" s="449" t="s">
        <v>8324</v>
      </c>
      <c r="M230" s="424" t="s">
        <v>8620</v>
      </c>
      <c r="N230" s="440" t="s">
        <v>8670</v>
      </c>
      <c r="O230" s="440" t="s">
        <v>8677</v>
      </c>
      <c r="P230" s="433" t="s">
        <v>6526</v>
      </c>
      <c r="Q230" s="433" t="s">
        <v>4</v>
      </c>
      <c r="R230" s="433" t="s">
        <v>6498</v>
      </c>
      <c r="S230" s="433" t="s">
        <v>6496</v>
      </c>
    </row>
    <row r="231" spans="1:19" ht="22" hidden="1" customHeight="1">
      <c r="A231" s="433" t="s">
        <v>6688</v>
      </c>
      <c r="B231" s="433" t="s">
        <v>5397</v>
      </c>
      <c r="C231" s="433"/>
      <c r="D231" s="434" t="s">
        <v>6689</v>
      </c>
      <c r="E231" s="434" t="s">
        <v>7022</v>
      </c>
      <c r="F231" s="434" t="s">
        <v>7023</v>
      </c>
      <c r="G231" s="435">
        <v>0.75</v>
      </c>
      <c r="H231" s="434" t="s">
        <v>7859</v>
      </c>
      <c r="I231" s="434" t="s">
        <v>7366</v>
      </c>
      <c r="J231" s="439" t="s">
        <v>8276</v>
      </c>
      <c r="K231" s="440" t="s">
        <v>8295</v>
      </c>
      <c r="L231" s="449" t="s">
        <v>8310</v>
      </c>
      <c r="M231" s="424" t="s">
        <v>8620</v>
      </c>
      <c r="N231" s="440" t="s">
        <v>8670</v>
      </c>
      <c r="O231" s="440" t="s">
        <v>8677</v>
      </c>
      <c r="P231" s="433" t="s">
        <v>6526</v>
      </c>
      <c r="Q231" s="433" t="s">
        <v>4</v>
      </c>
      <c r="R231" s="433" t="s">
        <v>6502</v>
      </c>
      <c r="S231" s="433" t="s">
        <v>6499</v>
      </c>
    </row>
    <row r="232" spans="1:19" ht="22" hidden="1" customHeight="1">
      <c r="A232" s="433" t="s">
        <v>6690</v>
      </c>
      <c r="B232" s="433" t="s">
        <v>5397</v>
      </c>
      <c r="C232" s="433"/>
      <c r="D232" s="434" t="s">
        <v>6691</v>
      </c>
      <c r="E232" s="434" t="s">
        <v>7024</v>
      </c>
      <c r="F232" s="434" t="s">
        <v>7025</v>
      </c>
      <c r="G232" s="435">
        <v>0.75</v>
      </c>
      <c r="H232" s="434" t="s">
        <v>7860</v>
      </c>
      <c r="I232" s="434" t="s">
        <v>7367</v>
      </c>
      <c r="J232" s="439" t="s">
        <v>8276</v>
      </c>
      <c r="K232" s="440" t="s">
        <v>8613</v>
      </c>
      <c r="L232" s="449" t="s">
        <v>8618</v>
      </c>
      <c r="M232" s="424" t="s">
        <v>8629</v>
      </c>
      <c r="N232" s="440" t="s">
        <v>8668</v>
      </c>
      <c r="O232" s="440" t="s">
        <v>8677</v>
      </c>
      <c r="P232" s="433" t="s">
        <v>6526</v>
      </c>
      <c r="Q232" s="433" t="s">
        <v>4</v>
      </c>
      <c r="R232" s="433" t="s">
        <v>2501</v>
      </c>
      <c r="S232" s="433" t="s">
        <v>6504</v>
      </c>
    </row>
    <row r="233" spans="1:19" ht="22" hidden="1" customHeight="1">
      <c r="A233" s="433" t="s">
        <v>6692</v>
      </c>
      <c r="B233" s="433" t="s">
        <v>5397</v>
      </c>
      <c r="C233" s="433"/>
      <c r="D233" s="434" t="s">
        <v>6693</v>
      </c>
      <c r="E233" s="434" t="s">
        <v>7026</v>
      </c>
      <c r="F233" s="434" t="s">
        <v>7027</v>
      </c>
      <c r="G233" s="435">
        <v>0.5</v>
      </c>
      <c r="H233" s="434" t="s">
        <v>7860</v>
      </c>
      <c r="I233" s="434" t="s">
        <v>7368</v>
      </c>
      <c r="J233" s="439" t="s">
        <v>8276</v>
      </c>
      <c r="K233" s="440" t="s">
        <v>8295</v>
      </c>
      <c r="L233" s="449" t="s">
        <v>8344</v>
      </c>
      <c r="M233" s="424" t="s">
        <v>8620</v>
      </c>
      <c r="N233" s="440" t="s">
        <v>8668</v>
      </c>
      <c r="O233" s="440" t="s">
        <v>8677</v>
      </c>
      <c r="P233" s="433" t="s">
        <v>6526</v>
      </c>
      <c r="Q233" s="433" t="s">
        <v>4</v>
      </c>
      <c r="R233" s="433" t="s">
        <v>6508</v>
      </c>
      <c r="S233" s="433" t="s">
        <v>6506</v>
      </c>
    </row>
    <row r="234" spans="1:19" ht="22" customHeight="1">
      <c r="A234" s="433" t="s">
        <v>6694</v>
      </c>
      <c r="B234" s="433" t="s">
        <v>5397</v>
      </c>
      <c r="C234" s="433"/>
      <c r="D234" s="434" t="s">
        <v>6695</v>
      </c>
      <c r="E234" s="434" t="s">
        <v>7028</v>
      </c>
      <c r="F234" s="434" t="s">
        <v>7029</v>
      </c>
      <c r="G234" s="435">
        <v>0.5</v>
      </c>
      <c r="H234" s="434" t="s">
        <v>7861</v>
      </c>
      <c r="I234" s="434" t="s">
        <v>7369</v>
      </c>
      <c r="J234" s="439" t="s">
        <v>8276</v>
      </c>
      <c r="K234" s="440" t="s">
        <v>8295</v>
      </c>
      <c r="L234" s="449" t="s">
        <v>8345</v>
      </c>
      <c r="M234" s="424" t="s">
        <v>8620</v>
      </c>
      <c r="N234" s="440" t="s">
        <v>8668</v>
      </c>
      <c r="O234" s="440" t="s">
        <v>8675</v>
      </c>
      <c r="P234" s="433" t="s">
        <v>6526</v>
      </c>
      <c r="Q234" s="433" t="s">
        <v>4</v>
      </c>
      <c r="R234" s="433" t="s">
        <v>6511</v>
      </c>
      <c r="S234" s="433" t="s">
        <v>6509</v>
      </c>
    </row>
    <row r="235" spans="1:19" ht="22" customHeight="1">
      <c r="A235" s="433" t="s">
        <v>6696</v>
      </c>
      <c r="B235" s="433" t="s">
        <v>5397</v>
      </c>
      <c r="C235" s="433"/>
      <c r="D235" s="434" t="s">
        <v>6697</v>
      </c>
      <c r="E235" s="434" t="s">
        <v>7030</v>
      </c>
      <c r="F235" s="434" t="s">
        <v>7031</v>
      </c>
      <c r="G235" s="435">
        <v>0.5</v>
      </c>
      <c r="H235" s="434" t="s">
        <v>7861</v>
      </c>
      <c r="I235" s="434" t="s">
        <v>7370</v>
      </c>
      <c r="J235" s="439" t="s">
        <v>8276</v>
      </c>
      <c r="K235" s="440" t="s">
        <v>8295</v>
      </c>
      <c r="L235" s="449" t="s">
        <v>8345</v>
      </c>
      <c r="M235" s="424" t="s">
        <v>8620</v>
      </c>
      <c r="N235" s="440" t="s">
        <v>8668</v>
      </c>
      <c r="O235" s="440" t="s">
        <v>8675</v>
      </c>
      <c r="P235" s="433" t="s">
        <v>6526</v>
      </c>
      <c r="Q235" s="433" t="s">
        <v>4</v>
      </c>
      <c r="R235" s="433" t="s">
        <v>6515</v>
      </c>
      <c r="S235" s="433" t="s">
        <v>6513</v>
      </c>
    </row>
    <row r="236" spans="1:19" ht="22" hidden="1" customHeight="1">
      <c r="A236" s="433" t="s">
        <v>6698</v>
      </c>
      <c r="B236" s="433" t="s">
        <v>5397</v>
      </c>
      <c r="C236" s="433"/>
      <c r="D236" s="434" t="s">
        <v>6699</v>
      </c>
      <c r="E236" s="434" t="s">
        <v>7864</v>
      </c>
      <c r="F236" s="434" t="s">
        <v>7032</v>
      </c>
      <c r="G236" s="435">
        <v>0.5</v>
      </c>
      <c r="H236" s="434" t="s">
        <v>7862</v>
      </c>
      <c r="I236" s="434" t="s">
        <v>7863</v>
      </c>
      <c r="J236" s="439" t="s">
        <v>8276</v>
      </c>
      <c r="K236" s="440" t="s">
        <v>8294</v>
      </c>
      <c r="L236" s="449" t="s">
        <v>8322</v>
      </c>
      <c r="M236" s="424" t="s">
        <v>8620</v>
      </c>
      <c r="N236" s="440" t="s">
        <v>8670</v>
      </c>
      <c r="O236" s="440" t="s">
        <v>8677</v>
      </c>
      <c r="P236" s="433" t="s">
        <v>6526</v>
      </c>
      <c r="Q236" s="433" t="s">
        <v>4</v>
      </c>
      <c r="R236" s="433" t="s">
        <v>1437</v>
      </c>
      <c r="S236" s="433" t="s">
        <v>6516</v>
      </c>
    </row>
    <row r="237" spans="1:19" ht="22" customHeight="1">
      <c r="A237" s="433" t="s">
        <v>6700</v>
      </c>
      <c r="B237" s="433" t="s">
        <v>5397</v>
      </c>
      <c r="C237" s="433"/>
      <c r="D237" s="434" t="s">
        <v>6701</v>
      </c>
      <c r="E237" s="434" t="s">
        <v>7033</v>
      </c>
      <c r="F237" s="434" t="s">
        <v>7034</v>
      </c>
      <c r="G237" s="435">
        <v>0.5</v>
      </c>
      <c r="H237" s="434" t="s">
        <v>7861</v>
      </c>
      <c r="I237" s="434" t="s">
        <v>7371</v>
      </c>
      <c r="J237" s="439" t="s">
        <v>8276</v>
      </c>
      <c r="K237" s="440" t="s">
        <v>8295</v>
      </c>
      <c r="L237" s="449" t="s">
        <v>8346</v>
      </c>
      <c r="M237" s="424" t="s">
        <v>8620</v>
      </c>
      <c r="N237" s="440" t="s">
        <v>8668</v>
      </c>
      <c r="O237" s="440" t="s">
        <v>8675</v>
      </c>
      <c r="P237" s="433" t="s">
        <v>6526</v>
      </c>
      <c r="Q237" s="433" t="s">
        <v>4</v>
      </c>
      <c r="R237" s="433" t="s">
        <v>609</v>
      </c>
      <c r="S237" s="433" t="s">
        <v>6518</v>
      </c>
    </row>
    <row r="238" spans="1:19" ht="22" hidden="1" customHeight="1">
      <c r="A238" s="433" t="s">
        <v>6702</v>
      </c>
      <c r="B238" s="433" t="s">
        <v>5397</v>
      </c>
      <c r="C238" s="433"/>
      <c r="D238" s="434" t="s">
        <v>6703</v>
      </c>
      <c r="E238" s="434" t="s">
        <v>7866</v>
      </c>
      <c r="F238" s="434" t="s">
        <v>7035</v>
      </c>
      <c r="G238" s="435">
        <v>0.5</v>
      </c>
      <c r="H238" s="434" t="s">
        <v>7862</v>
      </c>
      <c r="I238" s="434" t="s">
        <v>7865</v>
      </c>
      <c r="J238" s="439" t="s">
        <v>8274</v>
      </c>
      <c r="K238" s="440" t="s">
        <v>8299</v>
      </c>
      <c r="L238" s="449" t="s">
        <v>8340</v>
      </c>
      <c r="M238" s="424" t="s">
        <v>8620</v>
      </c>
      <c r="N238" s="440" t="s">
        <v>8668</v>
      </c>
      <c r="O238" s="440" t="s">
        <v>8677</v>
      </c>
      <c r="P238" s="433" t="s">
        <v>6526</v>
      </c>
      <c r="Q238" s="433" t="s">
        <v>4</v>
      </c>
      <c r="R238" s="433" t="s">
        <v>1439</v>
      </c>
      <c r="S238" s="433" t="s">
        <v>6520</v>
      </c>
    </row>
    <row r="239" spans="1:19" ht="22" hidden="1" customHeight="1">
      <c r="A239" s="433" t="s">
        <v>6704</v>
      </c>
      <c r="B239" s="433" t="s">
        <v>5397</v>
      </c>
      <c r="C239" s="433"/>
      <c r="D239" s="434" t="s">
        <v>6705</v>
      </c>
      <c r="E239" s="434" t="s">
        <v>7036</v>
      </c>
      <c r="F239" s="434" t="s">
        <v>7037</v>
      </c>
      <c r="G239" s="435">
        <v>0.5</v>
      </c>
      <c r="H239" s="434" t="s">
        <v>7859</v>
      </c>
      <c r="I239" s="434" t="s">
        <v>7372</v>
      </c>
      <c r="J239" s="439" t="s">
        <v>8276</v>
      </c>
      <c r="K239" s="440" t="s">
        <v>8294</v>
      </c>
      <c r="L239" s="449" t="s">
        <v>8322</v>
      </c>
      <c r="M239" s="424" t="s">
        <v>8628</v>
      </c>
      <c r="N239" s="440" t="s">
        <v>8670</v>
      </c>
      <c r="O239" s="440" t="s">
        <v>8677</v>
      </c>
      <c r="P239" s="433" t="s">
        <v>6526</v>
      </c>
      <c r="Q239" s="433" t="s">
        <v>4</v>
      </c>
      <c r="R239" s="433" t="s">
        <v>6524</v>
      </c>
      <c r="S239" s="433" t="s">
        <v>6522</v>
      </c>
    </row>
    <row r="240" spans="1:19" ht="22" hidden="1" customHeight="1">
      <c r="A240" s="433" t="s">
        <v>5690</v>
      </c>
      <c r="B240" s="433" t="s">
        <v>5398</v>
      </c>
      <c r="C240" s="433"/>
      <c r="D240" s="434" t="s">
        <v>6146</v>
      </c>
      <c r="E240" s="434" t="s">
        <v>7092</v>
      </c>
      <c r="F240" s="434" t="s">
        <v>7093</v>
      </c>
      <c r="G240" s="435">
        <v>2</v>
      </c>
      <c r="H240" s="434" t="s">
        <v>2740</v>
      </c>
      <c r="I240" s="434" t="s">
        <v>7289</v>
      </c>
      <c r="J240" s="439" t="s">
        <v>8276</v>
      </c>
      <c r="K240" s="440" t="s">
        <v>8298</v>
      </c>
      <c r="L240" s="449" t="s">
        <v>8360</v>
      </c>
      <c r="M240" s="424" t="s">
        <v>8620</v>
      </c>
      <c r="N240" s="440" t="s">
        <v>8669</v>
      </c>
      <c r="O240" s="440" t="s">
        <v>8677</v>
      </c>
      <c r="P240" s="433" t="s">
        <v>2234</v>
      </c>
      <c r="Q240" s="433" t="s">
        <v>4</v>
      </c>
      <c r="R240" s="433"/>
      <c r="S240" s="433" t="s">
        <v>2740</v>
      </c>
    </row>
    <row r="241" spans="1:19" ht="22" hidden="1" customHeight="1">
      <c r="A241" s="433" t="s">
        <v>5691</v>
      </c>
      <c r="B241" s="433" t="s">
        <v>5398</v>
      </c>
      <c r="C241" s="433"/>
      <c r="D241" s="434" t="s">
        <v>6147</v>
      </c>
      <c r="E241" s="434" t="s">
        <v>7094</v>
      </c>
      <c r="F241" s="434" t="s">
        <v>7095</v>
      </c>
      <c r="G241" s="435">
        <v>2</v>
      </c>
      <c r="H241" s="434" t="s">
        <v>2740</v>
      </c>
      <c r="I241" s="434" t="s">
        <v>7289</v>
      </c>
      <c r="J241" s="439" t="s">
        <v>8276</v>
      </c>
      <c r="K241" s="440" t="s">
        <v>8298</v>
      </c>
      <c r="L241" s="449" t="s">
        <v>8360</v>
      </c>
      <c r="M241" s="424" t="s">
        <v>8620</v>
      </c>
      <c r="N241" s="440" t="s">
        <v>8669</v>
      </c>
      <c r="O241" s="440" t="s">
        <v>8677</v>
      </c>
      <c r="P241" s="433" t="s">
        <v>2234</v>
      </c>
      <c r="Q241" s="433" t="s">
        <v>4</v>
      </c>
      <c r="R241" s="433"/>
      <c r="S241" s="433" t="s">
        <v>2740</v>
      </c>
    </row>
    <row r="242" spans="1:19" ht="22" hidden="1" customHeight="1">
      <c r="A242" s="433" t="s">
        <v>8373</v>
      </c>
      <c r="B242" s="433" t="s">
        <v>5398</v>
      </c>
      <c r="C242" s="433"/>
      <c r="D242" s="434" t="s">
        <v>8374</v>
      </c>
      <c r="E242" s="434" t="s">
        <v>8375</v>
      </c>
      <c r="F242" s="434" t="s">
        <v>8376</v>
      </c>
      <c r="G242" s="435">
        <v>1</v>
      </c>
      <c r="H242" s="434" t="s">
        <v>2740</v>
      </c>
      <c r="I242" s="434" t="s">
        <v>7289</v>
      </c>
      <c r="J242" s="439" t="s">
        <v>8278</v>
      </c>
      <c r="K242" s="440" t="s">
        <v>8298</v>
      </c>
      <c r="L242" s="449" t="s">
        <v>8377</v>
      </c>
      <c r="M242" s="424" t="s">
        <v>8620</v>
      </c>
      <c r="N242" s="440" t="s">
        <v>8669</v>
      </c>
      <c r="O242" s="440" t="s">
        <v>8677</v>
      </c>
      <c r="P242" s="433" t="s">
        <v>2234</v>
      </c>
      <c r="Q242" s="433" t="s">
        <v>4</v>
      </c>
      <c r="R242" s="433"/>
      <c r="S242" s="433" t="s">
        <v>2740</v>
      </c>
    </row>
    <row r="243" spans="1:19" ht="22" hidden="1" customHeight="1">
      <c r="A243" s="433" t="s">
        <v>8378</v>
      </c>
      <c r="B243" s="433" t="s">
        <v>5398</v>
      </c>
      <c r="C243" s="433"/>
      <c r="D243" s="434" t="s">
        <v>8379</v>
      </c>
      <c r="E243" s="434" t="s">
        <v>8380</v>
      </c>
      <c r="F243" s="434" t="s">
        <v>8381</v>
      </c>
      <c r="G243" s="435">
        <v>1</v>
      </c>
      <c r="H243" s="434" t="s">
        <v>7830</v>
      </c>
      <c r="I243" s="434" t="s">
        <v>7293</v>
      </c>
      <c r="J243" s="439" t="s">
        <v>8274</v>
      </c>
      <c r="K243" s="440" t="s">
        <v>8298</v>
      </c>
      <c r="L243" s="449" t="s">
        <v>8452</v>
      </c>
      <c r="M243" s="424" t="s">
        <v>8620</v>
      </c>
      <c r="N243" s="440" t="s">
        <v>8669</v>
      </c>
      <c r="O243" s="440" t="s">
        <v>8677</v>
      </c>
      <c r="P243" s="433" t="s">
        <v>2234</v>
      </c>
      <c r="Q243" s="433" t="s">
        <v>4</v>
      </c>
      <c r="R243" s="433"/>
      <c r="S243" s="433" t="s">
        <v>2740</v>
      </c>
    </row>
    <row r="244" spans="1:19" ht="22" hidden="1" customHeight="1">
      <c r="A244" s="433" t="s">
        <v>8469</v>
      </c>
      <c r="B244" s="433" t="s">
        <v>5398</v>
      </c>
      <c r="C244" s="433"/>
      <c r="D244" s="434" t="s">
        <v>8470</v>
      </c>
      <c r="E244" s="434" t="s">
        <v>8471</v>
      </c>
      <c r="F244" s="434" t="s">
        <v>8472</v>
      </c>
      <c r="G244" s="435">
        <v>0.5</v>
      </c>
      <c r="H244" s="434" t="s">
        <v>7815</v>
      </c>
      <c r="I244" s="434" t="s">
        <v>7305</v>
      </c>
      <c r="J244" s="439" t="s">
        <v>8276</v>
      </c>
      <c r="K244" s="440" t="s">
        <v>8293</v>
      </c>
      <c r="L244" s="449" t="s">
        <v>8361</v>
      </c>
      <c r="M244" s="424" t="s">
        <v>8620</v>
      </c>
      <c r="N244" s="440" t="s">
        <v>8666</v>
      </c>
      <c r="O244" s="440" t="s">
        <v>8677</v>
      </c>
      <c r="P244" s="433" t="s">
        <v>2234</v>
      </c>
      <c r="Q244" s="433" t="s">
        <v>4</v>
      </c>
      <c r="R244" s="433"/>
      <c r="S244" s="433" t="s">
        <v>6273</v>
      </c>
    </row>
    <row r="245" spans="1:19" ht="22" customHeight="1">
      <c r="A245" s="433" t="s">
        <v>8473</v>
      </c>
      <c r="B245" s="433" t="s">
        <v>5398</v>
      </c>
      <c r="C245" s="433"/>
      <c r="D245" s="434" t="s">
        <v>8474</v>
      </c>
      <c r="E245" s="434" t="s">
        <v>8475</v>
      </c>
      <c r="F245" s="434" t="s">
        <v>8472</v>
      </c>
      <c r="G245" s="435">
        <v>0.5</v>
      </c>
      <c r="H245" s="434" t="s">
        <v>7814</v>
      </c>
      <c r="I245" s="434" t="s">
        <v>7304</v>
      </c>
      <c r="J245" s="439" t="s">
        <v>8276</v>
      </c>
      <c r="K245" s="440" t="s">
        <v>8293</v>
      </c>
      <c r="L245" s="449" t="s">
        <v>8361</v>
      </c>
      <c r="M245" s="424" t="s">
        <v>8620</v>
      </c>
      <c r="N245" s="440" t="s">
        <v>8669</v>
      </c>
      <c r="O245" s="440" t="s">
        <v>8675</v>
      </c>
      <c r="P245" s="433" t="s">
        <v>2234</v>
      </c>
      <c r="Q245" s="433" t="s">
        <v>4</v>
      </c>
      <c r="R245" s="433"/>
      <c r="S245" s="433" t="s">
        <v>6267</v>
      </c>
    </row>
    <row r="246" spans="1:19" ht="22" hidden="1" customHeight="1">
      <c r="A246" s="433" t="s">
        <v>8476</v>
      </c>
      <c r="B246" s="433" t="s">
        <v>5398</v>
      </c>
      <c r="C246" s="433"/>
      <c r="D246" s="434" t="s">
        <v>8477</v>
      </c>
      <c r="E246" s="434" t="s">
        <v>8478</v>
      </c>
      <c r="F246" s="434" t="s">
        <v>8472</v>
      </c>
      <c r="G246" s="435">
        <v>0.5</v>
      </c>
      <c r="H246" s="434" t="s">
        <v>7815</v>
      </c>
      <c r="I246" s="434" t="s">
        <v>7307</v>
      </c>
      <c r="J246" s="439" t="s">
        <v>8276</v>
      </c>
      <c r="K246" s="440" t="s">
        <v>8293</v>
      </c>
      <c r="L246" s="449" t="s">
        <v>8361</v>
      </c>
      <c r="M246" s="424" t="s">
        <v>8620</v>
      </c>
      <c r="N246" s="440" t="s">
        <v>8666</v>
      </c>
      <c r="O246" s="440" t="s">
        <v>8677</v>
      </c>
      <c r="P246" s="433" t="s">
        <v>2234</v>
      </c>
      <c r="Q246" s="433" t="s">
        <v>4</v>
      </c>
      <c r="R246" s="433"/>
      <c r="S246" s="433" t="s">
        <v>6279</v>
      </c>
    </row>
    <row r="247" spans="1:19" ht="22" customHeight="1">
      <c r="A247" s="433" t="s">
        <v>8479</v>
      </c>
      <c r="B247" s="433" t="s">
        <v>5398</v>
      </c>
      <c r="C247" s="433"/>
      <c r="D247" s="434" t="s">
        <v>8480</v>
      </c>
      <c r="E247" s="434" t="s">
        <v>8481</v>
      </c>
      <c r="F247" s="434" t="s">
        <v>8472</v>
      </c>
      <c r="G247" s="435">
        <v>0.5</v>
      </c>
      <c r="H247" s="434" t="s">
        <v>7817</v>
      </c>
      <c r="I247" s="434" t="s">
        <v>8482</v>
      </c>
      <c r="J247" s="439" t="s">
        <v>8276</v>
      </c>
      <c r="K247" s="440" t="s">
        <v>8293</v>
      </c>
      <c r="L247" s="449" t="s">
        <v>8361</v>
      </c>
      <c r="M247" s="424" t="s">
        <v>8620</v>
      </c>
      <c r="N247" s="440" t="s">
        <v>8669</v>
      </c>
      <c r="O247" s="440" t="s">
        <v>8675</v>
      </c>
      <c r="P247" s="433" t="s">
        <v>2234</v>
      </c>
      <c r="Q247" s="433" t="s">
        <v>4</v>
      </c>
      <c r="R247" s="433"/>
      <c r="S247" s="433" t="s">
        <v>8483</v>
      </c>
    </row>
    <row r="248" spans="1:19" ht="22" customHeight="1">
      <c r="A248" s="433" t="s">
        <v>8484</v>
      </c>
      <c r="B248" s="433" t="s">
        <v>5398</v>
      </c>
      <c r="C248" s="433"/>
      <c r="D248" s="434" t="s">
        <v>8485</v>
      </c>
      <c r="E248" s="434" t="s">
        <v>8486</v>
      </c>
      <c r="F248" s="434" t="s">
        <v>8472</v>
      </c>
      <c r="G248" s="435">
        <v>0.5</v>
      </c>
      <c r="H248" s="434" t="s">
        <v>7817</v>
      </c>
      <c r="I248" s="434" t="s">
        <v>8487</v>
      </c>
      <c r="J248" s="439" t="s">
        <v>8276</v>
      </c>
      <c r="K248" s="440" t="s">
        <v>8293</v>
      </c>
      <c r="L248" s="449" t="s">
        <v>8361</v>
      </c>
      <c r="M248" s="424" t="s">
        <v>8620</v>
      </c>
      <c r="N248" s="440" t="s">
        <v>8669</v>
      </c>
      <c r="O248" s="440" t="s">
        <v>8675</v>
      </c>
      <c r="P248" s="433" t="s">
        <v>2234</v>
      </c>
      <c r="Q248" s="433" t="s">
        <v>4</v>
      </c>
      <c r="R248" s="433"/>
      <c r="S248" s="433" t="s">
        <v>8488</v>
      </c>
    </row>
    <row r="249" spans="1:19" ht="22" customHeight="1">
      <c r="A249" s="433" t="s">
        <v>8489</v>
      </c>
      <c r="B249" s="433" t="s">
        <v>5398</v>
      </c>
      <c r="C249" s="433"/>
      <c r="D249" s="434" t="s">
        <v>8490</v>
      </c>
      <c r="E249" s="434" t="s">
        <v>8491</v>
      </c>
      <c r="F249" s="434" t="s">
        <v>8472</v>
      </c>
      <c r="G249" s="435">
        <v>0.5</v>
      </c>
      <c r="H249" s="434" t="s">
        <v>7818</v>
      </c>
      <c r="I249" s="434" t="s">
        <v>7317</v>
      </c>
      <c r="J249" s="439" t="s">
        <v>8276</v>
      </c>
      <c r="K249" s="440" t="s">
        <v>8293</v>
      </c>
      <c r="L249" s="449" t="s">
        <v>8361</v>
      </c>
      <c r="M249" s="424" t="s">
        <v>8620</v>
      </c>
      <c r="N249" s="440" t="s">
        <v>8669</v>
      </c>
      <c r="O249" s="440" t="s">
        <v>8675</v>
      </c>
      <c r="P249" s="433" t="s">
        <v>2234</v>
      </c>
      <c r="Q249" s="433" t="s">
        <v>4</v>
      </c>
      <c r="R249" s="433"/>
      <c r="S249" s="433" t="s">
        <v>6311</v>
      </c>
    </row>
    <row r="250" spans="1:19" ht="22" customHeight="1">
      <c r="A250" s="433" t="s">
        <v>8492</v>
      </c>
      <c r="B250" s="433" t="s">
        <v>5398</v>
      </c>
      <c r="C250" s="433"/>
      <c r="D250" s="434" t="s">
        <v>8493</v>
      </c>
      <c r="E250" s="434" t="s">
        <v>8494</v>
      </c>
      <c r="F250" s="434" t="s">
        <v>8472</v>
      </c>
      <c r="G250" s="435">
        <v>0.5</v>
      </c>
      <c r="H250" s="434" t="s">
        <v>7818</v>
      </c>
      <c r="I250" s="434" t="s">
        <v>7317</v>
      </c>
      <c r="J250" s="439" t="s">
        <v>8276</v>
      </c>
      <c r="K250" s="440" t="s">
        <v>8293</v>
      </c>
      <c r="L250" s="449" t="s">
        <v>8361</v>
      </c>
      <c r="M250" s="424" t="s">
        <v>8620</v>
      </c>
      <c r="N250" s="440" t="s">
        <v>8669</v>
      </c>
      <c r="O250" s="440" t="s">
        <v>8675</v>
      </c>
      <c r="P250" s="433" t="s">
        <v>2234</v>
      </c>
      <c r="Q250" s="433" t="s">
        <v>4</v>
      </c>
      <c r="R250" s="433"/>
      <c r="S250" s="433" t="s">
        <v>6311</v>
      </c>
    </row>
    <row r="251" spans="1:19" ht="22" customHeight="1">
      <c r="A251" s="433" t="s">
        <v>8495</v>
      </c>
      <c r="B251" s="433" t="s">
        <v>5398</v>
      </c>
      <c r="C251" s="433"/>
      <c r="D251" s="434" t="s">
        <v>8496</v>
      </c>
      <c r="E251" s="434" t="s">
        <v>8497</v>
      </c>
      <c r="F251" s="434" t="s">
        <v>8472</v>
      </c>
      <c r="G251" s="435">
        <v>0.5</v>
      </c>
      <c r="H251" s="434" t="s">
        <v>7818</v>
      </c>
      <c r="I251" s="434" t="s">
        <v>7320</v>
      </c>
      <c r="J251" s="439" t="s">
        <v>8276</v>
      </c>
      <c r="K251" s="440" t="s">
        <v>8293</v>
      </c>
      <c r="L251" s="449" t="s">
        <v>8361</v>
      </c>
      <c r="M251" s="424" t="s">
        <v>8620</v>
      </c>
      <c r="N251" s="440" t="s">
        <v>8669</v>
      </c>
      <c r="O251" s="440" t="s">
        <v>8675</v>
      </c>
      <c r="P251" s="433" t="s">
        <v>2234</v>
      </c>
      <c r="Q251" s="433" t="s">
        <v>4</v>
      </c>
      <c r="R251" s="433"/>
      <c r="S251" s="433" t="s">
        <v>6321</v>
      </c>
    </row>
    <row r="252" spans="1:19" ht="22" hidden="1" customHeight="1">
      <c r="A252" s="433" t="s">
        <v>8498</v>
      </c>
      <c r="B252" s="433" t="s">
        <v>5398</v>
      </c>
      <c r="C252" s="433"/>
      <c r="D252" s="434" t="s">
        <v>8499</v>
      </c>
      <c r="E252" s="434" t="s">
        <v>8500</v>
      </c>
      <c r="F252" s="434" t="s">
        <v>8472</v>
      </c>
      <c r="G252" s="435">
        <v>0.5</v>
      </c>
      <c r="H252" s="434" t="s">
        <v>7818</v>
      </c>
      <c r="I252" s="434" t="s">
        <v>7319</v>
      </c>
      <c r="J252" s="439" t="s">
        <v>8276</v>
      </c>
      <c r="K252" s="440" t="s">
        <v>8293</v>
      </c>
      <c r="L252" s="449" t="s">
        <v>8361</v>
      </c>
      <c r="M252" s="424" t="s">
        <v>8620</v>
      </c>
      <c r="N252" s="440" t="s">
        <v>8669</v>
      </c>
      <c r="O252" s="440" t="s">
        <v>8677</v>
      </c>
      <c r="P252" s="433" t="s">
        <v>2234</v>
      </c>
      <c r="Q252" s="433" t="s">
        <v>4</v>
      </c>
      <c r="R252" s="433"/>
      <c r="S252" s="433" t="s">
        <v>6319</v>
      </c>
    </row>
    <row r="253" spans="1:19" ht="22" hidden="1" customHeight="1">
      <c r="A253" s="433" t="s">
        <v>8501</v>
      </c>
      <c r="B253" s="433" t="s">
        <v>5398</v>
      </c>
      <c r="C253" s="433"/>
      <c r="D253" s="434" t="s">
        <v>8502</v>
      </c>
      <c r="E253" s="434" t="s">
        <v>8503</v>
      </c>
      <c r="F253" s="434" t="s">
        <v>8472</v>
      </c>
      <c r="G253" s="435">
        <v>0.5</v>
      </c>
      <c r="H253" s="434" t="s">
        <v>7815</v>
      </c>
      <c r="I253" s="434" t="s">
        <v>7306</v>
      </c>
      <c r="J253" s="439" t="s">
        <v>8276</v>
      </c>
      <c r="K253" s="440" t="s">
        <v>8293</v>
      </c>
      <c r="L253" s="449" t="s">
        <v>8361</v>
      </c>
      <c r="M253" s="424" t="s">
        <v>8620</v>
      </c>
      <c r="N253" s="440" t="s">
        <v>8669</v>
      </c>
      <c r="O253" s="440" t="s">
        <v>8677</v>
      </c>
      <c r="P253" s="433" t="s">
        <v>2234</v>
      </c>
      <c r="Q253" s="433" t="s">
        <v>4</v>
      </c>
      <c r="R253" s="433"/>
      <c r="S253" s="433" t="s">
        <v>6276</v>
      </c>
    </row>
    <row r="254" spans="1:19" ht="22" hidden="1" customHeight="1">
      <c r="A254" s="433" t="s">
        <v>8504</v>
      </c>
      <c r="B254" s="433" t="s">
        <v>5398</v>
      </c>
      <c r="C254" s="433"/>
      <c r="D254" s="434" t="s">
        <v>8505</v>
      </c>
      <c r="E254" s="434" t="s">
        <v>8506</v>
      </c>
      <c r="F254" s="434" t="s">
        <v>8472</v>
      </c>
      <c r="G254" s="435">
        <v>0.5</v>
      </c>
      <c r="H254" s="434" t="s">
        <v>7843</v>
      </c>
      <c r="I254" s="434" t="s">
        <v>7353</v>
      </c>
      <c r="J254" s="439" t="s">
        <v>8276</v>
      </c>
      <c r="K254" s="440" t="s">
        <v>8293</v>
      </c>
      <c r="L254" s="449" t="s">
        <v>8361</v>
      </c>
      <c r="M254" s="424" t="s">
        <v>8620</v>
      </c>
      <c r="N254" s="440" t="s">
        <v>8669</v>
      </c>
      <c r="O254" s="440" t="s">
        <v>8677</v>
      </c>
      <c r="P254" s="433" t="s">
        <v>2234</v>
      </c>
      <c r="Q254" s="433" t="s">
        <v>4</v>
      </c>
      <c r="R254" s="433"/>
      <c r="S254" s="433" t="s">
        <v>6445</v>
      </c>
    </row>
    <row r="255" spans="1:19" ht="22" hidden="1" customHeight="1">
      <c r="A255" s="433" t="s">
        <v>8507</v>
      </c>
      <c r="B255" s="433" t="s">
        <v>5398</v>
      </c>
      <c r="C255" s="433"/>
      <c r="D255" s="434" t="s">
        <v>8508</v>
      </c>
      <c r="E255" s="434" t="s">
        <v>8509</v>
      </c>
      <c r="F255" s="434" t="s">
        <v>8472</v>
      </c>
      <c r="G255" s="435">
        <v>0.5</v>
      </c>
      <c r="H255" s="434" t="s">
        <v>7816</v>
      </c>
      <c r="I255" s="434" t="s">
        <v>7310</v>
      </c>
      <c r="J255" s="439" t="s">
        <v>8276</v>
      </c>
      <c r="K255" s="440" t="s">
        <v>8293</v>
      </c>
      <c r="L255" s="449" t="s">
        <v>8361</v>
      </c>
      <c r="M255" s="424" t="s">
        <v>8620</v>
      </c>
      <c r="N255" s="440" t="s">
        <v>8669</v>
      </c>
      <c r="O255" s="440" t="s">
        <v>8677</v>
      </c>
      <c r="P255" s="433" t="s">
        <v>2234</v>
      </c>
      <c r="Q255" s="433" t="s">
        <v>4</v>
      </c>
      <c r="R255" s="433"/>
      <c r="S255" s="433" t="s">
        <v>6292</v>
      </c>
    </row>
    <row r="256" spans="1:19" ht="22" hidden="1" customHeight="1">
      <c r="A256" s="433" t="s">
        <v>8382</v>
      </c>
      <c r="B256" s="433" t="s">
        <v>5398</v>
      </c>
      <c r="C256" s="433"/>
      <c r="D256" s="434" t="s">
        <v>8383</v>
      </c>
      <c r="E256" s="434" t="s">
        <v>8384</v>
      </c>
      <c r="F256" s="434" t="s">
        <v>8385</v>
      </c>
      <c r="G256" s="435">
        <v>3</v>
      </c>
      <c r="H256" s="434" t="s">
        <v>7839</v>
      </c>
      <c r="I256" s="434" t="s">
        <v>7349</v>
      </c>
      <c r="J256" s="439" t="s">
        <v>8276</v>
      </c>
      <c r="K256" s="440" t="s">
        <v>8291</v>
      </c>
      <c r="L256" s="449" t="s">
        <v>8338</v>
      </c>
      <c r="M256" s="424" t="s">
        <v>8620</v>
      </c>
      <c r="N256" s="440" t="s">
        <v>8670</v>
      </c>
      <c r="O256" s="440" t="s">
        <v>8677</v>
      </c>
      <c r="P256" s="433" t="s">
        <v>2234</v>
      </c>
      <c r="Q256" s="433" t="s">
        <v>4</v>
      </c>
      <c r="R256" s="433"/>
      <c r="S256" s="433" t="s">
        <v>6716</v>
      </c>
    </row>
    <row r="257" spans="1:19" ht="22" hidden="1" customHeight="1">
      <c r="A257" s="433" t="s">
        <v>8386</v>
      </c>
      <c r="B257" s="433" t="s">
        <v>5398</v>
      </c>
      <c r="C257" s="433"/>
      <c r="D257" s="434" t="s">
        <v>8387</v>
      </c>
      <c r="E257" s="434" t="s">
        <v>8388</v>
      </c>
      <c r="F257" s="434" t="s">
        <v>8389</v>
      </c>
      <c r="G257" s="435">
        <v>4</v>
      </c>
      <c r="H257" s="434" t="s">
        <v>7830</v>
      </c>
      <c r="I257" s="434" t="s">
        <v>8390</v>
      </c>
      <c r="J257" s="439" t="s">
        <v>8274</v>
      </c>
      <c r="K257" s="440" t="s">
        <v>8299</v>
      </c>
      <c r="L257" s="449" t="s">
        <v>8452</v>
      </c>
      <c r="M257" s="424" t="s">
        <v>8620</v>
      </c>
      <c r="N257" s="440" t="s">
        <v>8669</v>
      </c>
      <c r="O257" s="440" t="s">
        <v>8677</v>
      </c>
      <c r="P257" s="433" t="s">
        <v>2234</v>
      </c>
      <c r="Q257" s="433" t="s">
        <v>4</v>
      </c>
      <c r="R257" s="433"/>
      <c r="S257" s="433" t="s">
        <v>6716</v>
      </c>
    </row>
    <row r="258" spans="1:19" ht="22" hidden="1" customHeight="1">
      <c r="A258" s="433" t="s">
        <v>8391</v>
      </c>
      <c r="B258" s="433" t="s">
        <v>5398</v>
      </c>
      <c r="C258" s="433"/>
      <c r="D258" s="434" t="s">
        <v>8392</v>
      </c>
      <c r="E258" s="434" t="s">
        <v>8393</v>
      </c>
      <c r="F258" s="434" t="s">
        <v>8394</v>
      </c>
      <c r="G258" s="435">
        <v>2</v>
      </c>
      <c r="H258" s="434" t="s">
        <v>7833</v>
      </c>
      <c r="I258" s="434" t="s">
        <v>8395</v>
      </c>
      <c r="J258" s="439" t="s">
        <v>8274</v>
      </c>
      <c r="K258" s="440" t="s">
        <v>8299</v>
      </c>
      <c r="L258" s="449" t="s">
        <v>8336</v>
      </c>
      <c r="M258" s="424" t="s">
        <v>8620</v>
      </c>
      <c r="N258" s="440" t="s">
        <v>8670</v>
      </c>
      <c r="O258" s="440" t="s">
        <v>8677</v>
      </c>
      <c r="P258" s="433" t="s">
        <v>2234</v>
      </c>
      <c r="Q258" s="433" t="s">
        <v>4</v>
      </c>
      <c r="R258" s="433"/>
      <c r="S258" s="433" t="s">
        <v>6716</v>
      </c>
    </row>
    <row r="259" spans="1:19" ht="22" customHeight="1">
      <c r="A259" s="433" t="s">
        <v>8396</v>
      </c>
      <c r="B259" s="433" t="s">
        <v>5398</v>
      </c>
      <c r="C259" s="433"/>
      <c r="D259" s="434" t="s">
        <v>8397</v>
      </c>
      <c r="E259" s="434" t="s">
        <v>8398</v>
      </c>
      <c r="F259" s="434" t="s">
        <v>8399</v>
      </c>
      <c r="G259" s="435">
        <v>1</v>
      </c>
      <c r="H259" s="434" t="s">
        <v>7840</v>
      </c>
      <c r="I259" s="434" t="s">
        <v>7351</v>
      </c>
      <c r="J259" s="439" t="s">
        <v>8274</v>
      </c>
      <c r="K259" s="440" t="s">
        <v>8298</v>
      </c>
      <c r="L259" s="449" t="s">
        <v>8452</v>
      </c>
      <c r="M259" s="424" t="s">
        <v>8620</v>
      </c>
      <c r="N259" s="440" t="s">
        <v>8668</v>
      </c>
      <c r="O259" s="440" t="s">
        <v>8675</v>
      </c>
      <c r="P259" s="433" t="s">
        <v>2234</v>
      </c>
      <c r="Q259" s="433" t="s">
        <v>4</v>
      </c>
      <c r="R259" s="433"/>
      <c r="S259" s="433" t="s">
        <v>6716</v>
      </c>
    </row>
    <row r="260" spans="1:19" ht="22" hidden="1" customHeight="1">
      <c r="A260" s="433" t="s">
        <v>5693</v>
      </c>
      <c r="B260" s="433" t="s">
        <v>5398</v>
      </c>
      <c r="C260" s="433"/>
      <c r="D260" s="434" t="s">
        <v>6148</v>
      </c>
      <c r="E260" s="434" t="s">
        <v>7096</v>
      </c>
      <c r="F260" s="434" t="s">
        <v>7097</v>
      </c>
      <c r="G260" s="435">
        <v>3</v>
      </c>
      <c r="H260" s="434" t="s">
        <v>2740</v>
      </c>
      <c r="I260" s="434" t="s">
        <v>7289</v>
      </c>
      <c r="J260" s="439" t="s">
        <v>8276</v>
      </c>
      <c r="K260" s="440" t="s">
        <v>8298</v>
      </c>
      <c r="L260" s="449" t="s">
        <v>8360</v>
      </c>
      <c r="M260" s="424" t="s">
        <v>8620</v>
      </c>
      <c r="N260" s="440" t="s">
        <v>8669</v>
      </c>
      <c r="O260" s="440" t="s">
        <v>8677</v>
      </c>
      <c r="P260" s="433" t="s">
        <v>2234</v>
      </c>
      <c r="Q260" s="433" t="s">
        <v>4</v>
      </c>
      <c r="R260" s="433"/>
      <c r="S260" s="433" t="s">
        <v>2740</v>
      </c>
    </row>
    <row r="261" spans="1:19" ht="22" hidden="1" customHeight="1">
      <c r="A261" s="433" t="s">
        <v>5694</v>
      </c>
      <c r="B261" s="433" t="s">
        <v>5398</v>
      </c>
      <c r="C261" s="433"/>
      <c r="D261" s="434" t="s">
        <v>6149</v>
      </c>
      <c r="E261" s="434" t="s">
        <v>7098</v>
      </c>
      <c r="F261" s="434" t="s">
        <v>7099</v>
      </c>
      <c r="G261" s="435">
        <v>3</v>
      </c>
      <c r="H261" s="434" t="s">
        <v>2740</v>
      </c>
      <c r="I261" s="434" t="s">
        <v>7289</v>
      </c>
      <c r="J261" s="439" t="s">
        <v>8276</v>
      </c>
      <c r="K261" s="440" t="s">
        <v>8298</v>
      </c>
      <c r="L261" s="449" t="s">
        <v>8360</v>
      </c>
      <c r="M261" s="424" t="s">
        <v>8620</v>
      </c>
      <c r="N261" s="440" t="s">
        <v>8669</v>
      </c>
      <c r="O261" s="440" t="s">
        <v>8677</v>
      </c>
      <c r="P261" s="433" t="s">
        <v>2234</v>
      </c>
      <c r="Q261" s="433" t="s">
        <v>4</v>
      </c>
      <c r="R261" s="433"/>
      <c r="S261" s="433" t="s">
        <v>2740</v>
      </c>
    </row>
    <row r="262" spans="1:19" ht="22" hidden="1" customHeight="1">
      <c r="A262" s="433" t="s">
        <v>5695</v>
      </c>
      <c r="B262" s="433" t="s">
        <v>5398</v>
      </c>
      <c r="C262" s="433"/>
      <c r="D262" s="434" t="s">
        <v>6150</v>
      </c>
      <c r="E262" s="434" t="s">
        <v>7100</v>
      </c>
      <c r="F262" s="434" t="s">
        <v>7101</v>
      </c>
      <c r="G262" s="435">
        <v>3</v>
      </c>
      <c r="H262" s="434" t="s">
        <v>2740</v>
      </c>
      <c r="I262" s="434" t="s">
        <v>7289</v>
      </c>
      <c r="J262" s="439" t="s">
        <v>8276</v>
      </c>
      <c r="K262" s="440" t="s">
        <v>8298</v>
      </c>
      <c r="L262" s="449" t="s">
        <v>8360</v>
      </c>
      <c r="M262" s="424" t="s">
        <v>8620</v>
      </c>
      <c r="N262" s="440" t="s">
        <v>8669</v>
      </c>
      <c r="O262" s="440" t="s">
        <v>8677</v>
      </c>
      <c r="P262" s="433" t="s">
        <v>2234</v>
      </c>
      <c r="Q262" s="433" t="s">
        <v>4</v>
      </c>
      <c r="R262" s="433"/>
      <c r="S262" s="433" t="s">
        <v>2740</v>
      </c>
    </row>
    <row r="263" spans="1:19" ht="22" hidden="1" customHeight="1">
      <c r="A263" s="433" t="s">
        <v>8510</v>
      </c>
      <c r="B263" s="433" t="s">
        <v>8511</v>
      </c>
      <c r="C263" s="433"/>
      <c r="D263" s="434" t="s">
        <v>6151</v>
      </c>
      <c r="E263" s="434" t="s">
        <v>8512</v>
      </c>
      <c r="F263" s="434" t="s">
        <v>7102</v>
      </c>
      <c r="G263" s="435">
        <v>3</v>
      </c>
      <c r="H263" s="434" t="s">
        <v>2740</v>
      </c>
      <c r="I263" s="434" t="s">
        <v>7289</v>
      </c>
      <c r="J263" s="439" t="s">
        <v>8276</v>
      </c>
      <c r="K263" s="440" t="s">
        <v>8298</v>
      </c>
      <c r="L263" s="449" t="s">
        <v>8360</v>
      </c>
      <c r="M263" s="424" t="s">
        <v>8620</v>
      </c>
      <c r="N263" s="440" t="s">
        <v>8670</v>
      </c>
      <c r="O263" s="440" t="s">
        <v>8677</v>
      </c>
      <c r="P263" s="433" t="s">
        <v>2234</v>
      </c>
      <c r="Q263" s="433" t="s">
        <v>4</v>
      </c>
      <c r="R263" s="433"/>
      <c r="S263" s="433" t="s">
        <v>2740</v>
      </c>
    </row>
    <row r="264" spans="1:19" ht="22" hidden="1" customHeight="1">
      <c r="A264" s="433" t="s">
        <v>5696</v>
      </c>
      <c r="B264" s="433" t="s">
        <v>5398</v>
      </c>
      <c r="C264" s="433"/>
      <c r="D264" s="434" t="s">
        <v>6152</v>
      </c>
      <c r="E264" s="434" t="s">
        <v>7103</v>
      </c>
      <c r="F264" s="434" t="s">
        <v>7104</v>
      </c>
      <c r="G264" s="435">
        <v>2</v>
      </c>
      <c r="H264" s="434" t="s">
        <v>2740</v>
      </c>
      <c r="I264" s="434" t="s">
        <v>7289</v>
      </c>
      <c r="J264" s="439" t="s">
        <v>8276</v>
      </c>
      <c r="K264" s="440" t="s">
        <v>8298</v>
      </c>
      <c r="L264" s="449" t="s">
        <v>8360</v>
      </c>
      <c r="M264" s="424" t="s">
        <v>8620</v>
      </c>
      <c r="N264" s="440" t="s">
        <v>8669</v>
      </c>
      <c r="O264" s="440" t="s">
        <v>8677</v>
      </c>
      <c r="P264" s="433" t="s">
        <v>2234</v>
      </c>
      <c r="Q264" s="433" t="s">
        <v>4</v>
      </c>
      <c r="R264" s="433"/>
      <c r="S264" s="433" t="s">
        <v>2740</v>
      </c>
    </row>
    <row r="265" spans="1:19" ht="22" customHeight="1">
      <c r="A265" s="433" t="s">
        <v>5697</v>
      </c>
      <c r="B265" s="433" t="s">
        <v>5398</v>
      </c>
      <c r="C265" s="433"/>
      <c r="D265" s="434" t="s">
        <v>6153</v>
      </c>
      <c r="E265" s="434" t="s">
        <v>7105</v>
      </c>
      <c r="F265" s="434" t="s">
        <v>7106</v>
      </c>
      <c r="G265" s="435">
        <v>3</v>
      </c>
      <c r="H265" s="434" t="s">
        <v>7959</v>
      </c>
      <c r="I265" s="434" t="s">
        <v>7375</v>
      </c>
      <c r="J265" s="439" t="s">
        <v>8276</v>
      </c>
      <c r="K265" s="440" t="s">
        <v>8298</v>
      </c>
      <c r="L265" s="449" t="s">
        <v>8312</v>
      </c>
      <c r="M265" s="424" t="s">
        <v>8620</v>
      </c>
      <c r="N265" s="440" t="s">
        <v>8669</v>
      </c>
      <c r="O265" s="440" t="s">
        <v>8675</v>
      </c>
      <c r="P265" s="433" t="s">
        <v>2234</v>
      </c>
      <c r="Q265" s="433" t="s">
        <v>4</v>
      </c>
      <c r="R265" s="433"/>
      <c r="S265" s="433" t="s">
        <v>6718</v>
      </c>
    </row>
    <row r="266" spans="1:19" ht="22" hidden="1" customHeight="1">
      <c r="A266" s="433" t="s">
        <v>5698</v>
      </c>
      <c r="B266" s="433" t="s">
        <v>5399</v>
      </c>
      <c r="C266" s="433"/>
      <c r="D266" s="434" t="s">
        <v>7391</v>
      </c>
      <c r="E266" s="434" t="s">
        <v>8450</v>
      </c>
      <c r="F266" s="434" t="s">
        <v>8451</v>
      </c>
      <c r="G266" s="435">
        <v>0.5</v>
      </c>
      <c r="H266" s="434" t="s">
        <v>2740</v>
      </c>
      <c r="I266" s="434" t="s">
        <v>7289</v>
      </c>
      <c r="J266" s="439" t="s">
        <v>8278</v>
      </c>
      <c r="K266" s="440" t="s">
        <v>8291</v>
      </c>
      <c r="L266" s="449" t="s">
        <v>8347</v>
      </c>
      <c r="M266" s="424" t="s">
        <v>8620</v>
      </c>
      <c r="N266" s="440" t="s">
        <v>8670</v>
      </c>
      <c r="O266" s="440" t="s">
        <v>8677</v>
      </c>
      <c r="P266" s="433"/>
      <c r="Q266" s="433" t="s">
        <v>4</v>
      </c>
      <c r="R266" s="433"/>
      <c r="S266" s="433" t="s">
        <v>2740</v>
      </c>
    </row>
    <row r="267" spans="1:19" ht="22" hidden="1" customHeight="1">
      <c r="A267" s="433" t="s">
        <v>5699</v>
      </c>
      <c r="B267" s="433" t="s">
        <v>5399</v>
      </c>
      <c r="C267" s="433"/>
      <c r="D267" s="434" t="s">
        <v>7392</v>
      </c>
      <c r="E267" s="434" t="s">
        <v>7443</v>
      </c>
      <c r="F267" s="434" t="s">
        <v>7444</v>
      </c>
      <c r="G267" s="435">
        <v>2</v>
      </c>
      <c r="H267" s="434" t="s">
        <v>2740</v>
      </c>
      <c r="I267" s="434" t="s">
        <v>7289</v>
      </c>
      <c r="J267" s="439" t="s">
        <v>8278</v>
      </c>
      <c r="K267" s="440" t="s">
        <v>8291</v>
      </c>
      <c r="L267" s="449" t="s">
        <v>8347</v>
      </c>
      <c r="M267" s="424" t="s">
        <v>8620</v>
      </c>
      <c r="N267" s="440" t="s">
        <v>8670</v>
      </c>
      <c r="O267" s="440" t="s">
        <v>8677</v>
      </c>
      <c r="P267" s="433"/>
      <c r="Q267" s="433" t="s">
        <v>4</v>
      </c>
      <c r="R267" s="433"/>
      <c r="S267" s="433" t="s">
        <v>2740</v>
      </c>
    </row>
    <row r="268" spans="1:19" ht="22" hidden="1" customHeight="1">
      <c r="A268" s="433" t="s">
        <v>5700</v>
      </c>
      <c r="B268" s="433" t="s">
        <v>5399</v>
      </c>
      <c r="C268" s="433"/>
      <c r="D268" s="434" t="s">
        <v>7393</v>
      </c>
      <c r="E268" s="434" t="s">
        <v>7445</v>
      </c>
      <c r="F268" s="434" t="s">
        <v>7446</v>
      </c>
      <c r="G268" s="435">
        <v>2</v>
      </c>
      <c r="H268" s="434" t="s">
        <v>2740</v>
      </c>
      <c r="I268" s="434" t="s">
        <v>7394</v>
      </c>
      <c r="J268" s="439" t="s">
        <v>8276</v>
      </c>
      <c r="K268" s="440" t="s">
        <v>8293</v>
      </c>
      <c r="L268" s="449" t="s">
        <v>8348</v>
      </c>
      <c r="M268" s="424" t="s">
        <v>8620</v>
      </c>
      <c r="N268" s="440" t="s">
        <v>8667</v>
      </c>
      <c r="O268" s="440" t="s">
        <v>8677</v>
      </c>
      <c r="P268" s="433"/>
      <c r="Q268" s="433" t="s">
        <v>4</v>
      </c>
      <c r="R268" s="433"/>
      <c r="S268" s="433" t="s">
        <v>2740</v>
      </c>
    </row>
    <row r="269" spans="1:19" ht="22" customHeight="1">
      <c r="A269" s="433" t="s">
        <v>5701</v>
      </c>
      <c r="B269" s="433" t="s">
        <v>5399</v>
      </c>
      <c r="C269" s="433"/>
      <c r="D269" s="434" t="s">
        <v>7395</v>
      </c>
      <c r="E269" s="434" t="s">
        <v>7447</v>
      </c>
      <c r="F269" s="434" t="s">
        <v>7448</v>
      </c>
      <c r="G269" s="435">
        <v>2</v>
      </c>
      <c r="H269" s="434" t="s">
        <v>7814</v>
      </c>
      <c r="I269" s="434" t="s">
        <v>7304</v>
      </c>
      <c r="J269" s="439" t="s">
        <v>8276</v>
      </c>
      <c r="K269" s="440" t="s">
        <v>8613</v>
      </c>
      <c r="L269" s="449" t="s">
        <v>8687</v>
      </c>
      <c r="M269" s="424" t="s">
        <v>8629</v>
      </c>
      <c r="N269" s="440" t="s">
        <v>8669</v>
      </c>
      <c r="O269" s="440" t="s">
        <v>8675</v>
      </c>
      <c r="P269" s="433"/>
      <c r="Q269" s="433" t="s">
        <v>4</v>
      </c>
      <c r="R269" s="433"/>
      <c r="S269" s="433" t="s">
        <v>6267</v>
      </c>
    </row>
    <row r="270" spans="1:19" ht="22" hidden="1" customHeight="1">
      <c r="A270" s="433" t="s">
        <v>5702</v>
      </c>
      <c r="B270" s="433" t="s">
        <v>5399</v>
      </c>
      <c r="C270" s="433"/>
      <c r="D270" s="434" t="s">
        <v>7396</v>
      </c>
      <c r="E270" s="434" t="s">
        <v>7449</v>
      </c>
      <c r="F270" s="434" t="s">
        <v>7450</v>
      </c>
      <c r="G270" s="435">
        <v>3</v>
      </c>
      <c r="H270" s="434" t="s">
        <v>7826</v>
      </c>
      <c r="I270" s="434" t="s">
        <v>7398</v>
      </c>
      <c r="J270" s="439" t="s">
        <v>8276</v>
      </c>
      <c r="K270" s="440" t="s">
        <v>8291</v>
      </c>
      <c r="L270" s="449" t="s">
        <v>8332</v>
      </c>
      <c r="M270" s="424" t="s">
        <v>8620</v>
      </c>
      <c r="N270" s="440" t="s">
        <v>8670</v>
      </c>
      <c r="O270" s="440" t="s">
        <v>8677</v>
      </c>
      <c r="P270" s="433"/>
      <c r="Q270" s="433" t="s">
        <v>4</v>
      </c>
      <c r="R270" s="433"/>
      <c r="S270" s="433" t="s">
        <v>7397</v>
      </c>
    </row>
    <row r="271" spans="1:19" ht="22" hidden="1" customHeight="1">
      <c r="A271" s="433" t="s">
        <v>5703</v>
      </c>
      <c r="B271" s="433" t="s">
        <v>5399</v>
      </c>
      <c r="C271" s="433"/>
      <c r="D271" s="434" t="s">
        <v>7399</v>
      </c>
      <c r="E271" s="434" t="s">
        <v>7451</v>
      </c>
      <c r="F271" s="434" t="s">
        <v>7452</v>
      </c>
      <c r="G271" s="435">
        <v>3</v>
      </c>
      <c r="H271" s="434" t="s">
        <v>7844</v>
      </c>
      <c r="I271" s="434" t="s">
        <v>7354</v>
      </c>
      <c r="J271" s="439" t="s">
        <v>8274</v>
      </c>
      <c r="K271" s="440" t="s">
        <v>8299</v>
      </c>
      <c r="L271" s="449" t="s">
        <v>8349</v>
      </c>
      <c r="M271" s="424" t="s">
        <v>8620</v>
      </c>
      <c r="N271" s="440" t="s">
        <v>8670</v>
      </c>
      <c r="O271" s="440" t="s">
        <v>8677</v>
      </c>
      <c r="P271" s="433"/>
      <c r="Q271" s="433" t="s">
        <v>4</v>
      </c>
      <c r="R271" s="433"/>
      <c r="S271" s="433" t="s">
        <v>6447</v>
      </c>
    </row>
    <row r="272" spans="1:19" ht="22" hidden="1" customHeight="1">
      <c r="A272" s="433" t="s">
        <v>5704</v>
      </c>
      <c r="B272" s="433" t="s">
        <v>5399</v>
      </c>
      <c r="C272" s="433"/>
      <c r="D272" s="434" t="s">
        <v>7400</v>
      </c>
      <c r="E272" s="434" t="s">
        <v>7453</v>
      </c>
      <c r="F272" s="434" t="s">
        <v>7454</v>
      </c>
      <c r="G272" s="435">
        <v>2</v>
      </c>
      <c r="H272" s="434" t="s">
        <v>7844</v>
      </c>
      <c r="I272" s="434" t="s">
        <v>7354</v>
      </c>
      <c r="J272" s="439" t="s">
        <v>8274</v>
      </c>
      <c r="K272" s="440" t="s">
        <v>8299</v>
      </c>
      <c r="L272" s="449" t="s">
        <v>8350</v>
      </c>
      <c r="M272" s="424" t="s">
        <v>8620</v>
      </c>
      <c r="N272" s="440" t="s">
        <v>8670</v>
      </c>
      <c r="O272" s="440" t="s">
        <v>8677</v>
      </c>
      <c r="P272" s="433"/>
      <c r="Q272" s="433" t="s">
        <v>4</v>
      </c>
      <c r="R272" s="433"/>
      <c r="S272" s="433" t="s">
        <v>6447</v>
      </c>
    </row>
    <row r="273" spans="1:19" ht="22" hidden="1" customHeight="1">
      <c r="A273" s="433" t="s">
        <v>5705</v>
      </c>
      <c r="B273" s="433" t="s">
        <v>5399</v>
      </c>
      <c r="C273" s="433"/>
      <c r="D273" s="434" t="s">
        <v>7401</v>
      </c>
      <c r="E273" s="434" t="s">
        <v>7455</v>
      </c>
      <c r="F273" s="434" t="s">
        <v>7456</v>
      </c>
      <c r="G273" s="435">
        <v>3</v>
      </c>
      <c r="H273" s="434" t="s">
        <v>7957</v>
      </c>
      <c r="I273" s="434" t="s">
        <v>7376</v>
      </c>
      <c r="J273" s="439" t="s">
        <v>8274</v>
      </c>
      <c r="K273" s="440" t="s">
        <v>8299</v>
      </c>
      <c r="L273" s="449" t="s">
        <v>8351</v>
      </c>
      <c r="M273" s="424" t="s">
        <v>8620</v>
      </c>
      <c r="N273" s="440" t="s">
        <v>8670</v>
      </c>
      <c r="O273" s="440" t="s">
        <v>8677</v>
      </c>
      <c r="P273" s="433"/>
      <c r="Q273" s="433" t="s">
        <v>4</v>
      </c>
      <c r="R273" s="433"/>
      <c r="S273" s="433" t="s">
        <v>6719</v>
      </c>
    </row>
    <row r="274" spans="1:19" ht="22" hidden="1" customHeight="1">
      <c r="A274" s="433" t="s">
        <v>5706</v>
      </c>
      <c r="B274" s="433" t="s">
        <v>5399</v>
      </c>
      <c r="C274" s="433"/>
      <c r="D274" s="434" t="s">
        <v>7402</v>
      </c>
      <c r="E274" s="434" t="s">
        <v>7457</v>
      </c>
      <c r="F274" s="434" t="s">
        <v>7458</v>
      </c>
      <c r="G274" s="435">
        <v>2</v>
      </c>
      <c r="H274" s="434" t="s">
        <v>7829</v>
      </c>
      <c r="I274" s="434" t="s">
        <v>7336</v>
      </c>
      <c r="J274" s="439" t="s">
        <v>8274</v>
      </c>
      <c r="K274" s="440" t="s">
        <v>8297</v>
      </c>
      <c r="L274" s="449" t="s">
        <v>8335</v>
      </c>
      <c r="M274" s="424" t="s">
        <v>8620</v>
      </c>
      <c r="N274" s="440" t="s">
        <v>8670</v>
      </c>
      <c r="O274" s="440" t="s">
        <v>8677</v>
      </c>
      <c r="P274" s="433"/>
      <c r="Q274" s="433" t="s">
        <v>4</v>
      </c>
      <c r="R274" s="433"/>
      <c r="S274" s="433" t="s">
        <v>6375</v>
      </c>
    </row>
    <row r="275" spans="1:19" ht="22" hidden="1" customHeight="1">
      <c r="A275" s="433" t="s">
        <v>5707</v>
      </c>
      <c r="B275" s="433" t="s">
        <v>5399</v>
      </c>
      <c r="C275" s="433"/>
      <c r="D275" s="434" t="s">
        <v>7403</v>
      </c>
      <c r="E275" s="434" t="s">
        <v>7459</v>
      </c>
      <c r="F275" s="434" t="s">
        <v>7460</v>
      </c>
      <c r="G275" s="435">
        <v>3</v>
      </c>
      <c r="H275" s="434" t="s">
        <v>7958</v>
      </c>
      <c r="I275" s="434" t="s">
        <v>7405</v>
      </c>
      <c r="J275" s="439" t="s">
        <v>8274</v>
      </c>
      <c r="K275" s="440" t="s">
        <v>8299</v>
      </c>
      <c r="L275" s="449" t="s">
        <v>8352</v>
      </c>
      <c r="M275" s="424" t="s">
        <v>8620</v>
      </c>
      <c r="N275" s="440" t="s">
        <v>8670</v>
      </c>
      <c r="O275" s="440" t="s">
        <v>8677</v>
      </c>
      <c r="P275" s="433"/>
      <c r="Q275" s="433" t="s">
        <v>4</v>
      </c>
      <c r="R275" s="433"/>
      <c r="S275" s="433" t="s">
        <v>7404</v>
      </c>
    </row>
    <row r="276" spans="1:19" ht="22" hidden="1" customHeight="1">
      <c r="A276" s="433" t="s">
        <v>5708</v>
      </c>
      <c r="B276" s="433" t="s">
        <v>5399</v>
      </c>
      <c r="C276" s="433"/>
      <c r="D276" s="434" t="s">
        <v>7406</v>
      </c>
      <c r="E276" s="434" t="s">
        <v>7461</v>
      </c>
      <c r="F276" s="434" t="s">
        <v>7462</v>
      </c>
      <c r="G276" s="435">
        <v>2</v>
      </c>
      <c r="H276" s="434" t="s">
        <v>7827</v>
      </c>
      <c r="I276" s="434" t="s">
        <v>7332</v>
      </c>
      <c r="J276" s="439" t="s">
        <v>8276</v>
      </c>
      <c r="K276" s="440" t="s">
        <v>8613</v>
      </c>
      <c r="L276" s="449" t="s">
        <v>8688</v>
      </c>
      <c r="M276" s="424" t="s">
        <v>8629</v>
      </c>
      <c r="N276" s="440" t="s">
        <v>8670</v>
      </c>
      <c r="O276" s="440" t="s">
        <v>8677</v>
      </c>
      <c r="P276" s="433"/>
      <c r="Q276" s="433" t="s">
        <v>4</v>
      </c>
      <c r="R276" s="433"/>
      <c r="S276" s="433" t="s">
        <v>6366</v>
      </c>
    </row>
    <row r="277" spans="1:19" ht="22" hidden="1" customHeight="1">
      <c r="A277" s="433" t="s">
        <v>5709</v>
      </c>
      <c r="B277" s="433" t="s">
        <v>5399</v>
      </c>
      <c r="C277" s="433"/>
      <c r="D277" s="434" t="s">
        <v>7407</v>
      </c>
      <c r="E277" s="434" t="s">
        <v>7463</v>
      </c>
      <c r="F277" s="434" t="s">
        <v>7464</v>
      </c>
      <c r="G277" s="435">
        <v>2</v>
      </c>
      <c r="H277" s="434" t="s">
        <v>7840</v>
      </c>
      <c r="I277" s="434" t="s">
        <v>7352</v>
      </c>
      <c r="J277" s="439" t="s">
        <v>8276</v>
      </c>
      <c r="K277" s="440" t="s">
        <v>8301</v>
      </c>
      <c r="L277" s="449" t="s">
        <v>8353</v>
      </c>
      <c r="M277" s="424" t="s">
        <v>8620</v>
      </c>
      <c r="N277" s="440" t="s">
        <v>8670</v>
      </c>
      <c r="O277" s="440" t="s">
        <v>8677</v>
      </c>
      <c r="P277" s="433"/>
      <c r="Q277" s="433" t="s">
        <v>4</v>
      </c>
      <c r="R277" s="433"/>
      <c r="S277" s="433" t="s">
        <v>6438</v>
      </c>
    </row>
    <row r="278" spans="1:19" ht="22" hidden="1" customHeight="1">
      <c r="A278" s="433" t="s">
        <v>5710</v>
      </c>
      <c r="B278" s="433" t="s">
        <v>5399</v>
      </c>
      <c r="C278" s="433"/>
      <c r="D278" s="434" t="s">
        <v>7408</v>
      </c>
      <c r="E278" s="434" t="s">
        <v>7465</v>
      </c>
      <c r="F278" s="434" t="s">
        <v>7466</v>
      </c>
      <c r="G278" s="435">
        <v>2</v>
      </c>
      <c r="H278" s="434" t="s">
        <v>2740</v>
      </c>
      <c r="I278" s="434" t="s">
        <v>7409</v>
      </c>
      <c r="J278" s="439" t="s">
        <v>8277</v>
      </c>
      <c r="K278" s="440" t="s">
        <v>8297</v>
      </c>
      <c r="L278" s="449" t="s">
        <v>8354</v>
      </c>
      <c r="M278" s="424" t="s">
        <v>8620</v>
      </c>
      <c r="N278" s="440" t="s">
        <v>8670</v>
      </c>
      <c r="O278" s="440" t="s">
        <v>8677</v>
      </c>
      <c r="P278" s="433"/>
      <c r="Q278" s="433" t="s">
        <v>4</v>
      </c>
      <c r="R278" s="433"/>
      <c r="S278" s="433" t="s">
        <v>2740</v>
      </c>
    </row>
    <row r="279" spans="1:19" ht="22" customHeight="1">
      <c r="A279" s="433" t="s">
        <v>5711</v>
      </c>
      <c r="B279" s="433" t="s">
        <v>5399</v>
      </c>
      <c r="C279" s="433"/>
      <c r="D279" s="434" t="s">
        <v>7410</v>
      </c>
      <c r="E279" s="434" t="s">
        <v>7467</v>
      </c>
      <c r="F279" s="434" t="s">
        <v>7468</v>
      </c>
      <c r="G279" s="435">
        <v>2</v>
      </c>
      <c r="H279" s="434" t="s">
        <v>7840</v>
      </c>
      <c r="I279" s="434" t="s">
        <v>7351</v>
      </c>
      <c r="J279" s="439" t="s">
        <v>8276</v>
      </c>
      <c r="K279" s="440" t="s">
        <v>8302</v>
      </c>
      <c r="L279" s="449" t="s">
        <v>8355</v>
      </c>
      <c r="M279" s="424" t="s">
        <v>8628</v>
      </c>
      <c r="N279" s="440" t="s">
        <v>8668</v>
      </c>
      <c r="O279" s="440" t="s">
        <v>8675</v>
      </c>
      <c r="P279" s="433"/>
      <c r="Q279" s="433" t="s">
        <v>4</v>
      </c>
      <c r="R279" s="433"/>
      <c r="S279" s="433" t="s">
        <v>6426</v>
      </c>
    </row>
    <row r="280" spans="1:19" ht="22" customHeight="1">
      <c r="A280" s="433" t="s">
        <v>7411</v>
      </c>
      <c r="B280" s="433" t="s">
        <v>5399</v>
      </c>
      <c r="C280" s="433"/>
      <c r="D280" s="434" t="s">
        <v>7412</v>
      </c>
      <c r="E280" s="434" t="s">
        <v>7469</v>
      </c>
      <c r="F280" s="434" t="s">
        <v>7470</v>
      </c>
      <c r="G280" s="435">
        <v>2</v>
      </c>
      <c r="H280" s="434" t="s">
        <v>7840</v>
      </c>
      <c r="I280" s="434" t="s">
        <v>7351</v>
      </c>
      <c r="J280" s="439" t="s">
        <v>8276</v>
      </c>
      <c r="K280" s="440" t="s">
        <v>8302</v>
      </c>
      <c r="L280" s="449" t="s">
        <v>8356</v>
      </c>
      <c r="M280" s="424" t="s">
        <v>8628</v>
      </c>
      <c r="N280" s="440" t="s">
        <v>8668</v>
      </c>
      <c r="O280" s="440" t="s">
        <v>8675</v>
      </c>
      <c r="P280" s="433"/>
      <c r="Q280" s="433" t="s">
        <v>4</v>
      </c>
      <c r="R280" s="433"/>
      <c r="S280" s="433" t="s">
        <v>6426</v>
      </c>
    </row>
    <row r="281" spans="1:19" ht="22" hidden="1" customHeight="1">
      <c r="A281" s="433" t="s">
        <v>7413</v>
      </c>
      <c r="B281" s="433" t="s">
        <v>5399</v>
      </c>
      <c r="C281" s="433"/>
      <c r="D281" s="434" t="s">
        <v>7414</v>
      </c>
      <c r="E281" s="434" t="s">
        <v>7471</v>
      </c>
      <c r="F281" s="434" t="s">
        <v>7472</v>
      </c>
      <c r="G281" s="435">
        <v>2</v>
      </c>
      <c r="H281" s="434" t="s">
        <v>7843</v>
      </c>
      <c r="I281" s="434" t="s">
        <v>7300</v>
      </c>
      <c r="J281" s="439" t="s">
        <v>8274</v>
      </c>
      <c r="K281" s="440" t="s">
        <v>8299</v>
      </c>
      <c r="L281" s="449" t="s">
        <v>8357</v>
      </c>
      <c r="M281" s="424" t="s">
        <v>8620</v>
      </c>
      <c r="N281" s="440" t="s">
        <v>8670</v>
      </c>
      <c r="O281" s="440" t="s">
        <v>8677</v>
      </c>
      <c r="P281" s="433"/>
      <c r="Q281" s="433" t="s">
        <v>4</v>
      </c>
      <c r="R281" s="433"/>
      <c r="S281" s="433" t="s">
        <v>6440</v>
      </c>
    </row>
    <row r="282" spans="1:19" ht="22" hidden="1" customHeight="1">
      <c r="A282" s="433" t="s">
        <v>7415</v>
      </c>
      <c r="B282" s="433" t="s">
        <v>5399</v>
      </c>
      <c r="C282" s="433"/>
      <c r="D282" s="434" t="s">
        <v>7416</v>
      </c>
      <c r="E282" s="434" t="s">
        <v>7473</v>
      </c>
      <c r="F282" s="434" t="s">
        <v>7107</v>
      </c>
      <c r="G282" s="435">
        <v>3</v>
      </c>
      <c r="H282" s="434" t="s">
        <v>2740</v>
      </c>
      <c r="I282" s="434" t="s">
        <v>7289</v>
      </c>
      <c r="J282" s="439" t="s">
        <v>8276</v>
      </c>
      <c r="K282" s="440" t="s">
        <v>8291</v>
      </c>
      <c r="L282" s="449" t="s">
        <v>8347</v>
      </c>
      <c r="M282" s="424" t="s">
        <v>8620</v>
      </c>
      <c r="N282" s="440" t="s">
        <v>8670</v>
      </c>
      <c r="O282" s="440" t="s">
        <v>8677</v>
      </c>
      <c r="P282" s="433"/>
      <c r="Q282" s="433" t="s">
        <v>4</v>
      </c>
      <c r="R282" s="433"/>
      <c r="S282" s="433" t="s">
        <v>2740</v>
      </c>
    </row>
    <row r="283" spans="1:19" ht="22" hidden="1" customHeight="1">
      <c r="A283" s="433" t="s">
        <v>7417</v>
      </c>
      <c r="B283" s="433" t="s">
        <v>5399</v>
      </c>
      <c r="C283" s="433"/>
      <c r="D283" s="434" t="s">
        <v>7418</v>
      </c>
      <c r="E283" s="434" t="s">
        <v>7474</v>
      </c>
      <c r="F283" s="434" t="s">
        <v>7108</v>
      </c>
      <c r="G283" s="435">
        <v>3</v>
      </c>
      <c r="H283" s="434" t="s">
        <v>7826</v>
      </c>
      <c r="I283" s="434" t="s">
        <v>7329</v>
      </c>
      <c r="J283" s="439" t="s">
        <v>8276</v>
      </c>
      <c r="K283" s="440" t="s">
        <v>8291</v>
      </c>
      <c r="L283" s="449" t="s">
        <v>8332</v>
      </c>
      <c r="M283" s="424" t="s">
        <v>8620</v>
      </c>
      <c r="N283" s="440" t="s">
        <v>8670</v>
      </c>
      <c r="O283" s="440" t="s">
        <v>8677</v>
      </c>
      <c r="P283" s="433"/>
      <c r="Q283" s="433" t="s">
        <v>4</v>
      </c>
      <c r="R283" s="433"/>
      <c r="S283" s="433" t="s">
        <v>6354</v>
      </c>
    </row>
    <row r="284" spans="1:19" ht="22" hidden="1" customHeight="1">
      <c r="A284" s="433" t="s">
        <v>7419</v>
      </c>
      <c r="B284" s="433" t="s">
        <v>5399</v>
      </c>
      <c r="C284" s="433"/>
      <c r="D284" s="434" t="s">
        <v>7420</v>
      </c>
      <c r="E284" s="434" t="s">
        <v>7109</v>
      </c>
      <c r="F284" s="434" t="s">
        <v>7110</v>
      </c>
      <c r="G284" s="435">
        <v>2</v>
      </c>
      <c r="H284" s="434" t="s">
        <v>7829</v>
      </c>
      <c r="I284" s="434" t="s">
        <v>7336</v>
      </c>
      <c r="J284" s="439" t="s">
        <v>8274</v>
      </c>
      <c r="K284" s="440" t="s">
        <v>8297</v>
      </c>
      <c r="L284" s="449" t="s">
        <v>8335</v>
      </c>
      <c r="M284" s="424" t="s">
        <v>8620</v>
      </c>
      <c r="N284" s="440" t="s">
        <v>8670</v>
      </c>
      <c r="O284" s="440" t="s">
        <v>8677</v>
      </c>
      <c r="P284" s="433"/>
      <c r="Q284" s="433" t="s">
        <v>4</v>
      </c>
      <c r="R284" s="433"/>
      <c r="S284" s="433" t="s">
        <v>6375</v>
      </c>
    </row>
    <row r="285" spans="1:19" ht="22" hidden="1" customHeight="1">
      <c r="A285" s="433" t="s">
        <v>7421</v>
      </c>
      <c r="B285" s="433" t="s">
        <v>5399</v>
      </c>
      <c r="C285" s="433"/>
      <c r="D285" s="434" t="s">
        <v>7422</v>
      </c>
      <c r="E285" s="434" t="s">
        <v>7475</v>
      </c>
      <c r="F285" s="434" t="s">
        <v>7111</v>
      </c>
      <c r="G285" s="435">
        <v>1</v>
      </c>
      <c r="H285" s="434" t="s">
        <v>7845</v>
      </c>
      <c r="I285" s="434" t="s">
        <v>7292</v>
      </c>
      <c r="J285" s="439" t="s">
        <v>8276</v>
      </c>
      <c r="K285" s="440" t="s">
        <v>8295</v>
      </c>
      <c r="L285" s="449" t="s">
        <v>8311</v>
      </c>
      <c r="M285" s="424" t="s">
        <v>8627</v>
      </c>
      <c r="N285" s="440" t="s">
        <v>8670</v>
      </c>
      <c r="O285" s="440" t="s">
        <v>8677</v>
      </c>
      <c r="P285" s="433"/>
      <c r="Q285" s="433" t="s">
        <v>4</v>
      </c>
      <c r="R285" s="433"/>
      <c r="S285" s="433" t="s">
        <v>6452</v>
      </c>
    </row>
    <row r="286" spans="1:19" ht="22" hidden="1" customHeight="1">
      <c r="A286" s="433" t="s">
        <v>7423</v>
      </c>
      <c r="B286" s="433" t="s">
        <v>5399</v>
      </c>
      <c r="C286" s="433"/>
      <c r="D286" s="434" t="s">
        <v>7424</v>
      </c>
      <c r="E286" s="434" t="s">
        <v>7476</v>
      </c>
      <c r="F286" s="434" t="s">
        <v>7112</v>
      </c>
      <c r="G286" s="435">
        <v>2</v>
      </c>
      <c r="H286" s="434" t="s">
        <v>7826</v>
      </c>
      <c r="I286" s="434" t="s">
        <v>7330</v>
      </c>
      <c r="J286" s="439" t="s">
        <v>8276</v>
      </c>
      <c r="K286" s="440" t="s">
        <v>8291</v>
      </c>
      <c r="L286" s="449" t="s">
        <v>8333</v>
      </c>
      <c r="M286" s="424" t="s">
        <v>8620</v>
      </c>
      <c r="N286" s="440" t="s">
        <v>8670</v>
      </c>
      <c r="O286" s="440" t="s">
        <v>8677</v>
      </c>
      <c r="P286" s="433"/>
      <c r="Q286" s="433" t="s">
        <v>4</v>
      </c>
      <c r="R286" s="433"/>
      <c r="S286" s="433" t="s">
        <v>6357</v>
      </c>
    </row>
    <row r="287" spans="1:19" ht="22" hidden="1" customHeight="1">
      <c r="A287" s="433" t="s">
        <v>7425</v>
      </c>
      <c r="B287" s="433" t="s">
        <v>5399</v>
      </c>
      <c r="C287" s="433"/>
      <c r="D287" s="434" t="s">
        <v>7426</v>
      </c>
      <c r="E287" s="434" t="s">
        <v>7477</v>
      </c>
      <c r="F287" s="434" t="s">
        <v>7113</v>
      </c>
      <c r="G287" s="435">
        <v>3</v>
      </c>
      <c r="H287" s="434" t="s">
        <v>2740</v>
      </c>
      <c r="I287" s="434" t="s">
        <v>7289</v>
      </c>
      <c r="J287" s="439" t="s">
        <v>8278</v>
      </c>
      <c r="K287" s="440" t="s">
        <v>8291</v>
      </c>
      <c r="L287" s="449" t="s">
        <v>8347</v>
      </c>
      <c r="M287" s="424" t="s">
        <v>8620</v>
      </c>
      <c r="N287" s="440" t="s">
        <v>8670</v>
      </c>
      <c r="O287" s="440" t="s">
        <v>8677</v>
      </c>
      <c r="P287" s="433"/>
      <c r="Q287" s="433" t="s">
        <v>4</v>
      </c>
      <c r="R287" s="433"/>
      <c r="S287" s="433" t="s">
        <v>2740</v>
      </c>
    </row>
    <row r="288" spans="1:19" ht="22" hidden="1" customHeight="1">
      <c r="A288" s="433" t="s">
        <v>7427</v>
      </c>
      <c r="B288" s="433" t="s">
        <v>5399</v>
      </c>
      <c r="C288" s="433"/>
      <c r="D288" s="434" t="s">
        <v>7428</v>
      </c>
      <c r="E288" s="434" t="s">
        <v>7478</v>
      </c>
      <c r="F288" s="434" t="s">
        <v>7479</v>
      </c>
      <c r="G288" s="435">
        <v>2</v>
      </c>
      <c r="H288" s="434" t="s">
        <v>7845</v>
      </c>
      <c r="I288" s="434" t="s">
        <v>7356</v>
      </c>
      <c r="J288" s="439" t="s">
        <v>8274</v>
      </c>
      <c r="K288" s="440" t="s">
        <v>8295</v>
      </c>
      <c r="L288" s="449" t="s">
        <v>8358</v>
      </c>
      <c r="M288" s="424" t="s">
        <v>8620</v>
      </c>
      <c r="N288" s="440" t="s">
        <v>8670</v>
      </c>
      <c r="O288" s="440" t="s">
        <v>8677</v>
      </c>
      <c r="P288" s="433"/>
      <c r="Q288" s="433" t="s">
        <v>4</v>
      </c>
      <c r="R288" s="433"/>
      <c r="S288" s="433" t="s">
        <v>6456</v>
      </c>
    </row>
    <row r="289" spans="1:19" ht="22" hidden="1" customHeight="1">
      <c r="A289" s="433" t="s">
        <v>7429</v>
      </c>
      <c r="B289" s="433" t="s">
        <v>5399</v>
      </c>
      <c r="C289" s="433"/>
      <c r="D289" s="434" t="s">
        <v>7430</v>
      </c>
      <c r="E289" s="434" t="s">
        <v>7115</v>
      </c>
      <c r="F289" s="434" t="s">
        <v>7116</v>
      </c>
      <c r="G289" s="435">
        <v>3</v>
      </c>
      <c r="H289" s="434" t="s">
        <v>7827</v>
      </c>
      <c r="I289" s="434" t="s">
        <v>7331</v>
      </c>
      <c r="J289" s="439" t="s">
        <v>8278</v>
      </c>
      <c r="K289" s="440" t="s">
        <v>8295</v>
      </c>
      <c r="L289" s="449" t="s">
        <v>8310</v>
      </c>
      <c r="M289" s="424" t="s">
        <v>8628</v>
      </c>
      <c r="N289" s="440" t="s">
        <v>8670</v>
      </c>
      <c r="O289" s="440" t="s">
        <v>8677</v>
      </c>
      <c r="P289" s="433"/>
      <c r="Q289" s="433" t="s">
        <v>4</v>
      </c>
      <c r="R289" s="433"/>
      <c r="S289" s="433" t="s">
        <v>6359</v>
      </c>
    </row>
    <row r="290" spans="1:19" ht="22" hidden="1" customHeight="1">
      <c r="A290" s="433" t="s">
        <v>7431</v>
      </c>
      <c r="B290" s="433" t="s">
        <v>5399</v>
      </c>
      <c r="C290" s="433"/>
      <c r="D290" s="434" t="s">
        <v>7432</v>
      </c>
      <c r="E290" s="434" t="s">
        <v>7480</v>
      </c>
      <c r="F290" s="434" t="s">
        <v>7117</v>
      </c>
      <c r="G290" s="435">
        <v>3</v>
      </c>
      <c r="H290" s="434" t="s">
        <v>7843</v>
      </c>
      <c r="I290" s="434" t="s">
        <v>7300</v>
      </c>
      <c r="J290" s="439" t="s">
        <v>8278</v>
      </c>
      <c r="K290" s="440" t="s">
        <v>8299</v>
      </c>
      <c r="L290" s="449" t="s">
        <v>8359</v>
      </c>
      <c r="M290" s="424" t="s">
        <v>8620</v>
      </c>
      <c r="N290" s="440" t="s">
        <v>8670</v>
      </c>
      <c r="O290" s="440" t="s">
        <v>8677</v>
      </c>
      <c r="P290" s="433"/>
      <c r="Q290" s="433" t="s">
        <v>4</v>
      </c>
      <c r="R290" s="433"/>
      <c r="S290" s="433" t="s">
        <v>6440</v>
      </c>
    </row>
    <row r="291" spans="1:19" ht="22" hidden="1" customHeight="1">
      <c r="A291" s="433" t="s">
        <v>5712</v>
      </c>
      <c r="B291" s="433" t="s">
        <v>5400</v>
      </c>
      <c r="C291" s="433"/>
      <c r="D291" s="434" t="s">
        <v>6154</v>
      </c>
      <c r="E291" s="434" t="s">
        <v>7118</v>
      </c>
      <c r="F291" s="434" t="s">
        <v>7119</v>
      </c>
      <c r="G291" s="435">
        <v>2</v>
      </c>
      <c r="H291" s="434" t="s">
        <v>2740</v>
      </c>
      <c r="I291" s="434" t="s">
        <v>7289</v>
      </c>
      <c r="J291" s="439" t="s">
        <v>8276</v>
      </c>
      <c r="K291" s="440" t="s">
        <v>8291</v>
      </c>
      <c r="L291" s="449" t="s">
        <v>8362</v>
      </c>
      <c r="M291" s="424" t="s">
        <v>8620</v>
      </c>
      <c r="N291" s="440" t="s">
        <v>8670</v>
      </c>
      <c r="O291" s="440" t="s">
        <v>8677</v>
      </c>
      <c r="P291" s="433" t="s">
        <v>2234</v>
      </c>
      <c r="Q291" s="433" t="s">
        <v>4</v>
      </c>
      <c r="R291" s="433"/>
      <c r="S291" s="433" t="s">
        <v>2740</v>
      </c>
    </row>
    <row r="292" spans="1:19" ht="22" hidden="1" customHeight="1">
      <c r="A292" s="433" t="s">
        <v>5713</v>
      </c>
      <c r="B292" s="433" t="s">
        <v>5400</v>
      </c>
      <c r="C292" s="433"/>
      <c r="D292" s="434" t="s">
        <v>6155</v>
      </c>
      <c r="E292" s="434" t="s">
        <v>7120</v>
      </c>
      <c r="F292" s="434" t="s">
        <v>7121</v>
      </c>
      <c r="G292" s="435">
        <v>2</v>
      </c>
      <c r="H292" s="434" t="s">
        <v>2740</v>
      </c>
      <c r="I292" s="434" t="s">
        <v>7289</v>
      </c>
      <c r="J292" s="439" t="s">
        <v>8276</v>
      </c>
      <c r="K292" s="440" t="s">
        <v>8291</v>
      </c>
      <c r="L292" s="449" t="s">
        <v>8362</v>
      </c>
      <c r="M292" s="424" t="s">
        <v>8620</v>
      </c>
      <c r="N292" s="440" t="s">
        <v>8670</v>
      </c>
      <c r="O292" s="440" t="s">
        <v>8677</v>
      </c>
      <c r="P292" s="433" t="s">
        <v>2234</v>
      </c>
      <c r="Q292" s="433" t="s">
        <v>4</v>
      </c>
      <c r="R292" s="433"/>
      <c r="S292" s="433" t="s">
        <v>2740</v>
      </c>
    </row>
    <row r="293" spans="1:19" ht="22" hidden="1" customHeight="1">
      <c r="A293" s="433" t="s">
        <v>5714</v>
      </c>
      <c r="B293" s="433" t="s">
        <v>5400</v>
      </c>
      <c r="C293" s="433"/>
      <c r="D293" s="434" t="s">
        <v>6156</v>
      </c>
      <c r="E293" s="434" t="s">
        <v>7122</v>
      </c>
      <c r="F293" s="434" t="s">
        <v>7123</v>
      </c>
      <c r="G293" s="435">
        <v>2</v>
      </c>
      <c r="H293" s="434" t="s">
        <v>2740</v>
      </c>
      <c r="I293" s="434" t="s">
        <v>7289</v>
      </c>
      <c r="J293" s="439" t="s">
        <v>8276</v>
      </c>
      <c r="K293" s="440" t="s">
        <v>8291</v>
      </c>
      <c r="L293" s="449" t="s">
        <v>8362</v>
      </c>
      <c r="M293" s="424" t="s">
        <v>8620</v>
      </c>
      <c r="N293" s="440" t="s">
        <v>8670</v>
      </c>
      <c r="O293" s="440" t="s">
        <v>8677</v>
      </c>
      <c r="P293" s="433" t="s">
        <v>2234</v>
      </c>
      <c r="Q293" s="433" t="s">
        <v>4</v>
      </c>
      <c r="R293" s="433"/>
      <c r="S293" s="433" t="s">
        <v>2740</v>
      </c>
    </row>
    <row r="294" spans="1:19" ht="22" hidden="1" customHeight="1">
      <c r="A294" s="433" t="s">
        <v>8419</v>
      </c>
      <c r="B294" s="433" t="s">
        <v>5400</v>
      </c>
      <c r="C294" s="433"/>
      <c r="D294" s="434" t="s">
        <v>8420</v>
      </c>
      <c r="E294" s="434" t="s">
        <v>8454</v>
      </c>
      <c r="F294" s="434" t="s">
        <v>8455</v>
      </c>
      <c r="G294" s="435">
        <v>0.5</v>
      </c>
      <c r="H294" s="434" t="s">
        <v>7830</v>
      </c>
      <c r="I294" s="434" t="s">
        <v>7339</v>
      </c>
      <c r="J294" s="439" t="s">
        <v>8276</v>
      </c>
      <c r="K294" s="440" t="s">
        <v>8291</v>
      </c>
      <c r="L294" s="449" t="s">
        <v>8456</v>
      </c>
      <c r="M294" s="424" t="s">
        <v>8620</v>
      </c>
      <c r="N294" s="440" t="s">
        <v>8669</v>
      </c>
      <c r="O294" s="440" t="s">
        <v>8677</v>
      </c>
      <c r="P294" s="433" t="s">
        <v>2234</v>
      </c>
      <c r="Q294" s="433" t="s">
        <v>4</v>
      </c>
      <c r="R294" s="433"/>
      <c r="S294" s="433" t="s">
        <v>6387</v>
      </c>
    </row>
    <row r="295" spans="1:19" ht="22" hidden="1" customHeight="1">
      <c r="A295" s="433" t="s">
        <v>8421</v>
      </c>
      <c r="B295" s="433" t="s">
        <v>5400</v>
      </c>
      <c r="C295" s="433"/>
      <c r="D295" s="434" t="s">
        <v>8422</v>
      </c>
      <c r="E295" s="434" t="s">
        <v>8457</v>
      </c>
      <c r="F295" s="434" t="s">
        <v>8455</v>
      </c>
      <c r="G295" s="435">
        <v>0.5</v>
      </c>
      <c r="H295" s="434" t="s">
        <v>7830</v>
      </c>
      <c r="I295" s="434" t="s">
        <v>7293</v>
      </c>
      <c r="J295" s="439" t="s">
        <v>8276</v>
      </c>
      <c r="K295" s="440" t="s">
        <v>8291</v>
      </c>
      <c r="L295" s="449" t="s">
        <v>8456</v>
      </c>
      <c r="M295" s="424" t="s">
        <v>8620</v>
      </c>
      <c r="N295" s="440" t="s">
        <v>8669</v>
      </c>
      <c r="O295" s="440" t="s">
        <v>8677</v>
      </c>
      <c r="P295" s="433" t="s">
        <v>2234</v>
      </c>
      <c r="Q295" s="433" t="s">
        <v>4</v>
      </c>
      <c r="R295" s="433"/>
      <c r="S295" s="433" t="s">
        <v>6381</v>
      </c>
    </row>
    <row r="296" spans="1:19" ht="22" hidden="1" customHeight="1">
      <c r="A296" s="433" t="s">
        <v>8423</v>
      </c>
      <c r="B296" s="433" t="s">
        <v>5400</v>
      </c>
      <c r="C296" s="433"/>
      <c r="D296" s="434" t="s">
        <v>8424</v>
      </c>
      <c r="E296" s="434" t="s">
        <v>8458</v>
      </c>
      <c r="F296" s="434" t="s">
        <v>8455</v>
      </c>
      <c r="G296" s="435">
        <v>0.5</v>
      </c>
      <c r="H296" s="434" t="s">
        <v>7830</v>
      </c>
      <c r="I296" s="434" t="s">
        <v>7338</v>
      </c>
      <c r="J296" s="439" t="s">
        <v>8276</v>
      </c>
      <c r="K296" s="440" t="s">
        <v>8291</v>
      </c>
      <c r="L296" s="449" t="s">
        <v>8456</v>
      </c>
      <c r="M296" s="424" t="s">
        <v>8620</v>
      </c>
      <c r="N296" s="440" t="s">
        <v>8669</v>
      </c>
      <c r="O296" s="440" t="s">
        <v>8677</v>
      </c>
      <c r="P296" s="433" t="s">
        <v>2234</v>
      </c>
      <c r="Q296" s="433" t="s">
        <v>4</v>
      </c>
      <c r="R296" s="433"/>
      <c r="S296" s="433" t="s">
        <v>6385</v>
      </c>
    </row>
    <row r="297" spans="1:19" ht="22" hidden="1" customHeight="1">
      <c r="A297" s="433" t="s">
        <v>8425</v>
      </c>
      <c r="B297" s="433" t="s">
        <v>5400</v>
      </c>
      <c r="C297" s="433"/>
      <c r="D297" s="434" t="s">
        <v>8426</v>
      </c>
      <c r="E297" s="434" t="s">
        <v>8459</v>
      </c>
      <c r="F297" s="434" t="s">
        <v>8455</v>
      </c>
      <c r="G297" s="435">
        <v>0.5</v>
      </c>
      <c r="H297" s="434" t="s">
        <v>7830</v>
      </c>
      <c r="I297" s="434" t="s">
        <v>7340</v>
      </c>
      <c r="J297" s="439" t="s">
        <v>8276</v>
      </c>
      <c r="K297" s="440" t="s">
        <v>8291</v>
      </c>
      <c r="L297" s="449" t="s">
        <v>8456</v>
      </c>
      <c r="M297" s="424" t="s">
        <v>8620</v>
      </c>
      <c r="N297" s="440" t="s">
        <v>8669</v>
      </c>
      <c r="O297" s="440" t="s">
        <v>8677</v>
      </c>
      <c r="P297" s="433" t="s">
        <v>2234</v>
      </c>
      <c r="Q297" s="433" t="s">
        <v>4</v>
      </c>
      <c r="R297" s="433"/>
      <c r="S297" s="433" t="s">
        <v>6390</v>
      </c>
    </row>
    <row r="298" spans="1:19" ht="22" hidden="1" customHeight="1">
      <c r="A298" s="433" t="s">
        <v>8427</v>
      </c>
      <c r="B298" s="433" t="s">
        <v>5400</v>
      </c>
      <c r="C298" s="433"/>
      <c r="D298" s="434" t="s">
        <v>8428</v>
      </c>
      <c r="E298" s="434" t="s">
        <v>8460</v>
      </c>
      <c r="F298" s="434" t="s">
        <v>8455</v>
      </c>
      <c r="G298" s="435">
        <v>0.5</v>
      </c>
      <c r="H298" s="434" t="s">
        <v>7830</v>
      </c>
      <c r="I298" s="434" t="s">
        <v>7831</v>
      </c>
      <c r="J298" s="439" t="s">
        <v>8276</v>
      </c>
      <c r="K298" s="440" t="s">
        <v>8291</v>
      </c>
      <c r="L298" s="449" t="s">
        <v>8456</v>
      </c>
      <c r="M298" s="424" t="s">
        <v>8620</v>
      </c>
      <c r="N298" s="440" t="s">
        <v>8668</v>
      </c>
      <c r="O298" s="440" t="s">
        <v>8677</v>
      </c>
      <c r="P298" s="433" t="s">
        <v>2234</v>
      </c>
      <c r="Q298" s="433" t="s">
        <v>4</v>
      </c>
      <c r="R298" s="433"/>
      <c r="S298" s="433" t="s">
        <v>6392</v>
      </c>
    </row>
    <row r="299" spans="1:19" ht="22" hidden="1" customHeight="1">
      <c r="A299" s="433" t="s">
        <v>8429</v>
      </c>
      <c r="B299" s="433" t="s">
        <v>5400</v>
      </c>
      <c r="C299" s="433"/>
      <c r="D299" s="434" t="s">
        <v>8430</v>
      </c>
      <c r="E299" s="434" t="s">
        <v>8461</v>
      </c>
      <c r="F299" s="434" t="s">
        <v>8455</v>
      </c>
      <c r="G299" s="435">
        <v>0.5</v>
      </c>
      <c r="H299" s="434" t="s">
        <v>7830</v>
      </c>
      <c r="I299" s="434" t="s">
        <v>7341</v>
      </c>
      <c r="J299" s="439" t="s">
        <v>8276</v>
      </c>
      <c r="K299" s="440" t="s">
        <v>8291</v>
      </c>
      <c r="L299" s="449" t="s">
        <v>8456</v>
      </c>
      <c r="M299" s="424" t="s">
        <v>8620</v>
      </c>
      <c r="N299" s="440" t="s">
        <v>8669</v>
      </c>
      <c r="O299" s="440" t="s">
        <v>8677</v>
      </c>
      <c r="P299" s="433" t="s">
        <v>2234</v>
      </c>
      <c r="Q299" s="433" t="s">
        <v>4</v>
      </c>
      <c r="R299" s="433"/>
      <c r="S299" s="433" t="s">
        <v>6394</v>
      </c>
    </row>
    <row r="300" spans="1:19" ht="22" hidden="1" customHeight="1">
      <c r="A300" s="433" t="s">
        <v>8431</v>
      </c>
      <c r="B300" s="433" t="s">
        <v>5400</v>
      </c>
      <c r="C300" s="433"/>
      <c r="D300" s="434" t="s">
        <v>8432</v>
      </c>
      <c r="E300" s="434" t="s">
        <v>8462</v>
      </c>
      <c r="F300" s="434" t="s">
        <v>8455</v>
      </c>
      <c r="G300" s="435">
        <v>0.5</v>
      </c>
      <c r="H300" s="434" t="s">
        <v>7832</v>
      </c>
      <c r="I300" s="434" t="s">
        <v>7342</v>
      </c>
      <c r="J300" s="439" t="s">
        <v>8276</v>
      </c>
      <c r="K300" s="440" t="s">
        <v>8291</v>
      </c>
      <c r="L300" s="449" t="s">
        <v>8456</v>
      </c>
      <c r="M300" s="424" t="s">
        <v>8620</v>
      </c>
      <c r="N300" s="440" t="s">
        <v>8669</v>
      </c>
      <c r="O300" s="440" t="s">
        <v>8677</v>
      </c>
      <c r="P300" s="433" t="s">
        <v>2234</v>
      </c>
      <c r="Q300" s="433" t="s">
        <v>4</v>
      </c>
      <c r="R300" s="433"/>
      <c r="S300" s="433" t="s">
        <v>6396</v>
      </c>
    </row>
    <row r="301" spans="1:19" ht="22" hidden="1" customHeight="1">
      <c r="A301" s="433" t="s">
        <v>8433</v>
      </c>
      <c r="B301" s="433" t="s">
        <v>5400</v>
      </c>
      <c r="C301" s="433"/>
      <c r="D301" s="434" t="s">
        <v>8434</v>
      </c>
      <c r="E301" s="434" t="s">
        <v>8463</v>
      </c>
      <c r="F301" s="434" t="s">
        <v>8455</v>
      </c>
      <c r="G301" s="435">
        <v>0.5</v>
      </c>
      <c r="H301" s="434" t="s">
        <v>7832</v>
      </c>
      <c r="I301" s="434" t="s">
        <v>7344</v>
      </c>
      <c r="J301" s="439" t="s">
        <v>8276</v>
      </c>
      <c r="K301" s="440" t="s">
        <v>8291</v>
      </c>
      <c r="L301" s="449" t="s">
        <v>8456</v>
      </c>
      <c r="M301" s="424" t="s">
        <v>8620</v>
      </c>
      <c r="N301" s="440" t="s">
        <v>8668</v>
      </c>
      <c r="O301" s="440" t="s">
        <v>8677</v>
      </c>
      <c r="P301" s="433" t="s">
        <v>2234</v>
      </c>
      <c r="Q301" s="433" t="s">
        <v>4</v>
      </c>
      <c r="R301" s="433"/>
      <c r="S301" s="433" t="s">
        <v>6402</v>
      </c>
    </row>
    <row r="302" spans="1:19" ht="22" hidden="1" customHeight="1">
      <c r="A302" s="433" t="s">
        <v>8435</v>
      </c>
      <c r="B302" s="433" t="s">
        <v>5400</v>
      </c>
      <c r="C302" s="433"/>
      <c r="D302" s="434" t="s">
        <v>8436</v>
      </c>
      <c r="E302" s="434" t="s">
        <v>8464</v>
      </c>
      <c r="F302" s="434" t="s">
        <v>8455</v>
      </c>
      <c r="G302" s="435">
        <v>0.5</v>
      </c>
      <c r="H302" s="434" t="s">
        <v>7832</v>
      </c>
      <c r="I302" s="434" t="s">
        <v>7345</v>
      </c>
      <c r="J302" s="439" t="s">
        <v>8276</v>
      </c>
      <c r="K302" s="440" t="s">
        <v>8295</v>
      </c>
      <c r="L302" s="449" t="s">
        <v>8465</v>
      </c>
      <c r="M302" s="424" t="s">
        <v>8620</v>
      </c>
      <c r="N302" s="440" t="s">
        <v>8668</v>
      </c>
      <c r="O302" s="440" t="s">
        <v>8677</v>
      </c>
      <c r="P302" s="433" t="s">
        <v>2234</v>
      </c>
      <c r="Q302" s="433" t="s">
        <v>4</v>
      </c>
      <c r="R302" s="433"/>
      <c r="S302" s="433" t="s">
        <v>6404</v>
      </c>
    </row>
    <row r="303" spans="1:19" ht="22" hidden="1" customHeight="1">
      <c r="A303" s="433" t="s">
        <v>8437</v>
      </c>
      <c r="B303" s="433" t="s">
        <v>5400</v>
      </c>
      <c r="C303" s="433"/>
      <c r="D303" s="434" t="s">
        <v>8438</v>
      </c>
      <c r="E303" s="434" t="s">
        <v>8466</v>
      </c>
      <c r="F303" s="434" t="s">
        <v>8455</v>
      </c>
      <c r="G303" s="435">
        <v>0.5</v>
      </c>
      <c r="H303" s="434" t="s">
        <v>7832</v>
      </c>
      <c r="I303" s="434" t="s">
        <v>7343</v>
      </c>
      <c r="J303" s="439" t="s">
        <v>8276</v>
      </c>
      <c r="K303" s="440" t="s">
        <v>8291</v>
      </c>
      <c r="L303" s="449" t="s">
        <v>8456</v>
      </c>
      <c r="M303" s="424" t="s">
        <v>8620</v>
      </c>
      <c r="N303" s="440" t="s">
        <v>8670</v>
      </c>
      <c r="O303" s="440" t="s">
        <v>8677</v>
      </c>
      <c r="P303" s="433" t="s">
        <v>2234</v>
      </c>
      <c r="Q303" s="433" t="s">
        <v>4</v>
      </c>
      <c r="R303" s="433"/>
      <c r="S303" s="433" t="s">
        <v>6399</v>
      </c>
    </row>
    <row r="304" spans="1:19" ht="22" hidden="1" customHeight="1">
      <c r="A304" s="433" t="s">
        <v>8439</v>
      </c>
      <c r="B304" s="433" t="s">
        <v>5400</v>
      </c>
      <c r="C304" s="433"/>
      <c r="D304" s="434" t="s">
        <v>8440</v>
      </c>
      <c r="E304" s="434" t="s">
        <v>8467</v>
      </c>
      <c r="F304" s="434" t="s">
        <v>8455</v>
      </c>
      <c r="G304" s="435">
        <v>0.5</v>
      </c>
      <c r="H304" s="434" t="s">
        <v>7840</v>
      </c>
      <c r="I304" s="434" t="s">
        <v>7294</v>
      </c>
      <c r="J304" s="439" t="s">
        <v>8276</v>
      </c>
      <c r="K304" s="440" t="s">
        <v>8291</v>
      </c>
      <c r="L304" s="449" t="s">
        <v>8456</v>
      </c>
      <c r="M304" s="424" t="s">
        <v>8620</v>
      </c>
      <c r="N304" s="440" t="s">
        <v>8670</v>
      </c>
      <c r="O304" s="440" t="s">
        <v>8677</v>
      </c>
      <c r="P304" s="433" t="s">
        <v>2234</v>
      </c>
      <c r="Q304" s="433" t="s">
        <v>4</v>
      </c>
      <c r="R304" s="433"/>
      <c r="S304" s="433" t="s">
        <v>6432</v>
      </c>
    </row>
    <row r="305" spans="1:19" ht="22" hidden="1" customHeight="1">
      <c r="A305" s="433" t="s">
        <v>8441</v>
      </c>
      <c r="B305" s="433" t="s">
        <v>5400</v>
      </c>
      <c r="C305" s="433"/>
      <c r="D305" s="434" t="s">
        <v>8442</v>
      </c>
      <c r="E305" s="434" t="s">
        <v>8468</v>
      </c>
      <c r="F305" s="434" t="s">
        <v>8455</v>
      </c>
      <c r="G305" s="435">
        <v>0.5</v>
      </c>
      <c r="H305" s="434" t="s">
        <v>7840</v>
      </c>
      <c r="I305" s="434" t="s">
        <v>7295</v>
      </c>
      <c r="J305" s="439" t="s">
        <v>8276</v>
      </c>
      <c r="K305" s="440" t="s">
        <v>8291</v>
      </c>
      <c r="L305" s="449" t="s">
        <v>8456</v>
      </c>
      <c r="M305" s="424" t="s">
        <v>8620</v>
      </c>
      <c r="N305" s="440" t="s">
        <v>8670</v>
      </c>
      <c r="O305" s="440" t="s">
        <v>8677</v>
      </c>
      <c r="P305" s="433" t="s">
        <v>2234</v>
      </c>
      <c r="Q305" s="433" t="s">
        <v>4</v>
      </c>
      <c r="R305" s="433"/>
      <c r="S305" s="433" t="s">
        <v>6435</v>
      </c>
    </row>
    <row r="306" spans="1:19" ht="22" hidden="1" customHeight="1">
      <c r="A306" s="433" t="s">
        <v>8513</v>
      </c>
      <c r="B306" s="433" t="s">
        <v>5400</v>
      </c>
      <c r="C306" s="433"/>
      <c r="D306" s="434" t="s">
        <v>8514</v>
      </c>
      <c r="E306" s="434" t="s">
        <v>8515</v>
      </c>
      <c r="F306" s="434" t="s">
        <v>8455</v>
      </c>
      <c r="G306" s="435">
        <v>0.5</v>
      </c>
      <c r="H306" s="434" t="s">
        <v>7833</v>
      </c>
      <c r="I306" s="434" t="s">
        <v>7346</v>
      </c>
      <c r="J306" s="439" t="s">
        <v>8274</v>
      </c>
      <c r="K306" s="440" t="s">
        <v>8299</v>
      </c>
      <c r="L306" s="449" t="s">
        <v>8336</v>
      </c>
      <c r="M306" s="424" t="s">
        <v>8620</v>
      </c>
      <c r="N306" s="440" t="s">
        <v>8670</v>
      </c>
      <c r="O306" s="440" t="s">
        <v>8677</v>
      </c>
      <c r="P306" s="433" t="s">
        <v>2234</v>
      </c>
      <c r="Q306" s="433" t="s">
        <v>4</v>
      </c>
      <c r="R306" s="433"/>
      <c r="S306" s="433" t="s">
        <v>6407</v>
      </c>
    </row>
    <row r="307" spans="1:19" ht="22" hidden="1" customHeight="1">
      <c r="A307" s="433" t="s">
        <v>8516</v>
      </c>
      <c r="B307" s="433" t="s">
        <v>5400</v>
      </c>
      <c r="C307" s="433"/>
      <c r="D307" s="434" t="s">
        <v>8517</v>
      </c>
      <c r="E307" s="434" t="s">
        <v>8518</v>
      </c>
      <c r="F307" s="434" t="s">
        <v>8455</v>
      </c>
      <c r="G307" s="435">
        <v>0.5</v>
      </c>
      <c r="H307" s="434" t="s">
        <v>7833</v>
      </c>
      <c r="I307" s="434" t="s">
        <v>7346</v>
      </c>
      <c r="J307" s="439" t="s">
        <v>8274</v>
      </c>
      <c r="K307" s="440" t="s">
        <v>8299</v>
      </c>
      <c r="L307" s="449" t="s">
        <v>8336</v>
      </c>
      <c r="M307" s="424" t="s">
        <v>8620</v>
      </c>
      <c r="N307" s="440" t="s">
        <v>8670</v>
      </c>
      <c r="O307" s="440" t="s">
        <v>8677</v>
      </c>
      <c r="P307" s="433" t="s">
        <v>2234</v>
      </c>
      <c r="Q307" s="433" t="s">
        <v>4</v>
      </c>
      <c r="R307" s="433"/>
      <c r="S307" s="433" t="s">
        <v>6407</v>
      </c>
    </row>
    <row r="308" spans="1:19" ht="22" hidden="1" customHeight="1">
      <c r="A308" s="433" t="s">
        <v>8519</v>
      </c>
      <c r="B308" s="433" t="s">
        <v>5400</v>
      </c>
      <c r="C308" s="433"/>
      <c r="D308" s="434" t="s">
        <v>8520</v>
      </c>
      <c r="E308" s="434" t="s">
        <v>8521</v>
      </c>
      <c r="F308" s="434" t="s">
        <v>8455</v>
      </c>
      <c r="G308" s="435">
        <v>0.5</v>
      </c>
      <c r="H308" s="434" t="s">
        <v>7833</v>
      </c>
      <c r="I308" s="434" t="s">
        <v>7347</v>
      </c>
      <c r="J308" s="439" t="s">
        <v>8274</v>
      </c>
      <c r="K308" s="440" t="s">
        <v>8299</v>
      </c>
      <c r="L308" s="449" t="s">
        <v>8336</v>
      </c>
      <c r="M308" s="424" t="s">
        <v>8620</v>
      </c>
      <c r="N308" s="440" t="s">
        <v>8670</v>
      </c>
      <c r="O308" s="440" t="s">
        <v>8677</v>
      </c>
      <c r="P308" s="433" t="s">
        <v>2234</v>
      </c>
      <c r="Q308" s="433" t="s">
        <v>4</v>
      </c>
      <c r="R308" s="433"/>
      <c r="S308" s="433" t="s">
        <v>6411</v>
      </c>
    </row>
    <row r="309" spans="1:19" ht="22" hidden="1" customHeight="1">
      <c r="A309" s="433" t="s">
        <v>8522</v>
      </c>
      <c r="B309" s="433" t="s">
        <v>5400</v>
      </c>
      <c r="C309" s="433"/>
      <c r="D309" s="434" t="s">
        <v>8523</v>
      </c>
      <c r="E309" s="434" t="s">
        <v>8524</v>
      </c>
      <c r="F309" s="434" t="s">
        <v>8455</v>
      </c>
      <c r="G309" s="435">
        <v>0.5</v>
      </c>
      <c r="H309" s="434" t="s">
        <v>7833</v>
      </c>
      <c r="I309" s="434" t="s">
        <v>7347</v>
      </c>
      <c r="J309" s="439" t="s">
        <v>8274</v>
      </c>
      <c r="K309" s="440" t="s">
        <v>8299</v>
      </c>
      <c r="L309" s="449" t="s">
        <v>8336</v>
      </c>
      <c r="M309" s="424" t="s">
        <v>8620</v>
      </c>
      <c r="N309" s="440" t="s">
        <v>8670</v>
      </c>
      <c r="O309" s="440" t="s">
        <v>8677</v>
      </c>
      <c r="P309" s="433" t="s">
        <v>2234</v>
      </c>
      <c r="Q309" s="433" t="s">
        <v>4</v>
      </c>
      <c r="R309" s="433"/>
      <c r="S309" s="433" t="s">
        <v>6411</v>
      </c>
    </row>
    <row r="310" spans="1:19" ht="22" hidden="1" customHeight="1">
      <c r="A310" s="433" t="s">
        <v>8525</v>
      </c>
      <c r="B310" s="433" t="s">
        <v>5400</v>
      </c>
      <c r="C310" s="433"/>
      <c r="D310" s="434" t="s">
        <v>8526</v>
      </c>
      <c r="E310" s="434" t="s">
        <v>8527</v>
      </c>
      <c r="F310" s="434" t="s">
        <v>8455</v>
      </c>
      <c r="G310" s="435">
        <v>0.5</v>
      </c>
      <c r="H310" s="434" t="s">
        <v>7833</v>
      </c>
      <c r="I310" s="434" t="s">
        <v>8395</v>
      </c>
      <c r="J310" s="439" t="s">
        <v>8274</v>
      </c>
      <c r="K310" s="440" t="s">
        <v>8299</v>
      </c>
      <c r="L310" s="449" t="s">
        <v>8336</v>
      </c>
      <c r="M310" s="424" t="s">
        <v>8620</v>
      </c>
      <c r="N310" s="440" t="s">
        <v>8670</v>
      </c>
      <c r="O310" s="440" t="s">
        <v>8677</v>
      </c>
      <c r="P310" s="433" t="s">
        <v>2234</v>
      </c>
      <c r="Q310" s="433" t="s">
        <v>4</v>
      </c>
      <c r="R310" s="433"/>
      <c r="S310" s="433" t="s">
        <v>8528</v>
      </c>
    </row>
    <row r="311" spans="1:19" ht="22" hidden="1" customHeight="1">
      <c r="A311" s="433" t="s">
        <v>8529</v>
      </c>
      <c r="B311" s="433" t="s">
        <v>5400</v>
      </c>
      <c r="C311" s="433"/>
      <c r="D311" s="434" t="s">
        <v>8530</v>
      </c>
      <c r="E311" s="434" t="s">
        <v>8531</v>
      </c>
      <c r="F311" s="434" t="s">
        <v>8455</v>
      </c>
      <c r="G311" s="435">
        <v>0.5</v>
      </c>
      <c r="H311" s="434" t="s">
        <v>7833</v>
      </c>
      <c r="I311" s="434" t="s">
        <v>7841</v>
      </c>
      <c r="J311" s="439" t="s">
        <v>8274</v>
      </c>
      <c r="K311" s="440" t="s">
        <v>8299</v>
      </c>
      <c r="L311" s="449" t="s">
        <v>8336</v>
      </c>
      <c r="M311" s="424" t="s">
        <v>8620</v>
      </c>
      <c r="N311" s="440" t="s">
        <v>8670</v>
      </c>
      <c r="O311" s="440" t="s">
        <v>8677</v>
      </c>
      <c r="P311" s="433" t="s">
        <v>2234</v>
      </c>
      <c r="Q311" s="433" t="s">
        <v>4</v>
      </c>
      <c r="R311" s="433"/>
      <c r="S311" s="433" t="s">
        <v>6430</v>
      </c>
    </row>
    <row r="312" spans="1:19" ht="22" hidden="1" customHeight="1">
      <c r="A312" s="433" t="s">
        <v>8532</v>
      </c>
      <c r="B312" s="433" t="s">
        <v>5400</v>
      </c>
      <c r="C312" s="433"/>
      <c r="D312" s="434" t="s">
        <v>8533</v>
      </c>
      <c r="E312" s="434" t="s">
        <v>8534</v>
      </c>
      <c r="F312" s="434" t="s">
        <v>8455</v>
      </c>
      <c r="G312" s="435">
        <v>0.5</v>
      </c>
      <c r="H312" s="434" t="s">
        <v>7833</v>
      </c>
      <c r="I312" s="434" t="s">
        <v>7348</v>
      </c>
      <c r="J312" s="439" t="s">
        <v>8274</v>
      </c>
      <c r="K312" s="440" t="s">
        <v>8299</v>
      </c>
      <c r="L312" s="449" t="s">
        <v>8336</v>
      </c>
      <c r="M312" s="424" t="s">
        <v>8620</v>
      </c>
      <c r="N312" s="440" t="s">
        <v>8670</v>
      </c>
      <c r="O312" s="440" t="s">
        <v>8677</v>
      </c>
      <c r="P312" s="433" t="s">
        <v>2234</v>
      </c>
      <c r="Q312" s="433" t="s">
        <v>4</v>
      </c>
      <c r="R312" s="433"/>
      <c r="S312" s="433" t="s">
        <v>6414</v>
      </c>
    </row>
    <row r="313" spans="1:19" ht="22" hidden="1" customHeight="1">
      <c r="A313" s="433" t="s">
        <v>8535</v>
      </c>
      <c r="B313" s="433" t="s">
        <v>5400</v>
      </c>
      <c r="C313" s="433"/>
      <c r="D313" s="434" t="s">
        <v>8536</v>
      </c>
      <c r="E313" s="434" t="s">
        <v>8537</v>
      </c>
      <c r="F313" s="434" t="s">
        <v>8455</v>
      </c>
      <c r="G313" s="435">
        <v>0.5</v>
      </c>
      <c r="H313" s="434" t="s">
        <v>7833</v>
      </c>
      <c r="I313" s="434" t="s">
        <v>7346</v>
      </c>
      <c r="J313" s="439" t="s">
        <v>8274</v>
      </c>
      <c r="K313" s="440" t="s">
        <v>8299</v>
      </c>
      <c r="L313" s="449" t="s">
        <v>8336</v>
      </c>
      <c r="M313" s="424" t="s">
        <v>8620</v>
      </c>
      <c r="N313" s="440" t="s">
        <v>8670</v>
      </c>
      <c r="O313" s="440" t="s">
        <v>8677</v>
      </c>
      <c r="P313" s="433" t="s">
        <v>2234</v>
      </c>
      <c r="Q313" s="433" t="s">
        <v>4</v>
      </c>
      <c r="R313" s="433"/>
      <c r="S313" s="433" t="s">
        <v>6407</v>
      </c>
    </row>
    <row r="314" spans="1:19" ht="22" hidden="1" customHeight="1">
      <c r="A314" s="433" t="s">
        <v>8538</v>
      </c>
      <c r="B314" s="433" t="s">
        <v>5400</v>
      </c>
      <c r="C314" s="433"/>
      <c r="D314" s="434" t="s">
        <v>8539</v>
      </c>
      <c r="E314" s="434" t="s">
        <v>8540</v>
      </c>
      <c r="F314" s="434" t="s">
        <v>8455</v>
      </c>
      <c r="G314" s="435">
        <v>0.5</v>
      </c>
      <c r="H314" s="434" t="s">
        <v>7833</v>
      </c>
      <c r="I314" s="434" t="s">
        <v>7841</v>
      </c>
      <c r="J314" s="439" t="s">
        <v>8274</v>
      </c>
      <c r="K314" s="440" t="s">
        <v>8299</v>
      </c>
      <c r="L314" s="449" t="s">
        <v>8336</v>
      </c>
      <c r="M314" s="424" t="s">
        <v>8620</v>
      </c>
      <c r="N314" s="440" t="s">
        <v>8670</v>
      </c>
      <c r="O314" s="440" t="s">
        <v>8677</v>
      </c>
      <c r="P314" s="433" t="s">
        <v>2234</v>
      </c>
      <c r="Q314" s="433" t="s">
        <v>4</v>
      </c>
      <c r="R314" s="433"/>
      <c r="S314" s="433" t="s">
        <v>6430</v>
      </c>
    </row>
    <row r="315" spans="1:19" ht="22" hidden="1" customHeight="1">
      <c r="A315" s="433" t="s">
        <v>8541</v>
      </c>
      <c r="B315" s="433" t="s">
        <v>5400</v>
      </c>
      <c r="C315" s="433"/>
      <c r="D315" s="434" t="s">
        <v>8542</v>
      </c>
      <c r="E315" s="434" t="s">
        <v>8543</v>
      </c>
      <c r="F315" s="434" t="s">
        <v>8455</v>
      </c>
      <c r="G315" s="435">
        <v>0.5</v>
      </c>
      <c r="H315" s="434" t="s">
        <v>7833</v>
      </c>
      <c r="I315" s="434" t="s">
        <v>8395</v>
      </c>
      <c r="J315" s="439" t="s">
        <v>8274</v>
      </c>
      <c r="K315" s="440" t="s">
        <v>8299</v>
      </c>
      <c r="L315" s="449" t="s">
        <v>8336</v>
      </c>
      <c r="M315" s="424" t="s">
        <v>8620</v>
      </c>
      <c r="N315" s="440" t="s">
        <v>8670</v>
      </c>
      <c r="O315" s="440" t="s">
        <v>8677</v>
      </c>
      <c r="P315" s="433" t="s">
        <v>2234</v>
      </c>
      <c r="Q315" s="433" t="s">
        <v>4</v>
      </c>
      <c r="R315" s="433"/>
      <c r="S315" s="433" t="s">
        <v>8528</v>
      </c>
    </row>
    <row r="316" spans="1:19" ht="22" hidden="1" customHeight="1">
      <c r="A316" s="433" t="s">
        <v>8544</v>
      </c>
      <c r="B316" s="433" t="s">
        <v>5400</v>
      </c>
      <c r="C316" s="433"/>
      <c r="D316" s="434" t="s">
        <v>8545</v>
      </c>
      <c r="E316" s="434" t="s">
        <v>8546</v>
      </c>
      <c r="F316" s="434" t="s">
        <v>8547</v>
      </c>
      <c r="G316" s="435">
        <v>0.5</v>
      </c>
      <c r="H316" s="434" t="s">
        <v>7843</v>
      </c>
      <c r="I316" s="434" t="s">
        <v>7300</v>
      </c>
      <c r="J316" s="439" t="s">
        <v>8274</v>
      </c>
      <c r="K316" s="440" t="s">
        <v>8299</v>
      </c>
      <c r="L316" s="449" t="s">
        <v>8336</v>
      </c>
      <c r="M316" s="424" t="s">
        <v>8620</v>
      </c>
      <c r="N316" s="440" t="s">
        <v>8670</v>
      </c>
      <c r="O316" s="440" t="s">
        <v>8677</v>
      </c>
      <c r="P316" s="433" t="s">
        <v>2234</v>
      </c>
      <c r="Q316" s="433" t="s">
        <v>4</v>
      </c>
      <c r="R316" s="433"/>
      <c r="S316" s="433" t="s">
        <v>6440</v>
      </c>
    </row>
    <row r="317" spans="1:19" ht="22" hidden="1" customHeight="1">
      <c r="A317" s="433" t="s">
        <v>8548</v>
      </c>
      <c r="B317" s="433" t="s">
        <v>5400</v>
      </c>
      <c r="C317" s="433"/>
      <c r="D317" s="434" t="s">
        <v>8549</v>
      </c>
      <c r="E317" s="434" t="s">
        <v>8550</v>
      </c>
      <c r="F317" s="434" t="s">
        <v>8547</v>
      </c>
      <c r="G317" s="435">
        <v>0.5</v>
      </c>
      <c r="H317" s="434" t="s">
        <v>7843</v>
      </c>
      <c r="I317" s="434" t="s">
        <v>7353</v>
      </c>
      <c r="J317" s="439" t="s">
        <v>8274</v>
      </c>
      <c r="K317" s="440" t="s">
        <v>8299</v>
      </c>
      <c r="L317" s="449" t="s">
        <v>8336</v>
      </c>
      <c r="M317" s="424" t="s">
        <v>8620</v>
      </c>
      <c r="N317" s="440" t="s">
        <v>8670</v>
      </c>
      <c r="O317" s="440" t="s">
        <v>8677</v>
      </c>
      <c r="P317" s="433" t="s">
        <v>2234</v>
      </c>
      <c r="Q317" s="433" t="s">
        <v>4</v>
      </c>
      <c r="R317" s="433"/>
      <c r="S317" s="433" t="s">
        <v>6445</v>
      </c>
    </row>
    <row r="318" spans="1:19" ht="22" hidden="1" customHeight="1">
      <c r="A318" s="433" t="s">
        <v>8551</v>
      </c>
      <c r="B318" s="433" t="s">
        <v>5400</v>
      </c>
      <c r="C318" s="433"/>
      <c r="D318" s="434" t="s">
        <v>8424</v>
      </c>
      <c r="E318" s="434" t="s">
        <v>8552</v>
      </c>
      <c r="F318" s="434" t="s">
        <v>8547</v>
      </c>
      <c r="G318" s="435">
        <v>0.5</v>
      </c>
      <c r="H318" s="434" t="s">
        <v>7830</v>
      </c>
      <c r="I318" s="434" t="s">
        <v>7338</v>
      </c>
      <c r="J318" s="439" t="s">
        <v>8276</v>
      </c>
      <c r="K318" s="440" t="s">
        <v>8291</v>
      </c>
      <c r="L318" s="449" t="s">
        <v>8456</v>
      </c>
      <c r="M318" s="424" t="s">
        <v>8620</v>
      </c>
      <c r="N318" s="440" t="s">
        <v>8669</v>
      </c>
      <c r="O318" s="440" t="s">
        <v>8677</v>
      </c>
      <c r="P318" s="433" t="s">
        <v>2234</v>
      </c>
      <c r="Q318" s="433" t="s">
        <v>4</v>
      </c>
      <c r="R318" s="433"/>
      <c r="S318" s="433" t="s">
        <v>6385</v>
      </c>
    </row>
    <row r="319" spans="1:19" ht="22" hidden="1" customHeight="1">
      <c r="A319" s="433" t="s">
        <v>8553</v>
      </c>
      <c r="B319" s="433" t="s">
        <v>5400</v>
      </c>
      <c r="C319" s="433"/>
      <c r="D319" s="434" t="s">
        <v>8554</v>
      </c>
      <c r="E319" s="434" t="s">
        <v>8555</v>
      </c>
      <c r="F319" s="434" t="s">
        <v>8547</v>
      </c>
      <c r="G319" s="435">
        <v>0.5</v>
      </c>
      <c r="H319" s="434" t="s">
        <v>7833</v>
      </c>
      <c r="I319" s="434" t="s">
        <v>7346</v>
      </c>
      <c r="J319" s="439" t="s">
        <v>8274</v>
      </c>
      <c r="K319" s="440" t="s">
        <v>8299</v>
      </c>
      <c r="L319" s="449" t="s">
        <v>8336</v>
      </c>
      <c r="M319" s="424" t="s">
        <v>8620</v>
      </c>
      <c r="N319" s="440" t="s">
        <v>8670</v>
      </c>
      <c r="O319" s="440" t="s">
        <v>8677</v>
      </c>
      <c r="P319" s="433" t="s">
        <v>2234</v>
      </c>
      <c r="Q319" s="433" t="s">
        <v>4</v>
      </c>
      <c r="R319" s="433"/>
      <c r="S319" s="433" t="s">
        <v>6407</v>
      </c>
    </row>
    <row r="320" spans="1:19" ht="22" hidden="1" customHeight="1">
      <c r="A320" s="433" t="s">
        <v>8556</v>
      </c>
      <c r="B320" s="433" t="s">
        <v>5400</v>
      </c>
      <c r="C320" s="433"/>
      <c r="D320" s="434" t="s">
        <v>8557</v>
      </c>
      <c r="E320" s="434" t="s">
        <v>8558</v>
      </c>
      <c r="F320" s="434" t="s">
        <v>8547</v>
      </c>
      <c r="G320" s="435">
        <v>0.5</v>
      </c>
      <c r="H320" s="434" t="s">
        <v>7833</v>
      </c>
      <c r="I320" s="434" t="s">
        <v>7347</v>
      </c>
      <c r="J320" s="439" t="s">
        <v>8274</v>
      </c>
      <c r="K320" s="440" t="s">
        <v>8299</v>
      </c>
      <c r="L320" s="449" t="s">
        <v>8336</v>
      </c>
      <c r="M320" s="424" t="s">
        <v>8620</v>
      </c>
      <c r="N320" s="440" t="s">
        <v>8670</v>
      </c>
      <c r="O320" s="440" t="s">
        <v>8677</v>
      </c>
      <c r="P320" s="433" t="s">
        <v>2234</v>
      </c>
      <c r="Q320" s="433" t="s">
        <v>4</v>
      </c>
      <c r="R320" s="433"/>
      <c r="S320" s="433" t="s">
        <v>6411</v>
      </c>
    </row>
    <row r="321" spans="1:19" ht="22" hidden="1" customHeight="1">
      <c r="A321" s="433" t="s">
        <v>8559</v>
      </c>
      <c r="B321" s="433" t="s">
        <v>5400</v>
      </c>
      <c r="C321" s="433"/>
      <c r="D321" s="434" t="s">
        <v>8560</v>
      </c>
      <c r="E321" s="434" t="s">
        <v>8561</v>
      </c>
      <c r="F321" s="434" t="s">
        <v>8547</v>
      </c>
      <c r="G321" s="435">
        <v>0.5</v>
      </c>
      <c r="H321" s="434" t="s">
        <v>7829</v>
      </c>
      <c r="I321" s="434" t="s">
        <v>7336</v>
      </c>
      <c r="J321" s="439" t="s">
        <v>8274</v>
      </c>
      <c r="K321" s="440" t="s">
        <v>8297</v>
      </c>
      <c r="L321" s="449" t="s">
        <v>8335</v>
      </c>
      <c r="M321" s="424" t="s">
        <v>8620</v>
      </c>
      <c r="N321" s="440" t="s">
        <v>8670</v>
      </c>
      <c r="O321" s="440" t="s">
        <v>8677</v>
      </c>
      <c r="P321" s="433" t="s">
        <v>2234</v>
      </c>
      <c r="Q321" s="433" t="s">
        <v>4</v>
      </c>
      <c r="R321" s="433"/>
      <c r="S321" s="433" t="s">
        <v>6375</v>
      </c>
    </row>
    <row r="322" spans="1:19" ht="22" hidden="1" customHeight="1">
      <c r="A322" s="433" t="s">
        <v>8562</v>
      </c>
      <c r="B322" s="433" t="s">
        <v>5400</v>
      </c>
      <c r="C322" s="433"/>
      <c r="D322" s="434" t="s">
        <v>8563</v>
      </c>
      <c r="E322" s="434" t="s">
        <v>8564</v>
      </c>
      <c r="F322" s="434" t="s">
        <v>8547</v>
      </c>
      <c r="G322" s="435">
        <v>0.5</v>
      </c>
      <c r="H322" s="434" t="s">
        <v>7832</v>
      </c>
      <c r="I322" s="434" t="s">
        <v>7343</v>
      </c>
      <c r="J322" s="439" t="s">
        <v>8276</v>
      </c>
      <c r="K322" s="440" t="s">
        <v>8291</v>
      </c>
      <c r="L322" s="449" t="s">
        <v>8456</v>
      </c>
      <c r="M322" s="424" t="s">
        <v>8620</v>
      </c>
      <c r="N322" s="440" t="s">
        <v>8670</v>
      </c>
      <c r="O322" s="440" t="s">
        <v>8677</v>
      </c>
      <c r="P322" s="433" t="s">
        <v>2234</v>
      </c>
      <c r="Q322" s="433" t="s">
        <v>4</v>
      </c>
      <c r="R322" s="433"/>
      <c r="S322" s="433" t="s">
        <v>6399</v>
      </c>
    </row>
    <row r="323" spans="1:19" ht="22" customHeight="1">
      <c r="A323" s="433" t="s">
        <v>8565</v>
      </c>
      <c r="B323" s="433" t="s">
        <v>5400</v>
      </c>
      <c r="C323" s="433"/>
      <c r="D323" s="434" t="s">
        <v>8566</v>
      </c>
      <c r="E323" s="434" t="s">
        <v>8567</v>
      </c>
      <c r="F323" s="434" t="s">
        <v>8547</v>
      </c>
      <c r="G323" s="435">
        <v>0.5</v>
      </c>
      <c r="H323" s="434" t="s">
        <v>7840</v>
      </c>
      <c r="I323" s="434" t="s">
        <v>7351</v>
      </c>
      <c r="J323" s="439" t="s">
        <v>8276</v>
      </c>
      <c r="K323" s="440" t="s">
        <v>8302</v>
      </c>
      <c r="L323" s="449" t="s">
        <v>8355</v>
      </c>
      <c r="M323" s="424" t="s">
        <v>8628</v>
      </c>
      <c r="N323" s="440" t="s">
        <v>8668</v>
      </c>
      <c r="O323" s="440" t="s">
        <v>8675</v>
      </c>
      <c r="P323" s="433" t="s">
        <v>2234</v>
      </c>
      <c r="Q323" s="433" t="s">
        <v>4</v>
      </c>
      <c r="R323" s="433"/>
      <c r="S323" s="433" t="s">
        <v>6426</v>
      </c>
    </row>
    <row r="324" spans="1:19" ht="22" hidden="1" customHeight="1">
      <c r="A324" s="433" t="s">
        <v>5715</v>
      </c>
      <c r="B324" s="433" t="s">
        <v>5400</v>
      </c>
      <c r="C324" s="433"/>
      <c r="D324" s="434" t="s">
        <v>6157</v>
      </c>
      <c r="E324" s="434" t="s">
        <v>7124</v>
      </c>
      <c r="F324" s="434" t="s">
        <v>7125</v>
      </c>
      <c r="G324" s="435">
        <v>3</v>
      </c>
      <c r="H324" s="434" t="s">
        <v>2740</v>
      </c>
      <c r="I324" s="434" t="s">
        <v>7289</v>
      </c>
      <c r="J324" s="439" t="s">
        <v>8276</v>
      </c>
      <c r="K324" s="440" t="s">
        <v>8291</v>
      </c>
      <c r="L324" s="449" t="s">
        <v>8362</v>
      </c>
      <c r="M324" s="424" t="s">
        <v>8620</v>
      </c>
      <c r="N324" s="440" t="s">
        <v>8670</v>
      </c>
      <c r="O324" s="440" t="s">
        <v>8677</v>
      </c>
      <c r="P324" s="433" t="s">
        <v>2234</v>
      </c>
      <c r="Q324" s="433" t="s">
        <v>4</v>
      </c>
      <c r="R324" s="433"/>
      <c r="S324" s="433" t="s">
        <v>2740</v>
      </c>
    </row>
    <row r="325" spans="1:19" ht="22" hidden="1" customHeight="1">
      <c r="A325" s="433" t="s">
        <v>5716</v>
      </c>
      <c r="B325" s="433" t="s">
        <v>5400</v>
      </c>
      <c r="C325" s="433"/>
      <c r="D325" s="434" t="s">
        <v>6158</v>
      </c>
      <c r="E325" s="434" t="s">
        <v>7126</v>
      </c>
      <c r="F325" s="434" t="s">
        <v>7127</v>
      </c>
      <c r="G325" s="435">
        <v>2</v>
      </c>
      <c r="H325" s="434" t="s">
        <v>2740</v>
      </c>
      <c r="I325" s="434" t="s">
        <v>7289</v>
      </c>
      <c r="J325" s="439" t="s">
        <v>8276</v>
      </c>
      <c r="K325" s="440" t="s">
        <v>8291</v>
      </c>
      <c r="L325" s="449" t="s">
        <v>8362</v>
      </c>
      <c r="M325" s="424" t="s">
        <v>8620</v>
      </c>
      <c r="N325" s="440" t="s">
        <v>8670</v>
      </c>
      <c r="O325" s="440" t="s">
        <v>8677</v>
      </c>
      <c r="P325" s="433" t="s">
        <v>2234</v>
      </c>
      <c r="Q325" s="433" t="s">
        <v>4</v>
      </c>
      <c r="R325" s="433"/>
      <c r="S325" s="433" t="s">
        <v>2740</v>
      </c>
    </row>
    <row r="326" spans="1:19" ht="22" hidden="1" customHeight="1">
      <c r="A326" s="433" t="s">
        <v>8568</v>
      </c>
      <c r="B326" s="433" t="s">
        <v>5400</v>
      </c>
      <c r="C326" s="433"/>
      <c r="D326" s="434" t="s">
        <v>8569</v>
      </c>
      <c r="E326" s="434" t="s">
        <v>8570</v>
      </c>
      <c r="F326" s="434" t="s">
        <v>8455</v>
      </c>
      <c r="G326" s="435">
        <v>0.5</v>
      </c>
      <c r="H326" s="434" t="s">
        <v>7834</v>
      </c>
      <c r="I326" s="434" t="s">
        <v>7835</v>
      </c>
      <c r="J326" s="439" t="s">
        <v>8276</v>
      </c>
      <c r="K326" s="440" t="s">
        <v>8291</v>
      </c>
      <c r="L326" s="449" t="s">
        <v>8338</v>
      </c>
      <c r="M326" s="424" t="s">
        <v>8620</v>
      </c>
      <c r="N326" s="440" t="s">
        <v>8670</v>
      </c>
      <c r="O326" s="440" t="s">
        <v>8677</v>
      </c>
      <c r="P326" s="433" t="s">
        <v>2234</v>
      </c>
      <c r="Q326" s="433" t="s">
        <v>4</v>
      </c>
      <c r="R326" s="433"/>
      <c r="S326" s="433" t="s">
        <v>6416</v>
      </c>
    </row>
    <row r="327" spans="1:19" ht="22" hidden="1" customHeight="1">
      <c r="A327" s="433" t="s">
        <v>8571</v>
      </c>
      <c r="B327" s="433" t="s">
        <v>5400</v>
      </c>
      <c r="C327" s="433"/>
      <c r="D327" s="434" t="s">
        <v>8572</v>
      </c>
      <c r="E327" s="434" t="s">
        <v>8573</v>
      </c>
      <c r="F327" s="434" t="s">
        <v>8455</v>
      </c>
      <c r="G327" s="435">
        <v>0.5</v>
      </c>
      <c r="H327" s="434" t="s">
        <v>7834</v>
      </c>
      <c r="I327" s="434" t="s">
        <v>7837</v>
      </c>
      <c r="J327" s="439" t="s">
        <v>8276</v>
      </c>
      <c r="K327" s="440" t="s">
        <v>8291</v>
      </c>
      <c r="L327" s="449" t="s">
        <v>8338</v>
      </c>
      <c r="M327" s="424" t="s">
        <v>8620</v>
      </c>
      <c r="N327" s="440" t="s">
        <v>8670</v>
      </c>
      <c r="O327" s="440" t="s">
        <v>8677</v>
      </c>
      <c r="P327" s="433" t="s">
        <v>2234</v>
      </c>
      <c r="Q327" s="433" t="s">
        <v>4</v>
      </c>
      <c r="R327" s="433"/>
      <c r="S327" s="433" t="s">
        <v>6419</v>
      </c>
    </row>
    <row r="328" spans="1:19" ht="22" hidden="1" customHeight="1">
      <c r="A328" s="433" t="s">
        <v>8574</v>
      </c>
      <c r="B328" s="433" t="s">
        <v>5400</v>
      </c>
      <c r="C328" s="433"/>
      <c r="D328" s="434" t="s">
        <v>8575</v>
      </c>
      <c r="E328" s="434" t="s">
        <v>8576</v>
      </c>
      <c r="F328" s="434" t="s">
        <v>8455</v>
      </c>
      <c r="G328" s="435">
        <v>0.5</v>
      </c>
      <c r="H328" s="434" t="s">
        <v>7834</v>
      </c>
      <c r="I328" s="434" t="s">
        <v>7837</v>
      </c>
      <c r="J328" s="439" t="s">
        <v>8276</v>
      </c>
      <c r="K328" s="440" t="s">
        <v>8291</v>
      </c>
      <c r="L328" s="449" t="s">
        <v>8338</v>
      </c>
      <c r="M328" s="424" t="s">
        <v>8620</v>
      </c>
      <c r="N328" s="440" t="s">
        <v>8670</v>
      </c>
      <c r="O328" s="440" t="s">
        <v>8677</v>
      </c>
      <c r="P328" s="433" t="s">
        <v>2234</v>
      </c>
      <c r="Q328" s="433" t="s">
        <v>4</v>
      </c>
      <c r="R328" s="433"/>
      <c r="S328" s="433" t="s">
        <v>6419</v>
      </c>
    </row>
    <row r="329" spans="1:19" ht="22" hidden="1" customHeight="1">
      <c r="A329" s="433" t="s">
        <v>8577</v>
      </c>
      <c r="B329" s="433" t="s">
        <v>5400</v>
      </c>
      <c r="C329" s="433"/>
      <c r="D329" s="434" t="s">
        <v>8578</v>
      </c>
      <c r="E329" s="434" t="s">
        <v>8579</v>
      </c>
      <c r="F329" s="434" t="s">
        <v>8455</v>
      </c>
      <c r="G329" s="435">
        <v>0.5</v>
      </c>
      <c r="H329" s="434" t="s">
        <v>7839</v>
      </c>
      <c r="I329" s="434" t="s">
        <v>7349</v>
      </c>
      <c r="J329" s="439" t="s">
        <v>8276</v>
      </c>
      <c r="K329" s="440" t="s">
        <v>8291</v>
      </c>
      <c r="L329" s="449" t="s">
        <v>8338</v>
      </c>
      <c r="M329" s="424" t="s">
        <v>8620</v>
      </c>
      <c r="N329" s="440" t="s">
        <v>8670</v>
      </c>
      <c r="O329" s="440" t="s">
        <v>8677</v>
      </c>
      <c r="P329" s="433" t="s">
        <v>2234</v>
      </c>
      <c r="Q329" s="433" t="s">
        <v>4</v>
      </c>
      <c r="R329" s="433"/>
      <c r="S329" s="433" t="s">
        <v>6421</v>
      </c>
    </row>
    <row r="330" spans="1:19" ht="22" hidden="1" customHeight="1">
      <c r="A330" s="433" t="s">
        <v>8580</v>
      </c>
      <c r="B330" s="433" t="s">
        <v>5400</v>
      </c>
      <c r="C330" s="433"/>
      <c r="D330" s="434" t="s">
        <v>8581</v>
      </c>
      <c r="E330" s="434" t="s">
        <v>8582</v>
      </c>
      <c r="F330" s="434" t="s">
        <v>8455</v>
      </c>
      <c r="G330" s="435">
        <v>0.5</v>
      </c>
      <c r="H330" s="434" t="s">
        <v>7839</v>
      </c>
      <c r="I330" s="434" t="s">
        <v>7350</v>
      </c>
      <c r="J330" s="439" t="s">
        <v>8276</v>
      </c>
      <c r="K330" s="440" t="s">
        <v>8291</v>
      </c>
      <c r="L330" s="449" t="s">
        <v>8338</v>
      </c>
      <c r="M330" s="424" t="s">
        <v>8620</v>
      </c>
      <c r="N330" s="440" t="s">
        <v>8670</v>
      </c>
      <c r="O330" s="440" t="s">
        <v>8677</v>
      </c>
      <c r="P330" s="433" t="s">
        <v>2234</v>
      </c>
      <c r="Q330" s="433" t="s">
        <v>4</v>
      </c>
      <c r="R330" s="433"/>
      <c r="S330" s="433" t="s">
        <v>6423</v>
      </c>
    </row>
    <row r="331" spans="1:19" ht="22" hidden="1" customHeight="1">
      <c r="A331" s="433" t="s">
        <v>8583</v>
      </c>
      <c r="B331" s="433" t="s">
        <v>5400</v>
      </c>
      <c r="C331" s="433"/>
      <c r="D331" s="434" t="s">
        <v>8584</v>
      </c>
      <c r="E331" s="434" t="s">
        <v>8585</v>
      </c>
      <c r="F331" s="434" t="s">
        <v>8455</v>
      </c>
      <c r="G331" s="435">
        <v>0.5</v>
      </c>
      <c r="H331" s="434" t="s">
        <v>7839</v>
      </c>
      <c r="I331" s="434" t="s">
        <v>7350</v>
      </c>
      <c r="J331" s="439" t="s">
        <v>8276</v>
      </c>
      <c r="K331" s="440" t="s">
        <v>8291</v>
      </c>
      <c r="L331" s="449" t="s">
        <v>8338</v>
      </c>
      <c r="M331" s="424" t="s">
        <v>8620</v>
      </c>
      <c r="N331" s="440" t="s">
        <v>8670</v>
      </c>
      <c r="O331" s="440" t="s">
        <v>8677</v>
      </c>
      <c r="P331" s="433" t="s">
        <v>2234</v>
      </c>
      <c r="Q331" s="433" t="s">
        <v>4</v>
      </c>
      <c r="R331" s="433"/>
      <c r="S331" s="433" t="s">
        <v>6423</v>
      </c>
    </row>
    <row r="332" spans="1:19" ht="22" hidden="1" customHeight="1">
      <c r="A332" s="433" t="s">
        <v>5717</v>
      </c>
      <c r="B332" s="433" t="s">
        <v>5400</v>
      </c>
      <c r="C332" s="433"/>
      <c r="D332" s="434" t="s">
        <v>7789</v>
      </c>
      <c r="E332" s="434" t="s">
        <v>7128</v>
      </c>
      <c r="F332" s="434" t="s">
        <v>7129</v>
      </c>
      <c r="G332" s="435">
        <v>4</v>
      </c>
      <c r="H332" s="434" t="s">
        <v>2234</v>
      </c>
      <c r="I332" s="434" t="s">
        <v>7377</v>
      </c>
      <c r="J332" s="439" t="s">
        <v>8276</v>
      </c>
      <c r="K332" s="440" t="s">
        <v>8291</v>
      </c>
      <c r="L332" s="449" t="s">
        <v>8362</v>
      </c>
      <c r="M332" s="424" t="s">
        <v>8620</v>
      </c>
      <c r="N332" s="440" t="s">
        <v>8670</v>
      </c>
      <c r="O332" s="440" t="s">
        <v>8677</v>
      </c>
      <c r="P332" s="433" t="s">
        <v>2234</v>
      </c>
      <c r="Q332" s="433" t="s">
        <v>4</v>
      </c>
      <c r="R332" s="433"/>
      <c r="S332" s="433" t="s">
        <v>6720</v>
      </c>
    </row>
    <row r="333" spans="1:19" ht="22" hidden="1" customHeight="1">
      <c r="A333" s="433" t="s">
        <v>5718</v>
      </c>
      <c r="B333" s="433" t="s">
        <v>5400</v>
      </c>
      <c r="C333" s="433"/>
      <c r="D333" s="434" t="s">
        <v>7790</v>
      </c>
      <c r="E333" s="434" t="s">
        <v>7130</v>
      </c>
      <c r="F333" s="434" t="s">
        <v>7131</v>
      </c>
      <c r="G333" s="435">
        <v>2</v>
      </c>
      <c r="H333" s="434" t="s">
        <v>7825</v>
      </c>
      <c r="I333" s="434" t="s">
        <v>7326</v>
      </c>
      <c r="J333" s="439" t="s">
        <v>8276</v>
      </c>
      <c r="K333" s="440" t="s">
        <v>8294</v>
      </c>
      <c r="L333" s="449" t="s">
        <v>8331</v>
      </c>
      <c r="M333" s="424" t="s">
        <v>8620</v>
      </c>
      <c r="N333" s="440" t="s">
        <v>8670</v>
      </c>
      <c r="O333" s="440" t="s">
        <v>8677</v>
      </c>
      <c r="P333" s="433" t="s">
        <v>2234</v>
      </c>
      <c r="Q333" s="433" t="s">
        <v>4</v>
      </c>
      <c r="R333" s="433"/>
      <c r="S333" s="433" t="s">
        <v>6347</v>
      </c>
    </row>
    <row r="334" spans="1:19" ht="22" hidden="1" customHeight="1">
      <c r="A334" s="433" t="s">
        <v>5719</v>
      </c>
      <c r="B334" s="433" t="s">
        <v>5400</v>
      </c>
      <c r="C334" s="433"/>
      <c r="D334" s="434" t="s">
        <v>6159</v>
      </c>
      <c r="E334" s="434" t="s">
        <v>7132</v>
      </c>
      <c r="F334" s="434" t="s">
        <v>7133</v>
      </c>
      <c r="G334" s="435">
        <v>3</v>
      </c>
      <c r="H334" s="434" t="s">
        <v>7854</v>
      </c>
      <c r="I334" s="434" t="s">
        <v>7960</v>
      </c>
      <c r="J334" s="439" t="s">
        <v>8276</v>
      </c>
      <c r="K334" s="440" t="s">
        <v>8613</v>
      </c>
      <c r="L334" s="449" t="s">
        <v>8697</v>
      </c>
      <c r="M334" s="424" t="s">
        <v>8629</v>
      </c>
      <c r="N334" s="440" t="s">
        <v>8670</v>
      </c>
      <c r="O334" s="440" t="s">
        <v>8677</v>
      </c>
      <c r="P334" s="433" t="s">
        <v>2234</v>
      </c>
      <c r="Q334" s="433" t="s">
        <v>4</v>
      </c>
      <c r="R334" s="433"/>
      <c r="S334" s="433" t="s">
        <v>6721</v>
      </c>
    </row>
    <row r="335" spans="1:19" ht="22" hidden="1" customHeight="1">
      <c r="A335" s="433" t="s">
        <v>5720</v>
      </c>
      <c r="B335" s="433" t="s">
        <v>5400</v>
      </c>
      <c r="C335" s="433"/>
      <c r="D335" s="434" t="s">
        <v>6160</v>
      </c>
      <c r="E335" s="434" t="s">
        <v>7134</v>
      </c>
      <c r="F335" s="434" t="s">
        <v>7135</v>
      </c>
      <c r="G335" s="435">
        <v>2</v>
      </c>
      <c r="H335" s="434" t="s">
        <v>7827</v>
      </c>
      <c r="I335" s="434" t="s">
        <v>7332</v>
      </c>
      <c r="J335" s="439" t="s">
        <v>8276</v>
      </c>
      <c r="K335" s="440" t="s">
        <v>8613</v>
      </c>
      <c r="L335" s="449" t="s">
        <v>8698</v>
      </c>
      <c r="M335" s="424" t="s">
        <v>8629</v>
      </c>
      <c r="N335" s="440" t="s">
        <v>8670</v>
      </c>
      <c r="O335" s="440" t="s">
        <v>8677</v>
      </c>
      <c r="P335" s="433" t="s">
        <v>2234</v>
      </c>
      <c r="Q335" s="433" t="s">
        <v>4</v>
      </c>
      <c r="R335" s="433"/>
      <c r="S335" s="433" t="s">
        <v>6366</v>
      </c>
    </row>
    <row r="336" spans="1:19" ht="22" hidden="1" customHeight="1">
      <c r="A336" s="433" t="s">
        <v>5721</v>
      </c>
      <c r="B336" s="433" t="s">
        <v>5400</v>
      </c>
      <c r="C336" s="433"/>
      <c r="D336" s="434" t="s">
        <v>6161</v>
      </c>
      <c r="E336" s="434" t="s">
        <v>7136</v>
      </c>
      <c r="F336" s="434" t="s">
        <v>7137</v>
      </c>
      <c r="G336" s="435">
        <v>3</v>
      </c>
      <c r="H336" s="434" t="s">
        <v>7853</v>
      </c>
      <c r="I336" s="434" t="s">
        <v>7302</v>
      </c>
      <c r="J336" s="439" t="s">
        <v>8274</v>
      </c>
      <c r="K336" s="440" t="s">
        <v>8292</v>
      </c>
      <c r="L336" s="449" t="s">
        <v>8323</v>
      </c>
      <c r="M336" s="424" t="s">
        <v>8620</v>
      </c>
      <c r="N336" s="440" t="s">
        <v>8670</v>
      </c>
      <c r="O336" s="440" t="s">
        <v>8677</v>
      </c>
      <c r="P336" s="433" t="s">
        <v>2234</v>
      </c>
      <c r="Q336" s="433" t="s">
        <v>4</v>
      </c>
      <c r="R336" s="433"/>
      <c r="S336" s="433" t="s">
        <v>6475</v>
      </c>
    </row>
    <row r="337" spans="1:19" ht="22" customHeight="1">
      <c r="A337" s="433" t="s">
        <v>5722</v>
      </c>
      <c r="B337" s="433" t="s">
        <v>5400</v>
      </c>
      <c r="C337" s="433"/>
      <c r="D337" s="434" t="s">
        <v>6162</v>
      </c>
      <c r="E337" s="434" t="s">
        <v>7138</v>
      </c>
      <c r="F337" s="434" t="s">
        <v>7139</v>
      </c>
      <c r="G337" s="435">
        <v>4</v>
      </c>
      <c r="H337" s="434" t="s">
        <v>7816</v>
      </c>
      <c r="I337" s="434" t="s">
        <v>7297</v>
      </c>
      <c r="J337" s="439" t="s">
        <v>8276</v>
      </c>
      <c r="K337" s="440" t="s">
        <v>8291</v>
      </c>
      <c r="L337" s="449" t="s">
        <v>8317</v>
      </c>
      <c r="M337" s="424" t="s">
        <v>8620</v>
      </c>
      <c r="N337" s="440" t="s">
        <v>8669</v>
      </c>
      <c r="O337" s="440" t="s">
        <v>8675</v>
      </c>
      <c r="P337" s="433" t="s">
        <v>2234</v>
      </c>
      <c r="Q337" s="433" t="s">
        <v>4</v>
      </c>
      <c r="R337" s="433"/>
      <c r="S337" s="433" t="s">
        <v>6282</v>
      </c>
    </row>
    <row r="338" spans="1:19" ht="22" customHeight="1">
      <c r="A338" s="433" t="s">
        <v>5723</v>
      </c>
      <c r="B338" s="433" t="s">
        <v>5400</v>
      </c>
      <c r="C338" s="433"/>
      <c r="D338" s="434" t="s">
        <v>6163</v>
      </c>
      <c r="E338" s="434" t="s">
        <v>7140</v>
      </c>
      <c r="F338" s="434" t="s">
        <v>7141</v>
      </c>
      <c r="G338" s="435">
        <v>4</v>
      </c>
      <c r="H338" s="434" t="s">
        <v>7816</v>
      </c>
      <c r="I338" s="434" t="s">
        <v>7308</v>
      </c>
      <c r="J338" s="439" t="s">
        <v>8276</v>
      </c>
      <c r="K338" s="440" t="s">
        <v>8291</v>
      </c>
      <c r="L338" s="449" t="s">
        <v>8317</v>
      </c>
      <c r="M338" s="424" t="s">
        <v>8620</v>
      </c>
      <c r="N338" s="440" t="s">
        <v>8669</v>
      </c>
      <c r="O338" s="440" t="s">
        <v>8675</v>
      </c>
      <c r="P338" s="433" t="s">
        <v>2234</v>
      </c>
      <c r="Q338" s="433" t="s">
        <v>4</v>
      </c>
      <c r="R338" s="433"/>
      <c r="S338" s="433" t="s">
        <v>6286</v>
      </c>
    </row>
    <row r="339" spans="1:19" ht="22" hidden="1" customHeight="1">
      <c r="A339" s="433" t="s">
        <v>5724</v>
      </c>
      <c r="B339" s="433" t="s">
        <v>5400</v>
      </c>
      <c r="C339" s="433"/>
      <c r="D339" s="434" t="s">
        <v>6164</v>
      </c>
      <c r="E339" s="434" t="s">
        <v>7142</v>
      </c>
      <c r="F339" s="434" t="s">
        <v>7143</v>
      </c>
      <c r="G339" s="435">
        <v>2</v>
      </c>
      <c r="H339" s="434" t="s">
        <v>7852</v>
      </c>
      <c r="I339" s="434" t="s">
        <v>7299</v>
      </c>
      <c r="J339" s="439" t="s">
        <v>8276</v>
      </c>
      <c r="K339" s="440" t="s">
        <v>8294</v>
      </c>
      <c r="L339" s="449" t="s">
        <v>8319</v>
      </c>
      <c r="M339" s="424" t="s">
        <v>8620</v>
      </c>
      <c r="N339" s="440" t="s">
        <v>8670</v>
      </c>
      <c r="O339" s="440" t="s">
        <v>8677</v>
      </c>
      <c r="P339" s="433" t="s">
        <v>2234</v>
      </c>
      <c r="Q339" s="433" t="s">
        <v>4</v>
      </c>
      <c r="R339" s="433"/>
      <c r="S339" s="433" t="s">
        <v>6466</v>
      </c>
    </row>
    <row r="340" spans="1:19" ht="22" customHeight="1">
      <c r="A340" s="433" t="s">
        <v>5725</v>
      </c>
      <c r="B340" s="433" t="s">
        <v>5400</v>
      </c>
      <c r="C340" s="433"/>
      <c r="D340" s="434" t="s">
        <v>6165</v>
      </c>
      <c r="E340" s="434" t="s">
        <v>7144</v>
      </c>
      <c r="F340" s="434" t="s">
        <v>7145</v>
      </c>
      <c r="G340" s="435">
        <v>2</v>
      </c>
      <c r="H340" s="434" t="s">
        <v>7816</v>
      </c>
      <c r="I340" s="434" t="s">
        <v>7297</v>
      </c>
      <c r="J340" s="439" t="s">
        <v>8276</v>
      </c>
      <c r="K340" s="440" t="s">
        <v>8291</v>
      </c>
      <c r="L340" s="449" t="s">
        <v>8317</v>
      </c>
      <c r="M340" s="424" t="s">
        <v>8620</v>
      </c>
      <c r="N340" s="440" t="s">
        <v>8669</v>
      </c>
      <c r="O340" s="440" t="s">
        <v>8675</v>
      </c>
      <c r="P340" s="433" t="s">
        <v>2234</v>
      </c>
      <c r="Q340" s="433" t="s">
        <v>4</v>
      </c>
      <c r="R340" s="433"/>
      <c r="S340" s="433" t="s">
        <v>6282</v>
      </c>
    </row>
    <row r="341" spans="1:19" ht="22" customHeight="1">
      <c r="A341" s="433" t="s">
        <v>5726</v>
      </c>
      <c r="B341" s="433" t="s">
        <v>5400</v>
      </c>
      <c r="C341" s="433"/>
      <c r="D341" s="434" t="s">
        <v>6166</v>
      </c>
      <c r="E341" s="434" t="s">
        <v>7146</v>
      </c>
      <c r="F341" s="434" t="s">
        <v>7147</v>
      </c>
      <c r="G341" s="435">
        <v>2</v>
      </c>
      <c r="H341" s="434" t="s">
        <v>7961</v>
      </c>
      <c r="I341" s="434" t="s">
        <v>7962</v>
      </c>
      <c r="J341" s="439" t="s">
        <v>8276</v>
      </c>
      <c r="K341" s="440" t="s">
        <v>8293</v>
      </c>
      <c r="L341" s="449" t="s">
        <v>8342</v>
      </c>
      <c r="M341" s="424" t="s">
        <v>8620</v>
      </c>
      <c r="N341" s="440" t="s">
        <v>8666</v>
      </c>
      <c r="O341" s="440" t="s">
        <v>8675</v>
      </c>
      <c r="P341" s="433" t="s">
        <v>2234</v>
      </c>
      <c r="Q341" s="433" t="s">
        <v>4</v>
      </c>
      <c r="R341" s="433"/>
      <c r="S341" s="433" t="s">
        <v>6722</v>
      </c>
    </row>
    <row r="342" spans="1:19" ht="22" customHeight="1">
      <c r="A342" s="433" t="s">
        <v>8400</v>
      </c>
      <c r="B342" s="433" t="s">
        <v>5400</v>
      </c>
      <c r="C342" s="433"/>
      <c r="D342" s="434" t="s">
        <v>8401</v>
      </c>
      <c r="E342" s="434" t="s">
        <v>8402</v>
      </c>
      <c r="F342" s="434" t="s">
        <v>8403</v>
      </c>
      <c r="G342" s="435">
        <v>1</v>
      </c>
      <c r="H342" s="434" t="s">
        <v>7861</v>
      </c>
      <c r="I342" s="434" t="s">
        <v>7369</v>
      </c>
      <c r="J342" s="439" t="s">
        <v>8276</v>
      </c>
      <c r="K342" s="440" t="s">
        <v>8295</v>
      </c>
      <c r="L342" s="449" t="s">
        <v>8345</v>
      </c>
      <c r="M342" s="424" t="s">
        <v>8620</v>
      </c>
      <c r="N342" s="440" t="s">
        <v>8668</v>
      </c>
      <c r="O342" s="440" t="s">
        <v>8675</v>
      </c>
      <c r="P342" s="433" t="s">
        <v>2234</v>
      </c>
      <c r="Q342" s="433" t="s">
        <v>4</v>
      </c>
      <c r="R342" s="433"/>
      <c r="S342" s="433" t="s">
        <v>2740</v>
      </c>
    </row>
    <row r="343" spans="1:19" ht="22" hidden="1" customHeight="1">
      <c r="A343" s="433" t="s">
        <v>8404</v>
      </c>
      <c r="B343" s="433" t="s">
        <v>5400</v>
      </c>
      <c r="C343" s="433"/>
      <c r="D343" s="434" t="s">
        <v>8405</v>
      </c>
      <c r="E343" s="434" t="s">
        <v>8406</v>
      </c>
      <c r="F343" s="434" t="s">
        <v>8407</v>
      </c>
      <c r="G343" s="435">
        <v>1</v>
      </c>
      <c r="H343" s="434" t="s">
        <v>7289</v>
      </c>
      <c r="I343" s="434" t="s">
        <v>7289</v>
      </c>
      <c r="J343" s="439" t="s">
        <v>8276</v>
      </c>
      <c r="K343" s="440" t="s">
        <v>8295</v>
      </c>
      <c r="L343" s="449" t="s">
        <v>8408</v>
      </c>
      <c r="M343" s="424" t="s">
        <v>8620</v>
      </c>
      <c r="N343" s="440" t="s">
        <v>8670</v>
      </c>
      <c r="O343" s="440" t="s">
        <v>8677</v>
      </c>
      <c r="P343" s="433" t="s">
        <v>2234</v>
      </c>
      <c r="Q343" s="433" t="s">
        <v>4</v>
      </c>
      <c r="R343" s="433"/>
      <c r="S343" s="433" t="s">
        <v>2740</v>
      </c>
    </row>
    <row r="344" spans="1:19" ht="22" hidden="1" customHeight="1">
      <c r="A344" s="433" t="s">
        <v>8409</v>
      </c>
      <c r="B344" s="433" t="s">
        <v>5400</v>
      </c>
      <c r="C344" s="433"/>
      <c r="D344" s="434" t="s">
        <v>8410</v>
      </c>
      <c r="E344" s="434" t="s">
        <v>8411</v>
      </c>
      <c r="F344" s="434" t="s">
        <v>8412</v>
      </c>
      <c r="G344" s="435">
        <v>0.5</v>
      </c>
      <c r="H344" s="434" t="s">
        <v>7289</v>
      </c>
      <c r="I344" s="434" t="s">
        <v>7289</v>
      </c>
      <c r="J344" s="439" t="s">
        <v>8276</v>
      </c>
      <c r="K344" s="440" t="s">
        <v>8295</v>
      </c>
      <c r="L344" s="449" t="s">
        <v>8413</v>
      </c>
      <c r="M344" s="424" t="s">
        <v>8620</v>
      </c>
      <c r="N344" s="440" t="s">
        <v>8670</v>
      </c>
      <c r="O344" s="440" t="s">
        <v>8677</v>
      </c>
      <c r="P344" s="433" t="s">
        <v>2234</v>
      </c>
      <c r="Q344" s="433" t="s">
        <v>4</v>
      </c>
      <c r="R344" s="433"/>
      <c r="S344" s="433" t="s">
        <v>2740</v>
      </c>
    </row>
    <row r="345" spans="1:19" ht="22" hidden="1" customHeight="1">
      <c r="A345" s="433" t="s">
        <v>8414</v>
      </c>
      <c r="B345" s="433" t="s">
        <v>5400</v>
      </c>
      <c r="C345" s="433"/>
      <c r="D345" s="434" t="s">
        <v>8415</v>
      </c>
      <c r="E345" s="434" t="s">
        <v>8416</v>
      </c>
      <c r="F345" s="434" t="s">
        <v>8417</v>
      </c>
      <c r="G345" s="435">
        <v>0.5</v>
      </c>
      <c r="H345" s="434" t="s">
        <v>7839</v>
      </c>
      <c r="I345" s="434" t="s">
        <v>7350</v>
      </c>
      <c r="J345" s="439" t="s">
        <v>8276</v>
      </c>
      <c r="K345" s="440" t="s">
        <v>8295</v>
      </c>
      <c r="L345" s="449" t="s">
        <v>8346</v>
      </c>
      <c r="M345" s="424" t="s">
        <v>8620</v>
      </c>
      <c r="N345" s="440" t="s">
        <v>8670</v>
      </c>
      <c r="O345" s="440" t="s">
        <v>8677</v>
      </c>
      <c r="P345" s="433" t="s">
        <v>2234</v>
      </c>
      <c r="Q345" s="433" t="s">
        <v>4</v>
      </c>
      <c r="R345" s="433"/>
      <c r="S345" s="433" t="s">
        <v>2740</v>
      </c>
    </row>
    <row r="346" spans="1:19" ht="22" hidden="1" customHeight="1">
      <c r="A346" s="433" t="s">
        <v>5727</v>
      </c>
      <c r="B346" s="433" t="s">
        <v>5400</v>
      </c>
      <c r="C346" s="433"/>
      <c r="D346" s="434" t="s">
        <v>6167</v>
      </c>
      <c r="E346" s="434" t="s">
        <v>7148</v>
      </c>
      <c r="F346" s="434" t="s">
        <v>7149</v>
      </c>
      <c r="G346" s="435">
        <v>2</v>
      </c>
      <c r="H346" s="434" t="s">
        <v>2740</v>
      </c>
      <c r="I346" s="434" t="s">
        <v>7289</v>
      </c>
      <c r="J346" s="439" t="s">
        <v>8276</v>
      </c>
      <c r="K346" s="440" t="s">
        <v>8291</v>
      </c>
      <c r="L346" s="449" t="s">
        <v>8362</v>
      </c>
      <c r="M346" s="424" t="s">
        <v>8620</v>
      </c>
      <c r="N346" s="440" t="s">
        <v>8670</v>
      </c>
      <c r="O346" s="440" t="s">
        <v>8677</v>
      </c>
      <c r="P346" s="433" t="s">
        <v>2234</v>
      </c>
      <c r="Q346" s="433" t="s">
        <v>4</v>
      </c>
      <c r="R346" s="433"/>
      <c r="S346" s="433" t="s">
        <v>2740</v>
      </c>
    </row>
    <row r="347" spans="1:19" ht="22" hidden="1" customHeight="1">
      <c r="A347" s="433" t="s">
        <v>5728</v>
      </c>
      <c r="B347" s="433" t="s">
        <v>5401</v>
      </c>
      <c r="C347" s="433"/>
      <c r="D347" s="434" t="s">
        <v>6168</v>
      </c>
      <c r="E347" s="434" t="s">
        <v>7150</v>
      </c>
      <c r="F347" s="434" t="s">
        <v>7151</v>
      </c>
      <c r="G347" s="435">
        <v>2.5</v>
      </c>
      <c r="H347" s="434" t="s">
        <v>2234</v>
      </c>
      <c r="I347" s="434" t="s">
        <v>7378</v>
      </c>
      <c r="J347" s="439" t="s">
        <v>8276</v>
      </c>
      <c r="K347" s="440" t="s">
        <v>8291</v>
      </c>
      <c r="L347" s="449" t="s">
        <v>8363</v>
      </c>
      <c r="M347" s="424" t="s">
        <v>8620</v>
      </c>
      <c r="N347" s="440" t="s">
        <v>8670</v>
      </c>
      <c r="O347" s="440" t="s">
        <v>8677</v>
      </c>
      <c r="P347" s="433" t="s">
        <v>2234</v>
      </c>
      <c r="Q347" s="433" t="s">
        <v>4</v>
      </c>
      <c r="R347" s="433"/>
      <c r="S347" s="433" t="s">
        <v>6723</v>
      </c>
    </row>
    <row r="348" spans="1:19" ht="22" hidden="1" customHeight="1">
      <c r="A348" s="433" t="s">
        <v>5729</v>
      </c>
      <c r="B348" s="433" t="s">
        <v>5401</v>
      </c>
      <c r="C348" s="433"/>
      <c r="D348" s="434" t="s">
        <v>6169</v>
      </c>
      <c r="E348" s="434" t="s">
        <v>7152</v>
      </c>
      <c r="F348" s="434" t="s">
        <v>7153</v>
      </c>
      <c r="G348" s="435">
        <v>1.5</v>
      </c>
      <c r="H348" s="434" t="s">
        <v>2740</v>
      </c>
      <c r="I348" s="434" t="s">
        <v>7379</v>
      </c>
      <c r="J348" s="439" t="s">
        <v>8276</v>
      </c>
      <c r="K348" s="440" t="s">
        <v>8295</v>
      </c>
      <c r="L348" s="449" t="s">
        <v>8363</v>
      </c>
      <c r="M348" s="424" t="s">
        <v>8620</v>
      </c>
      <c r="N348" s="440" t="s">
        <v>8670</v>
      </c>
      <c r="O348" s="440" t="s">
        <v>8677</v>
      </c>
      <c r="P348" s="433" t="s">
        <v>2234</v>
      </c>
      <c r="Q348" s="433" t="s">
        <v>4</v>
      </c>
      <c r="R348" s="433"/>
      <c r="S348" s="433" t="s">
        <v>2740</v>
      </c>
    </row>
    <row r="349" spans="1:19" ht="22" hidden="1" customHeight="1">
      <c r="A349" s="433" t="s">
        <v>5730</v>
      </c>
      <c r="B349" s="433" t="s">
        <v>5401</v>
      </c>
      <c r="C349" s="433"/>
      <c r="D349" s="434" t="s">
        <v>6170</v>
      </c>
      <c r="E349" s="434" t="s">
        <v>7154</v>
      </c>
      <c r="F349" s="434" t="s">
        <v>7155</v>
      </c>
      <c r="G349" s="435">
        <v>1.5</v>
      </c>
      <c r="H349" s="434" t="s">
        <v>7859</v>
      </c>
      <c r="I349" s="434" t="s">
        <v>7380</v>
      </c>
      <c r="J349" s="439" t="s">
        <v>8276</v>
      </c>
      <c r="K349" s="440" t="s">
        <v>8295</v>
      </c>
      <c r="L349" s="449" t="s">
        <v>8310</v>
      </c>
      <c r="M349" s="424" t="s">
        <v>8620</v>
      </c>
      <c r="N349" s="440" t="s">
        <v>8670</v>
      </c>
      <c r="O349" s="440" t="s">
        <v>8677</v>
      </c>
      <c r="P349" s="433" t="s">
        <v>5728</v>
      </c>
      <c r="Q349" s="433" t="s">
        <v>4</v>
      </c>
      <c r="R349" s="433"/>
      <c r="S349" s="433" t="s">
        <v>6724</v>
      </c>
    </row>
    <row r="350" spans="1:19" ht="22" hidden="1" customHeight="1">
      <c r="A350" s="433" t="s">
        <v>5731</v>
      </c>
      <c r="B350" s="433" t="s">
        <v>5401</v>
      </c>
      <c r="C350" s="433"/>
      <c r="D350" s="434" t="s">
        <v>6171</v>
      </c>
      <c r="E350" s="434" t="s">
        <v>7156</v>
      </c>
      <c r="F350" s="434" t="s">
        <v>7157</v>
      </c>
      <c r="G350" s="435">
        <v>2</v>
      </c>
      <c r="H350" s="434" t="s">
        <v>7860</v>
      </c>
      <c r="I350" s="434" t="s">
        <v>7963</v>
      </c>
      <c r="J350" s="439" t="s">
        <v>8276</v>
      </c>
      <c r="K350" s="440" t="s">
        <v>8613</v>
      </c>
      <c r="L350" s="449" t="s">
        <v>8699</v>
      </c>
      <c r="M350" s="424" t="s">
        <v>8629</v>
      </c>
      <c r="N350" s="440" t="s">
        <v>8668</v>
      </c>
      <c r="O350" s="440" t="s">
        <v>8677</v>
      </c>
      <c r="P350" s="433" t="s">
        <v>5728</v>
      </c>
      <c r="Q350" s="433" t="s">
        <v>4</v>
      </c>
      <c r="R350" s="433"/>
      <c r="S350" s="433" t="s">
        <v>6725</v>
      </c>
    </row>
    <row r="351" spans="1:19" ht="22" hidden="1" customHeight="1">
      <c r="A351" s="433" t="s">
        <v>5732</v>
      </c>
      <c r="B351" s="433" t="s">
        <v>5401</v>
      </c>
      <c r="C351" s="433"/>
      <c r="D351" s="434" t="s">
        <v>6172</v>
      </c>
      <c r="E351" s="434" t="s">
        <v>7158</v>
      </c>
      <c r="F351" s="434" t="s">
        <v>7159</v>
      </c>
      <c r="G351" s="435">
        <v>2.5</v>
      </c>
      <c r="H351" s="434" t="s">
        <v>2234</v>
      </c>
      <c r="I351" s="434" t="s">
        <v>7381</v>
      </c>
      <c r="J351" s="439" t="s">
        <v>8276</v>
      </c>
      <c r="K351" s="440" t="s">
        <v>8291</v>
      </c>
      <c r="L351" s="449" t="s">
        <v>8363</v>
      </c>
      <c r="M351" s="424" t="s">
        <v>8620</v>
      </c>
      <c r="N351" s="440" t="s">
        <v>8670</v>
      </c>
      <c r="O351" s="440" t="s">
        <v>8677</v>
      </c>
      <c r="P351" s="433" t="s">
        <v>5728</v>
      </c>
      <c r="Q351" s="433" t="s">
        <v>4</v>
      </c>
      <c r="R351" s="433"/>
      <c r="S351" s="433" t="s">
        <v>6527</v>
      </c>
    </row>
    <row r="352" spans="1:19" ht="22" hidden="1" customHeight="1">
      <c r="A352" s="433" t="s">
        <v>5733</v>
      </c>
      <c r="B352" s="433" t="s">
        <v>5401</v>
      </c>
      <c r="C352" s="433"/>
      <c r="D352" s="434" t="s">
        <v>6173</v>
      </c>
      <c r="E352" s="434" t="s">
        <v>7160</v>
      </c>
      <c r="F352" s="434" t="s">
        <v>7161</v>
      </c>
      <c r="G352" s="435">
        <v>2</v>
      </c>
      <c r="H352" s="434" t="s">
        <v>2234</v>
      </c>
      <c r="I352" s="434" t="s">
        <v>7378</v>
      </c>
      <c r="J352" s="439" t="s">
        <v>8276</v>
      </c>
      <c r="K352" s="440" t="s">
        <v>8291</v>
      </c>
      <c r="L352" s="449" t="s">
        <v>8363</v>
      </c>
      <c r="M352" s="424" t="s">
        <v>8620</v>
      </c>
      <c r="N352" s="440" t="s">
        <v>8670</v>
      </c>
      <c r="O352" s="440" t="s">
        <v>8677</v>
      </c>
      <c r="P352" s="433" t="s">
        <v>5728</v>
      </c>
      <c r="Q352" s="433" t="s">
        <v>4</v>
      </c>
      <c r="R352" s="433"/>
      <c r="S352" s="433" t="s">
        <v>6723</v>
      </c>
    </row>
    <row r="353" spans="1:19" ht="22" hidden="1" customHeight="1">
      <c r="A353" s="433" t="s">
        <v>5734</v>
      </c>
      <c r="B353" s="433" t="s">
        <v>5401</v>
      </c>
      <c r="C353" s="433"/>
      <c r="D353" s="434" t="s">
        <v>6174</v>
      </c>
      <c r="E353" s="434" t="s">
        <v>7162</v>
      </c>
      <c r="F353" s="434" t="s">
        <v>7163</v>
      </c>
      <c r="G353" s="435">
        <v>1.5</v>
      </c>
      <c r="H353" s="434" t="s">
        <v>2234</v>
      </c>
      <c r="I353" s="434" t="s">
        <v>7378</v>
      </c>
      <c r="J353" s="439" t="s">
        <v>8276</v>
      </c>
      <c r="K353" s="440" t="s">
        <v>8291</v>
      </c>
      <c r="L353" s="449" t="s">
        <v>8363</v>
      </c>
      <c r="M353" s="424" t="s">
        <v>8620</v>
      </c>
      <c r="N353" s="440" t="s">
        <v>8670</v>
      </c>
      <c r="O353" s="440" t="s">
        <v>8677</v>
      </c>
      <c r="P353" s="433" t="s">
        <v>5733</v>
      </c>
      <c r="Q353" s="433" t="s">
        <v>4</v>
      </c>
      <c r="R353" s="433"/>
      <c r="S353" s="433" t="s">
        <v>6723</v>
      </c>
    </row>
    <row r="354" spans="1:19" ht="22" hidden="1" customHeight="1">
      <c r="A354" s="433" t="s">
        <v>5735</v>
      </c>
      <c r="B354" s="433" t="s">
        <v>5402</v>
      </c>
      <c r="C354" s="433"/>
      <c r="D354" s="434" t="s">
        <v>6175</v>
      </c>
      <c r="E354" s="434" t="s">
        <v>7164</v>
      </c>
      <c r="F354" s="434" t="s">
        <v>7165</v>
      </c>
      <c r="G354" s="435">
        <v>2</v>
      </c>
      <c r="H354" s="434" t="s">
        <v>7845</v>
      </c>
      <c r="I354" s="434" t="s">
        <v>7356</v>
      </c>
      <c r="J354" s="439" t="s">
        <v>8276</v>
      </c>
      <c r="K354" s="440" t="s">
        <v>8295</v>
      </c>
      <c r="L354" s="449" t="s">
        <v>8311</v>
      </c>
      <c r="M354" s="424" t="s">
        <v>8620</v>
      </c>
      <c r="N354" s="440" t="s">
        <v>8670</v>
      </c>
      <c r="O354" s="440" t="s">
        <v>8677</v>
      </c>
      <c r="P354" s="433" t="s">
        <v>2234</v>
      </c>
      <c r="Q354" s="433" t="s">
        <v>4</v>
      </c>
      <c r="R354" s="433"/>
      <c r="S354" s="433" t="s">
        <v>6456</v>
      </c>
    </row>
    <row r="355" spans="1:19" ht="22" hidden="1" customHeight="1">
      <c r="A355" s="433" t="s">
        <v>5736</v>
      </c>
      <c r="B355" s="433" t="s">
        <v>5402</v>
      </c>
      <c r="C355" s="433"/>
      <c r="D355" s="434" t="s">
        <v>6176</v>
      </c>
      <c r="E355" s="434" t="s">
        <v>7166</v>
      </c>
      <c r="F355" s="434" t="s">
        <v>7167</v>
      </c>
      <c r="G355" s="435">
        <v>3</v>
      </c>
      <c r="H355" s="434" t="s">
        <v>7845</v>
      </c>
      <c r="I355" s="434" t="s">
        <v>7382</v>
      </c>
      <c r="J355" s="439" t="s">
        <v>8276</v>
      </c>
      <c r="K355" s="440" t="s">
        <v>8295</v>
      </c>
      <c r="L355" s="449" t="s">
        <v>8311</v>
      </c>
      <c r="M355" s="424" t="s">
        <v>8620</v>
      </c>
      <c r="N355" s="440" t="s">
        <v>8670</v>
      </c>
      <c r="O355" s="440" t="s">
        <v>8677</v>
      </c>
      <c r="P355" s="433" t="s">
        <v>5674</v>
      </c>
      <c r="Q355" s="433" t="s">
        <v>4</v>
      </c>
      <c r="R355" s="433"/>
      <c r="S355" s="433" t="s">
        <v>6726</v>
      </c>
    </row>
    <row r="356" spans="1:19" ht="22" hidden="1" customHeight="1">
      <c r="A356" s="433" t="s">
        <v>5737</v>
      </c>
      <c r="B356" s="433" t="s">
        <v>5402</v>
      </c>
      <c r="C356" s="433"/>
      <c r="D356" s="434" t="s">
        <v>6177</v>
      </c>
      <c r="E356" s="434" t="s">
        <v>7168</v>
      </c>
      <c r="F356" s="434" t="s">
        <v>7169</v>
      </c>
      <c r="G356" s="435">
        <v>3</v>
      </c>
      <c r="H356" s="434" t="s">
        <v>7845</v>
      </c>
      <c r="I356" s="434" t="s">
        <v>7382</v>
      </c>
      <c r="J356" s="439" t="s">
        <v>8276</v>
      </c>
      <c r="K356" s="440" t="s">
        <v>8295</v>
      </c>
      <c r="L356" s="449" t="s">
        <v>8311</v>
      </c>
      <c r="M356" s="424" t="s">
        <v>8627</v>
      </c>
      <c r="N356" s="440" t="s">
        <v>8670</v>
      </c>
      <c r="O356" s="440" t="s">
        <v>8677</v>
      </c>
      <c r="P356" s="433" t="s">
        <v>5735</v>
      </c>
      <c r="Q356" s="433" t="s">
        <v>4</v>
      </c>
      <c r="R356" s="433"/>
      <c r="S356" s="433" t="s">
        <v>6726</v>
      </c>
    </row>
    <row r="357" spans="1:19" ht="22" customHeight="1">
      <c r="A357" s="433" t="s">
        <v>5738</v>
      </c>
      <c r="B357" s="433" t="s">
        <v>5402</v>
      </c>
      <c r="C357" s="433"/>
      <c r="D357" s="434" t="s">
        <v>6178</v>
      </c>
      <c r="E357" s="434" t="s">
        <v>7170</v>
      </c>
      <c r="F357" s="434" t="s">
        <v>7171</v>
      </c>
      <c r="G357" s="435">
        <v>3</v>
      </c>
      <c r="H357" s="434" t="s">
        <v>7840</v>
      </c>
      <c r="I357" s="434" t="s">
        <v>7351</v>
      </c>
      <c r="J357" s="439" t="s">
        <v>8277</v>
      </c>
      <c r="K357" s="440" t="s">
        <v>8298</v>
      </c>
      <c r="L357" s="449" t="s">
        <v>8339</v>
      </c>
      <c r="M357" s="424" t="s">
        <v>8628</v>
      </c>
      <c r="N357" s="440" t="s">
        <v>8668</v>
      </c>
      <c r="O357" s="440" t="s">
        <v>8675</v>
      </c>
      <c r="P357" s="433" t="s">
        <v>2234</v>
      </c>
      <c r="Q357" s="433" t="s">
        <v>4</v>
      </c>
      <c r="R357" s="433"/>
      <c r="S357" s="433" t="s">
        <v>6426</v>
      </c>
    </row>
    <row r="358" spans="1:19" ht="22" customHeight="1">
      <c r="A358" s="433" t="s">
        <v>5739</v>
      </c>
      <c r="B358" s="433" t="s">
        <v>5402</v>
      </c>
      <c r="C358" s="433"/>
      <c r="D358" s="434" t="s">
        <v>6179</v>
      </c>
      <c r="E358" s="434" t="s">
        <v>7172</v>
      </c>
      <c r="F358" s="434" t="s">
        <v>7173</v>
      </c>
      <c r="G358" s="435">
        <v>2</v>
      </c>
      <c r="H358" s="434" t="s">
        <v>7840</v>
      </c>
      <c r="I358" s="434" t="s">
        <v>7351</v>
      </c>
      <c r="J358" s="439" t="s">
        <v>8277</v>
      </c>
      <c r="K358" s="440" t="s">
        <v>8298</v>
      </c>
      <c r="L358" s="449" t="s">
        <v>8339</v>
      </c>
      <c r="M358" s="424" t="s">
        <v>8628</v>
      </c>
      <c r="N358" s="440" t="s">
        <v>8668</v>
      </c>
      <c r="O358" s="440" t="s">
        <v>8675</v>
      </c>
      <c r="P358" s="433" t="s">
        <v>5738</v>
      </c>
      <c r="Q358" s="433" t="s">
        <v>4</v>
      </c>
      <c r="R358" s="433"/>
      <c r="S358" s="433" t="s">
        <v>6426</v>
      </c>
    </row>
    <row r="359" spans="1:19" ht="22" customHeight="1">
      <c r="A359" s="433" t="s">
        <v>5740</v>
      </c>
      <c r="B359" s="433" t="s">
        <v>5402</v>
      </c>
      <c r="C359" s="433"/>
      <c r="D359" s="434" t="s">
        <v>7791</v>
      </c>
      <c r="E359" s="434" t="s">
        <v>7174</v>
      </c>
      <c r="F359" s="434" t="s">
        <v>7175</v>
      </c>
      <c r="G359" s="435">
        <v>2</v>
      </c>
      <c r="H359" s="434" t="s">
        <v>7851</v>
      </c>
      <c r="I359" s="434" t="s">
        <v>7357</v>
      </c>
      <c r="J359" s="439" t="s">
        <v>8276</v>
      </c>
      <c r="K359" s="440" t="s">
        <v>8294</v>
      </c>
      <c r="L359" s="449" t="s">
        <v>8322</v>
      </c>
      <c r="M359" s="424" t="s">
        <v>8620</v>
      </c>
      <c r="N359" s="440" t="s">
        <v>8668</v>
      </c>
      <c r="O359" s="440" t="s">
        <v>8675</v>
      </c>
      <c r="P359" s="433" t="s">
        <v>5738</v>
      </c>
      <c r="Q359" s="433" t="s">
        <v>4</v>
      </c>
      <c r="R359" s="433"/>
      <c r="S359" s="433" t="s">
        <v>6464</v>
      </c>
    </row>
    <row r="360" spans="1:19" ht="22" hidden="1" customHeight="1">
      <c r="A360" s="433" t="s">
        <v>5741</v>
      </c>
      <c r="B360" s="433" t="s">
        <v>5402</v>
      </c>
      <c r="C360" s="433"/>
      <c r="D360" s="434" t="s">
        <v>7602</v>
      </c>
      <c r="E360" s="434" t="s">
        <v>7176</v>
      </c>
      <c r="F360" s="434" t="s">
        <v>7177</v>
      </c>
      <c r="G360" s="435">
        <v>3</v>
      </c>
      <c r="H360" s="434" t="s">
        <v>7857</v>
      </c>
      <c r="I360" s="434" t="s">
        <v>7362</v>
      </c>
      <c r="J360" s="439" t="s">
        <v>8276</v>
      </c>
      <c r="K360" s="440" t="s">
        <v>8295</v>
      </c>
      <c r="L360" s="449" t="s">
        <v>8619</v>
      </c>
      <c r="M360" s="424" t="s">
        <v>8620</v>
      </c>
      <c r="N360" s="440" t="s">
        <v>8668</v>
      </c>
      <c r="O360" s="440" t="s">
        <v>8677</v>
      </c>
      <c r="P360" s="433" t="s">
        <v>2234</v>
      </c>
      <c r="Q360" s="433" t="s">
        <v>4</v>
      </c>
      <c r="R360" s="433"/>
      <c r="S360" s="433" t="s">
        <v>6486</v>
      </c>
    </row>
    <row r="361" spans="1:19" ht="22" customHeight="1">
      <c r="A361" s="433" t="s">
        <v>5742</v>
      </c>
      <c r="B361" s="433" t="s">
        <v>5402</v>
      </c>
      <c r="C361" s="433"/>
      <c r="D361" s="434" t="s">
        <v>7792</v>
      </c>
      <c r="E361" s="434" t="s">
        <v>7178</v>
      </c>
      <c r="F361" s="434" t="s">
        <v>7179</v>
      </c>
      <c r="G361" s="435">
        <v>3</v>
      </c>
      <c r="H361" s="434" t="s">
        <v>2740</v>
      </c>
      <c r="I361" s="434" t="s">
        <v>7289</v>
      </c>
      <c r="J361" s="439" t="s">
        <v>8276</v>
      </c>
      <c r="K361" s="440" t="s">
        <v>8302</v>
      </c>
      <c r="L361" s="449" t="s">
        <v>8364</v>
      </c>
      <c r="M361" s="424" t="s">
        <v>8620</v>
      </c>
      <c r="N361" s="440" t="s">
        <v>8668</v>
      </c>
      <c r="O361" s="440" t="s">
        <v>8675</v>
      </c>
      <c r="P361" s="433" t="s">
        <v>2234</v>
      </c>
      <c r="Q361" s="433" t="s">
        <v>4</v>
      </c>
      <c r="R361" s="433"/>
      <c r="S361" s="433" t="s">
        <v>2740</v>
      </c>
    </row>
    <row r="362" spans="1:19" ht="22" customHeight="1">
      <c r="A362" s="433" t="s">
        <v>5743</v>
      </c>
      <c r="B362" s="433" t="s">
        <v>5403</v>
      </c>
      <c r="C362" s="433"/>
      <c r="D362" s="434" t="s">
        <v>6180</v>
      </c>
      <c r="E362" s="434" t="s">
        <v>7180</v>
      </c>
      <c r="F362" s="434" t="s">
        <v>7181</v>
      </c>
      <c r="G362" s="435">
        <v>2</v>
      </c>
      <c r="H362" s="434" t="s">
        <v>2740</v>
      </c>
      <c r="I362" s="434" t="s">
        <v>7289</v>
      </c>
      <c r="J362" s="439" t="s">
        <v>8276</v>
      </c>
      <c r="K362" s="440" t="s">
        <v>8304</v>
      </c>
      <c r="L362" s="449" t="s">
        <v>8365</v>
      </c>
      <c r="M362" s="424" t="s">
        <v>8620</v>
      </c>
      <c r="N362" s="440" t="s">
        <v>8668</v>
      </c>
      <c r="O362" s="440" t="s">
        <v>8675</v>
      </c>
      <c r="P362" s="433" t="s">
        <v>5393</v>
      </c>
      <c r="Q362" s="433" t="s">
        <v>4</v>
      </c>
      <c r="R362" s="433"/>
      <c r="S362" s="433" t="s">
        <v>2740</v>
      </c>
    </row>
    <row r="363" spans="1:19" ht="22" customHeight="1">
      <c r="A363" s="433" t="s">
        <v>5744</v>
      </c>
      <c r="B363" s="433" t="s">
        <v>5403</v>
      </c>
      <c r="C363" s="433"/>
      <c r="D363" s="434" t="s">
        <v>6181</v>
      </c>
      <c r="E363" s="434" t="s">
        <v>7182</v>
      </c>
      <c r="F363" s="434" t="s">
        <v>7183</v>
      </c>
      <c r="G363" s="435">
        <v>2</v>
      </c>
      <c r="H363" s="434" t="s">
        <v>2740</v>
      </c>
      <c r="I363" s="434" t="s">
        <v>7289</v>
      </c>
      <c r="J363" s="439" t="s">
        <v>8276</v>
      </c>
      <c r="K363" s="440" t="s">
        <v>8304</v>
      </c>
      <c r="L363" s="449" t="s">
        <v>8365</v>
      </c>
      <c r="M363" s="424" t="s">
        <v>8620</v>
      </c>
      <c r="N363" s="440" t="s">
        <v>8668</v>
      </c>
      <c r="O363" s="440" t="s">
        <v>8675</v>
      </c>
      <c r="P363" s="433" t="s">
        <v>4808</v>
      </c>
      <c r="Q363" s="433" t="s">
        <v>4</v>
      </c>
      <c r="R363" s="433"/>
      <c r="S363" s="433" t="s">
        <v>2740</v>
      </c>
    </row>
    <row r="364" spans="1:19" ht="22" customHeight="1">
      <c r="A364" s="433" t="s">
        <v>5745</v>
      </c>
      <c r="B364" s="433" t="s">
        <v>5403</v>
      </c>
      <c r="C364" s="433"/>
      <c r="D364" s="434" t="s">
        <v>6182</v>
      </c>
      <c r="E364" s="434" t="s">
        <v>7184</v>
      </c>
      <c r="F364" s="434" t="s">
        <v>7185</v>
      </c>
      <c r="G364" s="435">
        <v>2</v>
      </c>
      <c r="H364" s="434" t="s">
        <v>2740</v>
      </c>
      <c r="I364" s="434" t="s">
        <v>7289</v>
      </c>
      <c r="J364" s="439" t="s">
        <v>8276</v>
      </c>
      <c r="K364" s="440" t="s">
        <v>8304</v>
      </c>
      <c r="L364" s="449" t="s">
        <v>8365</v>
      </c>
      <c r="M364" s="424" t="s">
        <v>8620</v>
      </c>
      <c r="N364" s="440" t="s">
        <v>8668</v>
      </c>
      <c r="O364" s="440" t="s">
        <v>8675</v>
      </c>
      <c r="P364" s="433" t="s">
        <v>5746</v>
      </c>
      <c r="Q364" s="433" t="s">
        <v>4</v>
      </c>
      <c r="R364" s="433"/>
      <c r="S364" s="433" t="s">
        <v>2740</v>
      </c>
    </row>
    <row r="365" spans="1:19" ht="22" hidden="1" customHeight="1">
      <c r="A365" s="433" t="s">
        <v>5747</v>
      </c>
      <c r="B365" s="433" t="s">
        <v>5403</v>
      </c>
      <c r="C365" s="433"/>
      <c r="D365" s="434" t="s">
        <v>7793</v>
      </c>
      <c r="E365" s="434" t="s">
        <v>7186</v>
      </c>
      <c r="F365" s="434" t="s">
        <v>7187</v>
      </c>
      <c r="G365" s="435">
        <v>3</v>
      </c>
      <c r="H365" s="434" t="s">
        <v>7839</v>
      </c>
      <c r="I365" s="434" t="s">
        <v>7349</v>
      </c>
      <c r="J365" s="439" t="s">
        <v>8276</v>
      </c>
      <c r="K365" s="440" t="s">
        <v>8291</v>
      </c>
      <c r="L365" s="449" t="s">
        <v>8338</v>
      </c>
      <c r="M365" s="424" t="s">
        <v>8620</v>
      </c>
      <c r="N365" s="440" t="s">
        <v>8670</v>
      </c>
      <c r="O365" s="440" t="s">
        <v>8677</v>
      </c>
      <c r="P365" s="433" t="s">
        <v>2234</v>
      </c>
      <c r="Q365" s="433" t="s">
        <v>4</v>
      </c>
      <c r="R365" s="433"/>
      <c r="S365" s="433" t="s">
        <v>6421</v>
      </c>
    </row>
    <row r="366" spans="1:19" ht="22" customHeight="1">
      <c r="A366" s="433" t="s">
        <v>5748</v>
      </c>
      <c r="B366" s="433" t="s">
        <v>5403</v>
      </c>
      <c r="C366" s="433"/>
      <c r="D366" s="434" t="s">
        <v>6183</v>
      </c>
      <c r="E366" s="434" t="s">
        <v>7188</v>
      </c>
      <c r="F366" s="434" t="s">
        <v>7189</v>
      </c>
      <c r="G366" s="435">
        <v>3</v>
      </c>
      <c r="H366" s="434" t="s">
        <v>2740</v>
      </c>
      <c r="I366" s="434" t="s">
        <v>7288</v>
      </c>
      <c r="J366" s="439" t="s">
        <v>8276</v>
      </c>
      <c r="K366" s="440" t="s">
        <v>8304</v>
      </c>
      <c r="L366" s="449" t="s">
        <v>8365</v>
      </c>
      <c r="M366" s="424" t="s">
        <v>8620</v>
      </c>
      <c r="N366" s="440" t="s">
        <v>8668</v>
      </c>
      <c r="O366" s="440" t="s">
        <v>8675</v>
      </c>
      <c r="P366" s="433" t="s">
        <v>625</v>
      </c>
      <c r="Q366" s="433" t="s">
        <v>4</v>
      </c>
      <c r="R366" s="433"/>
      <c r="S366" s="433" t="s">
        <v>2234</v>
      </c>
    </row>
    <row r="367" spans="1:19" ht="22" customHeight="1">
      <c r="A367" s="433" t="s">
        <v>5749</v>
      </c>
      <c r="B367" s="433" t="s">
        <v>5404</v>
      </c>
      <c r="C367" s="433"/>
      <c r="D367" s="434" t="s">
        <v>6184</v>
      </c>
      <c r="E367" s="434" t="s">
        <v>7190</v>
      </c>
      <c r="F367" s="434" t="s">
        <v>7191</v>
      </c>
      <c r="G367" s="435">
        <v>3</v>
      </c>
      <c r="H367" s="434" t="s">
        <v>2740</v>
      </c>
      <c r="I367" s="434" t="s">
        <v>7289</v>
      </c>
      <c r="J367" s="439" t="s">
        <v>8278</v>
      </c>
      <c r="K367" s="440" t="s">
        <v>8303</v>
      </c>
      <c r="L367" s="449" t="s">
        <v>8368</v>
      </c>
      <c r="M367" s="424" t="s">
        <v>8620</v>
      </c>
      <c r="N367" s="440" t="s">
        <v>8669</v>
      </c>
      <c r="O367" s="440" t="s">
        <v>8675</v>
      </c>
      <c r="P367" s="433" t="s">
        <v>5750</v>
      </c>
      <c r="Q367" s="433" t="s">
        <v>4</v>
      </c>
      <c r="R367" s="433"/>
      <c r="S367" s="433" t="s">
        <v>2740</v>
      </c>
    </row>
    <row r="368" spans="1:19" ht="22" customHeight="1">
      <c r="A368" s="433" t="s">
        <v>5751</v>
      </c>
      <c r="B368" s="433" t="s">
        <v>5404</v>
      </c>
      <c r="C368" s="433"/>
      <c r="D368" s="434" t="s">
        <v>5949</v>
      </c>
      <c r="E368" s="434" t="s">
        <v>7192</v>
      </c>
      <c r="F368" s="434" t="s">
        <v>7193</v>
      </c>
      <c r="G368" s="435">
        <v>3</v>
      </c>
      <c r="H368" s="434" t="s">
        <v>2740</v>
      </c>
      <c r="I368" s="434" t="s">
        <v>7289</v>
      </c>
      <c r="J368" s="439" t="s">
        <v>8278</v>
      </c>
      <c r="K368" s="440" t="s">
        <v>8303</v>
      </c>
      <c r="L368" s="449" t="s">
        <v>8368</v>
      </c>
      <c r="M368" s="424" t="s">
        <v>8620</v>
      </c>
      <c r="N368" s="440" t="s">
        <v>8669</v>
      </c>
      <c r="O368" s="440" t="s">
        <v>8675</v>
      </c>
      <c r="P368" s="433" t="s">
        <v>5749</v>
      </c>
      <c r="Q368" s="433" t="s">
        <v>4</v>
      </c>
      <c r="R368" s="433"/>
      <c r="S368" s="433" t="s">
        <v>2740</v>
      </c>
    </row>
    <row r="369" spans="1:19" ht="22" customHeight="1">
      <c r="A369" s="433" t="s">
        <v>5752</v>
      </c>
      <c r="B369" s="433" t="s">
        <v>5404</v>
      </c>
      <c r="C369" s="433"/>
      <c r="D369" s="434" t="s">
        <v>6185</v>
      </c>
      <c r="E369" s="434" t="s">
        <v>7194</v>
      </c>
      <c r="F369" s="434" t="s">
        <v>7195</v>
      </c>
      <c r="G369" s="435">
        <v>3</v>
      </c>
      <c r="H369" s="434" t="s">
        <v>2740</v>
      </c>
      <c r="I369" s="434" t="s">
        <v>7289</v>
      </c>
      <c r="J369" s="439" t="s">
        <v>8278</v>
      </c>
      <c r="K369" s="440" t="s">
        <v>8303</v>
      </c>
      <c r="L369" s="449" t="s">
        <v>8368</v>
      </c>
      <c r="M369" s="424" t="s">
        <v>8620</v>
      </c>
      <c r="N369" s="440" t="s">
        <v>8669</v>
      </c>
      <c r="O369" s="440" t="s">
        <v>8675</v>
      </c>
      <c r="P369" s="433" t="s">
        <v>5751</v>
      </c>
      <c r="Q369" s="433" t="s">
        <v>4</v>
      </c>
      <c r="R369" s="433"/>
      <c r="S369" s="433" t="s">
        <v>2740</v>
      </c>
    </row>
    <row r="370" spans="1:19" ht="22" customHeight="1">
      <c r="A370" s="433" t="s">
        <v>5753</v>
      </c>
      <c r="B370" s="433" t="s">
        <v>5404</v>
      </c>
      <c r="C370" s="433"/>
      <c r="D370" s="434" t="s">
        <v>5953</v>
      </c>
      <c r="E370" s="434" t="s">
        <v>7196</v>
      </c>
      <c r="F370" s="434" t="s">
        <v>7197</v>
      </c>
      <c r="G370" s="435">
        <v>3</v>
      </c>
      <c r="H370" s="434" t="s">
        <v>2740</v>
      </c>
      <c r="I370" s="434" t="s">
        <v>7289</v>
      </c>
      <c r="J370" s="439" t="s">
        <v>8278</v>
      </c>
      <c r="K370" s="440" t="s">
        <v>8303</v>
      </c>
      <c r="L370" s="449" t="s">
        <v>8368</v>
      </c>
      <c r="M370" s="424" t="s">
        <v>8620</v>
      </c>
      <c r="N370" s="440" t="s">
        <v>8669</v>
      </c>
      <c r="O370" s="440" t="s">
        <v>8675</v>
      </c>
      <c r="P370" s="433" t="s">
        <v>5752</v>
      </c>
      <c r="Q370" s="433" t="s">
        <v>4</v>
      </c>
      <c r="R370" s="433"/>
      <c r="S370" s="433" t="s">
        <v>2740</v>
      </c>
    </row>
    <row r="371" spans="1:19" ht="22" customHeight="1">
      <c r="A371" s="433" t="s">
        <v>5754</v>
      </c>
      <c r="B371" s="433" t="s">
        <v>5404</v>
      </c>
      <c r="C371" s="433"/>
      <c r="D371" s="434" t="s">
        <v>6186</v>
      </c>
      <c r="E371" s="434" t="s">
        <v>7198</v>
      </c>
      <c r="F371" s="434" t="s">
        <v>7199</v>
      </c>
      <c r="G371" s="435">
        <v>5</v>
      </c>
      <c r="H371" s="434" t="s">
        <v>2740</v>
      </c>
      <c r="I371" s="434" t="s">
        <v>7289</v>
      </c>
      <c r="J371" s="439" t="s">
        <v>8278</v>
      </c>
      <c r="K371" s="440" t="s">
        <v>8303</v>
      </c>
      <c r="L371" s="449" t="s">
        <v>8368</v>
      </c>
      <c r="M371" s="424" t="s">
        <v>8620</v>
      </c>
      <c r="N371" s="440" t="s">
        <v>8669</v>
      </c>
      <c r="O371" s="440" t="s">
        <v>8675</v>
      </c>
      <c r="P371" s="433" t="s">
        <v>5753</v>
      </c>
      <c r="Q371" s="433" t="s">
        <v>4</v>
      </c>
      <c r="R371" s="433"/>
      <c r="S371" s="433" t="s">
        <v>2740</v>
      </c>
    </row>
    <row r="372" spans="1:19" ht="22" customHeight="1">
      <c r="A372" s="433" t="s">
        <v>5755</v>
      </c>
      <c r="B372" s="433" t="s">
        <v>5404</v>
      </c>
      <c r="C372" s="433"/>
      <c r="D372" s="434" t="s">
        <v>6187</v>
      </c>
      <c r="E372" s="434" t="s">
        <v>7200</v>
      </c>
      <c r="F372" s="434" t="s">
        <v>7201</v>
      </c>
      <c r="G372" s="435">
        <v>5</v>
      </c>
      <c r="H372" s="434" t="s">
        <v>2740</v>
      </c>
      <c r="I372" s="434" t="s">
        <v>7289</v>
      </c>
      <c r="J372" s="439" t="s">
        <v>8278</v>
      </c>
      <c r="K372" s="440" t="s">
        <v>8303</v>
      </c>
      <c r="L372" s="449" t="s">
        <v>8368</v>
      </c>
      <c r="M372" s="424" t="s">
        <v>8620</v>
      </c>
      <c r="N372" s="440" t="s">
        <v>8669</v>
      </c>
      <c r="O372" s="440" t="s">
        <v>8675</v>
      </c>
      <c r="P372" s="433" t="s">
        <v>5754</v>
      </c>
      <c r="Q372" s="433" t="s">
        <v>4</v>
      </c>
      <c r="R372" s="433"/>
      <c r="S372" s="433" t="s">
        <v>2740</v>
      </c>
    </row>
    <row r="373" spans="1:19" ht="22" customHeight="1">
      <c r="A373" s="433" t="s">
        <v>7433</v>
      </c>
      <c r="B373" s="433" t="s">
        <v>5786</v>
      </c>
      <c r="C373" s="433"/>
      <c r="D373" s="434" t="s">
        <v>7434</v>
      </c>
      <c r="E373" s="434" t="s">
        <v>7481</v>
      </c>
      <c r="F373" s="434" t="s">
        <v>7482</v>
      </c>
      <c r="G373" s="435">
        <v>2</v>
      </c>
      <c r="H373" s="434" t="s">
        <v>7816</v>
      </c>
      <c r="I373" s="434" t="s">
        <v>7297</v>
      </c>
      <c r="J373" s="439" t="s">
        <v>8276</v>
      </c>
      <c r="K373" s="440" t="s">
        <v>8291</v>
      </c>
      <c r="L373" s="449" t="s">
        <v>8317</v>
      </c>
      <c r="M373" s="424" t="s">
        <v>8620</v>
      </c>
      <c r="N373" s="440" t="s">
        <v>8669</v>
      </c>
      <c r="O373" s="440" t="s">
        <v>8675</v>
      </c>
      <c r="P373" s="433" t="s">
        <v>5330</v>
      </c>
      <c r="Q373" s="433" t="s">
        <v>4</v>
      </c>
      <c r="R373" s="433"/>
      <c r="S373" s="433" t="s">
        <v>6282</v>
      </c>
    </row>
    <row r="374" spans="1:19" ht="22" customHeight="1">
      <c r="A374" s="433" t="s">
        <v>7435</v>
      </c>
      <c r="B374" s="433" t="s">
        <v>5786</v>
      </c>
      <c r="C374" s="433"/>
      <c r="D374" s="434" t="s">
        <v>7436</v>
      </c>
      <c r="E374" s="434" t="s">
        <v>7483</v>
      </c>
      <c r="F374" s="434" t="s">
        <v>7484</v>
      </c>
      <c r="G374" s="435">
        <v>2</v>
      </c>
      <c r="H374" s="434" t="s">
        <v>7814</v>
      </c>
      <c r="I374" s="434" t="s">
        <v>7304</v>
      </c>
      <c r="J374" s="439" t="s">
        <v>8276</v>
      </c>
      <c r="K374" s="440" t="s">
        <v>8613</v>
      </c>
      <c r="L374" s="449" t="s">
        <v>8689</v>
      </c>
      <c r="M374" s="424" t="s">
        <v>8629</v>
      </c>
      <c r="N374" s="440" t="s">
        <v>8669</v>
      </c>
      <c r="O374" s="440" t="s">
        <v>8675</v>
      </c>
      <c r="P374" s="433" t="s">
        <v>5330</v>
      </c>
      <c r="Q374" s="433" t="s">
        <v>4</v>
      </c>
      <c r="R374" s="433"/>
      <c r="S374" s="433" t="s">
        <v>6267</v>
      </c>
    </row>
    <row r="375" spans="1:19" ht="22" customHeight="1">
      <c r="A375" s="433" t="s">
        <v>7437</v>
      </c>
      <c r="B375" s="433" t="s">
        <v>5786</v>
      </c>
      <c r="C375" s="433"/>
      <c r="D375" s="434" t="s">
        <v>7438</v>
      </c>
      <c r="E375" s="434" t="s">
        <v>7485</v>
      </c>
      <c r="F375" s="434" t="s">
        <v>7486</v>
      </c>
      <c r="G375" s="435">
        <v>3</v>
      </c>
      <c r="H375" s="434" t="s">
        <v>7816</v>
      </c>
      <c r="I375" s="434" t="s">
        <v>7297</v>
      </c>
      <c r="J375" s="439" t="s">
        <v>8276</v>
      </c>
      <c r="K375" s="440" t="s">
        <v>8291</v>
      </c>
      <c r="L375" s="449" t="s">
        <v>8317</v>
      </c>
      <c r="M375" s="424" t="s">
        <v>8620</v>
      </c>
      <c r="N375" s="440" t="s">
        <v>8669</v>
      </c>
      <c r="O375" s="440" t="s">
        <v>8675</v>
      </c>
      <c r="P375" s="433" t="s">
        <v>531</v>
      </c>
      <c r="Q375" s="433" t="s">
        <v>4</v>
      </c>
      <c r="R375" s="433"/>
      <c r="S375" s="433" t="s">
        <v>6282</v>
      </c>
    </row>
    <row r="376" spans="1:19" ht="22" customHeight="1">
      <c r="A376" s="433" t="s">
        <v>7439</v>
      </c>
      <c r="B376" s="433" t="s">
        <v>5786</v>
      </c>
      <c r="C376" s="433"/>
      <c r="D376" s="434" t="s">
        <v>7440</v>
      </c>
      <c r="E376" s="434" t="s">
        <v>7487</v>
      </c>
      <c r="F376" s="434" t="s">
        <v>7488</v>
      </c>
      <c r="G376" s="435">
        <v>2</v>
      </c>
      <c r="H376" s="434" t="s">
        <v>7814</v>
      </c>
      <c r="I376" s="434" t="s">
        <v>7304</v>
      </c>
      <c r="J376" s="439" t="s">
        <v>8276</v>
      </c>
      <c r="K376" s="440" t="s">
        <v>8613</v>
      </c>
      <c r="L376" s="449" t="s">
        <v>8690</v>
      </c>
      <c r="M376" s="424" t="s">
        <v>8629</v>
      </c>
      <c r="N376" s="440" t="s">
        <v>8669</v>
      </c>
      <c r="O376" s="440" t="s">
        <v>8675</v>
      </c>
      <c r="P376" s="433" t="s">
        <v>531</v>
      </c>
      <c r="Q376" s="433" t="s">
        <v>4</v>
      </c>
      <c r="R376" s="433"/>
      <c r="S376" s="433" t="s">
        <v>6267</v>
      </c>
    </row>
    <row r="377" spans="1:19" ht="22" hidden="1" customHeight="1">
      <c r="A377" s="433" t="s">
        <v>5756</v>
      </c>
      <c r="B377" s="433" t="s">
        <v>5786</v>
      </c>
      <c r="C377" s="433"/>
      <c r="D377" s="434" t="s">
        <v>7794</v>
      </c>
      <c r="E377" s="434" t="s">
        <v>7202</v>
      </c>
      <c r="F377" s="434" t="s">
        <v>7203</v>
      </c>
      <c r="G377" s="435">
        <v>3</v>
      </c>
      <c r="H377" s="434" t="s">
        <v>7815</v>
      </c>
      <c r="I377" s="434" t="s">
        <v>7305</v>
      </c>
      <c r="J377" s="439" t="s">
        <v>8276</v>
      </c>
      <c r="K377" s="440" t="s">
        <v>8292</v>
      </c>
      <c r="L377" s="449" t="s">
        <v>8326</v>
      </c>
      <c r="M377" s="424" t="s">
        <v>8623</v>
      </c>
      <c r="N377" s="440" t="s">
        <v>8666</v>
      </c>
      <c r="O377" s="440" t="s">
        <v>8677</v>
      </c>
      <c r="P377" s="433" t="s">
        <v>531</v>
      </c>
      <c r="Q377" s="433" t="s">
        <v>4</v>
      </c>
      <c r="R377" s="433"/>
      <c r="S377" s="433" t="s">
        <v>6273</v>
      </c>
    </row>
    <row r="378" spans="1:19" ht="22" hidden="1" customHeight="1">
      <c r="A378" s="433" t="s">
        <v>5757</v>
      </c>
      <c r="B378" s="433" t="s">
        <v>5786</v>
      </c>
      <c r="C378" s="433"/>
      <c r="D378" s="434" t="s">
        <v>7795</v>
      </c>
      <c r="E378" s="434" t="s">
        <v>7204</v>
      </c>
      <c r="F378" s="434" t="s">
        <v>7205</v>
      </c>
      <c r="G378" s="435">
        <v>3</v>
      </c>
      <c r="H378" s="434" t="s">
        <v>7964</v>
      </c>
      <c r="I378" s="434" t="s">
        <v>7965</v>
      </c>
      <c r="J378" s="439" t="s">
        <v>8276</v>
      </c>
      <c r="K378" s="440" t="s">
        <v>8291</v>
      </c>
      <c r="L378" s="449" t="s">
        <v>8327</v>
      </c>
      <c r="M378" s="424" t="s">
        <v>8620</v>
      </c>
      <c r="N378" s="440" t="s">
        <v>8670</v>
      </c>
      <c r="O378" s="440" t="s">
        <v>8677</v>
      </c>
      <c r="P378" s="433" t="s">
        <v>531</v>
      </c>
      <c r="Q378" s="433" t="s">
        <v>4</v>
      </c>
      <c r="R378" s="433"/>
      <c r="S378" s="433" t="s">
        <v>6727</v>
      </c>
    </row>
    <row r="379" spans="1:19" ht="22" hidden="1" customHeight="1">
      <c r="A379" s="433" t="s">
        <v>5758</v>
      </c>
      <c r="B379" s="433" t="s">
        <v>5786</v>
      </c>
      <c r="C379" s="433"/>
      <c r="D379" s="434" t="s">
        <v>7796</v>
      </c>
      <c r="E379" s="434" t="s">
        <v>7206</v>
      </c>
      <c r="F379" s="434" t="s">
        <v>7207</v>
      </c>
      <c r="G379" s="435">
        <v>2</v>
      </c>
      <c r="H379" s="434" t="s">
        <v>7857</v>
      </c>
      <c r="I379" s="434" t="s">
        <v>7362</v>
      </c>
      <c r="J379" s="439" t="s">
        <v>8276</v>
      </c>
      <c r="K379" s="440" t="s">
        <v>8295</v>
      </c>
      <c r="L379" s="449" t="s">
        <v>8700</v>
      </c>
      <c r="M379" s="424" t="s">
        <v>8620</v>
      </c>
      <c r="N379" s="440" t="s">
        <v>8668</v>
      </c>
      <c r="O379" s="440" t="s">
        <v>8677</v>
      </c>
      <c r="P379" s="433" t="s">
        <v>531</v>
      </c>
      <c r="Q379" s="433" t="s">
        <v>4</v>
      </c>
      <c r="R379" s="433"/>
      <c r="S379" s="433" t="s">
        <v>6486</v>
      </c>
    </row>
    <row r="380" spans="1:19" ht="22" customHeight="1">
      <c r="A380" s="433" t="s">
        <v>5759</v>
      </c>
      <c r="B380" s="433" t="s">
        <v>5786</v>
      </c>
      <c r="C380" s="433"/>
      <c r="D380" s="434" t="s">
        <v>7797</v>
      </c>
      <c r="E380" s="434" t="s">
        <v>7208</v>
      </c>
      <c r="F380" s="434" t="s">
        <v>7209</v>
      </c>
      <c r="G380" s="435">
        <v>2</v>
      </c>
      <c r="H380" s="434" t="s">
        <v>2740</v>
      </c>
      <c r="I380" s="434" t="s">
        <v>7289</v>
      </c>
      <c r="J380" s="439" t="s">
        <v>8276</v>
      </c>
      <c r="K380" s="440" t="s">
        <v>8293</v>
      </c>
      <c r="L380" s="449" t="s">
        <v>8366</v>
      </c>
      <c r="M380" s="424" t="s">
        <v>8620</v>
      </c>
      <c r="N380" s="440" t="s">
        <v>8667</v>
      </c>
      <c r="O380" s="440" t="s">
        <v>8675</v>
      </c>
      <c r="P380" s="433" t="s">
        <v>5760</v>
      </c>
      <c r="Q380" s="433" t="s">
        <v>4</v>
      </c>
      <c r="R380" s="433"/>
      <c r="S380" s="433" t="s">
        <v>2740</v>
      </c>
    </row>
    <row r="381" spans="1:19" ht="22" customHeight="1">
      <c r="A381" s="433" t="s">
        <v>5761</v>
      </c>
      <c r="B381" s="433" t="s">
        <v>5786</v>
      </c>
      <c r="C381" s="433"/>
      <c r="D381" s="434" t="s">
        <v>7798</v>
      </c>
      <c r="E381" s="434" t="s">
        <v>7210</v>
      </c>
      <c r="F381" s="434" t="s">
        <v>7211</v>
      </c>
      <c r="G381" s="435">
        <v>3</v>
      </c>
      <c r="H381" s="434" t="s">
        <v>2740</v>
      </c>
      <c r="I381" s="434" t="s">
        <v>7289</v>
      </c>
      <c r="J381" s="439" t="s">
        <v>8276</v>
      </c>
      <c r="K381" s="440" t="s">
        <v>8293</v>
      </c>
      <c r="L381" s="449" t="s">
        <v>8366</v>
      </c>
      <c r="M381" s="424" t="s">
        <v>8620</v>
      </c>
      <c r="N381" s="440" t="s">
        <v>8667</v>
      </c>
      <c r="O381" s="440" t="s">
        <v>8675</v>
      </c>
      <c r="P381" s="433" t="s">
        <v>2234</v>
      </c>
      <c r="Q381" s="433" t="s">
        <v>4</v>
      </c>
      <c r="R381" s="433"/>
      <c r="S381" s="433" t="s">
        <v>2740</v>
      </c>
    </row>
    <row r="382" spans="1:19" ht="22" hidden="1" customHeight="1">
      <c r="A382" s="433" t="s">
        <v>5762</v>
      </c>
      <c r="B382" s="433" t="s">
        <v>5786</v>
      </c>
      <c r="C382" s="433"/>
      <c r="D382" s="434" t="s">
        <v>6188</v>
      </c>
      <c r="E382" s="434" t="s">
        <v>7212</v>
      </c>
      <c r="F382" s="434" t="s">
        <v>7213</v>
      </c>
      <c r="G382" s="435">
        <v>2</v>
      </c>
      <c r="H382" s="434" t="s">
        <v>7966</v>
      </c>
      <c r="I382" s="434" t="s">
        <v>7383</v>
      </c>
      <c r="J382" s="439" t="s">
        <v>8276</v>
      </c>
      <c r="K382" s="440" t="s">
        <v>8291</v>
      </c>
      <c r="L382" s="449" t="s">
        <v>8327</v>
      </c>
      <c r="M382" s="424" t="s">
        <v>8620</v>
      </c>
      <c r="N382" s="440" t="s">
        <v>8670</v>
      </c>
      <c r="O382" s="440" t="s">
        <v>8677</v>
      </c>
      <c r="P382" s="433" t="s">
        <v>5316</v>
      </c>
      <c r="Q382" s="433" t="s">
        <v>4</v>
      </c>
      <c r="R382" s="433"/>
      <c r="S382" s="433" t="s">
        <v>6710</v>
      </c>
    </row>
    <row r="383" spans="1:19" ht="22" customHeight="1">
      <c r="A383" s="433" t="s">
        <v>5763</v>
      </c>
      <c r="B383" s="433" t="s">
        <v>5786</v>
      </c>
      <c r="C383" s="433"/>
      <c r="D383" s="434" t="s">
        <v>6189</v>
      </c>
      <c r="E383" s="434" t="s">
        <v>7214</v>
      </c>
      <c r="F383" s="434" t="s">
        <v>7215</v>
      </c>
      <c r="G383" s="435">
        <v>3</v>
      </c>
      <c r="H383" s="434" t="s">
        <v>2740</v>
      </c>
      <c r="I383" s="434" t="s">
        <v>7289</v>
      </c>
      <c r="J383" s="439" t="s">
        <v>8276</v>
      </c>
      <c r="K383" s="440" t="s">
        <v>8293</v>
      </c>
      <c r="L383" s="449" t="s">
        <v>8366</v>
      </c>
      <c r="M383" s="424" t="s">
        <v>8620</v>
      </c>
      <c r="N383" s="440" t="s">
        <v>8667</v>
      </c>
      <c r="O383" s="440" t="s">
        <v>8675</v>
      </c>
      <c r="P383" s="433" t="s">
        <v>2234</v>
      </c>
      <c r="Q383" s="433" t="s">
        <v>4</v>
      </c>
      <c r="R383" s="433"/>
      <c r="S383" s="433" t="s">
        <v>2740</v>
      </c>
    </row>
    <row r="384" spans="1:19" ht="22" customHeight="1">
      <c r="A384" s="433" t="s">
        <v>7441</v>
      </c>
      <c r="B384" s="433" t="s">
        <v>5786</v>
      </c>
      <c r="C384" s="433"/>
      <c r="D384" s="434" t="s">
        <v>7799</v>
      </c>
      <c r="E384" s="434" t="s">
        <v>7489</v>
      </c>
      <c r="F384" s="434" t="s">
        <v>7490</v>
      </c>
      <c r="G384" s="435">
        <v>2</v>
      </c>
      <c r="H384" s="434" t="s">
        <v>7816</v>
      </c>
      <c r="I384" s="434" t="s">
        <v>7297</v>
      </c>
      <c r="J384" s="439" t="s">
        <v>8276</v>
      </c>
      <c r="K384" s="440" t="s">
        <v>8291</v>
      </c>
      <c r="L384" s="449" t="s">
        <v>8317</v>
      </c>
      <c r="M384" s="424" t="s">
        <v>8620</v>
      </c>
      <c r="N384" s="440" t="s">
        <v>8669</v>
      </c>
      <c r="O384" s="440" t="s">
        <v>8675</v>
      </c>
      <c r="P384" s="433" t="s">
        <v>528</v>
      </c>
      <c r="Q384" s="433" t="s">
        <v>4</v>
      </c>
      <c r="R384" s="433"/>
      <c r="S384" s="433" t="s">
        <v>6282</v>
      </c>
    </row>
    <row r="385" spans="1:19" ht="22" customHeight="1">
      <c r="A385" s="433" t="s">
        <v>7442</v>
      </c>
      <c r="B385" s="433" t="s">
        <v>5786</v>
      </c>
      <c r="C385" s="433"/>
      <c r="D385" s="434" t="s">
        <v>7800</v>
      </c>
      <c r="E385" s="434" t="s">
        <v>7491</v>
      </c>
      <c r="F385" s="434" t="s">
        <v>7492</v>
      </c>
      <c r="G385" s="435">
        <v>2</v>
      </c>
      <c r="H385" s="434" t="s">
        <v>7814</v>
      </c>
      <c r="I385" s="434" t="s">
        <v>7304</v>
      </c>
      <c r="J385" s="439" t="s">
        <v>8276</v>
      </c>
      <c r="K385" s="440" t="s">
        <v>8613</v>
      </c>
      <c r="L385" s="449" t="s">
        <v>8691</v>
      </c>
      <c r="M385" s="424" t="s">
        <v>8629</v>
      </c>
      <c r="N385" s="440" t="s">
        <v>8669</v>
      </c>
      <c r="O385" s="440" t="s">
        <v>8675</v>
      </c>
      <c r="P385" s="433" t="s">
        <v>528</v>
      </c>
      <c r="Q385" s="433" t="s">
        <v>4</v>
      </c>
      <c r="R385" s="433"/>
      <c r="S385" s="433" t="s">
        <v>6267</v>
      </c>
    </row>
    <row r="386" spans="1:19" ht="22" hidden="1" customHeight="1">
      <c r="A386" s="433" t="s">
        <v>5764</v>
      </c>
      <c r="B386" s="433" t="s">
        <v>5786</v>
      </c>
      <c r="C386" s="433"/>
      <c r="D386" s="434" t="s">
        <v>7801</v>
      </c>
      <c r="E386" s="434" t="s">
        <v>7216</v>
      </c>
      <c r="F386" s="434" t="s">
        <v>7217</v>
      </c>
      <c r="G386" s="435">
        <v>3</v>
      </c>
      <c r="H386" s="434" t="s">
        <v>7816</v>
      </c>
      <c r="I386" s="434" t="s">
        <v>7311</v>
      </c>
      <c r="J386" s="439" t="s">
        <v>8276</v>
      </c>
      <c r="K386" s="440" t="s">
        <v>8613</v>
      </c>
      <c r="L386" s="449" t="s">
        <v>8701</v>
      </c>
      <c r="M386" s="424" t="s">
        <v>8629</v>
      </c>
      <c r="N386" s="440" t="s">
        <v>8666</v>
      </c>
      <c r="O386" s="440" t="s">
        <v>8677</v>
      </c>
      <c r="P386" s="433" t="s">
        <v>5330</v>
      </c>
      <c r="Q386" s="433" t="s">
        <v>4</v>
      </c>
      <c r="R386" s="433"/>
      <c r="S386" s="433" t="s">
        <v>6295</v>
      </c>
    </row>
    <row r="387" spans="1:19" ht="22" customHeight="1">
      <c r="A387" s="433" t="s">
        <v>5765</v>
      </c>
      <c r="B387" s="433" t="s">
        <v>5786</v>
      </c>
      <c r="C387" s="433"/>
      <c r="D387" s="434" t="s">
        <v>7802</v>
      </c>
      <c r="E387" s="434" t="s">
        <v>7218</v>
      </c>
      <c r="F387" s="434" t="s">
        <v>7219</v>
      </c>
      <c r="G387" s="435">
        <v>3</v>
      </c>
      <c r="H387" s="434" t="s">
        <v>2740</v>
      </c>
      <c r="I387" s="434" t="s">
        <v>7289</v>
      </c>
      <c r="J387" s="439" t="s">
        <v>8276</v>
      </c>
      <c r="K387" s="440" t="s">
        <v>8293</v>
      </c>
      <c r="L387" s="449" t="s">
        <v>8682</v>
      </c>
      <c r="M387" s="424" t="s">
        <v>8624</v>
      </c>
      <c r="N387" s="440" t="s">
        <v>8667</v>
      </c>
      <c r="O387" s="440" t="s">
        <v>8675</v>
      </c>
      <c r="P387" s="433" t="s">
        <v>2234</v>
      </c>
      <c r="Q387" s="433" t="s">
        <v>4</v>
      </c>
      <c r="R387" s="433"/>
      <c r="S387" s="433" t="s">
        <v>2740</v>
      </c>
    </row>
    <row r="388" spans="1:19" ht="22" hidden="1" customHeight="1">
      <c r="A388" s="433" t="s">
        <v>5766</v>
      </c>
      <c r="B388" s="433" t="s">
        <v>5786</v>
      </c>
      <c r="C388" s="433"/>
      <c r="D388" s="434" t="s">
        <v>7803</v>
      </c>
      <c r="E388" s="434" t="s">
        <v>7220</v>
      </c>
      <c r="F388" s="434" t="s">
        <v>7221</v>
      </c>
      <c r="G388" s="435">
        <v>2</v>
      </c>
      <c r="H388" s="434" t="s">
        <v>7827</v>
      </c>
      <c r="I388" s="434" t="s">
        <v>7332</v>
      </c>
      <c r="J388" s="439" t="s">
        <v>8276</v>
      </c>
      <c r="K388" s="440" t="s">
        <v>8613</v>
      </c>
      <c r="L388" s="449" t="s">
        <v>8702</v>
      </c>
      <c r="M388" s="424" t="s">
        <v>8629</v>
      </c>
      <c r="N388" s="440" t="s">
        <v>8670</v>
      </c>
      <c r="O388" s="440" t="s">
        <v>8677</v>
      </c>
      <c r="P388" s="433" t="s">
        <v>2234</v>
      </c>
      <c r="Q388" s="433" t="s">
        <v>4</v>
      </c>
      <c r="R388" s="433"/>
      <c r="S388" s="433" t="s">
        <v>6366</v>
      </c>
    </row>
    <row r="389" spans="1:19" ht="22" hidden="1" customHeight="1">
      <c r="A389" s="433" t="s">
        <v>5767</v>
      </c>
      <c r="B389" s="433" t="s">
        <v>5786</v>
      </c>
      <c r="C389" s="433"/>
      <c r="D389" s="434" t="s">
        <v>6190</v>
      </c>
      <c r="E389" s="434" t="s">
        <v>7222</v>
      </c>
      <c r="F389" s="434" t="s">
        <v>7223</v>
      </c>
      <c r="G389" s="435">
        <v>4</v>
      </c>
      <c r="H389" s="434" t="s">
        <v>7839</v>
      </c>
      <c r="I389" s="434" t="s">
        <v>7349</v>
      </c>
      <c r="J389" s="439" t="s">
        <v>8276</v>
      </c>
      <c r="K389" s="440" t="s">
        <v>8291</v>
      </c>
      <c r="L389" s="449" t="s">
        <v>8338</v>
      </c>
      <c r="M389" s="424" t="s">
        <v>8620</v>
      </c>
      <c r="N389" s="440" t="s">
        <v>8670</v>
      </c>
      <c r="O389" s="440" t="s">
        <v>8677</v>
      </c>
      <c r="P389" s="433" t="s">
        <v>5768</v>
      </c>
      <c r="Q389" s="433" t="s">
        <v>4</v>
      </c>
      <c r="R389" s="433"/>
      <c r="S389" s="433" t="s">
        <v>6421</v>
      </c>
    </row>
    <row r="390" spans="1:19" ht="22" hidden="1" customHeight="1">
      <c r="A390" s="433" t="s">
        <v>5769</v>
      </c>
      <c r="B390" s="433" t="s">
        <v>5786</v>
      </c>
      <c r="C390" s="433"/>
      <c r="D390" s="434" t="s">
        <v>6191</v>
      </c>
      <c r="E390" s="434" t="s">
        <v>7224</v>
      </c>
      <c r="F390" s="434" t="s">
        <v>7225</v>
      </c>
      <c r="G390" s="435">
        <v>3</v>
      </c>
      <c r="H390" s="434" t="s">
        <v>7826</v>
      </c>
      <c r="I390" s="434" t="s">
        <v>7329</v>
      </c>
      <c r="J390" s="439" t="s">
        <v>8276</v>
      </c>
      <c r="K390" s="440" t="s">
        <v>8291</v>
      </c>
      <c r="L390" s="449" t="s">
        <v>8332</v>
      </c>
      <c r="M390" s="424" t="s">
        <v>8620</v>
      </c>
      <c r="N390" s="440" t="s">
        <v>8670</v>
      </c>
      <c r="O390" s="440" t="s">
        <v>8677</v>
      </c>
      <c r="P390" s="433" t="s">
        <v>540</v>
      </c>
      <c r="Q390" s="433" t="s">
        <v>4</v>
      </c>
      <c r="R390" s="433"/>
      <c r="S390" s="433" t="s">
        <v>6354</v>
      </c>
    </row>
    <row r="391" spans="1:19" ht="22" hidden="1" customHeight="1">
      <c r="A391" s="433" t="s">
        <v>5770</v>
      </c>
      <c r="B391" s="433" t="s">
        <v>5786</v>
      </c>
      <c r="C391" s="433"/>
      <c r="D391" s="434" t="s">
        <v>7804</v>
      </c>
      <c r="E391" s="434" t="s">
        <v>7226</v>
      </c>
      <c r="F391" s="434" t="s">
        <v>7227</v>
      </c>
      <c r="G391" s="435">
        <v>3</v>
      </c>
      <c r="H391" s="434" t="s">
        <v>7815</v>
      </c>
      <c r="I391" s="434" t="s">
        <v>7305</v>
      </c>
      <c r="J391" s="439" t="s">
        <v>8276</v>
      </c>
      <c r="K391" s="440" t="s">
        <v>8292</v>
      </c>
      <c r="L391" s="449" t="s">
        <v>8326</v>
      </c>
      <c r="M391" s="424" t="s">
        <v>8623</v>
      </c>
      <c r="N391" s="440" t="s">
        <v>8666</v>
      </c>
      <c r="O391" s="440" t="s">
        <v>8677</v>
      </c>
      <c r="P391" s="433" t="s">
        <v>2234</v>
      </c>
      <c r="Q391" s="433" t="s">
        <v>4</v>
      </c>
      <c r="R391" s="433"/>
      <c r="S391" s="433" t="s">
        <v>6273</v>
      </c>
    </row>
    <row r="392" spans="1:19" ht="22" customHeight="1">
      <c r="A392" s="433" t="s">
        <v>5771</v>
      </c>
      <c r="B392" s="433" t="s">
        <v>5786</v>
      </c>
      <c r="C392" s="433"/>
      <c r="D392" s="434" t="s">
        <v>7805</v>
      </c>
      <c r="E392" s="434" t="s">
        <v>7228</v>
      </c>
      <c r="F392" s="434" t="s">
        <v>7229</v>
      </c>
      <c r="G392" s="435">
        <v>4</v>
      </c>
      <c r="H392" s="434" t="s">
        <v>2740</v>
      </c>
      <c r="I392" s="434" t="s">
        <v>7288</v>
      </c>
      <c r="J392" s="439" t="s">
        <v>8276</v>
      </c>
      <c r="K392" s="440" t="s">
        <v>8293</v>
      </c>
      <c r="L392" s="449" t="s">
        <v>8366</v>
      </c>
      <c r="M392" s="424" t="s">
        <v>8623</v>
      </c>
      <c r="N392" s="440" t="s">
        <v>8667</v>
      </c>
      <c r="O392" s="440" t="s">
        <v>8675</v>
      </c>
      <c r="P392" s="433" t="s">
        <v>5330</v>
      </c>
      <c r="Q392" s="433" t="s">
        <v>4</v>
      </c>
      <c r="R392" s="433"/>
      <c r="S392" s="433" t="s">
        <v>2234</v>
      </c>
    </row>
    <row r="393" spans="1:19" ht="22" customHeight="1">
      <c r="A393" s="433" t="s">
        <v>5772</v>
      </c>
      <c r="B393" s="433" t="s">
        <v>5786</v>
      </c>
      <c r="C393" s="433"/>
      <c r="D393" s="434" t="s">
        <v>7806</v>
      </c>
      <c r="E393" s="434" t="s">
        <v>7230</v>
      </c>
      <c r="F393" s="434" t="s">
        <v>7231</v>
      </c>
      <c r="G393" s="435">
        <v>3</v>
      </c>
      <c r="H393" s="434" t="s">
        <v>2740</v>
      </c>
      <c r="I393" s="434" t="s">
        <v>7288</v>
      </c>
      <c r="J393" s="439" t="s">
        <v>8276</v>
      </c>
      <c r="K393" s="440" t="s">
        <v>8293</v>
      </c>
      <c r="L393" s="449" t="s">
        <v>8366</v>
      </c>
      <c r="M393" s="424" t="s">
        <v>8620</v>
      </c>
      <c r="N393" s="440" t="s">
        <v>8667</v>
      </c>
      <c r="O393" s="440" t="s">
        <v>8675</v>
      </c>
      <c r="P393" s="433" t="s">
        <v>531</v>
      </c>
      <c r="Q393" s="433" t="s">
        <v>4</v>
      </c>
      <c r="R393" s="433"/>
      <c r="S393" s="433" t="s">
        <v>2234</v>
      </c>
    </row>
    <row r="394" spans="1:19" ht="22" customHeight="1">
      <c r="A394" s="433" t="s">
        <v>5773</v>
      </c>
      <c r="B394" s="433" t="s">
        <v>5786</v>
      </c>
      <c r="C394" s="433"/>
      <c r="D394" s="434" t="s">
        <v>7807</v>
      </c>
      <c r="E394" s="434" t="s">
        <v>7232</v>
      </c>
      <c r="F394" s="434" t="s">
        <v>7233</v>
      </c>
      <c r="G394" s="435">
        <v>2</v>
      </c>
      <c r="H394" s="434" t="s">
        <v>2740</v>
      </c>
      <c r="I394" s="434" t="s">
        <v>7288</v>
      </c>
      <c r="J394" s="439" t="s">
        <v>8276</v>
      </c>
      <c r="K394" s="440" t="s">
        <v>8293</v>
      </c>
      <c r="L394" s="449" t="s">
        <v>8366</v>
      </c>
      <c r="M394" s="424" t="s">
        <v>8620</v>
      </c>
      <c r="N394" s="440" t="s">
        <v>8667</v>
      </c>
      <c r="O394" s="440" t="s">
        <v>8675</v>
      </c>
      <c r="P394" s="433" t="s">
        <v>5774</v>
      </c>
      <c r="Q394" s="433" t="s">
        <v>4</v>
      </c>
      <c r="R394" s="433"/>
      <c r="S394" s="433" t="s">
        <v>2234</v>
      </c>
    </row>
    <row r="395" spans="1:19" ht="22" customHeight="1">
      <c r="A395" s="433" t="s">
        <v>5775</v>
      </c>
      <c r="B395" s="433" t="s">
        <v>5787</v>
      </c>
      <c r="C395" s="433"/>
      <c r="D395" s="434" t="s">
        <v>7808</v>
      </c>
      <c r="E395" s="434" t="s">
        <v>7234</v>
      </c>
      <c r="F395" s="434" t="s">
        <v>7235</v>
      </c>
      <c r="G395" s="435">
        <v>4</v>
      </c>
      <c r="H395" s="434" t="s">
        <v>2740</v>
      </c>
      <c r="I395" s="434" t="s">
        <v>7289</v>
      </c>
      <c r="J395" s="439" t="s">
        <v>8278</v>
      </c>
      <c r="K395" s="440" t="s">
        <v>8301</v>
      </c>
      <c r="L395" s="449" t="s">
        <v>8313</v>
      </c>
      <c r="M395" s="424" t="s">
        <v>8620</v>
      </c>
      <c r="N395" s="440" t="s">
        <v>8668</v>
      </c>
      <c r="O395" s="440" t="s">
        <v>8675</v>
      </c>
      <c r="P395" s="433" t="s">
        <v>2234</v>
      </c>
      <c r="Q395" s="433" t="s">
        <v>4</v>
      </c>
      <c r="R395" s="433"/>
      <c r="S395" s="433" t="s">
        <v>2740</v>
      </c>
    </row>
    <row r="396" spans="1:19" ht="22" customHeight="1">
      <c r="A396" s="433" t="s">
        <v>5776</v>
      </c>
      <c r="B396" s="433" t="s">
        <v>5787</v>
      </c>
      <c r="C396" s="433"/>
      <c r="D396" s="434" t="s">
        <v>6192</v>
      </c>
      <c r="E396" s="434" t="s">
        <v>7236</v>
      </c>
      <c r="F396" s="434" t="s">
        <v>7237</v>
      </c>
      <c r="G396" s="435">
        <v>3</v>
      </c>
      <c r="H396" s="434" t="s">
        <v>2740</v>
      </c>
      <c r="I396" s="434" t="s">
        <v>7289</v>
      </c>
      <c r="J396" s="439" t="s">
        <v>8278</v>
      </c>
      <c r="K396" s="440" t="s">
        <v>8301</v>
      </c>
      <c r="L396" s="449" t="s">
        <v>8313</v>
      </c>
      <c r="M396" s="424" t="s">
        <v>8620</v>
      </c>
      <c r="N396" s="440" t="s">
        <v>8668</v>
      </c>
      <c r="O396" s="440" t="s">
        <v>8675</v>
      </c>
      <c r="P396" s="433" t="s">
        <v>5328</v>
      </c>
      <c r="Q396" s="433" t="s">
        <v>4</v>
      </c>
      <c r="R396" s="433"/>
      <c r="S396" s="433" t="s">
        <v>2740</v>
      </c>
    </row>
    <row r="397" spans="1:19" ht="22" customHeight="1">
      <c r="A397" s="433" t="s">
        <v>5777</v>
      </c>
      <c r="B397" s="433" t="s">
        <v>5787</v>
      </c>
      <c r="C397" s="433"/>
      <c r="D397" s="434" t="s">
        <v>7809</v>
      </c>
      <c r="E397" s="434" t="s">
        <v>6758</v>
      </c>
      <c r="F397" s="434" t="s">
        <v>6759</v>
      </c>
      <c r="G397" s="435">
        <v>0</v>
      </c>
      <c r="H397" s="434" t="s">
        <v>2740</v>
      </c>
      <c r="I397" s="434" t="s">
        <v>7296</v>
      </c>
      <c r="J397" s="439" t="s">
        <v>8278</v>
      </c>
      <c r="K397" s="440" t="s">
        <v>8301</v>
      </c>
      <c r="L397" s="449" t="s">
        <v>8313</v>
      </c>
      <c r="M397" s="424" t="s">
        <v>8620</v>
      </c>
      <c r="N397" s="440" t="s">
        <v>8668</v>
      </c>
      <c r="O397" s="440" t="s">
        <v>8675</v>
      </c>
      <c r="P397" s="433" t="s">
        <v>5778</v>
      </c>
      <c r="Q397" s="433" t="s">
        <v>6196</v>
      </c>
      <c r="R397" s="433"/>
      <c r="S397" s="433" t="s">
        <v>2234</v>
      </c>
    </row>
    <row r="398" spans="1:19" ht="22" hidden="1" customHeight="1">
      <c r="A398" s="433" t="s">
        <v>5779</v>
      </c>
      <c r="B398" s="433" t="s">
        <v>5787</v>
      </c>
      <c r="C398" s="433"/>
      <c r="D398" s="434" t="s">
        <v>6728</v>
      </c>
      <c r="E398" s="434" t="s">
        <v>7238</v>
      </c>
      <c r="F398" s="434" t="s">
        <v>7239</v>
      </c>
      <c r="G398" s="435">
        <v>4</v>
      </c>
      <c r="H398" s="434" t="s">
        <v>2234</v>
      </c>
      <c r="I398" s="434" t="s">
        <v>7374</v>
      </c>
      <c r="J398" s="439" t="s">
        <v>8278</v>
      </c>
      <c r="K398" s="440" t="s">
        <v>8301</v>
      </c>
      <c r="L398" s="449" t="s">
        <v>8313</v>
      </c>
      <c r="M398" s="424" t="s">
        <v>8620</v>
      </c>
      <c r="N398" s="440" t="s">
        <v>8668</v>
      </c>
      <c r="O398" s="440" t="s">
        <v>8677</v>
      </c>
      <c r="P398" s="433" t="s">
        <v>5692</v>
      </c>
      <c r="Q398" s="433" t="s">
        <v>4</v>
      </c>
      <c r="R398" s="433"/>
      <c r="S398" s="433" t="s">
        <v>6716</v>
      </c>
    </row>
    <row r="399" spans="1:19" ht="22" hidden="1" customHeight="1">
      <c r="A399" s="433" t="s">
        <v>5780</v>
      </c>
      <c r="B399" s="433" t="s">
        <v>5787</v>
      </c>
      <c r="C399" s="433"/>
      <c r="D399" s="434" t="s">
        <v>6193</v>
      </c>
      <c r="E399" s="434" t="s">
        <v>7240</v>
      </c>
      <c r="F399" s="434" t="s">
        <v>7241</v>
      </c>
      <c r="G399" s="435">
        <v>4</v>
      </c>
      <c r="H399" s="434" t="s">
        <v>7839</v>
      </c>
      <c r="I399" s="434" t="s">
        <v>7349</v>
      </c>
      <c r="J399" s="439" t="s">
        <v>8276</v>
      </c>
      <c r="K399" s="440" t="s">
        <v>8291</v>
      </c>
      <c r="L399" s="449" t="s">
        <v>8338</v>
      </c>
      <c r="M399" s="424" t="s">
        <v>8620</v>
      </c>
      <c r="N399" s="440" t="s">
        <v>8670</v>
      </c>
      <c r="O399" s="440" t="s">
        <v>8677</v>
      </c>
      <c r="P399" s="433" t="s">
        <v>5767</v>
      </c>
      <c r="Q399" s="433" t="s">
        <v>4</v>
      </c>
      <c r="R399" s="433"/>
      <c r="S399" s="433" t="s">
        <v>6421</v>
      </c>
    </row>
    <row r="400" spans="1:19" ht="22" customHeight="1">
      <c r="A400" s="433" t="s">
        <v>5781</v>
      </c>
      <c r="B400" s="433" t="s">
        <v>5787</v>
      </c>
      <c r="C400" s="433"/>
      <c r="D400" s="434" t="s">
        <v>7810</v>
      </c>
      <c r="E400" s="434" t="s">
        <v>7242</v>
      </c>
      <c r="F400" s="434" t="s">
        <v>7243</v>
      </c>
      <c r="G400" s="435">
        <v>3</v>
      </c>
      <c r="H400" s="434" t="s">
        <v>7840</v>
      </c>
      <c r="I400" s="434" t="s">
        <v>7351</v>
      </c>
      <c r="J400" s="439" t="s">
        <v>8277</v>
      </c>
      <c r="K400" s="440" t="s">
        <v>8298</v>
      </c>
      <c r="L400" s="449" t="s">
        <v>8339</v>
      </c>
      <c r="M400" s="424" t="s">
        <v>8628</v>
      </c>
      <c r="N400" s="440" t="s">
        <v>8668</v>
      </c>
      <c r="O400" s="440" t="s">
        <v>8675</v>
      </c>
      <c r="P400" s="433" t="s">
        <v>2234</v>
      </c>
      <c r="Q400" s="433" t="s">
        <v>4</v>
      </c>
      <c r="R400" s="433"/>
      <c r="S400" s="433" t="s">
        <v>6426</v>
      </c>
    </row>
    <row r="401" spans="1:25" ht="22" hidden="1" customHeight="1">
      <c r="A401" s="433" t="s">
        <v>5782</v>
      </c>
      <c r="B401" s="433" t="s">
        <v>5787</v>
      </c>
      <c r="C401" s="433"/>
      <c r="D401" s="434" t="s">
        <v>7811</v>
      </c>
      <c r="E401" s="434" t="s">
        <v>7244</v>
      </c>
      <c r="F401" s="434" t="s">
        <v>7245</v>
      </c>
      <c r="G401" s="435">
        <v>2</v>
      </c>
      <c r="H401" s="434" t="s">
        <v>7827</v>
      </c>
      <c r="I401" s="434" t="s">
        <v>7331</v>
      </c>
      <c r="J401" s="439" t="s">
        <v>8276</v>
      </c>
      <c r="K401" s="440" t="s">
        <v>8295</v>
      </c>
      <c r="L401" s="449" t="s">
        <v>8310</v>
      </c>
      <c r="M401" s="424" t="s">
        <v>8620</v>
      </c>
      <c r="N401" s="440" t="s">
        <v>8670</v>
      </c>
      <c r="O401" s="440" t="s">
        <v>8677</v>
      </c>
      <c r="P401" s="433" t="s">
        <v>2234</v>
      </c>
      <c r="Q401" s="433" t="s">
        <v>4</v>
      </c>
      <c r="R401" s="433"/>
      <c r="S401" s="433" t="s">
        <v>6359</v>
      </c>
    </row>
    <row r="402" spans="1:25" ht="22" hidden="1" customHeight="1">
      <c r="A402" s="433" t="s">
        <v>5783</v>
      </c>
      <c r="B402" s="433" t="s">
        <v>5787</v>
      </c>
      <c r="C402" s="433"/>
      <c r="D402" s="434" t="s">
        <v>6194</v>
      </c>
      <c r="E402" s="434" t="s">
        <v>7246</v>
      </c>
      <c r="F402" s="434" t="s">
        <v>7247</v>
      </c>
      <c r="G402" s="435">
        <v>2</v>
      </c>
      <c r="H402" s="434" t="s">
        <v>7834</v>
      </c>
      <c r="I402" s="434" t="s">
        <v>7835</v>
      </c>
      <c r="J402" s="439" t="s">
        <v>8276</v>
      </c>
      <c r="K402" s="440" t="s">
        <v>8291</v>
      </c>
      <c r="L402" s="449" t="s">
        <v>8338</v>
      </c>
      <c r="M402" s="424" t="s">
        <v>8620</v>
      </c>
      <c r="N402" s="440" t="s">
        <v>8670</v>
      </c>
      <c r="O402" s="440" t="s">
        <v>8677</v>
      </c>
      <c r="P402" s="433" t="s">
        <v>5747</v>
      </c>
      <c r="Q402" s="433" t="s">
        <v>4</v>
      </c>
      <c r="R402" s="433"/>
      <c r="S402" s="433" t="s">
        <v>6416</v>
      </c>
    </row>
    <row r="403" spans="1:25" ht="22" customHeight="1">
      <c r="A403" s="433" t="s">
        <v>5784</v>
      </c>
      <c r="B403" s="433" t="s">
        <v>5787</v>
      </c>
      <c r="C403" s="433"/>
      <c r="D403" s="434" t="s">
        <v>6195</v>
      </c>
      <c r="E403" s="434" t="s">
        <v>7248</v>
      </c>
      <c r="F403" s="434" t="s">
        <v>7249</v>
      </c>
      <c r="G403" s="435">
        <v>3</v>
      </c>
      <c r="H403" s="434" t="s">
        <v>2740</v>
      </c>
      <c r="I403" s="434" t="s">
        <v>7289</v>
      </c>
      <c r="J403" s="439" t="s">
        <v>8278</v>
      </c>
      <c r="K403" s="440" t="s">
        <v>8301</v>
      </c>
      <c r="L403" s="449" t="s">
        <v>8313</v>
      </c>
      <c r="M403" s="424" t="s">
        <v>8620</v>
      </c>
      <c r="N403" s="440" t="s">
        <v>8668</v>
      </c>
      <c r="O403" s="440" t="s">
        <v>8675</v>
      </c>
      <c r="P403" s="433" t="s">
        <v>2234</v>
      </c>
      <c r="Q403" s="433" t="s">
        <v>4</v>
      </c>
      <c r="R403" s="433"/>
      <c r="S403" s="433" t="s">
        <v>2740</v>
      </c>
    </row>
    <row r="404" spans="1:25" ht="22" hidden="1" customHeight="1">
      <c r="A404" s="433" t="s">
        <v>6197</v>
      </c>
      <c r="B404" s="433" t="s">
        <v>6198</v>
      </c>
      <c r="C404" s="433"/>
      <c r="D404" s="434" t="s">
        <v>7968</v>
      </c>
      <c r="E404" s="434" t="s">
        <v>6760</v>
      </c>
      <c r="F404" s="434" t="s">
        <v>6761</v>
      </c>
      <c r="G404" s="435">
        <v>1</v>
      </c>
      <c r="H404" s="434" t="s">
        <v>2740</v>
      </c>
      <c r="I404" s="434" t="s">
        <v>7289</v>
      </c>
      <c r="J404" s="439" t="s">
        <v>8276</v>
      </c>
      <c r="K404" s="440" t="s">
        <v>8291</v>
      </c>
      <c r="L404" s="449" t="s">
        <v>8316</v>
      </c>
      <c r="M404" s="424" t="s">
        <v>8620</v>
      </c>
      <c r="N404" s="440" t="s">
        <v>8670</v>
      </c>
      <c r="O404" s="440" t="s">
        <v>8676</v>
      </c>
      <c r="P404" s="433" t="s">
        <v>2234</v>
      </c>
      <c r="Q404" s="433" t="s">
        <v>4</v>
      </c>
      <c r="R404" s="433"/>
      <c r="S404" s="433" t="s">
        <v>2740</v>
      </c>
    </row>
    <row r="405" spans="1:25" ht="22" hidden="1" customHeight="1">
      <c r="A405" s="433" t="s">
        <v>6199</v>
      </c>
      <c r="B405" s="433" t="s">
        <v>6198</v>
      </c>
      <c r="C405" s="433"/>
      <c r="D405" s="434" t="s">
        <v>7969</v>
      </c>
      <c r="E405" s="434" t="s">
        <v>6762</v>
      </c>
      <c r="F405" s="434" t="s">
        <v>6763</v>
      </c>
      <c r="G405" s="435">
        <v>2</v>
      </c>
      <c r="H405" s="434" t="s">
        <v>2740</v>
      </c>
      <c r="I405" s="434" t="s">
        <v>7289</v>
      </c>
      <c r="J405" s="439" t="s">
        <v>8276</v>
      </c>
      <c r="K405" s="440" t="s">
        <v>8291</v>
      </c>
      <c r="L405" s="449" t="s">
        <v>8316</v>
      </c>
      <c r="M405" s="424" t="s">
        <v>8620</v>
      </c>
      <c r="N405" s="440" t="s">
        <v>8670</v>
      </c>
      <c r="O405" s="440" t="s">
        <v>8676</v>
      </c>
      <c r="P405" s="433" t="s">
        <v>2234</v>
      </c>
      <c r="Q405" s="433" t="s">
        <v>4</v>
      </c>
      <c r="R405" s="433"/>
      <c r="S405" s="433" t="s">
        <v>2740</v>
      </c>
    </row>
    <row r="406" spans="1:25" ht="22" hidden="1" customHeight="1">
      <c r="A406" s="433" t="s">
        <v>6200</v>
      </c>
      <c r="B406" s="433" t="s">
        <v>6198</v>
      </c>
      <c r="C406" s="433"/>
      <c r="D406" s="434" t="s">
        <v>7970</v>
      </c>
      <c r="E406" s="434" t="s">
        <v>6764</v>
      </c>
      <c r="F406" s="434" t="s">
        <v>6765</v>
      </c>
      <c r="G406" s="435">
        <v>1</v>
      </c>
      <c r="H406" s="434" t="s">
        <v>2740</v>
      </c>
      <c r="I406" s="434" t="s">
        <v>7289</v>
      </c>
      <c r="J406" s="439" t="s">
        <v>8276</v>
      </c>
      <c r="K406" s="440" t="s">
        <v>8291</v>
      </c>
      <c r="L406" s="449" t="s">
        <v>8316</v>
      </c>
      <c r="M406" s="424" t="s">
        <v>8620</v>
      </c>
      <c r="N406" s="440" t="s">
        <v>8670</v>
      </c>
      <c r="O406" s="440" t="s">
        <v>8676</v>
      </c>
      <c r="P406" s="433" t="s">
        <v>2234</v>
      </c>
      <c r="Q406" s="433" t="s">
        <v>4</v>
      </c>
      <c r="R406" s="433"/>
      <c r="S406" s="433" t="s">
        <v>2740</v>
      </c>
    </row>
    <row r="407" spans="1:25" ht="22" hidden="1" customHeight="1">
      <c r="A407" s="433" t="s">
        <v>6201</v>
      </c>
      <c r="B407" s="433" t="s">
        <v>6198</v>
      </c>
      <c r="C407" s="433"/>
      <c r="D407" s="434" t="s">
        <v>7971</v>
      </c>
      <c r="E407" s="434" t="s">
        <v>6766</v>
      </c>
      <c r="F407" s="434" t="s">
        <v>6767</v>
      </c>
      <c r="G407" s="435">
        <v>3</v>
      </c>
      <c r="H407" s="434" t="s">
        <v>2740</v>
      </c>
      <c r="I407" s="434" t="s">
        <v>7289</v>
      </c>
      <c r="J407" s="439" t="s">
        <v>8276</v>
      </c>
      <c r="K407" s="440" t="s">
        <v>8291</v>
      </c>
      <c r="L407" s="449" t="s">
        <v>8316</v>
      </c>
      <c r="M407" s="424" t="s">
        <v>8620</v>
      </c>
      <c r="N407" s="440" t="s">
        <v>8670</v>
      </c>
      <c r="O407" s="440" t="s">
        <v>8676</v>
      </c>
      <c r="P407" s="433" t="s">
        <v>2234</v>
      </c>
      <c r="Q407" s="433" t="s">
        <v>4</v>
      </c>
      <c r="R407" s="433"/>
      <c r="S407" s="433" t="s">
        <v>2740</v>
      </c>
    </row>
    <row r="408" spans="1:25" ht="22" hidden="1" customHeight="1">
      <c r="A408" s="433" t="s">
        <v>6203</v>
      </c>
      <c r="B408" s="433" t="s">
        <v>6198</v>
      </c>
      <c r="C408" s="433"/>
      <c r="D408" s="434" t="s">
        <v>7972</v>
      </c>
      <c r="E408" s="434" t="s">
        <v>6768</v>
      </c>
      <c r="F408" s="434" t="s">
        <v>6769</v>
      </c>
      <c r="G408" s="435">
        <v>2</v>
      </c>
      <c r="H408" s="434" t="s">
        <v>2740</v>
      </c>
      <c r="I408" s="434" t="s">
        <v>7289</v>
      </c>
      <c r="J408" s="439" t="s">
        <v>8276</v>
      </c>
      <c r="K408" s="439" t="s">
        <v>8291</v>
      </c>
      <c r="L408" s="450" t="s">
        <v>8316</v>
      </c>
      <c r="M408" s="424" t="s">
        <v>8620</v>
      </c>
      <c r="N408" s="440" t="s">
        <v>8670</v>
      </c>
      <c r="O408" s="440" t="s">
        <v>8676</v>
      </c>
      <c r="P408" s="433" t="s">
        <v>2234</v>
      </c>
      <c r="Q408" s="433" t="s">
        <v>4</v>
      </c>
      <c r="R408" s="433"/>
      <c r="S408" s="433" t="s">
        <v>2740</v>
      </c>
    </row>
    <row r="409" spans="1:25" ht="22" hidden="1" customHeight="1">
      <c r="A409" s="433" t="s">
        <v>6204</v>
      </c>
      <c r="B409" s="433" t="s">
        <v>6198</v>
      </c>
      <c r="C409" s="433"/>
      <c r="D409" s="434" t="s">
        <v>7973</v>
      </c>
      <c r="E409" s="434" t="s">
        <v>6770</v>
      </c>
      <c r="F409" s="434" t="s">
        <v>6771</v>
      </c>
      <c r="G409" s="435">
        <v>2</v>
      </c>
      <c r="H409" s="434" t="s">
        <v>2740</v>
      </c>
      <c r="I409" s="434" t="s">
        <v>7289</v>
      </c>
      <c r="J409" s="439" t="s">
        <v>8276</v>
      </c>
      <c r="K409" s="439" t="s">
        <v>8291</v>
      </c>
      <c r="L409" s="450" t="s">
        <v>8316</v>
      </c>
      <c r="M409" s="424" t="s">
        <v>8620</v>
      </c>
      <c r="N409" s="440" t="s">
        <v>8670</v>
      </c>
      <c r="O409" s="440" t="s">
        <v>8676</v>
      </c>
      <c r="P409" s="433" t="s">
        <v>2234</v>
      </c>
      <c r="Q409" s="433" t="s">
        <v>4</v>
      </c>
      <c r="R409" s="433"/>
      <c r="S409" s="433" t="s">
        <v>2740</v>
      </c>
    </row>
    <row r="410" spans="1:25" ht="22" hidden="1" customHeight="1">
      <c r="A410" s="433" t="s">
        <v>6205</v>
      </c>
      <c r="B410" s="433" t="s">
        <v>6198</v>
      </c>
      <c r="C410" s="433"/>
      <c r="D410" s="434" t="s">
        <v>7974</v>
      </c>
      <c r="E410" s="434" t="s">
        <v>6772</v>
      </c>
      <c r="F410" s="434" t="s">
        <v>6773</v>
      </c>
      <c r="G410" s="435">
        <v>2</v>
      </c>
      <c r="H410" s="434" t="s">
        <v>2740</v>
      </c>
      <c r="I410" s="434" t="s">
        <v>7289</v>
      </c>
      <c r="J410" s="439" t="s">
        <v>8276</v>
      </c>
      <c r="K410" s="439" t="s">
        <v>8291</v>
      </c>
      <c r="L410" s="450" t="s">
        <v>8316</v>
      </c>
      <c r="M410" s="424" t="s">
        <v>8620</v>
      </c>
      <c r="N410" s="440" t="s">
        <v>8670</v>
      </c>
      <c r="O410" s="440" t="s">
        <v>8676</v>
      </c>
      <c r="P410" s="433" t="s">
        <v>2234</v>
      </c>
      <c r="Q410" s="433" t="s">
        <v>4</v>
      </c>
      <c r="R410" s="433"/>
      <c r="S410" s="433" t="s">
        <v>2740</v>
      </c>
    </row>
    <row r="411" spans="1:25" ht="22" hidden="1" customHeight="1">
      <c r="A411" s="433" t="s">
        <v>6206</v>
      </c>
      <c r="B411" s="433" t="s">
        <v>6198</v>
      </c>
      <c r="C411" s="433"/>
      <c r="D411" s="434" t="s">
        <v>7975</v>
      </c>
      <c r="E411" s="434" t="s">
        <v>6774</v>
      </c>
      <c r="F411" s="434" t="s">
        <v>6775</v>
      </c>
      <c r="G411" s="435">
        <v>2</v>
      </c>
      <c r="H411" s="434" t="s">
        <v>2740</v>
      </c>
      <c r="I411" s="434" t="s">
        <v>7289</v>
      </c>
      <c r="J411" s="439" t="s">
        <v>8276</v>
      </c>
      <c r="K411" s="439" t="s">
        <v>8291</v>
      </c>
      <c r="L411" s="450" t="s">
        <v>8316</v>
      </c>
      <c r="M411" s="424" t="s">
        <v>8620</v>
      </c>
      <c r="N411" s="440" t="s">
        <v>8670</v>
      </c>
      <c r="O411" s="440" t="s">
        <v>8676</v>
      </c>
      <c r="P411" s="433" t="s">
        <v>2234</v>
      </c>
      <c r="Q411" s="433" t="s">
        <v>4</v>
      </c>
      <c r="R411" s="433"/>
      <c r="S411" s="433" t="s">
        <v>2740</v>
      </c>
    </row>
    <row r="412" spans="1:25" ht="22" customHeight="1">
      <c r="A412" s="433" t="s">
        <v>6207</v>
      </c>
      <c r="B412" s="433" t="s">
        <v>6198</v>
      </c>
      <c r="C412" s="433"/>
      <c r="D412" s="434" t="s">
        <v>7976</v>
      </c>
      <c r="E412" s="434" t="s">
        <v>6776</v>
      </c>
      <c r="F412" s="434" t="s">
        <v>6777</v>
      </c>
      <c r="G412" s="435">
        <v>3</v>
      </c>
      <c r="H412" s="434" t="s">
        <v>7816</v>
      </c>
      <c r="I412" s="434" t="s">
        <v>7297</v>
      </c>
      <c r="J412" s="439" t="s">
        <v>8276</v>
      </c>
      <c r="K412" s="439" t="s">
        <v>8291</v>
      </c>
      <c r="L412" s="450" t="s">
        <v>8317</v>
      </c>
      <c r="M412" s="424" t="s">
        <v>8620</v>
      </c>
      <c r="N412" s="440" t="s">
        <v>8669</v>
      </c>
      <c r="O412" s="440" t="s">
        <v>8675</v>
      </c>
      <c r="P412" s="433" t="s">
        <v>2234</v>
      </c>
      <c r="Q412" s="433" t="s">
        <v>4</v>
      </c>
      <c r="R412" s="433"/>
      <c r="S412" s="433" t="s">
        <v>6282</v>
      </c>
    </row>
    <row r="413" spans="1:25" ht="22" customHeight="1">
      <c r="A413" s="444" t="s">
        <v>6208</v>
      </c>
      <c r="B413" s="444" t="s">
        <v>6198</v>
      </c>
      <c r="C413" s="444"/>
      <c r="D413" s="445" t="s">
        <v>7977</v>
      </c>
      <c r="E413" s="434" t="s">
        <v>6778</v>
      </c>
      <c r="F413" s="445" t="s">
        <v>6779</v>
      </c>
      <c r="G413" s="446">
        <v>3</v>
      </c>
      <c r="H413" s="445" t="s">
        <v>7816</v>
      </c>
      <c r="I413" s="446" t="s">
        <v>7297</v>
      </c>
      <c r="J413" s="447" t="s">
        <v>8276</v>
      </c>
      <c r="K413" s="447" t="s">
        <v>8291</v>
      </c>
      <c r="L413" s="451" t="s">
        <v>8317</v>
      </c>
      <c r="M413" s="424" t="s">
        <v>8620</v>
      </c>
      <c r="N413" s="440" t="s">
        <v>8669</v>
      </c>
      <c r="O413" s="440" t="s">
        <v>8675</v>
      </c>
      <c r="P413" s="444" t="s">
        <v>2234</v>
      </c>
      <c r="Q413" s="444" t="s">
        <v>4</v>
      </c>
      <c r="R413" s="433"/>
      <c r="S413" s="444" t="s">
        <v>6282</v>
      </c>
      <c r="T413" s="375"/>
      <c r="U413" s="376"/>
      <c r="V413" s="376"/>
      <c r="W413" s="376"/>
      <c r="X413" s="399"/>
      <c r="Y413" s="400"/>
    </row>
    <row r="414" spans="1:25" ht="22" hidden="1" customHeight="1">
      <c r="A414" s="444" t="s">
        <v>6209</v>
      </c>
      <c r="B414" s="444" t="s">
        <v>6198</v>
      </c>
      <c r="C414" s="444"/>
      <c r="D414" s="445" t="s">
        <v>7978</v>
      </c>
      <c r="E414" s="434" t="s">
        <v>6780</v>
      </c>
      <c r="F414" s="445" t="s">
        <v>6781</v>
      </c>
      <c r="G414" s="446">
        <v>2</v>
      </c>
      <c r="H414" s="445" t="s">
        <v>2740</v>
      </c>
      <c r="I414" s="446" t="s">
        <v>7298</v>
      </c>
      <c r="J414" s="447" t="s">
        <v>8276</v>
      </c>
      <c r="K414" s="447" t="s">
        <v>8291</v>
      </c>
      <c r="L414" s="451" t="s">
        <v>8316</v>
      </c>
      <c r="M414" s="424" t="s">
        <v>8620</v>
      </c>
      <c r="N414" s="440" t="s">
        <v>8670</v>
      </c>
      <c r="O414" s="440" t="s">
        <v>8676</v>
      </c>
      <c r="P414" s="444" t="s">
        <v>2234</v>
      </c>
      <c r="Q414" s="444" t="s">
        <v>4</v>
      </c>
      <c r="R414" s="433"/>
      <c r="S414" s="444" t="s">
        <v>2234</v>
      </c>
      <c r="T414" s="375"/>
      <c r="U414" s="376"/>
      <c r="V414" s="376"/>
      <c r="W414" s="376"/>
      <c r="X414" s="399"/>
      <c r="Y414" s="400"/>
    </row>
    <row r="415" spans="1:25" ht="22" hidden="1" customHeight="1">
      <c r="A415" s="444" t="s">
        <v>6211</v>
      </c>
      <c r="B415" s="444" t="s">
        <v>6198</v>
      </c>
      <c r="C415" s="444"/>
      <c r="D415" s="445" t="s">
        <v>7979</v>
      </c>
      <c r="E415" s="434" t="s">
        <v>6782</v>
      </c>
      <c r="F415" s="445" t="s">
        <v>6783</v>
      </c>
      <c r="G415" s="446">
        <v>2</v>
      </c>
      <c r="H415" s="445" t="s">
        <v>7846</v>
      </c>
      <c r="I415" s="446" t="s">
        <v>7847</v>
      </c>
      <c r="J415" s="447" t="s">
        <v>8276</v>
      </c>
      <c r="K415" s="447" t="s">
        <v>8295</v>
      </c>
      <c r="L415" s="451" t="s">
        <v>8318</v>
      </c>
      <c r="M415" s="424" t="s">
        <v>8620</v>
      </c>
      <c r="N415" s="440" t="s">
        <v>8668</v>
      </c>
      <c r="O415" s="440" t="s">
        <v>8677</v>
      </c>
      <c r="P415" s="444" t="s">
        <v>2234</v>
      </c>
      <c r="Q415" s="444" t="s">
        <v>4</v>
      </c>
      <c r="R415" s="433"/>
      <c r="S415" s="444" t="s">
        <v>6458</v>
      </c>
      <c r="T415" s="375"/>
      <c r="U415" s="376"/>
      <c r="V415" s="376"/>
      <c r="W415" s="376"/>
      <c r="X415" s="399"/>
      <c r="Y415" s="400"/>
    </row>
    <row r="416" spans="1:25" ht="22" hidden="1" customHeight="1">
      <c r="A416" s="444" t="s">
        <v>6212</v>
      </c>
      <c r="B416" s="444" t="s">
        <v>6198</v>
      </c>
      <c r="C416" s="444"/>
      <c r="D416" s="445" t="s">
        <v>7980</v>
      </c>
      <c r="E416" s="434" t="s">
        <v>6784</v>
      </c>
      <c r="F416" s="445" t="s">
        <v>6785</v>
      </c>
      <c r="G416" s="446">
        <v>3</v>
      </c>
      <c r="H416" s="445" t="s">
        <v>7852</v>
      </c>
      <c r="I416" s="446" t="s">
        <v>7299</v>
      </c>
      <c r="J416" s="447" t="s">
        <v>8276</v>
      </c>
      <c r="K416" s="447" t="s">
        <v>8294</v>
      </c>
      <c r="L416" s="451" t="s">
        <v>8319</v>
      </c>
      <c r="M416" s="424" t="s">
        <v>8620</v>
      </c>
      <c r="N416" s="440" t="s">
        <v>8670</v>
      </c>
      <c r="O416" s="440" t="s">
        <v>8677</v>
      </c>
      <c r="P416" s="444" t="s">
        <v>2234</v>
      </c>
      <c r="Q416" s="444" t="s">
        <v>4</v>
      </c>
      <c r="R416" s="433"/>
      <c r="S416" s="444" t="s">
        <v>6466</v>
      </c>
      <c r="T416" s="375"/>
      <c r="U416" s="376"/>
      <c r="V416" s="376"/>
      <c r="W416" s="376"/>
      <c r="X416" s="399"/>
      <c r="Y416" s="400"/>
    </row>
    <row r="417" spans="1:25" ht="22" customHeight="1">
      <c r="A417" s="444" t="s">
        <v>6213</v>
      </c>
      <c r="B417" s="444" t="s">
        <v>6198</v>
      </c>
      <c r="C417" s="444"/>
      <c r="D417" s="445" t="s">
        <v>7981</v>
      </c>
      <c r="E417" s="434" t="s">
        <v>6786</v>
      </c>
      <c r="F417" s="445" t="s">
        <v>6787</v>
      </c>
      <c r="G417" s="446">
        <v>2</v>
      </c>
      <c r="H417" s="445" t="s">
        <v>7816</v>
      </c>
      <c r="I417" s="446" t="s">
        <v>7297</v>
      </c>
      <c r="J417" s="447" t="s">
        <v>8276</v>
      </c>
      <c r="K417" s="447" t="s">
        <v>8291</v>
      </c>
      <c r="L417" s="451" t="s">
        <v>8317</v>
      </c>
      <c r="M417" s="424" t="s">
        <v>8620</v>
      </c>
      <c r="N417" s="440" t="s">
        <v>8669</v>
      </c>
      <c r="O417" s="440" t="s">
        <v>8675</v>
      </c>
      <c r="P417" s="444" t="s">
        <v>2234</v>
      </c>
      <c r="Q417" s="444" t="s">
        <v>4</v>
      </c>
      <c r="R417" s="433"/>
      <c r="S417" s="444" t="s">
        <v>6282</v>
      </c>
      <c r="T417" s="375"/>
      <c r="U417" s="376"/>
      <c r="V417" s="376"/>
      <c r="W417" s="376"/>
      <c r="X417" s="399"/>
      <c r="Y417" s="400"/>
    </row>
    <row r="418" spans="1:25" ht="22" customHeight="1">
      <c r="A418" s="444" t="s">
        <v>6214</v>
      </c>
      <c r="B418" s="444" t="s">
        <v>6198</v>
      </c>
      <c r="C418" s="444"/>
      <c r="D418" s="445" t="s">
        <v>7982</v>
      </c>
      <c r="E418" s="434" t="s">
        <v>6788</v>
      </c>
      <c r="F418" s="445" t="s">
        <v>6789</v>
      </c>
      <c r="G418" s="446">
        <v>2</v>
      </c>
      <c r="H418" s="445" t="s">
        <v>7816</v>
      </c>
      <c r="I418" s="446" t="s">
        <v>7297</v>
      </c>
      <c r="J418" s="447" t="s">
        <v>8276</v>
      </c>
      <c r="K418" s="447" t="s">
        <v>8291</v>
      </c>
      <c r="L418" s="451" t="s">
        <v>8317</v>
      </c>
      <c r="M418" s="424" t="s">
        <v>8620</v>
      </c>
      <c r="N418" s="440" t="s">
        <v>8669</v>
      </c>
      <c r="O418" s="440" t="s">
        <v>8675</v>
      </c>
      <c r="P418" s="444" t="s">
        <v>2234</v>
      </c>
      <c r="Q418" s="444" t="s">
        <v>4</v>
      </c>
      <c r="R418" s="433"/>
      <c r="S418" s="444" t="s">
        <v>6282</v>
      </c>
      <c r="T418" s="436"/>
      <c r="U418" s="437"/>
      <c r="V418" s="437"/>
      <c r="W418" s="437"/>
      <c r="X418" s="438"/>
      <c r="Y418" s="400"/>
    </row>
    <row r="419" spans="1:25" ht="22" customHeight="1">
      <c r="A419" s="433" t="s">
        <v>6215</v>
      </c>
      <c r="B419" s="433" t="s">
        <v>6198</v>
      </c>
      <c r="C419" s="433"/>
      <c r="D419" s="434" t="s">
        <v>7983</v>
      </c>
      <c r="E419" s="434" t="s">
        <v>6790</v>
      </c>
      <c r="F419" s="434" t="s">
        <v>6791</v>
      </c>
      <c r="G419" s="448">
        <v>4</v>
      </c>
      <c r="H419" s="434" t="s">
        <v>7816</v>
      </c>
      <c r="I419" s="448" t="s">
        <v>7297</v>
      </c>
      <c r="J419" s="447" t="s">
        <v>8276</v>
      </c>
      <c r="K419" s="447" t="s">
        <v>8291</v>
      </c>
      <c r="L419" s="451" t="s">
        <v>8317</v>
      </c>
      <c r="M419" s="424" t="s">
        <v>8620</v>
      </c>
      <c r="N419" s="440" t="s">
        <v>8669</v>
      </c>
      <c r="O419" s="440" t="s">
        <v>8675</v>
      </c>
      <c r="P419" s="433" t="s">
        <v>2234</v>
      </c>
      <c r="Q419" s="433" t="s">
        <v>4</v>
      </c>
      <c r="R419" s="433"/>
      <c r="S419" s="433" t="s">
        <v>6282</v>
      </c>
      <c r="T419" s="398"/>
      <c r="U419" s="398"/>
      <c r="V419" s="398"/>
      <c r="W419" s="398"/>
      <c r="X419" s="398"/>
      <c r="Y419" s="398"/>
    </row>
    <row r="420" spans="1:25" ht="22" customHeight="1">
      <c r="A420" s="433" t="s">
        <v>6216</v>
      </c>
      <c r="B420" s="433" t="s">
        <v>6198</v>
      </c>
      <c r="C420" s="433"/>
      <c r="D420" s="434" t="s">
        <v>7984</v>
      </c>
      <c r="E420" s="434" t="s">
        <v>6792</v>
      </c>
      <c r="F420" s="434" t="s">
        <v>6793</v>
      </c>
      <c r="G420" s="448">
        <v>2</v>
      </c>
      <c r="H420" s="434" t="s">
        <v>7816</v>
      </c>
      <c r="I420" s="448" t="s">
        <v>7297</v>
      </c>
      <c r="J420" s="447" t="s">
        <v>8276</v>
      </c>
      <c r="K420" s="447" t="s">
        <v>8291</v>
      </c>
      <c r="L420" s="451" t="s">
        <v>8317</v>
      </c>
      <c r="M420" s="424" t="s">
        <v>8620</v>
      </c>
      <c r="N420" s="440" t="s">
        <v>8669</v>
      </c>
      <c r="O420" s="440" t="s">
        <v>8675</v>
      </c>
      <c r="P420" s="433" t="s">
        <v>2234</v>
      </c>
      <c r="Q420" s="433" t="s">
        <v>4</v>
      </c>
      <c r="R420" s="433"/>
      <c r="S420" s="433" t="s">
        <v>6282</v>
      </c>
      <c r="T420" s="398"/>
      <c r="U420" s="398"/>
      <c r="V420" s="398"/>
      <c r="W420" s="398"/>
      <c r="X420" s="398"/>
      <c r="Y420" s="398"/>
    </row>
    <row r="421" spans="1:25" ht="22" customHeight="1">
      <c r="A421" s="433" t="s">
        <v>6217</v>
      </c>
      <c r="B421" s="433" t="s">
        <v>6198</v>
      </c>
      <c r="C421" s="433"/>
      <c r="D421" s="434" t="s">
        <v>7985</v>
      </c>
      <c r="E421" s="434" t="s">
        <v>6794</v>
      </c>
      <c r="F421" s="434" t="s">
        <v>6795</v>
      </c>
      <c r="G421" s="448">
        <v>3</v>
      </c>
      <c r="H421" s="434" t="s">
        <v>7816</v>
      </c>
      <c r="I421" s="448" t="s">
        <v>7297</v>
      </c>
      <c r="J421" s="447" t="s">
        <v>8276</v>
      </c>
      <c r="K421" s="447" t="s">
        <v>8291</v>
      </c>
      <c r="L421" s="451" t="s">
        <v>8317</v>
      </c>
      <c r="M421" s="424" t="s">
        <v>8620</v>
      </c>
      <c r="N421" s="440" t="s">
        <v>8669</v>
      </c>
      <c r="O421" s="440" t="s">
        <v>8675</v>
      </c>
      <c r="P421" s="433" t="s">
        <v>2234</v>
      </c>
      <c r="Q421" s="433" t="s">
        <v>4</v>
      </c>
      <c r="R421" s="433"/>
      <c r="S421" s="433" t="s">
        <v>6282</v>
      </c>
      <c r="T421" s="398"/>
      <c r="U421" s="398"/>
      <c r="V421" s="398"/>
      <c r="W421" s="398"/>
      <c r="X421" s="398"/>
      <c r="Y421" s="398"/>
    </row>
    <row r="422" spans="1:25" ht="22" hidden="1" customHeight="1">
      <c r="A422" s="433" t="s">
        <v>6218</v>
      </c>
      <c r="B422" s="433" t="s">
        <v>6198</v>
      </c>
      <c r="C422" s="433"/>
      <c r="D422" s="434" t="s">
        <v>7986</v>
      </c>
      <c r="E422" s="434" t="s">
        <v>6796</v>
      </c>
      <c r="F422" s="434" t="s">
        <v>6797</v>
      </c>
      <c r="G422" s="448">
        <v>3</v>
      </c>
      <c r="H422" s="434" t="s">
        <v>7845</v>
      </c>
      <c r="I422" s="448" t="s">
        <v>7292</v>
      </c>
      <c r="J422" s="447" t="s">
        <v>8276</v>
      </c>
      <c r="K422" s="447" t="s">
        <v>8295</v>
      </c>
      <c r="L422" s="451" t="s">
        <v>8311</v>
      </c>
      <c r="M422" s="424" t="s">
        <v>8620</v>
      </c>
      <c r="N422" s="440" t="s">
        <v>8670</v>
      </c>
      <c r="O422" s="440" t="s">
        <v>8677</v>
      </c>
      <c r="P422" s="433" t="s">
        <v>2234</v>
      </c>
      <c r="Q422" s="433" t="s">
        <v>4</v>
      </c>
      <c r="R422" s="433"/>
      <c r="S422" s="433" t="s">
        <v>6452</v>
      </c>
      <c r="T422" s="398"/>
      <c r="U422" s="398"/>
      <c r="V422" s="398"/>
      <c r="W422" s="398"/>
      <c r="X422" s="398"/>
      <c r="Y422" s="398"/>
    </row>
    <row r="423" spans="1:25" ht="22" hidden="1" customHeight="1">
      <c r="A423" s="433" t="s">
        <v>6219</v>
      </c>
      <c r="B423" s="433" t="s">
        <v>6198</v>
      </c>
      <c r="C423" s="433"/>
      <c r="D423" s="434" t="s">
        <v>7987</v>
      </c>
      <c r="E423" s="434" t="s">
        <v>6798</v>
      </c>
      <c r="F423" s="434" t="s">
        <v>6799</v>
      </c>
      <c r="G423" s="448">
        <v>3</v>
      </c>
      <c r="H423" s="434" t="s">
        <v>7843</v>
      </c>
      <c r="I423" s="448" t="s">
        <v>7300</v>
      </c>
      <c r="J423" s="447" t="s">
        <v>8274</v>
      </c>
      <c r="K423" s="447" t="s">
        <v>8299</v>
      </c>
      <c r="L423" s="451" t="s">
        <v>8320</v>
      </c>
      <c r="M423" s="424" t="s">
        <v>8620</v>
      </c>
      <c r="N423" s="440" t="s">
        <v>8670</v>
      </c>
      <c r="O423" s="440" t="s">
        <v>8677</v>
      </c>
      <c r="P423" s="433" t="s">
        <v>2234</v>
      </c>
      <c r="Q423" s="433" t="s">
        <v>4</v>
      </c>
      <c r="R423" s="433"/>
      <c r="S423" s="433" t="s">
        <v>6440</v>
      </c>
      <c r="T423" s="398"/>
      <c r="U423" s="398"/>
      <c r="V423" s="398"/>
      <c r="W423" s="398"/>
      <c r="X423" s="398"/>
      <c r="Y423" s="398"/>
    </row>
    <row r="424" spans="1:25" ht="22" customHeight="1">
      <c r="A424" s="433" t="s">
        <v>6220</v>
      </c>
      <c r="B424" s="433" t="s">
        <v>6198</v>
      </c>
      <c r="C424" s="433"/>
      <c r="D424" s="434" t="s">
        <v>7988</v>
      </c>
      <c r="E424" s="434" t="s">
        <v>6800</v>
      </c>
      <c r="F424" s="434" t="s">
        <v>6801</v>
      </c>
      <c r="G424" s="448">
        <v>2</v>
      </c>
      <c r="H424" s="434" t="s">
        <v>7816</v>
      </c>
      <c r="I424" s="448" t="s">
        <v>7297</v>
      </c>
      <c r="J424" s="447" t="s">
        <v>8276</v>
      </c>
      <c r="K424" s="447" t="s">
        <v>8291</v>
      </c>
      <c r="L424" s="451" t="s">
        <v>8317</v>
      </c>
      <c r="M424" s="424" t="s">
        <v>8620</v>
      </c>
      <c r="N424" s="440" t="s">
        <v>8669</v>
      </c>
      <c r="O424" s="440" t="s">
        <v>8675</v>
      </c>
      <c r="P424" s="433" t="s">
        <v>2234</v>
      </c>
      <c r="Q424" s="433" t="s">
        <v>4</v>
      </c>
      <c r="R424" s="433"/>
      <c r="S424" s="433" t="s">
        <v>6282</v>
      </c>
      <c r="T424" s="398"/>
      <c r="U424" s="398"/>
      <c r="V424" s="398"/>
      <c r="W424" s="398"/>
      <c r="X424" s="398"/>
      <c r="Y424" s="398"/>
    </row>
    <row r="425" spans="1:25" ht="22" customHeight="1">
      <c r="A425" s="433" t="s">
        <v>6221</v>
      </c>
      <c r="B425" s="433" t="s">
        <v>6198</v>
      </c>
      <c r="C425" s="433"/>
      <c r="D425" s="434" t="s">
        <v>7989</v>
      </c>
      <c r="E425" s="434" t="s">
        <v>6802</v>
      </c>
      <c r="F425" s="434" t="s">
        <v>6803</v>
      </c>
      <c r="G425" s="448">
        <v>2</v>
      </c>
      <c r="H425" s="434" t="s">
        <v>7816</v>
      </c>
      <c r="I425" s="448" t="s">
        <v>7297</v>
      </c>
      <c r="J425" s="447" t="s">
        <v>8276</v>
      </c>
      <c r="K425" s="447" t="s">
        <v>8291</v>
      </c>
      <c r="L425" s="451" t="s">
        <v>8317</v>
      </c>
      <c r="M425" s="424" t="s">
        <v>8620</v>
      </c>
      <c r="N425" s="440" t="s">
        <v>8669</v>
      </c>
      <c r="O425" s="440" t="s">
        <v>8675</v>
      </c>
      <c r="P425" s="433" t="s">
        <v>2234</v>
      </c>
      <c r="Q425" s="433" t="s">
        <v>4</v>
      </c>
      <c r="R425" s="433"/>
      <c r="S425" s="433" t="s">
        <v>6282</v>
      </c>
      <c r="T425" s="398"/>
      <c r="U425" s="398"/>
      <c r="V425" s="398"/>
      <c r="W425" s="398"/>
      <c r="X425" s="398"/>
      <c r="Y425" s="398"/>
    </row>
    <row r="426" spans="1:25" ht="22" customHeight="1">
      <c r="A426" s="433" t="s">
        <v>6222</v>
      </c>
      <c r="B426" s="433" t="s">
        <v>6198</v>
      </c>
      <c r="C426" s="433"/>
      <c r="D426" s="434" t="s">
        <v>7990</v>
      </c>
      <c r="E426" s="434" t="s">
        <v>6804</v>
      </c>
      <c r="F426" s="434" t="s">
        <v>6805</v>
      </c>
      <c r="G426" s="448">
        <v>3</v>
      </c>
      <c r="H426" s="434" t="s">
        <v>7816</v>
      </c>
      <c r="I426" s="448" t="s">
        <v>7297</v>
      </c>
      <c r="J426" s="447" t="s">
        <v>8276</v>
      </c>
      <c r="K426" s="447" t="s">
        <v>8291</v>
      </c>
      <c r="L426" s="451" t="s">
        <v>8317</v>
      </c>
      <c r="M426" s="424" t="s">
        <v>8620</v>
      </c>
      <c r="N426" s="440" t="s">
        <v>8669</v>
      </c>
      <c r="O426" s="440" t="s">
        <v>8675</v>
      </c>
      <c r="P426" s="433" t="s">
        <v>2234</v>
      </c>
      <c r="Q426" s="433" t="s">
        <v>4</v>
      </c>
      <c r="R426" s="433"/>
      <c r="S426" s="433" t="s">
        <v>6282</v>
      </c>
      <c r="T426" s="398"/>
      <c r="U426" s="398"/>
      <c r="V426" s="398"/>
      <c r="W426" s="398"/>
      <c r="X426" s="398"/>
      <c r="Y426" s="398"/>
    </row>
    <row r="427" spans="1:25" ht="22" customHeight="1">
      <c r="A427" s="433" t="s">
        <v>6223</v>
      </c>
      <c r="B427" s="433" t="s">
        <v>6198</v>
      </c>
      <c r="C427" s="433"/>
      <c r="D427" s="434" t="s">
        <v>7991</v>
      </c>
      <c r="E427" s="434" t="s">
        <v>6806</v>
      </c>
      <c r="F427" s="434" t="s">
        <v>6807</v>
      </c>
      <c r="G427" s="448">
        <v>2</v>
      </c>
      <c r="H427" s="434" t="s">
        <v>7816</v>
      </c>
      <c r="I427" s="448" t="s">
        <v>7297</v>
      </c>
      <c r="J427" s="447" t="s">
        <v>8276</v>
      </c>
      <c r="K427" s="447" t="s">
        <v>8291</v>
      </c>
      <c r="L427" s="451" t="s">
        <v>8317</v>
      </c>
      <c r="M427" s="424" t="s">
        <v>8620</v>
      </c>
      <c r="N427" s="440" t="s">
        <v>8669</v>
      </c>
      <c r="O427" s="440" t="s">
        <v>8675</v>
      </c>
      <c r="P427" s="433" t="s">
        <v>2234</v>
      </c>
      <c r="Q427" s="433" t="s">
        <v>4</v>
      </c>
      <c r="R427" s="433"/>
      <c r="S427" s="433" t="s">
        <v>6282</v>
      </c>
      <c r="T427" s="398"/>
      <c r="U427" s="398"/>
      <c r="V427" s="398"/>
      <c r="W427" s="398"/>
      <c r="X427" s="398"/>
      <c r="Y427" s="398"/>
    </row>
    <row r="428" spans="1:25" ht="22" hidden="1" customHeight="1">
      <c r="A428" s="433" t="s">
        <v>6224</v>
      </c>
      <c r="B428" s="433" t="s">
        <v>6198</v>
      </c>
      <c r="C428" s="433"/>
      <c r="D428" s="434" t="s">
        <v>7992</v>
      </c>
      <c r="E428" s="434" t="s">
        <v>6808</v>
      </c>
      <c r="F428" s="434" t="s">
        <v>6809</v>
      </c>
      <c r="G428" s="448">
        <v>2</v>
      </c>
      <c r="H428" s="434" t="s">
        <v>7817</v>
      </c>
      <c r="I428" s="448" t="s">
        <v>7301</v>
      </c>
      <c r="J428" s="447" t="s">
        <v>8276</v>
      </c>
      <c r="K428" s="447" t="s">
        <v>8292</v>
      </c>
      <c r="L428" s="451" t="s">
        <v>8321</v>
      </c>
      <c r="M428" s="424" t="s">
        <v>8620</v>
      </c>
      <c r="N428" s="440" t="s">
        <v>8669</v>
      </c>
      <c r="O428" s="440" t="s">
        <v>8677</v>
      </c>
      <c r="P428" s="433" t="s">
        <v>2234</v>
      </c>
      <c r="Q428" s="433" t="s">
        <v>4</v>
      </c>
      <c r="R428" s="433"/>
      <c r="S428" s="433" t="s">
        <v>6316</v>
      </c>
      <c r="T428" s="398"/>
      <c r="U428" s="398"/>
      <c r="V428" s="398"/>
      <c r="W428" s="398"/>
      <c r="X428" s="398"/>
      <c r="Y428" s="398"/>
    </row>
    <row r="429" spans="1:25" ht="22" hidden="1" customHeight="1">
      <c r="A429" s="433" t="s">
        <v>6225</v>
      </c>
      <c r="B429" s="433" t="s">
        <v>6198</v>
      </c>
      <c r="C429" s="433"/>
      <c r="D429" s="434" t="s">
        <v>7993</v>
      </c>
      <c r="E429" s="434" t="s">
        <v>6810</v>
      </c>
      <c r="F429" s="434" t="s">
        <v>6811</v>
      </c>
      <c r="G429" s="448">
        <v>2</v>
      </c>
      <c r="H429" s="434" t="s">
        <v>2740</v>
      </c>
      <c r="I429" s="448" t="s">
        <v>7289</v>
      </c>
      <c r="J429" s="447" t="s">
        <v>8276</v>
      </c>
      <c r="K429" s="447" t="s">
        <v>8291</v>
      </c>
      <c r="L429" s="451" t="s">
        <v>8316</v>
      </c>
      <c r="M429" s="424" t="s">
        <v>8620</v>
      </c>
      <c r="N429" s="440" t="s">
        <v>8670</v>
      </c>
      <c r="O429" s="440" t="s">
        <v>8676</v>
      </c>
      <c r="P429" s="433" t="s">
        <v>2234</v>
      </c>
      <c r="Q429" s="433" t="s">
        <v>4</v>
      </c>
      <c r="R429" s="433"/>
      <c r="S429" s="433" t="s">
        <v>2740</v>
      </c>
      <c r="T429" s="398"/>
      <c r="U429" s="398"/>
      <c r="V429" s="398"/>
      <c r="W429" s="398"/>
      <c r="X429" s="398"/>
      <c r="Y429" s="398"/>
    </row>
    <row r="430" spans="1:25" ht="22" hidden="1" customHeight="1">
      <c r="A430" s="433" t="s">
        <v>6226</v>
      </c>
      <c r="B430" s="433" t="s">
        <v>6198</v>
      </c>
      <c r="C430" s="433"/>
      <c r="D430" s="434" t="s">
        <v>7994</v>
      </c>
      <c r="E430" s="434" t="s">
        <v>6812</v>
      </c>
      <c r="F430" s="434" t="s">
        <v>6813</v>
      </c>
      <c r="G430" s="448">
        <v>2</v>
      </c>
      <c r="H430" s="434" t="s">
        <v>2740</v>
      </c>
      <c r="I430" s="448" t="s">
        <v>7289</v>
      </c>
      <c r="J430" s="447" t="s">
        <v>8276</v>
      </c>
      <c r="K430" s="447" t="s">
        <v>8291</v>
      </c>
      <c r="L430" s="451" t="s">
        <v>8316</v>
      </c>
      <c r="M430" s="424" t="s">
        <v>8620</v>
      </c>
      <c r="N430" s="440" t="s">
        <v>8670</v>
      </c>
      <c r="O430" s="440" t="s">
        <v>8676</v>
      </c>
      <c r="P430" s="433" t="s">
        <v>2234</v>
      </c>
      <c r="Q430" s="433" t="s">
        <v>4</v>
      </c>
      <c r="R430" s="433"/>
      <c r="S430" s="433" t="s">
        <v>2740</v>
      </c>
      <c r="T430" s="398"/>
      <c r="U430" s="398"/>
      <c r="V430" s="398"/>
      <c r="W430" s="398"/>
      <c r="X430" s="398"/>
      <c r="Y430" s="398"/>
    </row>
    <row r="431" spans="1:25" ht="22" hidden="1" customHeight="1">
      <c r="A431" s="433" t="s">
        <v>6227</v>
      </c>
      <c r="B431" s="433" t="s">
        <v>6198</v>
      </c>
      <c r="C431" s="433"/>
      <c r="D431" s="434" t="s">
        <v>7995</v>
      </c>
      <c r="E431" s="434" t="s">
        <v>6814</v>
      </c>
      <c r="F431" s="434" t="s">
        <v>6815</v>
      </c>
      <c r="G431" s="448">
        <v>3</v>
      </c>
      <c r="H431" s="434" t="s">
        <v>2740</v>
      </c>
      <c r="I431" s="448" t="s">
        <v>7289</v>
      </c>
      <c r="J431" s="447" t="s">
        <v>8276</v>
      </c>
      <c r="K431" s="447" t="s">
        <v>8291</v>
      </c>
      <c r="L431" s="451" t="s">
        <v>8316</v>
      </c>
      <c r="M431" s="424" t="s">
        <v>8620</v>
      </c>
      <c r="N431" s="440" t="s">
        <v>8670</v>
      </c>
      <c r="O431" s="440" t="s">
        <v>8676</v>
      </c>
      <c r="P431" s="433" t="s">
        <v>2234</v>
      </c>
      <c r="Q431" s="433" t="s">
        <v>4</v>
      </c>
      <c r="R431" s="433"/>
      <c r="S431" s="433" t="s">
        <v>2740</v>
      </c>
      <c r="T431" s="398"/>
      <c r="U431" s="398"/>
      <c r="V431" s="398"/>
      <c r="W431" s="398"/>
      <c r="X431" s="398"/>
      <c r="Y431" s="398"/>
    </row>
    <row r="432" spans="1:25" ht="22" hidden="1" customHeight="1">
      <c r="A432" s="433" t="s">
        <v>6228</v>
      </c>
      <c r="B432" s="433" t="s">
        <v>6198</v>
      </c>
      <c r="C432" s="433"/>
      <c r="D432" s="434" t="s">
        <v>7996</v>
      </c>
      <c r="E432" s="434" t="s">
        <v>6816</v>
      </c>
      <c r="F432" s="434" t="s">
        <v>6817</v>
      </c>
      <c r="G432" s="448">
        <v>1</v>
      </c>
      <c r="H432" s="434" t="s">
        <v>2740</v>
      </c>
      <c r="I432" s="448" t="s">
        <v>7289</v>
      </c>
      <c r="J432" s="447" t="s">
        <v>8276</v>
      </c>
      <c r="K432" s="447" t="s">
        <v>8291</v>
      </c>
      <c r="L432" s="451" t="s">
        <v>8316</v>
      </c>
      <c r="M432" s="424" t="s">
        <v>8620</v>
      </c>
      <c r="N432" s="440" t="s">
        <v>8670</v>
      </c>
      <c r="O432" s="440" t="s">
        <v>8676</v>
      </c>
      <c r="P432" s="433" t="s">
        <v>2234</v>
      </c>
      <c r="Q432" s="433" t="s">
        <v>4</v>
      </c>
      <c r="R432" s="433"/>
      <c r="S432" s="433" t="s">
        <v>2740</v>
      </c>
      <c r="T432" s="398"/>
      <c r="U432" s="398"/>
      <c r="V432" s="398"/>
      <c r="W432" s="398"/>
      <c r="X432" s="398"/>
      <c r="Y432" s="398"/>
    </row>
    <row r="433" spans="1:19" ht="22" hidden="1" customHeight="1">
      <c r="A433" s="433" t="s">
        <v>6229</v>
      </c>
      <c r="B433" s="433" t="s">
        <v>6198</v>
      </c>
      <c r="C433" s="433"/>
      <c r="D433" s="434" t="s">
        <v>7997</v>
      </c>
      <c r="E433" s="434" t="s">
        <v>6818</v>
      </c>
      <c r="F433" s="434" t="s">
        <v>6819</v>
      </c>
      <c r="G433" s="435">
        <v>3</v>
      </c>
      <c r="H433" s="434" t="s">
        <v>2740</v>
      </c>
      <c r="I433" s="434" t="s">
        <v>7289</v>
      </c>
      <c r="J433" s="439" t="s">
        <v>8276</v>
      </c>
      <c r="K433" s="439" t="s">
        <v>8291</v>
      </c>
      <c r="L433" s="450" t="s">
        <v>8316</v>
      </c>
      <c r="M433" s="424" t="s">
        <v>8620</v>
      </c>
      <c r="N433" s="440" t="s">
        <v>8670</v>
      </c>
      <c r="O433" s="440" t="s">
        <v>8676</v>
      </c>
      <c r="P433" s="433" t="s">
        <v>2234</v>
      </c>
      <c r="Q433" s="433" t="s">
        <v>4</v>
      </c>
      <c r="R433" s="433"/>
      <c r="S433" s="433" t="s">
        <v>2740</v>
      </c>
    </row>
    <row r="434" spans="1:19" ht="22" hidden="1" customHeight="1">
      <c r="A434" s="433" t="s">
        <v>6230</v>
      </c>
      <c r="B434" s="433" t="s">
        <v>6198</v>
      </c>
      <c r="C434" s="433"/>
      <c r="D434" s="434" t="s">
        <v>7998</v>
      </c>
      <c r="E434" s="434" t="s">
        <v>6820</v>
      </c>
      <c r="F434" s="434" t="s">
        <v>6821</v>
      </c>
      <c r="G434" s="435">
        <v>1</v>
      </c>
      <c r="H434" s="434" t="s">
        <v>2740</v>
      </c>
      <c r="I434" s="434" t="s">
        <v>7289</v>
      </c>
      <c r="J434" s="439" t="s">
        <v>8276</v>
      </c>
      <c r="K434" s="439" t="s">
        <v>8291</v>
      </c>
      <c r="L434" s="450" t="s">
        <v>8316</v>
      </c>
      <c r="M434" s="424" t="s">
        <v>8620</v>
      </c>
      <c r="N434" s="440" t="s">
        <v>8670</v>
      </c>
      <c r="O434" s="440" t="s">
        <v>8676</v>
      </c>
      <c r="P434" s="433" t="s">
        <v>2234</v>
      </c>
      <c r="Q434" s="433" t="s">
        <v>4</v>
      </c>
      <c r="R434" s="433"/>
      <c r="S434" s="433" t="s">
        <v>2740</v>
      </c>
    </row>
    <row r="435" spans="1:19" ht="22" hidden="1" customHeight="1">
      <c r="A435" s="433" t="s">
        <v>6231</v>
      </c>
      <c r="B435" s="433" t="s">
        <v>6198</v>
      </c>
      <c r="C435" s="433"/>
      <c r="D435" s="434" t="s">
        <v>7999</v>
      </c>
      <c r="E435" s="434" t="s">
        <v>6822</v>
      </c>
      <c r="F435" s="434" t="s">
        <v>6823</v>
      </c>
      <c r="G435" s="435">
        <v>1</v>
      </c>
      <c r="H435" s="434" t="s">
        <v>2740</v>
      </c>
      <c r="I435" s="434" t="s">
        <v>7289</v>
      </c>
      <c r="J435" s="439" t="s">
        <v>8276</v>
      </c>
      <c r="K435" s="439" t="s">
        <v>8291</v>
      </c>
      <c r="L435" s="450" t="s">
        <v>8316</v>
      </c>
      <c r="M435" s="424" t="s">
        <v>8620</v>
      </c>
      <c r="N435" s="440" t="s">
        <v>8670</v>
      </c>
      <c r="O435" s="440" t="s">
        <v>8676</v>
      </c>
      <c r="P435" s="433" t="s">
        <v>2234</v>
      </c>
      <c r="Q435" s="433" t="s">
        <v>4</v>
      </c>
      <c r="R435" s="433"/>
      <c r="S435" s="433" t="s">
        <v>2740</v>
      </c>
    </row>
    <row r="436" spans="1:19" ht="22" hidden="1" customHeight="1">
      <c r="A436" s="433" t="s">
        <v>6232</v>
      </c>
      <c r="B436" s="433" t="s">
        <v>6198</v>
      </c>
      <c r="C436" s="433"/>
      <c r="D436" s="434" t="s">
        <v>8000</v>
      </c>
      <c r="E436" s="434" t="s">
        <v>6824</v>
      </c>
      <c r="F436" s="434" t="s">
        <v>6825</v>
      </c>
      <c r="G436" s="435">
        <v>1</v>
      </c>
      <c r="H436" s="434" t="s">
        <v>2740</v>
      </c>
      <c r="I436" s="434" t="s">
        <v>7289</v>
      </c>
      <c r="J436" s="439" t="s">
        <v>8276</v>
      </c>
      <c r="K436" s="439" t="s">
        <v>8291</v>
      </c>
      <c r="L436" s="450" t="s">
        <v>8316</v>
      </c>
      <c r="M436" s="424" t="s">
        <v>8620</v>
      </c>
      <c r="N436" s="440" t="s">
        <v>8670</v>
      </c>
      <c r="O436" s="440" t="s">
        <v>8676</v>
      </c>
      <c r="P436" s="433" t="s">
        <v>2234</v>
      </c>
      <c r="Q436" s="433" t="s">
        <v>4</v>
      </c>
      <c r="R436" s="433"/>
      <c r="S436" s="433" t="s">
        <v>2740</v>
      </c>
    </row>
    <row r="437" spans="1:19" ht="22" hidden="1" customHeight="1">
      <c r="A437" s="433" t="s">
        <v>6233</v>
      </c>
      <c r="B437" s="433" t="s">
        <v>6198</v>
      </c>
      <c r="C437" s="433"/>
      <c r="D437" s="434" t="s">
        <v>8001</v>
      </c>
      <c r="E437" s="434" t="s">
        <v>6826</v>
      </c>
      <c r="F437" s="434" t="s">
        <v>6827</v>
      </c>
      <c r="G437" s="435">
        <v>2</v>
      </c>
      <c r="H437" s="434" t="s">
        <v>7846</v>
      </c>
      <c r="I437" s="434" t="s">
        <v>7849</v>
      </c>
      <c r="J437" s="439" t="s">
        <v>8276</v>
      </c>
      <c r="K437" s="439" t="s">
        <v>8294</v>
      </c>
      <c r="L437" s="450" t="s">
        <v>8322</v>
      </c>
      <c r="M437" s="424" t="s">
        <v>8620</v>
      </c>
      <c r="N437" s="440" t="s">
        <v>8670</v>
      </c>
      <c r="O437" s="440" t="s">
        <v>8677</v>
      </c>
      <c r="P437" s="433" t="s">
        <v>2234</v>
      </c>
      <c r="Q437" s="433" t="s">
        <v>4</v>
      </c>
      <c r="R437" s="433"/>
      <c r="S437" s="433" t="s">
        <v>6461</v>
      </c>
    </row>
    <row r="438" spans="1:19" ht="22" hidden="1" customHeight="1">
      <c r="A438" s="433" t="s">
        <v>6234</v>
      </c>
      <c r="B438" s="433" t="s">
        <v>6198</v>
      </c>
      <c r="C438" s="433"/>
      <c r="D438" s="434" t="s">
        <v>8002</v>
      </c>
      <c r="E438" s="434" t="s">
        <v>6828</v>
      </c>
      <c r="F438" s="434" t="s">
        <v>6829</v>
      </c>
      <c r="G438" s="435">
        <v>2</v>
      </c>
      <c r="H438" s="434" t="s">
        <v>7853</v>
      </c>
      <c r="I438" s="434" t="s">
        <v>7302</v>
      </c>
      <c r="J438" s="439" t="s">
        <v>8274</v>
      </c>
      <c r="K438" s="439" t="s">
        <v>8292</v>
      </c>
      <c r="L438" s="450" t="s">
        <v>8323</v>
      </c>
      <c r="M438" s="424" t="s">
        <v>8620</v>
      </c>
      <c r="N438" s="440" t="s">
        <v>8670</v>
      </c>
      <c r="O438" s="440" t="s">
        <v>8677</v>
      </c>
      <c r="P438" s="433" t="s">
        <v>2234</v>
      </c>
      <c r="Q438" s="433" t="s">
        <v>4</v>
      </c>
      <c r="R438" s="433"/>
      <c r="S438" s="433" t="s">
        <v>6475</v>
      </c>
    </row>
    <row r="439" spans="1:19" ht="22" hidden="1" customHeight="1">
      <c r="A439" s="433" t="s">
        <v>6235</v>
      </c>
      <c r="B439" s="433" t="s">
        <v>6198</v>
      </c>
      <c r="C439" s="433"/>
      <c r="D439" s="434" t="s">
        <v>8003</v>
      </c>
      <c r="E439" s="434" t="s">
        <v>6830</v>
      </c>
      <c r="F439" s="434" t="s">
        <v>6831</v>
      </c>
      <c r="G439" s="435">
        <v>1</v>
      </c>
      <c r="H439" s="434" t="s">
        <v>7853</v>
      </c>
      <c r="I439" s="434" t="s">
        <v>7303</v>
      </c>
      <c r="J439" s="439" t="s">
        <v>8276</v>
      </c>
      <c r="K439" s="439" t="s">
        <v>8294</v>
      </c>
      <c r="L439" s="450" t="s">
        <v>8324</v>
      </c>
      <c r="M439" s="424" t="s">
        <v>8620</v>
      </c>
      <c r="N439" s="440" t="s">
        <v>8670</v>
      </c>
      <c r="O439" s="440" t="s">
        <v>8677</v>
      </c>
      <c r="P439" s="433" t="s">
        <v>2234</v>
      </c>
      <c r="Q439" s="433" t="s">
        <v>4</v>
      </c>
      <c r="R439" s="433"/>
      <c r="S439" s="433" t="s">
        <v>6496</v>
      </c>
    </row>
    <row r="440" spans="1:19" ht="22" hidden="1" customHeight="1">
      <c r="A440" s="433" t="s">
        <v>6236</v>
      </c>
      <c r="B440" s="433" t="s">
        <v>6198</v>
      </c>
      <c r="C440" s="433"/>
      <c r="D440" s="434" t="s">
        <v>8004</v>
      </c>
      <c r="E440" s="434" t="s">
        <v>6832</v>
      </c>
      <c r="F440" s="434" t="s">
        <v>6833</v>
      </c>
      <c r="G440" s="435">
        <v>2</v>
      </c>
      <c r="H440" s="434" t="s">
        <v>2740</v>
      </c>
      <c r="I440" s="434" t="s">
        <v>7289</v>
      </c>
      <c r="J440" s="439" t="s">
        <v>8276</v>
      </c>
      <c r="K440" s="439" t="s">
        <v>8291</v>
      </c>
      <c r="L440" s="450" t="s">
        <v>8316</v>
      </c>
      <c r="M440" s="424" t="s">
        <v>8620</v>
      </c>
      <c r="N440" s="440" t="s">
        <v>8670</v>
      </c>
      <c r="O440" s="440" t="s">
        <v>8676</v>
      </c>
      <c r="P440" s="433" t="s">
        <v>2234</v>
      </c>
      <c r="Q440" s="433" t="s">
        <v>4</v>
      </c>
      <c r="R440" s="433"/>
      <c r="S440" s="433" t="s">
        <v>2740</v>
      </c>
    </row>
    <row r="441" spans="1:19" ht="22" hidden="1" customHeight="1">
      <c r="A441" s="433" t="s">
        <v>6237</v>
      </c>
      <c r="B441" s="433" t="s">
        <v>6198</v>
      </c>
      <c r="C441" s="433"/>
      <c r="D441" s="434" t="s">
        <v>8005</v>
      </c>
      <c r="E441" s="434" t="s">
        <v>6834</v>
      </c>
      <c r="F441" s="434" t="s">
        <v>6835</v>
      </c>
      <c r="G441" s="435">
        <v>2</v>
      </c>
      <c r="H441" s="434" t="s">
        <v>2740</v>
      </c>
      <c r="I441" s="434" t="s">
        <v>7289</v>
      </c>
      <c r="J441" s="439" t="s">
        <v>8276</v>
      </c>
      <c r="K441" s="439" t="s">
        <v>8291</v>
      </c>
      <c r="L441" s="450" t="s">
        <v>8316</v>
      </c>
      <c r="M441" s="424" t="s">
        <v>8620</v>
      </c>
      <c r="N441" s="440" t="s">
        <v>8670</v>
      </c>
      <c r="O441" s="440" t="s">
        <v>8676</v>
      </c>
      <c r="P441" s="433" t="s">
        <v>2234</v>
      </c>
      <c r="Q441" s="433" t="s">
        <v>4</v>
      </c>
      <c r="R441" s="433"/>
      <c r="S441" s="433" t="s">
        <v>2740</v>
      </c>
    </row>
    <row r="442" spans="1:19" ht="22" hidden="1" customHeight="1">
      <c r="A442" s="433" t="s">
        <v>6238</v>
      </c>
      <c r="B442" s="433" t="s">
        <v>6198</v>
      </c>
      <c r="C442" s="433"/>
      <c r="D442" s="434" t="s">
        <v>8006</v>
      </c>
      <c r="E442" s="434" t="s">
        <v>6836</v>
      </c>
      <c r="F442" s="434" t="s">
        <v>6837</v>
      </c>
      <c r="G442" s="435">
        <v>2</v>
      </c>
      <c r="H442" s="434" t="s">
        <v>2740</v>
      </c>
      <c r="I442" s="434" t="s">
        <v>7289</v>
      </c>
      <c r="J442" s="439" t="s">
        <v>8276</v>
      </c>
      <c r="K442" s="439" t="s">
        <v>8291</v>
      </c>
      <c r="L442" s="450" t="s">
        <v>8316</v>
      </c>
      <c r="M442" s="424" t="s">
        <v>8620</v>
      </c>
      <c r="N442" s="440" t="s">
        <v>8670</v>
      </c>
      <c r="O442" s="440" t="s">
        <v>8676</v>
      </c>
      <c r="P442" s="433" t="s">
        <v>2234</v>
      </c>
      <c r="Q442" s="433" t="s">
        <v>4</v>
      </c>
      <c r="R442" s="433"/>
      <c r="S442" s="433" t="s">
        <v>2740</v>
      </c>
    </row>
    <row r="443" spans="1:19" ht="22" hidden="1" customHeight="1">
      <c r="A443" s="433" t="s">
        <v>6239</v>
      </c>
      <c r="B443" s="433" t="s">
        <v>6198</v>
      </c>
      <c r="C443" s="433"/>
      <c r="D443" s="434" t="s">
        <v>8007</v>
      </c>
      <c r="E443" s="434" t="s">
        <v>6838</v>
      </c>
      <c r="F443" s="434" t="s">
        <v>6839</v>
      </c>
      <c r="G443" s="435">
        <v>2</v>
      </c>
      <c r="H443" s="434" t="s">
        <v>2740</v>
      </c>
      <c r="I443" s="434" t="s">
        <v>7289</v>
      </c>
      <c r="J443" s="439" t="s">
        <v>8276</v>
      </c>
      <c r="K443" s="439" t="s">
        <v>8291</v>
      </c>
      <c r="L443" s="450" t="s">
        <v>8316</v>
      </c>
      <c r="M443" s="424" t="s">
        <v>8620</v>
      </c>
      <c r="N443" s="440" t="s">
        <v>8670</v>
      </c>
      <c r="O443" s="440" t="s">
        <v>8676</v>
      </c>
      <c r="P443" s="433" t="s">
        <v>2234</v>
      </c>
      <c r="Q443" s="433" t="s">
        <v>4</v>
      </c>
      <c r="R443" s="433"/>
      <c r="S443" s="433" t="s">
        <v>2740</v>
      </c>
    </row>
    <row r="444" spans="1:19" ht="22" hidden="1" customHeight="1">
      <c r="A444" s="433" t="s">
        <v>6240</v>
      </c>
      <c r="B444" s="433" t="s">
        <v>6198</v>
      </c>
      <c r="C444" s="433"/>
      <c r="D444" s="434" t="s">
        <v>8008</v>
      </c>
      <c r="E444" s="434" t="s">
        <v>6840</v>
      </c>
      <c r="F444" s="434" t="s">
        <v>6841</v>
      </c>
      <c r="G444" s="435">
        <v>1</v>
      </c>
      <c r="H444" s="434" t="s">
        <v>2740</v>
      </c>
      <c r="I444" s="434" t="s">
        <v>7289</v>
      </c>
      <c r="J444" s="439" t="s">
        <v>8276</v>
      </c>
      <c r="K444" s="439" t="s">
        <v>8291</v>
      </c>
      <c r="L444" s="450" t="s">
        <v>8316</v>
      </c>
      <c r="M444" s="424" t="s">
        <v>8620</v>
      </c>
      <c r="N444" s="440" t="s">
        <v>8670</v>
      </c>
      <c r="O444" s="440" t="s">
        <v>8676</v>
      </c>
      <c r="P444" s="433" t="s">
        <v>2234</v>
      </c>
      <c r="Q444" s="433" t="s">
        <v>4</v>
      </c>
      <c r="R444" s="433"/>
      <c r="S444" s="433" t="s">
        <v>2740</v>
      </c>
    </row>
    <row r="445" spans="1:19" ht="22" hidden="1" customHeight="1">
      <c r="A445" s="433" t="s">
        <v>6241</v>
      </c>
      <c r="B445" s="433" t="s">
        <v>6198</v>
      </c>
      <c r="C445" s="433"/>
      <c r="D445" s="434" t="s">
        <v>8009</v>
      </c>
      <c r="E445" s="434" t="s">
        <v>6842</v>
      </c>
      <c r="F445" s="434" t="s">
        <v>6843</v>
      </c>
      <c r="G445" s="435">
        <v>2</v>
      </c>
      <c r="H445" s="434" t="s">
        <v>2740</v>
      </c>
      <c r="I445" s="434" t="s">
        <v>7289</v>
      </c>
      <c r="J445" s="439" t="s">
        <v>8276</v>
      </c>
      <c r="K445" s="439" t="s">
        <v>8291</v>
      </c>
      <c r="L445" s="450" t="s">
        <v>8316</v>
      </c>
      <c r="M445" s="424" t="s">
        <v>8620</v>
      </c>
      <c r="N445" s="440" t="s">
        <v>8670</v>
      </c>
      <c r="O445" s="440" t="s">
        <v>8676</v>
      </c>
      <c r="P445" s="433" t="s">
        <v>2234</v>
      </c>
      <c r="Q445" s="433" t="s">
        <v>4</v>
      </c>
      <c r="R445" s="433"/>
      <c r="S445" s="433" t="s">
        <v>2740</v>
      </c>
    </row>
    <row r="446" spans="1:19" ht="22" hidden="1" customHeight="1">
      <c r="A446" s="433" t="s">
        <v>6242</v>
      </c>
      <c r="B446" s="433" t="s">
        <v>6198</v>
      </c>
      <c r="C446" s="433"/>
      <c r="D446" s="434" t="s">
        <v>8010</v>
      </c>
      <c r="E446" s="434" t="s">
        <v>6844</v>
      </c>
      <c r="F446" s="434" t="s">
        <v>6845</v>
      </c>
      <c r="G446" s="435">
        <v>3</v>
      </c>
      <c r="H446" s="434" t="s">
        <v>2740</v>
      </c>
      <c r="I446" s="434" t="s">
        <v>7289</v>
      </c>
      <c r="J446" s="439" t="s">
        <v>8276</v>
      </c>
      <c r="K446" s="439" t="s">
        <v>8291</v>
      </c>
      <c r="L446" s="450" t="s">
        <v>8316</v>
      </c>
      <c r="M446" s="424" t="s">
        <v>8620</v>
      </c>
      <c r="N446" s="440" t="s">
        <v>8670</v>
      </c>
      <c r="O446" s="440" t="s">
        <v>8676</v>
      </c>
      <c r="P446" s="433" t="s">
        <v>2234</v>
      </c>
      <c r="Q446" s="433" t="s">
        <v>4</v>
      </c>
      <c r="R446" s="433"/>
      <c r="S446" s="433" t="s">
        <v>2740</v>
      </c>
    </row>
    <row r="447" spans="1:19" ht="22" hidden="1" customHeight="1">
      <c r="A447" s="433" t="s">
        <v>6243</v>
      </c>
      <c r="B447" s="433" t="s">
        <v>6198</v>
      </c>
      <c r="C447" s="433"/>
      <c r="D447" s="434" t="s">
        <v>8011</v>
      </c>
      <c r="E447" s="434" t="s">
        <v>6846</v>
      </c>
      <c r="F447" s="434" t="s">
        <v>6847</v>
      </c>
      <c r="G447" s="435">
        <v>1</v>
      </c>
      <c r="H447" s="434" t="s">
        <v>2740</v>
      </c>
      <c r="I447" s="434" t="s">
        <v>7289</v>
      </c>
      <c r="J447" s="439" t="s">
        <v>8276</v>
      </c>
      <c r="K447" s="439" t="s">
        <v>8291</v>
      </c>
      <c r="L447" s="450" t="s">
        <v>8316</v>
      </c>
      <c r="M447" s="424" t="s">
        <v>8620</v>
      </c>
      <c r="N447" s="440" t="s">
        <v>8670</v>
      </c>
      <c r="O447" s="440" t="s">
        <v>8676</v>
      </c>
      <c r="P447" s="433" t="s">
        <v>2234</v>
      </c>
      <c r="Q447" s="433" t="s">
        <v>4</v>
      </c>
      <c r="R447" s="433"/>
      <c r="S447" s="433" t="s">
        <v>2740</v>
      </c>
    </row>
    <row r="448" spans="1:19" ht="22" hidden="1" customHeight="1">
      <c r="A448" s="433" t="s">
        <v>6244</v>
      </c>
      <c r="B448" s="433" t="s">
        <v>6198</v>
      </c>
      <c r="C448" s="433"/>
      <c r="D448" s="434" t="s">
        <v>8012</v>
      </c>
      <c r="E448" s="434" t="s">
        <v>6848</v>
      </c>
      <c r="F448" s="434" t="s">
        <v>6849</v>
      </c>
      <c r="G448" s="435">
        <v>1</v>
      </c>
      <c r="H448" s="434" t="s">
        <v>2740</v>
      </c>
      <c r="I448" s="434" t="s">
        <v>7289</v>
      </c>
      <c r="J448" s="439" t="s">
        <v>8276</v>
      </c>
      <c r="K448" s="439" t="s">
        <v>8291</v>
      </c>
      <c r="L448" s="450" t="s">
        <v>8316</v>
      </c>
      <c r="M448" s="424" t="s">
        <v>8620</v>
      </c>
      <c r="N448" s="440" t="s">
        <v>8670</v>
      </c>
      <c r="O448" s="440" t="s">
        <v>8676</v>
      </c>
      <c r="P448" s="433" t="s">
        <v>2234</v>
      </c>
      <c r="Q448" s="433" t="s">
        <v>4</v>
      </c>
      <c r="R448" s="433"/>
      <c r="S448" s="433" t="s">
        <v>2740</v>
      </c>
    </row>
    <row r="449" spans="1:19" ht="22" hidden="1" customHeight="1">
      <c r="A449" s="433" t="s">
        <v>6245</v>
      </c>
      <c r="B449" s="433" t="s">
        <v>6198</v>
      </c>
      <c r="C449" s="433"/>
      <c r="D449" s="434" t="s">
        <v>8013</v>
      </c>
      <c r="E449" s="434" t="s">
        <v>6850</v>
      </c>
      <c r="F449" s="434" t="s">
        <v>6851</v>
      </c>
      <c r="G449" s="435">
        <v>1</v>
      </c>
      <c r="H449" s="434" t="s">
        <v>2740</v>
      </c>
      <c r="I449" s="434" t="s">
        <v>7289</v>
      </c>
      <c r="J449" s="439" t="s">
        <v>8276</v>
      </c>
      <c r="K449" s="439" t="s">
        <v>8291</v>
      </c>
      <c r="L449" s="450" t="s">
        <v>8316</v>
      </c>
      <c r="M449" s="424" t="s">
        <v>8620</v>
      </c>
      <c r="N449" s="440" t="s">
        <v>8670</v>
      </c>
      <c r="O449" s="440" t="s">
        <v>8676</v>
      </c>
      <c r="P449" s="433" t="s">
        <v>2234</v>
      </c>
      <c r="Q449" s="433" t="s">
        <v>4</v>
      </c>
      <c r="R449" s="433"/>
      <c r="S449" s="433" t="s">
        <v>2740</v>
      </c>
    </row>
    <row r="450" spans="1:19" ht="22" hidden="1" customHeight="1">
      <c r="A450" s="433" t="s">
        <v>6246</v>
      </c>
      <c r="B450" s="433" t="s">
        <v>6198</v>
      </c>
      <c r="C450" s="433"/>
      <c r="D450" s="434" t="s">
        <v>8014</v>
      </c>
      <c r="E450" s="434" t="s">
        <v>6852</v>
      </c>
      <c r="F450" s="434" t="s">
        <v>6853</v>
      </c>
      <c r="G450" s="435">
        <v>2</v>
      </c>
      <c r="H450" s="434" t="s">
        <v>2740</v>
      </c>
      <c r="I450" s="434" t="s">
        <v>7289</v>
      </c>
      <c r="J450" s="439" t="s">
        <v>8276</v>
      </c>
      <c r="K450" s="439" t="s">
        <v>8291</v>
      </c>
      <c r="L450" s="450" t="s">
        <v>8316</v>
      </c>
      <c r="M450" s="424" t="s">
        <v>8620</v>
      </c>
      <c r="N450" s="440" t="s">
        <v>8670</v>
      </c>
      <c r="O450" s="440" t="s">
        <v>8676</v>
      </c>
      <c r="P450" s="433" t="s">
        <v>2234</v>
      </c>
      <c r="Q450" s="433" t="s">
        <v>4</v>
      </c>
      <c r="R450" s="433"/>
      <c r="S450" s="433" t="s">
        <v>2740</v>
      </c>
    </row>
    <row r="451" spans="1:19" ht="22" hidden="1" customHeight="1">
      <c r="A451" s="433" t="s">
        <v>6247</v>
      </c>
      <c r="B451" s="433" t="s">
        <v>6198</v>
      </c>
      <c r="C451" s="433"/>
      <c r="D451" s="434" t="s">
        <v>8015</v>
      </c>
      <c r="E451" s="434" t="s">
        <v>6854</v>
      </c>
      <c r="F451" s="434" t="s">
        <v>6855</v>
      </c>
      <c r="G451" s="435">
        <v>1</v>
      </c>
      <c r="H451" s="434" t="s">
        <v>2740</v>
      </c>
      <c r="I451" s="434" t="s">
        <v>7289</v>
      </c>
      <c r="J451" s="439" t="s">
        <v>8276</v>
      </c>
      <c r="K451" s="439" t="s">
        <v>8291</v>
      </c>
      <c r="L451" s="450" t="s">
        <v>8316</v>
      </c>
      <c r="M451" s="424" t="s">
        <v>8620</v>
      </c>
      <c r="N451" s="440" t="s">
        <v>8670</v>
      </c>
      <c r="O451" s="440" t="s">
        <v>8676</v>
      </c>
      <c r="P451" s="433" t="s">
        <v>2234</v>
      </c>
      <c r="Q451" s="433" t="s">
        <v>4</v>
      </c>
      <c r="R451" s="433"/>
      <c r="S451" s="433" t="s">
        <v>2740</v>
      </c>
    </row>
    <row r="452" spans="1:19" ht="22" hidden="1" customHeight="1">
      <c r="A452" s="433" t="s">
        <v>6248</v>
      </c>
      <c r="B452" s="433" t="s">
        <v>6198</v>
      </c>
      <c r="C452" s="433"/>
      <c r="D452" s="434" t="s">
        <v>8016</v>
      </c>
      <c r="E452" s="434" t="s">
        <v>6856</v>
      </c>
      <c r="F452" s="434" t="s">
        <v>6857</v>
      </c>
      <c r="G452" s="435">
        <v>1</v>
      </c>
      <c r="H452" s="434" t="s">
        <v>2740</v>
      </c>
      <c r="I452" s="434" t="s">
        <v>7289</v>
      </c>
      <c r="J452" s="439" t="s">
        <v>8276</v>
      </c>
      <c r="K452" s="439" t="s">
        <v>8291</v>
      </c>
      <c r="L452" s="450" t="s">
        <v>8316</v>
      </c>
      <c r="M452" s="424" t="s">
        <v>8620</v>
      </c>
      <c r="N452" s="440" t="s">
        <v>8670</v>
      </c>
      <c r="O452" s="440" t="s">
        <v>8676</v>
      </c>
      <c r="P452" s="433" t="s">
        <v>2234</v>
      </c>
      <c r="Q452" s="433" t="s">
        <v>4</v>
      </c>
      <c r="R452" s="433"/>
      <c r="S452" s="433" t="s">
        <v>2740</v>
      </c>
    </row>
    <row r="453" spans="1:19" ht="22" hidden="1" customHeight="1">
      <c r="A453" s="433" t="s">
        <v>6249</v>
      </c>
      <c r="B453" s="433" t="s">
        <v>6198</v>
      </c>
      <c r="C453" s="433"/>
      <c r="D453" s="434" t="s">
        <v>8017</v>
      </c>
      <c r="E453" s="434" t="s">
        <v>6858</v>
      </c>
      <c r="F453" s="434" t="s">
        <v>6859</v>
      </c>
      <c r="G453" s="435">
        <v>1</v>
      </c>
      <c r="H453" s="434" t="s">
        <v>2740</v>
      </c>
      <c r="I453" s="434" t="s">
        <v>7289</v>
      </c>
      <c r="J453" s="439" t="s">
        <v>8276</v>
      </c>
      <c r="K453" s="439" t="s">
        <v>8291</v>
      </c>
      <c r="L453" s="450" t="s">
        <v>8316</v>
      </c>
      <c r="M453" s="424" t="s">
        <v>8620</v>
      </c>
      <c r="N453" s="440" t="s">
        <v>8670</v>
      </c>
      <c r="O453" s="440" t="s">
        <v>8676</v>
      </c>
      <c r="P453" s="433" t="s">
        <v>2234</v>
      </c>
      <c r="Q453" s="433" t="s">
        <v>4</v>
      </c>
      <c r="R453" s="433"/>
      <c r="S453" s="433" t="s">
        <v>2740</v>
      </c>
    </row>
    <row r="454" spans="1:19" ht="22" hidden="1" customHeight="1">
      <c r="A454" s="433" t="s">
        <v>6250</v>
      </c>
      <c r="B454" s="433" t="s">
        <v>6198</v>
      </c>
      <c r="C454" s="433"/>
      <c r="D454" s="434" t="s">
        <v>6251</v>
      </c>
      <c r="E454" s="434" t="s">
        <v>6860</v>
      </c>
      <c r="F454" s="434" t="s">
        <v>6861</v>
      </c>
      <c r="G454" s="435">
        <v>3</v>
      </c>
      <c r="H454" s="434" t="s">
        <v>2740</v>
      </c>
      <c r="I454" s="434" t="s">
        <v>7289</v>
      </c>
      <c r="J454" s="439" t="s">
        <v>8276</v>
      </c>
      <c r="K454" s="439" t="s">
        <v>8291</v>
      </c>
      <c r="L454" s="450" t="s">
        <v>8316</v>
      </c>
      <c r="M454" s="424" t="s">
        <v>8620</v>
      </c>
      <c r="N454" s="440" t="s">
        <v>8670</v>
      </c>
      <c r="O454" s="440" t="s">
        <v>8676</v>
      </c>
      <c r="P454" s="433" t="s">
        <v>2234</v>
      </c>
      <c r="Q454" s="433" t="s">
        <v>4</v>
      </c>
      <c r="R454" s="433"/>
      <c r="S454" s="433" t="s">
        <v>2740</v>
      </c>
    </row>
    <row r="455" spans="1:19" ht="22" hidden="1" customHeight="1">
      <c r="A455" s="433" t="s">
        <v>6252</v>
      </c>
      <c r="B455" s="433" t="s">
        <v>6198</v>
      </c>
      <c r="C455" s="433"/>
      <c r="D455" s="434" t="s">
        <v>6253</v>
      </c>
      <c r="E455" s="434" t="s">
        <v>6862</v>
      </c>
      <c r="F455" s="434" t="s">
        <v>6863</v>
      </c>
      <c r="G455" s="435">
        <v>3</v>
      </c>
      <c r="H455" s="434" t="s">
        <v>2740</v>
      </c>
      <c r="I455" s="434" t="s">
        <v>7289</v>
      </c>
      <c r="J455" s="439" t="s">
        <v>8276</v>
      </c>
      <c r="K455" s="439" t="s">
        <v>8291</v>
      </c>
      <c r="L455" s="434" t="s">
        <v>8316</v>
      </c>
      <c r="M455" s="434" t="s">
        <v>8620</v>
      </c>
      <c r="N455" s="440" t="s">
        <v>8670</v>
      </c>
      <c r="O455" s="440" t="s">
        <v>8676</v>
      </c>
      <c r="P455" s="433" t="s">
        <v>2234</v>
      </c>
      <c r="Q455" s="433" t="s">
        <v>4</v>
      </c>
      <c r="R455" s="433"/>
      <c r="S455" s="433" t="s">
        <v>2740</v>
      </c>
    </row>
    <row r="456" spans="1:19" ht="22" hidden="1" customHeight="1">
      <c r="A456" s="433" t="s">
        <v>6254</v>
      </c>
      <c r="B456" s="433" t="s">
        <v>6198</v>
      </c>
      <c r="C456" s="433"/>
      <c r="D456" s="434" t="s">
        <v>6255</v>
      </c>
      <c r="E456" s="434" t="s">
        <v>6864</v>
      </c>
      <c r="F456" s="434" t="s">
        <v>6865</v>
      </c>
      <c r="G456" s="435">
        <v>3</v>
      </c>
      <c r="H456" s="434" t="s">
        <v>2740</v>
      </c>
      <c r="I456" s="434" t="s">
        <v>7289</v>
      </c>
      <c r="J456" s="439" t="s">
        <v>8276</v>
      </c>
      <c r="K456" s="439" t="s">
        <v>8291</v>
      </c>
      <c r="L456" s="434" t="s">
        <v>8316</v>
      </c>
      <c r="M456" s="434" t="s">
        <v>8620</v>
      </c>
      <c r="N456" s="440" t="s">
        <v>8670</v>
      </c>
      <c r="O456" s="440" t="s">
        <v>8676</v>
      </c>
      <c r="P456" s="433" t="s">
        <v>2234</v>
      </c>
      <c r="Q456" s="433" t="s">
        <v>4</v>
      </c>
      <c r="R456" s="433"/>
      <c r="S456" s="433" t="s">
        <v>2740</v>
      </c>
    </row>
  </sheetData>
  <autoFilter ref="A6:S456" xr:uid="{66250CDA-FE4E-E74B-968F-00BE7CB94CEE}">
    <filterColumn colId="14">
      <filters>
        <filter val="基盤チーム（器・運用）"/>
      </filters>
    </filterColumn>
  </autoFilter>
  <phoneticPr fontId="3"/>
  <conditionalFormatting sqref="A7:S456">
    <cfRule type="expression" dxfId="13" priority="1">
      <formula>ISNUMBER(SEARCH("（不採用）",$M7))</formula>
    </cfRule>
  </conditionalFormatting>
  <conditionalFormatting sqref="M7:M456">
    <cfRule type="expression" dxfId="12" priority="2">
      <formula>ISNUMBER(SEARCH("（不採用）",$M7))</formula>
    </cfRule>
  </conditionalFormatting>
  <conditionalFormatting sqref="M7:M456">
    <cfRule type="expression" dxfId="11" priority="3">
      <formula>ISNUMBER(SEARCH("（採用）",$M7))</formula>
    </cfRule>
  </conditionalFormatting>
  <conditionalFormatting sqref="M7:M456">
    <cfRule type="expression" dxfId="10" priority="4">
      <formula>ISNUMBER(SEARCH("（未判断）",$M7))</formula>
    </cfRule>
  </conditionalFormatting>
  <conditionalFormatting sqref="N7:N456">
    <cfRule type="expression" dxfId="9" priority="5">
      <formula>$N7="当初あり"</formula>
    </cfRule>
  </conditionalFormatting>
  <conditionalFormatting sqref="N7:N456">
    <cfRule type="expression" dxfId="8" priority="6">
      <formula>LEFT($N7,2)="新規"</formula>
    </cfRule>
  </conditionalFormatting>
  <conditionalFormatting sqref="O7:O456">
    <cfRule type="expression" dxfId="7" priority="7">
      <formula>$O7="基盤チーム（器・運用）"</formula>
    </cfRule>
  </conditionalFormatting>
  <conditionalFormatting sqref="O7:O456">
    <cfRule type="expression" dxfId="6" priority="8">
      <formula>$O7="アプリチーム（作り込み）"</formula>
    </cfRule>
  </conditionalFormatting>
  <conditionalFormatting sqref="O7:O456">
    <cfRule type="expression" dxfId="5" priority="9">
      <formula>$O7="増える（説明・調整）"</formula>
    </cfRule>
  </conditionalFormatting>
  <conditionalFormatting sqref="J7:J456">
    <cfRule type="expression" dxfId="4" priority="10">
      <formula>$J7="アプリ移管"</formula>
    </cfRule>
  </conditionalFormatting>
  <conditionalFormatting sqref="K7:K456">
    <cfRule type="expression" dxfId="3" priority="11">
      <formula>$K7="利用者が 1 箇所になり不要"</formula>
    </cfRule>
  </conditionalFormatting>
  <conditionalFormatting sqref="K7:K456">
    <cfRule type="expression" dxfId="2" priority="12">
      <formula>OR($K7="事故防止",$K7="改ざん防止",$K7="基盤の内部機構")</formula>
    </cfRule>
  </conditionalFormatting>
  <conditionalFormatting sqref="S7:S456">
    <cfRule type="expression" dxfId="1" priority="13">
      <formula>LEFT($S7,2)="F-"</formula>
    </cfRule>
  </conditionalFormatting>
  <conditionalFormatting sqref="O7:O456">
    <cfRule type="expression" dxfId="0" priority="14">
      <formula>$O7="共同（分けきれない）"</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topLeftCell="I1" zoomScale="161" zoomScaleNormal="120" workbookViewId="0">
      <pane ySplit="5" topLeftCell="A215" activePane="bottomLeft" state="frozen"/>
      <selection pane="bottomLeft" activeCell="H4" sqref="H4"/>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8238</v>
      </c>
      <c r="B1" s="34"/>
      <c r="C1" s="34"/>
      <c r="D1" s="34"/>
      <c r="E1" s="34"/>
      <c r="F1" s="34"/>
      <c r="G1" s="34"/>
      <c r="H1" s="34">
        <v>700</v>
      </c>
      <c r="I1" s="34"/>
      <c r="J1" s="34"/>
      <c r="K1" s="34"/>
      <c r="L1" s="34"/>
      <c r="M1" s="34"/>
      <c r="N1" s="34"/>
      <c r="O1" s="34"/>
      <c r="P1" s="34"/>
    </row>
    <row r="2" spans="1:29">
      <c r="A2" s="62" t="s">
        <v>6100</v>
      </c>
      <c r="B2" s="34"/>
      <c r="C2" s="34"/>
      <c r="D2" s="34"/>
      <c r="E2" s="34"/>
      <c r="F2" s="34"/>
      <c r="G2" s="34"/>
      <c r="H2" s="34">
        <v>1600</v>
      </c>
      <c r="I2" s="34"/>
      <c r="J2" s="34"/>
      <c r="K2" s="34"/>
      <c r="L2" s="34"/>
      <c r="M2" s="34"/>
      <c r="N2" s="34"/>
      <c r="O2" s="34"/>
      <c r="P2" s="34"/>
    </row>
    <row r="3" spans="1:29">
      <c r="A3" s="292" t="s">
        <v>8239</v>
      </c>
      <c r="B3" s="34"/>
      <c r="C3" s="34"/>
      <c r="D3" s="34"/>
      <c r="E3" s="34"/>
      <c r="F3" s="34"/>
      <c r="G3" s="34"/>
      <c r="H3" s="34">
        <v>429</v>
      </c>
      <c r="I3" s="34"/>
      <c r="J3" s="34"/>
      <c r="K3" s="34"/>
      <c r="L3" s="34"/>
      <c r="M3" s="34"/>
      <c r="N3" s="34"/>
      <c r="O3" s="34"/>
      <c r="P3" s="34"/>
    </row>
    <row r="4" spans="1:29">
      <c r="A4" s="306" t="s">
        <v>8240</v>
      </c>
      <c r="B4" s="34"/>
      <c r="C4" s="34"/>
      <c r="D4" s="34"/>
      <c r="E4" s="34"/>
      <c r="F4" s="34"/>
      <c r="G4" s="34"/>
      <c r="H4" s="34">
        <f>SUM(H1:H3)/20</f>
        <v>136.44999999999999</v>
      </c>
      <c r="I4" s="34"/>
      <c r="J4" s="34"/>
      <c r="K4" s="34"/>
      <c r="L4" s="34"/>
      <c r="M4" s="34"/>
      <c r="N4" s="34"/>
      <c r="O4" s="34"/>
      <c r="P4" s="34"/>
      <c r="V4" s="168" t="s">
        <v>2523</v>
      </c>
    </row>
    <row r="5" spans="1:29" ht="26" customHeight="1">
      <c r="A5" s="401" t="s">
        <v>3576</v>
      </c>
      <c r="B5" s="402" t="s">
        <v>3482</v>
      </c>
      <c r="C5" s="402" t="s">
        <v>8018</v>
      </c>
      <c r="D5" s="402" t="s">
        <v>8019</v>
      </c>
      <c r="E5" s="402" t="s">
        <v>8020</v>
      </c>
      <c r="F5" s="402" t="s">
        <v>3577</v>
      </c>
      <c r="G5" s="402" t="s">
        <v>7813</v>
      </c>
      <c r="H5" s="402" t="s">
        <v>7286</v>
      </c>
      <c r="I5" s="402" t="s">
        <v>8021</v>
      </c>
      <c r="J5" s="402" t="s">
        <v>8022</v>
      </c>
      <c r="K5" s="402" t="s">
        <v>2440</v>
      </c>
      <c r="L5" s="402" t="s">
        <v>8023</v>
      </c>
      <c r="M5" s="402" t="s">
        <v>2444</v>
      </c>
      <c r="N5" s="402" t="s">
        <v>2445</v>
      </c>
      <c r="O5" s="402" t="s">
        <v>1550</v>
      </c>
      <c r="P5" s="403" t="s">
        <v>8024</v>
      </c>
      <c r="V5" s="20" t="s">
        <v>2524</v>
      </c>
      <c r="W5" s="21" t="s">
        <v>2433</v>
      </c>
      <c r="X5" s="21" t="s">
        <v>2525</v>
      </c>
      <c r="Y5" s="21" t="s">
        <v>2441</v>
      </c>
      <c r="Z5" s="21" t="s">
        <v>2442</v>
      </c>
      <c r="AA5" s="21" t="s">
        <v>2526</v>
      </c>
      <c r="AB5" s="22" t="s">
        <v>2912</v>
      </c>
      <c r="AC5" s="191" t="s">
        <v>5806</v>
      </c>
    </row>
    <row r="6" spans="1:29" ht="19" customHeight="1">
      <c r="A6" s="369" t="s">
        <v>2529</v>
      </c>
      <c r="B6" s="373" t="s">
        <v>5887</v>
      </c>
      <c r="C6" s="370" t="s">
        <v>8272</v>
      </c>
      <c r="D6" s="371" t="s">
        <v>8242</v>
      </c>
      <c r="E6" s="371" t="s">
        <v>8025</v>
      </c>
      <c r="F6" s="404">
        <v>3</v>
      </c>
      <c r="G6" s="372" t="s">
        <v>2740</v>
      </c>
      <c r="H6" s="372" t="s">
        <v>7289</v>
      </c>
      <c r="I6" s="371"/>
      <c r="J6" s="371"/>
      <c r="K6" s="370"/>
      <c r="L6" s="370"/>
      <c r="M6" s="370" t="s">
        <v>4</v>
      </c>
      <c r="N6" s="370" t="s">
        <v>8026</v>
      </c>
      <c r="O6" s="370" t="s">
        <v>8027</v>
      </c>
      <c r="P6" s="405"/>
      <c r="V6" s="23"/>
      <c r="W6" s="31"/>
      <c r="X6" s="31"/>
      <c r="Y6" s="31"/>
      <c r="Z6" s="31"/>
      <c r="AA6" s="31"/>
      <c r="AB6" s="159"/>
    </row>
    <row r="7" spans="1:29" ht="19" customHeight="1">
      <c r="A7" s="369" t="s">
        <v>2529</v>
      </c>
      <c r="B7" s="373" t="s">
        <v>5888</v>
      </c>
      <c r="C7" s="370" t="s">
        <v>8272</v>
      </c>
      <c r="D7" s="371" t="s">
        <v>8243</v>
      </c>
      <c r="E7" s="371" t="s">
        <v>8028</v>
      </c>
      <c r="F7" s="404">
        <v>3</v>
      </c>
      <c r="G7" s="372" t="s">
        <v>2740</v>
      </c>
      <c r="H7" s="372" t="s">
        <v>7289</v>
      </c>
      <c r="I7" s="371"/>
      <c r="J7" s="371"/>
      <c r="K7" s="370"/>
      <c r="L7" s="370"/>
      <c r="M7" s="370" t="s">
        <v>4</v>
      </c>
      <c r="N7" s="370" t="s">
        <v>8026</v>
      </c>
      <c r="O7" s="370" t="s">
        <v>8027</v>
      </c>
      <c r="P7" s="405"/>
      <c r="V7" s="23"/>
      <c r="W7" s="31"/>
      <c r="X7" s="31"/>
      <c r="Y7" s="31"/>
      <c r="Z7" s="31"/>
      <c r="AA7" s="31"/>
      <c r="AB7" s="159"/>
    </row>
    <row r="8" spans="1:29" ht="19" customHeight="1">
      <c r="A8" s="369" t="s">
        <v>2529</v>
      </c>
      <c r="B8" s="373" t="s">
        <v>5889</v>
      </c>
      <c r="C8" s="370" t="s">
        <v>8272</v>
      </c>
      <c r="D8" s="371" t="s">
        <v>8244</v>
      </c>
      <c r="E8" s="371" t="s">
        <v>8029</v>
      </c>
      <c r="F8" s="404">
        <v>3</v>
      </c>
      <c r="G8" s="372" t="s">
        <v>2740</v>
      </c>
      <c r="H8" s="372" t="s">
        <v>7289</v>
      </c>
      <c r="I8" s="371"/>
      <c r="J8" s="371"/>
      <c r="K8" s="370"/>
      <c r="L8" s="370"/>
      <c r="M8" s="370" t="s">
        <v>4</v>
      </c>
      <c r="N8" s="370" t="s">
        <v>8026</v>
      </c>
      <c r="O8" s="370" t="s">
        <v>8027</v>
      </c>
      <c r="P8" s="405"/>
      <c r="V8" s="23"/>
      <c r="W8" s="31"/>
      <c r="X8" s="31"/>
      <c r="Y8" s="31"/>
      <c r="Z8" s="31"/>
      <c r="AA8" s="31"/>
      <c r="AB8" s="159"/>
    </row>
    <row r="9" spans="1:29" ht="19" customHeight="1">
      <c r="A9" s="369" t="s">
        <v>2529</v>
      </c>
      <c r="B9" s="373" t="s">
        <v>5890</v>
      </c>
      <c r="C9" s="370" t="s">
        <v>8272</v>
      </c>
      <c r="D9" s="371" t="s">
        <v>8245</v>
      </c>
      <c r="E9" s="371" t="s">
        <v>8030</v>
      </c>
      <c r="F9" s="404">
        <v>3</v>
      </c>
      <c r="G9" s="372" t="s">
        <v>2740</v>
      </c>
      <c r="H9" s="372" t="s">
        <v>7289</v>
      </c>
      <c r="I9" s="371"/>
      <c r="J9" s="371"/>
      <c r="K9" s="370"/>
      <c r="L9" s="370"/>
      <c r="M9" s="370" t="s">
        <v>4</v>
      </c>
      <c r="N9" s="370" t="s">
        <v>8026</v>
      </c>
      <c r="O9" s="370" t="s">
        <v>8027</v>
      </c>
      <c r="P9" s="405"/>
      <c r="V9" s="23"/>
      <c r="W9" s="31"/>
      <c r="X9" s="31"/>
      <c r="Y9" s="31"/>
      <c r="Z9" s="31"/>
      <c r="AA9" s="31"/>
      <c r="AB9" s="159"/>
    </row>
    <row r="10" spans="1:29" ht="19" customHeight="1">
      <c r="A10" s="369" t="s">
        <v>2529</v>
      </c>
      <c r="B10" s="373" t="s">
        <v>5891</v>
      </c>
      <c r="C10" s="370" t="s">
        <v>8272</v>
      </c>
      <c r="D10" s="371" t="s">
        <v>8246</v>
      </c>
      <c r="E10" s="371" t="s">
        <v>8031</v>
      </c>
      <c r="F10" s="404">
        <v>3</v>
      </c>
      <c r="G10" s="372" t="s">
        <v>2740</v>
      </c>
      <c r="H10" s="372" t="s">
        <v>7289</v>
      </c>
      <c r="I10" s="371"/>
      <c r="J10" s="371"/>
      <c r="K10" s="370"/>
      <c r="L10" s="370"/>
      <c r="M10" s="370" t="s">
        <v>4</v>
      </c>
      <c r="N10" s="370" t="s">
        <v>8026</v>
      </c>
      <c r="O10" s="370" t="s">
        <v>8027</v>
      </c>
      <c r="P10" s="405"/>
      <c r="V10" s="23"/>
      <c r="W10" s="31"/>
      <c r="X10" s="31"/>
      <c r="Y10" s="31"/>
      <c r="Z10" s="31"/>
      <c r="AA10" s="31"/>
      <c r="AB10" s="159"/>
    </row>
    <row r="11" spans="1:29" ht="19" customHeight="1">
      <c r="A11" s="369" t="s">
        <v>2529</v>
      </c>
      <c r="B11" s="373" t="s">
        <v>5892</v>
      </c>
      <c r="C11" s="370" t="s">
        <v>8272</v>
      </c>
      <c r="D11" s="371" t="s">
        <v>8247</v>
      </c>
      <c r="E11" s="371" t="s">
        <v>8032</v>
      </c>
      <c r="F11" s="404">
        <v>2</v>
      </c>
      <c r="G11" s="372" t="s">
        <v>2740</v>
      </c>
      <c r="H11" s="372" t="s">
        <v>7289</v>
      </c>
      <c r="I11" s="371"/>
      <c r="J11" s="371"/>
      <c r="K11" s="370"/>
      <c r="L11" s="370"/>
      <c r="M11" s="370" t="s">
        <v>4</v>
      </c>
      <c r="N11" s="370" t="s">
        <v>8026</v>
      </c>
      <c r="O11" s="370" t="s">
        <v>8027</v>
      </c>
      <c r="P11" s="405"/>
      <c r="V11" s="23"/>
      <c r="W11" s="31"/>
      <c r="X11" s="31"/>
      <c r="Y11" s="31"/>
      <c r="Z11" s="31"/>
      <c r="AA11" s="31"/>
      <c r="AB11" s="159"/>
    </row>
    <row r="12" spans="1:29" ht="19" customHeight="1">
      <c r="A12" s="369" t="s">
        <v>2529</v>
      </c>
      <c r="B12" s="373" t="s">
        <v>5893</v>
      </c>
      <c r="C12" s="370" t="s">
        <v>8272</v>
      </c>
      <c r="D12" s="371" t="s">
        <v>8248</v>
      </c>
      <c r="E12" s="371" t="s">
        <v>8033</v>
      </c>
      <c r="F12" s="404">
        <v>4</v>
      </c>
      <c r="G12" s="372" t="s">
        <v>2740</v>
      </c>
      <c r="H12" s="372" t="s">
        <v>7289</v>
      </c>
      <c r="I12" s="371"/>
      <c r="J12" s="371"/>
      <c r="K12" s="370"/>
      <c r="L12" s="370"/>
      <c r="M12" s="370" t="s">
        <v>4</v>
      </c>
      <c r="N12" s="370" t="s">
        <v>8026</v>
      </c>
      <c r="O12" s="370" t="s">
        <v>8027</v>
      </c>
      <c r="P12" s="405"/>
      <c r="V12" s="23"/>
      <c r="W12" s="31"/>
      <c r="X12" s="31"/>
      <c r="Y12" s="31"/>
      <c r="Z12" s="31"/>
      <c r="AA12" s="31"/>
      <c r="AB12" s="159"/>
    </row>
    <row r="13" spans="1:29" ht="19" customHeight="1">
      <c r="A13" s="369" t="s">
        <v>2529</v>
      </c>
      <c r="B13" s="373" t="s">
        <v>5894</v>
      </c>
      <c r="C13" s="370" t="s">
        <v>8272</v>
      </c>
      <c r="D13" s="371" t="s">
        <v>8249</v>
      </c>
      <c r="E13" s="371" t="s">
        <v>8034</v>
      </c>
      <c r="F13" s="404">
        <v>2</v>
      </c>
      <c r="G13" s="372" t="s">
        <v>2740</v>
      </c>
      <c r="H13" s="372" t="s">
        <v>7289</v>
      </c>
      <c r="I13" s="371"/>
      <c r="J13" s="371"/>
      <c r="K13" s="370"/>
      <c r="L13" s="370"/>
      <c r="M13" s="370" t="s">
        <v>4</v>
      </c>
      <c r="N13" s="370" t="s">
        <v>8026</v>
      </c>
      <c r="O13" s="370" t="s">
        <v>8027</v>
      </c>
      <c r="P13" s="405"/>
      <c r="V13" s="23"/>
      <c r="W13" s="31"/>
      <c r="X13" s="31"/>
      <c r="Y13" s="31"/>
      <c r="Z13" s="31"/>
      <c r="AA13" s="31"/>
      <c r="AB13" s="159"/>
    </row>
    <row r="14" spans="1:29" ht="19" customHeight="1">
      <c r="A14" s="369" t="s">
        <v>2529</v>
      </c>
      <c r="B14" s="373" t="s">
        <v>5895</v>
      </c>
      <c r="C14" s="370" t="s">
        <v>8272</v>
      </c>
      <c r="D14" s="371" t="s">
        <v>8250</v>
      </c>
      <c r="E14" s="371" t="s">
        <v>8035</v>
      </c>
      <c r="F14" s="404">
        <v>2</v>
      </c>
      <c r="G14" s="372" t="s">
        <v>2740</v>
      </c>
      <c r="H14" s="372" t="s">
        <v>7289</v>
      </c>
      <c r="I14" s="371"/>
      <c r="J14" s="371"/>
      <c r="K14" s="370"/>
      <c r="L14" s="370"/>
      <c r="M14" s="370" t="s">
        <v>4</v>
      </c>
      <c r="N14" s="370" t="s">
        <v>8026</v>
      </c>
      <c r="O14" s="370" t="s">
        <v>8027</v>
      </c>
      <c r="P14" s="405"/>
      <c r="V14" s="23"/>
      <c r="W14" s="31"/>
      <c r="X14" s="31"/>
      <c r="Y14" s="31"/>
      <c r="Z14" s="31"/>
      <c r="AA14" s="31"/>
      <c r="AB14" s="159"/>
    </row>
    <row r="15" spans="1:29" ht="19" customHeight="1">
      <c r="A15" s="369" t="s">
        <v>2529</v>
      </c>
      <c r="B15" s="373" t="s">
        <v>5896</v>
      </c>
      <c r="C15" s="370" t="s">
        <v>8272</v>
      </c>
      <c r="D15" s="371" t="s">
        <v>8036</v>
      </c>
      <c r="E15" s="371" t="s">
        <v>8037</v>
      </c>
      <c r="F15" s="404">
        <v>7</v>
      </c>
      <c r="G15" s="372" t="s">
        <v>2740</v>
      </c>
      <c r="H15" s="372" t="s">
        <v>7289</v>
      </c>
      <c r="I15" s="371"/>
      <c r="J15" s="371"/>
      <c r="K15" s="370"/>
      <c r="L15" s="370"/>
      <c r="M15" s="370" t="s">
        <v>4</v>
      </c>
      <c r="N15" s="370" t="s">
        <v>8026</v>
      </c>
      <c r="O15" s="370" t="s">
        <v>8027</v>
      </c>
      <c r="P15" s="405"/>
      <c r="V15" s="23"/>
      <c r="W15" s="31"/>
      <c r="X15" s="31"/>
      <c r="Y15" s="31"/>
      <c r="Z15" s="31"/>
      <c r="AA15" s="31"/>
      <c r="AB15" s="159"/>
    </row>
    <row r="16" spans="1:29" ht="19" customHeight="1">
      <c r="A16" s="369" t="s">
        <v>2529</v>
      </c>
      <c r="B16" s="373" t="s">
        <v>5897</v>
      </c>
      <c r="C16" s="370" t="s">
        <v>8038</v>
      </c>
      <c r="D16" s="371" t="s">
        <v>8039</v>
      </c>
      <c r="E16" s="371" t="s">
        <v>8040</v>
      </c>
      <c r="F16" s="404">
        <v>2</v>
      </c>
      <c r="G16" s="372" t="s">
        <v>7814</v>
      </c>
      <c r="H16" s="372" t="s">
        <v>8041</v>
      </c>
      <c r="I16" s="371"/>
      <c r="J16" s="371"/>
      <c r="K16" s="370"/>
      <c r="L16" s="370" t="s">
        <v>6268</v>
      </c>
      <c r="M16" s="370" t="s">
        <v>4</v>
      </c>
      <c r="N16" s="370" t="s">
        <v>8026</v>
      </c>
      <c r="O16" s="370" t="s">
        <v>8027</v>
      </c>
      <c r="P16" s="405" t="s">
        <v>8042</v>
      </c>
      <c r="V16" s="23"/>
      <c r="W16" s="31"/>
      <c r="X16" s="31"/>
      <c r="Y16" s="31"/>
      <c r="Z16" s="31"/>
      <c r="AA16" s="31"/>
      <c r="AB16" s="159"/>
    </row>
    <row r="17" spans="1:28" ht="19" customHeight="1">
      <c r="A17" s="369" t="s">
        <v>2529</v>
      </c>
      <c r="B17" s="373" t="s">
        <v>5898</v>
      </c>
      <c r="C17" s="370" t="s">
        <v>8038</v>
      </c>
      <c r="D17" s="371" t="s">
        <v>8043</v>
      </c>
      <c r="E17" s="371" t="s">
        <v>8040</v>
      </c>
      <c r="F17" s="404">
        <v>4</v>
      </c>
      <c r="G17" s="372" t="s">
        <v>7815</v>
      </c>
      <c r="H17" s="372" t="s">
        <v>8041</v>
      </c>
      <c r="I17" s="371"/>
      <c r="J17" s="371"/>
      <c r="K17" s="370"/>
      <c r="L17" s="370" t="s">
        <v>6268</v>
      </c>
      <c r="M17" s="370" t="s">
        <v>4</v>
      </c>
      <c r="N17" s="370" t="s">
        <v>8026</v>
      </c>
      <c r="O17" s="370" t="s">
        <v>8027</v>
      </c>
      <c r="P17" s="405" t="s">
        <v>8042</v>
      </c>
      <c r="V17" s="25"/>
      <c r="W17" s="32"/>
      <c r="X17" s="32"/>
      <c r="Y17" s="32"/>
      <c r="Z17" s="32"/>
      <c r="AA17" s="32"/>
      <c r="AB17" s="160"/>
    </row>
    <row r="18" spans="1:28" ht="19" customHeight="1">
      <c r="A18" s="369" t="s">
        <v>2529</v>
      </c>
      <c r="B18" s="373" t="s">
        <v>5899</v>
      </c>
      <c r="C18" s="370" t="s">
        <v>8038</v>
      </c>
      <c r="D18" s="371" t="s">
        <v>8044</v>
      </c>
      <c r="E18" s="371" t="s">
        <v>8040</v>
      </c>
      <c r="F18" s="404">
        <v>7</v>
      </c>
      <c r="G18" s="372" t="s">
        <v>7816</v>
      </c>
      <c r="H18" s="372" t="s">
        <v>8041</v>
      </c>
      <c r="I18" s="371"/>
      <c r="J18" s="371"/>
      <c r="K18" s="370"/>
      <c r="L18" s="370" t="s">
        <v>6268</v>
      </c>
      <c r="M18" s="370" t="s">
        <v>4</v>
      </c>
      <c r="N18" s="370" t="s">
        <v>8026</v>
      </c>
      <c r="O18" s="370" t="s">
        <v>8027</v>
      </c>
      <c r="P18" s="405" t="s">
        <v>8042</v>
      </c>
      <c r="V18" s="1"/>
      <c r="W18" s="1"/>
      <c r="X18" s="1"/>
      <c r="Y18" s="1"/>
      <c r="Z18" s="1"/>
      <c r="AA18" s="1"/>
      <c r="AB18" s="1"/>
    </row>
    <row r="19" spans="1:28" ht="19" customHeight="1">
      <c r="A19" s="369" t="s">
        <v>2529</v>
      </c>
      <c r="B19" s="373" t="s">
        <v>5900</v>
      </c>
      <c r="C19" s="370" t="s">
        <v>8038</v>
      </c>
      <c r="D19" s="371" t="s">
        <v>8045</v>
      </c>
      <c r="E19" s="371" t="s">
        <v>8040</v>
      </c>
      <c r="F19" s="404">
        <v>6</v>
      </c>
      <c r="G19" s="372" t="s">
        <v>7817</v>
      </c>
      <c r="H19" s="372" t="s">
        <v>8041</v>
      </c>
      <c r="I19" s="371"/>
      <c r="J19" s="371"/>
      <c r="K19" s="370"/>
      <c r="L19" s="370" t="s">
        <v>6268</v>
      </c>
      <c r="M19" s="370" t="s">
        <v>4</v>
      </c>
      <c r="N19" s="370" t="s">
        <v>8026</v>
      </c>
      <c r="O19" s="370" t="s">
        <v>8027</v>
      </c>
      <c r="P19" s="405" t="s">
        <v>8042</v>
      </c>
      <c r="V19" s="2"/>
      <c r="W19" s="1"/>
      <c r="X19" s="1"/>
      <c r="Y19" s="1"/>
      <c r="Z19" s="1"/>
      <c r="AA19" s="1"/>
      <c r="AB19" s="1"/>
    </row>
    <row r="20" spans="1:28" ht="19" customHeight="1">
      <c r="A20" s="369" t="s">
        <v>2529</v>
      </c>
      <c r="B20" s="373" t="s">
        <v>5901</v>
      </c>
      <c r="C20" s="370" t="s">
        <v>8038</v>
      </c>
      <c r="D20" s="371" t="s">
        <v>8046</v>
      </c>
      <c r="E20" s="371" t="s">
        <v>8040</v>
      </c>
      <c r="F20" s="404">
        <v>4</v>
      </c>
      <c r="G20" s="372" t="s">
        <v>7818</v>
      </c>
      <c r="H20" s="372" t="s">
        <v>8041</v>
      </c>
      <c r="I20" s="371"/>
      <c r="J20" s="371"/>
      <c r="K20" s="370"/>
      <c r="L20" s="370" t="s">
        <v>6268</v>
      </c>
      <c r="M20" s="370" t="s">
        <v>4</v>
      </c>
      <c r="N20" s="370" t="s">
        <v>8026</v>
      </c>
      <c r="O20" s="370" t="s">
        <v>8027</v>
      </c>
      <c r="P20" s="405" t="s">
        <v>8042</v>
      </c>
      <c r="V20" s="171"/>
      <c r="W20" s="172"/>
      <c r="X20" s="173"/>
      <c r="Y20" s="1"/>
      <c r="Z20" s="1"/>
      <c r="AA20" s="1"/>
      <c r="AB20" s="1"/>
    </row>
    <row r="21" spans="1:28" ht="19" customHeight="1">
      <c r="A21" s="369" t="s">
        <v>2529</v>
      </c>
      <c r="B21" s="373" t="s">
        <v>5902</v>
      </c>
      <c r="C21" s="370" t="s">
        <v>8038</v>
      </c>
      <c r="D21" s="371" t="s">
        <v>8047</v>
      </c>
      <c r="E21" s="371" t="s">
        <v>8040</v>
      </c>
      <c r="F21" s="404">
        <v>3</v>
      </c>
      <c r="G21" s="372" t="s">
        <v>7819</v>
      </c>
      <c r="H21" s="372" t="s">
        <v>8041</v>
      </c>
      <c r="I21" s="371"/>
      <c r="J21" s="371"/>
      <c r="K21" s="370"/>
      <c r="L21" s="370" t="s">
        <v>6268</v>
      </c>
      <c r="M21" s="370" t="s">
        <v>4</v>
      </c>
      <c r="N21" s="370" t="s">
        <v>8026</v>
      </c>
      <c r="O21" s="370" t="s">
        <v>8027</v>
      </c>
      <c r="P21" s="405" t="s">
        <v>8042</v>
      </c>
      <c r="V21" s="23"/>
      <c r="W21" s="31"/>
      <c r="X21" s="29"/>
      <c r="Y21" s="1"/>
      <c r="Z21" s="1"/>
      <c r="AA21" s="1"/>
      <c r="AB21" s="1"/>
    </row>
    <row r="22" spans="1:28" ht="19" customHeight="1">
      <c r="A22" s="369" t="s">
        <v>2529</v>
      </c>
      <c r="B22" s="373" t="s">
        <v>5903</v>
      </c>
      <c r="C22" s="370" t="s">
        <v>8038</v>
      </c>
      <c r="D22" s="371" t="s">
        <v>8048</v>
      </c>
      <c r="E22" s="371" t="s">
        <v>8040</v>
      </c>
      <c r="F22" s="404">
        <v>3</v>
      </c>
      <c r="G22" s="372" t="s">
        <v>7824</v>
      </c>
      <c r="H22" s="372" t="s">
        <v>8041</v>
      </c>
      <c r="I22" s="371"/>
      <c r="J22" s="371"/>
      <c r="K22" s="370"/>
      <c r="L22" s="370" t="s">
        <v>8049</v>
      </c>
      <c r="M22" s="370" t="s">
        <v>4</v>
      </c>
      <c r="N22" s="370" t="s">
        <v>8026</v>
      </c>
      <c r="O22" s="370" t="s">
        <v>8027</v>
      </c>
      <c r="P22" s="405" t="s">
        <v>8042</v>
      </c>
      <c r="V22" s="23"/>
      <c r="W22" s="31"/>
      <c r="X22" s="29"/>
      <c r="Y22" s="1"/>
      <c r="Z22" s="1"/>
      <c r="AA22" s="1"/>
      <c r="AB22" s="1"/>
    </row>
    <row r="23" spans="1:28" ht="19" customHeight="1">
      <c r="A23" s="369" t="s">
        <v>2529</v>
      </c>
      <c r="B23" s="373" t="s">
        <v>5904</v>
      </c>
      <c r="C23" s="370" t="s">
        <v>8038</v>
      </c>
      <c r="D23" s="371" t="s">
        <v>8050</v>
      </c>
      <c r="E23" s="371" t="s">
        <v>8040</v>
      </c>
      <c r="F23" s="404">
        <v>7</v>
      </c>
      <c r="G23" s="372" t="s">
        <v>7650</v>
      </c>
      <c r="H23" s="372" t="s">
        <v>8041</v>
      </c>
      <c r="I23" s="371"/>
      <c r="J23" s="371"/>
      <c r="K23" s="370"/>
      <c r="L23" s="370" t="s">
        <v>8049</v>
      </c>
      <c r="M23" s="370" t="s">
        <v>4</v>
      </c>
      <c r="N23" s="370" t="s">
        <v>8026</v>
      </c>
      <c r="O23" s="370" t="s">
        <v>8027</v>
      </c>
      <c r="P23" s="405" t="s">
        <v>8042</v>
      </c>
      <c r="V23" s="23"/>
      <c r="W23" s="31"/>
      <c r="X23" s="29"/>
      <c r="Y23" s="1"/>
      <c r="Z23" s="1"/>
      <c r="AA23" s="1"/>
      <c r="AB23" s="1"/>
    </row>
    <row r="24" spans="1:28" ht="19" customHeight="1">
      <c r="A24" s="369" t="s">
        <v>2529</v>
      </c>
      <c r="B24" s="373" t="s">
        <v>5905</v>
      </c>
      <c r="C24" s="370" t="s">
        <v>8038</v>
      </c>
      <c r="D24" s="371" t="s">
        <v>8051</v>
      </c>
      <c r="E24" s="371" t="s">
        <v>8040</v>
      </c>
      <c r="F24" s="404">
        <v>3</v>
      </c>
      <c r="G24" s="372" t="s">
        <v>8052</v>
      </c>
      <c r="H24" s="372" t="s">
        <v>8041</v>
      </c>
      <c r="I24" s="371"/>
      <c r="J24" s="371"/>
      <c r="K24" s="370"/>
      <c r="L24" s="370" t="s">
        <v>8049</v>
      </c>
      <c r="M24" s="370" t="s">
        <v>4</v>
      </c>
      <c r="N24" s="370" t="s">
        <v>8026</v>
      </c>
      <c r="O24" s="370" t="s">
        <v>8027</v>
      </c>
      <c r="P24" s="405" t="s">
        <v>8042</v>
      </c>
      <c r="V24" s="23"/>
      <c r="W24" s="31"/>
      <c r="X24" s="29"/>
      <c r="Y24" s="1"/>
      <c r="Z24" s="1"/>
      <c r="AA24" s="1"/>
      <c r="AB24" s="1"/>
    </row>
    <row r="25" spans="1:28" ht="19" customHeight="1">
      <c r="A25" s="369" t="s">
        <v>2529</v>
      </c>
      <c r="B25" s="373" t="s">
        <v>8053</v>
      </c>
      <c r="C25" s="370" t="s">
        <v>8038</v>
      </c>
      <c r="D25" s="371" t="s">
        <v>8054</v>
      </c>
      <c r="E25" s="371" t="s">
        <v>8040</v>
      </c>
      <c r="F25" s="404">
        <v>6</v>
      </c>
      <c r="G25" s="372" t="s">
        <v>8055</v>
      </c>
      <c r="H25" s="372" t="s">
        <v>8041</v>
      </c>
      <c r="I25" s="371"/>
      <c r="J25" s="371"/>
      <c r="K25" s="370"/>
      <c r="L25" s="370" t="s">
        <v>8049</v>
      </c>
      <c r="M25" s="370" t="s">
        <v>4</v>
      </c>
      <c r="N25" s="370" t="s">
        <v>8026</v>
      </c>
      <c r="O25" s="370" t="s">
        <v>8027</v>
      </c>
      <c r="P25" s="405" t="s">
        <v>8042</v>
      </c>
      <c r="V25" s="169"/>
      <c r="W25" s="163"/>
      <c r="X25" s="170"/>
      <c r="Y25" s="1"/>
      <c r="Z25" s="1"/>
      <c r="AA25" s="1"/>
      <c r="AB25" s="1"/>
    </row>
    <row r="26" spans="1:28" ht="19" customHeight="1">
      <c r="A26" s="369" t="s">
        <v>2529</v>
      </c>
      <c r="B26" s="373" t="s">
        <v>8056</v>
      </c>
      <c r="C26" s="370" t="s">
        <v>8038</v>
      </c>
      <c r="D26" s="371" t="s">
        <v>8057</v>
      </c>
      <c r="E26" s="371" t="s">
        <v>8040</v>
      </c>
      <c r="F26" s="404">
        <v>5</v>
      </c>
      <c r="G26" s="372" t="s">
        <v>8058</v>
      </c>
      <c r="H26" s="372" t="s">
        <v>8041</v>
      </c>
      <c r="I26" s="371"/>
      <c r="J26" s="371"/>
      <c r="K26" s="370"/>
      <c r="L26" s="370" t="s">
        <v>8049</v>
      </c>
      <c r="M26" s="370" t="s">
        <v>4</v>
      </c>
      <c r="N26" s="370" t="s">
        <v>8026</v>
      </c>
      <c r="O26" s="370" t="s">
        <v>8027</v>
      </c>
      <c r="P26" s="405" t="s">
        <v>8042</v>
      </c>
      <c r="V26" s="25"/>
      <c r="W26" s="32"/>
      <c r="X26" s="174"/>
      <c r="Y26" s="1"/>
      <c r="Z26" s="1"/>
      <c r="AA26" s="1"/>
      <c r="AB26" s="1"/>
    </row>
    <row r="27" spans="1:28" ht="19" customHeight="1">
      <c r="A27" s="369" t="s">
        <v>2529</v>
      </c>
      <c r="B27" s="373" t="s">
        <v>8059</v>
      </c>
      <c r="C27" s="370" t="s">
        <v>8038</v>
      </c>
      <c r="D27" s="371" t="s">
        <v>8060</v>
      </c>
      <c r="E27" s="371" t="s">
        <v>8040</v>
      </c>
      <c r="F27" s="404">
        <v>5</v>
      </c>
      <c r="G27" s="372" t="s">
        <v>7830</v>
      </c>
      <c r="H27" s="372" t="s">
        <v>8041</v>
      </c>
      <c r="I27" s="371"/>
      <c r="J27" s="371"/>
      <c r="K27" s="370"/>
      <c r="L27" s="370" t="s">
        <v>8061</v>
      </c>
      <c r="M27" s="370" t="s">
        <v>4</v>
      </c>
      <c r="N27" s="370" t="s">
        <v>8026</v>
      </c>
      <c r="O27" s="370" t="s">
        <v>8027</v>
      </c>
      <c r="P27" s="405" t="s">
        <v>8042</v>
      </c>
    </row>
    <row r="28" spans="1:28" ht="19" customHeight="1">
      <c r="A28" s="369" t="s">
        <v>2529</v>
      </c>
      <c r="B28" s="373" t="s">
        <v>8062</v>
      </c>
      <c r="C28" s="370" t="s">
        <v>8038</v>
      </c>
      <c r="D28" s="371" t="s">
        <v>8063</v>
      </c>
      <c r="E28" s="371" t="s">
        <v>8040</v>
      </c>
      <c r="F28" s="404">
        <v>3</v>
      </c>
      <c r="G28" s="372" t="s">
        <v>7832</v>
      </c>
      <c r="H28" s="372" t="s">
        <v>8041</v>
      </c>
      <c r="I28" s="371"/>
      <c r="J28" s="371"/>
      <c r="K28" s="370"/>
      <c r="L28" s="370" t="s">
        <v>8061</v>
      </c>
      <c r="M28" s="370" t="s">
        <v>4</v>
      </c>
      <c r="N28" s="370" t="s">
        <v>8026</v>
      </c>
      <c r="O28" s="370" t="s">
        <v>8027</v>
      </c>
      <c r="P28" s="405" t="s">
        <v>8042</v>
      </c>
      <c r="V28" s="168"/>
    </row>
    <row r="29" spans="1:28" ht="19" customHeight="1">
      <c r="A29" s="369" t="s">
        <v>2529</v>
      </c>
      <c r="B29" s="373" t="s">
        <v>8064</v>
      </c>
      <c r="C29" s="370" t="s">
        <v>8038</v>
      </c>
      <c r="D29" s="371" t="s">
        <v>8065</v>
      </c>
      <c r="E29" s="371" t="s">
        <v>8040</v>
      </c>
      <c r="F29" s="404">
        <v>3</v>
      </c>
      <c r="G29" s="372" t="s">
        <v>7833</v>
      </c>
      <c r="H29" s="372" t="s">
        <v>8041</v>
      </c>
      <c r="I29" s="371"/>
      <c r="J29" s="371"/>
      <c r="K29" s="370"/>
      <c r="L29" s="370" t="s">
        <v>8061</v>
      </c>
      <c r="M29" s="370" t="s">
        <v>4</v>
      </c>
      <c r="N29" s="370" t="s">
        <v>8026</v>
      </c>
      <c r="O29" s="370" t="s">
        <v>8027</v>
      </c>
      <c r="P29" s="405" t="s">
        <v>8042</v>
      </c>
      <c r="V29" s="57"/>
      <c r="W29" s="58"/>
    </row>
    <row r="30" spans="1:28" ht="19" customHeight="1">
      <c r="A30" s="369" t="s">
        <v>2529</v>
      </c>
      <c r="B30" s="373" t="s">
        <v>8066</v>
      </c>
      <c r="C30" s="370" t="s">
        <v>8038</v>
      </c>
      <c r="D30" s="371" t="s">
        <v>8067</v>
      </c>
      <c r="E30" s="371" t="s">
        <v>8040</v>
      </c>
      <c r="F30" s="404">
        <v>2</v>
      </c>
      <c r="G30" s="372" t="s">
        <v>7834</v>
      </c>
      <c r="H30" s="372" t="s">
        <v>8041</v>
      </c>
      <c r="I30" s="371"/>
      <c r="J30" s="371"/>
      <c r="K30" s="370"/>
      <c r="L30" s="370" t="s">
        <v>8061</v>
      </c>
      <c r="M30" s="370" t="s">
        <v>4</v>
      </c>
      <c r="N30" s="370" t="s">
        <v>8026</v>
      </c>
      <c r="O30" s="370" t="s">
        <v>8027</v>
      </c>
      <c r="P30" s="405" t="s">
        <v>8042</v>
      </c>
      <c r="V30" s="57"/>
      <c r="W30" s="58"/>
    </row>
    <row r="31" spans="1:28" ht="19" customHeight="1">
      <c r="A31" s="369" t="s">
        <v>2529</v>
      </c>
      <c r="B31" s="373" t="s">
        <v>8068</v>
      </c>
      <c r="C31" s="370" t="s">
        <v>8038</v>
      </c>
      <c r="D31" s="371" t="s">
        <v>8069</v>
      </c>
      <c r="E31" s="371" t="s">
        <v>8040</v>
      </c>
      <c r="F31" s="404">
        <v>3</v>
      </c>
      <c r="G31" s="372" t="s">
        <v>7839</v>
      </c>
      <c r="H31" s="372" t="s">
        <v>8041</v>
      </c>
      <c r="I31" s="371"/>
      <c r="J31" s="371"/>
      <c r="K31" s="370"/>
      <c r="L31" s="370" t="s">
        <v>8061</v>
      </c>
      <c r="M31" s="370" t="s">
        <v>4</v>
      </c>
      <c r="N31" s="370" t="s">
        <v>8026</v>
      </c>
      <c r="O31" s="370" t="s">
        <v>8027</v>
      </c>
      <c r="P31" s="405" t="s">
        <v>8042</v>
      </c>
      <c r="V31" s="57"/>
      <c r="W31" s="58"/>
    </row>
    <row r="32" spans="1:28" ht="19" customHeight="1">
      <c r="A32" s="369" t="s">
        <v>2529</v>
      </c>
      <c r="B32" s="373" t="s">
        <v>8070</v>
      </c>
      <c r="C32" s="370" t="s">
        <v>8038</v>
      </c>
      <c r="D32" s="371" t="s">
        <v>8071</v>
      </c>
      <c r="E32" s="371" t="s">
        <v>8040</v>
      </c>
      <c r="F32" s="404">
        <v>2</v>
      </c>
      <c r="G32" s="372" t="s">
        <v>7840</v>
      </c>
      <c r="H32" s="372" t="s">
        <v>8041</v>
      </c>
      <c r="I32" s="371"/>
      <c r="J32" s="371"/>
      <c r="K32" s="370"/>
      <c r="L32" s="370" t="s">
        <v>8061</v>
      </c>
      <c r="M32" s="370" t="s">
        <v>4</v>
      </c>
      <c r="N32" s="370" t="s">
        <v>8026</v>
      </c>
      <c r="O32" s="370" t="s">
        <v>8027</v>
      </c>
      <c r="P32" s="405" t="s">
        <v>8042</v>
      </c>
      <c r="V32" s="57"/>
      <c r="W32" s="58"/>
    </row>
    <row r="33" spans="1:23" ht="19" customHeight="1">
      <c r="A33" s="369" t="s">
        <v>2529</v>
      </c>
      <c r="B33" s="373" t="s">
        <v>8072</v>
      </c>
      <c r="C33" s="370" t="s">
        <v>8038</v>
      </c>
      <c r="D33" s="371" t="s">
        <v>8073</v>
      </c>
      <c r="E33" s="371" t="s">
        <v>8040</v>
      </c>
      <c r="F33" s="404">
        <v>3</v>
      </c>
      <c r="G33" s="372" t="s">
        <v>7843</v>
      </c>
      <c r="H33" s="372" t="s">
        <v>8041</v>
      </c>
      <c r="I33" s="371"/>
      <c r="J33" s="371"/>
      <c r="K33" s="370"/>
      <c r="L33" s="370" t="s">
        <v>6441</v>
      </c>
      <c r="M33" s="370" t="s">
        <v>4</v>
      </c>
      <c r="N33" s="370" t="s">
        <v>8026</v>
      </c>
      <c r="O33" s="370" t="s">
        <v>8027</v>
      </c>
      <c r="P33" s="405" t="s">
        <v>8042</v>
      </c>
      <c r="V33" s="57"/>
      <c r="W33" s="58"/>
    </row>
    <row r="34" spans="1:23" ht="19" customHeight="1">
      <c r="A34" s="369" t="s">
        <v>2529</v>
      </c>
      <c r="B34" s="373" t="s">
        <v>8074</v>
      </c>
      <c r="C34" s="370" t="s">
        <v>8038</v>
      </c>
      <c r="D34" s="371" t="s">
        <v>8075</v>
      </c>
      <c r="E34" s="371" t="s">
        <v>8040</v>
      </c>
      <c r="F34" s="404">
        <v>2</v>
      </c>
      <c r="G34" s="372" t="s">
        <v>7844</v>
      </c>
      <c r="H34" s="372" t="s">
        <v>8041</v>
      </c>
      <c r="I34" s="371"/>
      <c r="J34" s="371"/>
      <c r="K34" s="370"/>
      <c r="L34" s="370" t="s">
        <v>6441</v>
      </c>
      <c r="M34" s="370" t="s">
        <v>4</v>
      </c>
      <c r="N34" s="370" t="s">
        <v>8026</v>
      </c>
      <c r="O34" s="370" t="s">
        <v>8027</v>
      </c>
      <c r="P34" s="405" t="s">
        <v>8042</v>
      </c>
      <c r="V34" s="57"/>
      <c r="W34" s="58"/>
    </row>
    <row r="35" spans="1:23" ht="19" customHeight="1">
      <c r="A35" s="369" t="s">
        <v>2529</v>
      </c>
      <c r="B35" s="373" t="s">
        <v>8076</v>
      </c>
      <c r="C35" s="370" t="s">
        <v>8038</v>
      </c>
      <c r="D35" s="371" t="s">
        <v>8077</v>
      </c>
      <c r="E35" s="371" t="s">
        <v>8040</v>
      </c>
      <c r="F35" s="404">
        <v>2</v>
      </c>
      <c r="G35" s="372" t="s">
        <v>7845</v>
      </c>
      <c r="H35" s="372" t="s">
        <v>8041</v>
      </c>
      <c r="I35" s="371"/>
      <c r="J35" s="371"/>
      <c r="K35" s="370"/>
      <c r="L35" s="370" t="s">
        <v>6441</v>
      </c>
      <c r="M35" s="370" t="s">
        <v>4</v>
      </c>
      <c r="N35" s="370" t="s">
        <v>8026</v>
      </c>
      <c r="O35" s="370" t="s">
        <v>8027</v>
      </c>
      <c r="P35" s="405" t="s">
        <v>8042</v>
      </c>
      <c r="V35" s="57"/>
      <c r="W35" s="58"/>
    </row>
    <row r="36" spans="1:23" ht="19" customHeight="1">
      <c r="A36" s="369" t="s">
        <v>2529</v>
      </c>
      <c r="B36" s="373" t="s">
        <v>8078</v>
      </c>
      <c r="C36" s="370" t="s">
        <v>8038</v>
      </c>
      <c r="D36" s="371" t="s">
        <v>8079</v>
      </c>
      <c r="E36" s="371" t="s">
        <v>8040</v>
      </c>
      <c r="F36" s="404">
        <v>2</v>
      </c>
      <c r="G36" s="372" t="s">
        <v>7846</v>
      </c>
      <c r="H36" s="372" t="s">
        <v>8041</v>
      </c>
      <c r="I36" s="371"/>
      <c r="J36" s="371"/>
      <c r="K36" s="370"/>
      <c r="L36" s="370" t="s">
        <v>6441</v>
      </c>
      <c r="M36" s="370" t="s">
        <v>4</v>
      </c>
      <c r="N36" s="370" t="s">
        <v>8026</v>
      </c>
      <c r="O36" s="370" t="s">
        <v>8027</v>
      </c>
      <c r="P36" s="405" t="s">
        <v>8042</v>
      </c>
    </row>
    <row r="37" spans="1:23" ht="19" customHeight="1">
      <c r="A37" s="369" t="s">
        <v>2529</v>
      </c>
      <c r="B37" s="373" t="s">
        <v>8080</v>
      </c>
      <c r="C37" s="370" t="s">
        <v>8038</v>
      </c>
      <c r="D37" s="371" t="s">
        <v>8081</v>
      </c>
      <c r="E37" s="371" t="s">
        <v>8040</v>
      </c>
      <c r="F37" s="404">
        <v>1</v>
      </c>
      <c r="G37" s="372" t="s">
        <v>7851</v>
      </c>
      <c r="H37" s="372" t="s">
        <v>8041</v>
      </c>
      <c r="I37" s="371"/>
      <c r="J37" s="371"/>
      <c r="K37" s="370"/>
      <c r="L37" s="370" t="s">
        <v>6441</v>
      </c>
      <c r="M37" s="370" t="s">
        <v>4</v>
      </c>
      <c r="N37" s="370" t="s">
        <v>8026</v>
      </c>
      <c r="O37" s="370" t="s">
        <v>8027</v>
      </c>
      <c r="P37" s="405" t="s">
        <v>8042</v>
      </c>
    </row>
    <row r="38" spans="1:23" ht="19" customHeight="1">
      <c r="A38" s="369" t="s">
        <v>2529</v>
      </c>
      <c r="B38" s="373" t="s">
        <v>8082</v>
      </c>
      <c r="C38" s="370" t="s">
        <v>8038</v>
      </c>
      <c r="D38" s="371" t="s">
        <v>8083</v>
      </c>
      <c r="E38" s="371" t="s">
        <v>8040</v>
      </c>
      <c r="F38" s="404">
        <v>3</v>
      </c>
      <c r="G38" s="372" t="s">
        <v>2417</v>
      </c>
      <c r="H38" s="372" t="s">
        <v>8041</v>
      </c>
      <c r="I38" s="371"/>
      <c r="J38" s="371"/>
      <c r="K38" s="370"/>
      <c r="L38" s="370" t="s">
        <v>6467</v>
      </c>
      <c r="M38" s="370" t="s">
        <v>4</v>
      </c>
      <c r="N38" s="370" t="s">
        <v>8026</v>
      </c>
      <c r="O38" s="370" t="s">
        <v>8027</v>
      </c>
      <c r="P38" s="405" t="s">
        <v>8042</v>
      </c>
    </row>
    <row r="39" spans="1:23" ht="19" customHeight="1">
      <c r="A39" s="369" t="s">
        <v>2529</v>
      </c>
      <c r="B39" s="373" t="s">
        <v>8084</v>
      </c>
      <c r="C39" s="370" t="s">
        <v>8038</v>
      </c>
      <c r="D39" s="371" t="s">
        <v>8085</v>
      </c>
      <c r="E39" s="371" t="s">
        <v>8040</v>
      </c>
      <c r="F39" s="404">
        <v>3</v>
      </c>
      <c r="G39" s="372" t="s">
        <v>7853</v>
      </c>
      <c r="H39" s="372" t="s">
        <v>8041</v>
      </c>
      <c r="I39" s="371"/>
      <c r="J39" s="371"/>
      <c r="K39" s="370"/>
      <c r="L39" s="370" t="s">
        <v>6467</v>
      </c>
      <c r="M39" s="370" t="s">
        <v>4</v>
      </c>
      <c r="N39" s="370" t="s">
        <v>8026</v>
      </c>
      <c r="O39" s="370" t="s">
        <v>8027</v>
      </c>
      <c r="P39" s="405" t="s">
        <v>8042</v>
      </c>
    </row>
    <row r="40" spans="1:23" ht="19" customHeight="1">
      <c r="A40" s="369" t="s">
        <v>2529</v>
      </c>
      <c r="B40" s="373" t="s">
        <v>8086</v>
      </c>
      <c r="C40" s="370" t="s">
        <v>8038</v>
      </c>
      <c r="D40" s="371" t="s">
        <v>8087</v>
      </c>
      <c r="E40" s="371" t="s">
        <v>8040</v>
      </c>
      <c r="F40" s="404">
        <v>2</v>
      </c>
      <c r="G40" s="372" t="s">
        <v>7854</v>
      </c>
      <c r="H40" s="372" t="s">
        <v>8041</v>
      </c>
      <c r="I40" s="371"/>
      <c r="J40" s="371"/>
      <c r="K40" s="370"/>
      <c r="L40" s="370" t="s">
        <v>6467</v>
      </c>
      <c r="M40" s="370" t="s">
        <v>4</v>
      </c>
      <c r="N40" s="370" t="s">
        <v>8026</v>
      </c>
      <c r="O40" s="370" t="s">
        <v>8027</v>
      </c>
      <c r="P40" s="405" t="s">
        <v>8042</v>
      </c>
    </row>
    <row r="41" spans="1:23" ht="19" customHeight="1">
      <c r="A41" s="369" t="s">
        <v>2529</v>
      </c>
      <c r="B41" s="373" t="s">
        <v>8088</v>
      </c>
      <c r="C41" s="370" t="s">
        <v>8038</v>
      </c>
      <c r="D41" s="371" t="s">
        <v>8089</v>
      </c>
      <c r="E41" s="371" t="s">
        <v>8040</v>
      </c>
      <c r="F41" s="404">
        <v>1</v>
      </c>
      <c r="G41" s="372" t="s">
        <v>7857</v>
      </c>
      <c r="H41" s="372" t="s">
        <v>8041</v>
      </c>
      <c r="I41" s="371"/>
      <c r="J41" s="371"/>
      <c r="K41" s="370"/>
      <c r="L41" s="370" t="s">
        <v>6467</v>
      </c>
      <c r="M41" s="370" t="s">
        <v>4</v>
      </c>
      <c r="N41" s="370" t="s">
        <v>8026</v>
      </c>
      <c r="O41" s="370" t="s">
        <v>8027</v>
      </c>
      <c r="P41" s="405" t="s">
        <v>8042</v>
      </c>
    </row>
    <row r="42" spans="1:23" ht="19" customHeight="1">
      <c r="A42" s="369" t="s">
        <v>2529</v>
      </c>
      <c r="B42" s="373" t="s">
        <v>8090</v>
      </c>
      <c r="C42" s="370" t="s">
        <v>8038</v>
      </c>
      <c r="D42" s="371" t="s">
        <v>8091</v>
      </c>
      <c r="E42" s="371" t="s">
        <v>8040</v>
      </c>
      <c r="F42" s="404">
        <v>1</v>
      </c>
      <c r="G42" s="372" t="s">
        <v>7858</v>
      </c>
      <c r="H42" s="372" t="s">
        <v>8041</v>
      </c>
      <c r="I42" s="371"/>
      <c r="J42" s="371"/>
      <c r="K42" s="370"/>
      <c r="L42" s="370" t="s">
        <v>6467</v>
      </c>
      <c r="M42" s="370" t="s">
        <v>4</v>
      </c>
      <c r="N42" s="370" t="s">
        <v>8026</v>
      </c>
      <c r="O42" s="370" t="s">
        <v>8027</v>
      </c>
      <c r="P42" s="405" t="s">
        <v>8042</v>
      </c>
    </row>
    <row r="43" spans="1:23" ht="19" customHeight="1">
      <c r="A43" s="369" t="s">
        <v>2529</v>
      </c>
      <c r="B43" s="373" t="s">
        <v>8092</v>
      </c>
      <c r="C43" s="370" t="s">
        <v>8093</v>
      </c>
      <c r="D43" s="371" t="s">
        <v>8094</v>
      </c>
      <c r="E43" s="371" t="s">
        <v>8095</v>
      </c>
      <c r="F43" s="404">
        <v>8</v>
      </c>
      <c r="G43" s="372" t="s">
        <v>2740</v>
      </c>
      <c r="H43" s="372" t="s">
        <v>7289</v>
      </c>
      <c r="I43" s="371"/>
      <c r="J43" s="371"/>
      <c r="K43" s="370"/>
      <c r="L43" s="370"/>
      <c r="M43" s="370" t="s">
        <v>4</v>
      </c>
      <c r="N43" s="370" t="s">
        <v>8026</v>
      </c>
      <c r="O43" s="370" t="s">
        <v>8027</v>
      </c>
      <c r="P43" s="405" t="s">
        <v>8096</v>
      </c>
    </row>
    <row r="44" spans="1:23" ht="19" customHeight="1">
      <c r="A44" s="369" t="s">
        <v>2529</v>
      </c>
      <c r="B44" s="373" t="s">
        <v>8097</v>
      </c>
      <c r="C44" s="370" t="s">
        <v>8093</v>
      </c>
      <c r="D44" s="371" t="s">
        <v>8098</v>
      </c>
      <c r="E44" s="371" t="s">
        <v>8099</v>
      </c>
      <c r="F44" s="404">
        <v>6</v>
      </c>
      <c r="G44" s="372" t="s">
        <v>2740</v>
      </c>
      <c r="H44" s="372" t="s">
        <v>7289</v>
      </c>
      <c r="I44" s="371"/>
      <c r="J44" s="371"/>
      <c r="K44" s="370"/>
      <c r="L44" s="370"/>
      <c r="M44" s="370" t="s">
        <v>4</v>
      </c>
      <c r="N44" s="370" t="s">
        <v>8026</v>
      </c>
      <c r="O44" s="370" t="s">
        <v>8027</v>
      </c>
      <c r="P44" s="405" t="s">
        <v>8096</v>
      </c>
    </row>
    <row r="45" spans="1:23" ht="19" customHeight="1">
      <c r="A45" s="369" t="s">
        <v>2529</v>
      </c>
      <c r="B45" s="373" t="s">
        <v>8100</v>
      </c>
      <c r="C45" s="370" t="s">
        <v>8093</v>
      </c>
      <c r="D45" s="371" t="s">
        <v>8101</v>
      </c>
      <c r="E45" s="371" t="s">
        <v>8102</v>
      </c>
      <c r="F45" s="404">
        <v>6</v>
      </c>
      <c r="G45" s="372" t="s">
        <v>2740</v>
      </c>
      <c r="H45" s="372" t="s">
        <v>7289</v>
      </c>
      <c r="I45" s="371"/>
      <c r="J45" s="371"/>
      <c r="K45" s="370"/>
      <c r="L45" s="370"/>
      <c r="M45" s="370" t="s">
        <v>4</v>
      </c>
      <c r="N45" s="370" t="s">
        <v>8026</v>
      </c>
      <c r="O45" s="370" t="s">
        <v>8027</v>
      </c>
      <c r="P45" s="405" t="s">
        <v>8096</v>
      </c>
    </row>
    <row r="46" spans="1:23" ht="19" customHeight="1">
      <c r="A46" s="369" t="s">
        <v>2529</v>
      </c>
      <c r="B46" s="373" t="s">
        <v>8103</v>
      </c>
      <c r="C46" s="370" t="s">
        <v>8093</v>
      </c>
      <c r="D46" s="371" t="s">
        <v>8104</v>
      </c>
      <c r="E46" s="371" t="s">
        <v>8105</v>
      </c>
      <c r="F46" s="404">
        <v>8</v>
      </c>
      <c r="G46" s="372" t="s">
        <v>2740</v>
      </c>
      <c r="H46" s="372" t="s">
        <v>7289</v>
      </c>
      <c r="I46" s="371"/>
      <c r="J46" s="371"/>
      <c r="K46" s="370"/>
      <c r="L46" s="370"/>
      <c r="M46" s="370" t="s">
        <v>4</v>
      </c>
      <c r="N46" s="370" t="s">
        <v>8026</v>
      </c>
      <c r="O46" s="370" t="s">
        <v>8027</v>
      </c>
      <c r="P46" s="405" t="s">
        <v>8096</v>
      </c>
    </row>
    <row r="47" spans="1:23" ht="19" customHeight="1">
      <c r="A47" s="369" t="s">
        <v>2529</v>
      </c>
      <c r="B47" s="373" t="s">
        <v>8106</v>
      </c>
      <c r="C47" s="370" t="s">
        <v>8093</v>
      </c>
      <c r="D47" s="371" t="s">
        <v>8107</v>
      </c>
      <c r="E47" s="371" t="s">
        <v>8108</v>
      </c>
      <c r="F47" s="404">
        <v>8</v>
      </c>
      <c r="G47" s="372" t="s">
        <v>2740</v>
      </c>
      <c r="H47" s="372" t="s">
        <v>7289</v>
      </c>
      <c r="I47" s="371"/>
      <c r="J47" s="371"/>
      <c r="K47" s="370"/>
      <c r="L47" s="370"/>
      <c r="M47" s="370" t="s">
        <v>4</v>
      </c>
      <c r="N47" s="370" t="s">
        <v>8026</v>
      </c>
      <c r="O47" s="370" t="s">
        <v>8027</v>
      </c>
      <c r="P47" s="405" t="s">
        <v>8096</v>
      </c>
    </row>
    <row r="48" spans="1:23" ht="19" customHeight="1">
      <c r="A48" s="369" t="s">
        <v>2529</v>
      </c>
      <c r="B48" s="373" t="s">
        <v>8109</v>
      </c>
      <c r="C48" s="370" t="s">
        <v>8093</v>
      </c>
      <c r="D48" s="371" t="s">
        <v>8110</v>
      </c>
      <c r="E48" s="371" t="s">
        <v>8111</v>
      </c>
      <c r="F48" s="404">
        <v>10</v>
      </c>
      <c r="G48" s="372" t="s">
        <v>2740</v>
      </c>
      <c r="H48" s="372" t="s">
        <v>7289</v>
      </c>
      <c r="I48" s="371"/>
      <c r="J48" s="371"/>
      <c r="K48" s="370"/>
      <c r="L48" s="370"/>
      <c r="M48" s="370" t="s">
        <v>4</v>
      </c>
      <c r="N48" s="370" t="s">
        <v>8026</v>
      </c>
      <c r="O48" s="370" t="s">
        <v>8027</v>
      </c>
      <c r="P48" s="405" t="s">
        <v>8096</v>
      </c>
    </row>
    <row r="49" spans="1:16" ht="19" customHeight="1">
      <c r="A49" s="369" t="s">
        <v>2529</v>
      </c>
      <c r="B49" s="373" t="s">
        <v>8112</v>
      </c>
      <c r="C49" s="370" t="s">
        <v>8093</v>
      </c>
      <c r="D49" s="371" t="s">
        <v>8113</v>
      </c>
      <c r="E49" s="371" t="s">
        <v>8114</v>
      </c>
      <c r="F49" s="404">
        <v>14</v>
      </c>
      <c r="G49" s="372" t="s">
        <v>2740</v>
      </c>
      <c r="H49" s="372" t="s">
        <v>7289</v>
      </c>
      <c r="I49" s="371"/>
      <c r="J49" s="371"/>
      <c r="K49" s="370"/>
      <c r="L49" s="370"/>
      <c r="M49" s="370" t="s">
        <v>4</v>
      </c>
      <c r="N49" s="370" t="s">
        <v>8026</v>
      </c>
      <c r="O49" s="370" t="s">
        <v>8027</v>
      </c>
      <c r="P49" s="405" t="s">
        <v>8096</v>
      </c>
    </row>
    <row r="50" spans="1:16" ht="19" customHeight="1">
      <c r="A50" s="369" t="s">
        <v>2529</v>
      </c>
      <c r="B50" s="373" t="s">
        <v>8115</v>
      </c>
      <c r="C50" s="370" t="s">
        <v>8093</v>
      </c>
      <c r="D50" s="371" t="s">
        <v>8116</v>
      </c>
      <c r="E50" s="371" t="s">
        <v>8117</v>
      </c>
      <c r="F50" s="404">
        <v>24</v>
      </c>
      <c r="G50" s="372" t="s">
        <v>2740</v>
      </c>
      <c r="H50" s="372" t="s">
        <v>7289</v>
      </c>
      <c r="I50" s="371"/>
      <c r="J50" s="371"/>
      <c r="K50" s="370"/>
      <c r="L50" s="370"/>
      <c r="M50" s="370" t="s">
        <v>4</v>
      </c>
      <c r="N50" s="370" t="s">
        <v>8026</v>
      </c>
      <c r="O50" s="370" t="s">
        <v>8027</v>
      </c>
      <c r="P50" s="405" t="s">
        <v>8096</v>
      </c>
    </row>
    <row r="51" spans="1:16" ht="19" customHeight="1">
      <c r="A51" s="369" t="s">
        <v>2529</v>
      </c>
      <c r="B51" s="373" t="s">
        <v>5906</v>
      </c>
      <c r="C51" s="370" t="s">
        <v>8118</v>
      </c>
      <c r="D51" s="371" t="s">
        <v>8251</v>
      </c>
      <c r="E51" s="371" t="s">
        <v>8119</v>
      </c>
      <c r="F51" s="404">
        <v>7</v>
      </c>
      <c r="G51" s="372" t="s">
        <v>2740</v>
      </c>
      <c r="H51" s="372" t="s">
        <v>8120</v>
      </c>
      <c r="I51" s="371"/>
      <c r="J51" s="371"/>
      <c r="K51" s="370"/>
      <c r="L51" s="370"/>
      <c r="M51" s="370" t="s">
        <v>4</v>
      </c>
      <c r="N51" s="370" t="s">
        <v>8026</v>
      </c>
      <c r="O51" s="370" t="s">
        <v>8027</v>
      </c>
      <c r="P51" s="405"/>
    </row>
    <row r="52" spans="1:16" ht="19" customHeight="1">
      <c r="A52" s="369" t="s">
        <v>2529</v>
      </c>
      <c r="B52" s="373" t="s">
        <v>5907</v>
      </c>
      <c r="C52" s="370" t="s">
        <v>8118</v>
      </c>
      <c r="D52" s="371" t="s">
        <v>8252</v>
      </c>
      <c r="E52" s="371" t="s">
        <v>8121</v>
      </c>
      <c r="F52" s="404">
        <v>12</v>
      </c>
      <c r="G52" s="372" t="s">
        <v>2740</v>
      </c>
      <c r="H52" s="372" t="s">
        <v>8122</v>
      </c>
      <c r="I52" s="371"/>
      <c r="J52" s="371"/>
      <c r="K52" s="370"/>
      <c r="L52" s="370"/>
      <c r="M52" s="370" t="s">
        <v>4</v>
      </c>
      <c r="N52" s="370" t="s">
        <v>8026</v>
      </c>
      <c r="O52" s="370" t="s">
        <v>8027</v>
      </c>
      <c r="P52" s="405"/>
    </row>
    <row r="53" spans="1:16" ht="19" customHeight="1">
      <c r="A53" s="369" t="s">
        <v>2529</v>
      </c>
      <c r="B53" s="373" t="s">
        <v>5908</v>
      </c>
      <c r="C53" s="370" t="s">
        <v>8118</v>
      </c>
      <c r="D53" s="371" t="s">
        <v>8253</v>
      </c>
      <c r="E53" s="371" t="s">
        <v>8123</v>
      </c>
      <c r="F53" s="404">
        <v>4</v>
      </c>
      <c r="G53" s="372" t="s">
        <v>2740</v>
      </c>
      <c r="H53" s="372" t="s">
        <v>7289</v>
      </c>
      <c r="I53" s="371"/>
      <c r="J53" s="371"/>
      <c r="K53" s="370"/>
      <c r="L53" s="370"/>
      <c r="M53" s="370" t="s">
        <v>4</v>
      </c>
      <c r="N53" s="370" t="s">
        <v>8026</v>
      </c>
      <c r="O53" s="370" t="s">
        <v>8027</v>
      </c>
      <c r="P53" s="405"/>
    </row>
    <row r="54" spans="1:16" ht="19" customHeight="1">
      <c r="A54" s="369" t="s">
        <v>2529</v>
      </c>
      <c r="B54" s="373" t="s">
        <v>5909</v>
      </c>
      <c r="C54" s="370" t="s">
        <v>8118</v>
      </c>
      <c r="D54" s="371" t="s">
        <v>8254</v>
      </c>
      <c r="E54" s="371" t="s">
        <v>8124</v>
      </c>
      <c r="F54" s="404">
        <v>3</v>
      </c>
      <c r="G54" s="372" t="s">
        <v>2740</v>
      </c>
      <c r="H54" s="372" t="s">
        <v>7289</v>
      </c>
      <c r="I54" s="371"/>
      <c r="J54" s="371"/>
      <c r="K54" s="370"/>
      <c r="L54" s="370"/>
      <c r="M54" s="370" t="s">
        <v>4</v>
      </c>
      <c r="N54" s="370" t="s">
        <v>8026</v>
      </c>
      <c r="O54" s="370" t="s">
        <v>8027</v>
      </c>
      <c r="P54" s="405"/>
    </row>
    <row r="55" spans="1:16" ht="19" customHeight="1">
      <c r="A55" s="369" t="s">
        <v>2529</v>
      </c>
      <c r="B55" s="373" t="s">
        <v>5910</v>
      </c>
      <c r="C55" s="370" t="s">
        <v>8118</v>
      </c>
      <c r="D55" s="371" t="s">
        <v>8255</v>
      </c>
      <c r="E55" s="371" t="s">
        <v>8125</v>
      </c>
      <c r="F55" s="404">
        <v>3</v>
      </c>
      <c r="G55" s="372" t="s">
        <v>2740</v>
      </c>
      <c r="H55" s="372" t="s">
        <v>7289</v>
      </c>
      <c r="I55" s="371"/>
      <c r="J55" s="371"/>
      <c r="K55" s="370"/>
      <c r="L55" s="370"/>
      <c r="M55" s="370" t="s">
        <v>4</v>
      </c>
      <c r="N55" s="370" t="s">
        <v>8026</v>
      </c>
      <c r="O55" s="370" t="s">
        <v>8027</v>
      </c>
      <c r="P55" s="405"/>
    </row>
    <row r="56" spans="1:16" ht="19" customHeight="1">
      <c r="A56" s="369" t="s">
        <v>2529</v>
      </c>
      <c r="B56" s="373" t="s">
        <v>8126</v>
      </c>
      <c r="C56" s="370" t="s">
        <v>8118</v>
      </c>
      <c r="D56" s="371" t="s">
        <v>8127</v>
      </c>
      <c r="E56" s="371" t="s">
        <v>8128</v>
      </c>
      <c r="F56" s="404">
        <v>3</v>
      </c>
      <c r="G56" s="372" t="s">
        <v>2740</v>
      </c>
      <c r="H56" s="372" t="s">
        <v>8129</v>
      </c>
      <c r="I56" s="371"/>
      <c r="J56" s="371"/>
      <c r="K56" s="370"/>
      <c r="L56" s="370"/>
      <c r="M56" s="370" t="s">
        <v>4</v>
      </c>
      <c r="N56" s="370" t="s">
        <v>8026</v>
      </c>
      <c r="O56" s="370" t="s">
        <v>8027</v>
      </c>
      <c r="P56" s="405" t="s">
        <v>8130</v>
      </c>
    </row>
    <row r="57" spans="1:16" ht="19" customHeight="1">
      <c r="A57" s="369" t="s">
        <v>2529</v>
      </c>
      <c r="B57" s="373" t="s">
        <v>5911</v>
      </c>
      <c r="C57" s="370" t="s">
        <v>8131</v>
      </c>
      <c r="D57" s="371" t="s">
        <v>8132</v>
      </c>
      <c r="E57" s="371" t="s">
        <v>8133</v>
      </c>
      <c r="F57" s="404">
        <v>3</v>
      </c>
      <c r="G57" s="372" t="s">
        <v>7833</v>
      </c>
      <c r="H57" s="372" t="s">
        <v>7346</v>
      </c>
      <c r="I57" s="371"/>
      <c r="J57" s="371"/>
      <c r="K57" s="370"/>
      <c r="L57" s="370" t="s">
        <v>8134</v>
      </c>
      <c r="M57" s="370" t="s">
        <v>4</v>
      </c>
      <c r="N57" s="370" t="s">
        <v>8026</v>
      </c>
      <c r="O57" s="370" t="s">
        <v>8027</v>
      </c>
      <c r="P57" s="405"/>
    </row>
    <row r="58" spans="1:16" ht="19" customHeight="1">
      <c r="A58" s="369" t="s">
        <v>2529</v>
      </c>
      <c r="B58" s="373" t="s">
        <v>5912</v>
      </c>
      <c r="C58" s="370" t="s">
        <v>8131</v>
      </c>
      <c r="D58" s="371" t="s">
        <v>8135</v>
      </c>
      <c r="E58" s="371" t="s">
        <v>8136</v>
      </c>
      <c r="F58" s="404">
        <v>2</v>
      </c>
      <c r="G58" s="372" t="s">
        <v>8058</v>
      </c>
      <c r="H58" s="372" t="s">
        <v>7336</v>
      </c>
      <c r="I58" s="371"/>
      <c r="J58" s="371"/>
      <c r="K58" s="370"/>
      <c r="L58" s="370" t="s">
        <v>8137</v>
      </c>
      <c r="M58" s="370" t="s">
        <v>4</v>
      </c>
      <c r="N58" s="370" t="s">
        <v>8026</v>
      </c>
      <c r="O58" s="370" t="s">
        <v>8027</v>
      </c>
      <c r="P58" s="405"/>
    </row>
    <row r="59" spans="1:16" ht="19" customHeight="1">
      <c r="A59" s="369" t="s">
        <v>2529</v>
      </c>
      <c r="B59" s="373" t="s">
        <v>5913</v>
      </c>
      <c r="C59" s="370" t="s">
        <v>8131</v>
      </c>
      <c r="D59" s="371" t="s">
        <v>8138</v>
      </c>
      <c r="E59" s="371" t="s">
        <v>8139</v>
      </c>
      <c r="F59" s="404">
        <v>3</v>
      </c>
      <c r="G59" s="372" t="s">
        <v>8058</v>
      </c>
      <c r="H59" s="372" t="s">
        <v>7337</v>
      </c>
      <c r="I59" s="371"/>
      <c r="J59" s="371"/>
      <c r="K59" s="370"/>
      <c r="L59" s="370" t="s">
        <v>8140</v>
      </c>
      <c r="M59" s="370" t="s">
        <v>4</v>
      </c>
      <c r="N59" s="370" t="s">
        <v>8026</v>
      </c>
      <c r="O59" s="370" t="s">
        <v>8027</v>
      </c>
      <c r="P59" s="405"/>
    </row>
    <row r="60" spans="1:16" ht="19" customHeight="1">
      <c r="A60" s="369" t="s">
        <v>2529</v>
      </c>
      <c r="B60" s="373" t="s">
        <v>5914</v>
      </c>
      <c r="C60" s="370" t="s">
        <v>8131</v>
      </c>
      <c r="D60" s="371" t="s">
        <v>8141</v>
      </c>
      <c r="E60" s="371" t="s">
        <v>8142</v>
      </c>
      <c r="F60" s="404">
        <v>2</v>
      </c>
      <c r="G60" s="372" t="s">
        <v>8055</v>
      </c>
      <c r="H60" s="372" t="s">
        <v>7332</v>
      </c>
      <c r="I60" s="371"/>
      <c r="J60" s="371"/>
      <c r="K60" s="370"/>
      <c r="L60" s="370" t="s">
        <v>8143</v>
      </c>
      <c r="M60" s="370" t="s">
        <v>4</v>
      </c>
      <c r="N60" s="370" t="s">
        <v>8026</v>
      </c>
      <c r="O60" s="370" t="s">
        <v>8027</v>
      </c>
      <c r="P60" s="405"/>
    </row>
    <row r="61" spans="1:16" ht="19" customHeight="1">
      <c r="A61" s="369" t="s">
        <v>2529</v>
      </c>
      <c r="B61" s="373" t="s">
        <v>5915</v>
      </c>
      <c r="C61" s="370" t="s">
        <v>8131</v>
      </c>
      <c r="D61" s="371" t="s">
        <v>8144</v>
      </c>
      <c r="E61" s="371" t="s">
        <v>8145</v>
      </c>
      <c r="F61" s="404">
        <v>2</v>
      </c>
      <c r="G61" s="372" t="s">
        <v>7840</v>
      </c>
      <c r="H61" s="372" t="s">
        <v>7352</v>
      </c>
      <c r="I61" s="371"/>
      <c r="J61" s="371"/>
      <c r="K61" s="370"/>
      <c r="L61" s="370" t="s">
        <v>8146</v>
      </c>
      <c r="M61" s="370" t="s">
        <v>4</v>
      </c>
      <c r="N61" s="370" t="s">
        <v>8026</v>
      </c>
      <c r="O61" s="370" t="s">
        <v>8027</v>
      </c>
      <c r="P61" s="405"/>
    </row>
    <row r="62" spans="1:16" ht="19" customHeight="1">
      <c r="A62" s="369" t="s">
        <v>2529</v>
      </c>
      <c r="B62" s="373" t="s">
        <v>5916</v>
      </c>
      <c r="C62" s="370" t="s">
        <v>8131</v>
      </c>
      <c r="D62" s="371" t="s">
        <v>8147</v>
      </c>
      <c r="E62" s="371" t="s">
        <v>8148</v>
      </c>
      <c r="F62" s="404">
        <v>2</v>
      </c>
      <c r="G62" s="372" t="s">
        <v>2740</v>
      </c>
      <c r="H62" s="372" t="s">
        <v>7409</v>
      </c>
      <c r="I62" s="371"/>
      <c r="J62" s="371"/>
      <c r="K62" s="370"/>
      <c r="L62" s="370" t="s">
        <v>8149</v>
      </c>
      <c r="M62" s="370" t="s">
        <v>4</v>
      </c>
      <c r="N62" s="370" t="s">
        <v>8026</v>
      </c>
      <c r="O62" s="370" t="s">
        <v>8027</v>
      </c>
      <c r="P62" s="405" t="s">
        <v>8096</v>
      </c>
    </row>
    <row r="63" spans="1:16" ht="19" customHeight="1">
      <c r="A63" s="369" t="s">
        <v>2529</v>
      </c>
      <c r="B63" s="373" t="s">
        <v>5917</v>
      </c>
      <c r="C63" s="370" t="s">
        <v>8131</v>
      </c>
      <c r="D63" s="371" t="s">
        <v>8150</v>
      </c>
      <c r="E63" s="371" t="s">
        <v>8151</v>
      </c>
      <c r="F63" s="404">
        <v>2</v>
      </c>
      <c r="G63" s="372" t="s">
        <v>7840</v>
      </c>
      <c r="H63" s="372" t="s">
        <v>7351</v>
      </c>
      <c r="I63" s="371"/>
      <c r="J63" s="371"/>
      <c r="K63" s="370"/>
      <c r="L63" s="370" t="s">
        <v>8152</v>
      </c>
      <c r="M63" s="370" t="s">
        <v>4</v>
      </c>
      <c r="N63" s="370" t="s">
        <v>8026</v>
      </c>
      <c r="O63" s="370" t="s">
        <v>8027</v>
      </c>
      <c r="P63" s="405" t="s">
        <v>8096</v>
      </c>
    </row>
    <row r="64" spans="1:16" ht="19" customHeight="1">
      <c r="A64" s="369" t="s">
        <v>2529</v>
      </c>
      <c r="B64" s="373" t="s">
        <v>5918</v>
      </c>
      <c r="C64" s="370" t="s">
        <v>8131</v>
      </c>
      <c r="D64" s="371" t="s">
        <v>8153</v>
      </c>
      <c r="E64" s="371" t="s">
        <v>8154</v>
      </c>
      <c r="F64" s="404">
        <v>3</v>
      </c>
      <c r="G64" s="372" t="s">
        <v>7840</v>
      </c>
      <c r="H64" s="372" t="s">
        <v>7351</v>
      </c>
      <c r="I64" s="371"/>
      <c r="J64" s="371"/>
      <c r="K64" s="370"/>
      <c r="L64" s="370" t="s">
        <v>8155</v>
      </c>
      <c r="M64" s="370" t="s">
        <v>4</v>
      </c>
      <c r="N64" s="370" t="s">
        <v>8026</v>
      </c>
      <c r="O64" s="370" t="s">
        <v>8027</v>
      </c>
      <c r="P64" s="405" t="s">
        <v>8096</v>
      </c>
    </row>
    <row r="65" spans="1:16" ht="19" customHeight="1">
      <c r="A65" s="369" t="s">
        <v>2529</v>
      </c>
      <c r="B65" s="373" t="s">
        <v>8156</v>
      </c>
      <c r="C65" s="370" t="s">
        <v>8131</v>
      </c>
      <c r="D65" s="371" t="s">
        <v>8157</v>
      </c>
      <c r="E65" s="371" t="s">
        <v>8158</v>
      </c>
      <c r="F65" s="404">
        <v>5</v>
      </c>
      <c r="G65" s="372" t="s">
        <v>2740</v>
      </c>
      <c r="H65" s="372" t="s">
        <v>7289</v>
      </c>
      <c r="I65" s="371"/>
      <c r="J65" s="371"/>
      <c r="K65" s="370"/>
      <c r="L65" s="370" t="s">
        <v>8159</v>
      </c>
      <c r="M65" s="370" t="s">
        <v>4</v>
      </c>
      <c r="N65" s="370" t="s">
        <v>8026</v>
      </c>
      <c r="O65" s="370" t="s">
        <v>8027</v>
      </c>
      <c r="P65" s="405"/>
    </row>
    <row r="66" spans="1:16" ht="19" customHeight="1">
      <c r="A66" s="369" t="s">
        <v>2529</v>
      </c>
      <c r="B66" s="373" t="s">
        <v>8160</v>
      </c>
      <c r="C66" s="370" t="s">
        <v>8131</v>
      </c>
      <c r="D66" s="371" t="s">
        <v>8161</v>
      </c>
      <c r="E66" s="371" t="s">
        <v>8158</v>
      </c>
      <c r="F66" s="404">
        <v>3</v>
      </c>
      <c r="G66" s="372" t="s">
        <v>2740</v>
      </c>
      <c r="H66" s="372" t="s">
        <v>7289</v>
      </c>
      <c r="I66" s="371"/>
      <c r="J66" s="371"/>
      <c r="K66" s="370"/>
      <c r="L66" s="370" t="s">
        <v>8159</v>
      </c>
      <c r="M66" s="370" t="s">
        <v>4</v>
      </c>
      <c r="N66" s="370" t="s">
        <v>8026</v>
      </c>
      <c r="O66" s="370" t="s">
        <v>8027</v>
      </c>
      <c r="P66" s="405"/>
    </row>
    <row r="67" spans="1:16" ht="19" customHeight="1">
      <c r="A67" s="369" t="s">
        <v>2529</v>
      </c>
      <c r="B67" s="373" t="s">
        <v>8162</v>
      </c>
      <c r="C67" s="370" t="s">
        <v>8131</v>
      </c>
      <c r="D67" s="371" t="s">
        <v>8163</v>
      </c>
      <c r="E67" s="371" t="s">
        <v>8158</v>
      </c>
      <c r="F67" s="404">
        <v>4</v>
      </c>
      <c r="G67" s="372" t="s">
        <v>2740</v>
      </c>
      <c r="H67" s="372" t="s">
        <v>7289</v>
      </c>
      <c r="I67" s="371"/>
      <c r="J67" s="371"/>
      <c r="K67" s="370"/>
      <c r="L67" s="370" t="s">
        <v>8159</v>
      </c>
      <c r="M67" s="370" t="s">
        <v>4</v>
      </c>
      <c r="N67" s="370" t="s">
        <v>8026</v>
      </c>
      <c r="O67" s="370" t="s">
        <v>8027</v>
      </c>
      <c r="P67" s="405"/>
    </row>
    <row r="68" spans="1:16" ht="19" customHeight="1">
      <c r="A68" s="369" t="s">
        <v>2529</v>
      </c>
      <c r="B68" s="373" t="s">
        <v>8164</v>
      </c>
      <c r="C68" s="370" t="s">
        <v>8131</v>
      </c>
      <c r="D68" s="371" t="s">
        <v>8165</v>
      </c>
      <c r="E68" s="371" t="s">
        <v>8158</v>
      </c>
      <c r="F68" s="404">
        <v>3</v>
      </c>
      <c r="G68" s="372" t="s">
        <v>2740</v>
      </c>
      <c r="H68" s="372" t="s">
        <v>7289</v>
      </c>
      <c r="I68" s="371"/>
      <c r="J68" s="371"/>
      <c r="K68" s="370"/>
      <c r="L68" s="370" t="s">
        <v>8159</v>
      </c>
      <c r="M68" s="370" t="s">
        <v>4</v>
      </c>
      <c r="N68" s="370" t="s">
        <v>8026</v>
      </c>
      <c r="O68" s="370" t="s">
        <v>8027</v>
      </c>
      <c r="P68" s="405"/>
    </row>
    <row r="69" spans="1:16" ht="19" customHeight="1">
      <c r="A69" s="369" t="s">
        <v>2529</v>
      </c>
      <c r="B69" s="373" t="s">
        <v>8166</v>
      </c>
      <c r="C69" s="370" t="s">
        <v>8131</v>
      </c>
      <c r="D69" s="371" t="s">
        <v>8167</v>
      </c>
      <c r="E69" s="371" t="s">
        <v>8168</v>
      </c>
      <c r="F69" s="404">
        <v>1</v>
      </c>
      <c r="G69" s="372" t="s">
        <v>2740</v>
      </c>
      <c r="H69" s="372" t="s">
        <v>7394</v>
      </c>
      <c r="I69" s="371"/>
      <c r="J69" s="371"/>
      <c r="K69" s="370"/>
      <c r="L69" s="370" t="s">
        <v>8169</v>
      </c>
      <c r="M69" s="370" t="s">
        <v>4</v>
      </c>
      <c r="N69" s="370" t="s">
        <v>8026</v>
      </c>
      <c r="O69" s="370" t="s">
        <v>8027</v>
      </c>
      <c r="P69" s="405" t="s">
        <v>8096</v>
      </c>
    </row>
    <row r="70" spans="1:16" ht="19" customHeight="1">
      <c r="A70" s="369" t="s">
        <v>2529</v>
      </c>
      <c r="B70" s="373" t="s">
        <v>8170</v>
      </c>
      <c r="C70" s="370" t="s">
        <v>8131</v>
      </c>
      <c r="D70" s="371" t="s">
        <v>8171</v>
      </c>
      <c r="E70" s="371" t="s">
        <v>8172</v>
      </c>
      <c r="F70" s="404">
        <v>1</v>
      </c>
      <c r="G70" s="372" t="s">
        <v>7814</v>
      </c>
      <c r="H70" s="372" t="s">
        <v>7304</v>
      </c>
      <c r="I70" s="371"/>
      <c r="J70" s="371"/>
      <c r="K70" s="370"/>
      <c r="L70" s="370" t="s">
        <v>8173</v>
      </c>
      <c r="M70" s="370" t="s">
        <v>4</v>
      </c>
      <c r="N70" s="370" t="s">
        <v>8026</v>
      </c>
      <c r="O70" s="370" t="s">
        <v>8027</v>
      </c>
      <c r="P70" s="405" t="s">
        <v>8096</v>
      </c>
    </row>
    <row r="71" spans="1:16" ht="19" customHeight="1">
      <c r="A71" s="369" t="s">
        <v>2529</v>
      </c>
      <c r="B71" s="373" t="s">
        <v>8174</v>
      </c>
      <c r="C71" s="370" t="s">
        <v>8131</v>
      </c>
      <c r="D71" s="371" t="s">
        <v>8175</v>
      </c>
      <c r="E71" s="371" t="s">
        <v>8176</v>
      </c>
      <c r="F71" s="404">
        <v>2</v>
      </c>
      <c r="G71" s="372" t="s">
        <v>7826</v>
      </c>
      <c r="H71" s="372" t="s">
        <v>7398</v>
      </c>
      <c r="I71" s="371"/>
      <c r="J71" s="371"/>
      <c r="K71" s="370"/>
      <c r="L71" s="370" t="s">
        <v>8177</v>
      </c>
      <c r="M71" s="370" t="s">
        <v>4</v>
      </c>
      <c r="N71" s="370" t="s">
        <v>8026</v>
      </c>
      <c r="O71" s="370" t="s">
        <v>8027</v>
      </c>
      <c r="P71" s="405"/>
    </row>
    <row r="72" spans="1:16" ht="19" customHeight="1">
      <c r="A72" s="369" t="s">
        <v>2529</v>
      </c>
      <c r="B72" s="373" t="s">
        <v>8178</v>
      </c>
      <c r="C72" s="370" t="s">
        <v>8131</v>
      </c>
      <c r="D72" s="371" t="s">
        <v>8179</v>
      </c>
      <c r="E72" s="371" t="s">
        <v>8180</v>
      </c>
      <c r="F72" s="404">
        <v>2</v>
      </c>
      <c r="G72" s="372" t="s">
        <v>8055</v>
      </c>
      <c r="H72" s="372" t="s">
        <v>7331</v>
      </c>
      <c r="I72" s="371"/>
      <c r="J72" s="371"/>
      <c r="K72" s="370"/>
      <c r="L72" s="370" t="s">
        <v>8181</v>
      </c>
      <c r="M72" s="370" t="s">
        <v>4</v>
      </c>
      <c r="N72" s="370" t="s">
        <v>8026</v>
      </c>
      <c r="O72" s="370" t="s">
        <v>8027</v>
      </c>
      <c r="P72" s="405" t="s">
        <v>8096</v>
      </c>
    </row>
    <row r="73" spans="1:16" ht="19" customHeight="1">
      <c r="A73" s="369" t="s">
        <v>2529</v>
      </c>
      <c r="B73" s="373" t="s">
        <v>5919</v>
      </c>
      <c r="C73" s="370" t="s">
        <v>8182</v>
      </c>
      <c r="D73" s="371" t="s">
        <v>8183</v>
      </c>
      <c r="E73" s="371" t="s">
        <v>8184</v>
      </c>
      <c r="F73" s="404">
        <v>12</v>
      </c>
      <c r="G73" s="372" t="s">
        <v>2740</v>
      </c>
      <c r="H73" s="372" t="s">
        <v>8185</v>
      </c>
      <c r="I73" s="371"/>
      <c r="J73" s="371"/>
      <c r="K73" s="370"/>
      <c r="L73" s="370"/>
      <c r="M73" s="370" t="s">
        <v>4</v>
      </c>
      <c r="N73" s="370" t="s">
        <v>8026</v>
      </c>
      <c r="O73" s="370" t="s">
        <v>8027</v>
      </c>
      <c r="P73" s="405"/>
    </row>
    <row r="74" spans="1:16" ht="19" customHeight="1">
      <c r="A74" s="369" t="s">
        <v>2529</v>
      </c>
      <c r="B74" s="373" t="s">
        <v>5920</v>
      </c>
      <c r="C74" s="370" t="s">
        <v>8182</v>
      </c>
      <c r="D74" s="371" t="s">
        <v>8256</v>
      </c>
      <c r="E74" s="371" t="s">
        <v>8186</v>
      </c>
      <c r="F74" s="404">
        <v>5</v>
      </c>
      <c r="G74" s="372" t="s">
        <v>7825</v>
      </c>
      <c r="H74" s="372" t="s">
        <v>7324</v>
      </c>
      <c r="I74" s="371"/>
      <c r="J74" s="371"/>
      <c r="K74" s="370"/>
      <c r="L74" s="370"/>
      <c r="M74" s="370" t="s">
        <v>4</v>
      </c>
      <c r="N74" s="370" t="s">
        <v>8026</v>
      </c>
      <c r="O74" s="370" t="s">
        <v>8027</v>
      </c>
      <c r="P74" s="405"/>
    </row>
    <row r="75" spans="1:16" ht="19" customHeight="1">
      <c r="A75" s="369" t="s">
        <v>2529</v>
      </c>
      <c r="B75" s="373" t="s">
        <v>5921</v>
      </c>
      <c r="C75" s="370" t="s">
        <v>8182</v>
      </c>
      <c r="D75" s="371" t="s">
        <v>8187</v>
      </c>
      <c r="E75" s="371" t="s">
        <v>8188</v>
      </c>
      <c r="F75" s="404">
        <v>4</v>
      </c>
      <c r="G75" s="372" t="s">
        <v>7854</v>
      </c>
      <c r="H75" s="372" t="s">
        <v>7960</v>
      </c>
      <c r="I75" s="371"/>
      <c r="J75" s="371"/>
      <c r="K75" s="370"/>
      <c r="L75" s="370"/>
      <c r="M75" s="370" t="s">
        <v>4</v>
      </c>
      <c r="N75" s="370" t="s">
        <v>8026</v>
      </c>
      <c r="O75" s="370" t="s">
        <v>8027</v>
      </c>
      <c r="P75" s="405"/>
    </row>
    <row r="76" spans="1:16" ht="19" customHeight="1">
      <c r="A76" s="369" t="s">
        <v>2529</v>
      </c>
      <c r="B76" s="373" t="s">
        <v>5922</v>
      </c>
      <c r="C76" s="370" t="s">
        <v>8182</v>
      </c>
      <c r="D76" s="371" t="s">
        <v>8189</v>
      </c>
      <c r="E76" s="371" t="s">
        <v>8190</v>
      </c>
      <c r="F76" s="404">
        <v>4</v>
      </c>
      <c r="G76" s="372" t="s">
        <v>7853</v>
      </c>
      <c r="H76" s="372" t="s">
        <v>7302</v>
      </c>
      <c r="I76" s="371"/>
      <c r="J76" s="371"/>
      <c r="K76" s="370"/>
      <c r="L76" s="370"/>
      <c r="M76" s="370" t="s">
        <v>4</v>
      </c>
      <c r="N76" s="370" t="s">
        <v>8026</v>
      </c>
      <c r="O76" s="370" t="s">
        <v>8027</v>
      </c>
      <c r="P76" s="405"/>
    </row>
    <row r="77" spans="1:16" ht="19" customHeight="1">
      <c r="A77" s="369" t="s">
        <v>2529</v>
      </c>
      <c r="B77" s="373" t="s">
        <v>5923</v>
      </c>
      <c r="C77" s="370" t="s">
        <v>8182</v>
      </c>
      <c r="D77" s="371" t="s">
        <v>8257</v>
      </c>
      <c r="E77" s="371" t="s">
        <v>8191</v>
      </c>
      <c r="F77" s="404">
        <v>6</v>
      </c>
      <c r="G77" s="372" t="s">
        <v>2740</v>
      </c>
      <c r="H77" s="372" t="s">
        <v>7289</v>
      </c>
      <c r="I77" s="371"/>
      <c r="J77" s="371"/>
      <c r="K77" s="370"/>
      <c r="L77" s="370"/>
      <c r="M77" s="370" t="s">
        <v>4</v>
      </c>
      <c r="N77" s="370" t="s">
        <v>8026</v>
      </c>
      <c r="O77" s="370" t="s">
        <v>8027</v>
      </c>
      <c r="P77" s="405"/>
    </row>
    <row r="78" spans="1:16" ht="19" customHeight="1">
      <c r="A78" s="369" t="s">
        <v>2529</v>
      </c>
      <c r="B78" s="373" t="s">
        <v>5924</v>
      </c>
      <c r="C78" s="370" t="s">
        <v>8182</v>
      </c>
      <c r="D78" s="371" t="s">
        <v>8258</v>
      </c>
      <c r="E78" s="371" t="s">
        <v>8192</v>
      </c>
      <c r="F78" s="404">
        <v>5</v>
      </c>
      <c r="G78" s="372" t="s">
        <v>7816</v>
      </c>
      <c r="H78" s="372" t="s">
        <v>7297</v>
      </c>
      <c r="I78" s="371"/>
      <c r="J78" s="371"/>
      <c r="K78" s="370"/>
      <c r="L78" s="370"/>
      <c r="M78" s="370" t="s">
        <v>4</v>
      </c>
      <c r="N78" s="370" t="s">
        <v>8026</v>
      </c>
      <c r="O78" s="370" t="s">
        <v>8027</v>
      </c>
      <c r="P78" s="405"/>
    </row>
    <row r="79" spans="1:16" ht="19" customHeight="1">
      <c r="A79" s="369" t="s">
        <v>2529</v>
      </c>
      <c r="B79" s="373" t="s">
        <v>5925</v>
      </c>
      <c r="C79" s="370" t="s">
        <v>8193</v>
      </c>
      <c r="D79" s="371" t="s">
        <v>8259</v>
      </c>
      <c r="E79" s="371" t="s">
        <v>8194</v>
      </c>
      <c r="F79" s="404">
        <v>8</v>
      </c>
      <c r="G79" s="372" t="s">
        <v>2740</v>
      </c>
      <c r="H79" s="372" t="s">
        <v>7379</v>
      </c>
      <c r="I79" s="371"/>
      <c r="J79" s="371"/>
      <c r="K79" s="370"/>
      <c r="L79" s="370"/>
      <c r="M79" s="370" t="s">
        <v>4</v>
      </c>
      <c r="N79" s="370" t="s">
        <v>8026</v>
      </c>
      <c r="O79" s="370" t="s">
        <v>8027</v>
      </c>
      <c r="P79" s="405"/>
    </row>
    <row r="80" spans="1:16" ht="19" customHeight="1">
      <c r="A80" s="369" t="s">
        <v>2529</v>
      </c>
      <c r="B80" s="373" t="s">
        <v>5926</v>
      </c>
      <c r="C80" s="370" t="s">
        <v>8193</v>
      </c>
      <c r="D80" s="371" t="s">
        <v>8260</v>
      </c>
      <c r="E80" s="371" t="s">
        <v>8195</v>
      </c>
      <c r="F80" s="404">
        <v>3</v>
      </c>
      <c r="G80" s="372" t="s">
        <v>2740</v>
      </c>
      <c r="H80" s="372" t="s">
        <v>7379</v>
      </c>
      <c r="I80" s="371"/>
      <c r="J80" s="371"/>
      <c r="K80" s="370"/>
      <c r="L80" s="370"/>
      <c r="M80" s="370" t="s">
        <v>4</v>
      </c>
      <c r="N80" s="370" t="s">
        <v>8026</v>
      </c>
      <c r="O80" s="370" t="s">
        <v>8027</v>
      </c>
      <c r="P80" s="405"/>
    </row>
    <row r="81" spans="1:16" ht="19" customHeight="1">
      <c r="A81" s="369" t="s">
        <v>2529</v>
      </c>
      <c r="B81" s="373" t="s">
        <v>5927</v>
      </c>
      <c r="C81" s="370" t="s">
        <v>8193</v>
      </c>
      <c r="D81" s="371" t="s">
        <v>8261</v>
      </c>
      <c r="E81" s="371" t="s">
        <v>8196</v>
      </c>
      <c r="F81" s="404">
        <v>2</v>
      </c>
      <c r="G81" s="372" t="s">
        <v>2740</v>
      </c>
      <c r="H81" s="372" t="s">
        <v>7379</v>
      </c>
      <c r="I81" s="371"/>
      <c r="J81" s="371"/>
      <c r="K81" s="370"/>
      <c r="L81" s="370"/>
      <c r="M81" s="370" t="s">
        <v>4</v>
      </c>
      <c r="N81" s="370" t="s">
        <v>8026</v>
      </c>
      <c r="O81" s="370" t="s">
        <v>8027</v>
      </c>
      <c r="P81" s="405"/>
    </row>
    <row r="82" spans="1:16" ht="19" customHeight="1">
      <c r="A82" s="369" t="s">
        <v>2529</v>
      </c>
      <c r="B82" s="373" t="s">
        <v>5928</v>
      </c>
      <c r="C82" s="370" t="s">
        <v>8269</v>
      </c>
      <c r="D82" s="371" t="s">
        <v>8197</v>
      </c>
      <c r="E82" s="371" t="s">
        <v>8198</v>
      </c>
      <c r="F82" s="404">
        <v>8</v>
      </c>
      <c r="G82" s="372" t="s">
        <v>2740</v>
      </c>
      <c r="H82" s="372" t="s">
        <v>7289</v>
      </c>
      <c r="I82" s="371"/>
      <c r="J82" s="371"/>
      <c r="K82" s="370"/>
      <c r="L82" s="370"/>
      <c r="M82" s="370" t="s">
        <v>4</v>
      </c>
      <c r="N82" s="370" t="s">
        <v>8026</v>
      </c>
      <c r="O82" s="370" t="s">
        <v>8027</v>
      </c>
      <c r="P82" s="405"/>
    </row>
    <row r="83" spans="1:16" ht="19" customHeight="1">
      <c r="A83" s="369" t="s">
        <v>2529</v>
      </c>
      <c r="B83" s="373" t="s">
        <v>5929</v>
      </c>
      <c r="C83" s="370" t="s">
        <v>8269</v>
      </c>
      <c r="D83" s="371" t="s">
        <v>8199</v>
      </c>
      <c r="E83" s="371" t="s">
        <v>8200</v>
      </c>
      <c r="F83" s="404">
        <v>4</v>
      </c>
      <c r="G83" s="372" t="s">
        <v>2740</v>
      </c>
      <c r="H83" s="372" t="s">
        <v>7289</v>
      </c>
      <c r="I83" s="371"/>
      <c r="J83" s="371"/>
      <c r="K83" s="370"/>
      <c r="L83" s="370"/>
      <c r="M83" s="370" t="s">
        <v>4</v>
      </c>
      <c r="N83" s="370" t="s">
        <v>8026</v>
      </c>
      <c r="O83" s="370" t="s">
        <v>8027</v>
      </c>
      <c r="P83" s="405"/>
    </row>
    <row r="84" spans="1:16" ht="19" customHeight="1">
      <c r="A84" s="369" t="s">
        <v>2529</v>
      </c>
      <c r="B84" s="373" t="s">
        <v>5930</v>
      </c>
      <c r="C84" s="370" t="s">
        <v>8269</v>
      </c>
      <c r="D84" s="371" t="s">
        <v>8262</v>
      </c>
      <c r="E84" s="371" t="s">
        <v>8201</v>
      </c>
      <c r="F84" s="404">
        <v>4</v>
      </c>
      <c r="G84" s="372" t="s">
        <v>2740</v>
      </c>
      <c r="H84" s="372" t="s">
        <v>7289</v>
      </c>
      <c r="I84" s="371"/>
      <c r="J84" s="371"/>
      <c r="K84" s="370"/>
      <c r="L84" s="370"/>
      <c r="M84" s="370" t="s">
        <v>4</v>
      </c>
      <c r="N84" s="370" t="s">
        <v>8026</v>
      </c>
      <c r="O84" s="370" t="s">
        <v>8027</v>
      </c>
      <c r="P84" s="405"/>
    </row>
    <row r="85" spans="1:16" ht="19" customHeight="1">
      <c r="A85" s="369" t="s">
        <v>2529</v>
      </c>
      <c r="B85" s="373" t="s">
        <v>5931</v>
      </c>
      <c r="C85" s="370" t="s">
        <v>8269</v>
      </c>
      <c r="D85" s="371" t="s">
        <v>8202</v>
      </c>
      <c r="E85" s="371" t="s">
        <v>8203</v>
      </c>
      <c r="F85" s="404">
        <v>4</v>
      </c>
      <c r="G85" s="372" t="s">
        <v>2740</v>
      </c>
      <c r="H85" s="372" t="s">
        <v>7289</v>
      </c>
      <c r="I85" s="371"/>
      <c r="J85" s="371"/>
      <c r="K85" s="370"/>
      <c r="L85" s="370"/>
      <c r="M85" s="370" t="s">
        <v>4</v>
      </c>
      <c r="N85" s="370" t="s">
        <v>8026</v>
      </c>
      <c r="O85" s="370" t="s">
        <v>8027</v>
      </c>
      <c r="P85" s="405"/>
    </row>
    <row r="86" spans="1:16" ht="19" customHeight="1">
      <c r="A86" s="369" t="s">
        <v>2529</v>
      </c>
      <c r="B86" s="373" t="s">
        <v>5932</v>
      </c>
      <c r="C86" s="370" t="s">
        <v>8269</v>
      </c>
      <c r="D86" s="371" t="s">
        <v>8204</v>
      </c>
      <c r="E86" s="371" t="s">
        <v>8205</v>
      </c>
      <c r="F86" s="404">
        <v>3</v>
      </c>
      <c r="G86" s="372" t="s">
        <v>2740</v>
      </c>
      <c r="H86" s="372" t="s">
        <v>7289</v>
      </c>
      <c r="I86" s="371"/>
      <c r="J86" s="371"/>
      <c r="K86" s="370"/>
      <c r="L86" s="370"/>
      <c r="M86" s="370" t="s">
        <v>4</v>
      </c>
      <c r="N86" s="370" t="s">
        <v>8026</v>
      </c>
      <c r="O86" s="370" t="s">
        <v>8027</v>
      </c>
      <c r="P86" s="405"/>
    </row>
    <row r="87" spans="1:16" ht="19" customHeight="1">
      <c r="A87" s="369" t="s">
        <v>2529</v>
      </c>
      <c r="B87" s="373" t="s">
        <v>5933</v>
      </c>
      <c r="C87" s="370" t="s">
        <v>8269</v>
      </c>
      <c r="D87" s="371" t="s">
        <v>8206</v>
      </c>
      <c r="E87" s="371" t="s">
        <v>8207</v>
      </c>
      <c r="F87" s="404">
        <v>2</v>
      </c>
      <c r="G87" s="372" t="s">
        <v>2740</v>
      </c>
      <c r="H87" s="372" t="s">
        <v>7289</v>
      </c>
      <c r="I87" s="371"/>
      <c r="J87" s="371"/>
      <c r="K87" s="370"/>
      <c r="L87" s="370"/>
      <c r="M87" s="370" t="s">
        <v>4</v>
      </c>
      <c r="N87" s="370" t="s">
        <v>8026</v>
      </c>
      <c r="O87" s="370" t="s">
        <v>8027</v>
      </c>
      <c r="P87" s="405" t="s">
        <v>8096</v>
      </c>
    </row>
    <row r="88" spans="1:16" ht="19" customHeight="1">
      <c r="A88" s="369" t="s">
        <v>2529</v>
      </c>
      <c r="B88" s="373" t="s">
        <v>8208</v>
      </c>
      <c r="C88" s="370" t="s">
        <v>8269</v>
      </c>
      <c r="D88" s="371" t="s">
        <v>8209</v>
      </c>
      <c r="E88" s="371" t="s">
        <v>8210</v>
      </c>
      <c r="F88" s="404">
        <v>2</v>
      </c>
      <c r="G88" s="372" t="s">
        <v>2740</v>
      </c>
      <c r="H88" s="372" t="s">
        <v>7289</v>
      </c>
      <c r="I88" s="371"/>
      <c r="J88" s="371"/>
      <c r="K88" s="370"/>
      <c r="L88" s="370"/>
      <c r="M88" s="370" t="s">
        <v>4</v>
      </c>
      <c r="N88" s="370" t="s">
        <v>8026</v>
      </c>
      <c r="O88" s="370" t="s">
        <v>8027</v>
      </c>
      <c r="P88" s="405" t="s">
        <v>8096</v>
      </c>
    </row>
    <row r="89" spans="1:16" ht="19" customHeight="1">
      <c r="A89" s="369" t="s">
        <v>2529</v>
      </c>
      <c r="B89" s="373" t="s">
        <v>8211</v>
      </c>
      <c r="C89" s="370" t="s">
        <v>8269</v>
      </c>
      <c r="D89" s="371" t="s">
        <v>8263</v>
      </c>
      <c r="E89" s="371" t="s">
        <v>8212</v>
      </c>
      <c r="F89" s="404">
        <v>3</v>
      </c>
      <c r="G89" s="372" t="s">
        <v>2740</v>
      </c>
      <c r="H89" s="372" t="s">
        <v>7289</v>
      </c>
      <c r="I89" s="371"/>
      <c r="J89" s="371"/>
      <c r="K89" s="370"/>
      <c r="L89" s="370"/>
      <c r="M89" s="370" t="s">
        <v>4</v>
      </c>
      <c r="N89" s="370" t="s">
        <v>8026</v>
      </c>
      <c r="O89" s="370" t="s">
        <v>8027</v>
      </c>
      <c r="P89" s="405" t="s">
        <v>8096</v>
      </c>
    </row>
    <row r="90" spans="1:16" ht="19" customHeight="1">
      <c r="A90" s="369" t="s">
        <v>2529</v>
      </c>
      <c r="B90" s="373" t="s">
        <v>5934</v>
      </c>
      <c r="C90" s="370" t="s">
        <v>8270</v>
      </c>
      <c r="D90" s="371" t="s">
        <v>8213</v>
      </c>
      <c r="E90" s="371" t="s">
        <v>8214</v>
      </c>
      <c r="F90" s="404">
        <v>3</v>
      </c>
      <c r="G90" s="372" t="s">
        <v>7815</v>
      </c>
      <c r="H90" s="372" t="s">
        <v>7305</v>
      </c>
      <c r="I90" s="371"/>
      <c r="J90" s="371"/>
      <c r="K90" s="370"/>
      <c r="L90" s="370"/>
      <c r="M90" s="370" t="s">
        <v>4</v>
      </c>
      <c r="N90" s="370" t="s">
        <v>8026</v>
      </c>
      <c r="O90" s="370" t="s">
        <v>8027</v>
      </c>
      <c r="P90" s="405"/>
    </row>
    <row r="91" spans="1:16" ht="19" customHeight="1">
      <c r="A91" s="369" t="s">
        <v>2529</v>
      </c>
      <c r="B91" s="373" t="s">
        <v>5935</v>
      </c>
      <c r="C91" s="370" t="s">
        <v>8270</v>
      </c>
      <c r="D91" s="371" t="s">
        <v>8264</v>
      </c>
      <c r="E91" s="371" t="s">
        <v>8215</v>
      </c>
      <c r="F91" s="404">
        <v>4</v>
      </c>
      <c r="G91" s="372" t="s">
        <v>8216</v>
      </c>
      <c r="H91" s="372" t="s">
        <v>7965</v>
      </c>
      <c r="I91" s="371"/>
      <c r="J91" s="371"/>
      <c r="K91" s="370"/>
      <c r="L91" s="370"/>
      <c r="M91" s="370" t="s">
        <v>4</v>
      </c>
      <c r="N91" s="370" t="s">
        <v>8026</v>
      </c>
      <c r="O91" s="370" t="s">
        <v>8027</v>
      </c>
      <c r="P91" s="405"/>
    </row>
    <row r="92" spans="1:16" ht="19" customHeight="1">
      <c r="A92" s="369" t="s">
        <v>2529</v>
      </c>
      <c r="B92" s="373" t="s">
        <v>5936</v>
      </c>
      <c r="C92" s="370" t="s">
        <v>8270</v>
      </c>
      <c r="D92" s="371" t="s">
        <v>8217</v>
      </c>
      <c r="E92" s="371" t="s">
        <v>8218</v>
      </c>
      <c r="F92" s="404">
        <v>3</v>
      </c>
      <c r="G92" s="372" t="s">
        <v>7817</v>
      </c>
      <c r="H92" s="372" t="s">
        <v>7301</v>
      </c>
      <c r="I92" s="371"/>
      <c r="J92" s="371"/>
      <c r="K92" s="370"/>
      <c r="L92" s="370"/>
      <c r="M92" s="370" t="s">
        <v>4</v>
      </c>
      <c r="N92" s="370" t="s">
        <v>8026</v>
      </c>
      <c r="O92" s="370" t="s">
        <v>8027</v>
      </c>
      <c r="P92" s="405"/>
    </row>
    <row r="93" spans="1:16" ht="19" customHeight="1">
      <c r="A93" s="369" t="s">
        <v>2529</v>
      </c>
      <c r="B93" s="373" t="s">
        <v>5937</v>
      </c>
      <c r="C93" s="370" t="s">
        <v>8270</v>
      </c>
      <c r="D93" s="371" t="s">
        <v>8265</v>
      </c>
      <c r="E93" s="371" t="s">
        <v>8219</v>
      </c>
      <c r="F93" s="404">
        <v>3</v>
      </c>
      <c r="G93" s="372" t="s">
        <v>2740</v>
      </c>
      <c r="H93" s="372" t="s">
        <v>7635</v>
      </c>
      <c r="I93" s="371"/>
      <c r="J93" s="371"/>
      <c r="K93" s="370"/>
      <c r="L93" s="370"/>
      <c r="M93" s="370" t="s">
        <v>4</v>
      </c>
      <c r="N93" s="370" t="s">
        <v>8026</v>
      </c>
      <c r="O93" s="370" t="s">
        <v>8027</v>
      </c>
      <c r="P93" s="405"/>
    </row>
    <row r="94" spans="1:16" ht="19" customHeight="1">
      <c r="A94" s="369" t="s">
        <v>2529</v>
      </c>
      <c r="B94" s="373" t="s">
        <v>5938</v>
      </c>
      <c r="C94" s="370" t="s">
        <v>8270</v>
      </c>
      <c r="D94" s="371" t="s">
        <v>8220</v>
      </c>
      <c r="E94" s="371" t="s">
        <v>8221</v>
      </c>
      <c r="F94" s="404">
        <v>2</v>
      </c>
      <c r="G94" s="372" t="s">
        <v>2740</v>
      </c>
      <c r="H94" s="372" t="s">
        <v>7635</v>
      </c>
      <c r="I94" s="371"/>
      <c r="J94" s="371"/>
      <c r="K94" s="370"/>
      <c r="L94" s="370"/>
      <c r="M94" s="370" t="s">
        <v>4</v>
      </c>
      <c r="N94" s="370" t="s">
        <v>8026</v>
      </c>
      <c r="O94" s="370" t="s">
        <v>8027</v>
      </c>
      <c r="P94" s="405" t="s">
        <v>8096</v>
      </c>
    </row>
    <row r="95" spans="1:16" ht="19" customHeight="1">
      <c r="A95" s="369" t="s">
        <v>2529</v>
      </c>
      <c r="B95" s="373" t="s">
        <v>8222</v>
      </c>
      <c r="C95" s="370" t="s">
        <v>8270</v>
      </c>
      <c r="D95" s="371" t="s">
        <v>8223</v>
      </c>
      <c r="E95" s="371" t="s">
        <v>8224</v>
      </c>
      <c r="F95" s="404">
        <v>2</v>
      </c>
      <c r="G95" s="372" t="s">
        <v>2740</v>
      </c>
      <c r="H95" s="372" t="s">
        <v>7635</v>
      </c>
      <c r="I95" s="371"/>
      <c r="J95" s="371"/>
      <c r="K95" s="370"/>
      <c r="L95" s="370"/>
      <c r="M95" s="370" t="s">
        <v>4</v>
      </c>
      <c r="N95" s="370" t="s">
        <v>8026</v>
      </c>
      <c r="O95" s="370" t="s">
        <v>8027</v>
      </c>
      <c r="P95" s="405" t="s">
        <v>8225</v>
      </c>
    </row>
    <row r="96" spans="1:16" ht="19" customHeight="1">
      <c r="A96" s="369" t="s">
        <v>2529</v>
      </c>
      <c r="B96" s="373" t="s">
        <v>5939</v>
      </c>
      <c r="C96" s="370" t="s">
        <v>8271</v>
      </c>
      <c r="D96" s="371" t="s">
        <v>8226</v>
      </c>
      <c r="E96" s="371" t="s">
        <v>8227</v>
      </c>
      <c r="F96" s="404">
        <v>3</v>
      </c>
      <c r="G96" s="372" t="s">
        <v>2740</v>
      </c>
      <c r="H96" s="372" t="s">
        <v>7289</v>
      </c>
      <c r="I96" s="371"/>
      <c r="J96" s="371"/>
      <c r="K96" s="370"/>
      <c r="L96" s="370"/>
      <c r="M96" s="370" t="s">
        <v>4</v>
      </c>
      <c r="N96" s="370" t="s">
        <v>8026</v>
      </c>
      <c r="O96" s="370" t="s">
        <v>8027</v>
      </c>
      <c r="P96" s="405"/>
    </row>
    <row r="97" spans="1:16" ht="19" customHeight="1">
      <c r="A97" s="369" t="s">
        <v>2529</v>
      </c>
      <c r="B97" s="373" t="s">
        <v>5940</v>
      </c>
      <c r="C97" s="370" t="s">
        <v>8271</v>
      </c>
      <c r="D97" s="371" t="s">
        <v>8228</v>
      </c>
      <c r="E97" s="371" t="s">
        <v>8229</v>
      </c>
      <c r="F97" s="404">
        <v>14</v>
      </c>
      <c r="G97" s="372" t="s">
        <v>2740</v>
      </c>
      <c r="H97" s="372" t="s">
        <v>7289</v>
      </c>
      <c r="I97" s="371"/>
      <c r="J97" s="371"/>
      <c r="K97" s="370"/>
      <c r="L97" s="370"/>
      <c r="M97" s="370" t="s">
        <v>4</v>
      </c>
      <c r="N97" s="370" t="s">
        <v>8026</v>
      </c>
      <c r="O97" s="370" t="s">
        <v>8027</v>
      </c>
      <c r="P97" s="405"/>
    </row>
    <row r="98" spans="1:16" ht="19" customHeight="1">
      <c r="A98" s="369" t="s">
        <v>2529</v>
      </c>
      <c r="B98" s="373" t="s">
        <v>5941</v>
      </c>
      <c r="C98" s="370" t="s">
        <v>8271</v>
      </c>
      <c r="D98" s="371" t="s">
        <v>8230</v>
      </c>
      <c r="E98" s="371" t="s">
        <v>8229</v>
      </c>
      <c r="F98" s="404">
        <v>12</v>
      </c>
      <c r="G98" s="372" t="s">
        <v>2740</v>
      </c>
      <c r="H98" s="372" t="s">
        <v>7289</v>
      </c>
      <c r="I98" s="371"/>
      <c r="J98" s="371"/>
      <c r="K98" s="370"/>
      <c r="L98" s="370"/>
      <c r="M98" s="370" t="s">
        <v>4</v>
      </c>
      <c r="N98" s="370" t="s">
        <v>8026</v>
      </c>
      <c r="O98" s="370" t="s">
        <v>8027</v>
      </c>
      <c r="P98" s="405"/>
    </row>
    <row r="99" spans="1:16" ht="19" customHeight="1">
      <c r="A99" s="369" t="s">
        <v>2529</v>
      </c>
      <c r="B99" s="373" t="s">
        <v>5942</v>
      </c>
      <c r="C99" s="370" t="s">
        <v>8271</v>
      </c>
      <c r="D99" s="371" t="s">
        <v>8231</v>
      </c>
      <c r="E99" s="371" t="s">
        <v>8229</v>
      </c>
      <c r="F99" s="404">
        <v>20</v>
      </c>
      <c r="G99" s="372" t="s">
        <v>2740</v>
      </c>
      <c r="H99" s="372" t="s">
        <v>7289</v>
      </c>
      <c r="I99" s="371"/>
      <c r="J99" s="371"/>
      <c r="K99" s="370"/>
      <c r="L99" s="370"/>
      <c r="M99" s="370" t="s">
        <v>4</v>
      </c>
      <c r="N99" s="370" t="s">
        <v>8026</v>
      </c>
      <c r="O99" s="370" t="s">
        <v>8027</v>
      </c>
      <c r="P99" s="405"/>
    </row>
    <row r="100" spans="1:16" ht="19" customHeight="1">
      <c r="A100" s="369" t="s">
        <v>2529</v>
      </c>
      <c r="B100" s="373" t="s">
        <v>5943</v>
      </c>
      <c r="C100" s="370" t="s">
        <v>8271</v>
      </c>
      <c r="D100" s="371" t="s">
        <v>8232</v>
      </c>
      <c r="E100" s="371" t="s">
        <v>8229</v>
      </c>
      <c r="F100" s="404">
        <v>18</v>
      </c>
      <c r="G100" s="372" t="s">
        <v>2740</v>
      </c>
      <c r="H100" s="372" t="s">
        <v>7289</v>
      </c>
      <c r="I100" s="371"/>
      <c r="J100" s="371"/>
      <c r="K100" s="370"/>
      <c r="L100" s="370"/>
      <c r="M100" s="370" t="s">
        <v>4</v>
      </c>
      <c r="N100" s="370" t="s">
        <v>8026</v>
      </c>
      <c r="O100" s="370" t="s">
        <v>8027</v>
      </c>
      <c r="P100" s="405"/>
    </row>
    <row r="101" spans="1:16" ht="19" customHeight="1">
      <c r="A101" s="369" t="s">
        <v>2529</v>
      </c>
      <c r="B101" s="373" t="s">
        <v>5944</v>
      </c>
      <c r="C101" s="370" t="s">
        <v>8271</v>
      </c>
      <c r="D101" s="371" t="s">
        <v>8266</v>
      </c>
      <c r="E101" s="371" t="s">
        <v>8233</v>
      </c>
      <c r="F101" s="404">
        <v>5</v>
      </c>
      <c r="G101" s="372" t="s">
        <v>2740</v>
      </c>
      <c r="H101" s="372" t="s">
        <v>7289</v>
      </c>
      <c r="I101" s="371"/>
      <c r="J101" s="371"/>
      <c r="K101" s="370"/>
      <c r="L101" s="370"/>
      <c r="M101" s="370" t="s">
        <v>4</v>
      </c>
      <c r="N101" s="370" t="s">
        <v>8026</v>
      </c>
      <c r="O101" s="370" t="s">
        <v>8027</v>
      </c>
      <c r="P101" s="405"/>
    </row>
    <row r="102" spans="1:16" ht="19" customHeight="1">
      <c r="A102" s="369" t="s">
        <v>2529</v>
      </c>
      <c r="B102" s="373" t="s">
        <v>5945</v>
      </c>
      <c r="C102" s="370" t="s">
        <v>5946</v>
      </c>
      <c r="D102" s="371" t="s">
        <v>5947</v>
      </c>
      <c r="E102" s="371" t="s">
        <v>8234</v>
      </c>
      <c r="F102" s="404">
        <v>4</v>
      </c>
      <c r="G102" s="372" t="s">
        <v>2740</v>
      </c>
      <c r="H102" s="372" t="s">
        <v>7289</v>
      </c>
      <c r="I102" s="371"/>
      <c r="J102" s="371"/>
      <c r="K102" s="370"/>
      <c r="L102" s="370"/>
      <c r="M102" s="370" t="s">
        <v>4</v>
      </c>
      <c r="N102" s="370" t="s">
        <v>8026</v>
      </c>
      <c r="O102" s="370" t="s">
        <v>8027</v>
      </c>
      <c r="P102" s="405"/>
    </row>
    <row r="103" spans="1:16" ht="19" customHeight="1">
      <c r="A103" s="369" t="s">
        <v>2529</v>
      </c>
      <c r="B103" s="373" t="s">
        <v>5948</v>
      </c>
      <c r="C103" s="370" t="s">
        <v>5946</v>
      </c>
      <c r="D103" s="371" t="s">
        <v>5949</v>
      </c>
      <c r="E103" s="371" t="s">
        <v>8235</v>
      </c>
      <c r="F103" s="404">
        <v>4</v>
      </c>
      <c r="G103" s="372" t="s">
        <v>2740</v>
      </c>
      <c r="H103" s="372" t="s">
        <v>7289</v>
      </c>
      <c r="I103" s="371"/>
      <c r="J103" s="371"/>
      <c r="K103" s="370"/>
      <c r="L103" s="370"/>
      <c r="M103" s="370" t="s">
        <v>4</v>
      </c>
      <c r="N103" s="370" t="s">
        <v>8026</v>
      </c>
      <c r="O103" s="370" t="s">
        <v>8027</v>
      </c>
      <c r="P103" s="405"/>
    </row>
    <row r="104" spans="1:16" ht="19" customHeight="1">
      <c r="A104" s="369" t="s">
        <v>2529</v>
      </c>
      <c r="B104" s="373" t="s">
        <v>5950</v>
      </c>
      <c r="C104" s="370" t="s">
        <v>5946</v>
      </c>
      <c r="D104" s="371" t="s">
        <v>5951</v>
      </c>
      <c r="E104" s="371" t="s">
        <v>8234</v>
      </c>
      <c r="F104" s="404">
        <v>4</v>
      </c>
      <c r="G104" s="372" t="s">
        <v>2740</v>
      </c>
      <c r="H104" s="372" t="s">
        <v>7289</v>
      </c>
      <c r="I104" s="371"/>
      <c r="J104" s="371"/>
      <c r="K104" s="370"/>
      <c r="L104" s="370"/>
      <c r="M104" s="370" t="s">
        <v>4</v>
      </c>
      <c r="N104" s="370" t="s">
        <v>8026</v>
      </c>
      <c r="O104" s="370" t="s">
        <v>8027</v>
      </c>
      <c r="P104" s="405"/>
    </row>
    <row r="105" spans="1:16" ht="19" customHeight="1">
      <c r="A105" s="369" t="s">
        <v>2529</v>
      </c>
      <c r="B105" s="373" t="s">
        <v>5952</v>
      </c>
      <c r="C105" s="370" t="s">
        <v>5946</v>
      </c>
      <c r="D105" s="371" t="s">
        <v>5953</v>
      </c>
      <c r="E105" s="371" t="s">
        <v>8235</v>
      </c>
      <c r="F105" s="404">
        <v>4</v>
      </c>
      <c r="G105" s="372" t="s">
        <v>2740</v>
      </c>
      <c r="H105" s="372" t="s">
        <v>7289</v>
      </c>
      <c r="I105" s="371"/>
      <c r="J105" s="371"/>
      <c r="K105" s="370"/>
      <c r="L105" s="370"/>
      <c r="M105" s="370" t="s">
        <v>4</v>
      </c>
      <c r="N105" s="370" t="s">
        <v>8026</v>
      </c>
      <c r="O105" s="370" t="s">
        <v>8027</v>
      </c>
      <c r="P105" s="405"/>
    </row>
    <row r="106" spans="1:16" ht="19" customHeight="1">
      <c r="A106" s="369" t="s">
        <v>2529</v>
      </c>
      <c r="B106" s="373" t="s">
        <v>5954</v>
      </c>
      <c r="C106" s="370" t="s">
        <v>5946</v>
      </c>
      <c r="D106" s="371" t="s">
        <v>8267</v>
      </c>
      <c r="E106" s="371" t="s">
        <v>8236</v>
      </c>
      <c r="F106" s="404">
        <v>5</v>
      </c>
      <c r="G106" s="372" t="s">
        <v>2740</v>
      </c>
      <c r="H106" s="372" t="s">
        <v>7289</v>
      </c>
      <c r="I106" s="371"/>
      <c r="J106" s="371"/>
      <c r="K106" s="370"/>
      <c r="L106" s="370"/>
      <c r="M106" s="370" t="s">
        <v>4</v>
      </c>
      <c r="N106" s="370" t="s">
        <v>8026</v>
      </c>
      <c r="O106" s="370" t="s">
        <v>8027</v>
      </c>
      <c r="P106" s="405"/>
    </row>
    <row r="107" spans="1:16" ht="19" customHeight="1">
      <c r="A107" s="369" t="s">
        <v>2529</v>
      </c>
      <c r="B107" s="373" t="s">
        <v>5955</v>
      </c>
      <c r="C107" s="370" t="s">
        <v>5946</v>
      </c>
      <c r="D107" s="371" t="s">
        <v>8268</v>
      </c>
      <c r="E107" s="371" t="s">
        <v>8237</v>
      </c>
      <c r="F107" s="404">
        <v>8</v>
      </c>
      <c r="G107" s="372" t="s">
        <v>2740</v>
      </c>
      <c r="H107" s="372" t="s">
        <v>7289</v>
      </c>
      <c r="I107" s="371"/>
      <c r="J107" s="371"/>
      <c r="K107" s="370"/>
      <c r="L107" s="370"/>
      <c r="M107" s="370" t="s">
        <v>4</v>
      </c>
      <c r="N107" s="370" t="s">
        <v>8026</v>
      </c>
      <c r="O107" s="370" t="s">
        <v>8027</v>
      </c>
      <c r="P107" s="405"/>
    </row>
    <row r="108" spans="1:16" ht="19" customHeight="1">
      <c r="A108" s="369" t="s">
        <v>5960</v>
      </c>
      <c r="B108" s="373" t="s">
        <v>2230</v>
      </c>
      <c r="C108" s="370" t="s">
        <v>503</v>
      </c>
      <c r="D108" s="371" t="s">
        <v>2231</v>
      </c>
      <c r="E108" s="371" t="s">
        <v>5961</v>
      </c>
      <c r="F108" s="404">
        <v>4</v>
      </c>
      <c r="G108" s="372"/>
      <c r="H108" s="372"/>
      <c r="I108" s="371" t="s">
        <v>5426</v>
      </c>
      <c r="J108" s="371" t="s">
        <v>2233</v>
      </c>
      <c r="K108" s="370" t="s">
        <v>2232</v>
      </c>
      <c r="L108" s="370" t="s">
        <v>2446</v>
      </c>
      <c r="M108" s="370" t="s">
        <v>2235</v>
      </c>
      <c r="N108" s="370" t="s">
        <v>2236</v>
      </c>
      <c r="O108" s="370" t="s">
        <v>2447</v>
      </c>
      <c r="P108" s="405" t="s">
        <v>5962</v>
      </c>
    </row>
    <row r="109" spans="1:16" ht="19" customHeight="1">
      <c r="A109" s="369" t="s">
        <v>5960</v>
      </c>
      <c r="B109" s="373" t="s">
        <v>2237</v>
      </c>
      <c r="C109" s="370" t="s">
        <v>503</v>
      </c>
      <c r="D109" s="371" t="s">
        <v>2238</v>
      </c>
      <c r="E109" s="371" t="s">
        <v>5963</v>
      </c>
      <c r="F109" s="404">
        <v>10</v>
      </c>
      <c r="G109" s="372"/>
      <c r="H109" s="372"/>
      <c r="I109" s="371" t="s">
        <v>5427</v>
      </c>
      <c r="J109" s="371" t="s">
        <v>2239</v>
      </c>
      <c r="K109" s="370" t="s">
        <v>2232</v>
      </c>
      <c r="L109" s="370" t="s">
        <v>2446</v>
      </c>
      <c r="M109" s="370" t="s">
        <v>2240</v>
      </c>
      <c r="N109" s="370" t="s">
        <v>2236</v>
      </c>
      <c r="O109" s="370" t="s">
        <v>2447</v>
      </c>
      <c r="P109" s="405" t="s">
        <v>5964</v>
      </c>
    </row>
    <row r="110" spans="1:16" ht="19" customHeight="1">
      <c r="A110" s="369" t="s">
        <v>5960</v>
      </c>
      <c r="B110" s="373" t="s">
        <v>2241</v>
      </c>
      <c r="C110" s="370" t="s">
        <v>503</v>
      </c>
      <c r="D110" s="371" t="s">
        <v>2242</v>
      </c>
      <c r="E110" s="371" t="s">
        <v>5965</v>
      </c>
      <c r="F110" s="404">
        <v>11</v>
      </c>
      <c r="G110" s="372"/>
      <c r="H110" s="372"/>
      <c r="I110" s="371" t="s">
        <v>5428</v>
      </c>
      <c r="J110" s="371" t="s">
        <v>2243</v>
      </c>
      <c r="K110" s="370" t="s">
        <v>2232</v>
      </c>
      <c r="L110" s="370" t="s">
        <v>2446</v>
      </c>
      <c r="M110" s="370" t="s">
        <v>2240</v>
      </c>
      <c r="N110" s="370" t="s">
        <v>2236</v>
      </c>
      <c r="O110" s="370" t="s">
        <v>2447</v>
      </c>
      <c r="P110" s="405" t="s">
        <v>5964</v>
      </c>
    </row>
    <row r="111" spans="1:16" ht="19" customHeight="1">
      <c r="A111" s="369" t="s">
        <v>5960</v>
      </c>
      <c r="B111" s="373" t="s">
        <v>2243</v>
      </c>
      <c r="C111" s="370" t="s">
        <v>503</v>
      </c>
      <c r="D111" s="371" t="s">
        <v>2244</v>
      </c>
      <c r="E111" s="371" t="s">
        <v>5966</v>
      </c>
      <c r="F111" s="404">
        <v>24</v>
      </c>
      <c r="G111" s="372"/>
      <c r="H111" s="372"/>
      <c r="I111" s="371" t="s">
        <v>5429</v>
      </c>
      <c r="J111" s="371" t="s">
        <v>2241</v>
      </c>
      <c r="K111" s="370" t="s">
        <v>2245</v>
      </c>
      <c r="L111" s="370" t="s">
        <v>2446</v>
      </c>
      <c r="M111" s="370" t="s">
        <v>2240</v>
      </c>
      <c r="N111" s="370" t="s">
        <v>2236</v>
      </c>
      <c r="O111" s="370" t="s">
        <v>2447</v>
      </c>
      <c r="P111" s="405" t="s">
        <v>5967</v>
      </c>
    </row>
    <row r="112" spans="1:16" ht="19" customHeight="1">
      <c r="A112" s="369" t="s">
        <v>5960</v>
      </c>
      <c r="B112" s="373" t="s">
        <v>2246</v>
      </c>
      <c r="C112" s="370" t="s">
        <v>503</v>
      </c>
      <c r="D112" s="371" t="s">
        <v>2247</v>
      </c>
      <c r="E112" s="371" t="s">
        <v>6256</v>
      </c>
      <c r="F112" s="404">
        <v>4</v>
      </c>
      <c r="G112" s="372"/>
      <c r="H112" s="372"/>
      <c r="I112" s="371" t="s">
        <v>5430</v>
      </c>
      <c r="J112" s="371" t="s">
        <v>2248</v>
      </c>
      <c r="K112" s="370" t="s">
        <v>2232</v>
      </c>
      <c r="L112" s="370" t="s">
        <v>2446</v>
      </c>
      <c r="M112" s="370" t="s">
        <v>2235</v>
      </c>
      <c r="N112" s="370" t="s">
        <v>2236</v>
      </c>
      <c r="O112" s="370" t="s">
        <v>2447</v>
      </c>
      <c r="P112" s="405" t="s">
        <v>5962</v>
      </c>
    </row>
    <row r="113" spans="1:16" ht="19" customHeight="1">
      <c r="A113" s="369" t="s">
        <v>5960</v>
      </c>
      <c r="B113" s="373" t="s">
        <v>2249</v>
      </c>
      <c r="C113" s="370" t="s">
        <v>503</v>
      </c>
      <c r="D113" s="371" t="s">
        <v>2250</v>
      </c>
      <c r="E113" s="371" t="s">
        <v>5968</v>
      </c>
      <c r="F113" s="404">
        <v>9</v>
      </c>
      <c r="G113" s="372"/>
      <c r="H113" s="372"/>
      <c r="I113" s="371" t="s">
        <v>5431</v>
      </c>
      <c r="J113" s="371" t="s">
        <v>2230</v>
      </c>
      <c r="K113" s="370" t="s">
        <v>2232</v>
      </c>
      <c r="L113" s="370" t="s">
        <v>2446</v>
      </c>
      <c r="M113" s="370" t="s">
        <v>2240</v>
      </c>
      <c r="N113" s="370" t="s">
        <v>2236</v>
      </c>
      <c r="O113" s="370" t="s">
        <v>2447</v>
      </c>
      <c r="P113" s="405" t="s">
        <v>5969</v>
      </c>
    </row>
    <row r="114" spans="1:16" ht="19" customHeight="1">
      <c r="A114" s="369" t="s">
        <v>5960</v>
      </c>
      <c r="B114" s="373" t="s">
        <v>2251</v>
      </c>
      <c r="C114" s="370" t="s">
        <v>503</v>
      </c>
      <c r="D114" s="371" t="s">
        <v>2252</v>
      </c>
      <c r="E114" s="371" t="s">
        <v>5970</v>
      </c>
      <c r="F114" s="404">
        <v>4</v>
      </c>
      <c r="G114" s="372"/>
      <c r="H114" s="372"/>
      <c r="I114" s="371" t="s">
        <v>5432</v>
      </c>
      <c r="J114" s="371" t="s">
        <v>2230</v>
      </c>
      <c r="K114" s="370" t="s">
        <v>2232</v>
      </c>
      <c r="L114" s="370" t="s">
        <v>2446</v>
      </c>
      <c r="M114" s="370" t="s">
        <v>2235</v>
      </c>
      <c r="N114" s="370" t="s">
        <v>2236</v>
      </c>
      <c r="O114" s="370" t="s">
        <v>2447</v>
      </c>
      <c r="P114" s="405" t="s">
        <v>5962</v>
      </c>
    </row>
    <row r="115" spans="1:16" ht="19" customHeight="1">
      <c r="A115" s="369" t="s">
        <v>5960</v>
      </c>
      <c r="B115" s="373" t="s">
        <v>2253</v>
      </c>
      <c r="C115" s="370" t="s">
        <v>503</v>
      </c>
      <c r="D115" s="371" t="s">
        <v>2254</v>
      </c>
      <c r="E115" s="371" t="s">
        <v>5971</v>
      </c>
      <c r="F115" s="404">
        <v>12</v>
      </c>
      <c r="G115" s="372"/>
      <c r="H115" s="372"/>
      <c r="I115" s="371" t="s">
        <v>5433</v>
      </c>
      <c r="J115" s="371" t="s">
        <v>2256</v>
      </c>
      <c r="K115" s="370" t="s">
        <v>2255</v>
      </c>
      <c r="L115" s="370" t="s">
        <v>2446</v>
      </c>
      <c r="M115" s="370" t="s">
        <v>2240</v>
      </c>
      <c r="N115" s="370" t="s">
        <v>2236</v>
      </c>
      <c r="O115" s="370" t="s">
        <v>2447</v>
      </c>
      <c r="P115" s="405" t="s">
        <v>5972</v>
      </c>
    </row>
    <row r="116" spans="1:16" ht="19" customHeight="1">
      <c r="A116" s="369" t="s">
        <v>5960</v>
      </c>
      <c r="B116" s="373" t="s">
        <v>2448</v>
      </c>
      <c r="C116" s="370" t="s">
        <v>503</v>
      </c>
      <c r="D116" s="371" t="s">
        <v>2449</v>
      </c>
      <c r="E116" s="371" t="s">
        <v>5973</v>
      </c>
      <c r="F116" s="404">
        <v>8</v>
      </c>
      <c r="G116" s="372"/>
      <c r="H116" s="372"/>
      <c r="I116" s="371" t="s">
        <v>5526</v>
      </c>
      <c r="J116" s="371" t="s">
        <v>2230</v>
      </c>
      <c r="K116" s="370" t="s">
        <v>2306</v>
      </c>
      <c r="L116" s="370" t="s">
        <v>2450</v>
      </c>
      <c r="M116" s="370" t="s">
        <v>2451</v>
      </c>
      <c r="N116" s="370" t="s">
        <v>2452</v>
      </c>
      <c r="O116" s="370" t="s">
        <v>2453</v>
      </c>
      <c r="P116" s="405" t="s">
        <v>5974</v>
      </c>
    </row>
    <row r="117" spans="1:16" ht="19" customHeight="1">
      <c r="A117" s="369" t="s">
        <v>5960</v>
      </c>
      <c r="B117" s="373" t="s">
        <v>2454</v>
      </c>
      <c r="C117" s="370" t="s">
        <v>503</v>
      </c>
      <c r="D117" s="371" t="s">
        <v>2455</v>
      </c>
      <c r="E117" s="371" t="s">
        <v>5975</v>
      </c>
      <c r="F117" s="404">
        <v>10</v>
      </c>
      <c r="G117" s="372"/>
      <c r="H117" s="372"/>
      <c r="I117" s="371" t="s">
        <v>5434</v>
      </c>
      <c r="J117" s="371" t="s">
        <v>2237</v>
      </c>
      <c r="K117" s="370" t="s">
        <v>2232</v>
      </c>
      <c r="L117" s="370" t="s">
        <v>2446</v>
      </c>
      <c r="M117" s="370" t="s">
        <v>2235</v>
      </c>
      <c r="N117" s="370" t="s">
        <v>2452</v>
      </c>
      <c r="O117" s="370" t="s">
        <v>2456</v>
      </c>
      <c r="P117" s="405" t="s">
        <v>5976</v>
      </c>
    </row>
    <row r="118" spans="1:16" ht="19" customHeight="1">
      <c r="A118" s="369" t="s">
        <v>5960</v>
      </c>
      <c r="B118" s="373" t="s">
        <v>2257</v>
      </c>
      <c r="C118" s="370" t="s">
        <v>510</v>
      </c>
      <c r="D118" s="371" t="s">
        <v>2258</v>
      </c>
      <c r="E118" s="371" t="s">
        <v>5977</v>
      </c>
      <c r="F118" s="404">
        <v>10</v>
      </c>
      <c r="G118" s="372"/>
      <c r="H118" s="372"/>
      <c r="I118" s="371" t="s">
        <v>5435</v>
      </c>
      <c r="J118" s="371" t="s">
        <v>2260</v>
      </c>
      <c r="K118" s="370" t="s">
        <v>2259</v>
      </c>
      <c r="L118" s="370" t="s">
        <v>2446</v>
      </c>
      <c r="M118" s="370" t="s">
        <v>2235</v>
      </c>
      <c r="N118" s="370" t="s">
        <v>2236</v>
      </c>
      <c r="O118" s="370" t="s">
        <v>2447</v>
      </c>
      <c r="P118" s="405" t="s">
        <v>5976</v>
      </c>
    </row>
    <row r="119" spans="1:16" ht="19" customHeight="1">
      <c r="A119" s="369" t="s">
        <v>5960</v>
      </c>
      <c r="B119" s="373" t="s">
        <v>2261</v>
      </c>
      <c r="C119" s="370" t="s">
        <v>510</v>
      </c>
      <c r="D119" s="371" t="s">
        <v>2262</v>
      </c>
      <c r="E119" s="371" t="s">
        <v>5978</v>
      </c>
      <c r="F119" s="404">
        <v>11</v>
      </c>
      <c r="G119" s="372"/>
      <c r="H119" s="372"/>
      <c r="I119" s="371" t="s">
        <v>5436</v>
      </c>
      <c r="J119" s="371" t="s">
        <v>2243</v>
      </c>
      <c r="K119" s="370" t="s">
        <v>2263</v>
      </c>
      <c r="L119" s="370" t="s">
        <v>2446</v>
      </c>
      <c r="M119" s="370" t="s">
        <v>2240</v>
      </c>
      <c r="N119" s="370" t="s">
        <v>2236</v>
      </c>
      <c r="O119" s="370" t="s">
        <v>2447</v>
      </c>
      <c r="P119" s="405" t="s">
        <v>5964</v>
      </c>
    </row>
    <row r="120" spans="1:16" ht="19" customHeight="1">
      <c r="A120" s="369" t="s">
        <v>5960</v>
      </c>
      <c r="B120" s="373" t="s">
        <v>2264</v>
      </c>
      <c r="C120" s="370" t="s">
        <v>510</v>
      </c>
      <c r="D120" s="371" t="s">
        <v>2265</v>
      </c>
      <c r="E120" s="371" t="s">
        <v>5979</v>
      </c>
      <c r="F120" s="404">
        <v>22</v>
      </c>
      <c r="G120" s="372"/>
      <c r="H120" s="372"/>
      <c r="I120" s="371" t="s">
        <v>5437</v>
      </c>
      <c r="J120" s="371" t="s">
        <v>2257</v>
      </c>
      <c r="K120" s="370" t="s">
        <v>2266</v>
      </c>
      <c r="L120" s="370" t="s">
        <v>2446</v>
      </c>
      <c r="M120" s="370" t="s">
        <v>2240</v>
      </c>
      <c r="N120" s="370" t="s">
        <v>2236</v>
      </c>
      <c r="O120" s="370" t="s">
        <v>2447</v>
      </c>
      <c r="P120" s="405" t="s">
        <v>5980</v>
      </c>
    </row>
    <row r="121" spans="1:16" ht="19" customHeight="1">
      <c r="A121" s="369" t="s">
        <v>5960</v>
      </c>
      <c r="B121" s="373" t="s">
        <v>2267</v>
      </c>
      <c r="C121" s="370" t="s">
        <v>510</v>
      </c>
      <c r="D121" s="371" t="s">
        <v>2268</v>
      </c>
      <c r="E121" s="371" t="s">
        <v>5981</v>
      </c>
      <c r="F121" s="404">
        <v>22</v>
      </c>
      <c r="G121" s="372"/>
      <c r="H121" s="372"/>
      <c r="I121" s="371" t="s">
        <v>5438</v>
      </c>
      <c r="J121" s="371" t="s">
        <v>2270</v>
      </c>
      <c r="K121" s="370" t="s">
        <v>2269</v>
      </c>
      <c r="L121" s="370" t="s">
        <v>2446</v>
      </c>
      <c r="M121" s="370" t="s">
        <v>2240</v>
      </c>
      <c r="N121" s="370" t="s">
        <v>2236</v>
      </c>
      <c r="O121" s="370" t="s">
        <v>2447</v>
      </c>
      <c r="P121" s="405" t="s">
        <v>5980</v>
      </c>
    </row>
    <row r="122" spans="1:16" ht="19" customHeight="1">
      <c r="A122" s="369" t="s">
        <v>5960</v>
      </c>
      <c r="B122" s="373" t="s">
        <v>2271</v>
      </c>
      <c r="C122" s="370" t="s">
        <v>510</v>
      </c>
      <c r="D122" s="371" t="s">
        <v>2272</v>
      </c>
      <c r="E122" s="371" t="s">
        <v>5982</v>
      </c>
      <c r="F122" s="404">
        <v>12</v>
      </c>
      <c r="G122" s="372"/>
      <c r="H122" s="372"/>
      <c r="I122" s="371" t="s">
        <v>5439</v>
      </c>
      <c r="J122" s="371" t="s">
        <v>2273</v>
      </c>
      <c r="K122" s="370" t="s">
        <v>2266</v>
      </c>
      <c r="L122" s="370" t="s">
        <v>2446</v>
      </c>
      <c r="M122" s="370" t="s">
        <v>2235</v>
      </c>
      <c r="N122" s="370" t="s">
        <v>2236</v>
      </c>
      <c r="O122" s="370" t="s">
        <v>2447</v>
      </c>
      <c r="P122" s="405" t="s">
        <v>5976</v>
      </c>
    </row>
    <row r="123" spans="1:16" ht="19" customHeight="1">
      <c r="A123" s="369" t="s">
        <v>5960</v>
      </c>
      <c r="B123" s="373" t="s">
        <v>2274</v>
      </c>
      <c r="C123" s="370" t="s">
        <v>510</v>
      </c>
      <c r="D123" s="371" t="s">
        <v>2275</v>
      </c>
      <c r="E123" s="371" t="s">
        <v>5983</v>
      </c>
      <c r="F123" s="404">
        <v>10</v>
      </c>
      <c r="G123" s="372"/>
      <c r="H123" s="372"/>
      <c r="I123" s="371" t="s">
        <v>5440</v>
      </c>
      <c r="J123" s="371" t="s">
        <v>2271</v>
      </c>
      <c r="K123" s="370" t="s">
        <v>2276</v>
      </c>
      <c r="L123" s="370" t="s">
        <v>2446</v>
      </c>
      <c r="M123" s="370" t="s">
        <v>2235</v>
      </c>
      <c r="N123" s="370" t="s">
        <v>2236</v>
      </c>
      <c r="O123" s="370" t="s">
        <v>2447</v>
      </c>
      <c r="P123" s="405" t="s">
        <v>5976</v>
      </c>
    </row>
    <row r="124" spans="1:16" ht="19" customHeight="1">
      <c r="A124" s="369" t="s">
        <v>5960</v>
      </c>
      <c r="B124" s="373" t="s">
        <v>2277</v>
      </c>
      <c r="C124" s="370" t="s">
        <v>510</v>
      </c>
      <c r="D124" s="371" t="s">
        <v>2278</v>
      </c>
      <c r="E124" s="371" t="s">
        <v>5984</v>
      </c>
      <c r="F124" s="404">
        <v>11</v>
      </c>
      <c r="G124" s="372"/>
      <c r="H124" s="372"/>
      <c r="I124" s="371" t="s">
        <v>5441</v>
      </c>
      <c r="J124" s="371" t="s">
        <v>2279</v>
      </c>
      <c r="K124" s="370" t="s">
        <v>2245</v>
      </c>
      <c r="L124" s="370" t="s">
        <v>2446</v>
      </c>
      <c r="M124" s="370" t="s">
        <v>2240</v>
      </c>
      <c r="N124" s="370" t="s">
        <v>2236</v>
      </c>
      <c r="O124" s="370" t="s">
        <v>2447</v>
      </c>
      <c r="P124" s="405" t="s">
        <v>5964</v>
      </c>
    </row>
    <row r="125" spans="1:16" ht="19" customHeight="1">
      <c r="A125" s="369" t="s">
        <v>5960</v>
      </c>
      <c r="B125" s="373" t="s">
        <v>2280</v>
      </c>
      <c r="C125" s="370" t="s">
        <v>510</v>
      </c>
      <c r="D125" s="371" t="s">
        <v>2281</v>
      </c>
      <c r="E125" s="371" t="s">
        <v>5985</v>
      </c>
      <c r="F125" s="404">
        <v>12</v>
      </c>
      <c r="G125" s="372"/>
      <c r="H125" s="372"/>
      <c r="I125" s="371" t="s">
        <v>5442</v>
      </c>
      <c r="J125" s="371" t="s">
        <v>2282</v>
      </c>
      <c r="K125" s="370" t="s">
        <v>2266</v>
      </c>
      <c r="L125" s="370" t="s">
        <v>2446</v>
      </c>
      <c r="M125" s="370" t="s">
        <v>2235</v>
      </c>
      <c r="N125" s="370" t="s">
        <v>2236</v>
      </c>
      <c r="O125" s="370" t="s">
        <v>2447</v>
      </c>
      <c r="P125" s="405" t="s">
        <v>5976</v>
      </c>
    </row>
    <row r="126" spans="1:16" ht="19" customHeight="1">
      <c r="A126" s="369" t="s">
        <v>5960</v>
      </c>
      <c r="B126" s="373" t="s">
        <v>2457</v>
      </c>
      <c r="C126" s="370" t="s">
        <v>510</v>
      </c>
      <c r="D126" s="371" t="s">
        <v>2458</v>
      </c>
      <c r="E126" s="371" t="s">
        <v>5986</v>
      </c>
      <c r="F126" s="404">
        <v>9</v>
      </c>
      <c r="G126" s="372"/>
      <c r="H126" s="372"/>
      <c r="I126" s="371" t="s">
        <v>5443</v>
      </c>
      <c r="J126" s="371" t="s">
        <v>2271</v>
      </c>
      <c r="K126" s="370" t="s">
        <v>2266</v>
      </c>
      <c r="L126" s="370" t="s">
        <v>2446</v>
      </c>
      <c r="M126" s="370" t="s">
        <v>2235</v>
      </c>
      <c r="N126" s="370" t="s">
        <v>2452</v>
      </c>
      <c r="O126" s="370" t="s">
        <v>916</v>
      </c>
      <c r="P126" s="405" t="s">
        <v>5976</v>
      </c>
    </row>
    <row r="127" spans="1:16" ht="19" customHeight="1">
      <c r="A127" s="369" t="s">
        <v>5960</v>
      </c>
      <c r="B127" s="373" t="s">
        <v>2459</v>
      </c>
      <c r="C127" s="370" t="s">
        <v>510</v>
      </c>
      <c r="D127" s="371" t="s">
        <v>2460</v>
      </c>
      <c r="E127" s="371" t="s">
        <v>5987</v>
      </c>
      <c r="F127" s="404">
        <v>9</v>
      </c>
      <c r="G127" s="372"/>
      <c r="H127" s="372"/>
      <c r="I127" s="371" t="s">
        <v>5444</v>
      </c>
      <c r="J127" s="371" t="s">
        <v>2267</v>
      </c>
      <c r="K127" s="370" t="s">
        <v>2266</v>
      </c>
      <c r="L127" s="370" t="s">
        <v>2446</v>
      </c>
      <c r="M127" s="370" t="s">
        <v>2235</v>
      </c>
      <c r="N127" s="370" t="s">
        <v>2452</v>
      </c>
      <c r="O127" s="370" t="s">
        <v>915</v>
      </c>
      <c r="P127" s="405" t="s">
        <v>5976</v>
      </c>
    </row>
    <row r="128" spans="1:16" ht="19" customHeight="1">
      <c r="A128" s="369" t="s">
        <v>5960</v>
      </c>
      <c r="B128" s="373" t="s">
        <v>2461</v>
      </c>
      <c r="C128" s="370" t="s">
        <v>510</v>
      </c>
      <c r="D128" s="371" t="s">
        <v>2462</v>
      </c>
      <c r="E128" s="371" t="s">
        <v>5988</v>
      </c>
      <c r="F128" s="404">
        <v>6</v>
      </c>
      <c r="G128" s="372"/>
      <c r="H128" s="372"/>
      <c r="I128" s="371" t="s">
        <v>5445</v>
      </c>
      <c r="J128" s="371" t="s">
        <v>2264</v>
      </c>
      <c r="K128" s="370" t="s">
        <v>2306</v>
      </c>
      <c r="L128" s="370" t="s">
        <v>2446</v>
      </c>
      <c r="M128" s="370" t="s">
        <v>2235</v>
      </c>
      <c r="N128" s="370" t="s">
        <v>2452</v>
      </c>
      <c r="O128" s="370" t="s">
        <v>914</v>
      </c>
      <c r="P128" s="405" t="s">
        <v>5962</v>
      </c>
    </row>
    <row r="129" spans="1:16" ht="19" customHeight="1">
      <c r="A129" s="369" t="s">
        <v>5960</v>
      </c>
      <c r="B129" s="373" t="s">
        <v>2283</v>
      </c>
      <c r="C129" s="370" t="s">
        <v>1047</v>
      </c>
      <c r="D129" s="371" t="s">
        <v>2284</v>
      </c>
      <c r="E129" s="371" t="s">
        <v>5989</v>
      </c>
      <c r="F129" s="404">
        <v>10</v>
      </c>
      <c r="G129" s="372"/>
      <c r="H129" s="372"/>
      <c r="I129" s="371" t="s">
        <v>5446</v>
      </c>
      <c r="J129" s="371" t="s">
        <v>2241</v>
      </c>
      <c r="K129" s="370" t="s">
        <v>2285</v>
      </c>
      <c r="L129" s="370" t="s">
        <v>2446</v>
      </c>
      <c r="M129" s="370" t="s">
        <v>2235</v>
      </c>
      <c r="N129" s="370" t="s">
        <v>2236</v>
      </c>
      <c r="O129" s="370" t="s">
        <v>2447</v>
      </c>
      <c r="P129" s="405" t="s">
        <v>5976</v>
      </c>
    </row>
    <row r="130" spans="1:16" ht="19" customHeight="1">
      <c r="A130" s="369" t="s">
        <v>5960</v>
      </c>
      <c r="B130" s="373" t="s">
        <v>2286</v>
      </c>
      <c r="C130" s="370" t="s">
        <v>1047</v>
      </c>
      <c r="D130" s="371" t="s">
        <v>2287</v>
      </c>
      <c r="E130" s="371" t="s">
        <v>5990</v>
      </c>
      <c r="F130" s="404">
        <v>5</v>
      </c>
      <c r="G130" s="372"/>
      <c r="H130" s="372"/>
      <c r="I130" s="371" t="s">
        <v>5447</v>
      </c>
      <c r="J130" s="371" t="s">
        <v>2283</v>
      </c>
      <c r="K130" s="370" t="s">
        <v>2288</v>
      </c>
      <c r="L130" s="370" t="s">
        <v>2446</v>
      </c>
      <c r="M130" s="370" t="s">
        <v>2235</v>
      </c>
      <c r="N130" s="370" t="s">
        <v>2236</v>
      </c>
      <c r="O130" s="370" t="s">
        <v>2447</v>
      </c>
      <c r="P130" s="405" t="s">
        <v>5962</v>
      </c>
    </row>
    <row r="131" spans="1:16" ht="19" customHeight="1">
      <c r="A131" s="369" t="s">
        <v>5960</v>
      </c>
      <c r="B131" s="373" t="s">
        <v>2289</v>
      </c>
      <c r="C131" s="370" t="s">
        <v>1047</v>
      </c>
      <c r="D131" s="371" t="s">
        <v>2290</v>
      </c>
      <c r="E131" s="371" t="s">
        <v>5991</v>
      </c>
      <c r="F131" s="404">
        <v>12</v>
      </c>
      <c r="G131" s="372"/>
      <c r="H131" s="372"/>
      <c r="I131" s="371" t="s">
        <v>5448</v>
      </c>
      <c r="J131" s="371" t="s">
        <v>2292</v>
      </c>
      <c r="K131" s="370" t="s">
        <v>2291</v>
      </c>
      <c r="L131" s="370" t="s">
        <v>2446</v>
      </c>
      <c r="M131" s="370" t="s">
        <v>2235</v>
      </c>
      <c r="N131" s="370" t="s">
        <v>2236</v>
      </c>
      <c r="O131" s="370" t="s">
        <v>2447</v>
      </c>
      <c r="P131" s="405" t="s">
        <v>5976</v>
      </c>
    </row>
    <row r="132" spans="1:16" ht="19" customHeight="1">
      <c r="A132" s="369" t="s">
        <v>5960</v>
      </c>
      <c r="B132" s="373" t="s">
        <v>2293</v>
      </c>
      <c r="C132" s="370" t="s">
        <v>1047</v>
      </c>
      <c r="D132" s="371" t="s">
        <v>2294</v>
      </c>
      <c r="E132" s="371" t="s">
        <v>5992</v>
      </c>
      <c r="F132" s="404">
        <v>12</v>
      </c>
      <c r="G132" s="372"/>
      <c r="H132" s="372"/>
      <c r="I132" s="371" t="s">
        <v>5449</v>
      </c>
      <c r="J132" s="371" t="s">
        <v>2295</v>
      </c>
      <c r="K132" s="370" t="s">
        <v>2266</v>
      </c>
      <c r="L132" s="370" t="s">
        <v>2446</v>
      </c>
      <c r="M132" s="370" t="s">
        <v>2235</v>
      </c>
      <c r="N132" s="370" t="s">
        <v>2236</v>
      </c>
      <c r="O132" s="370" t="s">
        <v>2447</v>
      </c>
      <c r="P132" s="405" t="s">
        <v>5976</v>
      </c>
    </row>
    <row r="133" spans="1:16" ht="19" customHeight="1">
      <c r="A133" s="369" t="s">
        <v>5960</v>
      </c>
      <c r="B133" s="373" t="s">
        <v>2296</v>
      </c>
      <c r="C133" s="370" t="s">
        <v>1047</v>
      </c>
      <c r="D133" s="371" t="s">
        <v>2297</v>
      </c>
      <c r="E133" s="371" t="s">
        <v>5993</v>
      </c>
      <c r="F133" s="404">
        <v>5</v>
      </c>
      <c r="G133" s="372"/>
      <c r="H133" s="372"/>
      <c r="I133" s="371" t="s">
        <v>5450</v>
      </c>
      <c r="J133" s="371" t="s">
        <v>2298</v>
      </c>
      <c r="K133" s="370" t="s">
        <v>2266</v>
      </c>
      <c r="L133" s="370" t="s">
        <v>2446</v>
      </c>
      <c r="M133" s="370" t="s">
        <v>2235</v>
      </c>
      <c r="N133" s="370" t="s">
        <v>2236</v>
      </c>
      <c r="O133" s="370" t="s">
        <v>2447</v>
      </c>
      <c r="P133" s="405" t="s">
        <v>5962</v>
      </c>
    </row>
    <row r="134" spans="1:16" ht="19" customHeight="1">
      <c r="A134" s="369" t="s">
        <v>5960</v>
      </c>
      <c r="B134" s="373" t="s">
        <v>2299</v>
      </c>
      <c r="C134" s="370" t="s">
        <v>1047</v>
      </c>
      <c r="D134" s="371" t="s">
        <v>2300</v>
      </c>
      <c r="E134" s="371" t="s">
        <v>5994</v>
      </c>
      <c r="F134" s="404">
        <v>10</v>
      </c>
      <c r="G134" s="372"/>
      <c r="H134" s="372"/>
      <c r="I134" s="371" t="s">
        <v>5451</v>
      </c>
      <c r="J134" s="371" t="s">
        <v>2302</v>
      </c>
      <c r="K134" s="370" t="s">
        <v>2301</v>
      </c>
      <c r="L134" s="370" t="s">
        <v>2446</v>
      </c>
      <c r="M134" s="370" t="s">
        <v>2303</v>
      </c>
      <c r="N134" s="370" t="s">
        <v>2236</v>
      </c>
      <c r="O134" s="370" t="s">
        <v>2447</v>
      </c>
      <c r="P134" s="405" t="s">
        <v>5976</v>
      </c>
    </row>
    <row r="135" spans="1:16" ht="19" customHeight="1">
      <c r="A135" s="369" t="s">
        <v>5960</v>
      </c>
      <c r="B135" s="373" t="s">
        <v>2304</v>
      </c>
      <c r="C135" s="370" t="s">
        <v>1047</v>
      </c>
      <c r="D135" s="371" t="s">
        <v>2305</v>
      </c>
      <c r="E135" s="371" t="s">
        <v>5995</v>
      </c>
      <c r="F135" s="404">
        <v>3</v>
      </c>
      <c r="G135" s="372"/>
      <c r="H135" s="372"/>
      <c r="I135" s="371" t="s">
        <v>5452</v>
      </c>
      <c r="J135" s="371" t="s">
        <v>2286</v>
      </c>
      <c r="K135" s="370" t="s">
        <v>2306</v>
      </c>
      <c r="L135" s="370" t="s">
        <v>2446</v>
      </c>
      <c r="M135" s="370" t="s">
        <v>2307</v>
      </c>
      <c r="N135" s="370" t="s">
        <v>2236</v>
      </c>
      <c r="O135" s="370" t="s">
        <v>2447</v>
      </c>
      <c r="P135" s="405" t="s">
        <v>5962</v>
      </c>
    </row>
    <row r="136" spans="1:16" ht="19" customHeight="1">
      <c r="A136" s="369" t="s">
        <v>5960</v>
      </c>
      <c r="B136" s="373" t="s">
        <v>2308</v>
      </c>
      <c r="C136" s="370" t="s">
        <v>1047</v>
      </c>
      <c r="D136" s="371" t="s">
        <v>2309</v>
      </c>
      <c r="E136" s="371" t="s">
        <v>5996</v>
      </c>
      <c r="F136" s="404">
        <v>4</v>
      </c>
      <c r="G136" s="372"/>
      <c r="H136" s="372"/>
      <c r="I136" s="371" t="s">
        <v>5453</v>
      </c>
      <c r="J136" s="371" t="s">
        <v>2292</v>
      </c>
      <c r="K136" s="370" t="s">
        <v>2288</v>
      </c>
      <c r="L136" s="370" t="s">
        <v>2446</v>
      </c>
      <c r="M136" s="370" t="s">
        <v>2240</v>
      </c>
      <c r="N136" s="370" t="s">
        <v>2236</v>
      </c>
      <c r="O136" s="370" t="s">
        <v>2447</v>
      </c>
      <c r="P136" s="405" t="s">
        <v>5962</v>
      </c>
    </row>
    <row r="137" spans="1:16" ht="19" customHeight="1">
      <c r="A137" s="369" t="s">
        <v>5960</v>
      </c>
      <c r="B137" s="373" t="s">
        <v>2310</v>
      </c>
      <c r="C137" s="370" t="s">
        <v>1047</v>
      </c>
      <c r="D137" s="371" t="s">
        <v>1429</v>
      </c>
      <c r="E137" s="371" t="s">
        <v>5997</v>
      </c>
      <c r="F137" s="404">
        <v>5</v>
      </c>
      <c r="G137" s="372"/>
      <c r="H137" s="372"/>
      <c r="I137" s="371" t="s">
        <v>5454</v>
      </c>
      <c r="J137" s="371" t="s">
        <v>2283</v>
      </c>
      <c r="K137" s="370" t="s">
        <v>2311</v>
      </c>
      <c r="L137" s="370" t="s">
        <v>2446</v>
      </c>
      <c r="M137" s="370" t="s">
        <v>2235</v>
      </c>
      <c r="N137" s="370" t="s">
        <v>2312</v>
      </c>
      <c r="O137" s="370" t="s">
        <v>2447</v>
      </c>
      <c r="P137" s="405" t="s">
        <v>5962</v>
      </c>
    </row>
    <row r="138" spans="1:16" ht="19" customHeight="1">
      <c r="A138" s="369" t="s">
        <v>5960</v>
      </c>
      <c r="B138" s="373" t="s">
        <v>2313</v>
      </c>
      <c r="C138" s="370" t="s">
        <v>1047</v>
      </c>
      <c r="D138" s="371" t="s">
        <v>1431</v>
      </c>
      <c r="E138" s="371" t="s">
        <v>5998</v>
      </c>
      <c r="F138" s="404">
        <v>4</v>
      </c>
      <c r="G138" s="372"/>
      <c r="H138" s="372"/>
      <c r="I138" s="371" t="s">
        <v>5455</v>
      </c>
      <c r="J138" s="371" t="s">
        <v>2289</v>
      </c>
      <c r="K138" s="370" t="s">
        <v>2232</v>
      </c>
      <c r="L138" s="370" t="s">
        <v>2446</v>
      </c>
      <c r="M138" s="370" t="s">
        <v>2235</v>
      </c>
      <c r="N138" s="370" t="s">
        <v>2312</v>
      </c>
      <c r="O138" s="370" t="s">
        <v>2447</v>
      </c>
      <c r="P138" s="405" t="s">
        <v>5962</v>
      </c>
    </row>
    <row r="139" spans="1:16" ht="19" customHeight="1">
      <c r="A139" s="369" t="s">
        <v>5960</v>
      </c>
      <c r="B139" s="373" t="s">
        <v>2463</v>
      </c>
      <c r="C139" s="370" t="s">
        <v>1047</v>
      </c>
      <c r="D139" s="371" t="s">
        <v>2464</v>
      </c>
      <c r="E139" s="371" t="s">
        <v>5999</v>
      </c>
      <c r="F139" s="404">
        <v>4</v>
      </c>
      <c r="G139" s="372"/>
      <c r="H139" s="372"/>
      <c r="I139" s="371" t="s">
        <v>5456</v>
      </c>
      <c r="J139" s="371" t="s">
        <v>2313</v>
      </c>
      <c r="K139" s="370" t="s">
        <v>2306</v>
      </c>
      <c r="L139" s="370" t="s">
        <v>2446</v>
      </c>
      <c r="M139" s="370" t="s">
        <v>2235</v>
      </c>
      <c r="N139" s="370" t="s">
        <v>2452</v>
      </c>
      <c r="O139" s="370" t="s">
        <v>1432</v>
      </c>
      <c r="P139" s="405" t="s">
        <v>5962</v>
      </c>
    </row>
    <row r="140" spans="1:16" ht="19" customHeight="1">
      <c r="A140" s="369" t="s">
        <v>5960</v>
      </c>
      <c r="B140" s="373" t="s">
        <v>2314</v>
      </c>
      <c r="C140" s="370" t="s">
        <v>917</v>
      </c>
      <c r="D140" s="371" t="s">
        <v>2315</v>
      </c>
      <c r="E140" s="371" t="s">
        <v>6000</v>
      </c>
      <c r="F140" s="404">
        <v>5</v>
      </c>
      <c r="G140" s="372"/>
      <c r="H140" s="372"/>
      <c r="I140" s="371" t="s">
        <v>5457</v>
      </c>
      <c r="J140" s="371" t="s">
        <v>2246</v>
      </c>
      <c r="K140" s="370" t="s">
        <v>2232</v>
      </c>
      <c r="L140" s="370" t="s">
        <v>2446</v>
      </c>
      <c r="M140" s="370" t="s">
        <v>2235</v>
      </c>
      <c r="N140" s="370" t="s">
        <v>2236</v>
      </c>
      <c r="O140" s="370" t="s">
        <v>2447</v>
      </c>
      <c r="P140" s="405" t="s">
        <v>5962</v>
      </c>
    </row>
    <row r="141" spans="1:16" ht="19" customHeight="1">
      <c r="A141" s="369" t="s">
        <v>5960</v>
      </c>
      <c r="B141" s="373" t="s">
        <v>2316</v>
      </c>
      <c r="C141" s="370" t="s">
        <v>917</v>
      </c>
      <c r="D141" s="371" t="s">
        <v>2317</v>
      </c>
      <c r="E141" s="371" t="s">
        <v>6001</v>
      </c>
      <c r="F141" s="404">
        <v>8</v>
      </c>
      <c r="G141" s="372"/>
      <c r="H141" s="372"/>
      <c r="I141" s="371" t="s">
        <v>5458</v>
      </c>
      <c r="J141" s="371" t="s">
        <v>2314</v>
      </c>
      <c r="K141" s="370" t="s">
        <v>2232</v>
      </c>
      <c r="L141" s="370" t="s">
        <v>2446</v>
      </c>
      <c r="M141" s="370" t="s">
        <v>2235</v>
      </c>
      <c r="N141" s="370" t="s">
        <v>2236</v>
      </c>
      <c r="O141" s="370" t="s">
        <v>2447</v>
      </c>
      <c r="P141" s="405" t="s">
        <v>5976</v>
      </c>
    </row>
    <row r="142" spans="1:16" ht="19" customHeight="1">
      <c r="A142" s="369" t="s">
        <v>5960</v>
      </c>
      <c r="B142" s="373" t="s">
        <v>2318</v>
      </c>
      <c r="C142" s="370" t="s">
        <v>917</v>
      </c>
      <c r="D142" s="371" t="s">
        <v>2319</v>
      </c>
      <c r="E142" s="371" t="s">
        <v>6002</v>
      </c>
      <c r="F142" s="404">
        <v>12</v>
      </c>
      <c r="G142" s="372"/>
      <c r="H142" s="372"/>
      <c r="I142" s="371" t="s">
        <v>5459</v>
      </c>
      <c r="J142" s="371" t="s">
        <v>2320</v>
      </c>
      <c r="K142" s="370" t="s">
        <v>2276</v>
      </c>
      <c r="L142" s="370" t="s">
        <v>2446</v>
      </c>
      <c r="M142" s="370" t="s">
        <v>2235</v>
      </c>
      <c r="N142" s="370" t="s">
        <v>2236</v>
      </c>
      <c r="O142" s="370" t="s">
        <v>2447</v>
      </c>
      <c r="P142" s="405" t="s">
        <v>5976</v>
      </c>
    </row>
    <row r="143" spans="1:16" ht="19" customHeight="1">
      <c r="A143" s="369" t="s">
        <v>5960</v>
      </c>
      <c r="B143" s="373" t="s">
        <v>2321</v>
      </c>
      <c r="C143" s="370" t="s">
        <v>917</v>
      </c>
      <c r="D143" s="371" t="s">
        <v>2322</v>
      </c>
      <c r="E143" s="371" t="s">
        <v>6003</v>
      </c>
      <c r="F143" s="404">
        <v>5</v>
      </c>
      <c r="G143" s="372"/>
      <c r="H143" s="372"/>
      <c r="I143" s="371" t="s">
        <v>5460</v>
      </c>
      <c r="J143" s="371" t="s">
        <v>2323</v>
      </c>
      <c r="K143" s="370" t="s">
        <v>2232</v>
      </c>
      <c r="L143" s="370" t="s">
        <v>2446</v>
      </c>
      <c r="M143" s="370" t="s">
        <v>2235</v>
      </c>
      <c r="N143" s="370" t="s">
        <v>2236</v>
      </c>
      <c r="O143" s="370" t="s">
        <v>2447</v>
      </c>
      <c r="P143" s="405" t="s">
        <v>5962</v>
      </c>
    </row>
    <row r="144" spans="1:16" ht="19" customHeight="1">
      <c r="A144" s="369" t="s">
        <v>5960</v>
      </c>
      <c r="B144" s="373" t="s">
        <v>2298</v>
      </c>
      <c r="C144" s="370" t="s">
        <v>917</v>
      </c>
      <c r="D144" s="371" t="s">
        <v>2324</v>
      </c>
      <c r="E144" s="371" t="s">
        <v>6004</v>
      </c>
      <c r="F144" s="404">
        <v>10</v>
      </c>
      <c r="G144" s="372"/>
      <c r="H144" s="372"/>
      <c r="I144" s="371" t="s">
        <v>5461</v>
      </c>
      <c r="J144" s="371" t="s">
        <v>2314</v>
      </c>
      <c r="K144" s="370" t="s">
        <v>2325</v>
      </c>
      <c r="L144" s="370" t="s">
        <v>2446</v>
      </c>
      <c r="M144" s="370" t="s">
        <v>2235</v>
      </c>
      <c r="N144" s="370" t="s">
        <v>2236</v>
      </c>
      <c r="O144" s="370" t="s">
        <v>2447</v>
      </c>
      <c r="P144" s="405" t="s">
        <v>5976</v>
      </c>
    </row>
    <row r="145" spans="1:16" ht="19" customHeight="1">
      <c r="A145" s="369" t="s">
        <v>5960</v>
      </c>
      <c r="B145" s="373" t="s">
        <v>2326</v>
      </c>
      <c r="C145" s="370" t="s">
        <v>917</v>
      </c>
      <c r="D145" s="371" t="s">
        <v>1463</v>
      </c>
      <c r="E145" s="371" t="s">
        <v>6005</v>
      </c>
      <c r="F145" s="404">
        <v>20</v>
      </c>
      <c r="G145" s="372"/>
      <c r="H145" s="372"/>
      <c r="I145" s="371" t="s">
        <v>5462</v>
      </c>
      <c r="J145" s="371" t="s">
        <v>2327</v>
      </c>
      <c r="K145" s="370" t="s">
        <v>2266</v>
      </c>
      <c r="L145" s="370" t="s">
        <v>2446</v>
      </c>
      <c r="M145" s="370" t="s">
        <v>2240</v>
      </c>
      <c r="N145" s="370" t="s">
        <v>2312</v>
      </c>
      <c r="O145" s="370" t="s">
        <v>2447</v>
      </c>
      <c r="P145" s="405" t="s">
        <v>6006</v>
      </c>
    </row>
    <row r="146" spans="1:16" ht="19" customHeight="1">
      <c r="A146" s="369" t="s">
        <v>5960</v>
      </c>
      <c r="B146" s="373" t="s">
        <v>2328</v>
      </c>
      <c r="C146" s="370" t="s">
        <v>917</v>
      </c>
      <c r="D146" s="371" t="s">
        <v>2329</v>
      </c>
      <c r="E146" s="371" t="s">
        <v>6007</v>
      </c>
      <c r="F146" s="404">
        <v>10</v>
      </c>
      <c r="G146" s="372"/>
      <c r="H146" s="372"/>
      <c r="I146" s="371" t="s">
        <v>5463</v>
      </c>
      <c r="J146" s="371" t="s">
        <v>2330</v>
      </c>
      <c r="K146" s="370" t="s">
        <v>2232</v>
      </c>
      <c r="L146" s="370" t="s">
        <v>2446</v>
      </c>
      <c r="M146" s="370" t="s">
        <v>2235</v>
      </c>
      <c r="N146" s="370" t="s">
        <v>2312</v>
      </c>
      <c r="O146" s="370" t="s">
        <v>2447</v>
      </c>
      <c r="P146" s="405" t="s">
        <v>5976</v>
      </c>
    </row>
    <row r="147" spans="1:16" ht="19" customHeight="1">
      <c r="A147" s="369" t="s">
        <v>5960</v>
      </c>
      <c r="B147" s="373" t="s">
        <v>2465</v>
      </c>
      <c r="C147" s="370" t="s">
        <v>917</v>
      </c>
      <c r="D147" s="371" t="s">
        <v>2466</v>
      </c>
      <c r="E147" s="371" t="s">
        <v>6008</v>
      </c>
      <c r="F147" s="404">
        <v>4</v>
      </c>
      <c r="G147" s="372"/>
      <c r="H147" s="372"/>
      <c r="I147" s="371" t="s">
        <v>5464</v>
      </c>
      <c r="J147" s="371" t="s">
        <v>2314</v>
      </c>
      <c r="K147" s="370" t="s">
        <v>2343</v>
      </c>
      <c r="L147" s="370" t="s">
        <v>2450</v>
      </c>
      <c r="M147" s="370" t="s">
        <v>2467</v>
      </c>
      <c r="N147" s="370" t="s">
        <v>2452</v>
      </c>
      <c r="O147" s="370" t="s">
        <v>1426</v>
      </c>
      <c r="P147" s="405" t="s">
        <v>5962</v>
      </c>
    </row>
    <row r="148" spans="1:16" ht="19" customHeight="1">
      <c r="A148" s="369" t="s">
        <v>5960</v>
      </c>
      <c r="B148" s="373" t="s">
        <v>2233</v>
      </c>
      <c r="C148" s="370" t="s">
        <v>513</v>
      </c>
      <c r="D148" s="371" t="s">
        <v>2331</v>
      </c>
      <c r="E148" s="371" t="s">
        <v>6009</v>
      </c>
      <c r="F148" s="404">
        <v>12</v>
      </c>
      <c r="G148" s="372"/>
      <c r="H148" s="372"/>
      <c r="I148" s="371" t="s">
        <v>5465</v>
      </c>
      <c r="J148" s="371" t="s">
        <v>6010</v>
      </c>
      <c r="K148" s="370" t="s">
        <v>2259</v>
      </c>
      <c r="L148" s="370" t="s">
        <v>2446</v>
      </c>
      <c r="M148" s="370" t="s">
        <v>2235</v>
      </c>
      <c r="N148" s="370" t="s">
        <v>2236</v>
      </c>
      <c r="O148" s="370" t="s">
        <v>2447</v>
      </c>
      <c r="P148" s="405" t="s">
        <v>5976</v>
      </c>
    </row>
    <row r="149" spans="1:16" ht="19" customHeight="1">
      <c r="A149" s="369" t="s">
        <v>5960</v>
      </c>
      <c r="B149" s="373" t="s">
        <v>2256</v>
      </c>
      <c r="C149" s="370" t="s">
        <v>513</v>
      </c>
      <c r="D149" s="371" t="s">
        <v>2333</v>
      </c>
      <c r="E149" s="371" t="s">
        <v>6011</v>
      </c>
      <c r="F149" s="404">
        <v>24</v>
      </c>
      <c r="G149" s="372"/>
      <c r="H149" s="372"/>
      <c r="I149" s="371" t="s">
        <v>5466</v>
      </c>
      <c r="J149" s="371" t="s">
        <v>6012</v>
      </c>
      <c r="K149" s="370" t="s">
        <v>2259</v>
      </c>
      <c r="L149" s="370" t="s">
        <v>2446</v>
      </c>
      <c r="M149" s="370" t="s">
        <v>2240</v>
      </c>
      <c r="N149" s="370" t="s">
        <v>2236</v>
      </c>
      <c r="O149" s="370" t="s">
        <v>2447</v>
      </c>
      <c r="P149" s="405" t="s">
        <v>6013</v>
      </c>
    </row>
    <row r="150" spans="1:16" ht="19" customHeight="1">
      <c r="A150" s="369" t="s">
        <v>5960</v>
      </c>
      <c r="B150" s="373" t="s">
        <v>2260</v>
      </c>
      <c r="C150" s="370" t="s">
        <v>513</v>
      </c>
      <c r="D150" s="371" t="s">
        <v>2334</v>
      </c>
      <c r="E150" s="371" t="s">
        <v>6014</v>
      </c>
      <c r="F150" s="404">
        <v>12</v>
      </c>
      <c r="G150" s="372"/>
      <c r="H150" s="372"/>
      <c r="I150" s="371" t="s">
        <v>5467</v>
      </c>
      <c r="J150" s="371" t="s">
        <v>6015</v>
      </c>
      <c r="K150" s="370" t="s">
        <v>2259</v>
      </c>
      <c r="L150" s="370" t="s">
        <v>2446</v>
      </c>
      <c r="M150" s="370" t="s">
        <v>2235</v>
      </c>
      <c r="N150" s="370" t="s">
        <v>2236</v>
      </c>
      <c r="O150" s="370" t="s">
        <v>2447</v>
      </c>
      <c r="P150" s="405" t="s">
        <v>5976</v>
      </c>
    </row>
    <row r="151" spans="1:16" ht="19" customHeight="1">
      <c r="A151" s="369" t="s">
        <v>5960</v>
      </c>
      <c r="B151" s="373" t="s">
        <v>2335</v>
      </c>
      <c r="C151" s="370" t="s">
        <v>513</v>
      </c>
      <c r="D151" s="371" t="s">
        <v>2336</v>
      </c>
      <c r="E151" s="371" t="s">
        <v>6016</v>
      </c>
      <c r="F151" s="404">
        <v>13</v>
      </c>
      <c r="G151" s="372"/>
      <c r="H151" s="372"/>
      <c r="I151" s="371" t="s">
        <v>5468</v>
      </c>
      <c r="J151" s="371" t="s">
        <v>6012</v>
      </c>
      <c r="K151" s="370" t="s">
        <v>2259</v>
      </c>
      <c r="L151" s="370" t="s">
        <v>2446</v>
      </c>
      <c r="M151" s="370" t="s">
        <v>2240</v>
      </c>
      <c r="N151" s="370" t="s">
        <v>2236</v>
      </c>
      <c r="O151" s="370" t="s">
        <v>2447</v>
      </c>
      <c r="P151" s="405" t="s">
        <v>6017</v>
      </c>
    </row>
    <row r="152" spans="1:16" ht="19" customHeight="1">
      <c r="A152" s="369" t="s">
        <v>5960</v>
      </c>
      <c r="B152" s="373" t="s">
        <v>2337</v>
      </c>
      <c r="C152" s="370" t="s">
        <v>513</v>
      </c>
      <c r="D152" s="371" t="s">
        <v>2338</v>
      </c>
      <c r="E152" s="371" t="s">
        <v>6018</v>
      </c>
      <c r="F152" s="404">
        <v>12</v>
      </c>
      <c r="G152" s="372"/>
      <c r="H152" s="372"/>
      <c r="I152" s="371" t="s">
        <v>5469</v>
      </c>
      <c r="J152" s="371" t="s">
        <v>6019</v>
      </c>
      <c r="K152" s="370" t="s">
        <v>2259</v>
      </c>
      <c r="L152" s="370" t="s">
        <v>2446</v>
      </c>
      <c r="M152" s="370" t="s">
        <v>2235</v>
      </c>
      <c r="N152" s="370" t="s">
        <v>2236</v>
      </c>
      <c r="O152" s="370" t="s">
        <v>2447</v>
      </c>
      <c r="P152" s="405" t="s">
        <v>5976</v>
      </c>
    </row>
    <row r="153" spans="1:16" ht="19" customHeight="1">
      <c r="A153" s="369" t="s">
        <v>5960</v>
      </c>
      <c r="B153" s="373" t="s">
        <v>2339</v>
      </c>
      <c r="C153" s="370" t="s">
        <v>513</v>
      </c>
      <c r="D153" s="371" t="s">
        <v>2340</v>
      </c>
      <c r="E153" s="371" t="s">
        <v>6020</v>
      </c>
      <c r="F153" s="404">
        <v>10</v>
      </c>
      <c r="G153" s="372"/>
      <c r="H153" s="372"/>
      <c r="I153" s="371" t="s">
        <v>5470</v>
      </c>
      <c r="J153" s="371" t="s">
        <v>6021</v>
      </c>
      <c r="K153" s="370" t="s">
        <v>2259</v>
      </c>
      <c r="L153" s="370" t="s">
        <v>2446</v>
      </c>
      <c r="M153" s="370" t="s">
        <v>2235</v>
      </c>
      <c r="N153" s="370" t="s">
        <v>2236</v>
      </c>
      <c r="O153" s="370" t="s">
        <v>2447</v>
      </c>
      <c r="P153" s="405" t="s">
        <v>5976</v>
      </c>
    </row>
    <row r="154" spans="1:16" ht="19" customHeight="1">
      <c r="A154" s="369" t="s">
        <v>5960</v>
      </c>
      <c r="B154" s="373" t="s">
        <v>2341</v>
      </c>
      <c r="C154" s="370" t="s">
        <v>513</v>
      </c>
      <c r="D154" s="371" t="s">
        <v>2342</v>
      </c>
      <c r="E154" s="371" t="s">
        <v>6022</v>
      </c>
      <c r="F154" s="404">
        <v>12</v>
      </c>
      <c r="G154" s="372"/>
      <c r="H154" s="372"/>
      <c r="I154" s="371" t="s">
        <v>5471</v>
      </c>
      <c r="J154" s="371" t="s">
        <v>6012</v>
      </c>
      <c r="K154" s="370" t="s">
        <v>2343</v>
      </c>
      <c r="L154" s="370" t="s">
        <v>2446</v>
      </c>
      <c r="M154" s="370" t="s">
        <v>2240</v>
      </c>
      <c r="N154" s="370" t="s">
        <v>2236</v>
      </c>
      <c r="O154" s="370" t="s">
        <v>2447</v>
      </c>
      <c r="P154" s="405" t="s">
        <v>6017</v>
      </c>
    </row>
    <row r="155" spans="1:16" ht="19" customHeight="1">
      <c r="A155" s="369" t="s">
        <v>5960</v>
      </c>
      <c r="B155" s="373" t="s">
        <v>2344</v>
      </c>
      <c r="C155" s="370" t="s">
        <v>513</v>
      </c>
      <c r="D155" s="371" t="s">
        <v>2345</v>
      </c>
      <c r="E155" s="371" t="s">
        <v>6023</v>
      </c>
      <c r="F155" s="404">
        <v>5</v>
      </c>
      <c r="G155" s="372"/>
      <c r="H155" s="372"/>
      <c r="I155" s="371" t="s">
        <v>5472</v>
      </c>
      <c r="J155" s="371" t="s">
        <v>6024</v>
      </c>
      <c r="K155" s="370" t="s">
        <v>2346</v>
      </c>
      <c r="L155" s="370" t="s">
        <v>2446</v>
      </c>
      <c r="M155" s="370" t="s">
        <v>2235</v>
      </c>
      <c r="N155" s="370" t="s">
        <v>2236</v>
      </c>
      <c r="O155" s="370" t="s">
        <v>2447</v>
      </c>
      <c r="P155" s="405" t="s">
        <v>5962</v>
      </c>
    </row>
    <row r="156" spans="1:16" ht="19" customHeight="1">
      <c r="A156" s="369" t="s">
        <v>5960</v>
      </c>
      <c r="B156" s="373" t="s">
        <v>2347</v>
      </c>
      <c r="C156" s="370" t="s">
        <v>513</v>
      </c>
      <c r="D156" s="371" t="s">
        <v>2348</v>
      </c>
      <c r="E156" s="371" t="s">
        <v>6025</v>
      </c>
      <c r="F156" s="404">
        <v>5</v>
      </c>
      <c r="G156" s="372"/>
      <c r="H156" s="372"/>
      <c r="I156" s="371" t="s">
        <v>5473</v>
      </c>
      <c r="J156" s="371" t="s">
        <v>6012</v>
      </c>
      <c r="K156" s="370" t="s">
        <v>2349</v>
      </c>
      <c r="L156" s="370" t="s">
        <v>2446</v>
      </c>
      <c r="M156" s="370" t="s">
        <v>2235</v>
      </c>
      <c r="N156" s="370" t="s">
        <v>2236</v>
      </c>
      <c r="O156" s="370" t="s">
        <v>2447</v>
      </c>
      <c r="P156" s="405" t="s">
        <v>5962</v>
      </c>
    </row>
    <row r="157" spans="1:16" ht="19" customHeight="1">
      <c r="A157" s="369" t="s">
        <v>5960</v>
      </c>
      <c r="B157" s="373" t="s">
        <v>2350</v>
      </c>
      <c r="C157" s="370" t="s">
        <v>513</v>
      </c>
      <c r="D157" s="371" t="s">
        <v>2351</v>
      </c>
      <c r="E157" s="371" t="s">
        <v>6026</v>
      </c>
      <c r="F157" s="404">
        <v>9</v>
      </c>
      <c r="G157" s="372"/>
      <c r="H157" s="372"/>
      <c r="I157" s="371" t="s">
        <v>5474</v>
      </c>
      <c r="J157" s="371" t="s">
        <v>6027</v>
      </c>
      <c r="K157" s="370" t="s">
        <v>2346</v>
      </c>
      <c r="L157" s="370" t="s">
        <v>2446</v>
      </c>
      <c r="M157" s="370" t="s">
        <v>2240</v>
      </c>
      <c r="N157" s="370" t="s">
        <v>2312</v>
      </c>
      <c r="O157" s="370" t="s">
        <v>2447</v>
      </c>
      <c r="P157" s="405" t="s">
        <v>5976</v>
      </c>
    </row>
    <row r="158" spans="1:16" ht="19" customHeight="1">
      <c r="A158" s="369" t="s">
        <v>5960</v>
      </c>
      <c r="B158" s="373" t="s">
        <v>2468</v>
      </c>
      <c r="C158" s="370" t="s">
        <v>513</v>
      </c>
      <c r="D158" s="371" t="s">
        <v>2469</v>
      </c>
      <c r="E158" s="371" t="s">
        <v>6028</v>
      </c>
      <c r="F158" s="404">
        <v>10</v>
      </c>
      <c r="G158" s="372"/>
      <c r="H158" s="372"/>
      <c r="I158" s="371" t="s">
        <v>5475</v>
      </c>
      <c r="J158" s="371" t="s">
        <v>6029</v>
      </c>
      <c r="K158" s="370" t="s">
        <v>2259</v>
      </c>
      <c r="L158" s="370" t="s">
        <v>2446</v>
      </c>
      <c r="M158" s="370" t="s">
        <v>2235</v>
      </c>
      <c r="N158" s="370" t="s">
        <v>2452</v>
      </c>
      <c r="O158" s="370" t="s">
        <v>2470</v>
      </c>
      <c r="P158" s="405" t="s">
        <v>5976</v>
      </c>
    </row>
    <row r="159" spans="1:16" ht="19" customHeight="1">
      <c r="A159" s="369" t="s">
        <v>5960</v>
      </c>
      <c r="B159" s="373" t="s">
        <v>2471</v>
      </c>
      <c r="C159" s="370" t="s">
        <v>513</v>
      </c>
      <c r="D159" s="371" t="s">
        <v>2472</v>
      </c>
      <c r="E159" s="371" t="s">
        <v>6030</v>
      </c>
      <c r="F159" s="404">
        <v>6</v>
      </c>
      <c r="G159" s="372"/>
      <c r="H159" s="372"/>
      <c r="I159" s="371" t="s">
        <v>5476</v>
      </c>
      <c r="J159" s="371" t="s">
        <v>6012</v>
      </c>
      <c r="K159" s="370" t="s">
        <v>2259</v>
      </c>
      <c r="L159" s="370" t="s">
        <v>2446</v>
      </c>
      <c r="M159" s="370" t="s">
        <v>2235</v>
      </c>
      <c r="N159" s="370" t="s">
        <v>2452</v>
      </c>
      <c r="O159" s="370" t="s">
        <v>2473</v>
      </c>
      <c r="P159" s="405" t="s">
        <v>5962</v>
      </c>
    </row>
    <row r="160" spans="1:16" ht="19" customHeight="1">
      <c r="A160" s="369" t="s">
        <v>5960</v>
      </c>
      <c r="B160" s="373" t="s">
        <v>2474</v>
      </c>
      <c r="C160" s="370" t="s">
        <v>513</v>
      </c>
      <c r="D160" s="371" t="s">
        <v>2475</v>
      </c>
      <c r="E160" s="371" t="s">
        <v>6031</v>
      </c>
      <c r="F160" s="404">
        <v>8</v>
      </c>
      <c r="G160" s="372"/>
      <c r="H160" s="372"/>
      <c r="I160" s="371" t="s">
        <v>5477</v>
      </c>
      <c r="J160" s="371" t="s">
        <v>6012</v>
      </c>
      <c r="K160" s="370" t="s">
        <v>2259</v>
      </c>
      <c r="L160" s="370" t="s">
        <v>2446</v>
      </c>
      <c r="M160" s="370" t="s">
        <v>2235</v>
      </c>
      <c r="N160" s="370" t="s">
        <v>2452</v>
      </c>
      <c r="O160" s="370" t="s">
        <v>2476</v>
      </c>
      <c r="P160" s="405" t="s">
        <v>5962</v>
      </c>
    </row>
    <row r="161" spans="1:16" ht="19" customHeight="1">
      <c r="A161" s="369" t="s">
        <v>5960</v>
      </c>
      <c r="B161" s="373" t="s">
        <v>5420</v>
      </c>
      <c r="C161" s="370" t="s">
        <v>513</v>
      </c>
      <c r="D161" s="371" t="s">
        <v>5421</v>
      </c>
      <c r="E161" s="371" t="s">
        <v>6032</v>
      </c>
      <c r="F161" s="404">
        <v>8</v>
      </c>
      <c r="G161" s="372"/>
      <c r="H161" s="372"/>
      <c r="I161" s="371" t="s">
        <v>5425</v>
      </c>
      <c r="J161" s="371" t="s">
        <v>6012</v>
      </c>
      <c r="K161" s="370" t="s">
        <v>2259</v>
      </c>
      <c r="L161" s="370" t="s">
        <v>2446</v>
      </c>
      <c r="M161" s="370" t="s">
        <v>5422</v>
      </c>
      <c r="N161" s="370" t="s">
        <v>5423</v>
      </c>
      <c r="O161" s="370" t="s">
        <v>5424</v>
      </c>
      <c r="P161" s="405" t="s">
        <v>5976</v>
      </c>
    </row>
    <row r="162" spans="1:16" ht="19" customHeight="1">
      <c r="A162" s="369" t="s">
        <v>5960</v>
      </c>
      <c r="B162" s="373" t="s">
        <v>2352</v>
      </c>
      <c r="C162" s="370" t="s">
        <v>517</v>
      </c>
      <c r="D162" s="371" t="s">
        <v>2353</v>
      </c>
      <c r="E162" s="371" t="s">
        <v>6033</v>
      </c>
      <c r="F162" s="404">
        <v>12</v>
      </c>
      <c r="G162" s="372"/>
      <c r="H162" s="372"/>
      <c r="I162" s="371" t="s">
        <v>5478</v>
      </c>
      <c r="J162" s="371" t="s">
        <v>2233</v>
      </c>
      <c r="K162" s="370" t="s">
        <v>2259</v>
      </c>
      <c r="L162" s="370" t="s">
        <v>2446</v>
      </c>
      <c r="M162" s="370" t="s">
        <v>2235</v>
      </c>
      <c r="N162" s="370" t="s">
        <v>2236</v>
      </c>
      <c r="O162" s="370" t="s">
        <v>2447</v>
      </c>
      <c r="P162" s="405" t="s">
        <v>5976</v>
      </c>
    </row>
    <row r="163" spans="1:16" ht="19" customHeight="1">
      <c r="A163" s="369" t="s">
        <v>5960</v>
      </c>
      <c r="B163" s="373" t="s">
        <v>2354</v>
      </c>
      <c r="C163" s="370" t="s">
        <v>517</v>
      </c>
      <c r="D163" s="371" t="s">
        <v>2355</v>
      </c>
      <c r="E163" s="371" t="s">
        <v>6034</v>
      </c>
      <c r="F163" s="404">
        <v>6</v>
      </c>
      <c r="G163" s="372"/>
      <c r="H163" s="372"/>
      <c r="I163" s="371" t="s">
        <v>5479</v>
      </c>
      <c r="J163" s="371" t="s">
        <v>2356</v>
      </c>
      <c r="K163" s="370" t="s">
        <v>2276</v>
      </c>
      <c r="L163" s="370" t="s">
        <v>2446</v>
      </c>
      <c r="M163" s="370" t="s">
        <v>2235</v>
      </c>
      <c r="N163" s="370" t="s">
        <v>2236</v>
      </c>
      <c r="O163" s="370" t="s">
        <v>2447</v>
      </c>
      <c r="P163" s="405" t="s">
        <v>5962</v>
      </c>
    </row>
    <row r="164" spans="1:16" ht="19" customHeight="1">
      <c r="A164" s="369" t="s">
        <v>5960</v>
      </c>
      <c r="B164" s="373" t="s">
        <v>2357</v>
      </c>
      <c r="C164" s="370" t="s">
        <v>517</v>
      </c>
      <c r="D164" s="371" t="s">
        <v>2358</v>
      </c>
      <c r="E164" s="371" t="s">
        <v>6035</v>
      </c>
      <c r="F164" s="404">
        <v>22</v>
      </c>
      <c r="G164" s="372"/>
      <c r="H164" s="372"/>
      <c r="I164" s="371" t="s">
        <v>5480</v>
      </c>
      <c r="J164" s="371" t="s">
        <v>2359</v>
      </c>
      <c r="K164" s="370" t="s">
        <v>2266</v>
      </c>
      <c r="L164" s="370" t="s">
        <v>2446</v>
      </c>
      <c r="M164" s="370" t="s">
        <v>2235</v>
      </c>
      <c r="N164" s="370" t="s">
        <v>2236</v>
      </c>
      <c r="O164" s="370" t="s">
        <v>2447</v>
      </c>
      <c r="P164" s="405" t="s">
        <v>5974</v>
      </c>
    </row>
    <row r="165" spans="1:16" ht="19" customHeight="1">
      <c r="A165" s="369" t="s">
        <v>5960</v>
      </c>
      <c r="B165" s="373" t="s">
        <v>2360</v>
      </c>
      <c r="C165" s="370" t="s">
        <v>517</v>
      </c>
      <c r="D165" s="371" t="s">
        <v>2361</v>
      </c>
      <c r="E165" s="371" t="s">
        <v>6036</v>
      </c>
      <c r="F165" s="404">
        <v>12</v>
      </c>
      <c r="G165" s="372"/>
      <c r="H165" s="372"/>
      <c r="I165" s="371" t="s">
        <v>5481</v>
      </c>
      <c r="J165" s="371" t="s">
        <v>2363</v>
      </c>
      <c r="K165" s="370" t="s">
        <v>2362</v>
      </c>
      <c r="L165" s="370" t="s">
        <v>2446</v>
      </c>
      <c r="M165" s="370" t="s">
        <v>2235</v>
      </c>
      <c r="N165" s="370" t="s">
        <v>2236</v>
      </c>
      <c r="O165" s="370" t="s">
        <v>2447</v>
      </c>
      <c r="P165" s="405" t="s">
        <v>5976</v>
      </c>
    </row>
    <row r="166" spans="1:16" ht="19" customHeight="1">
      <c r="A166" s="369" t="s">
        <v>5960</v>
      </c>
      <c r="B166" s="373" t="s">
        <v>2364</v>
      </c>
      <c r="C166" s="370" t="s">
        <v>517</v>
      </c>
      <c r="D166" s="371" t="s">
        <v>2365</v>
      </c>
      <c r="E166" s="371" t="s">
        <v>6037</v>
      </c>
      <c r="F166" s="404">
        <v>5</v>
      </c>
      <c r="G166" s="372"/>
      <c r="H166" s="372"/>
      <c r="I166" s="371" t="s">
        <v>5482</v>
      </c>
      <c r="J166" s="371" t="s">
        <v>2366</v>
      </c>
      <c r="K166" s="370" t="s">
        <v>2259</v>
      </c>
      <c r="L166" s="370" t="s">
        <v>2446</v>
      </c>
      <c r="M166" s="370" t="s">
        <v>2235</v>
      </c>
      <c r="N166" s="370" t="s">
        <v>2236</v>
      </c>
      <c r="O166" s="370" t="s">
        <v>2447</v>
      </c>
      <c r="P166" s="405" t="s">
        <v>5962</v>
      </c>
    </row>
    <row r="167" spans="1:16" ht="19" customHeight="1">
      <c r="A167" s="369" t="s">
        <v>5960</v>
      </c>
      <c r="B167" s="373" t="s">
        <v>2367</v>
      </c>
      <c r="C167" s="370" t="s">
        <v>517</v>
      </c>
      <c r="D167" s="371" t="s">
        <v>2368</v>
      </c>
      <c r="E167" s="371" t="s">
        <v>6038</v>
      </c>
      <c r="F167" s="404">
        <v>22</v>
      </c>
      <c r="G167" s="372"/>
      <c r="H167" s="372"/>
      <c r="I167" s="371" t="s">
        <v>5483</v>
      </c>
      <c r="J167" s="371" t="s">
        <v>2369</v>
      </c>
      <c r="K167" s="370" t="s">
        <v>2343</v>
      </c>
      <c r="L167" s="370" t="s">
        <v>2446</v>
      </c>
      <c r="M167" s="370" t="s">
        <v>2235</v>
      </c>
      <c r="N167" s="370" t="s">
        <v>2236</v>
      </c>
      <c r="O167" s="370" t="s">
        <v>2447</v>
      </c>
      <c r="P167" s="405" t="s">
        <v>5974</v>
      </c>
    </row>
    <row r="168" spans="1:16" ht="19" customHeight="1">
      <c r="A168" s="369" t="s">
        <v>5960</v>
      </c>
      <c r="B168" s="373" t="s">
        <v>2370</v>
      </c>
      <c r="C168" s="370" t="s">
        <v>517</v>
      </c>
      <c r="D168" s="371" t="s">
        <v>2371</v>
      </c>
      <c r="E168" s="371" t="s">
        <v>6039</v>
      </c>
      <c r="F168" s="404">
        <v>10</v>
      </c>
      <c r="G168" s="372"/>
      <c r="H168" s="372"/>
      <c r="I168" s="371" t="s">
        <v>5484</v>
      </c>
      <c r="J168" s="371" t="s">
        <v>2260</v>
      </c>
      <c r="K168" s="370" t="s">
        <v>2259</v>
      </c>
      <c r="L168" s="370" t="s">
        <v>2446</v>
      </c>
      <c r="M168" s="370" t="s">
        <v>2235</v>
      </c>
      <c r="N168" s="370" t="s">
        <v>2236</v>
      </c>
      <c r="O168" s="370" t="s">
        <v>2447</v>
      </c>
      <c r="P168" s="405" t="s">
        <v>5976</v>
      </c>
    </row>
    <row r="169" spans="1:16" ht="19" customHeight="1">
      <c r="A169" s="369" t="s">
        <v>5960</v>
      </c>
      <c r="B169" s="373" t="s">
        <v>2372</v>
      </c>
      <c r="C169" s="370" t="s">
        <v>517</v>
      </c>
      <c r="D169" s="371" t="s">
        <v>2373</v>
      </c>
      <c r="E169" s="371" t="s">
        <v>6040</v>
      </c>
      <c r="F169" s="404">
        <v>5</v>
      </c>
      <c r="G169" s="372"/>
      <c r="H169" s="372"/>
      <c r="I169" s="371" t="s">
        <v>5485</v>
      </c>
      <c r="J169" s="371" t="s">
        <v>2230</v>
      </c>
      <c r="K169" s="370" t="s">
        <v>2232</v>
      </c>
      <c r="L169" s="370" t="s">
        <v>2446</v>
      </c>
      <c r="M169" s="370" t="s">
        <v>2235</v>
      </c>
      <c r="N169" s="370" t="s">
        <v>2236</v>
      </c>
      <c r="O169" s="370" t="s">
        <v>2447</v>
      </c>
      <c r="P169" s="405" t="s">
        <v>5962</v>
      </c>
    </row>
    <row r="170" spans="1:16" ht="19" customHeight="1">
      <c r="A170" s="369" t="s">
        <v>5960</v>
      </c>
      <c r="B170" s="373" t="s">
        <v>2374</v>
      </c>
      <c r="C170" s="370" t="s">
        <v>517</v>
      </c>
      <c r="D170" s="371" t="s">
        <v>2375</v>
      </c>
      <c r="E170" s="371" t="s">
        <v>6041</v>
      </c>
      <c r="F170" s="404">
        <v>9</v>
      </c>
      <c r="G170" s="372"/>
      <c r="H170" s="372"/>
      <c r="I170" s="371" t="s">
        <v>5486</v>
      </c>
      <c r="J170" s="371" t="s">
        <v>2335</v>
      </c>
      <c r="K170" s="370" t="s">
        <v>2376</v>
      </c>
      <c r="L170" s="370" t="s">
        <v>2446</v>
      </c>
      <c r="M170" s="370" t="s">
        <v>2235</v>
      </c>
      <c r="N170" s="370" t="s">
        <v>2236</v>
      </c>
      <c r="O170" s="370" t="s">
        <v>2447</v>
      </c>
      <c r="P170" s="405" t="s">
        <v>5976</v>
      </c>
    </row>
    <row r="171" spans="1:16" ht="19" customHeight="1">
      <c r="A171" s="369" t="s">
        <v>5960</v>
      </c>
      <c r="B171" s="373" t="s">
        <v>2377</v>
      </c>
      <c r="C171" s="370" t="s">
        <v>517</v>
      </c>
      <c r="D171" s="371" t="s">
        <v>2378</v>
      </c>
      <c r="E171" s="371" t="s">
        <v>6042</v>
      </c>
      <c r="F171" s="404">
        <v>10</v>
      </c>
      <c r="G171" s="372"/>
      <c r="H171" s="372"/>
      <c r="I171" s="371" t="s">
        <v>5487</v>
      </c>
      <c r="J171" s="371" t="s">
        <v>2379</v>
      </c>
      <c r="K171" s="370" t="s">
        <v>2269</v>
      </c>
      <c r="L171" s="370" t="s">
        <v>2446</v>
      </c>
      <c r="M171" s="370" t="s">
        <v>2235</v>
      </c>
      <c r="N171" s="370" t="s">
        <v>2312</v>
      </c>
      <c r="O171" s="370" t="s">
        <v>2447</v>
      </c>
      <c r="P171" s="405" t="s">
        <v>5976</v>
      </c>
    </row>
    <row r="172" spans="1:16" ht="19" customHeight="1">
      <c r="A172" s="369" t="s">
        <v>5960</v>
      </c>
      <c r="B172" s="373" t="s">
        <v>2380</v>
      </c>
      <c r="C172" s="370" t="s">
        <v>517</v>
      </c>
      <c r="D172" s="371" t="s">
        <v>1441</v>
      </c>
      <c r="E172" s="371" t="s">
        <v>6043</v>
      </c>
      <c r="F172" s="404">
        <v>5</v>
      </c>
      <c r="G172" s="372"/>
      <c r="H172" s="372"/>
      <c r="I172" s="371" t="s">
        <v>5488</v>
      </c>
      <c r="J172" s="371" t="s">
        <v>2295</v>
      </c>
      <c r="K172" s="370" t="s">
        <v>2381</v>
      </c>
      <c r="L172" s="370" t="s">
        <v>2446</v>
      </c>
      <c r="M172" s="370" t="s">
        <v>2240</v>
      </c>
      <c r="N172" s="370" t="s">
        <v>2312</v>
      </c>
      <c r="O172" s="370" t="s">
        <v>2447</v>
      </c>
      <c r="P172" s="405" t="s">
        <v>5962</v>
      </c>
    </row>
    <row r="173" spans="1:16" ht="19" customHeight="1">
      <c r="A173" s="369" t="s">
        <v>5960</v>
      </c>
      <c r="B173" s="373" t="s">
        <v>2477</v>
      </c>
      <c r="C173" s="370" t="s">
        <v>517</v>
      </c>
      <c r="D173" s="371" t="s">
        <v>2478</v>
      </c>
      <c r="E173" s="371" t="s">
        <v>6044</v>
      </c>
      <c r="F173" s="404">
        <v>10</v>
      </c>
      <c r="G173" s="372"/>
      <c r="H173" s="372"/>
      <c r="I173" s="371" t="s">
        <v>5489</v>
      </c>
      <c r="J173" s="371" t="s">
        <v>2352</v>
      </c>
      <c r="K173" s="370" t="s">
        <v>2269</v>
      </c>
      <c r="L173" s="370" t="s">
        <v>2446</v>
      </c>
      <c r="M173" s="370" t="s">
        <v>2235</v>
      </c>
      <c r="N173" s="370" t="s">
        <v>2452</v>
      </c>
      <c r="O173" s="370" t="s">
        <v>1086</v>
      </c>
      <c r="P173" s="405" t="s">
        <v>5976</v>
      </c>
    </row>
    <row r="174" spans="1:16" ht="19" customHeight="1">
      <c r="A174" s="369" t="s">
        <v>5960</v>
      </c>
      <c r="B174" s="373" t="s">
        <v>2479</v>
      </c>
      <c r="C174" s="370" t="s">
        <v>517</v>
      </c>
      <c r="D174" s="371" t="s">
        <v>2480</v>
      </c>
      <c r="E174" s="371" t="s">
        <v>6045</v>
      </c>
      <c r="F174" s="404">
        <v>9</v>
      </c>
      <c r="G174" s="372"/>
      <c r="H174" s="372"/>
      <c r="I174" s="371" t="s">
        <v>5490</v>
      </c>
      <c r="J174" s="371" t="s">
        <v>2396</v>
      </c>
      <c r="K174" s="370" t="s">
        <v>2415</v>
      </c>
      <c r="L174" s="370" t="s">
        <v>2446</v>
      </c>
      <c r="M174" s="370" t="s">
        <v>2235</v>
      </c>
      <c r="N174" s="370" t="s">
        <v>2452</v>
      </c>
      <c r="O174" s="370" t="s">
        <v>2481</v>
      </c>
      <c r="P174" s="405" t="s">
        <v>5976</v>
      </c>
    </row>
    <row r="175" spans="1:16" ht="19" customHeight="1">
      <c r="A175" s="369" t="s">
        <v>5960</v>
      </c>
      <c r="B175" s="373" t="s">
        <v>2482</v>
      </c>
      <c r="C175" s="370" t="s">
        <v>517</v>
      </c>
      <c r="D175" s="371" t="s">
        <v>2483</v>
      </c>
      <c r="E175" s="371" t="s">
        <v>6046</v>
      </c>
      <c r="F175" s="404">
        <v>9</v>
      </c>
      <c r="G175" s="372"/>
      <c r="H175" s="372"/>
      <c r="I175" s="371" t="s">
        <v>5491</v>
      </c>
      <c r="J175" s="371" t="s">
        <v>2367</v>
      </c>
      <c r="K175" s="370" t="s">
        <v>2325</v>
      </c>
      <c r="L175" s="370" t="s">
        <v>2446</v>
      </c>
      <c r="M175" s="370" t="s">
        <v>2235</v>
      </c>
      <c r="N175" s="370" t="s">
        <v>2452</v>
      </c>
      <c r="O175" s="370" t="s">
        <v>2484</v>
      </c>
      <c r="P175" s="405" t="s">
        <v>5976</v>
      </c>
    </row>
    <row r="176" spans="1:16" ht="19" customHeight="1">
      <c r="A176" s="369" t="s">
        <v>5960</v>
      </c>
      <c r="B176" s="373" t="s">
        <v>2485</v>
      </c>
      <c r="C176" s="370" t="s">
        <v>517</v>
      </c>
      <c r="D176" s="371" t="s">
        <v>2486</v>
      </c>
      <c r="E176" s="371" t="s">
        <v>6047</v>
      </c>
      <c r="F176" s="404">
        <v>10</v>
      </c>
      <c r="G176" s="372"/>
      <c r="H176" s="372"/>
      <c r="I176" s="371" t="s">
        <v>5492</v>
      </c>
      <c r="J176" s="371" t="s">
        <v>2370</v>
      </c>
      <c r="K176" s="370" t="s">
        <v>2255</v>
      </c>
      <c r="L176" s="370" t="s">
        <v>2446</v>
      </c>
      <c r="M176" s="370" t="s">
        <v>2235</v>
      </c>
      <c r="N176" s="370" t="s">
        <v>2452</v>
      </c>
      <c r="O176" s="370" t="s">
        <v>1087</v>
      </c>
      <c r="P176" s="405" t="s">
        <v>5976</v>
      </c>
    </row>
    <row r="177" spans="1:16" ht="19" customHeight="1">
      <c r="A177" s="369" t="s">
        <v>5960</v>
      </c>
      <c r="B177" s="373" t="s">
        <v>5531</v>
      </c>
      <c r="C177" s="370" t="s">
        <v>517</v>
      </c>
      <c r="D177" s="371" t="s">
        <v>5532</v>
      </c>
      <c r="E177" s="371" t="s">
        <v>6048</v>
      </c>
      <c r="F177" s="404">
        <v>10</v>
      </c>
      <c r="G177" s="372"/>
      <c r="H177" s="372"/>
      <c r="I177" s="371" t="s">
        <v>5535</v>
      </c>
      <c r="J177" s="371" t="s">
        <v>2360</v>
      </c>
      <c r="K177" s="370" t="s">
        <v>2362</v>
      </c>
      <c r="L177" s="370" t="s">
        <v>2446</v>
      </c>
      <c r="M177" s="370" t="s">
        <v>2240</v>
      </c>
      <c r="N177" s="370" t="s">
        <v>5533</v>
      </c>
      <c r="O177" s="370" t="s">
        <v>5534</v>
      </c>
      <c r="P177" s="405" t="s">
        <v>6049</v>
      </c>
    </row>
    <row r="178" spans="1:16" ht="19" customHeight="1">
      <c r="A178" s="369" t="s">
        <v>5960</v>
      </c>
      <c r="B178" s="373" t="s">
        <v>5811</v>
      </c>
      <c r="C178" s="370" t="s">
        <v>517</v>
      </c>
      <c r="D178" s="371" t="s">
        <v>5812</v>
      </c>
      <c r="E178" s="371" t="s">
        <v>6050</v>
      </c>
      <c r="F178" s="404">
        <v>6</v>
      </c>
      <c r="G178" s="372"/>
      <c r="H178" s="372"/>
      <c r="I178" s="371" t="s">
        <v>5814</v>
      </c>
      <c r="J178" s="371" t="s">
        <v>5813</v>
      </c>
      <c r="K178" s="370" t="s">
        <v>2301</v>
      </c>
      <c r="L178" s="370" t="s">
        <v>2446</v>
      </c>
      <c r="M178" s="370" t="s">
        <v>2235</v>
      </c>
      <c r="N178" s="370" t="s">
        <v>5809</v>
      </c>
      <c r="O178" s="370" t="s">
        <v>2681</v>
      </c>
      <c r="P178" s="405" t="s">
        <v>5976</v>
      </c>
    </row>
    <row r="179" spans="1:16" ht="19" customHeight="1">
      <c r="A179" s="369" t="s">
        <v>5960</v>
      </c>
      <c r="B179" s="373" t="s">
        <v>2382</v>
      </c>
      <c r="C179" s="370" t="s">
        <v>519</v>
      </c>
      <c r="D179" s="371" t="s">
        <v>2383</v>
      </c>
      <c r="E179" s="371" t="s">
        <v>6051</v>
      </c>
      <c r="F179" s="404">
        <v>10</v>
      </c>
      <c r="G179" s="372"/>
      <c r="H179" s="372"/>
      <c r="I179" s="371" t="s">
        <v>5493</v>
      </c>
      <c r="J179" s="371" t="s">
        <v>2384</v>
      </c>
      <c r="K179" s="370" t="s">
        <v>2346</v>
      </c>
      <c r="L179" s="370" t="s">
        <v>2446</v>
      </c>
      <c r="M179" s="370" t="s">
        <v>2235</v>
      </c>
      <c r="N179" s="370" t="s">
        <v>2236</v>
      </c>
      <c r="O179" s="370" t="s">
        <v>2447</v>
      </c>
      <c r="P179" s="405" t="s">
        <v>5976</v>
      </c>
    </row>
    <row r="180" spans="1:16" ht="19" customHeight="1">
      <c r="A180" s="369" t="s">
        <v>5960</v>
      </c>
      <c r="B180" s="373" t="s">
        <v>2385</v>
      </c>
      <c r="C180" s="370" t="s">
        <v>519</v>
      </c>
      <c r="D180" s="371" t="s">
        <v>2386</v>
      </c>
      <c r="E180" s="371" t="s">
        <v>6052</v>
      </c>
      <c r="F180" s="404">
        <v>12</v>
      </c>
      <c r="G180" s="372"/>
      <c r="H180" s="372"/>
      <c r="I180" s="371" t="s">
        <v>5494</v>
      </c>
      <c r="J180" s="371" t="s">
        <v>6053</v>
      </c>
      <c r="K180" s="370" t="s">
        <v>2343</v>
      </c>
      <c r="L180" s="370" t="s">
        <v>2446</v>
      </c>
      <c r="M180" s="370" t="s">
        <v>2240</v>
      </c>
      <c r="N180" s="370" t="s">
        <v>2236</v>
      </c>
      <c r="O180" s="370" t="s">
        <v>2447</v>
      </c>
      <c r="P180" s="405" t="s">
        <v>6054</v>
      </c>
    </row>
    <row r="181" spans="1:16" ht="19" customHeight="1">
      <c r="A181" s="369" t="s">
        <v>5960</v>
      </c>
      <c r="B181" s="373" t="s">
        <v>2387</v>
      </c>
      <c r="C181" s="370" t="s">
        <v>519</v>
      </c>
      <c r="D181" s="371" t="s">
        <v>2388</v>
      </c>
      <c r="E181" s="371" t="s">
        <v>6055</v>
      </c>
      <c r="F181" s="404">
        <v>12</v>
      </c>
      <c r="G181" s="372"/>
      <c r="H181" s="372"/>
      <c r="I181" s="371" t="s">
        <v>5495</v>
      </c>
      <c r="J181" s="371" t="s">
        <v>6056</v>
      </c>
      <c r="K181" s="370" t="s">
        <v>2259</v>
      </c>
      <c r="L181" s="370" t="s">
        <v>2446</v>
      </c>
      <c r="M181" s="370" t="s">
        <v>2235</v>
      </c>
      <c r="N181" s="370" t="s">
        <v>2236</v>
      </c>
      <c r="O181" s="370" t="s">
        <v>2447</v>
      </c>
      <c r="P181" s="405" t="s">
        <v>5976</v>
      </c>
    </row>
    <row r="182" spans="1:16" ht="19" customHeight="1">
      <c r="A182" s="369" t="s">
        <v>5960</v>
      </c>
      <c r="B182" s="373" t="s">
        <v>2389</v>
      </c>
      <c r="C182" s="370" t="s">
        <v>519</v>
      </c>
      <c r="D182" s="371" t="s">
        <v>2390</v>
      </c>
      <c r="E182" s="371" t="s">
        <v>6057</v>
      </c>
      <c r="F182" s="404">
        <v>15</v>
      </c>
      <c r="G182" s="372"/>
      <c r="H182" s="372"/>
      <c r="I182" s="371" t="s">
        <v>5496</v>
      </c>
      <c r="J182" s="371" t="s">
        <v>6058</v>
      </c>
      <c r="K182" s="370" t="s">
        <v>2301</v>
      </c>
      <c r="L182" s="370" t="s">
        <v>2446</v>
      </c>
      <c r="M182" s="370" t="s">
        <v>2235</v>
      </c>
      <c r="N182" s="370" t="s">
        <v>2236</v>
      </c>
      <c r="O182" s="370" t="s">
        <v>2447</v>
      </c>
      <c r="P182" s="405" t="s">
        <v>5976</v>
      </c>
    </row>
    <row r="183" spans="1:16" ht="19" customHeight="1">
      <c r="A183" s="369" t="s">
        <v>5960</v>
      </c>
      <c r="B183" s="373" t="s">
        <v>2391</v>
      </c>
      <c r="C183" s="370" t="s">
        <v>519</v>
      </c>
      <c r="D183" s="371" t="s">
        <v>2392</v>
      </c>
      <c r="E183" s="371" t="s">
        <v>6059</v>
      </c>
      <c r="F183" s="404">
        <v>5</v>
      </c>
      <c r="G183" s="372"/>
      <c r="H183" s="372"/>
      <c r="I183" s="371" t="s">
        <v>5497</v>
      </c>
      <c r="J183" s="371" t="s">
        <v>2393</v>
      </c>
      <c r="K183" s="370" t="s">
        <v>2343</v>
      </c>
      <c r="L183" s="370" t="s">
        <v>2446</v>
      </c>
      <c r="M183" s="370" t="s">
        <v>2235</v>
      </c>
      <c r="N183" s="370" t="s">
        <v>2236</v>
      </c>
      <c r="O183" s="370" t="s">
        <v>2447</v>
      </c>
      <c r="P183" s="405" t="s">
        <v>5962</v>
      </c>
    </row>
    <row r="184" spans="1:16" ht="19" customHeight="1">
      <c r="A184" s="406" t="s">
        <v>5960</v>
      </c>
      <c r="B184" s="407" t="s">
        <v>2487</v>
      </c>
      <c r="C184" s="408" t="s">
        <v>519</v>
      </c>
      <c r="D184" s="409" t="s">
        <v>2488</v>
      </c>
      <c r="E184" s="409" t="s">
        <v>6060</v>
      </c>
      <c r="F184" s="410">
        <v>5</v>
      </c>
      <c r="G184" s="411"/>
      <c r="H184" s="411"/>
      <c r="I184" s="409" t="s">
        <v>5498</v>
      </c>
      <c r="J184" s="409" t="s">
        <v>2256</v>
      </c>
      <c r="K184" s="408" t="s">
        <v>2259</v>
      </c>
      <c r="L184" s="408" t="s">
        <v>2446</v>
      </c>
      <c r="M184" s="408" t="s">
        <v>2235</v>
      </c>
      <c r="N184" s="408" t="s">
        <v>2452</v>
      </c>
      <c r="O184" s="408" t="s">
        <v>1127</v>
      </c>
      <c r="P184" s="412" t="s">
        <v>5962</v>
      </c>
    </row>
    <row r="185" spans="1:16" ht="26" customHeight="1">
      <c r="A185" s="377" t="s">
        <v>5960</v>
      </c>
      <c r="B185" s="377" t="s">
        <v>2489</v>
      </c>
      <c r="C185" s="377" t="s">
        <v>519</v>
      </c>
      <c r="D185" s="413" t="s">
        <v>2490</v>
      </c>
      <c r="E185" s="413" t="s">
        <v>6061</v>
      </c>
      <c r="F185" s="414">
        <v>8</v>
      </c>
      <c r="G185" s="413"/>
      <c r="H185" s="413"/>
      <c r="I185" s="413" t="s">
        <v>5499</v>
      </c>
      <c r="J185" s="377" t="s">
        <v>2260</v>
      </c>
      <c r="K185" s="377" t="s">
        <v>2346</v>
      </c>
      <c r="L185" s="377" t="s">
        <v>2446</v>
      </c>
      <c r="M185" s="377" t="s">
        <v>2235</v>
      </c>
      <c r="N185" s="377" t="s">
        <v>2452</v>
      </c>
      <c r="O185" s="377" t="s">
        <v>1128</v>
      </c>
      <c r="P185" s="377" t="s">
        <v>5962</v>
      </c>
    </row>
    <row r="186" spans="1:16" ht="26" customHeight="1">
      <c r="A186" s="377" t="s">
        <v>5960</v>
      </c>
      <c r="B186" s="377" t="s">
        <v>2491</v>
      </c>
      <c r="C186" s="377" t="s">
        <v>519</v>
      </c>
      <c r="D186" s="413" t="s">
        <v>2492</v>
      </c>
      <c r="E186" s="413" t="s">
        <v>6062</v>
      </c>
      <c r="F186" s="414">
        <v>8</v>
      </c>
      <c r="G186" s="413"/>
      <c r="H186" s="413"/>
      <c r="I186" s="413" t="s">
        <v>5500</v>
      </c>
      <c r="J186" s="377" t="s">
        <v>2396</v>
      </c>
      <c r="K186" s="377" t="s">
        <v>2343</v>
      </c>
      <c r="L186" s="377" t="s">
        <v>2446</v>
      </c>
      <c r="M186" s="377" t="s">
        <v>2235</v>
      </c>
      <c r="N186" s="377" t="s">
        <v>2452</v>
      </c>
      <c r="O186" s="377" t="s">
        <v>1129</v>
      </c>
      <c r="P186" s="377" t="s">
        <v>5962</v>
      </c>
    </row>
    <row r="187" spans="1:16" ht="26" customHeight="1">
      <c r="A187" s="368" t="s">
        <v>5960</v>
      </c>
      <c r="B187" s="415" t="s">
        <v>2493</v>
      </c>
      <c r="C187" s="415" t="s">
        <v>519</v>
      </c>
      <c r="D187" s="413" t="s">
        <v>2494</v>
      </c>
      <c r="E187" s="413" t="s">
        <v>6063</v>
      </c>
      <c r="F187" s="414">
        <v>6</v>
      </c>
      <c r="G187" s="413"/>
      <c r="H187" s="413"/>
      <c r="I187" s="413" t="s">
        <v>5501</v>
      </c>
      <c r="J187" s="377" t="s">
        <v>2385</v>
      </c>
      <c r="K187" s="377" t="s">
        <v>2325</v>
      </c>
      <c r="L187" s="377" t="s">
        <v>2446</v>
      </c>
      <c r="M187" s="377" t="s">
        <v>2235</v>
      </c>
      <c r="N187" s="377" t="s">
        <v>2452</v>
      </c>
      <c r="O187" s="377" t="s">
        <v>1132</v>
      </c>
      <c r="P187" s="377" t="s">
        <v>5962</v>
      </c>
    </row>
    <row r="188" spans="1:16" ht="26" customHeight="1">
      <c r="A188" s="416" t="s">
        <v>5960</v>
      </c>
      <c r="B188" s="417" t="s">
        <v>2495</v>
      </c>
      <c r="C188" s="418" t="s">
        <v>519</v>
      </c>
      <c r="D188" s="413" t="s">
        <v>2496</v>
      </c>
      <c r="E188" s="413" t="s">
        <v>6064</v>
      </c>
      <c r="F188" s="414">
        <v>10</v>
      </c>
      <c r="G188" s="413"/>
      <c r="H188" s="413"/>
      <c r="I188" s="413" t="s">
        <v>5502</v>
      </c>
      <c r="J188" s="377" t="s">
        <v>2387</v>
      </c>
      <c r="K188" s="377" t="s">
        <v>2259</v>
      </c>
      <c r="L188" s="377" t="s">
        <v>2446</v>
      </c>
      <c r="M188" s="377" t="s">
        <v>2235</v>
      </c>
      <c r="N188" s="377" t="s">
        <v>2452</v>
      </c>
      <c r="O188" s="377" t="s">
        <v>2497</v>
      </c>
      <c r="P188" s="377" t="s">
        <v>5976</v>
      </c>
    </row>
    <row r="189" spans="1:16" ht="26" customHeight="1">
      <c r="A189" s="419" t="s">
        <v>5960</v>
      </c>
      <c r="B189" s="370" t="s">
        <v>2498</v>
      </c>
      <c r="C189" s="405" t="s">
        <v>519</v>
      </c>
      <c r="D189" s="413" t="s">
        <v>2499</v>
      </c>
      <c r="E189" s="413" t="s">
        <v>6065</v>
      </c>
      <c r="F189" s="414">
        <v>8</v>
      </c>
      <c r="G189" s="413"/>
      <c r="H189" s="413"/>
      <c r="I189" s="413" t="s">
        <v>5503</v>
      </c>
      <c r="J189" s="377" t="s">
        <v>2500</v>
      </c>
      <c r="K189" s="377" t="s">
        <v>2266</v>
      </c>
      <c r="L189" s="377" t="s">
        <v>2446</v>
      </c>
      <c r="M189" s="377" t="s">
        <v>2235</v>
      </c>
      <c r="N189" s="377" t="s">
        <v>2452</v>
      </c>
      <c r="O189" s="377" t="s">
        <v>2501</v>
      </c>
      <c r="P189" s="377" t="s">
        <v>5962</v>
      </c>
    </row>
    <row r="190" spans="1:16" ht="26" customHeight="1">
      <c r="A190" s="419" t="s">
        <v>5960</v>
      </c>
      <c r="B190" s="370" t="s">
        <v>2502</v>
      </c>
      <c r="C190" s="405" t="s">
        <v>519</v>
      </c>
      <c r="D190" s="413" t="s">
        <v>2503</v>
      </c>
      <c r="E190" s="413" t="s">
        <v>6066</v>
      </c>
      <c r="F190" s="414">
        <v>3</v>
      </c>
      <c r="G190" s="413"/>
      <c r="H190" s="413"/>
      <c r="I190" s="413" t="s">
        <v>5504</v>
      </c>
      <c r="J190" s="377" t="s">
        <v>2385</v>
      </c>
      <c r="K190" s="377" t="s">
        <v>2325</v>
      </c>
      <c r="L190" s="377" t="s">
        <v>2446</v>
      </c>
      <c r="M190" s="377" t="s">
        <v>2235</v>
      </c>
      <c r="N190" s="377" t="s">
        <v>2452</v>
      </c>
      <c r="O190" s="377" t="s">
        <v>2504</v>
      </c>
      <c r="P190" s="377" t="s">
        <v>5962</v>
      </c>
    </row>
    <row r="191" spans="1:16" ht="26" customHeight="1">
      <c r="A191" s="419" t="s">
        <v>5960</v>
      </c>
      <c r="B191" s="370" t="s">
        <v>2332</v>
      </c>
      <c r="C191" s="405" t="s">
        <v>2394</v>
      </c>
      <c r="D191" s="413" t="s">
        <v>2395</v>
      </c>
      <c r="E191" s="413" t="s">
        <v>6067</v>
      </c>
      <c r="F191" s="414">
        <v>22</v>
      </c>
      <c r="G191" s="413"/>
      <c r="H191" s="413"/>
      <c r="I191" s="413" t="s">
        <v>5505</v>
      </c>
      <c r="J191" s="377" t="s">
        <v>2234</v>
      </c>
      <c r="K191" s="377" t="s">
        <v>2259</v>
      </c>
      <c r="L191" s="377" t="s">
        <v>2446</v>
      </c>
      <c r="M191" s="377" t="s">
        <v>2235</v>
      </c>
      <c r="N191" s="377" t="s">
        <v>2236</v>
      </c>
      <c r="O191" s="377" t="s">
        <v>2447</v>
      </c>
      <c r="P191" s="377" t="s">
        <v>5974</v>
      </c>
    </row>
    <row r="192" spans="1:16" ht="26" customHeight="1">
      <c r="A192" s="420" t="s">
        <v>5960</v>
      </c>
      <c r="B192" s="408" t="s">
        <v>2396</v>
      </c>
      <c r="C192" s="412" t="s">
        <v>2394</v>
      </c>
      <c r="D192" s="413" t="s">
        <v>2397</v>
      </c>
      <c r="E192" s="413" t="s">
        <v>6068</v>
      </c>
      <c r="F192" s="414">
        <v>14</v>
      </c>
      <c r="G192" s="413"/>
      <c r="H192" s="413"/>
      <c r="I192" s="413" t="s">
        <v>5506</v>
      </c>
      <c r="J192" s="377" t="s">
        <v>2332</v>
      </c>
      <c r="K192" s="377" t="s">
        <v>2259</v>
      </c>
      <c r="L192" s="377" t="s">
        <v>2446</v>
      </c>
      <c r="M192" s="377" t="s">
        <v>2235</v>
      </c>
      <c r="N192" s="377" t="s">
        <v>2236</v>
      </c>
      <c r="O192" s="377" t="s">
        <v>2447</v>
      </c>
      <c r="P192" s="377" t="s">
        <v>5976</v>
      </c>
    </row>
    <row r="193" spans="1:16" ht="26" customHeight="1">
      <c r="A193" s="421" t="s">
        <v>5960</v>
      </c>
      <c r="B193" s="421" t="s">
        <v>2505</v>
      </c>
      <c r="C193" s="421" t="s">
        <v>2394</v>
      </c>
      <c r="D193" s="413" t="s">
        <v>2506</v>
      </c>
      <c r="E193" s="413" t="s">
        <v>6069</v>
      </c>
      <c r="F193" s="414">
        <v>12</v>
      </c>
      <c r="G193" s="413"/>
      <c r="H193" s="413"/>
      <c r="I193" s="413" t="s">
        <v>5507</v>
      </c>
      <c r="J193" s="377" t="s">
        <v>2396</v>
      </c>
      <c r="K193" s="377" t="s">
        <v>2259</v>
      </c>
      <c r="L193" s="377" t="s">
        <v>2446</v>
      </c>
      <c r="M193" s="377" t="s">
        <v>2235</v>
      </c>
      <c r="N193" s="377" t="s">
        <v>2452</v>
      </c>
      <c r="O193" s="377" t="s">
        <v>1210</v>
      </c>
      <c r="P193" s="377" t="s">
        <v>5976</v>
      </c>
    </row>
    <row r="194" spans="1:16" ht="26" customHeight="1">
      <c r="A194" s="422" t="s">
        <v>5960</v>
      </c>
      <c r="B194" s="421" t="s">
        <v>2384</v>
      </c>
      <c r="C194" s="421" t="s">
        <v>2398</v>
      </c>
      <c r="D194" s="413" t="s">
        <v>2399</v>
      </c>
      <c r="E194" s="413" t="s">
        <v>6070</v>
      </c>
      <c r="F194" s="414">
        <v>13</v>
      </c>
      <c r="G194" s="413"/>
      <c r="H194" s="413"/>
      <c r="I194" s="413" t="s">
        <v>5508</v>
      </c>
      <c r="J194" s="377" t="s">
        <v>2256</v>
      </c>
      <c r="K194" s="377" t="s">
        <v>2400</v>
      </c>
      <c r="L194" s="377" t="s">
        <v>2446</v>
      </c>
      <c r="M194" s="377" t="s">
        <v>2235</v>
      </c>
      <c r="N194" s="377" t="s">
        <v>2236</v>
      </c>
      <c r="O194" s="377" t="s">
        <v>2447</v>
      </c>
      <c r="P194" s="377" t="s">
        <v>5976</v>
      </c>
    </row>
    <row r="195" spans="1:16" ht="26" customHeight="1">
      <c r="A195" s="421" t="s">
        <v>5960</v>
      </c>
      <c r="B195" s="421" t="s">
        <v>2363</v>
      </c>
      <c r="C195" s="421" t="s">
        <v>2398</v>
      </c>
      <c r="D195" s="413" t="s">
        <v>2401</v>
      </c>
      <c r="E195" s="413" t="s">
        <v>6071</v>
      </c>
      <c r="F195" s="414">
        <v>13</v>
      </c>
      <c r="G195" s="413"/>
      <c r="H195" s="413"/>
      <c r="I195" s="413" t="s">
        <v>5509</v>
      </c>
      <c r="J195" s="377" t="s">
        <v>2402</v>
      </c>
      <c r="K195" s="377" t="s">
        <v>2259</v>
      </c>
      <c r="L195" s="377" t="s">
        <v>2446</v>
      </c>
      <c r="M195" s="377" t="s">
        <v>2235</v>
      </c>
      <c r="N195" s="377" t="s">
        <v>2236</v>
      </c>
      <c r="O195" s="377" t="s">
        <v>2447</v>
      </c>
      <c r="P195" s="377" t="s">
        <v>5976</v>
      </c>
    </row>
    <row r="196" spans="1:16" ht="26" customHeight="1">
      <c r="A196" s="421" t="s">
        <v>5960</v>
      </c>
      <c r="B196" s="421" t="s">
        <v>2403</v>
      </c>
      <c r="C196" s="421" t="s">
        <v>2398</v>
      </c>
      <c r="D196" s="413" t="s">
        <v>2404</v>
      </c>
      <c r="E196" s="413" t="s">
        <v>6072</v>
      </c>
      <c r="F196" s="414">
        <v>25</v>
      </c>
      <c r="G196" s="413"/>
      <c r="H196" s="413"/>
      <c r="I196" s="413" t="s">
        <v>5510</v>
      </c>
      <c r="J196" s="377" t="s">
        <v>2405</v>
      </c>
      <c r="K196" s="377" t="s">
        <v>2325</v>
      </c>
      <c r="L196" s="377" t="s">
        <v>2446</v>
      </c>
      <c r="M196" s="377" t="s">
        <v>2235</v>
      </c>
      <c r="N196" s="377" t="s">
        <v>2236</v>
      </c>
      <c r="O196" s="377" t="s">
        <v>2447</v>
      </c>
      <c r="P196" s="377" t="s">
        <v>5974</v>
      </c>
    </row>
    <row r="197" spans="1:16" ht="26" customHeight="1">
      <c r="A197" s="421" t="s">
        <v>5960</v>
      </c>
      <c r="B197" s="421" t="s">
        <v>2406</v>
      </c>
      <c r="C197" s="421" t="s">
        <v>2398</v>
      </c>
      <c r="D197" s="413" t="s">
        <v>2407</v>
      </c>
      <c r="E197" s="413" t="s">
        <v>6073</v>
      </c>
      <c r="F197" s="414">
        <v>12</v>
      </c>
      <c r="G197" s="413"/>
      <c r="H197" s="413"/>
      <c r="I197" s="413" t="s">
        <v>5511</v>
      </c>
      <c r="J197" s="377" t="s">
        <v>2408</v>
      </c>
      <c r="K197" s="377" t="s">
        <v>2269</v>
      </c>
      <c r="L197" s="377" t="s">
        <v>2446</v>
      </c>
      <c r="M197" s="377" t="s">
        <v>2235</v>
      </c>
      <c r="N197" s="377" t="s">
        <v>2236</v>
      </c>
      <c r="O197" s="377" t="s">
        <v>2447</v>
      </c>
      <c r="P197" s="377" t="s">
        <v>5976</v>
      </c>
    </row>
    <row r="198" spans="1:16" ht="26" customHeight="1">
      <c r="A198" s="421" t="s">
        <v>5960</v>
      </c>
      <c r="B198" s="421" t="s">
        <v>2409</v>
      </c>
      <c r="C198" s="421" t="s">
        <v>2398</v>
      </c>
      <c r="D198" s="413" t="s">
        <v>2410</v>
      </c>
      <c r="E198" s="413" t="s">
        <v>6074</v>
      </c>
      <c r="F198" s="414">
        <v>11</v>
      </c>
      <c r="G198" s="413"/>
      <c r="H198" s="413"/>
      <c r="I198" s="413" t="s">
        <v>5512</v>
      </c>
      <c r="J198" s="377" t="s">
        <v>2384</v>
      </c>
      <c r="K198" s="377" t="s">
        <v>2269</v>
      </c>
      <c r="L198" s="377" t="s">
        <v>2446</v>
      </c>
      <c r="M198" s="377" t="s">
        <v>2235</v>
      </c>
      <c r="N198" s="377" t="s">
        <v>2236</v>
      </c>
      <c r="O198" s="377" t="s">
        <v>2447</v>
      </c>
      <c r="P198" s="377" t="s">
        <v>5976</v>
      </c>
    </row>
    <row r="199" spans="1:16" ht="26" customHeight="1">
      <c r="A199" s="421" t="s">
        <v>5960</v>
      </c>
      <c r="B199" s="421" t="s">
        <v>2411</v>
      </c>
      <c r="C199" s="421" t="s">
        <v>2398</v>
      </c>
      <c r="D199" s="413" t="s">
        <v>1440</v>
      </c>
      <c r="E199" s="413" t="s">
        <v>6075</v>
      </c>
      <c r="F199" s="414">
        <v>10</v>
      </c>
      <c r="G199" s="413"/>
      <c r="H199" s="413"/>
      <c r="I199" s="413" t="s">
        <v>5513</v>
      </c>
      <c r="J199" s="377" t="s">
        <v>2412</v>
      </c>
      <c r="K199" s="377" t="s">
        <v>2381</v>
      </c>
      <c r="L199" s="377" t="s">
        <v>2446</v>
      </c>
      <c r="M199" s="377" t="s">
        <v>2235</v>
      </c>
      <c r="N199" s="377" t="s">
        <v>2312</v>
      </c>
      <c r="O199" s="377" t="s">
        <v>2447</v>
      </c>
      <c r="P199" s="377" t="s">
        <v>5976</v>
      </c>
    </row>
    <row r="200" spans="1:16" ht="26" customHeight="1">
      <c r="A200" s="421" t="s">
        <v>5960</v>
      </c>
      <c r="B200" s="421" t="s">
        <v>2413</v>
      </c>
      <c r="C200" s="421" t="s">
        <v>2398</v>
      </c>
      <c r="D200" s="413" t="s">
        <v>2414</v>
      </c>
      <c r="E200" s="413" t="s">
        <v>6076</v>
      </c>
      <c r="F200" s="414">
        <v>5</v>
      </c>
      <c r="G200" s="413"/>
      <c r="H200" s="413"/>
      <c r="I200" s="413" t="s">
        <v>5514</v>
      </c>
      <c r="J200" s="377" t="s">
        <v>2332</v>
      </c>
      <c r="K200" s="377" t="s">
        <v>2415</v>
      </c>
      <c r="L200" s="377" t="s">
        <v>2446</v>
      </c>
      <c r="M200" s="377" t="s">
        <v>2235</v>
      </c>
      <c r="N200" s="377" t="s">
        <v>2312</v>
      </c>
      <c r="O200" s="377" t="s">
        <v>2447</v>
      </c>
      <c r="P200" s="377" t="s">
        <v>5962</v>
      </c>
    </row>
    <row r="201" spans="1:16" ht="42">
      <c r="A201" s="421" t="s">
        <v>5960</v>
      </c>
      <c r="B201" s="421" t="s">
        <v>2507</v>
      </c>
      <c r="C201" s="421" t="s">
        <v>2398</v>
      </c>
      <c r="D201" s="413" t="s">
        <v>2508</v>
      </c>
      <c r="E201" s="413" t="s">
        <v>6077</v>
      </c>
      <c r="F201" s="414">
        <v>8</v>
      </c>
      <c r="G201" s="413"/>
      <c r="H201" s="413"/>
      <c r="I201" s="413" t="s">
        <v>5515</v>
      </c>
      <c r="J201" s="377" t="s">
        <v>2384</v>
      </c>
      <c r="K201" s="377" t="s">
        <v>2400</v>
      </c>
      <c r="L201" s="377" t="s">
        <v>2446</v>
      </c>
      <c r="M201" s="377" t="s">
        <v>2235</v>
      </c>
      <c r="N201" s="377" t="s">
        <v>2452</v>
      </c>
      <c r="O201" s="377" t="s">
        <v>2509</v>
      </c>
      <c r="P201" s="377" t="s">
        <v>5962</v>
      </c>
    </row>
    <row r="202" spans="1:16" ht="63">
      <c r="A202" s="377" t="s">
        <v>5960</v>
      </c>
      <c r="B202" s="377" t="s">
        <v>2510</v>
      </c>
      <c r="C202" s="377" t="s">
        <v>2398</v>
      </c>
      <c r="D202" s="413" t="s">
        <v>2511</v>
      </c>
      <c r="E202" s="413" t="s">
        <v>6078</v>
      </c>
      <c r="F202" s="414">
        <v>5</v>
      </c>
      <c r="G202" s="413"/>
      <c r="H202" s="413"/>
      <c r="I202" s="413" t="s">
        <v>5516</v>
      </c>
      <c r="J202" s="377" t="s">
        <v>2363</v>
      </c>
      <c r="K202" s="377" t="s">
        <v>2325</v>
      </c>
      <c r="L202" s="377" t="s">
        <v>2446</v>
      </c>
      <c r="M202" s="377" t="s">
        <v>2512</v>
      </c>
      <c r="N202" s="377" t="s">
        <v>2452</v>
      </c>
      <c r="O202" s="377" t="s">
        <v>2513</v>
      </c>
      <c r="P202" s="377" t="s">
        <v>5962</v>
      </c>
    </row>
    <row r="203" spans="1:16" ht="63">
      <c r="A203" s="377" t="s">
        <v>5960</v>
      </c>
      <c r="B203" s="377" t="s">
        <v>5807</v>
      </c>
      <c r="C203" s="377" t="s">
        <v>2398</v>
      </c>
      <c r="D203" s="413" t="s">
        <v>5808</v>
      </c>
      <c r="E203" s="413" t="s">
        <v>6079</v>
      </c>
      <c r="F203" s="414">
        <v>8</v>
      </c>
      <c r="G203" s="413"/>
      <c r="H203" s="413"/>
      <c r="I203" s="413" t="s">
        <v>5810</v>
      </c>
      <c r="J203" s="377" t="s">
        <v>2396</v>
      </c>
      <c r="K203" s="377" t="s">
        <v>2362</v>
      </c>
      <c r="L203" s="377" t="s">
        <v>2446</v>
      </c>
      <c r="M203" s="377" t="s">
        <v>2235</v>
      </c>
      <c r="N203" s="377" t="s">
        <v>5809</v>
      </c>
      <c r="O203" s="377" t="s">
        <v>2684</v>
      </c>
      <c r="P203" s="377" t="s">
        <v>5976</v>
      </c>
    </row>
    <row r="204" spans="1:16" ht="63">
      <c r="A204" s="377" t="s">
        <v>5960</v>
      </c>
      <c r="B204" s="377" t="s">
        <v>2416</v>
      </c>
      <c r="C204" s="377" t="s">
        <v>1241</v>
      </c>
      <c r="D204" s="413" t="s">
        <v>2417</v>
      </c>
      <c r="E204" s="413" t="s">
        <v>6080</v>
      </c>
      <c r="F204" s="414">
        <v>14</v>
      </c>
      <c r="G204" s="413"/>
      <c r="H204" s="413"/>
      <c r="I204" s="413" t="s">
        <v>5517</v>
      </c>
      <c r="J204" s="377" t="s">
        <v>2419</v>
      </c>
      <c r="K204" s="377" t="s">
        <v>2418</v>
      </c>
      <c r="L204" s="377" t="s">
        <v>2446</v>
      </c>
      <c r="M204" s="377" t="s">
        <v>2235</v>
      </c>
      <c r="N204" s="377" t="s">
        <v>2236</v>
      </c>
      <c r="O204" s="377" t="s">
        <v>2447</v>
      </c>
      <c r="P204" s="377" t="s">
        <v>5976</v>
      </c>
    </row>
    <row r="205" spans="1:16" ht="84">
      <c r="A205" s="377" t="s">
        <v>5960</v>
      </c>
      <c r="B205" s="377" t="s">
        <v>2295</v>
      </c>
      <c r="C205" s="377" t="s">
        <v>1241</v>
      </c>
      <c r="D205" s="413" t="s">
        <v>2420</v>
      </c>
      <c r="E205" s="413" t="s">
        <v>6081</v>
      </c>
      <c r="F205" s="414">
        <v>24</v>
      </c>
      <c r="G205" s="413"/>
      <c r="H205" s="413"/>
      <c r="I205" s="413" t="s">
        <v>5518</v>
      </c>
      <c r="J205" s="377" t="s">
        <v>2421</v>
      </c>
      <c r="K205" s="377" t="s">
        <v>2266</v>
      </c>
      <c r="L205" s="377" t="s">
        <v>2446</v>
      </c>
      <c r="M205" s="377" t="s">
        <v>2235</v>
      </c>
      <c r="N205" s="377" t="s">
        <v>2236</v>
      </c>
      <c r="O205" s="377" t="s">
        <v>2447</v>
      </c>
      <c r="P205" s="377" t="s">
        <v>5974</v>
      </c>
    </row>
    <row r="206" spans="1:16" ht="42">
      <c r="A206" s="377" t="s">
        <v>5960</v>
      </c>
      <c r="B206" s="377" t="s">
        <v>2422</v>
      </c>
      <c r="C206" s="377" t="s">
        <v>1241</v>
      </c>
      <c r="D206" s="413" t="s">
        <v>2423</v>
      </c>
      <c r="E206" s="413" t="s">
        <v>6082</v>
      </c>
      <c r="F206" s="414">
        <v>12</v>
      </c>
      <c r="G206" s="413"/>
      <c r="H206" s="413"/>
      <c r="I206" s="413" t="s">
        <v>5519</v>
      </c>
      <c r="J206" s="377" t="s">
        <v>2295</v>
      </c>
      <c r="K206" s="377" t="s">
        <v>2266</v>
      </c>
      <c r="L206" s="377" t="s">
        <v>2446</v>
      </c>
      <c r="M206" s="377" t="s">
        <v>2235</v>
      </c>
      <c r="N206" s="377" t="s">
        <v>2236</v>
      </c>
      <c r="O206" s="377" t="s">
        <v>2447</v>
      </c>
      <c r="P206" s="377" t="s">
        <v>5976</v>
      </c>
    </row>
    <row r="207" spans="1:16" ht="63">
      <c r="A207" s="377" t="s">
        <v>5960</v>
      </c>
      <c r="B207" s="377" t="s">
        <v>2424</v>
      </c>
      <c r="C207" s="377" t="s">
        <v>1241</v>
      </c>
      <c r="D207" s="413" t="s">
        <v>2425</v>
      </c>
      <c r="E207" s="413" t="s">
        <v>6083</v>
      </c>
      <c r="F207" s="414">
        <v>0</v>
      </c>
      <c r="G207" s="413"/>
      <c r="H207" s="413"/>
      <c r="I207" s="413" t="s">
        <v>5527</v>
      </c>
      <c r="J207" s="377" t="s">
        <v>2270</v>
      </c>
      <c r="K207" s="377" t="s">
        <v>2426</v>
      </c>
      <c r="L207" s="377" t="s">
        <v>2446</v>
      </c>
      <c r="M207" s="377" t="s">
        <v>5529</v>
      </c>
      <c r="N207" s="377" t="s">
        <v>2236</v>
      </c>
      <c r="O207" s="377" t="s">
        <v>2447</v>
      </c>
      <c r="P207" s="377" t="s">
        <v>5976</v>
      </c>
    </row>
    <row r="208" spans="1:16" ht="42">
      <c r="A208" s="377" t="s">
        <v>5960</v>
      </c>
      <c r="B208" s="377" t="s">
        <v>2427</v>
      </c>
      <c r="C208" s="377" t="s">
        <v>1241</v>
      </c>
      <c r="D208" s="413" t="s">
        <v>2428</v>
      </c>
      <c r="E208" s="413" t="s">
        <v>6084</v>
      </c>
      <c r="F208" s="414">
        <v>5</v>
      </c>
      <c r="G208" s="413"/>
      <c r="H208" s="413"/>
      <c r="I208" s="413" t="s">
        <v>5520</v>
      </c>
      <c r="J208" s="377" t="s">
        <v>2274</v>
      </c>
      <c r="K208" s="377" t="s">
        <v>2325</v>
      </c>
      <c r="L208" s="377" t="s">
        <v>2446</v>
      </c>
      <c r="M208" s="377" t="s">
        <v>2240</v>
      </c>
      <c r="N208" s="377" t="s">
        <v>2236</v>
      </c>
      <c r="O208" s="377" t="s">
        <v>2447</v>
      </c>
      <c r="P208" s="377" t="s">
        <v>5962</v>
      </c>
    </row>
    <row r="209" spans="1:16" ht="63">
      <c r="A209" s="377" t="s">
        <v>5960</v>
      </c>
      <c r="B209" s="377" t="s">
        <v>2429</v>
      </c>
      <c r="C209" s="377" t="s">
        <v>1241</v>
      </c>
      <c r="D209" s="413" t="s">
        <v>2430</v>
      </c>
      <c r="E209" s="413" t="s">
        <v>6085</v>
      </c>
      <c r="F209" s="414">
        <v>6</v>
      </c>
      <c r="G209" s="413"/>
      <c r="H209" s="413"/>
      <c r="I209" s="413" t="s">
        <v>5521</v>
      </c>
      <c r="J209" s="377" t="s">
        <v>2327</v>
      </c>
      <c r="K209" s="377" t="s">
        <v>2426</v>
      </c>
      <c r="L209" s="377" t="s">
        <v>2446</v>
      </c>
      <c r="M209" s="377" t="s">
        <v>2235</v>
      </c>
      <c r="N209" s="377" t="s">
        <v>2236</v>
      </c>
      <c r="O209" s="377" t="s">
        <v>2447</v>
      </c>
      <c r="P209" s="377" t="s">
        <v>5962</v>
      </c>
    </row>
    <row r="210" spans="1:16" ht="42">
      <c r="A210" s="377" t="s">
        <v>5960</v>
      </c>
      <c r="B210" s="377" t="s">
        <v>2431</v>
      </c>
      <c r="C210" s="377" t="s">
        <v>1241</v>
      </c>
      <c r="D210" s="413" t="s">
        <v>2432</v>
      </c>
      <c r="E210" s="413" t="s">
        <v>6086</v>
      </c>
      <c r="F210" s="414">
        <v>4</v>
      </c>
      <c r="G210" s="413"/>
      <c r="H210" s="413"/>
      <c r="I210" s="413" t="s">
        <v>5522</v>
      </c>
      <c r="J210" s="377" t="s">
        <v>2274</v>
      </c>
      <c r="K210" s="377" t="s">
        <v>2325</v>
      </c>
      <c r="L210" s="377" t="s">
        <v>2446</v>
      </c>
      <c r="M210" s="377" t="s">
        <v>2240</v>
      </c>
      <c r="N210" s="377" t="s">
        <v>2312</v>
      </c>
      <c r="O210" s="377" t="s">
        <v>2447</v>
      </c>
      <c r="P210" s="377" t="s">
        <v>5962</v>
      </c>
    </row>
    <row r="211" spans="1:16" ht="63">
      <c r="A211" s="377" t="s">
        <v>5960</v>
      </c>
      <c r="B211" s="377" t="s">
        <v>2514</v>
      </c>
      <c r="C211" s="377" t="s">
        <v>1241</v>
      </c>
      <c r="D211" s="413" t="s">
        <v>2515</v>
      </c>
      <c r="E211" s="413" t="s">
        <v>6087</v>
      </c>
      <c r="F211" s="414">
        <v>12</v>
      </c>
      <c r="G211" s="413"/>
      <c r="H211" s="413"/>
      <c r="I211" s="413" t="s">
        <v>5523</v>
      </c>
      <c r="J211" s="377" t="s">
        <v>2416</v>
      </c>
      <c r="K211" s="377" t="s">
        <v>2325</v>
      </c>
      <c r="L211" s="377" t="s">
        <v>2446</v>
      </c>
      <c r="M211" s="377" t="s">
        <v>2235</v>
      </c>
      <c r="N211" s="377" t="s">
        <v>2452</v>
      </c>
      <c r="O211" s="377" t="s">
        <v>1245</v>
      </c>
      <c r="P211" s="377" t="s">
        <v>5976</v>
      </c>
    </row>
    <row r="212" spans="1:16" ht="42">
      <c r="A212" s="377" t="s">
        <v>5960</v>
      </c>
      <c r="B212" s="377" t="s">
        <v>2516</v>
      </c>
      <c r="C212" s="377" t="s">
        <v>1241</v>
      </c>
      <c r="D212" s="413" t="s">
        <v>2517</v>
      </c>
      <c r="E212" s="413" t="s">
        <v>6088</v>
      </c>
      <c r="F212" s="414">
        <v>5</v>
      </c>
      <c r="G212" s="413"/>
      <c r="H212" s="413"/>
      <c r="I212" s="413" t="s">
        <v>5524</v>
      </c>
      <c r="J212" s="377" t="s">
        <v>2416</v>
      </c>
      <c r="K212" s="377" t="s">
        <v>2306</v>
      </c>
      <c r="L212" s="377" t="s">
        <v>2446</v>
      </c>
      <c r="M212" s="377" t="s">
        <v>2235</v>
      </c>
      <c r="N212" s="377" t="s">
        <v>2452</v>
      </c>
      <c r="O212" s="377" t="s">
        <v>1246</v>
      </c>
      <c r="P212" s="377" t="s">
        <v>5962</v>
      </c>
    </row>
    <row r="213" spans="1:16" ht="63">
      <c r="A213" s="377" t="s">
        <v>5960</v>
      </c>
      <c r="B213" s="377" t="s">
        <v>2518</v>
      </c>
      <c r="C213" s="377" t="s">
        <v>1241</v>
      </c>
      <c r="D213" s="413" t="s">
        <v>2519</v>
      </c>
      <c r="E213" s="413" t="s">
        <v>6089</v>
      </c>
      <c r="F213" s="414">
        <v>6</v>
      </c>
      <c r="G213" s="413"/>
      <c r="H213" s="413"/>
      <c r="I213" s="413" t="s">
        <v>5525</v>
      </c>
      <c r="J213" s="377" t="s">
        <v>2295</v>
      </c>
      <c r="K213" s="377" t="s">
        <v>2232</v>
      </c>
      <c r="L213" s="377" t="s">
        <v>2446</v>
      </c>
      <c r="M213" s="377" t="s">
        <v>2235</v>
      </c>
      <c r="N213" s="377" t="s">
        <v>2452</v>
      </c>
      <c r="O213" s="377" t="s">
        <v>2520</v>
      </c>
      <c r="P213" s="377" t="s">
        <v>5962</v>
      </c>
    </row>
    <row r="214" spans="1:16" ht="105">
      <c r="A214" s="377" t="s">
        <v>5960</v>
      </c>
      <c r="B214" s="377" t="s">
        <v>2521</v>
      </c>
      <c r="C214" s="377" t="s">
        <v>1241</v>
      </c>
      <c r="D214" s="413" t="s">
        <v>2522</v>
      </c>
      <c r="E214" s="413" t="s">
        <v>6090</v>
      </c>
      <c r="F214" s="414">
        <v>0</v>
      </c>
      <c r="G214" s="413"/>
      <c r="H214" s="413"/>
      <c r="I214" s="413" t="s">
        <v>5528</v>
      </c>
      <c r="J214" s="377" t="s">
        <v>2424</v>
      </c>
      <c r="K214" s="377" t="s">
        <v>2245</v>
      </c>
      <c r="L214" s="377" t="s">
        <v>2450</v>
      </c>
      <c r="M214" s="377" t="s">
        <v>5530</v>
      </c>
      <c r="N214" s="377" t="s">
        <v>2452</v>
      </c>
      <c r="O214" s="377" t="s">
        <v>4089</v>
      </c>
      <c r="P214" s="377" t="s">
        <v>5962</v>
      </c>
    </row>
    <row r="215" spans="1:16" ht="42">
      <c r="A215" s="377" t="s">
        <v>6091</v>
      </c>
      <c r="B215" s="377" t="s">
        <v>5815</v>
      </c>
      <c r="C215" s="377" t="s">
        <v>5816</v>
      </c>
      <c r="D215" s="413" t="s">
        <v>5817</v>
      </c>
      <c r="E215" s="413" t="s">
        <v>6092</v>
      </c>
      <c r="F215" s="414">
        <v>10</v>
      </c>
      <c r="G215" s="413"/>
      <c r="H215" s="413"/>
      <c r="I215" s="413" t="s">
        <v>5820</v>
      </c>
      <c r="J215" s="377" t="s">
        <v>2234</v>
      </c>
      <c r="K215" s="377" t="s">
        <v>2306</v>
      </c>
      <c r="L215" s="377" t="s">
        <v>2446</v>
      </c>
      <c r="M215" s="377" t="s">
        <v>2235</v>
      </c>
      <c r="N215" s="377" t="s">
        <v>5818</v>
      </c>
      <c r="O215" s="377" t="s">
        <v>5819</v>
      </c>
      <c r="P215" s="377" t="s">
        <v>5974</v>
      </c>
    </row>
    <row r="216" spans="1:16" ht="42">
      <c r="A216" s="377" t="s">
        <v>6091</v>
      </c>
      <c r="B216" s="377" t="s">
        <v>5821</v>
      </c>
      <c r="C216" s="377" t="s">
        <v>5816</v>
      </c>
      <c r="D216" s="413" t="s">
        <v>5822</v>
      </c>
      <c r="E216" s="413" t="s">
        <v>6093</v>
      </c>
      <c r="F216" s="414">
        <v>12</v>
      </c>
      <c r="G216" s="413"/>
      <c r="H216" s="413"/>
      <c r="I216" s="413" t="s">
        <v>5823</v>
      </c>
      <c r="J216" s="377" t="s">
        <v>5815</v>
      </c>
      <c r="K216" s="377" t="s">
        <v>2381</v>
      </c>
      <c r="L216" s="377" t="s">
        <v>2446</v>
      </c>
      <c r="M216" s="377" t="s">
        <v>2235</v>
      </c>
      <c r="N216" s="377" t="s">
        <v>5818</v>
      </c>
      <c r="O216" s="377" t="s">
        <v>5819</v>
      </c>
      <c r="P216" s="377" t="s">
        <v>5974</v>
      </c>
    </row>
    <row r="217" spans="1:16" ht="42">
      <c r="A217" s="377" t="s">
        <v>6091</v>
      </c>
      <c r="B217" s="377" t="s">
        <v>5824</v>
      </c>
      <c r="C217" s="377" t="s">
        <v>5816</v>
      </c>
      <c r="D217" s="413" t="s">
        <v>5825</v>
      </c>
      <c r="E217" s="413" t="s">
        <v>6094</v>
      </c>
      <c r="F217" s="414">
        <v>25</v>
      </c>
      <c r="G217" s="413"/>
      <c r="H217" s="413"/>
      <c r="I217" s="413" t="s">
        <v>5826</v>
      </c>
      <c r="J217" s="377" t="s">
        <v>5821</v>
      </c>
      <c r="K217" s="377" t="s">
        <v>2234</v>
      </c>
      <c r="L217" s="377" t="s">
        <v>2446</v>
      </c>
      <c r="M217" s="377" t="s">
        <v>2235</v>
      </c>
      <c r="N217" s="377" t="s">
        <v>5818</v>
      </c>
      <c r="O217" s="377" t="s">
        <v>5819</v>
      </c>
      <c r="P217" s="377" t="s">
        <v>5974</v>
      </c>
    </row>
    <row r="218" spans="1:16" ht="42">
      <c r="A218" s="377" t="s">
        <v>6091</v>
      </c>
      <c r="B218" s="377" t="s">
        <v>5827</v>
      </c>
      <c r="C218" s="377" t="s">
        <v>5816</v>
      </c>
      <c r="D218" s="413" t="s">
        <v>5828</v>
      </c>
      <c r="E218" s="413" t="s">
        <v>6095</v>
      </c>
      <c r="F218" s="414">
        <v>30</v>
      </c>
      <c r="G218" s="413"/>
      <c r="H218" s="413"/>
      <c r="I218" s="413" t="s">
        <v>5829</v>
      </c>
      <c r="J218" s="377" t="s">
        <v>2234</v>
      </c>
      <c r="K218" s="377" t="s">
        <v>2234</v>
      </c>
      <c r="L218" s="377" t="s">
        <v>2446</v>
      </c>
      <c r="M218" s="377" t="s">
        <v>2235</v>
      </c>
      <c r="N218" s="377" t="s">
        <v>5818</v>
      </c>
      <c r="O218" s="377" t="s">
        <v>5819</v>
      </c>
      <c r="P218" s="377" t="s">
        <v>5974</v>
      </c>
    </row>
    <row r="219" spans="1:16" ht="42">
      <c r="A219" s="377" t="s">
        <v>6091</v>
      </c>
      <c r="B219" s="377" t="s">
        <v>5830</v>
      </c>
      <c r="C219" s="377" t="s">
        <v>5816</v>
      </c>
      <c r="D219" s="413" t="s">
        <v>5831</v>
      </c>
      <c r="E219" s="413" t="s">
        <v>6096</v>
      </c>
      <c r="F219" s="414">
        <v>10</v>
      </c>
      <c r="G219" s="413"/>
      <c r="H219" s="413"/>
      <c r="I219" s="413" t="s">
        <v>5832</v>
      </c>
      <c r="J219" s="377" t="s">
        <v>2479</v>
      </c>
      <c r="K219" s="377" t="s">
        <v>2234</v>
      </c>
      <c r="L219" s="377" t="s">
        <v>2446</v>
      </c>
      <c r="M219" s="377" t="s">
        <v>2235</v>
      </c>
      <c r="N219" s="377" t="s">
        <v>5818</v>
      </c>
      <c r="O219" s="377" t="s">
        <v>5819</v>
      </c>
      <c r="P219" s="377" t="s">
        <v>5974</v>
      </c>
    </row>
    <row r="220" spans="1:16" ht="42">
      <c r="A220" s="377" t="s">
        <v>6091</v>
      </c>
      <c r="B220" s="377" t="s">
        <v>5833</v>
      </c>
      <c r="C220" s="377" t="s">
        <v>5816</v>
      </c>
      <c r="D220" s="413" t="s">
        <v>5834</v>
      </c>
      <c r="E220" s="413" t="s">
        <v>6097</v>
      </c>
      <c r="F220" s="414">
        <v>8</v>
      </c>
      <c r="G220" s="413"/>
      <c r="H220" s="413"/>
      <c r="I220" s="413" t="s">
        <v>5835</v>
      </c>
      <c r="J220" s="377" t="s">
        <v>2234</v>
      </c>
      <c r="K220" s="377" t="s">
        <v>2325</v>
      </c>
      <c r="L220" s="377" t="s">
        <v>2446</v>
      </c>
      <c r="M220" s="377" t="s">
        <v>2235</v>
      </c>
      <c r="N220" s="377" t="s">
        <v>5818</v>
      </c>
      <c r="O220" s="377" t="s">
        <v>5819</v>
      </c>
      <c r="P220" s="377" t="s">
        <v>5976</v>
      </c>
    </row>
    <row r="221" spans="1:16" ht="42">
      <c r="A221" s="377" t="s">
        <v>6091</v>
      </c>
      <c r="B221" s="377" t="s">
        <v>5836</v>
      </c>
      <c r="C221" s="377" t="s">
        <v>5816</v>
      </c>
      <c r="D221" s="413" t="s">
        <v>5837</v>
      </c>
      <c r="E221" s="413" t="s">
        <v>6098</v>
      </c>
      <c r="F221" s="414">
        <v>10</v>
      </c>
      <c r="G221" s="413"/>
      <c r="H221" s="413"/>
      <c r="I221" s="413" t="s">
        <v>5838</v>
      </c>
      <c r="J221" s="377" t="s">
        <v>5833</v>
      </c>
      <c r="K221" s="377" t="s">
        <v>2376</v>
      </c>
      <c r="L221" s="377" t="s">
        <v>2446</v>
      </c>
      <c r="M221" s="377" t="s">
        <v>2235</v>
      </c>
      <c r="N221" s="377" t="s">
        <v>5818</v>
      </c>
      <c r="O221" s="377" t="s">
        <v>5819</v>
      </c>
      <c r="P221" s="377" t="s">
        <v>5974</v>
      </c>
    </row>
    <row r="222" spans="1:16" ht="42">
      <c r="A222" s="377" t="s">
        <v>6091</v>
      </c>
      <c r="B222" s="377" t="s">
        <v>5839</v>
      </c>
      <c r="C222" s="377" t="s">
        <v>5816</v>
      </c>
      <c r="D222" s="413" t="s">
        <v>5840</v>
      </c>
      <c r="E222" s="413" t="s">
        <v>6099</v>
      </c>
      <c r="F222" s="414">
        <v>12</v>
      </c>
      <c r="G222" s="413"/>
      <c r="H222" s="413"/>
      <c r="I222" s="413" t="s">
        <v>5841</v>
      </c>
      <c r="J222" s="377" t="s">
        <v>2234</v>
      </c>
      <c r="K222" s="377" t="s">
        <v>2234</v>
      </c>
      <c r="L222" s="377" t="s">
        <v>2446</v>
      </c>
      <c r="M222" s="377" t="s">
        <v>2235</v>
      </c>
      <c r="N222" s="377" t="s">
        <v>5818</v>
      </c>
      <c r="O222" s="377" t="s">
        <v>5819</v>
      </c>
      <c r="P222" s="377" t="s">
        <v>5974</v>
      </c>
    </row>
    <row r="223" spans="1:16">
      <c r="A223" s="377" t="s">
        <v>5842</v>
      </c>
      <c r="B223" s="377" t="s">
        <v>1545</v>
      </c>
      <c r="C223" s="377" t="s">
        <v>5843</v>
      </c>
      <c r="D223" s="413"/>
      <c r="E223" s="413"/>
      <c r="F223" s="414"/>
      <c r="G223" s="413"/>
      <c r="H223" s="413"/>
      <c r="I223" s="413"/>
      <c r="J223" s="377"/>
      <c r="K223" s="377"/>
      <c r="L223" s="377"/>
      <c r="M223" s="377"/>
      <c r="N223" s="377"/>
      <c r="O223" s="377"/>
      <c r="P223" s="377"/>
    </row>
    <row r="224" spans="1:16">
      <c r="A224" s="377" t="s">
        <v>2651</v>
      </c>
      <c r="B224" s="377" t="s">
        <v>5844</v>
      </c>
      <c r="C224" s="377" t="s">
        <v>5845</v>
      </c>
      <c r="D224" s="413"/>
      <c r="E224" s="413"/>
      <c r="F224" s="414"/>
      <c r="G224" s="413"/>
      <c r="H224" s="413"/>
      <c r="I224" s="413"/>
      <c r="J224" s="377"/>
      <c r="K224" s="377"/>
      <c r="L224" s="377"/>
      <c r="M224" s="377"/>
      <c r="N224" s="377"/>
      <c r="O224" s="377"/>
      <c r="P224" s="377"/>
    </row>
    <row r="225" spans="1:16">
      <c r="A225" s="377" t="s">
        <v>2645</v>
      </c>
      <c r="B225" s="377" t="s">
        <v>5846</v>
      </c>
      <c r="C225" s="377" t="s">
        <v>5847</v>
      </c>
      <c r="D225" s="413"/>
      <c r="E225" s="413"/>
      <c r="F225" s="414"/>
      <c r="G225" s="413"/>
      <c r="H225" s="413"/>
      <c r="I225" s="413"/>
      <c r="J225" s="377"/>
      <c r="K225" s="377"/>
      <c r="L225" s="377"/>
      <c r="M225" s="377"/>
      <c r="N225" s="377"/>
      <c r="O225" s="377"/>
      <c r="P225" s="377"/>
    </row>
    <row r="226" spans="1:16">
      <c r="A226" s="377" t="s">
        <v>2634</v>
      </c>
      <c r="B226" s="377" t="s">
        <v>5848</v>
      </c>
      <c r="C226" s="377" t="s">
        <v>5849</v>
      </c>
      <c r="D226" s="413"/>
      <c r="E226" s="413"/>
      <c r="F226" s="414"/>
      <c r="G226" s="413"/>
      <c r="H226" s="413"/>
      <c r="I226" s="413"/>
      <c r="J226" s="377"/>
      <c r="K226" s="377"/>
      <c r="L226" s="377"/>
      <c r="M226" s="377"/>
      <c r="N226" s="377"/>
      <c r="O226" s="377"/>
      <c r="P226" s="377"/>
    </row>
    <row r="227" spans="1:16">
      <c r="A227" s="377" t="s">
        <v>2649</v>
      </c>
      <c r="B227" s="377" t="s">
        <v>5850</v>
      </c>
      <c r="C227" s="377" t="s">
        <v>5851</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4" priority="1">
      <formula>LEFT($B6,3)="DDK"</formula>
    </cfRule>
  </conditionalFormatting>
  <conditionalFormatting sqref="A6:P227">
    <cfRule type="expression" dxfId="53" priority="2">
      <formula>LEFT($B6,3)="DDB"</formula>
    </cfRule>
  </conditionalFormatting>
  <conditionalFormatting sqref="G6:H227">
    <cfRule type="expression" dxfId="52" priority="3">
      <formula>$G6="横断"</formula>
    </cfRule>
  </conditionalFormatting>
  <conditionalFormatting sqref="G6:G227">
    <cfRule type="expression" dxfId="51" priority="4">
      <formula>AND($G6&lt;&gt;"横断",$G6&lt;&gt;"")</formula>
    </cfRule>
  </conditionalFormatting>
  <conditionalFormatting sqref="M6:M227">
    <cfRule type="expression" dxfId="50"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P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24.28515625" customWidth="1"/>
    <col min="12" max="13" width="18.5703125" customWidth="1"/>
    <col min="14" max="14" width="24.28515625" customWidth="1"/>
    <col min="15" max="15" width="18.5703125" customWidth="1"/>
    <col min="16" max="16" width="24.28515625" customWidth="1"/>
  </cols>
  <sheetData>
    <row r="1" spans="1:16" ht="25">
      <c r="A1" s="48" t="s">
        <v>5620</v>
      </c>
      <c r="E1">
        <v>700</v>
      </c>
    </row>
    <row r="2" spans="1:16">
      <c r="A2" s="3" t="s">
        <v>5621</v>
      </c>
      <c r="E2">
        <v>1600</v>
      </c>
    </row>
    <row r="3" spans="1:16">
      <c r="A3" s="56" t="s">
        <v>5622</v>
      </c>
      <c r="E3">
        <v>429</v>
      </c>
      <c r="G3">
        <f>F4/7</f>
        <v>19.49285714285714</v>
      </c>
    </row>
    <row r="4" spans="1:16">
      <c r="E4">
        <f>SUM(E1:E3)</f>
        <v>2729</v>
      </c>
      <c r="F4">
        <f>E4/20</f>
        <v>136.44999999999999</v>
      </c>
      <c r="G4">
        <f>F4*160</f>
        <v>21832</v>
      </c>
    </row>
    <row r="5" spans="1:16" ht="24" customHeight="1">
      <c r="A5" s="186" t="s">
        <v>1</v>
      </c>
      <c r="B5" s="187" t="s">
        <v>9</v>
      </c>
      <c r="C5" s="187" t="s">
        <v>2737</v>
      </c>
      <c r="D5" s="187" t="s">
        <v>2742</v>
      </c>
      <c r="E5" s="187" t="s">
        <v>2528</v>
      </c>
      <c r="F5" s="187" t="s">
        <v>2743</v>
      </c>
      <c r="G5" s="188" t="s">
        <v>2735</v>
      </c>
      <c r="H5" s="347" t="s">
        <v>5542</v>
      </c>
      <c r="I5" s="252" t="s">
        <v>8586</v>
      </c>
      <c r="J5" s="5" t="s">
        <v>7812</v>
      </c>
      <c r="K5" s="5" t="s">
        <v>6262</v>
      </c>
      <c r="L5" s="5" t="s">
        <v>8274</v>
      </c>
      <c r="M5" s="5" t="s">
        <v>8289</v>
      </c>
      <c r="N5" s="5" t="s">
        <v>8307</v>
      </c>
      <c r="O5" s="5" t="s">
        <v>8664</v>
      </c>
      <c r="P5" s="5" t="s">
        <v>8673</v>
      </c>
    </row>
    <row r="6" spans="1:16">
      <c r="A6" s="7" t="s">
        <v>2744</v>
      </c>
      <c r="B6" s="179" t="s">
        <v>2745</v>
      </c>
      <c r="C6" s="8" t="s">
        <v>2746</v>
      </c>
      <c r="D6" s="196" t="s">
        <v>2747</v>
      </c>
      <c r="E6" s="166">
        <v>6</v>
      </c>
      <c r="F6" s="181" t="s">
        <v>2748</v>
      </c>
      <c r="G6" s="189" t="s">
        <v>2749</v>
      </c>
      <c r="H6" s="58" t="s">
        <v>5543</v>
      </c>
      <c r="I6" t="s">
        <v>8587</v>
      </c>
    </row>
    <row r="7" spans="1:16">
      <c r="A7" s="7" t="s">
        <v>2744</v>
      </c>
      <c r="B7" s="179" t="s">
        <v>2750</v>
      </c>
      <c r="C7" s="8" t="s">
        <v>2751</v>
      </c>
      <c r="D7" s="196" t="s">
        <v>2752</v>
      </c>
      <c r="E7" s="166">
        <v>6</v>
      </c>
      <c r="F7" s="181" t="s">
        <v>2753</v>
      </c>
      <c r="G7" s="189" t="s">
        <v>2749</v>
      </c>
      <c r="H7" s="58" t="s">
        <v>5544</v>
      </c>
      <c r="I7" t="s">
        <v>8587</v>
      </c>
    </row>
    <row r="8" spans="1:16">
      <c r="A8" s="7" t="s">
        <v>2744</v>
      </c>
      <c r="B8" s="179" t="s">
        <v>2754</v>
      </c>
      <c r="C8" s="8" t="s">
        <v>2755</v>
      </c>
      <c r="D8" s="196" t="s">
        <v>2756</v>
      </c>
      <c r="E8" s="166">
        <v>6</v>
      </c>
      <c r="F8" s="181" t="s">
        <v>2757</v>
      </c>
      <c r="G8" s="189" t="s">
        <v>2749</v>
      </c>
      <c r="H8" s="58" t="s">
        <v>5545</v>
      </c>
      <c r="I8" t="s">
        <v>8587</v>
      </c>
    </row>
    <row r="9" spans="1:16">
      <c r="A9" s="7" t="s">
        <v>2744</v>
      </c>
      <c r="B9" s="179" t="s">
        <v>2758</v>
      </c>
      <c r="C9" s="8" t="s">
        <v>2759</v>
      </c>
      <c r="D9" s="196" t="s">
        <v>2760</v>
      </c>
      <c r="E9" s="166">
        <v>5</v>
      </c>
      <c r="F9" s="181" t="s">
        <v>2761</v>
      </c>
      <c r="G9" s="189" t="s">
        <v>2749</v>
      </c>
      <c r="H9" s="58" t="s">
        <v>5546</v>
      </c>
      <c r="I9" t="s">
        <v>8587</v>
      </c>
    </row>
    <row r="10" spans="1:16">
      <c r="A10" s="7" t="s">
        <v>2744</v>
      </c>
      <c r="B10" s="179" t="s">
        <v>2762</v>
      </c>
      <c r="C10" s="8" t="s">
        <v>2763</v>
      </c>
      <c r="D10" s="196" t="s">
        <v>2764</v>
      </c>
      <c r="E10" s="166">
        <v>5</v>
      </c>
      <c r="F10" s="181" t="s">
        <v>2765</v>
      </c>
      <c r="G10" s="189" t="s">
        <v>2749</v>
      </c>
      <c r="H10" s="58" t="s">
        <v>5547</v>
      </c>
      <c r="I10" t="s">
        <v>8587</v>
      </c>
    </row>
    <row r="11" spans="1:16">
      <c r="A11" s="7" t="s">
        <v>2744</v>
      </c>
      <c r="B11" s="179" t="s">
        <v>2766</v>
      </c>
      <c r="C11" s="8" t="s">
        <v>2767</v>
      </c>
      <c r="D11" s="196" t="s">
        <v>2768</v>
      </c>
      <c r="E11" s="166">
        <v>6</v>
      </c>
      <c r="F11" s="181" t="s">
        <v>2769</v>
      </c>
      <c r="G11" s="189" t="s">
        <v>2749</v>
      </c>
      <c r="H11" s="58" t="s">
        <v>5548</v>
      </c>
      <c r="I11" t="s">
        <v>8615</v>
      </c>
    </row>
    <row r="12" spans="1:16">
      <c r="A12" s="7" t="s">
        <v>2744</v>
      </c>
      <c r="B12" s="179" t="s">
        <v>2770</v>
      </c>
      <c r="C12" s="8" t="s">
        <v>2771</v>
      </c>
      <c r="D12" s="196" t="s">
        <v>2772</v>
      </c>
      <c r="E12" s="166">
        <v>4</v>
      </c>
      <c r="F12" s="181" t="s">
        <v>2773</v>
      </c>
      <c r="G12" s="189" t="s">
        <v>2749</v>
      </c>
      <c r="H12" s="58" t="s">
        <v>5549</v>
      </c>
      <c r="I12" t="s">
        <v>8587</v>
      </c>
    </row>
    <row r="13" spans="1:16">
      <c r="A13" s="334" t="s">
        <v>2744</v>
      </c>
      <c r="B13" s="335" t="s">
        <v>5587</v>
      </c>
      <c r="C13" s="320" t="s">
        <v>5588</v>
      </c>
      <c r="D13" s="336" t="s">
        <v>5589</v>
      </c>
      <c r="E13" s="337">
        <v>5</v>
      </c>
      <c r="F13" s="338" t="s">
        <v>5590</v>
      </c>
      <c r="G13" s="339" t="s">
        <v>2749</v>
      </c>
      <c r="H13" s="348" t="s">
        <v>5591</v>
      </c>
      <c r="I13" t="s">
        <v>8587</v>
      </c>
    </row>
    <row r="14" spans="1:16">
      <c r="A14" s="334" t="s">
        <v>2744</v>
      </c>
      <c r="B14" s="335" t="s">
        <v>5592</v>
      </c>
      <c r="C14" s="320" t="s">
        <v>5593</v>
      </c>
      <c r="D14" s="336" t="s">
        <v>5594</v>
      </c>
      <c r="E14" s="337">
        <v>4</v>
      </c>
      <c r="F14" s="338" t="s">
        <v>5595</v>
      </c>
      <c r="G14" s="339" t="s">
        <v>2749</v>
      </c>
      <c r="H14" s="348" t="s">
        <v>5596</v>
      </c>
      <c r="I14" t="s">
        <v>8587</v>
      </c>
    </row>
    <row r="15" spans="1:16" ht="34">
      <c r="A15" s="7" t="s">
        <v>2774</v>
      </c>
      <c r="B15" s="179" t="s">
        <v>2775</v>
      </c>
      <c r="C15" s="8" t="s">
        <v>2776</v>
      </c>
      <c r="D15" s="196" t="s">
        <v>2777</v>
      </c>
      <c r="E15" s="166">
        <v>12</v>
      </c>
      <c r="F15" s="181" t="s">
        <v>2778</v>
      </c>
      <c r="G15" s="189" t="s">
        <v>2749</v>
      </c>
      <c r="H15" s="58" t="s">
        <v>5550</v>
      </c>
      <c r="I15" t="s">
        <v>8587</v>
      </c>
    </row>
    <row r="16" spans="1:16" ht="34">
      <c r="A16" s="7" t="s">
        <v>2774</v>
      </c>
      <c r="B16" s="179" t="s">
        <v>2779</v>
      </c>
      <c r="C16" s="8" t="s">
        <v>2780</v>
      </c>
      <c r="D16" s="196" t="s">
        <v>2781</v>
      </c>
      <c r="E16" s="166">
        <v>10</v>
      </c>
      <c r="F16" s="181" t="s">
        <v>2782</v>
      </c>
      <c r="G16" s="189" t="s">
        <v>2749</v>
      </c>
      <c r="H16" s="58" t="s">
        <v>5551</v>
      </c>
      <c r="I16" t="s">
        <v>8587</v>
      </c>
    </row>
    <row r="17" spans="1:9">
      <c r="A17" s="7" t="s">
        <v>2774</v>
      </c>
      <c r="B17" s="179" t="s">
        <v>2783</v>
      </c>
      <c r="C17" s="8" t="s">
        <v>2784</v>
      </c>
      <c r="D17" s="196" t="s">
        <v>2785</v>
      </c>
      <c r="E17" s="166">
        <v>12</v>
      </c>
      <c r="F17" s="181" t="s">
        <v>2786</v>
      </c>
      <c r="G17" s="189" t="s">
        <v>2749</v>
      </c>
      <c r="H17" s="58" t="s">
        <v>5552</v>
      </c>
      <c r="I17" t="s">
        <v>8587</v>
      </c>
    </row>
    <row r="18" spans="1:9">
      <c r="A18" s="7" t="s">
        <v>2774</v>
      </c>
      <c r="B18" s="179" t="s">
        <v>2787</v>
      </c>
      <c r="C18" s="8" t="s">
        <v>2788</v>
      </c>
      <c r="D18" s="196" t="s">
        <v>2789</v>
      </c>
      <c r="E18" s="166">
        <v>10</v>
      </c>
      <c r="F18" s="181" t="s">
        <v>2790</v>
      </c>
      <c r="G18" s="189" t="s">
        <v>2749</v>
      </c>
      <c r="H18" s="58" t="s">
        <v>5553</v>
      </c>
      <c r="I18" t="s">
        <v>8587</v>
      </c>
    </row>
    <row r="19" spans="1:9">
      <c r="A19" s="7" t="s">
        <v>2774</v>
      </c>
      <c r="B19" s="179" t="s">
        <v>2791</v>
      </c>
      <c r="C19" s="8" t="s">
        <v>2792</v>
      </c>
      <c r="D19" s="196" t="s">
        <v>2793</v>
      </c>
      <c r="E19" s="166">
        <v>12</v>
      </c>
      <c r="F19" s="181" t="s">
        <v>2738</v>
      </c>
      <c r="G19" s="189" t="s">
        <v>2749</v>
      </c>
      <c r="H19" s="58" t="s">
        <v>5554</v>
      </c>
      <c r="I19" t="s">
        <v>8587</v>
      </c>
    </row>
    <row r="20" spans="1:9">
      <c r="A20" s="7" t="s">
        <v>2774</v>
      </c>
      <c r="B20" s="179" t="s">
        <v>2794</v>
      </c>
      <c r="C20" s="8" t="s">
        <v>2795</v>
      </c>
      <c r="D20" s="196" t="s">
        <v>2796</v>
      </c>
      <c r="E20" s="166">
        <v>8</v>
      </c>
      <c r="F20" s="181" t="s">
        <v>2739</v>
      </c>
      <c r="G20" s="189" t="s">
        <v>2749</v>
      </c>
      <c r="H20" s="58" t="s">
        <v>5555</v>
      </c>
      <c r="I20" t="s">
        <v>8587</v>
      </c>
    </row>
    <row r="21" spans="1:9">
      <c r="A21" s="7" t="s">
        <v>2774</v>
      </c>
      <c r="B21" s="179" t="s">
        <v>2797</v>
      </c>
      <c r="C21" s="8" t="s">
        <v>2798</v>
      </c>
      <c r="D21" s="196" t="s">
        <v>2799</v>
      </c>
      <c r="E21" s="166">
        <v>12</v>
      </c>
      <c r="F21" s="181" t="s">
        <v>2800</v>
      </c>
      <c r="G21" s="189" t="s">
        <v>2749</v>
      </c>
      <c r="H21" s="58" t="s">
        <v>5556</v>
      </c>
      <c r="I21" t="s">
        <v>8587</v>
      </c>
    </row>
    <row r="22" spans="1:9">
      <c r="A22" s="7" t="s">
        <v>2774</v>
      </c>
      <c r="B22" s="179" t="s">
        <v>2801</v>
      </c>
      <c r="C22" s="8" t="s">
        <v>2802</v>
      </c>
      <c r="D22" s="196" t="s">
        <v>2803</v>
      </c>
      <c r="E22" s="166">
        <v>6</v>
      </c>
      <c r="F22" s="181" t="s">
        <v>2804</v>
      </c>
      <c r="G22" s="189" t="s">
        <v>2749</v>
      </c>
      <c r="H22" s="58" t="s">
        <v>5557</v>
      </c>
      <c r="I22" t="s">
        <v>8587</v>
      </c>
    </row>
    <row r="23" spans="1:9">
      <c r="A23" s="7" t="s">
        <v>2774</v>
      </c>
      <c r="B23" s="179" t="s">
        <v>2805</v>
      </c>
      <c r="C23" s="8" t="s">
        <v>2806</v>
      </c>
      <c r="D23" s="196" t="s">
        <v>2807</v>
      </c>
      <c r="E23" s="166">
        <v>5</v>
      </c>
      <c r="F23" s="181" t="s">
        <v>2808</v>
      </c>
      <c r="G23" s="189" t="s">
        <v>2749</v>
      </c>
      <c r="H23" s="58" t="s">
        <v>5558</v>
      </c>
      <c r="I23" t="s">
        <v>8587</v>
      </c>
    </row>
    <row r="24" spans="1:9">
      <c r="A24" s="7" t="s">
        <v>2809</v>
      </c>
      <c r="B24" s="179" t="s">
        <v>2810</v>
      </c>
      <c r="C24" s="8" t="s">
        <v>2811</v>
      </c>
      <c r="D24" s="196" t="s">
        <v>2812</v>
      </c>
      <c r="E24" s="166">
        <v>10</v>
      </c>
      <c r="F24" s="181" t="s">
        <v>2813</v>
      </c>
      <c r="G24" s="189" t="s">
        <v>1522</v>
      </c>
      <c r="H24" s="58" t="s">
        <v>5559</v>
      </c>
      <c r="I24" t="s">
        <v>8587</v>
      </c>
    </row>
    <row r="25" spans="1:9">
      <c r="A25" s="7" t="s">
        <v>2809</v>
      </c>
      <c r="B25" s="179" t="s">
        <v>2814</v>
      </c>
      <c r="C25" s="8" t="s">
        <v>2815</v>
      </c>
      <c r="D25" s="196" t="s">
        <v>2816</v>
      </c>
      <c r="E25" s="166">
        <v>8</v>
      </c>
      <c r="F25" s="181" t="s">
        <v>2817</v>
      </c>
      <c r="G25" s="189" t="s">
        <v>1522</v>
      </c>
      <c r="H25" s="58" t="s">
        <v>5560</v>
      </c>
      <c r="I25" t="s">
        <v>8587</v>
      </c>
    </row>
    <row r="26" spans="1:9">
      <c r="A26" s="7" t="s">
        <v>2809</v>
      </c>
      <c r="B26" s="179" t="s">
        <v>2818</v>
      </c>
      <c r="C26" s="8" t="s">
        <v>2819</v>
      </c>
      <c r="D26" s="196" t="s">
        <v>2820</v>
      </c>
      <c r="E26" s="166">
        <v>12</v>
      </c>
      <c r="F26" s="181" t="s">
        <v>2821</v>
      </c>
      <c r="G26" s="189" t="s">
        <v>1522</v>
      </c>
      <c r="H26" s="58" t="s">
        <v>5561</v>
      </c>
      <c r="I26" t="s">
        <v>8587</v>
      </c>
    </row>
    <row r="27" spans="1:9">
      <c r="A27" s="7" t="s">
        <v>2809</v>
      </c>
      <c r="B27" s="179" t="s">
        <v>2822</v>
      </c>
      <c r="C27" s="8" t="s">
        <v>2823</v>
      </c>
      <c r="D27" s="196" t="s">
        <v>2824</v>
      </c>
      <c r="E27" s="166">
        <v>8</v>
      </c>
      <c r="F27" s="181" t="s">
        <v>2825</v>
      </c>
      <c r="G27" s="189" t="s">
        <v>1522</v>
      </c>
      <c r="H27" s="58" t="s">
        <v>5562</v>
      </c>
      <c r="I27" t="s">
        <v>8587</v>
      </c>
    </row>
    <row r="28" spans="1:9" ht="34">
      <c r="A28" s="7" t="s">
        <v>2826</v>
      </c>
      <c r="B28" s="179" t="s">
        <v>2827</v>
      </c>
      <c r="C28" s="8" t="s">
        <v>2828</v>
      </c>
      <c r="D28" s="196" t="s">
        <v>2829</v>
      </c>
      <c r="E28" s="166">
        <v>18</v>
      </c>
      <c r="F28" s="181" t="s">
        <v>5586</v>
      </c>
      <c r="G28" s="189" t="s">
        <v>2749</v>
      </c>
      <c r="H28" s="58" t="s">
        <v>5563</v>
      </c>
      <c r="I28" t="s">
        <v>8587</v>
      </c>
    </row>
    <row r="29" spans="1:9">
      <c r="A29" s="7" t="s">
        <v>2826</v>
      </c>
      <c r="B29" s="179" t="s">
        <v>2830</v>
      </c>
      <c r="C29" s="8" t="s">
        <v>2831</v>
      </c>
      <c r="D29" s="196" t="s">
        <v>2832</v>
      </c>
      <c r="E29" s="166">
        <v>14</v>
      </c>
      <c r="F29" s="181" t="s">
        <v>5865</v>
      </c>
      <c r="G29" s="189" t="s">
        <v>2749</v>
      </c>
      <c r="H29" s="58" t="s">
        <v>5564</v>
      </c>
      <c r="I29" t="s">
        <v>8587</v>
      </c>
    </row>
    <row r="30" spans="1:9">
      <c r="A30" s="7" t="s">
        <v>2826</v>
      </c>
      <c r="B30" s="179" t="s">
        <v>2833</v>
      </c>
      <c r="C30" s="8" t="s">
        <v>2834</v>
      </c>
      <c r="D30" s="196" t="s">
        <v>2835</v>
      </c>
      <c r="E30" s="166">
        <v>12</v>
      </c>
      <c r="F30" s="181" t="s">
        <v>5866</v>
      </c>
      <c r="G30" s="189" t="s">
        <v>2749</v>
      </c>
      <c r="H30" s="58" t="s">
        <v>5565</v>
      </c>
      <c r="I30" t="s">
        <v>8587</v>
      </c>
    </row>
    <row r="31" spans="1:9">
      <c r="A31" s="7" t="s">
        <v>2826</v>
      </c>
      <c r="B31" s="179" t="s">
        <v>2836</v>
      </c>
      <c r="C31" s="8" t="s">
        <v>2837</v>
      </c>
      <c r="D31" s="196" t="s">
        <v>2838</v>
      </c>
      <c r="E31" s="166">
        <v>8</v>
      </c>
      <c r="F31" s="181" t="s">
        <v>5867</v>
      </c>
      <c r="G31" s="189" t="s">
        <v>2749</v>
      </c>
      <c r="H31" s="58" t="s">
        <v>5566</v>
      </c>
      <c r="I31" t="s">
        <v>8587</v>
      </c>
    </row>
    <row r="32" spans="1:9">
      <c r="A32" s="7" t="s">
        <v>2826</v>
      </c>
      <c r="B32" s="179" t="s">
        <v>2839</v>
      </c>
      <c r="C32" s="8" t="s">
        <v>2840</v>
      </c>
      <c r="D32" s="196" t="s">
        <v>2841</v>
      </c>
      <c r="E32" s="166">
        <v>6</v>
      </c>
      <c r="F32" s="181" t="s">
        <v>5868</v>
      </c>
      <c r="G32" s="189" t="s">
        <v>2749</v>
      </c>
      <c r="H32" s="58" t="s">
        <v>5567</v>
      </c>
      <c r="I32" t="s">
        <v>8587</v>
      </c>
    </row>
    <row r="33" spans="1:16">
      <c r="A33" s="7" t="s">
        <v>2826</v>
      </c>
      <c r="B33" s="179" t="s">
        <v>2842</v>
      </c>
      <c r="C33" s="8" t="s">
        <v>2843</v>
      </c>
      <c r="D33" s="196" t="s">
        <v>2844</v>
      </c>
      <c r="E33" s="166">
        <v>6</v>
      </c>
      <c r="F33" s="181" t="s">
        <v>5869</v>
      </c>
      <c r="G33" s="189" t="s">
        <v>2749</v>
      </c>
      <c r="H33" s="58" t="s">
        <v>5568</v>
      </c>
      <c r="I33" t="s">
        <v>8587</v>
      </c>
    </row>
    <row r="34" spans="1:16">
      <c r="A34" s="7" t="s">
        <v>2826</v>
      </c>
      <c r="B34" s="179" t="s">
        <v>7495</v>
      </c>
      <c r="C34" s="8" t="s">
        <v>7496</v>
      </c>
      <c r="D34" s="196" t="s">
        <v>7497</v>
      </c>
      <c r="E34" s="166">
        <v>2</v>
      </c>
      <c r="F34" s="181" t="s">
        <v>7498</v>
      </c>
      <c r="G34" s="189" t="s">
        <v>2749</v>
      </c>
      <c r="H34" s="58" t="s">
        <v>7499</v>
      </c>
      <c r="I34" t="s">
        <v>8587</v>
      </c>
      <c r="J34" t="s">
        <v>7814</v>
      </c>
      <c r="K34" t="s">
        <v>7304</v>
      </c>
      <c r="L34" t="s">
        <v>8276</v>
      </c>
      <c r="M34" t="s">
        <v>8291</v>
      </c>
      <c r="N34" t="s">
        <v>8325</v>
      </c>
      <c r="O34" t="s">
        <v>8669</v>
      </c>
      <c r="P34" t="s">
        <v>8675</v>
      </c>
    </row>
    <row r="35" spans="1:16">
      <c r="A35" s="7" t="s">
        <v>2826</v>
      </c>
      <c r="B35" s="179" t="s">
        <v>7500</v>
      </c>
      <c r="C35" s="8" t="s">
        <v>7501</v>
      </c>
      <c r="D35" s="196" t="s">
        <v>2832</v>
      </c>
      <c r="E35" s="166">
        <v>2</v>
      </c>
      <c r="F35" s="181" t="s">
        <v>7502</v>
      </c>
      <c r="G35" s="189" t="s">
        <v>2749</v>
      </c>
      <c r="H35" s="58" t="s">
        <v>7503</v>
      </c>
      <c r="I35" t="s">
        <v>8587</v>
      </c>
      <c r="J35" t="s">
        <v>7839</v>
      </c>
      <c r="K35" t="s">
        <v>7349</v>
      </c>
      <c r="L35" t="s">
        <v>8276</v>
      </c>
      <c r="M35" t="s">
        <v>8291</v>
      </c>
      <c r="N35" t="s">
        <v>8338</v>
      </c>
      <c r="O35" t="s">
        <v>8670</v>
      </c>
      <c r="P35" t="s">
        <v>8677</v>
      </c>
    </row>
    <row r="36" spans="1:16">
      <c r="A36" s="7" t="s">
        <v>2826</v>
      </c>
      <c r="B36" s="179" t="s">
        <v>7504</v>
      </c>
      <c r="C36" s="8" t="s">
        <v>7505</v>
      </c>
      <c r="D36" s="196" t="s">
        <v>2740</v>
      </c>
      <c r="E36" s="166">
        <v>1</v>
      </c>
      <c r="F36" s="181" t="s">
        <v>7506</v>
      </c>
      <c r="G36" s="189" t="s">
        <v>2749</v>
      </c>
      <c r="H36" s="58" t="s">
        <v>7507</v>
      </c>
      <c r="I36" t="s">
        <v>8587</v>
      </c>
      <c r="J36" t="s">
        <v>2740</v>
      </c>
      <c r="K36" t="s">
        <v>7289</v>
      </c>
      <c r="L36" t="s">
        <v>8276</v>
      </c>
      <c r="M36" t="s">
        <v>8306</v>
      </c>
      <c r="N36" t="s">
        <v>8680</v>
      </c>
      <c r="O36" t="s">
        <v>8670</v>
      </c>
      <c r="P36" t="s">
        <v>8675</v>
      </c>
    </row>
    <row r="37" spans="1:16">
      <c r="A37" s="7" t="s">
        <v>2845</v>
      </c>
      <c r="B37" s="179" t="s">
        <v>2846</v>
      </c>
      <c r="C37" s="8" t="s">
        <v>2847</v>
      </c>
      <c r="D37" s="196" t="s">
        <v>2848</v>
      </c>
      <c r="E37" s="166">
        <v>12</v>
      </c>
      <c r="F37" s="181" t="s">
        <v>5870</v>
      </c>
      <c r="G37" s="189" t="s">
        <v>2749</v>
      </c>
      <c r="H37" s="58" t="s">
        <v>5569</v>
      </c>
      <c r="I37" t="s">
        <v>8588</v>
      </c>
    </row>
    <row r="38" spans="1:16">
      <c r="A38" s="7" t="s">
        <v>2845</v>
      </c>
      <c r="B38" s="179" t="s">
        <v>2849</v>
      </c>
      <c r="C38" s="8" t="s">
        <v>2850</v>
      </c>
      <c r="D38" s="196" t="s">
        <v>2851</v>
      </c>
      <c r="E38" s="166">
        <v>8</v>
      </c>
      <c r="F38" s="181" t="s">
        <v>5871</v>
      </c>
      <c r="G38" s="189" t="s">
        <v>2749</v>
      </c>
      <c r="H38" s="58" t="s">
        <v>5570</v>
      </c>
      <c r="I38" t="s">
        <v>8587</v>
      </c>
    </row>
    <row r="39" spans="1:16">
      <c r="A39" s="7" t="s">
        <v>2845</v>
      </c>
      <c r="B39" s="179" t="s">
        <v>2852</v>
      </c>
      <c r="C39" s="8" t="s">
        <v>2853</v>
      </c>
      <c r="D39" s="196" t="s">
        <v>2854</v>
      </c>
      <c r="E39" s="166">
        <v>8</v>
      </c>
      <c r="F39" s="181" t="s">
        <v>5872</v>
      </c>
      <c r="G39" s="189" t="s">
        <v>2749</v>
      </c>
      <c r="H39" s="58" t="s">
        <v>5571</v>
      </c>
      <c r="I39" t="s">
        <v>8587</v>
      </c>
    </row>
    <row r="40" spans="1:16">
      <c r="A40" s="7" t="s">
        <v>2845</v>
      </c>
      <c r="B40" s="179" t="s">
        <v>2855</v>
      </c>
      <c r="C40" s="8" t="s">
        <v>2856</v>
      </c>
      <c r="D40" s="196" t="s">
        <v>2857</v>
      </c>
      <c r="E40" s="166">
        <v>6</v>
      </c>
      <c r="F40" s="181" t="s">
        <v>5873</v>
      </c>
      <c r="G40" s="189" t="s">
        <v>2749</v>
      </c>
      <c r="H40" s="58" t="s">
        <v>5572</v>
      </c>
      <c r="I40" t="s">
        <v>8615</v>
      </c>
    </row>
    <row r="41" spans="1:16">
      <c r="A41" s="7" t="s">
        <v>2845</v>
      </c>
      <c r="B41" s="179" t="s">
        <v>2858</v>
      </c>
      <c r="C41" s="8" t="s">
        <v>2859</v>
      </c>
      <c r="D41" s="196" t="s">
        <v>2860</v>
      </c>
      <c r="E41" s="166">
        <v>6</v>
      </c>
      <c r="F41" s="181" t="s">
        <v>5874</v>
      </c>
      <c r="G41" s="189" t="s">
        <v>2749</v>
      </c>
      <c r="H41" s="58" t="s">
        <v>5573</v>
      </c>
      <c r="I41" t="s">
        <v>8587</v>
      </c>
    </row>
    <row r="42" spans="1:16">
      <c r="A42" s="7" t="s">
        <v>2861</v>
      </c>
      <c r="B42" s="179" t="s">
        <v>2862</v>
      </c>
      <c r="C42" s="8" t="s">
        <v>2863</v>
      </c>
      <c r="D42" s="196" t="s">
        <v>2864</v>
      </c>
      <c r="E42" s="166">
        <v>15</v>
      </c>
      <c r="F42" s="181" t="s">
        <v>2865</v>
      </c>
      <c r="G42" s="189" t="s">
        <v>1522</v>
      </c>
      <c r="H42" s="58" t="s">
        <v>5574</v>
      </c>
      <c r="I42" t="s">
        <v>8587</v>
      </c>
    </row>
    <row r="43" spans="1:16">
      <c r="A43" s="7" t="s">
        <v>2861</v>
      </c>
      <c r="B43" s="179" t="s">
        <v>2866</v>
      </c>
      <c r="C43" s="8" t="s">
        <v>2867</v>
      </c>
      <c r="D43" s="196" t="s">
        <v>2868</v>
      </c>
      <c r="E43" s="166">
        <v>8</v>
      </c>
      <c r="F43" s="181" t="s">
        <v>2869</v>
      </c>
      <c r="G43" s="189" t="s">
        <v>2749</v>
      </c>
      <c r="H43" s="58" t="s">
        <v>5575</v>
      </c>
      <c r="I43" t="s">
        <v>8587</v>
      </c>
    </row>
    <row r="44" spans="1:16">
      <c r="A44" s="7" t="s">
        <v>2861</v>
      </c>
      <c r="B44" s="179" t="s">
        <v>2870</v>
      </c>
      <c r="C44" s="8" t="s">
        <v>2871</v>
      </c>
      <c r="D44" s="196" t="s">
        <v>2872</v>
      </c>
      <c r="E44" s="166">
        <v>6</v>
      </c>
      <c r="F44" s="181" t="s">
        <v>2873</v>
      </c>
      <c r="G44" s="189" t="s">
        <v>2749</v>
      </c>
      <c r="H44" s="58" t="s">
        <v>5576</v>
      </c>
      <c r="I44" t="s">
        <v>8587</v>
      </c>
    </row>
    <row r="45" spans="1:16">
      <c r="A45" s="7" t="s">
        <v>2861</v>
      </c>
      <c r="B45" s="179" t="s">
        <v>2874</v>
      </c>
      <c r="C45" s="8" t="s">
        <v>2875</v>
      </c>
      <c r="D45" s="196" t="s">
        <v>2876</v>
      </c>
      <c r="E45" s="166">
        <v>5</v>
      </c>
      <c r="F45" s="181" t="s">
        <v>2877</v>
      </c>
      <c r="G45" s="189" t="s">
        <v>2749</v>
      </c>
      <c r="H45" s="58" t="s">
        <v>5577</v>
      </c>
      <c r="I45" t="s">
        <v>8587</v>
      </c>
    </row>
    <row r="46" spans="1:16">
      <c r="A46" s="7" t="s">
        <v>2861</v>
      </c>
      <c r="B46" s="179" t="s">
        <v>2878</v>
      </c>
      <c r="C46" s="8" t="s">
        <v>2879</v>
      </c>
      <c r="D46" s="196" t="s">
        <v>2880</v>
      </c>
      <c r="E46" s="166">
        <v>4</v>
      </c>
      <c r="F46" s="181" t="s">
        <v>2881</v>
      </c>
      <c r="G46" s="189" t="s">
        <v>2749</v>
      </c>
      <c r="H46" s="58" t="s">
        <v>5578</v>
      </c>
      <c r="I46" t="s">
        <v>8587</v>
      </c>
    </row>
    <row r="47" spans="1:16" ht="34">
      <c r="A47" s="334" t="s">
        <v>2861</v>
      </c>
      <c r="B47" s="335" t="s">
        <v>5597</v>
      </c>
      <c r="C47" s="320" t="s">
        <v>5598</v>
      </c>
      <c r="D47" s="336" t="s">
        <v>5599</v>
      </c>
      <c r="E47" s="337">
        <v>5</v>
      </c>
      <c r="F47" s="338" t="s">
        <v>5600</v>
      </c>
      <c r="G47" s="339" t="s">
        <v>2749</v>
      </c>
      <c r="H47" s="348" t="s">
        <v>5601</v>
      </c>
      <c r="I47" t="s">
        <v>8587</v>
      </c>
    </row>
    <row r="48" spans="1:16">
      <c r="A48" s="7" t="s">
        <v>2882</v>
      </c>
      <c r="B48" s="179" t="s">
        <v>2883</v>
      </c>
      <c r="C48" s="8" t="s">
        <v>2884</v>
      </c>
      <c r="D48" s="196" t="s">
        <v>2885</v>
      </c>
      <c r="E48" s="166">
        <v>10</v>
      </c>
      <c r="F48" s="181" t="s">
        <v>2886</v>
      </c>
      <c r="G48" s="189" t="s">
        <v>2749</v>
      </c>
      <c r="H48" s="58" t="s">
        <v>5579</v>
      </c>
      <c r="I48" t="s">
        <v>8587</v>
      </c>
    </row>
    <row r="49" spans="1:16">
      <c r="A49" s="7" t="s">
        <v>2882</v>
      </c>
      <c r="B49" s="179" t="s">
        <v>2887</v>
      </c>
      <c r="C49" s="8" t="s">
        <v>2888</v>
      </c>
      <c r="D49" s="196" t="s">
        <v>2889</v>
      </c>
      <c r="E49" s="166">
        <v>12</v>
      </c>
      <c r="F49" s="181" t="s">
        <v>2890</v>
      </c>
      <c r="G49" s="189" t="s">
        <v>2749</v>
      </c>
      <c r="H49" s="58" t="s">
        <v>5580</v>
      </c>
      <c r="I49" t="s">
        <v>8587</v>
      </c>
    </row>
    <row r="50" spans="1:16">
      <c r="A50" s="7" t="s">
        <v>2882</v>
      </c>
      <c r="B50" s="179" t="s">
        <v>2891</v>
      </c>
      <c r="C50" s="8" t="s">
        <v>2892</v>
      </c>
      <c r="D50" s="196" t="s">
        <v>2893</v>
      </c>
      <c r="E50" s="166">
        <v>8</v>
      </c>
      <c r="F50" s="181" t="s">
        <v>2894</v>
      </c>
      <c r="G50" s="189" t="s">
        <v>2749</v>
      </c>
      <c r="H50" s="58" t="s">
        <v>5581</v>
      </c>
      <c r="I50" t="s">
        <v>8587</v>
      </c>
    </row>
    <row r="51" spans="1:16">
      <c r="A51" s="7" t="s">
        <v>2882</v>
      </c>
      <c r="B51" s="179" t="s">
        <v>2895</v>
      </c>
      <c r="C51" s="8" t="s">
        <v>2896</v>
      </c>
      <c r="D51" s="196" t="s">
        <v>2897</v>
      </c>
      <c r="E51" s="166">
        <v>6</v>
      </c>
      <c r="F51" s="181" t="s">
        <v>2898</v>
      </c>
      <c r="G51" s="189" t="s">
        <v>2749</v>
      </c>
      <c r="H51" s="58" t="s">
        <v>5582</v>
      </c>
      <c r="I51" t="s">
        <v>8587</v>
      </c>
    </row>
    <row r="52" spans="1:16">
      <c r="A52" s="7" t="s">
        <v>2882</v>
      </c>
      <c r="B52" s="179" t="s">
        <v>7508</v>
      </c>
      <c r="C52" s="8" t="s">
        <v>7509</v>
      </c>
      <c r="D52" s="196" t="s">
        <v>7510</v>
      </c>
      <c r="E52" s="166">
        <v>3</v>
      </c>
      <c r="F52" s="181" t="s">
        <v>7511</v>
      </c>
      <c r="G52" s="189" t="s">
        <v>2749</v>
      </c>
      <c r="H52" s="58" t="s">
        <v>7512</v>
      </c>
      <c r="I52" t="s">
        <v>8587</v>
      </c>
      <c r="J52" t="s">
        <v>2740</v>
      </c>
      <c r="K52" t="s">
        <v>7289</v>
      </c>
      <c r="L52" t="s">
        <v>8276</v>
      </c>
      <c r="M52" t="s">
        <v>8304</v>
      </c>
      <c r="N52" t="s">
        <v>8681</v>
      </c>
      <c r="O52" t="s">
        <v>8670</v>
      </c>
      <c r="P52" t="s">
        <v>8675</v>
      </c>
    </row>
    <row r="53" spans="1:16">
      <c r="A53" s="7" t="s">
        <v>2899</v>
      </c>
      <c r="B53" s="179" t="s">
        <v>2900</v>
      </c>
      <c r="C53" s="8" t="s">
        <v>2901</v>
      </c>
      <c r="D53" s="196" t="s">
        <v>2902</v>
      </c>
      <c r="E53" s="166">
        <v>8</v>
      </c>
      <c r="F53" s="181" t="s">
        <v>2903</v>
      </c>
      <c r="G53" s="189" t="s">
        <v>2749</v>
      </c>
      <c r="H53" s="58" t="s">
        <v>5583</v>
      </c>
      <c r="I53" t="s">
        <v>8587</v>
      </c>
    </row>
    <row r="54" spans="1:16">
      <c r="A54" s="7" t="s">
        <v>2899</v>
      </c>
      <c r="B54" s="179" t="s">
        <v>2904</v>
      </c>
      <c r="C54" s="8" t="s">
        <v>2905</v>
      </c>
      <c r="D54" s="196" t="s">
        <v>2906</v>
      </c>
      <c r="E54" s="166">
        <v>6</v>
      </c>
      <c r="F54" s="181" t="s">
        <v>2907</v>
      </c>
      <c r="G54" s="189" t="s">
        <v>2749</v>
      </c>
      <c r="H54" s="58" t="s">
        <v>5584</v>
      </c>
      <c r="I54" t="s">
        <v>8587</v>
      </c>
    </row>
    <row r="55" spans="1:16">
      <c r="A55" s="9" t="s">
        <v>2899</v>
      </c>
      <c r="B55" s="180" t="s">
        <v>2908</v>
      </c>
      <c r="C55" s="10" t="s">
        <v>2909</v>
      </c>
      <c r="D55" s="197" t="s">
        <v>2910</v>
      </c>
      <c r="E55" s="167">
        <v>8</v>
      </c>
      <c r="F55" s="182" t="s">
        <v>2911</v>
      </c>
      <c r="G55" s="190" t="s">
        <v>2749</v>
      </c>
      <c r="H55" s="58" t="s">
        <v>5585</v>
      </c>
      <c r="I55" t="s">
        <v>8587</v>
      </c>
    </row>
    <row r="56" spans="1:16" ht="34">
      <c r="A56" s="340" t="s">
        <v>5602</v>
      </c>
      <c r="B56" s="341" t="s">
        <v>5603</v>
      </c>
      <c r="C56" s="342" t="s">
        <v>5604</v>
      </c>
      <c r="D56" s="343" t="s">
        <v>2740</v>
      </c>
      <c r="E56" s="344">
        <v>12</v>
      </c>
      <c r="F56" s="345" t="s">
        <v>5605</v>
      </c>
      <c r="G56" s="346" t="s">
        <v>2749</v>
      </c>
      <c r="H56" s="349" t="s">
        <v>5606</v>
      </c>
      <c r="I56" t="s">
        <v>8587</v>
      </c>
    </row>
    <row r="57" spans="1:16" ht="34">
      <c r="A57" s="340" t="s">
        <v>5602</v>
      </c>
      <c r="B57" s="341" t="s">
        <v>5607</v>
      </c>
      <c r="C57" s="342" t="s">
        <v>5608</v>
      </c>
      <c r="D57" s="343" t="s">
        <v>2740</v>
      </c>
      <c r="E57" s="344">
        <v>10</v>
      </c>
      <c r="F57" s="345" t="s">
        <v>5609</v>
      </c>
      <c r="G57" s="346" t="s">
        <v>2749</v>
      </c>
      <c r="H57" s="349" t="s">
        <v>5610</v>
      </c>
      <c r="I57" t="s">
        <v>8587</v>
      </c>
    </row>
    <row r="58" spans="1:16">
      <c r="A58" s="340" t="s">
        <v>5602</v>
      </c>
      <c r="B58" s="341" t="s">
        <v>5611</v>
      </c>
      <c r="C58" s="342" t="s">
        <v>5612</v>
      </c>
      <c r="D58" s="343" t="s">
        <v>2740</v>
      </c>
      <c r="E58" s="344">
        <v>12</v>
      </c>
      <c r="F58" s="345" t="s">
        <v>5613</v>
      </c>
      <c r="G58" s="346" t="s">
        <v>2749</v>
      </c>
      <c r="H58" s="349" t="s">
        <v>5614</v>
      </c>
      <c r="I58" t="s">
        <v>8587</v>
      </c>
    </row>
    <row r="59" spans="1:16" ht="34">
      <c r="A59" s="340" t="s">
        <v>5615</v>
      </c>
      <c r="B59" s="341" t="s">
        <v>5616</v>
      </c>
      <c r="C59" s="342" t="s">
        <v>5617</v>
      </c>
      <c r="D59" s="343" t="s">
        <v>2740</v>
      </c>
      <c r="E59" s="344">
        <v>10</v>
      </c>
      <c r="F59" s="345" t="s">
        <v>5618</v>
      </c>
      <c r="G59" s="346" t="s">
        <v>2749</v>
      </c>
      <c r="H59" s="349" t="s">
        <v>5619</v>
      </c>
      <c r="I59" t="s">
        <v>8587</v>
      </c>
    </row>
    <row r="60" spans="1:16">
      <c r="H60" s="58"/>
    </row>
    <row r="62" spans="1:16">
      <c r="A62" s="168" t="s">
        <v>5623</v>
      </c>
    </row>
    <row r="63" spans="1:16">
      <c r="A63" s="321" t="s">
        <v>1</v>
      </c>
      <c r="B63" s="322" t="s">
        <v>2741</v>
      </c>
      <c r="C63" s="322" t="s">
        <v>5396</v>
      </c>
      <c r="D63" s="323" t="s">
        <v>5394</v>
      </c>
      <c r="E63" s="353" t="s">
        <v>2736</v>
      </c>
    </row>
    <row r="64" spans="1:16">
      <c r="A64" s="324" t="s">
        <v>2744</v>
      </c>
      <c r="B64" s="325">
        <f>COUNTIFS($A$6:$A$59,$A64)</f>
        <v>9</v>
      </c>
      <c r="C64" s="325">
        <f>SUMIFS($E$6:$E$59,$A$6:$A$59,$A64)</f>
        <v>47</v>
      </c>
      <c r="D64" s="326">
        <v>47</v>
      </c>
      <c r="E64">
        <f>C64-D64</f>
        <v>0</v>
      </c>
    </row>
    <row r="65" spans="1:5">
      <c r="A65" s="324" t="s">
        <v>2774</v>
      </c>
      <c r="B65" s="325">
        <f>COUNTIFS($A$6:$A$59,$A65)</f>
        <v>9</v>
      </c>
      <c r="C65" s="325">
        <f>SUMIFS($E$6:$E$59,$A$6:$A$59,$A65)</f>
        <v>87</v>
      </c>
      <c r="D65" s="326">
        <v>87</v>
      </c>
      <c r="E65">
        <f>C65-D65</f>
        <v>0</v>
      </c>
    </row>
    <row r="66" spans="1:5">
      <c r="A66" s="324" t="s">
        <v>2809</v>
      </c>
      <c r="B66" s="325">
        <f>COUNTIFS($A$6:$A$59,$A66)</f>
        <v>4</v>
      </c>
      <c r="C66" s="325">
        <f>SUMIFS($E$6:$E$59,$A$6:$A$59,$A66)</f>
        <v>38</v>
      </c>
      <c r="D66" s="326">
        <v>38</v>
      </c>
      <c r="E66">
        <f>C66-D66</f>
        <v>0</v>
      </c>
    </row>
    <row r="67" spans="1:5">
      <c r="A67" s="324" t="s">
        <v>2826</v>
      </c>
      <c r="B67" s="325">
        <f>COUNTIFS($A$6:$A$59,$A67)</f>
        <v>9</v>
      </c>
      <c r="C67" s="325">
        <f>SUMIFS($E$6:$E$59,$A$6:$A$59,$A67)</f>
        <v>69</v>
      </c>
      <c r="D67" s="326">
        <v>69</v>
      </c>
      <c r="E67">
        <f>C67-D67</f>
        <v>0</v>
      </c>
    </row>
    <row r="68" spans="1:5">
      <c r="A68" s="324" t="s">
        <v>2845</v>
      </c>
      <c r="B68" s="325">
        <f>COUNTIFS($A$6:$A$59,$A68)</f>
        <v>5</v>
      </c>
      <c r="C68" s="325">
        <f>SUMIFS($E$6:$E$59,$A$6:$A$59,$A68)</f>
        <v>40</v>
      </c>
      <c r="D68" s="326">
        <v>40</v>
      </c>
      <c r="E68">
        <f>C68-D68</f>
        <v>0</v>
      </c>
    </row>
    <row r="69" spans="1:5">
      <c r="A69" s="324" t="s">
        <v>2861</v>
      </c>
      <c r="B69" s="325">
        <f>COUNTIFS($A$6:$A$59,$A69)</f>
        <v>6</v>
      </c>
      <c r="C69" s="325">
        <f>SUMIFS($E$6:$E$59,$A$6:$A$59,$A69)</f>
        <v>43</v>
      </c>
      <c r="D69" s="326">
        <v>43</v>
      </c>
      <c r="E69">
        <f>C69-D69</f>
        <v>0</v>
      </c>
    </row>
    <row r="70" spans="1:5">
      <c r="A70" s="324" t="s">
        <v>2882</v>
      </c>
      <c r="B70" s="325">
        <f>COUNTIFS($A$6:$A$59,$A70)</f>
        <v>5</v>
      </c>
      <c r="C70" s="325">
        <f>SUMIFS($E$6:$E$59,$A$6:$A$59,$A70)</f>
        <v>39</v>
      </c>
      <c r="D70" s="326">
        <v>39</v>
      </c>
      <c r="E70">
        <f>C70-D70</f>
        <v>0</v>
      </c>
    </row>
    <row r="71" spans="1:5">
      <c r="A71" s="324" t="s">
        <v>2899</v>
      </c>
      <c r="B71" s="325">
        <f>COUNTIFS($A$6:$A$59,$A71)</f>
        <v>3</v>
      </c>
      <c r="C71" s="325">
        <f>SUMIFS($E$6:$E$59,$A$6:$A$59,$A71)</f>
        <v>22</v>
      </c>
      <c r="D71" s="326">
        <v>22</v>
      </c>
      <c r="E71">
        <f>C71-D71</f>
        <v>0</v>
      </c>
    </row>
    <row r="72" spans="1:5">
      <c r="A72" s="324" t="s">
        <v>5602</v>
      </c>
      <c r="B72" s="325">
        <f>COUNTIFS($A$6:$A$59,$A72)</f>
        <v>3</v>
      </c>
      <c r="C72" s="325">
        <f>SUMIFS($E$6:$E$59,$A$6:$A$59,$A72)</f>
        <v>34</v>
      </c>
      <c r="D72" s="326">
        <v>34</v>
      </c>
      <c r="E72">
        <f>C72-D72</f>
        <v>0</v>
      </c>
    </row>
    <row r="73" spans="1:5">
      <c r="A73" s="324" t="s">
        <v>5615</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5624</v>
      </c>
    </row>
    <row r="77" spans="1:5">
      <c r="A77" s="291" t="s">
        <v>5625</v>
      </c>
    </row>
    <row r="78" spans="1:5">
      <c r="A78" s="321" t="s">
        <v>5366</v>
      </c>
      <c r="B78" s="322" t="s">
        <v>5405</v>
      </c>
      <c r="C78" s="322" t="s">
        <v>5368</v>
      </c>
      <c r="D78" s="322" t="s">
        <v>5406</v>
      </c>
      <c r="E78" s="323" t="s">
        <v>666</v>
      </c>
    </row>
    <row r="79" spans="1:5" ht="36" customHeight="1">
      <c r="A79" s="324" t="s">
        <v>5626</v>
      </c>
      <c r="B79" s="333" t="s">
        <v>5627</v>
      </c>
      <c r="C79" s="333" t="s">
        <v>5628</v>
      </c>
      <c r="D79" s="325">
        <v>10</v>
      </c>
      <c r="E79" s="326" t="s">
        <v>5392</v>
      </c>
    </row>
    <row r="80" spans="1:5" ht="36" customHeight="1">
      <c r="A80" s="324" t="s">
        <v>5629</v>
      </c>
      <c r="B80" s="333" t="s">
        <v>5630</v>
      </c>
      <c r="C80" s="333" t="s">
        <v>5631</v>
      </c>
      <c r="D80" s="325">
        <v>12</v>
      </c>
      <c r="E80" s="326" t="s">
        <v>5392</v>
      </c>
    </row>
    <row r="81" spans="1:5" ht="36" customHeight="1">
      <c r="A81" s="324" t="s">
        <v>5632</v>
      </c>
      <c r="B81" s="333" t="s">
        <v>5633</v>
      </c>
      <c r="C81" s="333" t="s">
        <v>5634</v>
      </c>
      <c r="D81" s="325">
        <v>6</v>
      </c>
      <c r="E81" s="326" t="s">
        <v>5392</v>
      </c>
    </row>
    <row r="82" spans="1:5" ht="36" customHeight="1">
      <c r="A82" s="324" t="s">
        <v>5635</v>
      </c>
      <c r="B82" s="333" t="s">
        <v>5636</v>
      </c>
      <c r="C82" s="333" t="s">
        <v>5637</v>
      </c>
      <c r="D82" s="325">
        <v>8</v>
      </c>
      <c r="E82" s="326" t="s">
        <v>5392</v>
      </c>
    </row>
    <row r="83" spans="1:5" ht="36" customHeight="1">
      <c r="A83" s="324" t="s">
        <v>5638</v>
      </c>
      <c r="B83" s="333" t="s">
        <v>5639</v>
      </c>
      <c r="C83" s="333" t="s">
        <v>5640</v>
      </c>
      <c r="D83" s="325">
        <v>6</v>
      </c>
      <c r="E83" s="326" t="s">
        <v>5392</v>
      </c>
    </row>
    <row r="84" spans="1:5" ht="36" customHeight="1">
      <c r="A84" s="324" t="s">
        <v>5641</v>
      </c>
      <c r="B84" s="333" t="s">
        <v>5642</v>
      </c>
      <c r="C84" s="333" t="s">
        <v>5643</v>
      </c>
      <c r="D84" s="325">
        <v>8</v>
      </c>
      <c r="E84" s="326" t="s">
        <v>5392</v>
      </c>
    </row>
    <row r="85" spans="1:5">
      <c r="A85" s="327" t="s">
        <v>5644</v>
      </c>
      <c r="B85" s="328"/>
      <c r="C85" s="328"/>
      <c r="D85" s="328">
        <f>SUM(D79:D84)</f>
        <v>50</v>
      </c>
      <c r="E85" s="329"/>
    </row>
    <row r="86" spans="1:5">
      <c r="A86" s="330" t="s">
        <v>5645</v>
      </c>
      <c r="B86" s="331"/>
      <c r="C86" s="331"/>
      <c r="D86" s="331">
        <f>C74+D85</f>
        <v>479</v>
      </c>
      <c r="E86" s="332"/>
    </row>
  </sheetData>
  <autoFilter ref="A5:G55" xr:uid="{513185A0-2764-294B-9250-00ECB5CCB839}"/>
  <phoneticPr fontId="3"/>
  <conditionalFormatting sqref="A6:G59">
    <cfRule type="expression" dxfId="49"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4" t="s">
        <v>3592</v>
      </c>
    </row>
    <row r="3" spans="1:1">
      <c r="A3" s="34" t="s">
        <v>3593</v>
      </c>
    </row>
    <row r="4" spans="1:1">
      <c r="A4" s="34"/>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4"/>
      <c r="C1" s="34"/>
      <c r="D1" s="34"/>
      <c r="E1" s="34"/>
      <c r="F1" s="34"/>
      <c r="G1" s="34"/>
      <c r="H1" s="34"/>
      <c r="I1" s="34"/>
      <c r="J1" s="34"/>
      <c r="K1" s="34"/>
      <c r="L1" s="34"/>
      <c r="M1" s="34"/>
      <c r="N1" s="34"/>
      <c r="O1" s="34"/>
      <c r="P1" s="34"/>
    </row>
    <row r="2" spans="1:16">
      <c r="A2" s="34" t="s">
        <v>4694</v>
      </c>
      <c r="B2" s="34"/>
      <c r="C2" s="34"/>
      <c r="D2" s="34"/>
      <c r="E2" s="34"/>
      <c r="F2" s="34"/>
      <c r="G2" s="34"/>
      <c r="H2" s="34"/>
      <c r="I2" s="34"/>
      <c r="J2" s="34"/>
      <c r="K2" s="34"/>
      <c r="L2" s="34"/>
      <c r="M2" s="34"/>
      <c r="N2" s="34"/>
      <c r="O2" s="34"/>
      <c r="P2" s="34"/>
    </row>
    <row r="3" spans="1:16">
      <c r="A3" s="34" t="s">
        <v>4695</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3069</v>
      </c>
      <c r="C5" s="257" t="s">
        <v>3070</v>
      </c>
      <c r="D5" s="257" t="s">
        <v>3071</v>
      </c>
      <c r="E5" s="257" t="s">
        <v>3072</v>
      </c>
      <c r="F5" s="257" t="s">
        <v>3073</v>
      </c>
      <c r="G5" s="257" t="s">
        <v>3074</v>
      </c>
      <c r="H5" s="257" t="s">
        <v>3037</v>
      </c>
      <c r="I5" s="257" t="s">
        <v>3075</v>
      </c>
      <c r="J5" s="257" t="s">
        <v>3076</v>
      </c>
      <c r="K5" s="257" t="s">
        <v>3077</v>
      </c>
      <c r="L5" s="257" t="s">
        <v>3078</v>
      </c>
      <c r="M5" s="257" t="s">
        <v>3079</v>
      </c>
      <c r="N5" s="257" t="s">
        <v>4696</v>
      </c>
      <c r="O5" s="257" t="s">
        <v>4697</v>
      </c>
      <c r="P5" s="258" t="s">
        <v>4698</v>
      </c>
    </row>
    <row r="6" spans="1:16">
      <c r="A6" s="259" t="s">
        <v>3102</v>
      </c>
      <c r="B6" s="260" t="s">
        <v>4699</v>
      </c>
      <c r="C6" s="260" t="s">
        <v>4700</v>
      </c>
      <c r="D6" s="260" t="s">
        <v>4701</v>
      </c>
      <c r="E6" s="261">
        <v>400</v>
      </c>
      <c r="F6" s="261">
        <v>2000</v>
      </c>
      <c r="G6" s="261">
        <v>4000</v>
      </c>
      <c r="H6" s="260" t="s">
        <v>3101</v>
      </c>
      <c r="I6" s="262">
        <v>2.3E-2</v>
      </c>
      <c r="J6" s="263">
        <f>E6*$I6</f>
        <v>9.1999999999999993</v>
      </c>
      <c r="K6" s="263">
        <f>F6*$I6</f>
        <v>46</v>
      </c>
      <c r="L6" s="263">
        <f>G6*$I6</f>
        <v>92</v>
      </c>
      <c r="M6" s="260" t="s">
        <v>4647</v>
      </c>
      <c r="N6" s="264" t="s">
        <v>4702</v>
      </c>
      <c r="O6" s="264" t="s">
        <v>4702</v>
      </c>
      <c r="P6" s="265" t="s">
        <v>4702</v>
      </c>
    </row>
    <row r="7" spans="1:16">
      <c r="A7" s="259" t="s">
        <v>1532</v>
      </c>
      <c r="B7" s="260" t="s">
        <v>4703</v>
      </c>
      <c r="C7" s="260" t="s">
        <v>4704</v>
      </c>
      <c r="D7" s="260" t="s">
        <v>4705</v>
      </c>
      <c r="E7" s="261">
        <v>400</v>
      </c>
      <c r="F7" s="261">
        <v>2000</v>
      </c>
      <c r="G7" s="261">
        <v>4000</v>
      </c>
      <c r="H7" s="260" t="s">
        <v>3101</v>
      </c>
      <c r="I7" s="262">
        <v>0.09</v>
      </c>
      <c r="J7" s="263">
        <f>E7*$I7</f>
        <v>36</v>
      </c>
      <c r="K7" s="263">
        <f>F7*$I7</f>
        <v>180</v>
      </c>
      <c r="L7" s="263">
        <f>G7*$I7</f>
        <v>360</v>
      </c>
      <c r="M7" s="260" t="s">
        <v>4682</v>
      </c>
      <c r="N7" s="264" t="s">
        <v>4702</v>
      </c>
      <c r="O7" s="264" t="s">
        <v>4702</v>
      </c>
      <c r="P7" s="265" t="s">
        <v>4702</v>
      </c>
    </row>
    <row r="8" spans="1:16">
      <c r="A8" s="259" t="s">
        <v>1532</v>
      </c>
      <c r="B8" s="260" t="s">
        <v>4706</v>
      </c>
      <c r="C8" s="260" t="s">
        <v>4707</v>
      </c>
      <c r="D8" s="260" t="s">
        <v>4708</v>
      </c>
      <c r="E8" s="261">
        <v>4</v>
      </c>
      <c r="F8" s="261">
        <v>4</v>
      </c>
      <c r="G8" s="261">
        <v>4</v>
      </c>
      <c r="H8" s="260" t="s">
        <v>3172</v>
      </c>
      <c r="I8" s="262">
        <v>1</v>
      </c>
      <c r="J8" s="263">
        <f>E8*$I8</f>
        <v>4</v>
      </c>
      <c r="K8" s="263">
        <f>F8*$I8</f>
        <v>4</v>
      </c>
      <c r="L8" s="263">
        <f>G8*$I8</f>
        <v>4</v>
      </c>
      <c r="M8" s="260" t="s">
        <v>4678</v>
      </c>
      <c r="N8" s="264" t="s">
        <v>4702</v>
      </c>
      <c r="O8" s="264" t="s">
        <v>4702</v>
      </c>
      <c r="P8" s="265" t="s">
        <v>4702</v>
      </c>
    </row>
    <row r="9" spans="1:16">
      <c r="A9" s="259" t="s">
        <v>3121</v>
      </c>
      <c r="B9" s="260" t="s">
        <v>4709</v>
      </c>
      <c r="C9" s="260" t="s">
        <v>4710</v>
      </c>
      <c r="D9" s="260" t="s">
        <v>4711</v>
      </c>
      <c r="E9" s="261">
        <v>100</v>
      </c>
      <c r="F9" s="261">
        <v>500</v>
      </c>
      <c r="G9" s="261">
        <v>1000</v>
      </c>
      <c r="H9" s="260" t="s">
        <v>3133</v>
      </c>
      <c r="I9" s="262">
        <v>0.09</v>
      </c>
      <c r="J9" s="263">
        <f>E9*$I9</f>
        <v>9</v>
      </c>
      <c r="K9" s="263">
        <f>F9*$I9</f>
        <v>45</v>
      </c>
      <c r="L9" s="263">
        <f>G9*$I9</f>
        <v>90</v>
      </c>
      <c r="M9" s="260" t="s">
        <v>4641</v>
      </c>
      <c r="N9" s="264" t="s">
        <v>4702</v>
      </c>
      <c r="O9" s="264" t="s">
        <v>4702</v>
      </c>
      <c r="P9" s="265" t="s">
        <v>4702</v>
      </c>
    </row>
    <row r="10" spans="1:16">
      <c r="A10" s="259" t="s">
        <v>3102</v>
      </c>
      <c r="B10" s="260" t="s">
        <v>4712</v>
      </c>
      <c r="C10" s="260" t="s">
        <v>4713</v>
      </c>
      <c r="D10" s="260" t="s">
        <v>4714</v>
      </c>
      <c r="E10" s="261">
        <v>200</v>
      </c>
      <c r="F10" s="261">
        <v>1000</v>
      </c>
      <c r="G10" s="261">
        <v>2000</v>
      </c>
      <c r="H10" s="260" t="s">
        <v>3101</v>
      </c>
      <c r="I10" s="262">
        <v>0.12</v>
      </c>
      <c r="J10" s="263">
        <f>E10*$I10</f>
        <v>24</v>
      </c>
      <c r="K10" s="263">
        <f>F10*$I10</f>
        <v>120</v>
      </c>
      <c r="L10" s="263">
        <f>G10*$I10</f>
        <v>240</v>
      </c>
      <c r="M10" s="260" t="s">
        <v>4647</v>
      </c>
      <c r="N10" s="264" t="s">
        <v>2234</v>
      </c>
      <c r="O10" s="264" t="s">
        <v>4702</v>
      </c>
      <c r="P10" s="265" t="s">
        <v>4702</v>
      </c>
    </row>
    <row r="11" spans="1:16">
      <c r="A11" s="259" t="s">
        <v>3102</v>
      </c>
      <c r="B11" s="260" t="s">
        <v>4715</v>
      </c>
      <c r="C11" s="260" t="s">
        <v>4716</v>
      </c>
      <c r="D11" s="260" t="s">
        <v>4717</v>
      </c>
      <c r="E11" s="261">
        <v>100</v>
      </c>
      <c r="F11" s="261">
        <v>500</v>
      </c>
      <c r="G11" s="261">
        <v>1000</v>
      </c>
      <c r="H11" s="260" t="s">
        <v>3101</v>
      </c>
      <c r="I11" s="262">
        <v>0.12</v>
      </c>
      <c r="J11" s="263">
        <f>E11*$I11</f>
        <v>12</v>
      </c>
      <c r="K11" s="263">
        <f>F11*$I11</f>
        <v>60</v>
      </c>
      <c r="L11" s="263">
        <f>G11*$I11</f>
        <v>120</v>
      </c>
      <c r="M11" s="260" t="s">
        <v>4647</v>
      </c>
      <c r="N11" s="264" t="s">
        <v>2234</v>
      </c>
      <c r="O11" s="264" t="s">
        <v>4702</v>
      </c>
      <c r="P11" s="265" t="s">
        <v>4702</v>
      </c>
    </row>
    <row r="12" spans="1:16">
      <c r="A12" s="259" t="s">
        <v>3102</v>
      </c>
      <c r="B12" s="260" t="s">
        <v>4718</v>
      </c>
      <c r="C12" s="260" t="s">
        <v>4719</v>
      </c>
      <c r="D12" s="260" t="s">
        <v>4720</v>
      </c>
      <c r="E12" s="261">
        <v>20000000</v>
      </c>
      <c r="F12" s="261">
        <v>100000000</v>
      </c>
      <c r="G12" s="261">
        <v>200000000</v>
      </c>
      <c r="H12" s="260" t="s">
        <v>4650</v>
      </c>
      <c r="I12" s="262">
        <v>2.3999999999999998E-7</v>
      </c>
      <c r="J12" s="263">
        <f>E12*$I12</f>
        <v>4.8</v>
      </c>
      <c r="K12" s="263">
        <f>F12*$I12</f>
        <v>23.999999999999996</v>
      </c>
      <c r="L12" s="263">
        <f>G12*$I12</f>
        <v>47.999999999999993</v>
      </c>
      <c r="M12" s="260" t="s">
        <v>4647</v>
      </c>
      <c r="N12" s="264" t="s">
        <v>2234</v>
      </c>
      <c r="O12" s="264" t="s">
        <v>4702</v>
      </c>
      <c r="P12" s="265" t="s">
        <v>4702</v>
      </c>
    </row>
    <row r="13" spans="1:16">
      <c r="A13" s="259" t="s">
        <v>3153</v>
      </c>
      <c r="B13" s="260" t="s">
        <v>4721</v>
      </c>
      <c r="C13" s="260" t="s">
        <v>4722</v>
      </c>
      <c r="D13" s="260" t="s">
        <v>4723</v>
      </c>
      <c r="E13" s="261">
        <v>5000000</v>
      </c>
      <c r="F13" s="261">
        <v>25000000</v>
      </c>
      <c r="G13" s="261">
        <v>50000000</v>
      </c>
      <c r="H13" s="260" t="s">
        <v>4724</v>
      </c>
      <c r="I13" s="262">
        <v>8.8999999999999995E-7</v>
      </c>
      <c r="J13" s="263">
        <f>E13*$I13</f>
        <v>4.45</v>
      </c>
      <c r="K13" s="263">
        <f>F13*$I13</f>
        <v>22.25</v>
      </c>
      <c r="L13" s="263">
        <f>G13*$I13</f>
        <v>44.5</v>
      </c>
      <c r="M13" s="260" t="s">
        <v>4676</v>
      </c>
      <c r="N13" s="264" t="s">
        <v>2234</v>
      </c>
      <c r="O13" s="264" t="s">
        <v>4702</v>
      </c>
      <c r="P13" s="265" t="s">
        <v>4702</v>
      </c>
    </row>
    <row r="14" spans="1:16">
      <c r="A14" s="259" t="s">
        <v>3184</v>
      </c>
      <c r="B14" s="260" t="s">
        <v>4725</v>
      </c>
      <c r="C14" s="260" t="s">
        <v>4726</v>
      </c>
      <c r="D14" s="260" t="s">
        <v>4727</v>
      </c>
      <c r="E14" s="261">
        <v>300</v>
      </c>
      <c r="F14" s="261">
        <v>1500</v>
      </c>
      <c r="G14" s="261">
        <v>3000</v>
      </c>
      <c r="H14" s="260" t="s">
        <v>3101</v>
      </c>
      <c r="I14" s="262">
        <v>2.5000000000000001E-2</v>
      </c>
      <c r="J14" s="263">
        <f>E14*$I14</f>
        <v>7.5</v>
      </c>
      <c r="K14" s="263">
        <f>F14*$I14</f>
        <v>37.5</v>
      </c>
      <c r="L14" s="263">
        <f>G14*$I14</f>
        <v>75</v>
      </c>
      <c r="M14" s="260" t="s">
        <v>4728</v>
      </c>
      <c r="N14" s="264" t="s">
        <v>2234</v>
      </c>
      <c r="O14" s="264" t="s">
        <v>4702</v>
      </c>
      <c r="P14" s="265" t="s">
        <v>4702</v>
      </c>
    </row>
    <row r="15" spans="1:16">
      <c r="A15" s="259" t="s">
        <v>3184</v>
      </c>
      <c r="B15" s="260" t="s">
        <v>4729</v>
      </c>
      <c r="C15" s="260" t="s">
        <v>4730</v>
      </c>
      <c r="D15" s="260" t="s">
        <v>4731</v>
      </c>
      <c r="E15" s="261">
        <v>50</v>
      </c>
      <c r="F15" s="261">
        <v>50</v>
      </c>
      <c r="G15" s="261">
        <v>50</v>
      </c>
      <c r="H15" s="260" t="s">
        <v>3101</v>
      </c>
      <c r="I15" s="262">
        <v>0.1</v>
      </c>
      <c r="J15" s="263">
        <f>E15*$I15</f>
        <v>5</v>
      </c>
      <c r="K15" s="263">
        <f>F15*$I15</f>
        <v>5</v>
      </c>
      <c r="L15" s="263">
        <f>G15*$I15</f>
        <v>5</v>
      </c>
      <c r="M15" s="260" t="s">
        <v>4732</v>
      </c>
      <c r="N15" s="264" t="s">
        <v>2234</v>
      </c>
      <c r="O15" s="264" t="s">
        <v>4702</v>
      </c>
      <c r="P15" s="265" t="s">
        <v>4702</v>
      </c>
    </row>
    <row r="16" spans="1:16">
      <c r="A16" s="259" t="s">
        <v>3080</v>
      </c>
      <c r="B16" s="260" t="s">
        <v>4733</v>
      </c>
      <c r="C16" s="260" t="s">
        <v>4734</v>
      </c>
      <c r="D16" s="260" t="s">
        <v>4735</v>
      </c>
      <c r="E16" s="261">
        <v>1460</v>
      </c>
      <c r="F16" s="261">
        <v>1460</v>
      </c>
      <c r="G16" s="261">
        <v>1460</v>
      </c>
      <c r="H16" s="260" t="s">
        <v>3094</v>
      </c>
      <c r="I16" s="262">
        <v>0.25</v>
      </c>
      <c r="J16" s="263">
        <f>E16*$I16</f>
        <v>365</v>
      </c>
      <c r="K16" s="263">
        <f>F16*$I16</f>
        <v>365</v>
      </c>
      <c r="L16" s="263">
        <f>G16*$I16</f>
        <v>365</v>
      </c>
      <c r="M16" s="260" t="s">
        <v>4644</v>
      </c>
      <c r="N16" s="264" t="s">
        <v>2234</v>
      </c>
      <c r="O16" s="264" t="s">
        <v>2234</v>
      </c>
      <c r="P16" s="265" t="s">
        <v>4702</v>
      </c>
    </row>
    <row r="17" spans="1:16">
      <c r="A17" s="259" t="s">
        <v>3080</v>
      </c>
      <c r="B17" s="260" t="s">
        <v>4736</v>
      </c>
      <c r="C17" s="260" t="s">
        <v>4737</v>
      </c>
      <c r="D17" s="260" t="s">
        <v>4738</v>
      </c>
      <c r="E17" s="261">
        <v>2920</v>
      </c>
      <c r="F17" s="261">
        <v>2920</v>
      </c>
      <c r="G17" s="261">
        <v>2920</v>
      </c>
      <c r="H17" s="260" t="s">
        <v>3084</v>
      </c>
      <c r="I17" s="262">
        <v>0.248</v>
      </c>
      <c r="J17" s="263">
        <f>E17*$I17</f>
        <v>724.16</v>
      </c>
      <c r="K17" s="263">
        <f>F17*$I17</f>
        <v>724.16</v>
      </c>
      <c r="L17" s="263">
        <f>G17*$I17</f>
        <v>724.16</v>
      </c>
      <c r="M17" s="260" t="s">
        <v>4641</v>
      </c>
      <c r="N17" s="264" t="s">
        <v>2234</v>
      </c>
      <c r="O17" s="264" t="s">
        <v>2234</v>
      </c>
      <c r="P17" s="265" t="s">
        <v>4702</v>
      </c>
    </row>
    <row r="18" spans="1:16">
      <c r="A18" s="259" t="s">
        <v>3080</v>
      </c>
      <c r="B18" s="260" t="s">
        <v>4739</v>
      </c>
      <c r="C18" s="260" t="s">
        <v>4740</v>
      </c>
      <c r="D18" s="260" t="s">
        <v>4741</v>
      </c>
      <c r="E18" s="261">
        <v>730</v>
      </c>
      <c r="F18" s="261">
        <v>730</v>
      </c>
      <c r="G18" s="261">
        <v>730</v>
      </c>
      <c r="H18" s="260" t="s">
        <v>3098</v>
      </c>
      <c r="I18" s="262">
        <v>0.17100000000000001</v>
      </c>
      <c r="J18" s="263">
        <f>E18*$I18</f>
        <v>124.83000000000001</v>
      </c>
      <c r="K18" s="263">
        <f>F18*$I18</f>
        <v>124.83000000000001</v>
      </c>
      <c r="L18" s="263">
        <f>G18*$I18</f>
        <v>124.83000000000001</v>
      </c>
      <c r="M18" s="260" t="s">
        <v>4644</v>
      </c>
      <c r="N18" s="264" t="s">
        <v>2234</v>
      </c>
      <c r="O18" s="264" t="s">
        <v>2234</v>
      </c>
      <c r="P18" s="265" t="s">
        <v>4702</v>
      </c>
    </row>
    <row r="19" spans="1:16">
      <c r="A19" s="259" t="s">
        <v>3080</v>
      </c>
      <c r="B19" s="260" t="s">
        <v>4742</v>
      </c>
      <c r="C19" s="260" t="s">
        <v>4743</v>
      </c>
      <c r="D19" s="260" t="s">
        <v>4744</v>
      </c>
      <c r="E19" s="261">
        <v>400</v>
      </c>
      <c r="F19" s="261">
        <v>400</v>
      </c>
      <c r="G19" s="261">
        <v>400</v>
      </c>
      <c r="H19" s="260" t="s">
        <v>3101</v>
      </c>
      <c r="I19" s="262">
        <v>9.6000000000000002E-2</v>
      </c>
      <c r="J19" s="263">
        <f>E19*$I19</f>
        <v>38.4</v>
      </c>
      <c r="K19" s="263">
        <f>F19*$I19</f>
        <v>38.4</v>
      </c>
      <c r="L19" s="263">
        <f>G19*$I19</f>
        <v>38.4</v>
      </c>
      <c r="M19" s="260" t="s">
        <v>4646</v>
      </c>
      <c r="N19" s="264" t="s">
        <v>2234</v>
      </c>
      <c r="O19" s="264" t="s">
        <v>2234</v>
      </c>
      <c r="P19" s="265" t="s">
        <v>4702</v>
      </c>
    </row>
    <row r="20" spans="1:16">
      <c r="A20" s="259" t="s">
        <v>3102</v>
      </c>
      <c r="B20" s="260" t="s">
        <v>4745</v>
      </c>
      <c r="C20" s="260" t="s">
        <v>4746</v>
      </c>
      <c r="D20" s="260" t="s">
        <v>4747</v>
      </c>
      <c r="E20" s="261">
        <v>730</v>
      </c>
      <c r="F20" s="261">
        <v>730</v>
      </c>
      <c r="G20" s="261">
        <v>730</v>
      </c>
      <c r="H20" s="260" t="s">
        <v>3084</v>
      </c>
      <c r="I20" s="262">
        <v>0.66400000000000003</v>
      </c>
      <c r="J20" s="263">
        <f>E20*$I20</f>
        <v>484.72</v>
      </c>
      <c r="K20" s="263">
        <f>F20*$I20</f>
        <v>484.72</v>
      </c>
      <c r="L20" s="263">
        <f>G20*$I20</f>
        <v>484.72</v>
      </c>
      <c r="M20" s="260" t="s">
        <v>4647</v>
      </c>
      <c r="N20" s="264" t="s">
        <v>2234</v>
      </c>
      <c r="O20" s="264" t="s">
        <v>2234</v>
      </c>
      <c r="P20" s="265" t="s">
        <v>4702</v>
      </c>
    </row>
    <row r="21" spans="1:16">
      <c r="A21" s="259" t="s">
        <v>3102</v>
      </c>
      <c r="B21" s="260" t="s">
        <v>4748</v>
      </c>
      <c r="C21" s="260" t="s">
        <v>4749</v>
      </c>
      <c r="D21" s="260" t="s">
        <v>4747</v>
      </c>
      <c r="E21" s="261">
        <v>730</v>
      </c>
      <c r="F21" s="261">
        <v>730</v>
      </c>
      <c r="G21" s="261">
        <v>730</v>
      </c>
      <c r="H21" s="260" t="s">
        <v>3084</v>
      </c>
      <c r="I21" s="262">
        <v>0.66400000000000003</v>
      </c>
      <c r="J21" s="263">
        <f>E21*$I21</f>
        <v>484.72</v>
      </c>
      <c r="K21" s="263">
        <f>F21*$I21</f>
        <v>484.72</v>
      </c>
      <c r="L21" s="263">
        <f>G21*$I21</f>
        <v>484.72</v>
      </c>
      <c r="M21" s="260" t="s">
        <v>4647</v>
      </c>
      <c r="N21" s="264" t="s">
        <v>2234</v>
      </c>
      <c r="O21" s="264" t="s">
        <v>2234</v>
      </c>
      <c r="P21" s="265" t="s">
        <v>4702</v>
      </c>
    </row>
    <row r="22" spans="1:16">
      <c r="A22" s="259" t="s">
        <v>3121</v>
      </c>
      <c r="B22" s="260" t="s">
        <v>4750</v>
      </c>
      <c r="C22" s="260" t="s">
        <v>4751</v>
      </c>
      <c r="D22" s="260" t="s">
        <v>4752</v>
      </c>
      <c r="E22" s="261">
        <v>1460</v>
      </c>
      <c r="F22" s="261">
        <v>1460</v>
      </c>
      <c r="G22" s="261">
        <v>1460</v>
      </c>
      <c r="H22" s="260" t="s">
        <v>3125</v>
      </c>
      <c r="I22" s="262">
        <v>2.4299999999999999E-2</v>
      </c>
      <c r="J22" s="263">
        <f>E22*$I22</f>
        <v>35.478000000000002</v>
      </c>
      <c r="K22" s="263">
        <f>F22*$I22</f>
        <v>35.478000000000002</v>
      </c>
      <c r="L22" s="263">
        <f>G22*$I22</f>
        <v>35.478000000000002</v>
      </c>
      <c r="M22" s="260" t="s">
        <v>4653</v>
      </c>
      <c r="N22" s="264" t="s">
        <v>2234</v>
      </c>
      <c r="O22" s="264" t="s">
        <v>2234</v>
      </c>
      <c r="P22" s="265" t="s">
        <v>4702</v>
      </c>
    </row>
    <row r="23" spans="1:16">
      <c r="A23" s="259" t="s">
        <v>3121</v>
      </c>
      <c r="B23" s="260" t="s">
        <v>4753</v>
      </c>
      <c r="C23" s="260" t="s">
        <v>4754</v>
      </c>
      <c r="D23" s="260" t="s">
        <v>4755</v>
      </c>
      <c r="E23" s="261">
        <v>730</v>
      </c>
      <c r="F23" s="261">
        <v>730</v>
      </c>
      <c r="G23" s="261">
        <v>730</v>
      </c>
      <c r="H23" s="260" t="s">
        <v>3129</v>
      </c>
      <c r="I23" s="262">
        <v>2.4299999999999999E-2</v>
      </c>
      <c r="J23" s="263">
        <f>E23*$I23</f>
        <v>17.739000000000001</v>
      </c>
      <c r="K23" s="263">
        <f>F23*$I23</f>
        <v>17.739000000000001</v>
      </c>
      <c r="L23" s="263">
        <f>G23*$I23</f>
        <v>17.739000000000001</v>
      </c>
      <c r="M23" s="260" t="s">
        <v>4653</v>
      </c>
      <c r="N23" s="264" t="s">
        <v>2234</v>
      </c>
      <c r="O23" s="264" t="s">
        <v>2234</v>
      </c>
      <c r="P23" s="265" t="s">
        <v>4702</v>
      </c>
    </row>
    <row r="24" spans="1:16">
      <c r="A24" s="259" t="s">
        <v>3121</v>
      </c>
      <c r="B24" s="260" t="s">
        <v>4756</v>
      </c>
      <c r="C24" s="260" t="s">
        <v>4757</v>
      </c>
      <c r="D24" s="260" t="s">
        <v>4758</v>
      </c>
      <c r="E24" s="261">
        <v>7300</v>
      </c>
      <c r="F24" s="261">
        <v>7300</v>
      </c>
      <c r="G24" s="261">
        <v>7300</v>
      </c>
      <c r="H24" s="260" t="s">
        <v>3140</v>
      </c>
      <c r="I24" s="262">
        <v>1.4E-2</v>
      </c>
      <c r="J24" s="263">
        <f>E24*$I24</f>
        <v>102.2</v>
      </c>
      <c r="K24" s="263">
        <f>F24*$I24</f>
        <v>102.2</v>
      </c>
      <c r="L24" s="263">
        <f>G24*$I24</f>
        <v>102.2</v>
      </c>
      <c r="M24" s="260" t="s">
        <v>4660</v>
      </c>
      <c r="N24" s="264" t="s">
        <v>2234</v>
      </c>
      <c r="O24" s="264" t="s">
        <v>2234</v>
      </c>
      <c r="P24" s="265" t="s">
        <v>4702</v>
      </c>
    </row>
    <row r="25" spans="1:16">
      <c r="A25" s="259" t="s">
        <v>3184</v>
      </c>
      <c r="B25" s="260" t="s">
        <v>4759</v>
      </c>
      <c r="C25" s="260" t="s">
        <v>4760</v>
      </c>
      <c r="D25" s="260" t="s">
        <v>4761</v>
      </c>
      <c r="E25" s="261">
        <v>43800</v>
      </c>
      <c r="F25" s="261">
        <v>43800</v>
      </c>
      <c r="G25" s="261">
        <v>43800</v>
      </c>
      <c r="H25" s="260" t="s">
        <v>3200</v>
      </c>
      <c r="I25" s="262">
        <v>1.1999999999999999E-3</v>
      </c>
      <c r="J25" s="263">
        <f>E25*$I25</f>
        <v>52.559999999999995</v>
      </c>
      <c r="K25" s="263">
        <f>F25*$I25</f>
        <v>52.559999999999995</v>
      </c>
      <c r="L25" s="263">
        <f>G25*$I25</f>
        <v>52.559999999999995</v>
      </c>
      <c r="M25" s="260" t="s">
        <v>4683</v>
      </c>
      <c r="N25" s="264" t="s">
        <v>2234</v>
      </c>
      <c r="O25" s="264" t="s">
        <v>2234</v>
      </c>
      <c r="P25" s="265" t="s">
        <v>4702</v>
      </c>
    </row>
    <row r="26" spans="1:16">
      <c r="A26" s="259" t="s">
        <v>1532</v>
      </c>
      <c r="B26" s="260" t="s">
        <v>4783</v>
      </c>
      <c r="C26" s="260" t="s">
        <v>4784</v>
      </c>
      <c r="D26" s="260" t="s">
        <v>4785</v>
      </c>
      <c r="E26" s="261">
        <v>30</v>
      </c>
      <c r="F26" s="261">
        <v>30</v>
      </c>
      <c r="G26" s="261">
        <v>30</v>
      </c>
      <c r="H26" s="260" t="s">
        <v>3176</v>
      </c>
      <c r="I26" s="262">
        <v>0.4</v>
      </c>
      <c r="J26" s="263">
        <f>E26*$I26</f>
        <v>12</v>
      </c>
      <c r="K26" s="263">
        <f>F26*$I26</f>
        <v>12</v>
      </c>
      <c r="L26" s="263">
        <f>G26*$I26</f>
        <v>12</v>
      </c>
      <c r="M26" s="260" t="s">
        <v>4680</v>
      </c>
      <c r="N26" s="264" t="s">
        <v>4702</v>
      </c>
      <c r="O26" s="264" t="s">
        <v>4702</v>
      </c>
      <c r="P26" s="265" t="s">
        <v>4702</v>
      </c>
    </row>
    <row r="27" spans="1:16">
      <c r="A27" s="259" t="s">
        <v>3438</v>
      </c>
      <c r="B27" s="260" t="s">
        <v>4786</v>
      </c>
      <c r="C27" s="260" t="s">
        <v>4787</v>
      </c>
      <c r="D27" s="260" t="s">
        <v>4788</v>
      </c>
      <c r="E27" s="261">
        <v>1</v>
      </c>
      <c r="F27" s="261">
        <v>1</v>
      </c>
      <c r="G27" s="261">
        <v>1</v>
      </c>
      <c r="H27" s="260" t="s">
        <v>4789</v>
      </c>
      <c r="I27" s="262">
        <v>400</v>
      </c>
      <c r="J27" s="263">
        <f>E27*$I27</f>
        <v>400</v>
      </c>
      <c r="K27" s="263">
        <f>F27*$I27</f>
        <v>400</v>
      </c>
      <c r="L27" s="263">
        <f>G27*$I27</f>
        <v>400</v>
      </c>
      <c r="M27" s="260" t="s">
        <v>4681</v>
      </c>
      <c r="N27" s="264" t="s">
        <v>2234</v>
      </c>
      <c r="O27" s="264" t="s">
        <v>2234</v>
      </c>
      <c r="P27" s="265" t="s">
        <v>4702</v>
      </c>
    </row>
    <row r="28" spans="1:16">
      <c r="A28" s="266" t="s">
        <v>4790</v>
      </c>
      <c r="B28" s="267" t="s">
        <v>4791</v>
      </c>
      <c r="C28" s="267" t="s">
        <v>4792</v>
      </c>
      <c r="D28" s="267" t="s">
        <v>4793</v>
      </c>
      <c r="E28" s="268">
        <v>5000000</v>
      </c>
      <c r="F28" s="268">
        <v>15000000</v>
      </c>
      <c r="G28" s="268">
        <v>25000000</v>
      </c>
      <c r="H28" s="267" t="s">
        <v>4794</v>
      </c>
      <c r="I28" s="269">
        <v>9.9999999999999995E-8</v>
      </c>
      <c r="J28" s="270">
        <f>E28*$I28</f>
        <v>0.5</v>
      </c>
      <c r="K28" s="270">
        <f>F28*$I28</f>
        <v>1.5</v>
      </c>
      <c r="L28" s="270">
        <f>G28*$I28</f>
        <v>2.5</v>
      </c>
      <c r="M28" s="267" t="s">
        <v>4673</v>
      </c>
      <c r="N28" s="271" t="s">
        <v>2234</v>
      </c>
      <c r="O28" s="271" t="s">
        <v>4702</v>
      </c>
      <c r="P28" s="272" t="s">
        <v>4702</v>
      </c>
    </row>
    <row r="29" spans="1:16">
      <c r="A29" s="34" t="s">
        <v>4763</v>
      </c>
      <c r="B29" s="34" t="s">
        <v>4764</v>
      </c>
      <c r="C29" s="34" t="s">
        <v>4765</v>
      </c>
      <c r="D29" s="254">
        <f>SUMIF($N$6:$N$28,"○",$J$6:$J$28)</f>
        <v>70.2</v>
      </c>
      <c r="E29" s="254">
        <f>SUMIF($N$6:$N$28,"○",$K$6:$K$28)</f>
        <v>287</v>
      </c>
      <c r="F29" s="254">
        <f>SUMIF($N$6:$N$28,"○",$L$6:$L$28)</f>
        <v>558</v>
      </c>
      <c r="G29" s="34"/>
      <c r="H29" s="34"/>
      <c r="I29" s="34"/>
      <c r="J29" s="34"/>
      <c r="K29" s="34"/>
      <c r="L29" s="34"/>
      <c r="M29" s="34"/>
      <c r="N29" s="34"/>
      <c r="O29" s="34"/>
      <c r="P29" s="34"/>
    </row>
    <row r="30" spans="1:16">
      <c r="A30" s="34" t="s">
        <v>4766</v>
      </c>
      <c r="B30" s="34" t="s">
        <v>4767</v>
      </c>
      <c r="C30" s="34" t="s">
        <v>4768</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4769</v>
      </c>
      <c r="B31" s="34" t="s">
        <v>4770</v>
      </c>
      <c r="C31" s="34" t="s">
        <v>4768</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4771</v>
      </c>
      <c r="B33" s="34"/>
      <c r="C33" s="34"/>
      <c r="D33" s="34"/>
      <c r="E33" s="34"/>
      <c r="F33" s="34"/>
      <c r="G33" s="34"/>
      <c r="H33" s="34"/>
      <c r="I33" s="34"/>
      <c r="J33" s="34"/>
      <c r="K33" s="34"/>
      <c r="L33" s="34"/>
      <c r="M33" s="34"/>
      <c r="N33" s="34"/>
      <c r="O33" s="34"/>
      <c r="P33" s="34"/>
    </row>
    <row r="34" spans="1:16">
      <c r="A34" s="143" t="s">
        <v>4762</v>
      </c>
      <c r="B34" s="143" t="s">
        <v>4772</v>
      </c>
      <c r="C34" s="143" t="s">
        <v>4773</v>
      </c>
      <c r="D34" s="143" t="s">
        <v>4774</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4775</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4776</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4"/>
      <c r="C1" s="34"/>
      <c r="D1" s="34"/>
      <c r="E1" s="34"/>
      <c r="F1" s="34"/>
      <c r="G1" s="34"/>
      <c r="H1" s="34"/>
      <c r="I1" s="34"/>
      <c r="J1" s="34"/>
      <c r="K1" s="34"/>
      <c r="L1" s="34"/>
      <c r="M1" s="34"/>
      <c r="N1" s="34"/>
    </row>
    <row r="2" spans="1:14">
      <c r="A2" s="292" t="s">
        <v>5162</v>
      </c>
      <c r="B2" s="34"/>
      <c r="C2" s="34"/>
      <c r="D2" s="34"/>
      <c r="E2" s="34"/>
      <c r="F2" s="34"/>
      <c r="G2" s="34"/>
      <c r="H2" s="34"/>
      <c r="I2" s="34"/>
      <c r="J2" s="34"/>
      <c r="K2" s="34"/>
      <c r="L2" s="34"/>
      <c r="M2" s="34"/>
      <c r="N2" s="34"/>
    </row>
    <row r="3" spans="1:14">
      <c r="A3" s="306" t="s">
        <v>5163</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5120</v>
      </c>
      <c r="B5" s="294" t="s">
        <v>4851</v>
      </c>
      <c r="C5" s="294" t="s">
        <v>2524</v>
      </c>
      <c r="D5" s="294" t="s">
        <v>4852</v>
      </c>
      <c r="E5" s="294" t="s">
        <v>4853</v>
      </c>
      <c r="F5" s="294" t="s">
        <v>4854</v>
      </c>
      <c r="G5" s="295" t="s">
        <v>4855</v>
      </c>
      <c r="H5" s="295" t="s">
        <v>4856</v>
      </c>
      <c r="I5" s="295" t="s">
        <v>4857</v>
      </c>
      <c r="J5" s="295" t="s">
        <v>4858</v>
      </c>
      <c r="K5" s="296" t="s">
        <v>4859</v>
      </c>
      <c r="L5" s="296" t="s">
        <v>4860</v>
      </c>
      <c r="M5" s="296" t="s">
        <v>4861</v>
      </c>
      <c r="N5" s="297" t="s">
        <v>12</v>
      </c>
    </row>
    <row r="6" spans="1:14" ht="110" customHeight="1">
      <c r="A6" s="307">
        <v>7</v>
      </c>
      <c r="B6" s="298" t="s">
        <v>4862</v>
      </c>
      <c r="C6" s="298" t="s">
        <v>4863</v>
      </c>
      <c r="D6" s="299" t="s">
        <v>4255</v>
      </c>
      <c r="E6" s="298" t="s">
        <v>4864</v>
      </c>
      <c r="F6" s="298" t="s">
        <v>4865</v>
      </c>
      <c r="G6" s="298"/>
      <c r="H6" s="298"/>
      <c r="I6" s="298"/>
      <c r="J6" s="298"/>
      <c r="K6" s="298" t="s">
        <v>4866</v>
      </c>
      <c r="L6" s="298" t="s">
        <v>4867</v>
      </c>
      <c r="M6" s="298" t="s">
        <v>4868</v>
      </c>
      <c r="N6" s="300" t="s">
        <v>4869</v>
      </c>
    </row>
    <row r="7" spans="1:14" ht="110" customHeight="1">
      <c r="A7" s="307">
        <v>8</v>
      </c>
      <c r="B7" s="298" t="s">
        <v>4870</v>
      </c>
      <c r="C7" s="298" t="s">
        <v>4863</v>
      </c>
      <c r="D7" s="299" t="s">
        <v>4255</v>
      </c>
      <c r="E7" s="298" t="s">
        <v>4871</v>
      </c>
      <c r="F7" s="298" t="s">
        <v>4872</v>
      </c>
      <c r="G7" s="298"/>
      <c r="H7" s="298"/>
      <c r="I7" s="298"/>
      <c r="J7" s="298"/>
      <c r="K7" s="298" t="s">
        <v>4873</v>
      </c>
      <c r="L7" s="298" t="s">
        <v>4874</v>
      </c>
      <c r="M7" s="298" t="s">
        <v>4875</v>
      </c>
      <c r="N7" s="300" t="s">
        <v>4876</v>
      </c>
    </row>
    <row r="8" spans="1:14" ht="110" customHeight="1">
      <c r="A8" s="307">
        <v>9</v>
      </c>
      <c r="B8" s="298" t="s">
        <v>4877</v>
      </c>
      <c r="C8" s="298" t="s">
        <v>4863</v>
      </c>
      <c r="D8" s="299" t="s">
        <v>4255</v>
      </c>
      <c r="E8" s="298" t="s">
        <v>4878</v>
      </c>
      <c r="F8" s="298" t="s">
        <v>4879</v>
      </c>
      <c r="G8" s="298"/>
      <c r="H8" s="298"/>
      <c r="I8" s="298"/>
      <c r="J8" s="298"/>
      <c r="K8" s="298" t="s">
        <v>4880</v>
      </c>
      <c r="L8" s="298" t="s">
        <v>4881</v>
      </c>
      <c r="M8" s="298" t="s">
        <v>4882</v>
      </c>
      <c r="N8" s="300" t="s">
        <v>4883</v>
      </c>
    </row>
    <row r="9" spans="1:14" ht="110" customHeight="1">
      <c r="A9" s="307"/>
      <c r="B9" s="298" t="s">
        <v>4884</v>
      </c>
      <c r="C9" s="298" t="s">
        <v>4863</v>
      </c>
      <c r="D9" s="299" t="s">
        <v>4256</v>
      </c>
      <c r="E9" s="298" t="s">
        <v>4885</v>
      </c>
      <c r="F9" s="298" t="s">
        <v>4886</v>
      </c>
      <c r="G9" s="298"/>
      <c r="H9" s="298"/>
      <c r="I9" s="298"/>
      <c r="J9" s="298"/>
      <c r="K9" s="298" t="s">
        <v>4887</v>
      </c>
      <c r="L9" s="298" t="s">
        <v>4888</v>
      </c>
      <c r="M9" s="298" t="s">
        <v>4889</v>
      </c>
      <c r="N9" s="300" t="s">
        <v>4883</v>
      </c>
    </row>
    <row r="10" spans="1:14" ht="110" customHeight="1">
      <c r="A10" s="307"/>
      <c r="B10" s="298" t="s">
        <v>4890</v>
      </c>
      <c r="C10" s="298" t="s">
        <v>4863</v>
      </c>
      <c r="D10" s="299" t="s">
        <v>4256</v>
      </c>
      <c r="E10" s="298" t="s">
        <v>4891</v>
      </c>
      <c r="F10" s="298" t="s">
        <v>4892</v>
      </c>
      <c r="G10" s="298"/>
      <c r="H10" s="298"/>
      <c r="I10" s="298"/>
      <c r="J10" s="298"/>
      <c r="K10" s="298" t="s">
        <v>4893</v>
      </c>
      <c r="L10" s="298" t="s">
        <v>4894</v>
      </c>
      <c r="M10" s="298" t="s">
        <v>4895</v>
      </c>
      <c r="N10" s="300" t="s">
        <v>4896</v>
      </c>
    </row>
    <row r="11" spans="1:14" ht="110" customHeight="1">
      <c r="A11" s="307"/>
      <c r="B11" s="298" t="s">
        <v>4897</v>
      </c>
      <c r="C11" s="298" t="s">
        <v>4863</v>
      </c>
      <c r="D11" s="299" t="s">
        <v>4256</v>
      </c>
      <c r="E11" s="298" t="s">
        <v>4898</v>
      </c>
      <c r="F11" s="298" t="s">
        <v>4899</v>
      </c>
      <c r="G11" s="298"/>
      <c r="H11" s="298"/>
      <c r="I11" s="298"/>
      <c r="J11" s="298"/>
      <c r="K11" s="298" t="s">
        <v>4900</v>
      </c>
      <c r="L11" s="298" t="s">
        <v>4901</v>
      </c>
      <c r="M11" s="298" t="s">
        <v>4902</v>
      </c>
      <c r="N11" s="300" t="s">
        <v>4903</v>
      </c>
    </row>
    <row r="12" spans="1:14" ht="110" customHeight="1">
      <c r="A12" s="307"/>
      <c r="B12" s="298" t="s">
        <v>4904</v>
      </c>
      <c r="C12" s="298" t="s">
        <v>4863</v>
      </c>
      <c r="D12" s="299" t="s">
        <v>4256</v>
      </c>
      <c r="E12" s="298" t="s">
        <v>4905</v>
      </c>
      <c r="F12" s="298" t="s">
        <v>4906</v>
      </c>
      <c r="G12" s="298"/>
      <c r="H12" s="298"/>
      <c r="I12" s="298"/>
      <c r="J12" s="298"/>
      <c r="K12" s="298" t="s">
        <v>4907</v>
      </c>
      <c r="L12" s="298" t="s">
        <v>4908</v>
      </c>
      <c r="M12" s="298" t="s">
        <v>4909</v>
      </c>
      <c r="N12" s="300" t="s">
        <v>4910</v>
      </c>
    </row>
    <row r="13" spans="1:14" ht="110" customHeight="1">
      <c r="A13" s="307">
        <v>10</v>
      </c>
      <c r="B13" s="298" t="s">
        <v>4911</v>
      </c>
      <c r="C13" s="298" t="s">
        <v>4912</v>
      </c>
      <c r="D13" s="299" t="s">
        <v>4255</v>
      </c>
      <c r="E13" s="298" t="s">
        <v>4913</v>
      </c>
      <c r="F13" s="298" t="s">
        <v>4914</v>
      </c>
      <c r="G13" s="298"/>
      <c r="H13" s="298"/>
      <c r="I13" s="298"/>
      <c r="J13" s="298"/>
      <c r="K13" s="298" t="s">
        <v>4915</v>
      </c>
      <c r="L13" s="298" t="s">
        <v>4916</v>
      </c>
      <c r="M13" s="298" t="s">
        <v>4917</v>
      </c>
      <c r="N13" s="300" t="s">
        <v>4918</v>
      </c>
    </row>
    <row r="14" spans="1:14" ht="110" customHeight="1">
      <c r="A14" s="307">
        <v>11</v>
      </c>
      <c r="B14" s="298" t="s">
        <v>4919</v>
      </c>
      <c r="C14" s="298" t="s">
        <v>4912</v>
      </c>
      <c r="D14" s="299" t="s">
        <v>4255</v>
      </c>
      <c r="E14" s="298" t="s">
        <v>4920</v>
      </c>
      <c r="F14" s="298" t="s">
        <v>4921</v>
      </c>
      <c r="G14" s="298"/>
      <c r="H14" s="298"/>
      <c r="I14" s="298"/>
      <c r="J14" s="298"/>
      <c r="K14" s="298" t="s">
        <v>4922</v>
      </c>
      <c r="L14" s="298" t="s">
        <v>4923</v>
      </c>
      <c r="M14" s="298" t="s">
        <v>4924</v>
      </c>
      <c r="N14" s="300" t="s">
        <v>4925</v>
      </c>
    </row>
    <row r="15" spans="1:14" ht="110" customHeight="1">
      <c r="A15" s="307"/>
      <c r="B15" s="298" t="s">
        <v>4926</v>
      </c>
      <c r="C15" s="298" t="s">
        <v>4912</v>
      </c>
      <c r="D15" s="299" t="s">
        <v>4256</v>
      </c>
      <c r="E15" s="298" t="s">
        <v>4927</v>
      </c>
      <c r="F15" s="298" t="s">
        <v>4928</v>
      </c>
      <c r="G15" s="298"/>
      <c r="H15" s="298"/>
      <c r="I15" s="298"/>
      <c r="J15" s="298"/>
      <c r="K15" s="298" t="s">
        <v>4929</v>
      </c>
      <c r="L15" s="298" t="s">
        <v>4930</v>
      </c>
      <c r="M15" s="298" t="s">
        <v>4931</v>
      </c>
      <c r="N15" s="300" t="s">
        <v>903</v>
      </c>
    </row>
    <row r="16" spans="1:14" ht="110" customHeight="1">
      <c r="A16" s="307"/>
      <c r="B16" s="298" t="s">
        <v>4932</v>
      </c>
      <c r="C16" s="298" t="s">
        <v>4912</v>
      </c>
      <c r="D16" s="299" t="s">
        <v>4256</v>
      </c>
      <c r="E16" s="298" t="s">
        <v>4933</v>
      </c>
      <c r="F16" s="298" t="s">
        <v>4934</v>
      </c>
      <c r="G16" s="298"/>
      <c r="H16" s="298"/>
      <c r="I16" s="298"/>
      <c r="J16" s="298"/>
      <c r="K16" s="298" t="s">
        <v>4935</v>
      </c>
      <c r="L16" s="298" t="s">
        <v>4936</v>
      </c>
      <c r="M16" s="298" t="s">
        <v>4937</v>
      </c>
      <c r="N16" s="300" t="s">
        <v>4938</v>
      </c>
    </row>
    <row r="17" spans="1:14" ht="110" customHeight="1">
      <c r="A17" s="307"/>
      <c r="B17" s="298" t="s">
        <v>4939</v>
      </c>
      <c r="C17" s="298" t="s">
        <v>4912</v>
      </c>
      <c r="D17" s="299" t="s">
        <v>4256</v>
      </c>
      <c r="E17" s="298" t="s">
        <v>4940</v>
      </c>
      <c r="F17" s="298" t="s">
        <v>4941</v>
      </c>
      <c r="G17" s="298"/>
      <c r="H17" s="298"/>
      <c r="I17" s="298"/>
      <c r="J17" s="298"/>
      <c r="K17" s="298" t="s">
        <v>4942</v>
      </c>
      <c r="L17" s="298" t="s">
        <v>4943</v>
      </c>
      <c r="M17" s="298" t="s">
        <v>4944</v>
      </c>
      <c r="N17" s="300" t="s">
        <v>4903</v>
      </c>
    </row>
    <row r="18" spans="1:14" ht="110" customHeight="1">
      <c r="A18" s="307"/>
      <c r="B18" s="298" t="s">
        <v>4945</v>
      </c>
      <c r="C18" s="298" t="s">
        <v>4912</v>
      </c>
      <c r="D18" s="299" t="s">
        <v>4256</v>
      </c>
      <c r="E18" s="298" t="s">
        <v>4946</v>
      </c>
      <c r="F18" s="298" t="s">
        <v>4947</v>
      </c>
      <c r="G18" s="298"/>
      <c r="H18" s="298"/>
      <c r="I18" s="298"/>
      <c r="J18" s="298"/>
      <c r="K18" s="298" t="s">
        <v>4948</v>
      </c>
      <c r="L18" s="298" t="s">
        <v>4949</v>
      </c>
      <c r="M18" s="298" t="s">
        <v>4950</v>
      </c>
      <c r="N18" s="300" t="s">
        <v>4951</v>
      </c>
    </row>
    <row r="19" spans="1:14" ht="110" customHeight="1">
      <c r="A19" s="307"/>
      <c r="B19" s="298" t="s">
        <v>4952</v>
      </c>
      <c r="C19" s="298" t="s">
        <v>4912</v>
      </c>
      <c r="D19" s="299" t="s">
        <v>4257</v>
      </c>
      <c r="E19" s="298" t="s">
        <v>4953</v>
      </c>
      <c r="F19" s="298" t="s">
        <v>4954</v>
      </c>
      <c r="G19" s="298"/>
      <c r="H19" s="298"/>
      <c r="I19" s="298"/>
      <c r="J19" s="298"/>
      <c r="K19" s="298" t="s">
        <v>4955</v>
      </c>
      <c r="L19" s="298" t="s">
        <v>4956</v>
      </c>
      <c r="M19" s="298" t="s">
        <v>4957</v>
      </c>
      <c r="N19" s="300" t="s">
        <v>4958</v>
      </c>
    </row>
    <row r="20" spans="1:14" ht="110" customHeight="1">
      <c r="A20" s="307"/>
      <c r="B20" s="298" t="s">
        <v>4959</v>
      </c>
      <c r="C20" s="298" t="s">
        <v>4912</v>
      </c>
      <c r="D20" s="299" t="s">
        <v>4257</v>
      </c>
      <c r="E20" s="298" t="s">
        <v>4960</v>
      </c>
      <c r="F20" s="298" t="s">
        <v>4961</v>
      </c>
      <c r="G20" s="298"/>
      <c r="H20" s="298"/>
      <c r="I20" s="298"/>
      <c r="J20" s="298"/>
      <c r="K20" s="298" t="s">
        <v>4962</v>
      </c>
      <c r="L20" s="298" t="s">
        <v>4963</v>
      </c>
      <c r="M20" s="298" t="s">
        <v>4964</v>
      </c>
      <c r="N20" s="300" t="s">
        <v>4965</v>
      </c>
    </row>
    <row r="21" spans="1:14" ht="110" customHeight="1">
      <c r="A21" s="307">
        <v>12</v>
      </c>
      <c r="B21" s="298" t="s">
        <v>4966</v>
      </c>
      <c r="C21" s="298" t="s">
        <v>4967</v>
      </c>
      <c r="D21" s="299" t="s">
        <v>4255</v>
      </c>
      <c r="E21" s="298" t="s">
        <v>4968</v>
      </c>
      <c r="F21" s="298" t="s">
        <v>4969</v>
      </c>
      <c r="G21" s="298"/>
      <c r="H21" s="298"/>
      <c r="I21" s="298"/>
      <c r="J21" s="298"/>
      <c r="K21" s="298" t="s">
        <v>4970</v>
      </c>
      <c r="L21" s="298" t="s">
        <v>4971</v>
      </c>
      <c r="M21" s="298" t="s">
        <v>4972</v>
      </c>
      <c r="N21" s="300" t="s">
        <v>4876</v>
      </c>
    </row>
    <row r="22" spans="1:14" ht="110" customHeight="1">
      <c r="A22" s="307">
        <v>13</v>
      </c>
      <c r="B22" s="298" t="s">
        <v>4973</v>
      </c>
      <c r="C22" s="298" t="s">
        <v>4967</v>
      </c>
      <c r="D22" s="299" t="s">
        <v>4255</v>
      </c>
      <c r="E22" s="298" t="s">
        <v>4974</v>
      </c>
      <c r="F22" s="298" t="s">
        <v>4975</v>
      </c>
      <c r="G22" s="298"/>
      <c r="H22" s="298"/>
      <c r="I22" s="298"/>
      <c r="J22" s="298"/>
      <c r="K22" s="298" t="s">
        <v>4976</v>
      </c>
      <c r="L22" s="298" t="s">
        <v>4977</v>
      </c>
      <c r="M22" s="298" t="s">
        <v>4978</v>
      </c>
      <c r="N22" s="300" t="s">
        <v>4979</v>
      </c>
    </row>
    <row r="23" spans="1:14" ht="110" customHeight="1">
      <c r="A23" s="307"/>
      <c r="B23" s="298" t="s">
        <v>4980</v>
      </c>
      <c r="C23" s="298" t="s">
        <v>4967</v>
      </c>
      <c r="D23" s="299" t="s">
        <v>4256</v>
      </c>
      <c r="E23" s="298" t="s">
        <v>4981</v>
      </c>
      <c r="F23" s="298" t="s">
        <v>4982</v>
      </c>
      <c r="G23" s="298"/>
      <c r="H23" s="298"/>
      <c r="I23" s="298"/>
      <c r="J23" s="298"/>
      <c r="K23" s="298" t="s">
        <v>4983</v>
      </c>
      <c r="L23" s="298" t="s">
        <v>4984</v>
      </c>
      <c r="M23" s="298" t="s">
        <v>4985</v>
      </c>
      <c r="N23" s="300" t="s">
        <v>4986</v>
      </c>
    </row>
    <row r="24" spans="1:14" ht="110" customHeight="1">
      <c r="A24" s="307"/>
      <c r="B24" s="298" t="s">
        <v>4987</v>
      </c>
      <c r="C24" s="298" t="s">
        <v>4967</v>
      </c>
      <c r="D24" s="299" t="s">
        <v>4256</v>
      </c>
      <c r="E24" s="298" t="s">
        <v>4988</v>
      </c>
      <c r="F24" s="298" t="s">
        <v>4989</v>
      </c>
      <c r="G24" s="298"/>
      <c r="H24" s="298"/>
      <c r="I24" s="298"/>
      <c r="J24" s="298"/>
      <c r="K24" s="298" t="s">
        <v>4990</v>
      </c>
      <c r="L24" s="298" t="s">
        <v>4991</v>
      </c>
      <c r="M24" s="298" t="s">
        <v>4992</v>
      </c>
      <c r="N24" s="300" t="s">
        <v>4993</v>
      </c>
    </row>
    <row r="25" spans="1:14" ht="110" customHeight="1">
      <c r="A25" s="307"/>
      <c r="B25" s="298" t="s">
        <v>4994</v>
      </c>
      <c r="C25" s="298" t="s">
        <v>4967</v>
      </c>
      <c r="D25" s="299" t="s">
        <v>4256</v>
      </c>
      <c r="E25" s="298" t="s">
        <v>4995</v>
      </c>
      <c r="F25" s="298" t="s">
        <v>4996</v>
      </c>
      <c r="G25" s="298"/>
      <c r="H25" s="298"/>
      <c r="I25" s="298"/>
      <c r="J25" s="298"/>
      <c r="K25" s="298" t="s">
        <v>4997</v>
      </c>
      <c r="L25" s="298" t="s">
        <v>4998</v>
      </c>
      <c r="M25" s="298" t="s">
        <v>4999</v>
      </c>
      <c r="N25" s="300" t="s">
        <v>5000</v>
      </c>
    </row>
    <row r="26" spans="1:14" ht="110" customHeight="1">
      <c r="A26" s="307"/>
      <c r="B26" s="298" t="s">
        <v>5001</v>
      </c>
      <c r="C26" s="298" t="s">
        <v>4967</v>
      </c>
      <c r="D26" s="299" t="s">
        <v>4256</v>
      </c>
      <c r="E26" s="298" t="s">
        <v>5002</v>
      </c>
      <c r="F26" s="298" t="s">
        <v>5003</v>
      </c>
      <c r="G26" s="298"/>
      <c r="H26" s="298"/>
      <c r="I26" s="298"/>
      <c r="J26" s="298"/>
      <c r="K26" s="298" t="s">
        <v>5004</v>
      </c>
      <c r="L26" s="298" t="s">
        <v>5005</v>
      </c>
      <c r="M26" s="298" t="s">
        <v>5006</v>
      </c>
      <c r="N26" s="300" t="s">
        <v>5007</v>
      </c>
    </row>
    <row r="27" spans="1:14" ht="110" customHeight="1">
      <c r="A27" s="307">
        <v>2</v>
      </c>
      <c r="B27" s="298" t="s">
        <v>5008</v>
      </c>
      <c r="C27" s="298" t="s">
        <v>5009</v>
      </c>
      <c r="D27" s="299" t="s">
        <v>4255</v>
      </c>
      <c r="E27" s="298" t="s">
        <v>5010</v>
      </c>
      <c r="F27" s="298" t="s">
        <v>5011</v>
      </c>
      <c r="G27" s="298"/>
      <c r="H27" s="298"/>
      <c r="I27" s="298"/>
      <c r="J27" s="298"/>
      <c r="K27" s="298" t="s">
        <v>5012</v>
      </c>
      <c r="L27" s="298" t="s">
        <v>5013</v>
      </c>
      <c r="M27" s="298" t="s">
        <v>5014</v>
      </c>
      <c r="N27" s="300" t="s">
        <v>5015</v>
      </c>
    </row>
    <row r="28" spans="1:14" ht="110" customHeight="1">
      <c r="A28" s="307">
        <v>3</v>
      </c>
      <c r="B28" s="298" t="s">
        <v>5016</v>
      </c>
      <c r="C28" s="298" t="s">
        <v>5009</v>
      </c>
      <c r="D28" s="299" t="s">
        <v>4255</v>
      </c>
      <c r="E28" s="298" t="s">
        <v>5017</v>
      </c>
      <c r="F28" s="298" t="s">
        <v>5018</v>
      </c>
      <c r="G28" s="298"/>
      <c r="H28" s="298"/>
      <c r="I28" s="298"/>
      <c r="J28" s="298"/>
      <c r="K28" s="298" t="s">
        <v>5019</v>
      </c>
      <c r="L28" s="298" t="s">
        <v>5020</v>
      </c>
      <c r="M28" s="298" t="s">
        <v>5021</v>
      </c>
      <c r="N28" s="300" t="s">
        <v>5022</v>
      </c>
    </row>
    <row r="29" spans="1:14" ht="110" customHeight="1">
      <c r="A29" s="307">
        <v>4</v>
      </c>
      <c r="B29" s="298" t="s">
        <v>5023</v>
      </c>
      <c r="C29" s="298" t="s">
        <v>5009</v>
      </c>
      <c r="D29" s="299" t="s">
        <v>4255</v>
      </c>
      <c r="E29" s="298" t="s">
        <v>5024</v>
      </c>
      <c r="F29" s="298" t="s">
        <v>5025</v>
      </c>
      <c r="G29" s="298"/>
      <c r="H29" s="298"/>
      <c r="I29" s="298"/>
      <c r="J29" s="298"/>
      <c r="K29" s="298" t="s">
        <v>5026</v>
      </c>
      <c r="L29" s="298" t="s">
        <v>5027</v>
      </c>
      <c r="M29" s="298" t="s">
        <v>5028</v>
      </c>
      <c r="N29" s="300" t="s">
        <v>4876</v>
      </c>
    </row>
    <row r="30" spans="1:14" ht="110" customHeight="1">
      <c r="A30" s="307"/>
      <c r="B30" s="298" t="s">
        <v>5029</v>
      </c>
      <c r="C30" s="298" t="s">
        <v>5009</v>
      </c>
      <c r="D30" s="299" t="s">
        <v>4256</v>
      </c>
      <c r="E30" s="298" t="s">
        <v>5030</v>
      </c>
      <c r="F30" s="298" t="s">
        <v>5031</v>
      </c>
      <c r="G30" s="298"/>
      <c r="H30" s="298"/>
      <c r="I30" s="298"/>
      <c r="J30" s="298"/>
      <c r="K30" s="298" t="s">
        <v>5032</v>
      </c>
      <c r="L30" s="298" t="s">
        <v>5033</v>
      </c>
      <c r="M30" s="298" t="s">
        <v>5034</v>
      </c>
      <c r="N30" s="300" t="s">
        <v>5035</v>
      </c>
    </row>
    <row r="31" spans="1:14" ht="110" customHeight="1">
      <c r="A31" s="307"/>
      <c r="B31" s="298" t="s">
        <v>5036</v>
      </c>
      <c r="C31" s="298" t="s">
        <v>5009</v>
      </c>
      <c r="D31" s="299" t="s">
        <v>4256</v>
      </c>
      <c r="E31" s="298" t="s">
        <v>5037</v>
      </c>
      <c r="F31" s="298" t="s">
        <v>5038</v>
      </c>
      <c r="G31" s="298"/>
      <c r="H31" s="298"/>
      <c r="I31" s="298"/>
      <c r="J31" s="298"/>
      <c r="K31" s="298" t="s">
        <v>5039</v>
      </c>
      <c r="L31" s="298" t="s">
        <v>5040</v>
      </c>
      <c r="M31" s="298" t="s">
        <v>5041</v>
      </c>
      <c r="N31" s="300" t="s">
        <v>5042</v>
      </c>
    </row>
    <row r="32" spans="1:14" ht="110" customHeight="1">
      <c r="A32" s="307"/>
      <c r="B32" s="298" t="s">
        <v>5043</v>
      </c>
      <c r="C32" s="298" t="s">
        <v>5009</v>
      </c>
      <c r="D32" s="299" t="s">
        <v>4256</v>
      </c>
      <c r="E32" s="298" t="s">
        <v>5044</v>
      </c>
      <c r="F32" s="298" t="s">
        <v>5045</v>
      </c>
      <c r="G32" s="298"/>
      <c r="H32" s="298"/>
      <c r="I32" s="298"/>
      <c r="J32" s="298"/>
      <c r="K32" s="298" t="s">
        <v>5046</v>
      </c>
      <c r="L32" s="298" t="s">
        <v>5047</v>
      </c>
      <c r="M32" s="298" t="s">
        <v>5048</v>
      </c>
      <c r="N32" s="300" t="s">
        <v>5049</v>
      </c>
    </row>
    <row r="33" spans="1:14" ht="110" customHeight="1">
      <c r="A33" s="307"/>
      <c r="B33" s="298" t="s">
        <v>5050</v>
      </c>
      <c r="C33" s="298" t="s">
        <v>5009</v>
      </c>
      <c r="D33" s="299" t="s">
        <v>4257</v>
      </c>
      <c r="E33" s="298" t="s">
        <v>5051</v>
      </c>
      <c r="F33" s="298" t="s">
        <v>5052</v>
      </c>
      <c r="G33" s="298"/>
      <c r="H33" s="298"/>
      <c r="I33" s="298"/>
      <c r="J33" s="298"/>
      <c r="K33" s="298" t="s">
        <v>5053</v>
      </c>
      <c r="L33" s="298" t="s">
        <v>5054</v>
      </c>
      <c r="M33" s="298" t="s">
        <v>5055</v>
      </c>
      <c r="N33" s="300" t="s">
        <v>5056</v>
      </c>
    </row>
    <row r="34" spans="1:14" ht="110" customHeight="1">
      <c r="A34" s="307">
        <v>17</v>
      </c>
      <c r="B34" s="298" t="s">
        <v>5057</v>
      </c>
      <c r="C34" s="298" t="s">
        <v>5058</v>
      </c>
      <c r="D34" s="299" t="s">
        <v>4255</v>
      </c>
      <c r="E34" s="298" t="s">
        <v>5059</v>
      </c>
      <c r="F34" s="298" t="s">
        <v>5060</v>
      </c>
      <c r="G34" s="298"/>
      <c r="H34" s="298"/>
      <c r="I34" s="298"/>
      <c r="J34" s="298"/>
      <c r="K34" s="298" t="s">
        <v>5061</v>
      </c>
      <c r="L34" s="298" t="s">
        <v>5062</v>
      </c>
      <c r="M34" s="298" t="s">
        <v>5063</v>
      </c>
      <c r="N34" s="300" t="s">
        <v>5064</v>
      </c>
    </row>
    <row r="35" spans="1:14" ht="110" customHeight="1">
      <c r="A35" s="307"/>
      <c r="B35" s="298" t="s">
        <v>5065</v>
      </c>
      <c r="C35" s="298" t="s">
        <v>5058</v>
      </c>
      <c r="D35" s="299" t="s">
        <v>4256</v>
      </c>
      <c r="E35" s="298" t="s">
        <v>5066</v>
      </c>
      <c r="F35" s="298" t="s">
        <v>5067</v>
      </c>
      <c r="G35" s="298"/>
      <c r="H35" s="298"/>
      <c r="I35" s="298"/>
      <c r="J35" s="298"/>
      <c r="K35" s="298" t="s">
        <v>5068</v>
      </c>
      <c r="L35" s="298" t="s">
        <v>5069</v>
      </c>
      <c r="M35" s="298" t="s">
        <v>5070</v>
      </c>
      <c r="N35" s="300" t="s">
        <v>4883</v>
      </c>
    </row>
    <row r="36" spans="1:14" ht="110" customHeight="1">
      <c r="A36" s="307"/>
      <c r="B36" s="298" t="s">
        <v>5071</v>
      </c>
      <c r="C36" s="298" t="s">
        <v>5058</v>
      </c>
      <c r="D36" s="299" t="s">
        <v>4256</v>
      </c>
      <c r="E36" s="298" t="s">
        <v>5072</v>
      </c>
      <c r="F36" s="298" t="s">
        <v>5073</v>
      </c>
      <c r="G36" s="298"/>
      <c r="H36" s="298"/>
      <c r="I36" s="298"/>
      <c r="J36" s="298"/>
      <c r="K36" s="298" t="s">
        <v>5074</v>
      </c>
      <c r="L36" s="298" t="s">
        <v>5075</v>
      </c>
      <c r="M36" s="298" t="s">
        <v>5076</v>
      </c>
      <c r="N36" s="300" t="s">
        <v>2667</v>
      </c>
    </row>
    <row r="37" spans="1:14" ht="110" customHeight="1">
      <c r="A37" s="307"/>
      <c r="B37" s="298" t="s">
        <v>5077</v>
      </c>
      <c r="C37" s="298" t="s">
        <v>5058</v>
      </c>
      <c r="D37" s="299" t="s">
        <v>4256</v>
      </c>
      <c r="E37" s="298" t="s">
        <v>5078</v>
      </c>
      <c r="F37" s="298" t="s">
        <v>5079</v>
      </c>
      <c r="G37" s="298"/>
      <c r="H37" s="298"/>
      <c r="I37" s="298"/>
      <c r="J37" s="298"/>
      <c r="K37" s="298" t="s">
        <v>5080</v>
      </c>
      <c r="L37" s="298" t="s">
        <v>5081</v>
      </c>
      <c r="M37" s="298" t="s">
        <v>5082</v>
      </c>
      <c r="N37" s="300" t="s">
        <v>5083</v>
      </c>
    </row>
    <row r="38" spans="1:14" ht="110" customHeight="1">
      <c r="A38" s="307"/>
      <c r="B38" s="298" t="s">
        <v>5084</v>
      </c>
      <c r="C38" s="298" t="s">
        <v>5058</v>
      </c>
      <c r="D38" s="299" t="s">
        <v>4257</v>
      </c>
      <c r="E38" s="298" t="s">
        <v>5085</v>
      </c>
      <c r="F38" s="298" t="s">
        <v>5086</v>
      </c>
      <c r="G38" s="298"/>
      <c r="H38" s="298"/>
      <c r="I38" s="298"/>
      <c r="J38" s="298"/>
      <c r="K38" s="298" t="s">
        <v>5087</v>
      </c>
      <c r="L38" s="298" t="s">
        <v>5088</v>
      </c>
      <c r="M38" s="298" t="s">
        <v>5089</v>
      </c>
      <c r="N38" s="300" t="s">
        <v>5090</v>
      </c>
    </row>
    <row r="39" spans="1:14" ht="110" customHeight="1">
      <c r="A39" s="307">
        <v>18</v>
      </c>
      <c r="B39" s="298" t="s">
        <v>5091</v>
      </c>
      <c r="C39" s="298" t="s">
        <v>5092</v>
      </c>
      <c r="D39" s="299" t="s">
        <v>4255</v>
      </c>
      <c r="E39" s="298" t="s">
        <v>5093</v>
      </c>
      <c r="F39" s="298" t="s">
        <v>5094</v>
      </c>
      <c r="G39" s="298"/>
      <c r="H39" s="298"/>
      <c r="I39" s="298"/>
      <c r="J39" s="298"/>
      <c r="K39" s="298" t="s">
        <v>5095</v>
      </c>
      <c r="L39" s="298" t="s">
        <v>5096</v>
      </c>
      <c r="M39" s="298" t="s">
        <v>5097</v>
      </c>
      <c r="N39" s="300" t="s">
        <v>5098</v>
      </c>
    </row>
    <row r="40" spans="1:14" ht="110" customHeight="1">
      <c r="A40" s="307"/>
      <c r="B40" s="298" t="s">
        <v>5099</v>
      </c>
      <c r="C40" s="298" t="s">
        <v>5092</v>
      </c>
      <c r="D40" s="299" t="s">
        <v>4256</v>
      </c>
      <c r="E40" s="298" t="s">
        <v>5100</v>
      </c>
      <c r="F40" s="298" t="s">
        <v>5101</v>
      </c>
      <c r="G40" s="298"/>
      <c r="H40" s="298"/>
      <c r="I40" s="298"/>
      <c r="J40" s="298"/>
      <c r="K40" s="298" t="s">
        <v>5098</v>
      </c>
      <c r="L40" s="298" t="s">
        <v>5102</v>
      </c>
      <c r="M40" s="298" t="s">
        <v>5103</v>
      </c>
      <c r="N40" s="300" t="s">
        <v>5098</v>
      </c>
    </row>
    <row r="41" spans="1:14" ht="110" customHeight="1">
      <c r="A41" s="307"/>
      <c r="B41" s="298" t="s">
        <v>5104</v>
      </c>
      <c r="C41" s="298" t="s">
        <v>5092</v>
      </c>
      <c r="D41" s="299" t="s">
        <v>4256</v>
      </c>
      <c r="E41" s="298" t="s">
        <v>5105</v>
      </c>
      <c r="F41" s="298" t="s">
        <v>5106</v>
      </c>
      <c r="G41" s="298"/>
      <c r="H41" s="298"/>
      <c r="I41" s="298"/>
      <c r="J41" s="298"/>
      <c r="K41" s="298" t="s">
        <v>5107</v>
      </c>
      <c r="L41" s="298" t="s">
        <v>5108</v>
      </c>
      <c r="M41" s="298" t="s">
        <v>5109</v>
      </c>
      <c r="N41" s="300" t="s">
        <v>5110</v>
      </c>
    </row>
    <row r="42" spans="1:14" ht="110" customHeight="1">
      <c r="A42" s="308"/>
      <c r="B42" s="301" t="s">
        <v>5111</v>
      </c>
      <c r="C42" s="301" t="s">
        <v>5092</v>
      </c>
      <c r="D42" s="302" t="s">
        <v>4256</v>
      </c>
      <c r="E42" s="301" t="s">
        <v>5112</v>
      </c>
      <c r="F42" s="301" t="s">
        <v>5113</v>
      </c>
      <c r="G42" s="301"/>
      <c r="H42" s="301"/>
      <c r="I42" s="301"/>
      <c r="J42" s="301"/>
      <c r="K42" s="301" t="s">
        <v>5114</v>
      </c>
      <c r="L42" s="301" t="s">
        <v>5115</v>
      </c>
      <c r="M42" s="301" t="s">
        <v>5116</v>
      </c>
      <c r="N42" s="303" t="s">
        <v>5117</v>
      </c>
    </row>
    <row r="43" spans="1:14" ht="110" customHeight="1">
      <c r="A43" s="308">
        <v>1</v>
      </c>
      <c r="B43" s="301" t="s">
        <v>5121</v>
      </c>
      <c r="C43" s="301" t="s">
        <v>5122</v>
      </c>
      <c r="D43" s="302" t="s">
        <v>4255</v>
      </c>
      <c r="E43" s="301" t="s">
        <v>5123</v>
      </c>
      <c r="F43" s="301" t="s">
        <v>5124</v>
      </c>
      <c r="G43" s="301"/>
      <c r="H43" s="301"/>
      <c r="I43" s="301"/>
      <c r="J43" s="301"/>
      <c r="K43" s="301" t="s">
        <v>5125</v>
      </c>
      <c r="L43" s="301" t="s">
        <v>5126</v>
      </c>
      <c r="M43" s="301" t="s">
        <v>5127</v>
      </c>
      <c r="N43" s="303" t="s">
        <v>5128</v>
      </c>
    </row>
    <row r="44" spans="1:14" ht="110" customHeight="1">
      <c r="A44" s="308">
        <v>14</v>
      </c>
      <c r="B44" s="301" t="s">
        <v>5129</v>
      </c>
      <c r="C44" s="301" t="s">
        <v>5122</v>
      </c>
      <c r="D44" s="302" t="s">
        <v>4255</v>
      </c>
      <c r="E44" s="301" t="s">
        <v>5130</v>
      </c>
      <c r="F44" s="301" t="s">
        <v>5131</v>
      </c>
      <c r="G44" s="301"/>
      <c r="H44" s="301"/>
      <c r="I44" s="301"/>
      <c r="J44" s="301"/>
      <c r="K44" s="301" t="s">
        <v>5132</v>
      </c>
      <c r="L44" s="301" t="s">
        <v>5133</v>
      </c>
      <c r="M44" s="301" t="s">
        <v>5134</v>
      </c>
      <c r="N44" s="303" t="s">
        <v>5135</v>
      </c>
    </row>
    <row r="45" spans="1:14" ht="110" customHeight="1">
      <c r="A45" s="308">
        <v>5</v>
      </c>
      <c r="B45" s="301" t="s">
        <v>5136</v>
      </c>
      <c r="C45" s="301" t="s">
        <v>5122</v>
      </c>
      <c r="D45" s="302" t="s">
        <v>4255</v>
      </c>
      <c r="E45" s="301" t="s">
        <v>5137</v>
      </c>
      <c r="F45" s="301" t="s">
        <v>5138</v>
      </c>
      <c r="G45" s="301"/>
      <c r="H45" s="301"/>
      <c r="I45" s="301"/>
      <c r="J45" s="301"/>
      <c r="K45" s="301" t="s">
        <v>5139</v>
      </c>
      <c r="L45" s="301" t="s">
        <v>5140</v>
      </c>
      <c r="M45" s="301" t="s">
        <v>5141</v>
      </c>
      <c r="N45" s="303" t="s">
        <v>5142</v>
      </c>
    </row>
    <row r="46" spans="1:14" ht="110" customHeight="1">
      <c r="A46" s="308">
        <v>6</v>
      </c>
      <c r="B46" s="301" t="s">
        <v>5143</v>
      </c>
      <c r="C46" s="301" t="s">
        <v>5122</v>
      </c>
      <c r="D46" s="302" t="s">
        <v>4256</v>
      </c>
      <c r="E46" s="301" t="s">
        <v>5144</v>
      </c>
      <c r="F46" s="301" t="s">
        <v>5145</v>
      </c>
      <c r="G46" s="301"/>
      <c r="H46" s="301"/>
      <c r="I46" s="301"/>
      <c r="J46" s="301"/>
      <c r="K46" s="301" t="s">
        <v>5146</v>
      </c>
      <c r="L46" s="301" t="s">
        <v>5147</v>
      </c>
      <c r="M46" s="301" t="s">
        <v>5148</v>
      </c>
      <c r="N46" s="303" t="s">
        <v>5149</v>
      </c>
    </row>
    <row r="47" spans="1:14" ht="110" customHeight="1">
      <c r="A47" s="308">
        <v>15</v>
      </c>
      <c r="B47" s="301" t="s">
        <v>5150</v>
      </c>
      <c r="C47" s="301" t="s">
        <v>5122</v>
      </c>
      <c r="D47" s="302" t="s">
        <v>4256</v>
      </c>
      <c r="E47" s="301" t="s">
        <v>5151</v>
      </c>
      <c r="F47" s="301" t="s">
        <v>5152</v>
      </c>
      <c r="G47" s="301"/>
      <c r="H47" s="301"/>
      <c r="I47" s="301"/>
      <c r="J47" s="301"/>
      <c r="K47" s="301" t="s">
        <v>5153</v>
      </c>
      <c r="L47" s="301" t="s">
        <v>5154</v>
      </c>
      <c r="M47" s="301" t="s">
        <v>5082</v>
      </c>
      <c r="N47" s="303" t="s">
        <v>5083</v>
      </c>
    </row>
    <row r="48" spans="1:14" ht="110" customHeight="1">
      <c r="A48" s="308">
        <v>16</v>
      </c>
      <c r="B48" s="301" t="s">
        <v>5155</v>
      </c>
      <c r="C48" s="301" t="s">
        <v>5122</v>
      </c>
      <c r="D48" s="302" t="s">
        <v>4256</v>
      </c>
      <c r="E48" s="301" t="s">
        <v>5156</v>
      </c>
      <c r="F48" s="301" t="s">
        <v>5157</v>
      </c>
      <c r="G48" s="301"/>
      <c r="H48" s="301"/>
      <c r="I48" s="301"/>
      <c r="J48" s="301"/>
      <c r="K48" s="301" t="s">
        <v>5158</v>
      </c>
      <c r="L48" s="301" t="s">
        <v>5159</v>
      </c>
      <c r="M48" s="301" t="s">
        <v>5160</v>
      </c>
      <c r="N48" s="303" t="s">
        <v>4896</v>
      </c>
    </row>
  </sheetData>
  <autoFilter ref="A5:N48" xr:uid="{C47BDEA2-3270-2C42-9A1D-C11A5668D48E}"/>
  <phoneticPr fontId="3"/>
  <conditionalFormatting sqref="D6:D48">
    <cfRule type="expression" dxfId="48" priority="1">
      <formula>$D6="最優先"</formula>
    </cfRule>
  </conditionalFormatting>
  <conditionalFormatting sqref="D6:D48">
    <cfRule type="expression" dxfId="47" priority="2">
      <formula>$D6="通常"</formula>
    </cfRule>
  </conditionalFormatting>
  <conditionalFormatting sqref="D6:D48">
    <cfRule type="expression" dxfId="46" priority="3">
      <formula>$D6="後回し可"</formula>
    </cfRule>
  </conditionalFormatting>
  <conditionalFormatting sqref="A6:A48">
    <cfRule type="expression" dxfId="45" priority="4">
      <formula>$A6&lt;&gt;""</formula>
    </cfRule>
  </conditionalFormatting>
  <conditionalFormatting sqref="B6:C48">
    <cfRule type="expression" dxfId="44" priority="5">
      <formula>$C6="G 事例・構成レビュー"</formula>
    </cfRule>
  </conditionalFormatting>
  <conditionalFormatting sqref="B6:C48">
    <cfRule type="expression" dxfId="43" priority="6">
      <formula>$C6="B RHBK本体・SPI"</formula>
    </cfRule>
  </conditionalFormatting>
  <conditionalFormatting sqref="B6:C48">
    <cfRule type="expression" dxfId="42" priority="7">
      <formula>$C6="D セキュリティ"</formula>
    </cfRule>
  </conditionalFormatting>
  <conditionalFormatting sqref="B6:C48">
    <cfRule type="expression" dxfId="41"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4"/>
      <c r="C1" s="34"/>
    </row>
    <row r="2" spans="1:3">
      <c r="A2" s="62" t="s">
        <v>5164</v>
      </c>
      <c r="B2" s="34"/>
      <c r="C2" s="34"/>
    </row>
    <row r="3" spans="1:3">
      <c r="A3" s="34"/>
      <c r="B3" s="34"/>
      <c r="C3" s="34"/>
    </row>
    <row r="4" spans="1:3">
      <c r="A4" s="293" t="s">
        <v>4851</v>
      </c>
      <c r="B4" s="294" t="s">
        <v>5118</v>
      </c>
      <c r="C4" s="304" t="s">
        <v>5119</v>
      </c>
    </row>
    <row r="5" spans="1:3" ht="120" customHeight="1">
      <c r="A5" s="309" t="s">
        <v>4862</v>
      </c>
      <c r="B5" s="136" t="s">
        <v>4864</v>
      </c>
      <c r="C5" s="305" t="s">
        <v>4865</v>
      </c>
    </row>
    <row r="6" spans="1:3" ht="120" customHeight="1">
      <c r="A6" s="309" t="s">
        <v>4870</v>
      </c>
      <c r="B6" s="136" t="s">
        <v>4871</v>
      </c>
      <c r="C6" s="305" t="s">
        <v>4872</v>
      </c>
    </row>
    <row r="7" spans="1:3" ht="120" customHeight="1">
      <c r="A7" s="309" t="s">
        <v>4877</v>
      </c>
      <c r="B7" s="136" t="s">
        <v>4878</v>
      </c>
      <c r="C7" s="305" t="s">
        <v>4879</v>
      </c>
    </row>
    <row r="8" spans="1:3" ht="120" customHeight="1">
      <c r="A8" s="309" t="s">
        <v>4884</v>
      </c>
      <c r="B8" s="136" t="s">
        <v>4885</v>
      </c>
      <c r="C8" s="305" t="s">
        <v>4886</v>
      </c>
    </row>
    <row r="9" spans="1:3" ht="120" customHeight="1">
      <c r="A9" s="309" t="s">
        <v>4890</v>
      </c>
      <c r="B9" s="136" t="s">
        <v>4891</v>
      </c>
      <c r="C9" s="305" t="s">
        <v>4892</v>
      </c>
    </row>
    <row r="10" spans="1:3" ht="120" customHeight="1">
      <c r="A10" s="309" t="s">
        <v>4897</v>
      </c>
      <c r="B10" s="136" t="s">
        <v>4898</v>
      </c>
      <c r="C10" s="305" t="s">
        <v>4899</v>
      </c>
    </row>
    <row r="11" spans="1:3" ht="120" customHeight="1">
      <c r="A11" s="309" t="s">
        <v>4904</v>
      </c>
      <c r="B11" s="136" t="s">
        <v>4905</v>
      </c>
      <c r="C11" s="305" t="s">
        <v>4906</v>
      </c>
    </row>
    <row r="12" spans="1:3" ht="120" customHeight="1">
      <c r="A12" s="309" t="s">
        <v>4911</v>
      </c>
      <c r="B12" s="136" t="s">
        <v>4913</v>
      </c>
      <c r="C12" s="305" t="s">
        <v>4914</v>
      </c>
    </row>
    <row r="13" spans="1:3" ht="120" customHeight="1">
      <c r="A13" s="309" t="s">
        <v>4919</v>
      </c>
      <c r="B13" s="136" t="s">
        <v>4920</v>
      </c>
      <c r="C13" s="305" t="s">
        <v>4921</v>
      </c>
    </row>
    <row r="14" spans="1:3" ht="120" customHeight="1">
      <c r="A14" s="309" t="s">
        <v>4926</v>
      </c>
      <c r="B14" s="136" t="s">
        <v>4927</v>
      </c>
      <c r="C14" s="305" t="s">
        <v>4928</v>
      </c>
    </row>
    <row r="15" spans="1:3" ht="120" customHeight="1">
      <c r="A15" s="309" t="s">
        <v>4932</v>
      </c>
      <c r="B15" s="136" t="s">
        <v>4933</v>
      </c>
      <c r="C15" s="305" t="s">
        <v>4934</v>
      </c>
    </row>
    <row r="16" spans="1:3" ht="120" customHeight="1">
      <c r="A16" s="309" t="s">
        <v>4939</v>
      </c>
      <c r="B16" s="136" t="s">
        <v>4940</v>
      </c>
      <c r="C16" s="305" t="s">
        <v>4941</v>
      </c>
    </row>
    <row r="17" spans="1:3" ht="120" customHeight="1">
      <c r="A17" s="309" t="s">
        <v>4945</v>
      </c>
      <c r="B17" s="136" t="s">
        <v>4946</v>
      </c>
      <c r="C17" s="305" t="s">
        <v>4947</v>
      </c>
    </row>
    <row r="18" spans="1:3" ht="120" customHeight="1">
      <c r="A18" s="309" t="s">
        <v>4952</v>
      </c>
      <c r="B18" s="136" t="s">
        <v>4953</v>
      </c>
      <c r="C18" s="305" t="s">
        <v>4954</v>
      </c>
    </row>
    <row r="19" spans="1:3" ht="120" customHeight="1">
      <c r="A19" s="309" t="s">
        <v>4959</v>
      </c>
      <c r="B19" s="136" t="s">
        <v>4960</v>
      </c>
      <c r="C19" s="305" t="s">
        <v>4961</v>
      </c>
    </row>
    <row r="20" spans="1:3" ht="120" customHeight="1">
      <c r="A20" s="309" t="s">
        <v>4966</v>
      </c>
      <c r="B20" s="136" t="s">
        <v>4968</v>
      </c>
      <c r="C20" s="305" t="s">
        <v>4969</v>
      </c>
    </row>
    <row r="21" spans="1:3" ht="120" customHeight="1">
      <c r="A21" s="309" t="s">
        <v>4973</v>
      </c>
      <c r="B21" s="136" t="s">
        <v>4974</v>
      </c>
      <c r="C21" s="305" t="s">
        <v>4975</v>
      </c>
    </row>
    <row r="22" spans="1:3" ht="120" customHeight="1">
      <c r="A22" s="309" t="s">
        <v>4980</v>
      </c>
      <c r="B22" s="136" t="s">
        <v>4981</v>
      </c>
      <c r="C22" s="305" t="s">
        <v>4982</v>
      </c>
    </row>
    <row r="23" spans="1:3" ht="120" customHeight="1">
      <c r="A23" s="309" t="s">
        <v>4987</v>
      </c>
      <c r="B23" s="136" t="s">
        <v>4988</v>
      </c>
      <c r="C23" s="305" t="s">
        <v>4989</v>
      </c>
    </row>
    <row r="24" spans="1:3" ht="120" customHeight="1">
      <c r="A24" s="309" t="s">
        <v>4994</v>
      </c>
      <c r="B24" s="136" t="s">
        <v>4995</v>
      </c>
      <c r="C24" s="305" t="s">
        <v>4996</v>
      </c>
    </row>
    <row r="25" spans="1:3" ht="120" customHeight="1">
      <c r="A25" s="309" t="s">
        <v>5001</v>
      </c>
      <c r="B25" s="136" t="s">
        <v>5002</v>
      </c>
      <c r="C25" s="305" t="s">
        <v>5003</v>
      </c>
    </row>
    <row r="26" spans="1:3" ht="120" customHeight="1">
      <c r="A26" s="309" t="s">
        <v>5008</v>
      </c>
      <c r="B26" s="136" t="s">
        <v>5010</v>
      </c>
      <c r="C26" s="305" t="s">
        <v>5011</v>
      </c>
    </row>
    <row r="27" spans="1:3" ht="120" customHeight="1">
      <c r="A27" s="309" t="s">
        <v>5016</v>
      </c>
      <c r="B27" s="136" t="s">
        <v>5017</v>
      </c>
      <c r="C27" s="305" t="s">
        <v>5018</v>
      </c>
    </row>
    <row r="28" spans="1:3" ht="120" customHeight="1">
      <c r="A28" s="309" t="s">
        <v>5023</v>
      </c>
      <c r="B28" s="136" t="s">
        <v>5024</v>
      </c>
      <c r="C28" s="305" t="s">
        <v>5025</v>
      </c>
    </row>
    <row r="29" spans="1:3" ht="120" customHeight="1">
      <c r="A29" s="309" t="s">
        <v>5029</v>
      </c>
      <c r="B29" s="136" t="s">
        <v>5030</v>
      </c>
      <c r="C29" s="305" t="s">
        <v>5031</v>
      </c>
    </row>
    <row r="30" spans="1:3" ht="120" customHeight="1">
      <c r="A30" s="309" t="s">
        <v>5036</v>
      </c>
      <c r="B30" s="136" t="s">
        <v>5037</v>
      </c>
      <c r="C30" s="305" t="s">
        <v>5038</v>
      </c>
    </row>
    <row r="31" spans="1:3" ht="120" customHeight="1">
      <c r="A31" s="309" t="s">
        <v>5043</v>
      </c>
      <c r="B31" s="136" t="s">
        <v>5044</v>
      </c>
      <c r="C31" s="305" t="s">
        <v>5045</v>
      </c>
    </row>
    <row r="32" spans="1:3" ht="120" customHeight="1">
      <c r="A32" s="309" t="s">
        <v>5050</v>
      </c>
      <c r="B32" s="136" t="s">
        <v>5051</v>
      </c>
      <c r="C32" s="305" t="s">
        <v>5052</v>
      </c>
    </row>
    <row r="33" spans="1:3" ht="120" customHeight="1">
      <c r="A33" s="309" t="s">
        <v>5057</v>
      </c>
      <c r="B33" s="136" t="s">
        <v>5059</v>
      </c>
      <c r="C33" s="305" t="s">
        <v>5060</v>
      </c>
    </row>
    <row r="34" spans="1:3" ht="120" customHeight="1">
      <c r="A34" s="309" t="s">
        <v>5065</v>
      </c>
      <c r="B34" s="136" t="s">
        <v>5066</v>
      </c>
      <c r="C34" s="305" t="s">
        <v>5067</v>
      </c>
    </row>
    <row r="35" spans="1:3" ht="120" customHeight="1">
      <c r="A35" s="309" t="s">
        <v>5071</v>
      </c>
      <c r="B35" s="136" t="s">
        <v>5072</v>
      </c>
      <c r="C35" s="305" t="s">
        <v>5073</v>
      </c>
    </row>
    <row r="36" spans="1:3" ht="120" customHeight="1">
      <c r="A36" s="309" t="s">
        <v>5077</v>
      </c>
      <c r="B36" s="136" t="s">
        <v>5078</v>
      </c>
      <c r="C36" s="305" t="s">
        <v>5079</v>
      </c>
    </row>
    <row r="37" spans="1:3" ht="120" customHeight="1">
      <c r="A37" s="309" t="s">
        <v>5084</v>
      </c>
      <c r="B37" s="136" t="s">
        <v>5085</v>
      </c>
      <c r="C37" s="305" t="s">
        <v>5086</v>
      </c>
    </row>
    <row r="38" spans="1:3" ht="120" customHeight="1">
      <c r="A38" s="309" t="s">
        <v>5091</v>
      </c>
      <c r="B38" s="136" t="s">
        <v>5093</v>
      </c>
      <c r="C38" s="305" t="s">
        <v>5094</v>
      </c>
    </row>
    <row r="39" spans="1:3" ht="120" customHeight="1">
      <c r="A39" s="309" t="s">
        <v>5099</v>
      </c>
      <c r="B39" s="136" t="s">
        <v>5100</v>
      </c>
      <c r="C39" s="305" t="s">
        <v>5101</v>
      </c>
    </row>
    <row r="40" spans="1:3" ht="120" customHeight="1">
      <c r="A40" s="309" t="s">
        <v>5104</v>
      </c>
      <c r="B40" s="136" t="s">
        <v>5105</v>
      </c>
      <c r="C40" s="305" t="s">
        <v>5106</v>
      </c>
    </row>
    <row r="41" spans="1:3" ht="120" customHeight="1">
      <c r="A41" s="309" t="s">
        <v>5111</v>
      </c>
      <c r="B41" s="136" t="s">
        <v>5112</v>
      </c>
      <c r="C41" s="305" t="s">
        <v>5113</v>
      </c>
    </row>
    <row r="42" spans="1:3" ht="120" customHeight="1">
      <c r="A42" s="309" t="s">
        <v>5121</v>
      </c>
      <c r="B42" s="136" t="s">
        <v>5123</v>
      </c>
      <c r="C42" s="305" t="s">
        <v>5124</v>
      </c>
    </row>
    <row r="43" spans="1:3" ht="120" customHeight="1">
      <c r="A43" s="309" t="s">
        <v>5129</v>
      </c>
      <c r="B43" s="136" t="s">
        <v>5130</v>
      </c>
      <c r="C43" s="305" t="s">
        <v>5131</v>
      </c>
    </row>
    <row r="44" spans="1:3" ht="120" customHeight="1">
      <c r="A44" s="309" t="s">
        <v>5136</v>
      </c>
      <c r="B44" s="136" t="s">
        <v>5137</v>
      </c>
      <c r="C44" s="305" t="s">
        <v>5138</v>
      </c>
    </row>
    <row r="45" spans="1:3" ht="120" customHeight="1">
      <c r="A45" s="309" t="s">
        <v>5143</v>
      </c>
      <c r="B45" s="136" t="s">
        <v>5144</v>
      </c>
      <c r="C45" s="305" t="s">
        <v>5145</v>
      </c>
    </row>
    <row r="46" spans="1:3" ht="120" customHeight="1">
      <c r="A46" s="309" t="s">
        <v>5150</v>
      </c>
      <c r="B46" s="136" t="s">
        <v>5151</v>
      </c>
      <c r="C46" s="305" t="s">
        <v>5152</v>
      </c>
    </row>
    <row r="47" spans="1:3" ht="120" customHeight="1">
      <c r="A47" s="309" t="s">
        <v>5155</v>
      </c>
      <c r="B47" s="136" t="s">
        <v>5156</v>
      </c>
      <c r="C47" s="305"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4"/>
      <c r="C1" s="34"/>
      <c r="D1" s="34"/>
      <c r="E1" s="34"/>
      <c r="F1" s="34"/>
      <c r="G1" s="34"/>
      <c r="H1" s="34"/>
      <c r="I1" s="34"/>
      <c r="J1" s="34"/>
      <c r="K1" s="34"/>
      <c r="L1" s="34"/>
      <c r="M1" s="34"/>
    </row>
    <row r="2" spans="1:15">
      <c r="A2" s="292" t="s">
        <v>5166</v>
      </c>
      <c r="B2" s="34"/>
      <c r="C2" s="34"/>
      <c r="D2" s="34"/>
      <c r="E2" s="34"/>
      <c r="F2" s="34"/>
      <c r="G2" s="34"/>
      <c r="H2" s="34"/>
      <c r="I2" s="34"/>
      <c r="J2" s="34"/>
      <c r="K2" s="34"/>
      <c r="L2" s="34"/>
      <c r="M2" s="34"/>
    </row>
    <row r="3" spans="1:15">
      <c r="A3" s="306" t="s">
        <v>5167</v>
      </c>
      <c r="B3" s="34"/>
      <c r="C3" s="34"/>
      <c r="D3" s="34"/>
      <c r="E3" s="34"/>
      <c r="F3" s="34"/>
      <c r="G3" s="34"/>
      <c r="H3" s="34"/>
      <c r="I3" s="34"/>
      <c r="J3" s="34"/>
      <c r="K3" s="34"/>
      <c r="L3" s="34"/>
      <c r="M3" s="34"/>
    </row>
    <row r="4" spans="1:15">
      <c r="A4" s="79" t="s">
        <v>5168</v>
      </c>
      <c r="B4" s="34"/>
      <c r="C4" s="34"/>
      <c r="D4" s="34"/>
      <c r="E4" s="34"/>
      <c r="F4" s="34"/>
      <c r="G4" s="34"/>
      <c r="H4" s="34"/>
      <c r="I4" s="34"/>
      <c r="J4" s="34"/>
      <c r="K4" s="34"/>
      <c r="L4" s="34"/>
      <c r="M4" s="34"/>
    </row>
    <row r="5" spans="1:15">
      <c r="A5" s="312" t="s">
        <v>5271</v>
      </c>
      <c r="B5" s="34"/>
      <c r="C5" s="34"/>
      <c r="D5" s="34"/>
      <c r="E5" s="34"/>
      <c r="F5" s="34"/>
      <c r="G5" s="34"/>
      <c r="H5" s="34"/>
      <c r="I5" s="34"/>
      <c r="J5" s="34"/>
      <c r="K5" s="34"/>
      <c r="L5" s="34"/>
      <c r="M5" s="34"/>
    </row>
    <row r="6" spans="1:15">
      <c r="A6" s="293" t="s">
        <v>5169</v>
      </c>
      <c r="B6" s="294" t="s">
        <v>5170</v>
      </c>
      <c r="C6" s="294" t="s">
        <v>4852</v>
      </c>
      <c r="D6" s="294" t="s">
        <v>4853</v>
      </c>
      <c r="E6" s="294" t="s">
        <v>4854</v>
      </c>
      <c r="F6" s="295" t="s">
        <v>4855</v>
      </c>
      <c r="G6" s="295" t="s">
        <v>4856</v>
      </c>
      <c r="H6" s="295" t="s">
        <v>4857</v>
      </c>
      <c r="I6" s="295" t="s">
        <v>5171</v>
      </c>
      <c r="J6" s="296" t="s">
        <v>4859</v>
      </c>
      <c r="K6" s="296" t="s">
        <v>4860</v>
      </c>
      <c r="L6" s="296" t="s">
        <v>4861</v>
      </c>
      <c r="M6" s="310" t="s">
        <v>5172</v>
      </c>
      <c r="N6" s="311" t="s">
        <v>5225</v>
      </c>
      <c r="O6" s="311" t="s">
        <v>5226</v>
      </c>
    </row>
    <row r="7" spans="1:15" ht="140" customHeight="1">
      <c r="A7" s="307" t="s">
        <v>5173</v>
      </c>
      <c r="B7" s="299" t="s">
        <v>5174</v>
      </c>
      <c r="C7" s="299" t="s">
        <v>4255</v>
      </c>
      <c r="D7" s="298" t="s">
        <v>5175</v>
      </c>
      <c r="E7" s="298" t="s">
        <v>5176</v>
      </c>
      <c r="F7" s="298"/>
      <c r="G7" s="298"/>
      <c r="H7" s="298"/>
      <c r="I7" s="299"/>
      <c r="J7" s="298" t="s">
        <v>5177</v>
      </c>
      <c r="K7" s="298" t="s">
        <v>5178</v>
      </c>
      <c r="L7" s="298" t="s">
        <v>5179</v>
      </c>
      <c r="M7" s="300" t="s">
        <v>5180</v>
      </c>
      <c r="N7" s="161" t="s">
        <v>5270</v>
      </c>
      <c r="O7" s="161" t="s">
        <v>5173</v>
      </c>
    </row>
    <row r="8" spans="1:15" ht="140" customHeight="1">
      <c r="A8" s="307" t="s">
        <v>5181</v>
      </c>
      <c r="B8" s="299" t="s">
        <v>5174</v>
      </c>
      <c r="C8" s="299" t="s">
        <v>4255</v>
      </c>
      <c r="D8" s="298" t="s">
        <v>5182</v>
      </c>
      <c r="E8" s="298" t="s">
        <v>5183</v>
      </c>
      <c r="F8" s="298"/>
      <c r="G8" s="298"/>
      <c r="H8" s="298"/>
      <c r="I8" s="299"/>
      <c r="J8" s="298" t="s">
        <v>5184</v>
      </c>
      <c r="K8" s="298" t="s">
        <v>5185</v>
      </c>
      <c r="L8" s="298" t="s">
        <v>5186</v>
      </c>
      <c r="M8" s="300" t="s">
        <v>5187</v>
      </c>
      <c r="N8" s="161" t="s">
        <v>5270</v>
      </c>
      <c r="O8" s="161" t="s">
        <v>5181</v>
      </c>
    </row>
    <row r="9" spans="1:15" ht="140" customHeight="1">
      <c r="A9" s="307" t="s">
        <v>5188</v>
      </c>
      <c r="B9" s="299" t="s">
        <v>5174</v>
      </c>
      <c r="C9" s="299" t="s">
        <v>4256</v>
      </c>
      <c r="D9" s="298" t="s">
        <v>5189</v>
      </c>
      <c r="E9" s="298" t="s">
        <v>5190</v>
      </c>
      <c r="F9" s="298"/>
      <c r="G9" s="298"/>
      <c r="H9" s="298"/>
      <c r="I9" s="299"/>
      <c r="J9" s="298" t="s">
        <v>5191</v>
      </c>
      <c r="K9" s="298" t="s">
        <v>5192</v>
      </c>
      <c r="L9" s="298" t="s">
        <v>5193</v>
      </c>
      <c r="M9" s="300" t="s">
        <v>5194</v>
      </c>
      <c r="N9" s="161" t="s">
        <v>5270</v>
      </c>
      <c r="O9" s="161" t="s">
        <v>5188</v>
      </c>
    </row>
    <row r="10" spans="1:15" ht="140" customHeight="1">
      <c r="A10" s="307" t="s">
        <v>5195</v>
      </c>
      <c r="B10" s="299" t="s">
        <v>5174</v>
      </c>
      <c r="C10" s="299" t="s">
        <v>4256</v>
      </c>
      <c r="D10" s="298" t="s">
        <v>5196</v>
      </c>
      <c r="E10" s="298" t="s">
        <v>5197</v>
      </c>
      <c r="F10" s="298"/>
      <c r="G10" s="298"/>
      <c r="H10" s="298"/>
      <c r="I10" s="299"/>
      <c r="J10" s="298" t="s">
        <v>5198</v>
      </c>
      <c r="K10" s="298" t="s">
        <v>5199</v>
      </c>
      <c r="L10" s="298" t="s">
        <v>5200</v>
      </c>
      <c r="M10" s="300" t="s">
        <v>5201</v>
      </c>
      <c r="N10" s="161" t="s">
        <v>5270</v>
      </c>
      <c r="O10" s="161" t="s">
        <v>5195</v>
      </c>
    </row>
    <row r="11" spans="1:15" ht="140" customHeight="1">
      <c r="A11" s="307" t="s">
        <v>5202</v>
      </c>
      <c r="B11" s="299" t="s">
        <v>5203</v>
      </c>
      <c r="C11" s="299" t="s">
        <v>4255</v>
      </c>
      <c r="D11" s="298" t="s">
        <v>5204</v>
      </c>
      <c r="E11" s="298" t="s">
        <v>5205</v>
      </c>
      <c r="F11" s="298"/>
      <c r="G11" s="298"/>
      <c r="H11" s="298"/>
      <c r="I11" s="299"/>
      <c r="J11" s="298" t="s">
        <v>5206</v>
      </c>
      <c r="K11" s="298" t="s">
        <v>5207</v>
      </c>
      <c r="L11" s="298" t="s">
        <v>5208</v>
      </c>
      <c r="M11" s="300" t="s">
        <v>5209</v>
      </c>
      <c r="N11" s="161" t="s">
        <v>5270</v>
      </c>
      <c r="O11" s="161" t="s">
        <v>5202</v>
      </c>
    </row>
    <row r="12" spans="1:15" ht="140" customHeight="1">
      <c r="A12" s="307" t="s">
        <v>5210</v>
      </c>
      <c r="B12" s="299" t="s">
        <v>5203</v>
      </c>
      <c r="C12" s="299" t="s">
        <v>4255</v>
      </c>
      <c r="D12" s="298" t="s">
        <v>5211</v>
      </c>
      <c r="E12" s="298" t="s">
        <v>5212</v>
      </c>
      <c r="F12" s="298"/>
      <c r="G12" s="298"/>
      <c r="H12" s="298"/>
      <c r="I12" s="299"/>
      <c r="J12" s="298" t="s">
        <v>5213</v>
      </c>
      <c r="K12" s="298" t="s">
        <v>5214</v>
      </c>
      <c r="L12" s="298" t="s">
        <v>5215</v>
      </c>
      <c r="M12" s="300" t="s">
        <v>5216</v>
      </c>
      <c r="N12" s="161" t="s">
        <v>5270</v>
      </c>
      <c r="O12" s="161" t="s">
        <v>5210</v>
      </c>
    </row>
    <row r="13" spans="1:15" ht="140" customHeight="1">
      <c r="A13" s="308" t="s">
        <v>5217</v>
      </c>
      <c r="B13" s="302" t="s">
        <v>5203</v>
      </c>
      <c r="C13" s="302" t="s">
        <v>4256</v>
      </c>
      <c r="D13" s="301" t="s">
        <v>5218</v>
      </c>
      <c r="E13" s="301" t="s">
        <v>5219</v>
      </c>
      <c r="F13" s="301"/>
      <c r="G13" s="301"/>
      <c r="H13" s="301"/>
      <c r="I13" s="302"/>
      <c r="J13" s="301" t="s">
        <v>5220</v>
      </c>
      <c r="K13" s="301" t="s">
        <v>5221</v>
      </c>
      <c r="L13" s="301" t="s">
        <v>5222</v>
      </c>
      <c r="M13" s="303"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40" priority="2">
      <formula>$C7="最優先"</formula>
    </cfRule>
  </conditionalFormatting>
  <conditionalFormatting sqref="C7:C13">
    <cfRule type="expression" dxfId="39" priority="3">
      <formula>$C7="通常"</formula>
    </cfRule>
  </conditionalFormatting>
  <conditionalFormatting sqref="B7:B13">
    <cfRule type="expression" dxfId="38" priority="4">
      <formula>$B7="アプリチーム"</formula>
    </cfRule>
  </conditionalFormatting>
  <conditionalFormatting sqref="B7:B13">
    <cfRule type="expression" dxfId="37" priority="5">
      <formula>$B7="事業側"</formula>
    </cfRule>
  </conditionalFormatting>
  <conditionalFormatting sqref="M7:M13">
    <cfRule type="expression" dxfId="36" priority="6">
      <formula>LEFT($M7,1)&lt;&gt;"—"</formula>
    </cfRule>
  </conditionalFormatting>
  <conditionalFormatting sqref="I7:I13">
    <cfRule type="expression" dxfId="35" priority="7">
      <formula>$I7="採用"</formula>
    </cfRule>
  </conditionalFormatting>
  <conditionalFormatting sqref="I7:I13">
    <cfRule type="expression" dxfId="34" priority="8">
      <formula>$I7="現行維持"</formula>
    </cfRule>
  </conditionalFormatting>
  <conditionalFormatting sqref="I7:I13">
    <cfRule type="expression" dxfId="33" priority="9">
      <formula>$I7="保留"</formula>
    </cfRule>
  </conditionalFormatting>
  <conditionalFormatting sqref="A7:A13">
    <cfRule type="expression" dxfId="32" priority="10">
      <formula>$A7="QA-BIND-06"</formula>
    </cfRule>
  </conditionalFormatting>
  <conditionalFormatting sqref="N7:N13">
    <cfRule type="expression" dxfId="31" priority="11">
      <formula>$N7="転記済み"</formula>
    </cfRule>
  </conditionalFormatting>
  <conditionalFormatting sqref="N7:N13">
    <cfRule type="expression" dxfId="30"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7729</v>
      </c>
      <c r="B1" s="34"/>
      <c r="C1" s="34"/>
      <c r="D1" s="34"/>
      <c r="E1" s="34"/>
      <c r="F1" s="34"/>
    </row>
    <row r="2" spans="1:7">
      <c r="A2" s="62" t="s">
        <v>5788</v>
      </c>
      <c r="B2" s="34"/>
      <c r="C2" s="34"/>
      <c r="D2" s="34"/>
      <c r="E2" s="34"/>
      <c r="F2" s="34"/>
    </row>
    <row r="3" spans="1:7">
      <c r="A3" s="292" t="s">
        <v>7730</v>
      </c>
      <c r="B3" s="34"/>
      <c r="C3" s="34"/>
      <c r="D3" s="34"/>
      <c r="E3" s="34"/>
      <c r="F3" s="34"/>
    </row>
    <row r="4" spans="1:7">
      <c r="A4" s="292" t="s">
        <v>5789</v>
      </c>
      <c r="B4" s="34"/>
      <c r="C4" s="34"/>
      <c r="D4" s="34"/>
      <c r="E4" s="34"/>
      <c r="F4" s="34"/>
    </row>
    <row r="5" spans="1:7">
      <c r="A5" s="292" t="s">
        <v>7731</v>
      </c>
      <c r="B5" s="34"/>
      <c r="C5" s="34"/>
      <c r="D5" s="34"/>
      <c r="E5" s="34"/>
      <c r="F5" s="34"/>
    </row>
    <row r="6" spans="1:7">
      <c r="A6" s="292" t="s">
        <v>5864</v>
      </c>
      <c r="B6" s="34"/>
      <c r="C6" s="34"/>
      <c r="D6" s="34"/>
      <c r="E6" s="34"/>
      <c r="F6" s="34"/>
    </row>
    <row r="7" spans="1:7">
      <c r="A7" s="293" t="s">
        <v>2527</v>
      </c>
      <c r="B7" s="294" t="s">
        <v>5366</v>
      </c>
      <c r="C7" s="294" t="s">
        <v>5367</v>
      </c>
      <c r="D7" s="294" t="s">
        <v>5368</v>
      </c>
      <c r="E7" s="294" t="s">
        <v>5406</v>
      </c>
      <c r="F7" s="304" t="s">
        <v>666</v>
      </c>
      <c r="G7" s="452" t="s">
        <v>8586</v>
      </c>
    </row>
    <row r="8" spans="1:7" ht="40" customHeight="1">
      <c r="A8" s="354" t="s">
        <v>5790</v>
      </c>
      <c r="B8" s="137" t="s">
        <v>5369</v>
      </c>
      <c r="C8" s="298" t="s">
        <v>7720</v>
      </c>
      <c r="D8" s="298" t="s">
        <v>2234</v>
      </c>
      <c r="E8" s="137">
        <v>0</v>
      </c>
      <c r="F8" s="313" t="s">
        <v>5311</v>
      </c>
      <c r="G8" t="s">
        <v>8587</v>
      </c>
    </row>
    <row r="9" spans="1:7" ht="40" customHeight="1">
      <c r="A9" s="354" t="s">
        <v>5790</v>
      </c>
      <c r="B9" s="137" t="s">
        <v>5370</v>
      </c>
      <c r="C9" s="298" t="s">
        <v>7710</v>
      </c>
      <c r="D9" s="298" t="s">
        <v>7711</v>
      </c>
      <c r="E9" s="137">
        <v>5</v>
      </c>
      <c r="F9" s="313"/>
      <c r="G9" t="s">
        <v>8587</v>
      </c>
    </row>
    <row r="10" spans="1:7" ht="40" customHeight="1">
      <c r="A10" s="354" t="s">
        <v>5790</v>
      </c>
      <c r="B10" s="137" t="s">
        <v>5371</v>
      </c>
      <c r="C10" s="298" t="s">
        <v>7712</v>
      </c>
      <c r="D10" s="298" t="s">
        <v>7713</v>
      </c>
      <c r="E10" s="137">
        <v>3</v>
      </c>
      <c r="F10" s="313"/>
      <c r="G10" t="s">
        <v>8587</v>
      </c>
    </row>
    <row r="11" spans="1:7" ht="40" customHeight="1">
      <c r="A11" s="354" t="s">
        <v>5790</v>
      </c>
      <c r="B11" s="137" t="s">
        <v>5372</v>
      </c>
      <c r="C11" s="298" t="s">
        <v>7714</v>
      </c>
      <c r="D11" s="298" t="s">
        <v>7715</v>
      </c>
      <c r="E11" s="137">
        <v>3</v>
      </c>
      <c r="F11" s="313"/>
      <c r="G11" t="s">
        <v>8587</v>
      </c>
    </row>
    <row r="12" spans="1:7" ht="40" customHeight="1">
      <c r="A12" s="354" t="s">
        <v>5790</v>
      </c>
      <c r="B12" s="137" t="s">
        <v>5373</v>
      </c>
      <c r="C12" s="298" t="s">
        <v>7716</v>
      </c>
      <c r="D12" s="298" t="s">
        <v>7717</v>
      </c>
      <c r="E12" s="137">
        <v>2</v>
      </c>
      <c r="F12" s="313"/>
      <c r="G12" t="s">
        <v>8587</v>
      </c>
    </row>
    <row r="13" spans="1:7" ht="40" customHeight="1">
      <c r="A13" s="354" t="s">
        <v>5790</v>
      </c>
      <c r="B13" s="137" t="s">
        <v>5374</v>
      </c>
      <c r="C13" s="298" t="s">
        <v>7721</v>
      </c>
      <c r="D13" s="298" t="s">
        <v>2234</v>
      </c>
      <c r="E13" s="137">
        <v>0</v>
      </c>
      <c r="F13" s="313" t="s">
        <v>5311</v>
      </c>
      <c r="G13" t="s">
        <v>8587</v>
      </c>
    </row>
    <row r="14" spans="1:7" ht="40" customHeight="1">
      <c r="A14" s="354" t="s">
        <v>5790</v>
      </c>
      <c r="B14" s="137" t="s">
        <v>5375</v>
      </c>
      <c r="C14" s="298" t="s">
        <v>7718</v>
      </c>
      <c r="D14" s="298" t="s">
        <v>7719</v>
      </c>
      <c r="E14" s="137">
        <v>6</v>
      </c>
      <c r="F14" s="313"/>
      <c r="G14" t="s">
        <v>8587</v>
      </c>
    </row>
    <row r="15" spans="1:7" ht="40" customHeight="1">
      <c r="A15" s="354" t="s">
        <v>5790</v>
      </c>
      <c r="B15" s="137" t="s">
        <v>7722</v>
      </c>
      <c r="C15" s="298" t="s">
        <v>7723</v>
      </c>
      <c r="D15" s="298" t="s">
        <v>7724</v>
      </c>
      <c r="E15" s="137">
        <v>4</v>
      </c>
      <c r="F15" s="313"/>
      <c r="G15" t="s">
        <v>8587</v>
      </c>
    </row>
    <row r="16" spans="1:7" ht="40" customHeight="1">
      <c r="A16" s="354" t="s">
        <v>5790</v>
      </c>
      <c r="B16" s="137" t="s">
        <v>7725</v>
      </c>
      <c r="C16" s="298" t="s">
        <v>7726</v>
      </c>
      <c r="D16" s="298" t="s">
        <v>7727</v>
      </c>
      <c r="E16" s="137">
        <v>6</v>
      </c>
      <c r="F16" s="313"/>
      <c r="G16" t="s">
        <v>8587</v>
      </c>
    </row>
    <row r="17" spans="1:7" ht="40" customHeight="1">
      <c r="A17" s="354" t="s">
        <v>5790</v>
      </c>
      <c r="B17" s="137" t="s">
        <v>5376</v>
      </c>
      <c r="C17" s="298" t="s">
        <v>7772</v>
      </c>
      <c r="D17" s="298" t="s">
        <v>5377</v>
      </c>
      <c r="E17" s="137">
        <v>6</v>
      </c>
      <c r="F17" s="313" t="s">
        <v>5392</v>
      </c>
      <c r="G17" t="s">
        <v>8587</v>
      </c>
    </row>
    <row r="18" spans="1:7" ht="40" customHeight="1">
      <c r="A18" s="354" t="s">
        <v>5790</v>
      </c>
      <c r="B18" s="137" t="s">
        <v>5378</v>
      </c>
      <c r="C18" s="298" t="s">
        <v>7773</v>
      </c>
      <c r="D18" s="298" t="s">
        <v>5379</v>
      </c>
      <c r="E18" s="137">
        <v>3</v>
      </c>
      <c r="F18" s="313" t="s">
        <v>5392</v>
      </c>
      <c r="G18" t="s">
        <v>8587</v>
      </c>
    </row>
    <row r="19" spans="1:7" ht="40" customHeight="1">
      <c r="A19" s="354" t="s">
        <v>5790</v>
      </c>
      <c r="B19" s="137" t="s">
        <v>5380</v>
      </c>
      <c r="C19" s="298" t="s">
        <v>7774</v>
      </c>
      <c r="D19" s="298" t="s">
        <v>5381</v>
      </c>
      <c r="E19" s="137">
        <v>2</v>
      </c>
      <c r="F19" s="313" t="s">
        <v>5392</v>
      </c>
      <c r="G19" t="s">
        <v>8587</v>
      </c>
    </row>
    <row r="20" spans="1:7" ht="40" customHeight="1">
      <c r="A20" s="354" t="s">
        <v>5790</v>
      </c>
      <c r="B20" s="137" t="s">
        <v>5382</v>
      </c>
      <c r="C20" s="298" t="s">
        <v>7775</v>
      </c>
      <c r="D20" s="298" t="s">
        <v>5791</v>
      </c>
      <c r="E20" s="137">
        <v>1</v>
      </c>
      <c r="F20" s="313" t="s">
        <v>5392</v>
      </c>
      <c r="G20" t="s">
        <v>8587</v>
      </c>
    </row>
    <row r="21" spans="1:7" ht="40" customHeight="1">
      <c r="A21" s="354" t="s">
        <v>5790</v>
      </c>
      <c r="B21" s="137" t="s">
        <v>5383</v>
      </c>
      <c r="C21" s="298" t="s">
        <v>7587</v>
      </c>
      <c r="D21" s="298" t="s">
        <v>7588</v>
      </c>
      <c r="E21" s="137">
        <v>5</v>
      </c>
      <c r="F21" s="313" t="s">
        <v>7591</v>
      </c>
      <c r="G21" t="s">
        <v>8588</v>
      </c>
    </row>
    <row r="22" spans="1:7" ht="40" customHeight="1">
      <c r="A22" s="354" t="s">
        <v>5790</v>
      </c>
      <c r="B22" s="137" t="s">
        <v>5384</v>
      </c>
      <c r="C22" s="298" t="s">
        <v>7589</v>
      </c>
      <c r="D22" s="298" t="s">
        <v>7590</v>
      </c>
      <c r="E22" s="137">
        <v>8</v>
      </c>
      <c r="F22" s="313" t="s">
        <v>5392</v>
      </c>
      <c r="G22" t="s">
        <v>8587</v>
      </c>
    </row>
    <row r="23" spans="1:7" ht="40" customHeight="1">
      <c r="A23" s="354" t="s">
        <v>5790</v>
      </c>
      <c r="B23" s="137" t="s">
        <v>5385</v>
      </c>
      <c r="C23" s="298" t="s">
        <v>7776</v>
      </c>
      <c r="D23" s="298" t="s">
        <v>5386</v>
      </c>
      <c r="E23" s="137">
        <v>8</v>
      </c>
      <c r="F23" s="313" t="s">
        <v>5392</v>
      </c>
      <c r="G23" t="s">
        <v>8587</v>
      </c>
    </row>
    <row r="24" spans="1:7" ht="40" customHeight="1">
      <c r="A24" s="354" t="s">
        <v>5790</v>
      </c>
      <c r="B24" s="137" t="s">
        <v>5387</v>
      </c>
      <c r="C24" s="298" t="s">
        <v>7777</v>
      </c>
      <c r="D24" s="298" t="s">
        <v>5388</v>
      </c>
      <c r="E24" s="137">
        <v>2</v>
      </c>
      <c r="F24" s="313" t="s">
        <v>5392</v>
      </c>
      <c r="G24" t="s">
        <v>8587</v>
      </c>
    </row>
    <row r="25" spans="1:7" ht="40" customHeight="1">
      <c r="A25" s="354" t="s">
        <v>5790</v>
      </c>
      <c r="B25" s="137" t="s">
        <v>5389</v>
      </c>
      <c r="C25" s="298" t="s">
        <v>5390</v>
      </c>
      <c r="D25" s="298" t="s">
        <v>5391</v>
      </c>
      <c r="E25" s="137">
        <v>3</v>
      </c>
      <c r="F25" s="313" t="s">
        <v>5392</v>
      </c>
      <c r="G25" t="s">
        <v>8587</v>
      </c>
    </row>
    <row r="26" spans="1:7" ht="40" customHeight="1">
      <c r="A26" s="354" t="s">
        <v>5792</v>
      </c>
      <c r="B26" s="137" t="s">
        <v>5407</v>
      </c>
      <c r="C26" s="298" t="s">
        <v>5408</v>
      </c>
      <c r="D26" s="298" t="s">
        <v>5409</v>
      </c>
      <c r="E26" s="137">
        <v>20</v>
      </c>
      <c r="F26" s="313" t="s">
        <v>5392</v>
      </c>
      <c r="G26" t="s">
        <v>8587</v>
      </c>
    </row>
    <row r="27" spans="1:7" ht="40" customHeight="1">
      <c r="A27" s="354" t="s">
        <v>5792</v>
      </c>
      <c r="B27" s="137" t="s">
        <v>5410</v>
      </c>
      <c r="C27" s="298" t="s">
        <v>6528</v>
      </c>
      <c r="D27" s="298" t="s">
        <v>6529</v>
      </c>
      <c r="E27" s="137">
        <v>18</v>
      </c>
      <c r="F27" s="313" t="s">
        <v>5392</v>
      </c>
      <c r="G27" t="s">
        <v>8587</v>
      </c>
    </row>
    <row r="28" spans="1:7" ht="40" customHeight="1">
      <c r="A28" s="354" t="s">
        <v>5792</v>
      </c>
      <c r="B28" s="137" t="s">
        <v>5411</v>
      </c>
      <c r="C28" s="298" t="s">
        <v>5412</v>
      </c>
      <c r="D28" s="298" t="s">
        <v>5413</v>
      </c>
      <c r="E28" s="137">
        <v>9</v>
      </c>
      <c r="F28" s="313" t="s">
        <v>5392</v>
      </c>
      <c r="G28" t="s">
        <v>8587</v>
      </c>
    </row>
    <row r="29" spans="1:7" ht="40" customHeight="1">
      <c r="A29" s="354" t="s">
        <v>5792</v>
      </c>
      <c r="B29" s="137" t="s">
        <v>5414</v>
      </c>
      <c r="C29" s="298" t="s">
        <v>5415</v>
      </c>
      <c r="D29" s="298" t="s">
        <v>5416</v>
      </c>
      <c r="E29" s="137">
        <v>15</v>
      </c>
      <c r="F29" s="313" t="s">
        <v>5392</v>
      </c>
      <c r="G29" t="s">
        <v>8587</v>
      </c>
    </row>
    <row r="30" spans="1:7" ht="40" customHeight="1">
      <c r="A30" s="354" t="s">
        <v>5792</v>
      </c>
      <c r="B30" s="137" t="s">
        <v>5417</v>
      </c>
      <c r="C30" s="298" t="s">
        <v>5418</v>
      </c>
      <c r="D30" s="298" t="s">
        <v>5419</v>
      </c>
      <c r="E30" s="137">
        <v>25</v>
      </c>
      <c r="F30" s="313" t="s">
        <v>5392</v>
      </c>
      <c r="G30" t="s">
        <v>8587</v>
      </c>
    </row>
    <row r="31" spans="1:7" ht="40" customHeight="1">
      <c r="A31" s="354" t="s">
        <v>5793</v>
      </c>
      <c r="B31" s="137" t="s">
        <v>5536</v>
      </c>
      <c r="C31" s="298" t="s">
        <v>5794</v>
      </c>
      <c r="D31" s="298" t="s">
        <v>5795</v>
      </c>
      <c r="E31" s="137">
        <v>15</v>
      </c>
      <c r="F31" s="313" t="s">
        <v>5392</v>
      </c>
      <c r="G31" t="s">
        <v>8587</v>
      </c>
    </row>
    <row r="32" spans="1:7" ht="40" customHeight="1">
      <c r="A32" s="354" t="s">
        <v>5793</v>
      </c>
      <c r="B32" s="137" t="s">
        <v>5537</v>
      </c>
      <c r="C32" s="298" t="s">
        <v>5796</v>
      </c>
      <c r="D32" s="298" t="s">
        <v>5797</v>
      </c>
      <c r="E32" s="137">
        <v>20</v>
      </c>
      <c r="F32" s="313" t="s">
        <v>5392</v>
      </c>
      <c r="G32" t="s">
        <v>8587</v>
      </c>
    </row>
    <row r="33" spans="1:7" ht="40" customHeight="1">
      <c r="A33" s="354" t="s">
        <v>5793</v>
      </c>
      <c r="B33" s="137" t="s">
        <v>5538</v>
      </c>
      <c r="C33" s="298" t="s">
        <v>5852</v>
      </c>
      <c r="D33" s="298" t="s">
        <v>5799</v>
      </c>
      <c r="E33" s="137">
        <v>12</v>
      </c>
      <c r="F33" s="313" t="s">
        <v>5392</v>
      </c>
      <c r="G33" t="s">
        <v>8587</v>
      </c>
    </row>
    <row r="34" spans="1:7" ht="40" customHeight="1">
      <c r="A34" s="354" t="s">
        <v>5793</v>
      </c>
      <c r="B34" s="137" t="s">
        <v>5539</v>
      </c>
      <c r="C34" s="298" t="s">
        <v>5853</v>
      </c>
      <c r="D34" s="298" t="s">
        <v>5854</v>
      </c>
      <c r="E34" s="137">
        <v>8</v>
      </c>
      <c r="F34" s="313" t="s">
        <v>5392</v>
      </c>
      <c r="G34" t="s">
        <v>8587</v>
      </c>
    </row>
    <row r="35" spans="1:7" ht="40" customHeight="1">
      <c r="A35" s="354" t="s">
        <v>5793</v>
      </c>
      <c r="B35" s="137" t="s">
        <v>5540</v>
      </c>
      <c r="C35" s="298" t="s">
        <v>5855</v>
      </c>
      <c r="D35" s="298" t="s">
        <v>5856</v>
      </c>
      <c r="E35" s="137">
        <v>8</v>
      </c>
      <c r="F35" s="313" t="s">
        <v>5392</v>
      </c>
      <c r="G35" t="s">
        <v>8587</v>
      </c>
    </row>
    <row r="36" spans="1:7" ht="40" customHeight="1">
      <c r="A36" s="354" t="s">
        <v>5793</v>
      </c>
      <c r="B36" s="137" t="s">
        <v>5541</v>
      </c>
      <c r="C36" s="298" t="s">
        <v>5800</v>
      </c>
      <c r="D36" s="298" t="s">
        <v>5801</v>
      </c>
      <c r="E36" s="137">
        <v>10</v>
      </c>
      <c r="F36" s="313" t="s">
        <v>5392</v>
      </c>
      <c r="G36" t="s">
        <v>8587</v>
      </c>
    </row>
    <row r="37" spans="1:7" ht="40" customHeight="1">
      <c r="A37" s="354" t="s">
        <v>5793</v>
      </c>
      <c r="B37" s="137" t="s">
        <v>5857</v>
      </c>
      <c r="C37" s="298" t="s">
        <v>5858</v>
      </c>
      <c r="D37" s="298" t="s">
        <v>5859</v>
      </c>
      <c r="E37" s="137">
        <v>15</v>
      </c>
      <c r="F37" s="313" t="s">
        <v>5392</v>
      </c>
      <c r="G37" t="s">
        <v>8587</v>
      </c>
    </row>
    <row r="38" spans="1:7" ht="40" customHeight="1">
      <c r="A38" s="354" t="s">
        <v>5793</v>
      </c>
      <c r="B38" s="137" t="s">
        <v>5860</v>
      </c>
      <c r="C38" s="298" t="s">
        <v>5861</v>
      </c>
      <c r="D38" s="298" t="s">
        <v>5862</v>
      </c>
      <c r="E38" s="137">
        <v>10</v>
      </c>
      <c r="F38" s="313" t="s">
        <v>5392</v>
      </c>
      <c r="G38" t="s">
        <v>8587</v>
      </c>
    </row>
    <row r="39" spans="1:7" ht="40" customHeight="1">
      <c r="A39" s="354" t="s">
        <v>2530</v>
      </c>
      <c r="B39" s="137" t="s">
        <v>5626</v>
      </c>
      <c r="C39" s="298" t="s">
        <v>5627</v>
      </c>
      <c r="D39" s="298" t="s">
        <v>5628</v>
      </c>
      <c r="E39" s="137">
        <v>10</v>
      </c>
      <c r="F39" s="313" t="s">
        <v>5392</v>
      </c>
      <c r="G39" t="s">
        <v>8587</v>
      </c>
    </row>
    <row r="40" spans="1:7" ht="40" customHeight="1">
      <c r="A40" s="354" t="s">
        <v>2530</v>
      </c>
      <c r="B40" s="137" t="s">
        <v>5629</v>
      </c>
      <c r="C40" s="298" t="s">
        <v>7513</v>
      </c>
      <c r="D40" s="298" t="s">
        <v>7514</v>
      </c>
      <c r="E40" s="137">
        <v>25</v>
      </c>
      <c r="F40" s="313" t="s">
        <v>7515</v>
      </c>
      <c r="G40" t="s">
        <v>8587</v>
      </c>
    </row>
    <row r="41" spans="1:7" ht="40" customHeight="1">
      <c r="A41" s="354" t="s">
        <v>2530</v>
      </c>
      <c r="B41" s="137" t="s">
        <v>5632</v>
      </c>
      <c r="C41" s="298" t="s">
        <v>5798</v>
      </c>
      <c r="D41" s="298" t="s">
        <v>5634</v>
      </c>
      <c r="E41" s="137">
        <v>6</v>
      </c>
      <c r="F41" s="313" t="s">
        <v>5392</v>
      </c>
      <c r="G41" t="s">
        <v>8588</v>
      </c>
    </row>
    <row r="42" spans="1:7" ht="40" customHeight="1">
      <c r="A42" s="354" t="s">
        <v>2530</v>
      </c>
      <c r="B42" s="137" t="s">
        <v>5635</v>
      </c>
      <c r="C42" s="298" t="s">
        <v>5636</v>
      </c>
      <c r="D42" s="298" t="s">
        <v>5637</v>
      </c>
      <c r="E42" s="137">
        <v>8</v>
      </c>
      <c r="F42" s="313" t="s">
        <v>5392</v>
      </c>
      <c r="G42" t="s">
        <v>8587</v>
      </c>
    </row>
    <row r="43" spans="1:7" ht="40" customHeight="1">
      <c r="A43" s="354" t="s">
        <v>2530</v>
      </c>
      <c r="B43" s="137" t="s">
        <v>5638</v>
      </c>
      <c r="C43" s="298" t="s">
        <v>5639</v>
      </c>
      <c r="D43" s="298" t="s">
        <v>5640</v>
      </c>
      <c r="E43" s="137">
        <v>6</v>
      </c>
      <c r="F43" s="313" t="s">
        <v>5392</v>
      </c>
      <c r="G43" t="s">
        <v>8587</v>
      </c>
    </row>
    <row r="44" spans="1:7" ht="40" customHeight="1">
      <c r="A44" s="355" t="s">
        <v>2530</v>
      </c>
      <c r="B44" s="314" t="s">
        <v>5641</v>
      </c>
      <c r="C44" s="301" t="s">
        <v>5802</v>
      </c>
      <c r="D44" s="301" t="s">
        <v>5643</v>
      </c>
      <c r="E44" s="314">
        <v>8</v>
      </c>
      <c r="F44" s="315" t="s">
        <v>5392</v>
      </c>
      <c r="G44" t="s">
        <v>8587</v>
      </c>
    </row>
    <row r="45" spans="1:7">
      <c r="A45" s="34"/>
      <c r="B45" s="34"/>
      <c r="C45" s="34"/>
      <c r="D45" s="34"/>
      <c r="E45" s="34"/>
      <c r="F45" s="34"/>
    </row>
    <row r="46" spans="1:7">
      <c r="A46" s="253" t="s">
        <v>5803</v>
      </c>
      <c r="B46" s="34"/>
      <c r="C46" s="34"/>
      <c r="D46" s="34"/>
      <c r="E46" s="34"/>
      <c r="F46" s="34"/>
    </row>
    <row r="47" spans="1:7">
      <c r="A47" s="293" t="s">
        <v>2527</v>
      </c>
      <c r="B47" s="294" t="s">
        <v>5396</v>
      </c>
      <c r="C47" s="304" t="s">
        <v>5394</v>
      </c>
      <c r="D47" s="34"/>
      <c r="E47" s="34"/>
      <c r="F47" s="34"/>
      <c r="G47" t="s">
        <v>8587</v>
      </c>
    </row>
    <row r="48" spans="1:7">
      <c r="A48" s="316" t="s">
        <v>7728</v>
      </c>
      <c r="B48" s="317">
        <f>SUMIF($A$8:$A$45,"① 設計",$E$8:$E$45)</f>
        <v>67</v>
      </c>
      <c r="C48" s="318">
        <v>67</v>
      </c>
      <c r="D48" s="34"/>
      <c r="E48" s="34"/>
      <c r="F48" s="34"/>
      <c r="G48" t="s">
        <v>8587</v>
      </c>
    </row>
    <row r="49" spans="1:7">
      <c r="A49" s="316" t="s">
        <v>5804</v>
      </c>
      <c r="B49" s="317">
        <f>SUMIF($A$8:$A$45,"① 設計(H)",$E$8:$E$45)</f>
        <v>87</v>
      </c>
      <c r="C49" s="318">
        <v>87</v>
      </c>
      <c r="D49" s="34"/>
      <c r="E49" s="34"/>
      <c r="F49" s="34"/>
      <c r="G49" t="s">
        <v>8587</v>
      </c>
    </row>
    <row r="50" spans="1:7">
      <c r="A50" s="316" t="s">
        <v>5863</v>
      </c>
      <c r="B50" s="317">
        <f>SUMIF($A$8:$A$45,"③ 構築",$E$8:$E$45)</f>
        <v>98</v>
      </c>
      <c r="C50" s="318">
        <v>98</v>
      </c>
      <c r="D50" s="34"/>
      <c r="E50" s="34"/>
      <c r="F50" s="34"/>
      <c r="G50" t="s">
        <v>8587</v>
      </c>
    </row>
    <row r="51" spans="1:7">
      <c r="A51" s="316" t="s">
        <v>5805</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7732</v>
      </c>
      <c r="B54" s="34"/>
      <c r="C54" s="34"/>
      <c r="D54" s="34"/>
      <c r="E54" s="34"/>
      <c r="F54" s="34"/>
    </row>
    <row r="55" spans="1:7">
      <c r="A55" s="366"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6257</v>
      </c>
      <c r="B1" s="34"/>
      <c r="C1" s="34"/>
      <c r="D1" s="34"/>
      <c r="E1" s="34"/>
      <c r="F1" s="34"/>
      <c r="G1" s="34"/>
      <c r="H1" s="34"/>
    </row>
    <row r="2" spans="1:8">
      <c r="A2" s="62" t="s">
        <v>6258</v>
      </c>
      <c r="B2" s="34"/>
      <c r="C2" s="34"/>
      <c r="D2" s="34"/>
      <c r="E2" s="34"/>
      <c r="F2" s="34"/>
      <c r="G2" s="34"/>
      <c r="H2" s="34"/>
    </row>
    <row r="3" spans="1:8">
      <c r="A3" s="292" t="s">
        <v>6259</v>
      </c>
      <c r="B3" s="34"/>
      <c r="C3" s="34"/>
      <c r="D3" s="34"/>
      <c r="E3" s="34"/>
      <c r="F3" s="34"/>
      <c r="G3" s="34"/>
      <c r="H3" s="34"/>
    </row>
    <row r="4" spans="1:8">
      <c r="A4" s="306" t="s">
        <v>6260</v>
      </c>
      <c r="B4" s="34"/>
      <c r="C4" s="34"/>
      <c r="D4" s="34"/>
      <c r="E4" s="34"/>
      <c r="F4" s="34"/>
      <c r="G4" s="34"/>
      <c r="H4" s="34"/>
    </row>
    <row r="5" spans="1:8">
      <c r="A5" s="292" t="s">
        <v>6708</v>
      </c>
      <c r="B5" s="34"/>
      <c r="C5" s="34"/>
      <c r="D5" s="34"/>
      <c r="E5" s="34"/>
      <c r="F5" s="34"/>
      <c r="G5" s="34"/>
      <c r="H5" s="34"/>
    </row>
    <row r="6" spans="1:8">
      <c r="A6" s="293" t="s">
        <v>6261</v>
      </c>
      <c r="B6" s="294" t="s">
        <v>665</v>
      </c>
      <c r="C6" s="294" t="s">
        <v>6262</v>
      </c>
      <c r="D6" s="294" t="s">
        <v>6263</v>
      </c>
      <c r="E6" s="294" t="s">
        <v>6264</v>
      </c>
      <c r="F6" s="294" t="s">
        <v>6265</v>
      </c>
      <c r="G6" s="294" t="s">
        <v>6266</v>
      </c>
      <c r="H6" s="304" t="s">
        <v>666</v>
      </c>
    </row>
    <row r="7" spans="1:8" ht="26" customHeight="1">
      <c r="A7" s="354" t="s">
        <v>6267</v>
      </c>
      <c r="B7" s="137" t="s">
        <v>6268</v>
      </c>
      <c r="C7" s="298" t="s">
        <v>6269</v>
      </c>
      <c r="D7" s="298" t="s">
        <v>6270</v>
      </c>
      <c r="E7" s="137" t="s">
        <v>6202</v>
      </c>
      <c r="F7" s="137" t="s">
        <v>6271</v>
      </c>
      <c r="G7" s="137" t="s">
        <v>6272</v>
      </c>
      <c r="H7" s="313" t="s">
        <v>4</v>
      </c>
    </row>
    <row r="8" spans="1:8" ht="26" customHeight="1">
      <c r="A8" s="354" t="s">
        <v>6273</v>
      </c>
      <c r="B8" s="137" t="s">
        <v>6268</v>
      </c>
      <c r="C8" s="298" t="s">
        <v>6274</v>
      </c>
      <c r="D8" s="298" t="s">
        <v>6275</v>
      </c>
      <c r="E8" s="137" t="s">
        <v>6202</v>
      </c>
      <c r="F8" s="137" t="s">
        <v>6271</v>
      </c>
      <c r="G8" s="137" t="s">
        <v>6272</v>
      </c>
      <c r="H8" s="313" t="s">
        <v>4</v>
      </c>
    </row>
    <row r="9" spans="1:8" ht="26" customHeight="1">
      <c r="A9" s="354" t="s">
        <v>6276</v>
      </c>
      <c r="B9" s="137" t="s">
        <v>6268</v>
      </c>
      <c r="C9" s="298" t="s">
        <v>6277</v>
      </c>
      <c r="D9" s="298" t="s">
        <v>6278</v>
      </c>
      <c r="E9" s="137" t="s">
        <v>6202</v>
      </c>
      <c r="F9" s="137"/>
      <c r="G9" s="137" t="s">
        <v>6272</v>
      </c>
      <c r="H9" s="313" t="s">
        <v>4</v>
      </c>
    </row>
    <row r="10" spans="1:8" ht="26" customHeight="1">
      <c r="A10" s="354" t="s">
        <v>6279</v>
      </c>
      <c r="B10" s="137" t="s">
        <v>6268</v>
      </c>
      <c r="C10" s="298" t="s">
        <v>6280</v>
      </c>
      <c r="D10" s="298" t="s">
        <v>6281</v>
      </c>
      <c r="E10" s="137" t="s">
        <v>6202</v>
      </c>
      <c r="F10" s="137"/>
      <c r="G10" s="137" t="s">
        <v>6272</v>
      </c>
      <c r="H10" s="313" t="s">
        <v>4</v>
      </c>
    </row>
    <row r="11" spans="1:8" ht="26" customHeight="1">
      <c r="A11" s="354" t="s">
        <v>6282</v>
      </c>
      <c r="B11" s="137" t="s">
        <v>6268</v>
      </c>
      <c r="C11" s="298" t="s">
        <v>6283</v>
      </c>
      <c r="D11" s="298" t="s">
        <v>6284</v>
      </c>
      <c r="E11" s="137" t="s">
        <v>6202</v>
      </c>
      <c r="F11" s="137" t="s">
        <v>6271</v>
      </c>
      <c r="G11" s="137" t="s">
        <v>6285</v>
      </c>
      <c r="H11" s="313" t="s">
        <v>4</v>
      </c>
    </row>
    <row r="12" spans="1:8" ht="26" customHeight="1">
      <c r="A12" s="354" t="s">
        <v>6286</v>
      </c>
      <c r="B12" s="137" t="s">
        <v>6268</v>
      </c>
      <c r="C12" s="298" t="s">
        <v>6287</v>
      </c>
      <c r="D12" s="298" t="s">
        <v>6288</v>
      </c>
      <c r="E12" s="137" t="s">
        <v>6202</v>
      </c>
      <c r="F12" s="137" t="s">
        <v>6271</v>
      </c>
      <c r="G12" s="137" t="s">
        <v>6285</v>
      </c>
      <c r="H12" s="313" t="s">
        <v>4</v>
      </c>
    </row>
    <row r="13" spans="1:8" ht="26" customHeight="1">
      <c r="A13" s="354" t="s">
        <v>6289</v>
      </c>
      <c r="B13" s="137" t="s">
        <v>6268</v>
      </c>
      <c r="C13" s="298" t="s">
        <v>6290</v>
      </c>
      <c r="D13" s="298" t="s">
        <v>6291</v>
      </c>
      <c r="E13" s="137" t="s">
        <v>6202</v>
      </c>
      <c r="F13" s="137" t="s">
        <v>6271</v>
      </c>
      <c r="G13" s="137" t="s">
        <v>6285</v>
      </c>
      <c r="H13" s="313" t="s">
        <v>4</v>
      </c>
    </row>
    <row r="14" spans="1:8" ht="26" customHeight="1">
      <c r="A14" s="354" t="s">
        <v>6292</v>
      </c>
      <c r="B14" s="137" t="s">
        <v>6268</v>
      </c>
      <c r="C14" s="298" t="s">
        <v>6293</v>
      </c>
      <c r="D14" s="298" t="s">
        <v>6294</v>
      </c>
      <c r="E14" s="137" t="s">
        <v>6202</v>
      </c>
      <c r="F14" s="137"/>
      <c r="G14" s="137" t="s">
        <v>6285</v>
      </c>
      <c r="H14" s="313" t="s">
        <v>4</v>
      </c>
    </row>
    <row r="15" spans="1:8" ht="26" customHeight="1">
      <c r="A15" s="354" t="s">
        <v>6295</v>
      </c>
      <c r="B15" s="137" t="s">
        <v>6268</v>
      </c>
      <c r="C15" s="298" t="s">
        <v>6296</v>
      </c>
      <c r="D15" s="298" t="s">
        <v>6297</v>
      </c>
      <c r="E15" s="137" t="s">
        <v>6202</v>
      </c>
      <c r="F15" s="137" t="s">
        <v>6271</v>
      </c>
      <c r="G15" s="137" t="s">
        <v>6285</v>
      </c>
      <c r="H15" s="313" t="s">
        <v>4</v>
      </c>
    </row>
    <row r="16" spans="1:8" ht="26" customHeight="1">
      <c r="A16" s="354" t="s">
        <v>6298</v>
      </c>
      <c r="B16" s="137" t="s">
        <v>6268</v>
      </c>
      <c r="C16" s="298" t="s">
        <v>6299</v>
      </c>
      <c r="D16" s="298" t="s">
        <v>6300</v>
      </c>
      <c r="E16" s="137" t="s">
        <v>6202</v>
      </c>
      <c r="F16" s="137"/>
      <c r="G16" s="137" t="s">
        <v>6301</v>
      </c>
      <c r="H16" s="313" t="s">
        <v>4</v>
      </c>
    </row>
    <row r="17" spans="1:8" ht="26" customHeight="1">
      <c r="A17" s="354" t="s">
        <v>6302</v>
      </c>
      <c r="B17" s="137" t="s">
        <v>6268</v>
      </c>
      <c r="C17" s="298" t="s">
        <v>6303</v>
      </c>
      <c r="D17" s="298" t="s">
        <v>6300</v>
      </c>
      <c r="E17" s="137" t="s">
        <v>6202</v>
      </c>
      <c r="F17" s="137" t="s">
        <v>6271</v>
      </c>
      <c r="G17" s="137" t="s">
        <v>6301</v>
      </c>
      <c r="H17" s="313" t="s">
        <v>4</v>
      </c>
    </row>
    <row r="18" spans="1:8" ht="26" customHeight="1">
      <c r="A18" s="354" t="s">
        <v>6304</v>
      </c>
      <c r="B18" s="137" t="s">
        <v>6268</v>
      </c>
      <c r="C18" s="298" t="s">
        <v>6305</v>
      </c>
      <c r="D18" s="298" t="s">
        <v>6306</v>
      </c>
      <c r="E18" s="137" t="s">
        <v>6202</v>
      </c>
      <c r="F18" s="137"/>
      <c r="G18" s="137" t="s">
        <v>6301</v>
      </c>
      <c r="H18" s="313" t="s">
        <v>4</v>
      </c>
    </row>
    <row r="19" spans="1:8" ht="26" customHeight="1">
      <c r="A19" s="354" t="s">
        <v>6307</v>
      </c>
      <c r="B19" s="137" t="s">
        <v>6268</v>
      </c>
      <c r="C19" s="298" t="s">
        <v>6308</v>
      </c>
      <c r="D19" s="298" t="s">
        <v>6306</v>
      </c>
      <c r="E19" s="137" t="s">
        <v>6202</v>
      </c>
      <c r="F19" s="137"/>
      <c r="G19" s="137" t="s">
        <v>6301</v>
      </c>
      <c r="H19" s="313" t="s">
        <v>4</v>
      </c>
    </row>
    <row r="20" spans="1:8" ht="26" customHeight="1">
      <c r="A20" s="354" t="s">
        <v>6309</v>
      </c>
      <c r="B20" s="137" t="s">
        <v>6268</v>
      </c>
      <c r="C20" s="298" t="s">
        <v>6310</v>
      </c>
      <c r="D20" s="298" t="s">
        <v>1430</v>
      </c>
      <c r="E20" s="137" t="s">
        <v>6202</v>
      </c>
      <c r="F20" s="137"/>
      <c r="G20" s="137" t="s">
        <v>6301</v>
      </c>
      <c r="H20" s="313" t="s">
        <v>4</v>
      </c>
    </row>
    <row r="21" spans="1:8" ht="26" customHeight="1">
      <c r="A21" s="354" t="s">
        <v>6311</v>
      </c>
      <c r="B21" s="137" t="s">
        <v>6268</v>
      </c>
      <c r="C21" s="298" t="s">
        <v>6312</v>
      </c>
      <c r="D21" s="298" t="s">
        <v>1432</v>
      </c>
      <c r="E21" s="137" t="s">
        <v>6202</v>
      </c>
      <c r="F21" s="137"/>
      <c r="G21" s="137" t="s">
        <v>6313</v>
      </c>
      <c r="H21" s="313" t="s">
        <v>4</v>
      </c>
    </row>
    <row r="22" spans="1:8" ht="26" customHeight="1">
      <c r="A22" s="354" t="s">
        <v>6314</v>
      </c>
      <c r="B22" s="137" t="s">
        <v>6268</v>
      </c>
      <c r="C22" s="298" t="s">
        <v>6315</v>
      </c>
      <c r="D22" s="298" t="s">
        <v>1432</v>
      </c>
      <c r="E22" s="137" t="s">
        <v>6202</v>
      </c>
      <c r="F22" s="137"/>
      <c r="G22" s="137" t="s">
        <v>6313</v>
      </c>
      <c r="H22" s="313" t="s">
        <v>4</v>
      </c>
    </row>
    <row r="23" spans="1:8" ht="26" customHeight="1">
      <c r="A23" s="354" t="s">
        <v>6316</v>
      </c>
      <c r="B23" s="137" t="s">
        <v>6268</v>
      </c>
      <c r="C23" s="298" t="s">
        <v>6317</v>
      </c>
      <c r="D23" s="298" t="s">
        <v>6318</v>
      </c>
      <c r="E23" s="137" t="s">
        <v>6202</v>
      </c>
      <c r="F23" s="137"/>
      <c r="G23" s="137" t="s">
        <v>6313</v>
      </c>
      <c r="H23" s="313" t="s">
        <v>4</v>
      </c>
    </row>
    <row r="24" spans="1:8" ht="26" customHeight="1">
      <c r="A24" s="354" t="s">
        <v>6319</v>
      </c>
      <c r="B24" s="137" t="s">
        <v>6268</v>
      </c>
      <c r="C24" s="298" t="s">
        <v>6320</v>
      </c>
      <c r="D24" s="298" t="s">
        <v>40</v>
      </c>
      <c r="E24" s="137" t="s">
        <v>6202</v>
      </c>
      <c r="F24" s="137"/>
      <c r="G24" s="137" t="s">
        <v>6313</v>
      </c>
      <c r="H24" s="313" t="s">
        <v>4</v>
      </c>
    </row>
    <row r="25" spans="1:8" ht="26" customHeight="1">
      <c r="A25" s="354" t="s">
        <v>6321</v>
      </c>
      <c r="B25" s="137" t="s">
        <v>6268</v>
      </c>
      <c r="C25" s="298" t="s">
        <v>6322</v>
      </c>
      <c r="D25" s="298" t="s">
        <v>6300</v>
      </c>
      <c r="E25" s="137" t="s">
        <v>6202</v>
      </c>
      <c r="F25" s="137"/>
      <c r="G25" s="137" t="s">
        <v>6313</v>
      </c>
      <c r="H25" s="313" t="s">
        <v>4</v>
      </c>
    </row>
    <row r="26" spans="1:8" ht="26" customHeight="1">
      <c r="A26" s="354" t="s">
        <v>6323</v>
      </c>
      <c r="B26" s="137" t="s">
        <v>6268</v>
      </c>
      <c r="C26" s="298" t="s">
        <v>6324</v>
      </c>
      <c r="D26" s="298" t="s">
        <v>6325</v>
      </c>
      <c r="E26" s="137" t="s">
        <v>6202</v>
      </c>
      <c r="F26" s="137"/>
      <c r="G26" s="137" t="s">
        <v>6326</v>
      </c>
      <c r="H26" s="313" t="s">
        <v>4</v>
      </c>
    </row>
    <row r="27" spans="1:8" ht="26" customHeight="1">
      <c r="A27" s="354" t="s">
        <v>6327</v>
      </c>
      <c r="B27" s="137" t="s">
        <v>6268</v>
      </c>
      <c r="C27" s="298" t="s">
        <v>6328</v>
      </c>
      <c r="D27" s="298" t="s">
        <v>6329</v>
      </c>
      <c r="E27" s="137" t="s">
        <v>6202</v>
      </c>
      <c r="F27" s="137"/>
      <c r="G27" s="137" t="s">
        <v>6326</v>
      </c>
      <c r="H27" s="313" t="s">
        <v>4</v>
      </c>
    </row>
    <row r="28" spans="1:8" ht="26" customHeight="1">
      <c r="A28" s="354" t="s">
        <v>6330</v>
      </c>
      <c r="B28" s="137" t="s">
        <v>6268</v>
      </c>
      <c r="C28" s="298" t="s">
        <v>6331</v>
      </c>
      <c r="D28" s="298" t="s">
        <v>2613</v>
      </c>
      <c r="E28" s="137" t="s">
        <v>6202</v>
      </c>
      <c r="F28" s="137"/>
      <c r="G28" s="137" t="s">
        <v>6326</v>
      </c>
      <c r="H28" s="313" t="s">
        <v>4</v>
      </c>
    </row>
    <row r="29" spans="1:8" ht="26" customHeight="1">
      <c r="A29" s="354" t="s">
        <v>6332</v>
      </c>
      <c r="B29" s="137" t="s">
        <v>6333</v>
      </c>
      <c r="C29" s="298" t="s">
        <v>6334</v>
      </c>
      <c r="D29" s="298" t="s">
        <v>6335</v>
      </c>
      <c r="E29" s="137" t="s">
        <v>6202</v>
      </c>
      <c r="F29" s="137" t="s">
        <v>6271</v>
      </c>
      <c r="G29" s="137" t="s">
        <v>6336</v>
      </c>
      <c r="H29" s="313" t="s">
        <v>4</v>
      </c>
    </row>
    <row r="30" spans="1:8" ht="26" customHeight="1">
      <c r="A30" s="354" t="s">
        <v>6337</v>
      </c>
      <c r="B30" s="137" t="s">
        <v>6333</v>
      </c>
      <c r="C30" s="298" t="s">
        <v>6338</v>
      </c>
      <c r="D30" s="298" t="s">
        <v>6339</v>
      </c>
      <c r="E30" s="137" t="s">
        <v>6202</v>
      </c>
      <c r="F30" s="137"/>
      <c r="G30" s="137" t="s">
        <v>6336</v>
      </c>
      <c r="H30" s="313" t="s">
        <v>4</v>
      </c>
    </row>
    <row r="31" spans="1:8" ht="26" customHeight="1">
      <c r="A31" s="354" t="s">
        <v>6340</v>
      </c>
      <c r="B31" s="137" t="s">
        <v>6333</v>
      </c>
      <c r="C31" s="298" t="s">
        <v>6341</v>
      </c>
      <c r="D31" s="298" t="s">
        <v>6342</v>
      </c>
      <c r="E31" s="137" t="s">
        <v>6202</v>
      </c>
      <c r="F31" s="137" t="s">
        <v>6271</v>
      </c>
      <c r="G31" s="137" t="s">
        <v>6343</v>
      </c>
      <c r="H31" s="313" t="s">
        <v>4</v>
      </c>
    </row>
    <row r="32" spans="1:8" ht="26" customHeight="1">
      <c r="A32" s="354" t="s">
        <v>6344</v>
      </c>
      <c r="B32" s="137" t="s">
        <v>6333</v>
      </c>
      <c r="C32" s="298" t="s">
        <v>6345</v>
      </c>
      <c r="D32" s="298" t="s">
        <v>6346</v>
      </c>
      <c r="E32" s="137" t="s">
        <v>6202</v>
      </c>
      <c r="F32" s="137" t="s">
        <v>6271</v>
      </c>
      <c r="G32" s="137" t="s">
        <v>6343</v>
      </c>
      <c r="H32" s="313" t="s">
        <v>4</v>
      </c>
    </row>
    <row r="33" spans="1:8" ht="26" customHeight="1">
      <c r="A33" s="354" t="s">
        <v>6347</v>
      </c>
      <c r="B33" s="137" t="s">
        <v>6333</v>
      </c>
      <c r="C33" s="298" t="s">
        <v>6348</v>
      </c>
      <c r="D33" s="298" t="s">
        <v>6349</v>
      </c>
      <c r="E33" s="137" t="s">
        <v>6202</v>
      </c>
      <c r="F33" s="137" t="s">
        <v>6271</v>
      </c>
      <c r="G33" s="137" t="s">
        <v>6343</v>
      </c>
      <c r="H33" s="313" t="s">
        <v>4</v>
      </c>
    </row>
    <row r="34" spans="1:8" ht="26" customHeight="1">
      <c r="A34" s="354" t="s">
        <v>6350</v>
      </c>
      <c r="B34" s="137" t="s">
        <v>6333</v>
      </c>
      <c r="C34" s="298" t="s">
        <v>6351</v>
      </c>
      <c r="D34" s="298" t="s">
        <v>511</v>
      </c>
      <c r="E34" s="137" t="s">
        <v>6202</v>
      </c>
      <c r="F34" s="137"/>
      <c r="G34" s="137" t="s">
        <v>6343</v>
      </c>
      <c r="H34" s="313" t="s">
        <v>4</v>
      </c>
    </row>
    <row r="35" spans="1:8" ht="26" customHeight="1">
      <c r="A35" s="354" t="s">
        <v>6352</v>
      </c>
      <c r="B35" s="137" t="s">
        <v>6333</v>
      </c>
      <c r="C35" s="298" t="s">
        <v>6353</v>
      </c>
      <c r="D35" s="298" t="s">
        <v>2590</v>
      </c>
      <c r="E35" s="137" t="s">
        <v>6210</v>
      </c>
      <c r="F35" s="137"/>
      <c r="G35" s="137" t="s">
        <v>6343</v>
      </c>
      <c r="H35" s="313" t="s">
        <v>4</v>
      </c>
    </row>
    <row r="36" spans="1:8" ht="26" customHeight="1">
      <c r="A36" s="354" t="s">
        <v>6354</v>
      </c>
      <c r="B36" s="137" t="s">
        <v>6333</v>
      </c>
      <c r="C36" s="298" t="s">
        <v>6355</v>
      </c>
      <c r="D36" s="298" t="s">
        <v>914</v>
      </c>
      <c r="E36" s="137" t="s">
        <v>6202</v>
      </c>
      <c r="F36" s="137" t="s">
        <v>6271</v>
      </c>
      <c r="G36" s="137" t="s">
        <v>6356</v>
      </c>
      <c r="H36" s="313" t="s">
        <v>4</v>
      </c>
    </row>
    <row r="37" spans="1:8" ht="26" customHeight="1">
      <c r="A37" s="354" t="s">
        <v>6357</v>
      </c>
      <c r="B37" s="137" t="s">
        <v>6333</v>
      </c>
      <c r="C37" s="298" t="s">
        <v>6358</v>
      </c>
      <c r="D37" s="298" t="s">
        <v>909</v>
      </c>
      <c r="E37" s="137" t="s">
        <v>6202</v>
      </c>
      <c r="F37" s="137" t="s">
        <v>6271</v>
      </c>
      <c r="G37" s="137" t="s">
        <v>6356</v>
      </c>
      <c r="H37" s="313" t="s">
        <v>4</v>
      </c>
    </row>
    <row r="38" spans="1:8" ht="26" customHeight="1">
      <c r="A38" s="354" t="s">
        <v>6359</v>
      </c>
      <c r="B38" s="137" t="s">
        <v>6333</v>
      </c>
      <c r="C38" s="298" t="s">
        <v>6360</v>
      </c>
      <c r="D38" s="298" t="s">
        <v>6361</v>
      </c>
      <c r="E38" s="137" t="s">
        <v>6202</v>
      </c>
      <c r="F38" s="137" t="s">
        <v>6271</v>
      </c>
      <c r="G38" s="137" t="s">
        <v>6362</v>
      </c>
      <c r="H38" s="313" t="s">
        <v>4</v>
      </c>
    </row>
    <row r="39" spans="1:8" ht="26" customHeight="1">
      <c r="A39" s="354" t="s">
        <v>6363</v>
      </c>
      <c r="B39" s="137" t="s">
        <v>6333</v>
      </c>
      <c r="C39" s="298" t="s">
        <v>6364</v>
      </c>
      <c r="D39" s="298" t="s">
        <v>6365</v>
      </c>
      <c r="E39" s="137" t="s">
        <v>6202</v>
      </c>
      <c r="F39" s="137" t="s">
        <v>6271</v>
      </c>
      <c r="G39" s="137" t="s">
        <v>6362</v>
      </c>
      <c r="H39" s="313" t="s">
        <v>4</v>
      </c>
    </row>
    <row r="40" spans="1:8" ht="26" customHeight="1">
      <c r="A40" s="354" t="s">
        <v>6366</v>
      </c>
      <c r="B40" s="137" t="s">
        <v>6333</v>
      </c>
      <c r="C40" s="298" t="s">
        <v>6367</v>
      </c>
      <c r="D40" s="298" t="s">
        <v>2501</v>
      </c>
      <c r="E40" s="137" t="s">
        <v>6202</v>
      </c>
      <c r="F40" s="137" t="s">
        <v>6271</v>
      </c>
      <c r="G40" s="137" t="s">
        <v>6362</v>
      </c>
      <c r="H40" s="313" t="s">
        <v>4</v>
      </c>
    </row>
    <row r="41" spans="1:8" ht="26" customHeight="1">
      <c r="A41" s="354" t="s">
        <v>6368</v>
      </c>
      <c r="B41" s="137" t="s">
        <v>6333</v>
      </c>
      <c r="C41" s="298" t="s">
        <v>2458</v>
      </c>
      <c r="D41" s="298" t="s">
        <v>2457</v>
      </c>
      <c r="E41" s="137" t="s">
        <v>6202</v>
      </c>
      <c r="F41" s="137"/>
      <c r="G41" s="137" t="s">
        <v>6362</v>
      </c>
      <c r="H41" s="313" t="s">
        <v>4</v>
      </c>
    </row>
    <row r="42" spans="1:8" ht="26" customHeight="1">
      <c r="A42" s="354" t="s">
        <v>6369</v>
      </c>
      <c r="B42" s="137" t="s">
        <v>6333</v>
      </c>
      <c r="C42" s="298" t="s">
        <v>6370</v>
      </c>
      <c r="D42" s="298" t="s">
        <v>6371</v>
      </c>
      <c r="E42" s="137" t="s">
        <v>6202</v>
      </c>
      <c r="F42" s="137"/>
      <c r="G42" s="137" t="s">
        <v>6372</v>
      </c>
      <c r="H42" s="313" t="s">
        <v>4</v>
      </c>
    </row>
    <row r="43" spans="1:8" ht="26" customHeight="1">
      <c r="A43" s="354" t="s">
        <v>6373</v>
      </c>
      <c r="B43" s="137" t="s">
        <v>6333</v>
      </c>
      <c r="C43" s="298" t="s">
        <v>6374</v>
      </c>
      <c r="D43" s="298" t="s">
        <v>2692</v>
      </c>
      <c r="E43" s="137" t="s">
        <v>6202</v>
      </c>
      <c r="F43" s="137"/>
      <c r="G43" s="137" t="s">
        <v>6372</v>
      </c>
      <c r="H43" s="313" t="s">
        <v>4</v>
      </c>
    </row>
    <row r="44" spans="1:8" ht="26" customHeight="1">
      <c r="A44" s="354" t="s">
        <v>6375</v>
      </c>
      <c r="B44" s="137" t="s">
        <v>6333</v>
      </c>
      <c r="C44" s="298" t="s">
        <v>6376</v>
      </c>
      <c r="D44" s="298" t="s">
        <v>6377</v>
      </c>
      <c r="E44" s="137" t="s">
        <v>6202</v>
      </c>
      <c r="F44" s="137"/>
      <c r="G44" s="137" t="s">
        <v>6372</v>
      </c>
      <c r="H44" s="313" t="s">
        <v>4</v>
      </c>
    </row>
    <row r="45" spans="1:8" ht="26" customHeight="1">
      <c r="A45" s="354" t="s">
        <v>6378</v>
      </c>
      <c r="B45" s="137" t="s">
        <v>6333</v>
      </c>
      <c r="C45" s="298" t="s">
        <v>6379</v>
      </c>
      <c r="D45" s="298" t="s">
        <v>6380</v>
      </c>
      <c r="E45" s="137" t="s">
        <v>6202</v>
      </c>
      <c r="F45" s="137" t="s">
        <v>6271</v>
      </c>
      <c r="G45" s="137" t="s">
        <v>6372</v>
      </c>
      <c r="H45" s="313" t="s">
        <v>4</v>
      </c>
    </row>
    <row r="46" spans="1:8" ht="26" customHeight="1">
      <c r="A46" s="354" t="s">
        <v>6381</v>
      </c>
      <c r="B46" s="137" t="s">
        <v>6382</v>
      </c>
      <c r="C46" s="298" t="s">
        <v>6383</v>
      </c>
      <c r="D46" s="298" t="s">
        <v>2621</v>
      </c>
      <c r="E46" s="137" t="s">
        <v>6202</v>
      </c>
      <c r="F46" s="137" t="s">
        <v>6271</v>
      </c>
      <c r="G46" s="137" t="s">
        <v>6384</v>
      </c>
      <c r="H46" s="313" t="s">
        <v>4</v>
      </c>
    </row>
    <row r="47" spans="1:8" ht="26" customHeight="1">
      <c r="A47" s="354" t="s">
        <v>6385</v>
      </c>
      <c r="B47" s="137" t="s">
        <v>6382</v>
      </c>
      <c r="C47" s="298" t="s">
        <v>6386</v>
      </c>
      <c r="D47" s="298" t="s">
        <v>2621</v>
      </c>
      <c r="E47" s="137" t="s">
        <v>6202</v>
      </c>
      <c r="F47" s="137"/>
      <c r="G47" s="137" t="s">
        <v>6384</v>
      </c>
      <c r="H47" s="313" t="s">
        <v>4</v>
      </c>
    </row>
    <row r="48" spans="1:8" ht="26" customHeight="1">
      <c r="A48" s="354" t="s">
        <v>6387</v>
      </c>
      <c r="B48" s="137" t="s">
        <v>6382</v>
      </c>
      <c r="C48" s="298" t="s">
        <v>6388</v>
      </c>
      <c r="D48" s="298" t="s">
        <v>6389</v>
      </c>
      <c r="E48" s="137" t="s">
        <v>6202</v>
      </c>
      <c r="F48" s="137" t="s">
        <v>6271</v>
      </c>
      <c r="G48" s="137" t="s">
        <v>6384</v>
      </c>
      <c r="H48" s="313" t="s">
        <v>4</v>
      </c>
    </row>
    <row r="49" spans="1:8" ht="26" customHeight="1">
      <c r="A49" s="354" t="s">
        <v>6390</v>
      </c>
      <c r="B49" s="137" t="s">
        <v>6382</v>
      </c>
      <c r="C49" s="298" t="s">
        <v>6391</v>
      </c>
      <c r="D49" s="298" t="s">
        <v>2621</v>
      </c>
      <c r="E49" s="137" t="s">
        <v>6202</v>
      </c>
      <c r="F49" s="137" t="s">
        <v>6271</v>
      </c>
      <c r="G49" s="137" t="s">
        <v>6384</v>
      </c>
      <c r="H49" s="313" t="s">
        <v>4</v>
      </c>
    </row>
    <row r="50" spans="1:8" ht="26" customHeight="1">
      <c r="A50" s="354" t="s">
        <v>6392</v>
      </c>
      <c r="B50" s="137" t="s">
        <v>6382</v>
      </c>
      <c r="C50" s="298" t="s">
        <v>6393</v>
      </c>
      <c r="D50" s="298" t="s">
        <v>2621</v>
      </c>
      <c r="E50" s="137" t="s">
        <v>6202</v>
      </c>
      <c r="F50" s="137" t="s">
        <v>6271</v>
      </c>
      <c r="G50" s="137" t="s">
        <v>6384</v>
      </c>
      <c r="H50" s="313" t="s">
        <v>4</v>
      </c>
    </row>
    <row r="51" spans="1:8" ht="26" customHeight="1">
      <c r="A51" s="354" t="s">
        <v>6394</v>
      </c>
      <c r="B51" s="137" t="s">
        <v>6382</v>
      </c>
      <c r="C51" s="298" t="s">
        <v>6395</v>
      </c>
      <c r="D51" s="298" t="s">
        <v>2501</v>
      </c>
      <c r="E51" s="137" t="s">
        <v>6202</v>
      </c>
      <c r="F51" s="137" t="s">
        <v>6271</v>
      </c>
      <c r="G51" s="137" t="s">
        <v>6384</v>
      </c>
      <c r="H51" s="313" t="s">
        <v>4</v>
      </c>
    </row>
    <row r="52" spans="1:8" ht="26" customHeight="1">
      <c r="A52" s="354" t="s">
        <v>6396</v>
      </c>
      <c r="B52" s="137" t="s">
        <v>6382</v>
      </c>
      <c r="C52" s="298" t="s">
        <v>6397</v>
      </c>
      <c r="D52" s="298" t="s">
        <v>2621</v>
      </c>
      <c r="E52" s="137" t="s">
        <v>6202</v>
      </c>
      <c r="F52" s="137"/>
      <c r="G52" s="137" t="s">
        <v>6398</v>
      </c>
      <c r="H52" s="313" t="s">
        <v>4</v>
      </c>
    </row>
    <row r="53" spans="1:8" ht="26" customHeight="1">
      <c r="A53" s="354" t="s">
        <v>6399</v>
      </c>
      <c r="B53" s="137" t="s">
        <v>6382</v>
      </c>
      <c r="C53" s="298" t="s">
        <v>6400</v>
      </c>
      <c r="D53" s="298" t="s">
        <v>6401</v>
      </c>
      <c r="E53" s="137" t="s">
        <v>6202</v>
      </c>
      <c r="F53" s="137"/>
      <c r="G53" s="137" t="s">
        <v>6398</v>
      </c>
      <c r="H53" s="313" t="s">
        <v>4</v>
      </c>
    </row>
    <row r="54" spans="1:8" ht="26" customHeight="1">
      <c r="A54" s="354" t="s">
        <v>6402</v>
      </c>
      <c r="B54" s="137" t="s">
        <v>6382</v>
      </c>
      <c r="C54" s="298" t="s">
        <v>6403</v>
      </c>
      <c r="D54" s="298" t="s">
        <v>2621</v>
      </c>
      <c r="E54" s="137" t="s">
        <v>6202</v>
      </c>
      <c r="F54" s="137"/>
      <c r="G54" s="137" t="s">
        <v>6398</v>
      </c>
      <c r="H54" s="313" t="s">
        <v>4</v>
      </c>
    </row>
    <row r="55" spans="1:8" ht="26" customHeight="1">
      <c r="A55" s="354" t="s">
        <v>6404</v>
      </c>
      <c r="B55" s="137" t="s">
        <v>6382</v>
      </c>
      <c r="C55" s="298" t="s">
        <v>6405</v>
      </c>
      <c r="D55" s="298" t="s">
        <v>6406</v>
      </c>
      <c r="E55" s="137" t="s">
        <v>6202</v>
      </c>
      <c r="F55" s="137"/>
      <c r="G55" s="137" t="s">
        <v>6398</v>
      </c>
      <c r="H55" s="313" t="s">
        <v>4</v>
      </c>
    </row>
    <row r="56" spans="1:8" ht="26" customHeight="1">
      <c r="A56" s="354" t="s">
        <v>6407</v>
      </c>
      <c r="B56" s="137" t="s">
        <v>6382</v>
      </c>
      <c r="C56" s="298" t="s">
        <v>6408</v>
      </c>
      <c r="D56" s="298" t="s">
        <v>6409</v>
      </c>
      <c r="E56" s="137" t="s">
        <v>6202</v>
      </c>
      <c r="F56" s="137" t="s">
        <v>6271</v>
      </c>
      <c r="G56" s="137" t="s">
        <v>6410</v>
      </c>
      <c r="H56" s="313" t="s">
        <v>4</v>
      </c>
    </row>
    <row r="57" spans="1:8" ht="26" customHeight="1">
      <c r="A57" s="354" t="s">
        <v>6411</v>
      </c>
      <c r="B57" s="137" t="s">
        <v>6382</v>
      </c>
      <c r="C57" s="298" t="s">
        <v>6412</v>
      </c>
      <c r="D57" s="298" t="s">
        <v>6413</v>
      </c>
      <c r="E57" s="137" t="s">
        <v>6202</v>
      </c>
      <c r="F57" s="137" t="s">
        <v>6271</v>
      </c>
      <c r="G57" s="137" t="s">
        <v>6410</v>
      </c>
      <c r="H57" s="313" t="s">
        <v>4</v>
      </c>
    </row>
    <row r="58" spans="1:8" ht="26" customHeight="1">
      <c r="A58" s="354" t="s">
        <v>6414</v>
      </c>
      <c r="B58" s="137" t="s">
        <v>6382</v>
      </c>
      <c r="C58" s="298" t="s">
        <v>6415</v>
      </c>
      <c r="D58" s="298" t="s">
        <v>2621</v>
      </c>
      <c r="E58" s="137" t="s">
        <v>6202</v>
      </c>
      <c r="F58" s="137"/>
      <c r="G58" s="137" t="s">
        <v>6410</v>
      </c>
      <c r="H58" s="313" t="s">
        <v>4</v>
      </c>
    </row>
    <row r="59" spans="1:8" ht="26" customHeight="1">
      <c r="A59" s="354" t="s">
        <v>6416</v>
      </c>
      <c r="B59" s="137" t="s">
        <v>6382</v>
      </c>
      <c r="C59" s="298" t="s">
        <v>6417</v>
      </c>
      <c r="D59" s="298" t="s">
        <v>886</v>
      </c>
      <c r="E59" s="137" t="s">
        <v>6202</v>
      </c>
      <c r="F59" s="137"/>
      <c r="G59" s="137" t="s">
        <v>6418</v>
      </c>
      <c r="H59" s="313" t="s">
        <v>4</v>
      </c>
    </row>
    <row r="60" spans="1:8" ht="26" customHeight="1">
      <c r="A60" s="354" t="s">
        <v>6419</v>
      </c>
      <c r="B60" s="137" t="s">
        <v>6382</v>
      </c>
      <c r="C60" s="298" t="s">
        <v>6420</v>
      </c>
      <c r="D60" s="298" t="s">
        <v>886</v>
      </c>
      <c r="E60" s="137" t="s">
        <v>6202</v>
      </c>
      <c r="F60" s="137"/>
      <c r="G60" s="137" t="s">
        <v>6418</v>
      </c>
      <c r="H60" s="313" t="s">
        <v>4</v>
      </c>
    </row>
    <row r="61" spans="1:8" ht="26" customHeight="1">
      <c r="A61" s="354" t="s">
        <v>6421</v>
      </c>
      <c r="B61" s="137" t="s">
        <v>6382</v>
      </c>
      <c r="C61" s="298" t="s">
        <v>6422</v>
      </c>
      <c r="D61" s="298" t="s">
        <v>1211</v>
      </c>
      <c r="E61" s="137" t="s">
        <v>6202</v>
      </c>
      <c r="F61" s="137" t="s">
        <v>6271</v>
      </c>
      <c r="G61" s="137" t="s">
        <v>6418</v>
      </c>
      <c r="H61" s="313" t="s">
        <v>4</v>
      </c>
    </row>
    <row r="62" spans="1:8" ht="26" customHeight="1">
      <c r="A62" s="354" t="s">
        <v>6423</v>
      </c>
      <c r="B62" s="137" t="s">
        <v>6382</v>
      </c>
      <c r="C62" s="298" t="s">
        <v>6424</v>
      </c>
      <c r="D62" s="298" t="s">
        <v>6425</v>
      </c>
      <c r="E62" s="137" t="s">
        <v>6202</v>
      </c>
      <c r="F62" s="137"/>
      <c r="G62" s="137" t="s">
        <v>6418</v>
      </c>
      <c r="H62" s="313" t="s">
        <v>4</v>
      </c>
    </row>
    <row r="63" spans="1:8" ht="26" customHeight="1">
      <c r="A63" s="354" t="s">
        <v>6426</v>
      </c>
      <c r="B63" s="137" t="s">
        <v>6382</v>
      </c>
      <c r="C63" s="298" t="s">
        <v>6427</v>
      </c>
      <c r="D63" s="298" t="s">
        <v>6428</v>
      </c>
      <c r="E63" s="137" t="s">
        <v>6202</v>
      </c>
      <c r="F63" s="137"/>
      <c r="G63" s="137" t="s">
        <v>6429</v>
      </c>
      <c r="H63" s="313" t="s">
        <v>4</v>
      </c>
    </row>
    <row r="64" spans="1:8" ht="26" customHeight="1">
      <c r="A64" s="354" t="s">
        <v>6430</v>
      </c>
      <c r="B64" s="137" t="s">
        <v>6382</v>
      </c>
      <c r="C64" s="298" t="s">
        <v>6431</v>
      </c>
      <c r="D64" s="298" t="s">
        <v>1439</v>
      </c>
      <c r="E64" s="137" t="s">
        <v>6202</v>
      </c>
      <c r="F64" s="137"/>
      <c r="G64" s="137" t="s">
        <v>6429</v>
      </c>
      <c r="H64" s="313" t="s">
        <v>4</v>
      </c>
    </row>
    <row r="65" spans="1:8" ht="26" customHeight="1">
      <c r="A65" s="354" t="s">
        <v>6432</v>
      </c>
      <c r="B65" s="137" t="s">
        <v>6382</v>
      </c>
      <c r="C65" s="298" t="s">
        <v>6433</v>
      </c>
      <c r="D65" s="298" t="s">
        <v>6434</v>
      </c>
      <c r="E65" s="137" t="s">
        <v>6202</v>
      </c>
      <c r="F65" s="137"/>
      <c r="G65" s="137" t="s">
        <v>6429</v>
      </c>
      <c r="H65" s="313" t="s">
        <v>4</v>
      </c>
    </row>
    <row r="66" spans="1:8" ht="26" customHeight="1">
      <c r="A66" s="354" t="s">
        <v>6435</v>
      </c>
      <c r="B66" s="137" t="s">
        <v>6382</v>
      </c>
      <c r="C66" s="298" t="s">
        <v>6436</v>
      </c>
      <c r="D66" s="298" t="s">
        <v>6437</v>
      </c>
      <c r="E66" s="137" t="s">
        <v>6202</v>
      </c>
      <c r="F66" s="137"/>
      <c r="G66" s="137" t="s">
        <v>6429</v>
      </c>
      <c r="H66" s="313" t="s">
        <v>4</v>
      </c>
    </row>
    <row r="67" spans="1:8" ht="26" customHeight="1">
      <c r="A67" s="354" t="s">
        <v>6438</v>
      </c>
      <c r="B67" s="137" t="s">
        <v>6382</v>
      </c>
      <c r="C67" s="298" t="s">
        <v>6439</v>
      </c>
      <c r="D67" s="298" t="s">
        <v>1437</v>
      </c>
      <c r="E67" s="137" t="s">
        <v>6202</v>
      </c>
      <c r="F67" s="137"/>
      <c r="G67" s="137" t="s">
        <v>6429</v>
      </c>
      <c r="H67" s="313" t="s">
        <v>4</v>
      </c>
    </row>
    <row r="68" spans="1:8" ht="26" customHeight="1">
      <c r="A68" s="354" t="s">
        <v>6440</v>
      </c>
      <c r="B68" s="137" t="s">
        <v>6441</v>
      </c>
      <c r="C68" s="298" t="s">
        <v>6442</v>
      </c>
      <c r="D68" s="298" t="s">
        <v>6443</v>
      </c>
      <c r="E68" s="137" t="s">
        <v>6202</v>
      </c>
      <c r="F68" s="137" t="s">
        <v>6271</v>
      </c>
      <c r="G68" s="137" t="s">
        <v>6444</v>
      </c>
      <c r="H68" s="313" t="s">
        <v>4</v>
      </c>
    </row>
    <row r="69" spans="1:8" ht="26" customHeight="1">
      <c r="A69" s="354" t="s">
        <v>6445</v>
      </c>
      <c r="B69" s="137" t="s">
        <v>6441</v>
      </c>
      <c r="C69" s="298" t="s">
        <v>6446</v>
      </c>
      <c r="D69" s="298" t="s">
        <v>1049</v>
      </c>
      <c r="E69" s="137" t="s">
        <v>6202</v>
      </c>
      <c r="F69" s="137"/>
      <c r="G69" s="137" t="s">
        <v>6444</v>
      </c>
      <c r="H69" s="313" t="s">
        <v>4</v>
      </c>
    </row>
    <row r="70" spans="1:8" ht="26" customHeight="1">
      <c r="A70" s="354" t="s">
        <v>6447</v>
      </c>
      <c r="B70" s="137" t="s">
        <v>6441</v>
      </c>
      <c r="C70" s="298" t="s">
        <v>6448</v>
      </c>
      <c r="D70" s="298" t="s">
        <v>913</v>
      </c>
      <c r="E70" s="137" t="s">
        <v>6202</v>
      </c>
      <c r="F70" s="137" t="s">
        <v>6271</v>
      </c>
      <c r="G70" s="137" t="s">
        <v>6444</v>
      </c>
      <c r="H70" s="313" t="s">
        <v>4</v>
      </c>
    </row>
    <row r="71" spans="1:8" ht="26" customHeight="1">
      <c r="A71" s="354" t="s">
        <v>6449</v>
      </c>
      <c r="B71" s="137" t="s">
        <v>6441</v>
      </c>
      <c r="C71" s="298" t="s">
        <v>6450</v>
      </c>
      <c r="D71" s="298" t="s">
        <v>6451</v>
      </c>
      <c r="E71" s="137" t="s">
        <v>6202</v>
      </c>
      <c r="F71" s="137"/>
      <c r="G71" s="137" t="s">
        <v>6444</v>
      </c>
      <c r="H71" s="313" t="s">
        <v>4</v>
      </c>
    </row>
    <row r="72" spans="1:8" ht="26" customHeight="1">
      <c r="A72" s="354" t="s">
        <v>6452</v>
      </c>
      <c r="B72" s="137" t="s">
        <v>6441</v>
      </c>
      <c r="C72" s="298" t="s">
        <v>6453</v>
      </c>
      <c r="D72" s="298" t="s">
        <v>6454</v>
      </c>
      <c r="E72" s="137" t="s">
        <v>6202</v>
      </c>
      <c r="F72" s="137" t="s">
        <v>6271</v>
      </c>
      <c r="G72" s="137" t="s">
        <v>6455</v>
      </c>
      <c r="H72" s="313" t="s">
        <v>4</v>
      </c>
    </row>
    <row r="73" spans="1:8" ht="26" customHeight="1">
      <c r="A73" s="354" t="s">
        <v>6456</v>
      </c>
      <c r="B73" s="137" t="s">
        <v>6441</v>
      </c>
      <c r="C73" s="298" t="s">
        <v>6457</v>
      </c>
      <c r="D73" s="298" t="s">
        <v>2621</v>
      </c>
      <c r="E73" s="137" t="s">
        <v>6202</v>
      </c>
      <c r="F73" s="137" t="s">
        <v>6271</v>
      </c>
      <c r="G73" s="137" t="s">
        <v>6455</v>
      </c>
      <c r="H73" s="313" t="s">
        <v>4</v>
      </c>
    </row>
    <row r="74" spans="1:8" ht="26" customHeight="1">
      <c r="A74" s="354" t="s">
        <v>6458</v>
      </c>
      <c r="B74" s="137" t="s">
        <v>6441</v>
      </c>
      <c r="C74" s="298" t="s">
        <v>6459</v>
      </c>
      <c r="D74" s="298" t="s">
        <v>6460</v>
      </c>
      <c r="E74" s="137" t="s">
        <v>6202</v>
      </c>
      <c r="F74" s="137"/>
      <c r="G74" s="137" t="s">
        <v>6455</v>
      </c>
      <c r="H74" s="313" t="s">
        <v>4</v>
      </c>
    </row>
    <row r="75" spans="1:8" ht="26" customHeight="1">
      <c r="A75" s="354" t="s">
        <v>6461</v>
      </c>
      <c r="B75" s="137" t="s">
        <v>6441</v>
      </c>
      <c r="C75" s="298" t="s">
        <v>6462</v>
      </c>
      <c r="D75" s="298" t="s">
        <v>6463</v>
      </c>
      <c r="E75" s="137" t="s">
        <v>6202</v>
      </c>
      <c r="F75" s="137"/>
      <c r="G75" s="137" t="s">
        <v>6455</v>
      </c>
      <c r="H75" s="313" t="s">
        <v>4</v>
      </c>
    </row>
    <row r="76" spans="1:8" ht="26" customHeight="1">
      <c r="A76" s="354" t="s">
        <v>6464</v>
      </c>
      <c r="B76" s="137" t="s">
        <v>6441</v>
      </c>
      <c r="C76" s="298" t="s">
        <v>6465</v>
      </c>
      <c r="D76" s="298" t="s">
        <v>1439</v>
      </c>
      <c r="E76" s="137" t="s">
        <v>6202</v>
      </c>
      <c r="F76" s="137"/>
      <c r="G76" s="137" t="s">
        <v>6455</v>
      </c>
      <c r="H76" s="313" t="s">
        <v>4</v>
      </c>
    </row>
    <row r="77" spans="1:8" ht="26" customHeight="1">
      <c r="A77" s="354" t="s">
        <v>6466</v>
      </c>
      <c r="B77" s="137" t="s">
        <v>6467</v>
      </c>
      <c r="C77" s="298" t="s">
        <v>6468</v>
      </c>
      <c r="D77" s="298" t="s">
        <v>2585</v>
      </c>
      <c r="E77" s="137" t="s">
        <v>6202</v>
      </c>
      <c r="F77" s="137" t="s">
        <v>6271</v>
      </c>
      <c r="G77" s="137" t="s">
        <v>6469</v>
      </c>
      <c r="H77" s="313" t="s">
        <v>4</v>
      </c>
    </row>
    <row r="78" spans="1:8" ht="26" customHeight="1">
      <c r="A78" s="354" t="s">
        <v>6470</v>
      </c>
      <c r="B78" s="137" t="s">
        <v>6467</v>
      </c>
      <c r="C78" s="298" t="s">
        <v>6471</v>
      </c>
      <c r="D78" s="298" t="s">
        <v>6472</v>
      </c>
      <c r="E78" s="137" t="s">
        <v>6202</v>
      </c>
      <c r="F78" s="137"/>
      <c r="G78" s="137" t="s">
        <v>6469</v>
      </c>
      <c r="H78" s="313" t="s">
        <v>4</v>
      </c>
    </row>
    <row r="79" spans="1:8" ht="26" customHeight="1">
      <c r="A79" s="354" t="s">
        <v>6473</v>
      </c>
      <c r="B79" s="137" t="s">
        <v>6467</v>
      </c>
      <c r="C79" s="298" t="s">
        <v>6474</v>
      </c>
      <c r="D79" s="298" t="s">
        <v>2520</v>
      </c>
      <c r="E79" s="137" t="s">
        <v>6202</v>
      </c>
      <c r="F79" s="137"/>
      <c r="G79" s="137" t="s">
        <v>6469</v>
      </c>
      <c r="H79" s="313" t="s">
        <v>4</v>
      </c>
    </row>
    <row r="80" spans="1:8" ht="26" customHeight="1">
      <c r="A80" s="354" t="s">
        <v>6475</v>
      </c>
      <c r="B80" s="137" t="s">
        <v>6467</v>
      </c>
      <c r="C80" s="298" t="s">
        <v>6476</v>
      </c>
      <c r="D80" s="298" t="s">
        <v>1254</v>
      </c>
      <c r="E80" s="137" t="s">
        <v>6202</v>
      </c>
      <c r="F80" s="137" t="s">
        <v>6271</v>
      </c>
      <c r="G80" s="137" t="s">
        <v>6477</v>
      </c>
      <c r="H80" s="313" t="s">
        <v>4</v>
      </c>
    </row>
    <row r="81" spans="1:8" ht="26" customHeight="1">
      <c r="A81" s="354" t="s">
        <v>6478</v>
      </c>
      <c r="B81" s="137" t="s">
        <v>6467</v>
      </c>
      <c r="C81" s="298" t="s">
        <v>6479</v>
      </c>
      <c r="D81" s="298" t="s">
        <v>2501</v>
      </c>
      <c r="E81" s="137" t="s">
        <v>6202</v>
      </c>
      <c r="F81" s="137"/>
      <c r="G81" s="137" t="s">
        <v>6477</v>
      </c>
      <c r="H81" s="313" t="s">
        <v>4</v>
      </c>
    </row>
    <row r="82" spans="1:8" ht="26" customHeight="1">
      <c r="A82" s="354" t="s">
        <v>6480</v>
      </c>
      <c r="B82" s="137" t="s">
        <v>6467</v>
      </c>
      <c r="C82" s="298" t="s">
        <v>6481</v>
      </c>
      <c r="D82" s="298" t="s">
        <v>2692</v>
      </c>
      <c r="E82" s="137" t="s">
        <v>6202</v>
      </c>
      <c r="F82" s="137"/>
      <c r="G82" s="137" t="s">
        <v>6477</v>
      </c>
      <c r="H82" s="313" t="s">
        <v>4</v>
      </c>
    </row>
    <row r="83" spans="1:8" ht="26" customHeight="1">
      <c r="A83" s="354" t="s">
        <v>6482</v>
      </c>
      <c r="B83" s="137" t="s">
        <v>6467</v>
      </c>
      <c r="C83" s="298" t="s">
        <v>6483</v>
      </c>
      <c r="D83" s="298" t="s">
        <v>6484</v>
      </c>
      <c r="E83" s="137" t="s">
        <v>6202</v>
      </c>
      <c r="F83" s="137"/>
      <c r="G83" s="137" t="s">
        <v>6485</v>
      </c>
      <c r="H83" s="313" t="s">
        <v>4</v>
      </c>
    </row>
    <row r="84" spans="1:8" ht="26" customHeight="1">
      <c r="A84" s="354" t="s">
        <v>6486</v>
      </c>
      <c r="B84" s="137" t="s">
        <v>6467</v>
      </c>
      <c r="C84" s="298" t="s">
        <v>6487</v>
      </c>
      <c r="D84" s="298" t="s">
        <v>6488</v>
      </c>
      <c r="E84" s="137" t="s">
        <v>6202</v>
      </c>
      <c r="F84" s="137" t="s">
        <v>6271</v>
      </c>
      <c r="G84" s="137" t="s">
        <v>6485</v>
      </c>
      <c r="H84" s="313" t="s">
        <v>4</v>
      </c>
    </row>
    <row r="85" spans="1:8" ht="26" customHeight="1">
      <c r="A85" s="354" t="s">
        <v>6489</v>
      </c>
      <c r="B85" s="137" t="s">
        <v>6467</v>
      </c>
      <c r="C85" s="298" t="s">
        <v>6490</v>
      </c>
      <c r="D85" s="298" t="s">
        <v>2678</v>
      </c>
      <c r="E85" s="137" t="s">
        <v>6202</v>
      </c>
      <c r="F85" s="137"/>
      <c r="G85" s="137" t="s">
        <v>6485</v>
      </c>
      <c r="H85" s="313" t="s">
        <v>4</v>
      </c>
    </row>
    <row r="86" spans="1:8" ht="26" customHeight="1">
      <c r="A86" s="354" t="s">
        <v>6491</v>
      </c>
      <c r="B86" s="137" t="s">
        <v>6467</v>
      </c>
      <c r="C86" s="298" t="s">
        <v>6492</v>
      </c>
      <c r="D86" s="298" t="s">
        <v>2684</v>
      </c>
      <c r="E86" s="137" t="s">
        <v>6202</v>
      </c>
      <c r="F86" s="137"/>
      <c r="G86" s="137" t="s">
        <v>6485</v>
      </c>
      <c r="H86" s="313" t="s">
        <v>4</v>
      </c>
    </row>
    <row r="87" spans="1:8" ht="26" customHeight="1">
      <c r="A87" s="354" t="s">
        <v>6493</v>
      </c>
      <c r="B87" s="137" t="s">
        <v>6467</v>
      </c>
      <c r="C87" s="298" t="s">
        <v>6494</v>
      </c>
      <c r="D87" s="298" t="s">
        <v>6495</v>
      </c>
      <c r="E87" s="137" t="s">
        <v>6202</v>
      </c>
      <c r="F87" s="137"/>
      <c r="G87" s="137" t="s">
        <v>6485</v>
      </c>
      <c r="H87" s="313" t="s">
        <v>4</v>
      </c>
    </row>
    <row r="88" spans="1:8" ht="26" customHeight="1">
      <c r="A88" s="354" t="s">
        <v>6496</v>
      </c>
      <c r="B88" s="137" t="s">
        <v>6467</v>
      </c>
      <c r="C88" s="298" t="s">
        <v>6497</v>
      </c>
      <c r="D88" s="298" t="s">
        <v>6498</v>
      </c>
      <c r="E88" s="137" t="s">
        <v>6210</v>
      </c>
      <c r="F88" s="137"/>
      <c r="G88" s="137" t="s">
        <v>6485</v>
      </c>
      <c r="H88" s="313" t="s">
        <v>4</v>
      </c>
    </row>
    <row r="89" spans="1:8" ht="26" customHeight="1">
      <c r="A89" s="354" t="s">
        <v>6499</v>
      </c>
      <c r="B89" s="137" t="s">
        <v>6500</v>
      </c>
      <c r="C89" s="298" t="s">
        <v>6501</v>
      </c>
      <c r="D89" s="298" t="s">
        <v>6502</v>
      </c>
      <c r="E89" s="137" t="s">
        <v>6202</v>
      </c>
      <c r="F89" s="137" t="s">
        <v>6271</v>
      </c>
      <c r="G89" s="137" t="s">
        <v>6503</v>
      </c>
      <c r="H89" s="313" t="s">
        <v>4</v>
      </c>
    </row>
    <row r="90" spans="1:8" ht="26" customHeight="1">
      <c r="A90" s="354" t="s">
        <v>6504</v>
      </c>
      <c r="B90" s="137" t="s">
        <v>6500</v>
      </c>
      <c r="C90" s="298" t="s">
        <v>6505</v>
      </c>
      <c r="D90" s="298" t="s">
        <v>2501</v>
      </c>
      <c r="E90" s="137" t="s">
        <v>6202</v>
      </c>
      <c r="F90" s="137" t="s">
        <v>6271</v>
      </c>
      <c r="G90" s="137" t="s">
        <v>6503</v>
      </c>
      <c r="H90" s="313" t="s">
        <v>4</v>
      </c>
    </row>
    <row r="91" spans="1:8" ht="26" customHeight="1">
      <c r="A91" s="354" t="s">
        <v>6506</v>
      </c>
      <c r="B91" s="137" t="s">
        <v>6500</v>
      </c>
      <c r="C91" s="298" t="s">
        <v>6507</v>
      </c>
      <c r="D91" s="298" t="s">
        <v>6508</v>
      </c>
      <c r="E91" s="137" t="s">
        <v>6202</v>
      </c>
      <c r="F91" s="137"/>
      <c r="G91" s="137" t="s">
        <v>6503</v>
      </c>
      <c r="H91" s="313" t="s">
        <v>4</v>
      </c>
    </row>
    <row r="92" spans="1:8" ht="26" customHeight="1">
      <c r="A92" s="354" t="s">
        <v>6509</v>
      </c>
      <c r="B92" s="137" t="s">
        <v>6500</v>
      </c>
      <c r="C92" s="298" t="s">
        <v>6510</v>
      </c>
      <c r="D92" s="298" t="s">
        <v>6511</v>
      </c>
      <c r="E92" s="137" t="s">
        <v>6202</v>
      </c>
      <c r="F92" s="137"/>
      <c r="G92" s="137" t="s">
        <v>6512</v>
      </c>
      <c r="H92" s="313" t="s">
        <v>4</v>
      </c>
    </row>
    <row r="93" spans="1:8" ht="26" customHeight="1">
      <c r="A93" s="354" t="s">
        <v>6513</v>
      </c>
      <c r="B93" s="137" t="s">
        <v>6500</v>
      </c>
      <c r="C93" s="298" t="s">
        <v>6514</v>
      </c>
      <c r="D93" s="298" t="s">
        <v>6515</v>
      </c>
      <c r="E93" s="137" t="s">
        <v>6202</v>
      </c>
      <c r="F93" s="137"/>
      <c r="G93" s="137" t="s">
        <v>6512</v>
      </c>
      <c r="H93" s="313" t="s">
        <v>4</v>
      </c>
    </row>
    <row r="94" spans="1:8" ht="26" customHeight="1">
      <c r="A94" s="354" t="s">
        <v>6516</v>
      </c>
      <c r="B94" s="137" t="s">
        <v>6500</v>
      </c>
      <c r="C94" s="298" t="s">
        <v>6517</v>
      </c>
      <c r="D94" s="298" t="s">
        <v>1437</v>
      </c>
      <c r="E94" s="137" t="s">
        <v>6202</v>
      </c>
      <c r="F94" s="137"/>
      <c r="G94" s="137" t="s">
        <v>6512</v>
      </c>
      <c r="H94" s="313" t="s">
        <v>4</v>
      </c>
    </row>
    <row r="95" spans="1:8" ht="26" customHeight="1">
      <c r="A95" s="354" t="s">
        <v>6518</v>
      </c>
      <c r="B95" s="137" t="s">
        <v>6500</v>
      </c>
      <c r="C95" s="298" t="s">
        <v>6519</v>
      </c>
      <c r="D95" s="298" t="s">
        <v>609</v>
      </c>
      <c r="E95" s="137" t="s">
        <v>6202</v>
      </c>
      <c r="F95" s="137"/>
      <c r="G95" s="137" t="s">
        <v>6512</v>
      </c>
      <c r="H95" s="313" t="s">
        <v>4</v>
      </c>
    </row>
    <row r="96" spans="1:8" ht="26" customHeight="1">
      <c r="A96" s="354" t="s">
        <v>6520</v>
      </c>
      <c r="B96" s="137" t="s">
        <v>6500</v>
      </c>
      <c r="C96" s="298" t="s">
        <v>6521</v>
      </c>
      <c r="D96" s="298" t="s">
        <v>1439</v>
      </c>
      <c r="E96" s="137" t="s">
        <v>6202</v>
      </c>
      <c r="F96" s="137"/>
      <c r="G96" s="137" t="s">
        <v>6512</v>
      </c>
      <c r="H96" s="313" t="s">
        <v>4</v>
      </c>
    </row>
    <row r="97" spans="1:8" ht="26" customHeight="1">
      <c r="A97" s="355" t="s">
        <v>6522</v>
      </c>
      <c r="B97" s="314" t="s">
        <v>6500</v>
      </c>
      <c r="C97" s="301" t="s">
        <v>6523</v>
      </c>
      <c r="D97" s="301" t="s">
        <v>6524</v>
      </c>
      <c r="E97" s="314" t="s">
        <v>6210</v>
      </c>
      <c r="F97" s="314"/>
      <c r="G97" s="314" t="s">
        <v>6503</v>
      </c>
      <c r="H97" s="315" t="s">
        <v>4</v>
      </c>
    </row>
  </sheetData>
  <autoFilter ref="A6:H97" xr:uid="{AFC42794-AC73-9346-B99D-3DE21002119D}"/>
  <phoneticPr fontId="3"/>
  <conditionalFormatting sqref="E7:E97">
    <cfRule type="expression" dxfId="29" priority="1">
      <formula>$E7="P2"</formula>
    </cfRule>
  </conditionalFormatting>
  <conditionalFormatting sqref="A7:H97">
    <cfRule type="expression" dxfId="28" priority="2">
      <formula>$F7="🔴"</formula>
    </cfRule>
  </conditionalFormatting>
  <conditionalFormatting sqref="B7:B97">
    <cfRule type="expression" dxfId="27" priority="3">
      <formula>$B7="認証系"</formula>
    </cfRule>
  </conditionalFormatting>
  <conditionalFormatting sqref="B7:B97">
    <cfRule type="expression" dxfId="26" priority="4">
      <formula>$B7="プロビジョニング系"</formula>
    </cfRule>
  </conditionalFormatting>
  <conditionalFormatting sqref="B7:B97">
    <cfRule type="expression" dxfId="25" priority="5">
      <formula>$B7="管理コントロールプレーン系"</formula>
    </cfRule>
  </conditionalFormatting>
  <conditionalFormatting sqref="B7:B97">
    <cfRule type="expression" dxfId="24" priority="6">
      <formula>$B7="認可系"</formula>
    </cfRule>
  </conditionalFormatting>
  <conditionalFormatting sqref="B7:B97">
    <cfRule type="expression" dxfId="23" priority="7">
      <formula>$B7="連携系"</formula>
    </cfRule>
  </conditionalFormatting>
  <conditionalFormatting sqref="B7:B97">
    <cfRule type="expression" dxfId="22"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7603</v>
      </c>
    </row>
    <row r="2" spans="1:9">
      <c r="A2" s="381" t="s">
        <v>7604</v>
      </c>
    </row>
    <row r="4" spans="1:9">
      <c r="A4" s="5" t="s">
        <v>5169</v>
      </c>
      <c r="B4" s="5" t="s">
        <v>7605</v>
      </c>
      <c r="C4" s="5" t="s">
        <v>7606</v>
      </c>
      <c r="D4" s="5" t="s">
        <v>5118</v>
      </c>
      <c r="E4" s="5" t="s">
        <v>7607</v>
      </c>
      <c r="F4" s="5" t="s">
        <v>7608</v>
      </c>
      <c r="G4" s="5" t="s">
        <v>7609</v>
      </c>
      <c r="H4" s="5" t="s">
        <v>7610</v>
      </c>
      <c r="I4" s="5" t="s">
        <v>666</v>
      </c>
    </row>
    <row r="5" spans="1:9" ht="110" customHeight="1">
      <c r="A5" s="382" t="s">
        <v>7611</v>
      </c>
      <c r="B5" s="394">
        <v>46261</v>
      </c>
      <c r="C5" s="383"/>
      <c r="D5" s="384" t="s">
        <v>7612</v>
      </c>
      <c r="E5" s="384" t="s">
        <v>7613</v>
      </c>
      <c r="F5" s="384" t="s">
        <v>7614</v>
      </c>
      <c r="G5" s="384" t="s">
        <v>7615</v>
      </c>
      <c r="H5" s="384" t="s">
        <v>2234</v>
      </c>
      <c r="I5" s="385" t="s">
        <v>7616</v>
      </c>
    </row>
    <row r="6" spans="1:9" ht="110" customHeight="1">
      <c r="A6" s="386" t="s">
        <v>7617</v>
      </c>
      <c r="B6" s="395">
        <v>46261</v>
      </c>
      <c r="C6" s="387"/>
      <c r="D6" s="388" t="s">
        <v>7618</v>
      </c>
      <c r="E6" s="388" t="s">
        <v>7619</v>
      </c>
      <c r="F6" s="388" t="s">
        <v>7620</v>
      </c>
      <c r="G6" s="388" t="s">
        <v>7621</v>
      </c>
      <c r="H6" s="388" t="s">
        <v>7622</v>
      </c>
      <c r="I6" s="389" t="s">
        <v>7616</v>
      </c>
    </row>
    <row r="7" spans="1:9" ht="110" customHeight="1">
      <c r="A7" s="390" t="s">
        <v>7623</v>
      </c>
      <c r="B7" s="396">
        <v>46261</v>
      </c>
      <c r="C7" s="391"/>
      <c r="D7" s="392" t="s">
        <v>7624</v>
      </c>
      <c r="E7" s="392" t="s">
        <v>7625</v>
      </c>
      <c r="F7" s="392" t="s">
        <v>7626</v>
      </c>
      <c r="G7" s="392" t="s">
        <v>7627</v>
      </c>
      <c r="H7" s="392" t="s">
        <v>5173</v>
      </c>
      <c r="I7" s="393" t="s">
        <v>7616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1" priority="1">
      <formula>$I5="回答確定"</formula>
    </cfRule>
  </conditionalFormatting>
  <conditionalFormatting sqref="I5:I200">
    <cfRule type="expression" dxfId="20" priority="2">
      <formula>$I5="検討中"</formula>
    </cfRule>
  </conditionalFormatting>
  <conditionalFormatting sqref="I5:I200">
    <cfRule type="expression" dxfId="19"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8639</v>
      </c>
      <c r="Y1" s="374" t="s">
        <v>8649</v>
      </c>
      <c r="Z1" s="374"/>
    </row>
    <row r="2" spans="1:26">
      <c r="A2" s="374" t="s">
        <v>8640</v>
      </c>
      <c r="Y2" s="461" t="s">
        <v>7812</v>
      </c>
      <c r="Z2" s="461" t="s">
        <v>665</v>
      </c>
    </row>
    <row r="3" spans="1:26">
      <c r="Y3" t="s">
        <v>7814</v>
      </c>
      <c r="Z3" t="s">
        <v>8650</v>
      </c>
    </row>
    <row r="4" spans="1:26">
      <c r="A4" s="455" t="s">
        <v>8641</v>
      </c>
      <c r="Y4" t="s">
        <v>7815</v>
      </c>
      <c r="Z4" t="s">
        <v>8650</v>
      </c>
    </row>
    <row r="5" spans="1:26">
      <c r="A5" s="5" t="s">
        <v>8642</v>
      </c>
      <c r="B5" s="5" t="s">
        <v>8643</v>
      </c>
      <c r="C5" s="5" t="s">
        <v>8644</v>
      </c>
      <c r="D5" s="5" t="s">
        <v>8645</v>
      </c>
      <c r="E5" s="5" t="s">
        <v>8646</v>
      </c>
      <c r="F5" s="5" t="s">
        <v>8647</v>
      </c>
      <c r="Y5" t="s">
        <v>7816</v>
      </c>
      <c r="Z5" t="s">
        <v>8650</v>
      </c>
    </row>
    <row r="6" spans="1:26">
      <c r="A6" t="s">
        <v>8276</v>
      </c>
      <c r="B6" s="457">
        <f>COUNTIFS('WBS(基本設計)'!$J$7:$J$456,$A6)</f>
        <v>355</v>
      </c>
      <c r="C6" s="457">
        <f>SUMIFS('WBS(基本設計)'!$G$7:$G$456,'WBS(基本設計)'!$J$7:$J$456,$A6)</f>
        <v>585.5</v>
      </c>
      <c r="D6" s="457" cm="1">
        <f t="array" ref="D6">SUMPRODUCT(('WBS(基本設計)'!$J$7:$J$456=$A6)*(NOT(ISNUMBER(SEARCH("（不採用）",'WBS(基本設計)'!$M$7:$M$456))))*('WBS(基本設計)'!$A$7:$A$456&lt;&gt;""))</f>
        <v>328</v>
      </c>
      <c r="E6" s="457" cm="1">
        <f t="array" ref="E6">SUMPRODUCT(('WBS(基本設計)'!$J$7:$J$456=$A6)*(NOT(ISNUMBER(SEARCH("（不採用）",'WBS(基本設計)'!$M$7:$M$456))))*'WBS(基本設計)'!$G$7:$G$456)</f>
        <v>536.5</v>
      </c>
      <c r="F6" s="6">
        <f>IFERROR($E6/$E$10,0)</f>
        <v>0.76207386363636365</v>
      </c>
      <c r="Y6" t="s">
        <v>7817</v>
      </c>
      <c r="Z6" t="s">
        <v>8650</v>
      </c>
    </row>
    <row r="7" spans="1:26">
      <c r="A7" t="s">
        <v>8278</v>
      </c>
      <c r="B7" s="457">
        <f>COUNTIFS('WBS(基本設計)'!$J$7:$J$456,$A7)</f>
        <v>40</v>
      </c>
      <c r="C7" s="457">
        <f>SUMIFS('WBS(基本設計)'!$G$7:$G$456,'WBS(基本設計)'!$J$7:$J$456,$A7)</f>
        <v>95.5</v>
      </c>
      <c r="D7" s="457" cm="1">
        <f t="array" ref="D7">SUMPRODUCT(('WBS(基本設計)'!$J$7:$J$456=$A7)*(NOT(ISNUMBER(SEARCH("（不採用）",'WBS(基本設計)'!$M$7:$M$456))))*('WBS(基本設計)'!$A$7:$A$456&lt;&gt;""))</f>
        <v>40</v>
      </c>
      <c r="E7" s="457" cm="1">
        <f t="array" ref="E7">SUMPRODUCT(('WBS(基本設計)'!$J$7:$J$456=$A7)*(NOT(ISNUMBER(SEARCH("（不採用）",'WBS(基本設計)'!$M$7:$M$456))))*'WBS(基本設計)'!$G$7:$G$456)</f>
        <v>95.5</v>
      </c>
      <c r="F7" s="6">
        <f>IFERROR($E7/$E$10,0)</f>
        <v>0.13565340909090909</v>
      </c>
      <c r="Y7" t="s">
        <v>7818</v>
      </c>
      <c r="Z7" t="s">
        <v>8650</v>
      </c>
    </row>
    <row r="8" spans="1:26">
      <c r="A8" t="s">
        <v>8274</v>
      </c>
      <c r="B8" s="457">
        <f>COUNTIFS('WBS(基本設計)'!$J$7:$J$456,$A8)</f>
        <v>47</v>
      </c>
      <c r="C8" s="457">
        <f>SUMIFS('WBS(基本設計)'!$G$7:$G$456,'WBS(基本設計)'!$J$7:$J$456,$A8)</f>
        <v>57.5</v>
      </c>
      <c r="D8" s="457" cm="1">
        <f t="array" ref="D8">SUMPRODUCT(('WBS(基本設計)'!$J$7:$J$456=$A8)*(NOT(ISNUMBER(SEARCH("（不採用）",'WBS(基本設計)'!$M$7:$M$456))))*('WBS(基本設計)'!$A$7:$A$456&lt;&gt;""))</f>
        <v>45</v>
      </c>
      <c r="E8" s="457" cm="1">
        <f t="array" ref="E8">SUMPRODUCT(('WBS(基本設計)'!$J$7:$J$456=$A8)*(NOT(ISNUMBER(SEARCH("（不採用）",'WBS(基本設計)'!$M$7:$M$456))))*'WBS(基本設計)'!$G$7:$G$456)</f>
        <v>56.5</v>
      </c>
      <c r="F8" s="6">
        <f>IFERROR($E8/$E$10,0)</f>
        <v>8.0255681818181823E-2</v>
      </c>
      <c r="Y8" t="s">
        <v>7819</v>
      </c>
      <c r="Z8" t="s">
        <v>8650</v>
      </c>
    </row>
    <row r="9" spans="1:26">
      <c r="A9" t="s">
        <v>8277</v>
      </c>
      <c r="B9" s="457">
        <f>COUNTIFS('WBS(基本設計)'!$J$7:$J$456,$A9)</f>
        <v>8</v>
      </c>
      <c r="C9" s="457">
        <f>SUMIFS('WBS(基本設計)'!$G$7:$G$456,'WBS(基本設計)'!$J$7:$J$456,$A9)</f>
        <v>15.5</v>
      </c>
      <c r="D9" s="457" cm="1">
        <f t="array" ref="D9">SUMPRODUCT(('WBS(基本設計)'!$J$7:$J$456=$A9)*(NOT(ISNUMBER(SEARCH("（不採用）",'WBS(基本設計)'!$M$7:$M$456))))*('WBS(基本設計)'!$A$7:$A$456&lt;&gt;""))</f>
        <v>8</v>
      </c>
      <c r="E9" s="457" cm="1">
        <f t="array" ref="E9">SUMPRODUCT(('WBS(基本設計)'!$J$7:$J$456=$A9)*(NOT(ISNUMBER(SEARCH("（不採用）",'WBS(基本設計)'!$M$7:$M$456))))*'WBS(基本設計)'!$G$7:$G$456)</f>
        <v>15.5</v>
      </c>
      <c r="F9" s="6">
        <f>IFERROR($E9/$E$10,0)</f>
        <v>2.2017045454545456E-2</v>
      </c>
      <c r="Y9" t="s">
        <v>7824</v>
      </c>
      <c r="Z9" t="s">
        <v>477</v>
      </c>
    </row>
    <row r="10" spans="1:26">
      <c r="A10" s="456" t="s">
        <v>7</v>
      </c>
      <c r="B10" s="458">
        <f>SUM(B6:B9)</f>
        <v>450</v>
      </c>
      <c r="C10" s="458">
        <f>SUM(C6:C9)</f>
        <v>754</v>
      </c>
      <c r="D10" s="458">
        <f>SUM(D6:D9)</f>
        <v>421</v>
      </c>
      <c r="E10" s="458">
        <f>SUM(E6:E9)</f>
        <v>704</v>
      </c>
      <c r="F10" s="459">
        <f>SUM(F6:F9)</f>
        <v>1</v>
      </c>
      <c r="Y10" t="s">
        <v>7825</v>
      </c>
      <c r="Z10" t="s">
        <v>477</v>
      </c>
    </row>
    <row r="11" spans="1:26">
      <c r="A11" s="460" t="s">
        <v>8648</v>
      </c>
      <c r="Y11" t="s">
        <v>7826</v>
      </c>
      <c r="Z11" t="s">
        <v>477</v>
      </c>
    </row>
    <row r="12" spans="1:26">
      <c r="Y12" t="s">
        <v>7827</v>
      </c>
      <c r="Z12" t="s">
        <v>477</v>
      </c>
    </row>
    <row r="13" spans="1:26">
      <c r="A13" s="455" t="s">
        <v>8655</v>
      </c>
      <c r="Y13" t="s">
        <v>7829</v>
      </c>
      <c r="Z13" t="s">
        <v>477</v>
      </c>
    </row>
    <row r="14" spans="1:26">
      <c r="A14" s="423" t="s">
        <v>665</v>
      </c>
      <c r="B14" s="423" t="s">
        <v>8276</v>
      </c>
      <c r="C14" s="423" t="s">
        <v>8278</v>
      </c>
      <c r="D14" s="423" t="s">
        <v>8274</v>
      </c>
      <c r="E14" s="423" t="s">
        <v>8277</v>
      </c>
      <c r="F14" s="423" t="s">
        <v>8656</v>
      </c>
      <c r="Y14" t="s">
        <v>7964</v>
      </c>
      <c r="Z14" t="s">
        <v>477</v>
      </c>
    </row>
    <row r="15" spans="1:26">
      <c r="A15" s="325" t="s">
        <v>2740</v>
      </c>
      <c r="B15" s="462" cm="1">
        <f t="array" ref="B15">SUMPRODUCT((IFERROR(VLOOKUP('WBS(基本設計)'!$H$7:$H$456,$Y$3:$Z$42,2,FALSE),"横断")="横断")*('WBS(基本設計)'!$J$7:$J$456="基盤")*(NOT(ISNUMBER(SEARCH("（不採用）",'WBS(基本設計)'!$M$7:$M$456))))*'WBS(基本設計)'!$G$7:$G$456)</f>
        <v>266.5</v>
      </c>
      <c r="C15" s="462" cm="1">
        <f t="array" ref="C15">SUMPRODUCT((IFERROR(VLOOKUP('WBS(基本設計)'!$H$7:$H$456,$Y$3:$Z$42,2,FALSE),"横断")="横断")*('WBS(基本設計)'!$J$7:$J$456="基盤（縮小）")*(NOT(ISNUMBER(SEARCH("（不採用）",'WBS(基本設計)'!$M$7:$M$456))))*'WBS(基本設計)'!$G$7:$G$456)</f>
        <v>89.5</v>
      </c>
      <c r="D15" s="462" cm="1">
        <f t="array" ref="D15">SUMPRODUCT((IFERROR(VLOOKUP('WBS(基本設計)'!$H$7:$H$456,$Y$3:$Z$42,2,FALSE),"横断")="横断")*('WBS(基本設計)'!$J$7:$J$456="アプリ移管")*(NOT(ISNUMBER(SEARCH("（不採用）",'WBS(基本設計)'!$M$7:$M$456))))*'WBS(基本設計)'!$G$7:$G$456)</f>
        <v>0</v>
      </c>
      <c r="E15" s="462" cm="1">
        <f t="array" ref="E15">SUMPRODUCT((IFERROR(VLOOKUP('WBS(基本設計)'!$H$7:$H$456,$Y$3:$Z$42,2,FALSE),"横断")="横断")*('WBS(基本設計)'!$J$7:$J$456="追加移管候補")*(NOT(ISNUMBER(SEARCH("（不採用）",'WBS(基本設計)'!$M$7:$M$456))))*'WBS(基本設計)'!$G$7:$G$456)</f>
        <v>2</v>
      </c>
      <c r="F15" s="462">
        <f>SUM(B15:E15)</f>
        <v>358</v>
      </c>
      <c r="Y15" t="s">
        <v>7966</v>
      </c>
      <c r="Z15" t="s">
        <v>477</v>
      </c>
    </row>
    <row r="16" spans="1:26">
      <c r="A16" s="325" t="s">
        <v>8650</v>
      </c>
      <c r="B16" s="462" cm="1">
        <f t="array" ref="B16">SUMPRODUCT((IFERROR(VLOOKUP('WBS(基本設計)'!$H$7:$H$456,$Y$3:$Z$42,2,FALSE),"横断")=$A16)*('WBS(基本設計)'!$J$7:$J$456="基盤")*(NOT(ISNUMBER(SEARCH("（不採用）",'WBS(基本設計)'!$M$7:$M$456))))*'WBS(基本設計)'!$G$7:$G$456)</f>
        <v>100.25</v>
      </c>
      <c r="C16" s="462" cm="1">
        <f t="array" ref="C16">SUMPRODUCT((IFERROR(VLOOKUP('WBS(基本設計)'!$H$7:$H$456,$Y$3:$Z$42,2,FALSE),"横断")=$A16)*('WBS(基本設計)'!$J$7:$J$456="基盤（縮小）")*(NOT(ISNUMBER(SEARCH("（不採用）",'WBS(基本設計)'!$M$7:$M$456))))*'WBS(基本設計)'!$G$7:$G$456)</f>
        <v>0</v>
      </c>
      <c r="D16" s="462" cm="1">
        <f t="array" ref="D16">SUMPRODUCT((IFERROR(VLOOKUP('WBS(基本設計)'!$H$7:$H$456,$Y$3:$Z$42,2,FALSE),"横断")=$A16)*('WBS(基本設計)'!$J$7:$J$456="アプリ移管")*(NOT(ISNUMBER(SEARCH("（不採用）",'WBS(基本設計)'!$M$7:$M$456))))*'WBS(基本設計)'!$G$7:$G$456)</f>
        <v>0</v>
      </c>
      <c r="E16" s="462" cm="1">
        <f t="array" ref="E16">SUMPRODUCT((IFERROR(VLOOKUP('WBS(基本設計)'!$H$7:$H$456,$Y$3:$Z$42,2,FALSE),"横断")=$A16)*('WBS(基本設計)'!$J$7:$J$456="追加移管候補")*(NOT(ISNUMBER(SEARCH("（不採用）",'WBS(基本設計)'!$M$7:$M$456))))*'WBS(基本設計)'!$G$7:$G$456)</f>
        <v>0</v>
      </c>
      <c r="F16" s="462">
        <f>SUM(B16:E16)</f>
        <v>100.25</v>
      </c>
      <c r="Y16" t="s">
        <v>7830</v>
      </c>
      <c r="Z16" t="s">
        <v>8651</v>
      </c>
    </row>
    <row r="17" spans="1:26">
      <c r="A17" s="325" t="s">
        <v>477</v>
      </c>
      <c r="B17" s="462" cm="1">
        <f t="array" ref="B17">SUMPRODUCT((IFERROR(VLOOKUP('WBS(基本設計)'!$H$7:$H$456,$Y$3:$Z$42,2,FALSE),"横断")=$A17)*('WBS(基本設計)'!$J$7:$J$456="基盤")*(NOT(ISNUMBER(SEARCH("（不採用）",'WBS(基本設計)'!$M$7:$M$456))))*'WBS(基本設計)'!$G$7:$G$456)</f>
        <v>43.25</v>
      </c>
      <c r="C17" s="462" cm="1">
        <f t="array" ref="C17">SUMPRODUCT((IFERROR(VLOOKUP('WBS(基本設計)'!$H$7:$H$456,$Y$3:$Z$42,2,FALSE),"横断")=$A17)*('WBS(基本設計)'!$J$7:$J$456="基盤（縮小）")*(NOT(ISNUMBER(SEARCH("（不採用）",'WBS(基本設計)'!$M$7:$M$456))))*'WBS(基本設計)'!$G$7:$G$456)</f>
        <v>3</v>
      </c>
      <c r="D17" s="462" cm="1">
        <f t="array" ref="D17">SUMPRODUCT((IFERROR(VLOOKUP('WBS(基本設計)'!$H$7:$H$456,$Y$3:$Z$42,2,FALSE),"横断")=$A17)*('WBS(基本設計)'!$J$7:$J$456="アプリ移管")*(NOT(ISNUMBER(SEARCH("（不採用）",'WBS(基本設計)'!$M$7:$M$456))))*'WBS(基本設計)'!$G$7:$G$456)</f>
        <v>8.5</v>
      </c>
      <c r="E17" s="462" cm="1">
        <f t="array" ref="E17">SUMPRODUCT((IFERROR(VLOOKUP('WBS(基本設計)'!$H$7:$H$456,$Y$3:$Z$42,2,FALSE),"横断")=$A17)*('WBS(基本設計)'!$J$7:$J$456="追加移管候補")*(NOT(ISNUMBER(SEARCH("（不採用）",'WBS(基本設計)'!$M$7:$M$456))))*'WBS(基本設計)'!$G$7:$G$456)</f>
        <v>0</v>
      </c>
      <c r="F17" s="462">
        <f>SUM(B17:E17)</f>
        <v>54.75</v>
      </c>
      <c r="Y17" t="s">
        <v>7832</v>
      </c>
      <c r="Z17" t="s">
        <v>8651</v>
      </c>
    </row>
    <row r="18" spans="1:26">
      <c r="A18" s="325" t="s">
        <v>8651</v>
      </c>
      <c r="B18" s="462" cm="1">
        <f t="array" ref="B18">SUMPRODUCT((IFERROR(VLOOKUP('WBS(基本設計)'!$H$7:$H$456,$Y$3:$Z$42,2,FALSE),"横断")=$A18)*('WBS(基本設計)'!$J$7:$J$456="基盤")*(NOT(ISNUMBER(SEARCH("（不採用）",'WBS(基本設計)'!$M$7:$M$456))))*'WBS(基本設計)'!$G$7:$G$456)</f>
        <v>57.5</v>
      </c>
      <c r="C18" s="462" cm="1">
        <f t="array" ref="C18">SUMPRODUCT((IFERROR(VLOOKUP('WBS(基本設計)'!$H$7:$H$456,$Y$3:$Z$42,2,FALSE),"横断")=$A18)*('WBS(基本設計)'!$J$7:$J$456="基盤（縮小）")*(NOT(ISNUMBER(SEARCH("（不採用）",'WBS(基本設計)'!$M$7:$M$456))))*'WBS(基本設計)'!$G$7:$G$456)</f>
        <v>0</v>
      </c>
      <c r="D18" s="462" cm="1">
        <f t="array" ref="D18">SUMPRODUCT((IFERROR(VLOOKUP('WBS(基本設計)'!$H$7:$H$456,$Y$3:$Z$42,2,FALSE),"横断")=$A18)*('WBS(基本設計)'!$J$7:$J$456="アプリ移管")*(NOT(ISNUMBER(SEARCH("（不採用）",'WBS(基本設計)'!$M$7:$M$456))))*'WBS(基本設計)'!$G$7:$G$456)</f>
        <v>22.75</v>
      </c>
      <c r="E18" s="462" cm="1">
        <f t="array" ref="E18">SUMPRODUCT((IFERROR(VLOOKUP('WBS(基本設計)'!$H$7:$H$456,$Y$3:$Z$42,2,FALSE),"横断")=$A18)*('WBS(基本設計)'!$J$7:$J$456="追加移管候補")*(NOT(ISNUMBER(SEARCH("（不採用）",'WBS(基本設計)'!$M$7:$M$456))))*'WBS(基本設計)'!$G$7:$G$456)</f>
        <v>13.5</v>
      </c>
      <c r="F18" s="462">
        <f>SUM(B18:E18)</f>
        <v>93.75</v>
      </c>
      <c r="Y18" t="s">
        <v>7833</v>
      </c>
      <c r="Z18" t="s">
        <v>8651</v>
      </c>
    </row>
    <row r="19" spans="1:26">
      <c r="A19" s="325" t="s">
        <v>8652</v>
      </c>
      <c r="B19" s="462" cm="1">
        <f t="array" ref="B19">SUMPRODUCT((IFERROR(VLOOKUP('WBS(基本設計)'!$H$7:$H$456,$Y$3:$Z$42,2,FALSE),"横断")=$A19)*('WBS(基本設計)'!$J$7:$J$456="基盤")*(NOT(ISNUMBER(SEARCH("（不採用）",'WBS(基本設計)'!$M$7:$M$456))))*'WBS(基本設計)'!$G$7:$G$456)</f>
        <v>25.5</v>
      </c>
      <c r="C19" s="462" cm="1">
        <f t="array" ref="C19">SUMPRODUCT((IFERROR(VLOOKUP('WBS(基本設計)'!$H$7:$H$456,$Y$3:$Z$42,2,FALSE),"横断")=$A19)*('WBS(基本設計)'!$J$7:$J$456="基盤（縮小）")*(NOT(ISNUMBER(SEARCH("（不採用）",'WBS(基本設計)'!$M$7:$M$456))))*'WBS(基本設計)'!$G$7:$G$456)</f>
        <v>3</v>
      </c>
      <c r="D19" s="462" cm="1">
        <f t="array" ref="D19">SUMPRODUCT((IFERROR(VLOOKUP('WBS(基本設計)'!$H$7:$H$456,$Y$3:$Z$42,2,FALSE),"横断")=$A19)*('WBS(基本設計)'!$J$7:$J$456="アプリ移管")*(NOT(ISNUMBER(SEARCH("（不採用）",'WBS(基本設計)'!$M$7:$M$456))))*'WBS(基本設計)'!$G$7:$G$456)</f>
        <v>18.75</v>
      </c>
      <c r="E19" s="462" cm="1">
        <f t="array" ref="E19">SUMPRODUCT((IFERROR(VLOOKUP('WBS(基本設計)'!$H$7:$H$456,$Y$3:$Z$42,2,FALSE),"横断")=$A19)*('WBS(基本設計)'!$J$7:$J$456="追加移管候補")*(NOT(ISNUMBER(SEARCH("（不採用）",'WBS(基本設計)'!$M$7:$M$456))))*'WBS(基本設計)'!$G$7:$G$456)</f>
        <v>0</v>
      </c>
      <c r="F19" s="462">
        <f>SUM(B19:E19)</f>
        <v>47.25</v>
      </c>
      <c r="Y19" t="s">
        <v>7834</v>
      </c>
      <c r="Z19" t="s">
        <v>8651</v>
      </c>
    </row>
    <row r="20" spans="1:26">
      <c r="A20" s="325" t="s">
        <v>8653</v>
      </c>
      <c r="B20" s="462" cm="1">
        <f t="array" ref="B20">SUMPRODUCT((IFERROR(VLOOKUP('WBS(基本設計)'!$H$7:$H$456,$Y$3:$Z$42,2,FALSE),"横断")=$A20)*('WBS(基本設計)'!$J$7:$J$456="基盤")*(NOT(ISNUMBER(SEARCH("（不採用）",'WBS(基本設計)'!$M$7:$M$456))))*'WBS(基本設計)'!$G$7:$G$456)</f>
        <v>29.75</v>
      </c>
      <c r="C20" s="462" cm="1">
        <f t="array" ref="C20">SUMPRODUCT((IFERROR(VLOOKUP('WBS(基本設計)'!$H$7:$H$456,$Y$3:$Z$42,2,FALSE),"横断")=$A20)*('WBS(基本設計)'!$J$7:$J$456="基盤（縮小）")*(NOT(ISNUMBER(SEARCH("（不採用）",'WBS(基本設計)'!$M$7:$M$456))))*'WBS(基本設計)'!$G$7:$G$456)</f>
        <v>0</v>
      </c>
      <c r="D20" s="462" cm="1">
        <f t="array" ref="D20">SUMPRODUCT((IFERROR(VLOOKUP('WBS(基本設計)'!$H$7:$H$456,$Y$3:$Z$42,2,FALSE),"横断")=$A20)*('WBS(基本設計)'!$J$7:$J$456="アプリ移管")*(NOT(ISNUMBER(SEARCH("（不採用）",'WBS(基本設計)'!$M$7:$M$456))))*'WBS(基本設計)'!$G$7:$G$456)</f>
        <v>6</v>
      </c>
      <c r="E20" s="462" cm="1">
        <f t="array" ref="E20">SUMPRODUCT((IFERROR(VLOOKUP('WBS(基本設計)'!$H$7:$H$456,$Y$3:$Z$42,2,FALSE),"横断")=$A20)*('WBS(基本設計)'!$J$7:$J$456="追加移管候補")*(NOT(ISNUMBER(SEARCH("（不採用）",'WBS(基本設計)'!$M$7:$M$456))))*'WBS(基本設計)'!$G$7:$G$456)</f>
        <v>0</v>
      </c>
      <c r="F20" s="462">
        <f>SUM(B20:E20)</f>
        <v>35.75</v>
      </c>
      <c r="Y20" t="s">
        <v>7839</v>
      </c>
      <c r="Z20" t="s">
        <v>8651</v>
      </c>
    </row>
    <row r="21" spans="1:26">
      <c r="A21" s="325" t="s">
        <v>8654</v>
      </c>
      <c r="B21" s="462" cm="1">
        <f t="array" ref="B21">SUMPRODUCT((IFERROR(VLOOKUP('WBS(基本設計)'!$H$7:$H$456,$Y$3:$Z$42,2,FALSE),"横断")=$A21)*('WBS(基本設計)'!$J$7:$J$456="基盤")*(NOT(ISNUMBER(SEARCH("（不採用）",'WBS(基本設計)'!$M$7:$M$456))))*'WBS(基本設計)'!$G$7:$G$456)</f>
        <v>13.75</v>
      </c>
      <c r="C21" s="462" cm="1">
        <f t="array" ref="C21">SUMPRODUCT((IFERROR(VLOOKUP('WBS(基本設計)'!$H$7:$H$456,$Y$3:$Z$42,2,FALSE),"横断")=$A21)*('WBS(基本設計)'!$J$7:$J$456="基盤（縮小）")*(NOT(ISNUMBER(SEARCH("（不採用）",'WBS(基本設計)'!$M$7:$M$456))))*'WBS(基本設計)'!$G$7:$G$456)</f>
        <v>0</v>
      </c>
      <c r="D21" s="462" cm="1">
        <f t="array" ref="D21">SUMPRODUCT((IFERROR(VLOOKUP('WBS(基本設計)'!$H$7:$H$456,$Y$3:$Z$42,2,FALSE),"横断")=$A21)*('WBS(基本設計)'!$J$7:$J$456="アプリ移管")*(NOT(ISNUMBER(SEARCH("（不採用）",'WBS(基本設計)'!$M$7:$M$456))))*'WBS(基本設計)'!$G$7:$G$456)</f>
        <v>0.5</v>
      </c>
      <c r="E21" s="462" cm="1">
        <f t="array" ref="E21">SUMPRODUCT((IFERROR(VLOOKUP('WBS(基本設計)'!$H$7:$H$456,$Y$3:$Z$42,2,FALSE),"横断")=$A21)*('WBS(基本設計)'!$J$7:$J$456="追加移管候補")*(NOT(ISNUMBER(SEARCH("（不採用）",'WBS(基本設計)'!$M$7:$M$456))))*'WBS(基本設計)'!$G$7:$G$456)</f>
        <v>0</v>
      </c>
      <c r="F21" s="462">
        <f>SUM(B21:E21)</f>
        <v>14.25</v>
      </c>
      <c r="Y21" t="s">
        <v>7840</v>
      </c>
      <c r="Z21" t="s">
        <v>8651</v>
      </c>
    </row>
    <row r="22" spans="1:26">
      <c r="A22" s="463" t="s">
        <v>7</v>
      </c>
      <c r="B22" s="464">
        <f>SUM(B15:B21)</f>
        <v>536.5</v>
      </c>
      <c r="C22" s="464">
        <f>SUM(C15:C21)</f>
        <v>95.5</v>
      </c>
      <c r="D22" s="464">
        <f>SUM(D15:D21)</f>
        <v>56.5</v>
      </c>
      <c r="E22" s="464">
        <f>SUM(E15:E21)</f>
        <v>15.5</v>
      </c>
      <c r="F22" s="464">
        <f>SUM(F15:F21)</f>
        <v>704</v>
      </c>
      <c r="Y22" t="s">
        <v>7957</v>
      </c>
      <c r="Z22" t="s">
        <v>8651</v>
      </c>
    </row>
    <row r="23" spans="1:26">
      <c r="A23" s="460" t="s">
        <v>8657</v>
      </c>
      <c r="Y23" t="s">
        <v>7959</v>
      </c>
      <c r="Z23" t="s">
        <v>8651</v>
      </c>
    </row>
    <row r="24" spans="1:26">
      <c r="Y24" t="s">
        <v>7843</v>
      </c>
      <c r="Z24" t="s">
        <v>8652</v>
      </c>
    </row>
    <row r="25" spans="1:26">
      <c r="A25" s="455" t="s">
        <v>8658</v>
      </c>
      <c r="Y25" t="s">
        <v>7844</v>
      </c>
      <c r="Z25" t="s">
        <v>8652</v>
      </c>
    </row>
    <row r="26" spans="1:26">
      <c r="A26" s="423" t="s">
        <v>665</v>
      </c>
      <c r="B26" s="423" t="s">
        <v>7812</v>
      </c>
      <c r="C26" s="423" t="s">
        <v>8659</v>
      </c>
      <c r="D26" s="423" t="s">
        <v>2528</v>
      </c>
      <c r="E26" s="423" t="s">
        <v>8660</v>
      </c>
      <c r="F26" s="423" t="s">
        <v>8661</v>
      </c>
      <c r="G26" s="423" t="s">
        <v>8642</v>
      </c>
      <c r="Y26" t="s">
        <v>7845</v>
      </c>
      <c r="Z26" t="s">
        <v>8652</v>
      </c>
    </row>
    <row r="27" spans="1:26">
      <c r="A27" s="325" t="str">
        <f>IFERROR(VLOOKUP($B27,$Y$3:$Z$42,2,FALSE),"横断")</f>
        <v>認証</v>
      </c>
      <c r="B27" s="325" t="s">
        <v>7816</v>
      </c>
      <c r="C27" s="462" cm="1">
        <f t="array" ref="C27">SUMPRODUCT(('WBS(基本設計)'!$H$7:$H$456=$B27)*(NOT(ISNUMBER(SEARCH("（不採用）",'WBS(基本設計)'!$M$7:$M$456))))*('WBS(基本設計)'!$A$7:$A$456&lt;&gt;""))</f>
        <v>27</v>
      </c>
      <c r="D27" s="462" cm="1">
        <f t="array" ref="D27">SUMPRODUCT(('WBS(基本設計)'!$H$7:$H$456=$B27)*(NOT(ISNUMBER(SEARCH("（不採用）",'WBS(基本設計)'!$M$7:$M$456))))*'WBS(基本設計)'!$G$7:$G$456)</f>
        <v>58.5</v>
      </c>
      <c r="E27" s="462" cm="1">
        <f t="array" ref="E27">SUMPRODUCT(('WBS(基本設計)'!$H$7:$H$456=$B27)*(LEFT('WBS(基本設計)'!$J$7:$J$456,2)="基盤")*(NOT(ISNUMBER(SEARCH("（不採用）",'WBS(基本設計)'!$M$7:$M$456))))*'WBS(基本設計)'!$G$7:$G$456)</f>
        <v>58.5</v>
      </c>
      <c r="F27" s="462" cm="1">
        <f t="array" ref="F27">SUMPRODUCT(('WBS(基本設計)'!$H$7:$H$456=$B27)*('WBS(基本設計)'!$J$7:$J$456="アプリ移管")*(NOT(ISNUMBER(SEARCH("（不採用）",'WBS(基本設計)'!$M$7:$M$456))))*'WBS(基本設計)'!$G$7:$G$456)</f>
        <v>0</v>
      </c>
      <c r="G27" s="325" t="str">
        <f>IF($D27=0,"—",IF($F27=0,"基盤",IF($E27=0,"アプリ移管","混在")))</f>
        <v>基盤</v>
      </c>
      <c r="Y27" t="s">
        <v>7846</v>
      </c>
      <c r="Z27" t="s">
        <v>8652</v>
      </c>
    </row>
    <row r="28" spans="1:26">
      <c r="A28" s="325" t="str">
        <f>IFERROR(VLOOKUP($B28,$Y$3:$Z$42,2,FALSE),"横断")</f>
        <v>管理</v>
      </c>
      <c r="B28" s="325" t="s">
        <v>7840</v>
      </c>
      <c r="C28" s="462" cm="1">
        <f t="array" ref="C28">SUMPRODUCT(('WBS(基本設計)'!$H$7:$H$456=$B28)*(NOT(ISNUMBER(SEARCH("（不採用）",'WBS(基本設計)'!$M$7:$M$456))))*('WBS(基本設計)'!$A$7:$A$456&lt;&gt;""))</f>
        <v>19</v>
      </c>
      <c r="D28" s="462" cm="1">
        <f t="array" ref="D28">SUMPRODUCT(('WBS(基本設計)'!$H$7:$H$456=$B28)*(NOT(ISNUMBER(SEARCH("（不採用）",'WBS(基本設計)'!$M$7:$M$456))))*'WBS(基本設計)'!$G$7:$G$456)</f>
        <v>31</v>
      </c>
      <c r="E28" s="462" cm="1">
        <f t="array" ref="E28">SUMPRODUCT(('WBS(基本設計)'!$H$7:$H$456=$B28)*(LEFT('WBS(基本設計)'!$J$7:$J$456,2)="基盤")*(NOT(ISNUMBER(SEARCH("（不採用）",'WBS(基本設計)'!$M$7:$M$456))))*'WBS(基本設計)'!$G$7:$G$456)</f>
        <v>17</v>
      </c>
      <c r="F28" s="462" cm="1">
        <f t="array" ref="F28">SUMPRODUCT(('WBS(基本設計)'!$H$7:$H$456=$B28)*('WBS(基本設計)'!$J$7:$J$456="アプリ移管")*(NOT(ISNUMBER(SEARCH("（不採用）",'WBS(基本設計)'!$M$7:$M$456))))*'WBS(基本設計)'!$G$7:$G$456)</f>
        <v>1</v>
      </c>
      <c r="G28" s="325" t="str">
        <f>IF($D28=0,"—",IF($F28=0,"基盤",IF($E28=0,"アプリ移管","混在")))</f>
        <v>混在</v>
      </c>
      <c r="Y28" t="s">
        <v>7851</v>
      </c>
      <c r="Z28" t="s">
        <v>8652</v>
      </c>
    </row>
    <row r="29" spans="1:26">
      <c r="A29" s="325" t="str">
        <f>IFERROR(VLOOKUP($B29,$Y$3:$Z$42,2,FALSE),"横断")</f>
        <v>管理</v>
      </c>
      <c r="B29" s="325" t="s">
        <v>7833</v>
      </c>
      <c r="C29" s="462" cm="1">
        <f t="array" ref="C29">SUMPRODUCT(('WBS(基本設計)'!$H$7:$H$456=$B29)*(NOT(ISNUMBER(SEARCH("（不採用）",'WBS(基本設計)'!$M$7:$M$456))))*('WBS(基本設計)'!$A$7:$A$456&lt;&gt;""))</f>
        <v>17</v>
      </c>
      <c r="D29" s="462" cm="1">
        <f t="array" ref="D29">SUMPRODUCT(('WBS(基本設計)'!$H$7:$H$456=$B29)*(NOT(ISNUMBER(SEARCH("（不採用）",'WBS(基本設計)'!$M$7:$M$456))))*'WBS(基本設計)'!$G$7:$G$456)</f>
        <v>11.75</v>
      </c>
      <c r="E29" s="462" cm="1">
        <f t="array" ref="E29">SUMPRODUCT(('WBS(基本設計)'!$H$7:$H$456=$B29)*(LEFT('WBS(基本設計)'!$J$7:$J$456,2)="基盤")*(NOT(ISNUMBER(SEARCH("（不採用）",'WBS(基本設計)'!$M$7:$M$456))))*'WBS(基本設計)'!$G$7:$G$456)</f>
        <v>0</v>
      </c>
      <c r="F29" s="462" cm="1">
        <f t="array" ref="F29">SUMPRODUCT(('WBS(基本設計)'!$H$7:$H$456=$B29)*('WBS(基本設計)'!$J$7:$J$456="アプリ移管")*(NOT(ISNUMBER(SEARCH("（不採用）",'WBS(基本設計)'!$M$7:$M$456))))*'WBS(基本設計)'!$G$7:$G$456)</f>
        <v>11.75</v>
      </c>
      <c r="G29" s="325" t="str">
        <f>IF($D29=0,"—",IF($F29=0,"基盤",IF($E29=0,"アプリ移管","混在")))</f>
        <v>アプリ移管</v>
      </c>
      <c r="Y29" t="s">
        <v>7958</v>
      </c>
      <c r="Z29" t="s">
        <v>8652</v>
      </c>
    </row>
    <row r="30" spans="1:26">
      <c r="A30" s="325" t="str">
        <f>IFERROR(VLOOKUP($B30,$Y$3:$Z$42,2,FALSE),"横断")</f>
        <v>管理</v>
      </c>
      <c r="B30" s="325" t="s">
        <v>7839</v>
      </c>
      <c r="C30" s="462" cm="1">
        <f t="array" ref="C30">SUMPRODUCT(('WBS(基本設計)'!$H$7:$H$456=$B30)*(NOT(ISNUMBER(SEARCH("（不採用）",'WBS(基本設計)'!$M$7:$M$456))))*('WBS(基本設計)'!$A$7:$A$456&lt;&gt;""))</f>
        <v>13</v>
      </c>
      <c r="D30" s="462" cm="1">
        <f t="array" ref="D30">SUMPRODUCT(('WBS(基本設計)'!$H$7:$H$456=$B30)*(NOT(ISNUMBER(SEARCH("（不採用）",'WBS(基本設計)'!$M$7:$M$456))))*'WBS(基本設計)'!$G$7:$G$456)</f>
        <v>19.75</v>
      </c>
      <c r="E30" s="462" cm="1">
        <f t="array" ref="E30">SUMPRODUCT(('WBS(基本設計)'!$H$7:$H$456=$B30)*(LEFT('WBS(基本設計)'!$J$7:$J$456,2)="基盤")*(NOT(ISNUMBER(SEARCH("（不採用）",'WBS(基本設計)'!$M$7:$M$456))))*'WBS(基本設計)'!$G$7:$G$456)</f>
        <v>19.75</v>
      </c>
      <c r="F30" s="462" cm="1">
        <f t="array" ref="F30">SUMPRODUCT(('WBS(基本設計)'!$H$7:$H$456=$B30)*('WBS(基本設計)'!$J$7:$J$456="アプリ移管")*(NOT(ISNUMBER(SEARCH("（不採用）",'WBS(基本設計)'!$M$7:$M$456))))*'WBS(基本設計)'!$G$7:$G$456)</f>
        <v>0</v>
      </c>
      <c r="G30" s="325" t="str">
        <f>IF($D30=0,"—",IF($F30=0,"基盤",IF($E30=0,"アプリ移管","混在")))</f>
        <v>基盤</v>
      </c>
      <c r="Y30" t="s">
        <v>7852</v>
      </c>
      <c r="Z30" t="s">
        <v>8653</v>
      </c>
    </row>
    <row r="31" spans="1:26">
      <c r="A31" s="325" t="str">
        <f>IFERROR(VLOOKUP($B31,$Y$3:$Z$42,2,FALSE),"横断")</f>
        <v>認可</v>
      </c>
      <c r="B31" s="325" t="s">
        <v>7845</v>
      </c>
      <c r="C31" s="462" cm="1">
        <f t="array" ref="C31">SUMPRODUCT(('WBS(基本設計)'!$H$7:$H$456=$B31)*(NOT(ISNUMBER(SEARCH("（不採用）",'WBS(基本設計)'!$M$7:$M$456))))*('WBS(基本設計)'!$A$7:$A$456&lt;&gt;""))</f>
        <v>9</v>
      </c>
      <c r="D31" s="462" cm="1">
        <f t="array" ref="D31">SUMPRODUCT(('WBS(基本設計)'!$H$7:$H$456=$B31)*(NOT(ISNUMBER(SEARCH("（不採用）",'WBS(基本設計)'!$M$7:$M$456))))*'WBS(基本設計)'!$G$7:$G$456)</f>
        <v>18.5</v>
      </c>
      <c r="E31" s="462" cm="1">
        <f t="array" ref="E31">SUMPRODUCT(('WBS(基本設計)'!$H$7:$H$456=$B31)*(LEFT('WBS(基本設計)'!$J$7:$J$456,2)="基盤")*(NOT(ISNUMBER(SEARCH("（不採用）",'WBS(基本設計)'!$M$7:$M$456))))*'WBS(基本設計)'!$G$7:$G$456)</f>
        <v>16.5</v>
      </c>
      <c r="F31" s="462" cm="1">
        <f t="array" ref="F31">SUMPRODUCT(('WBS(基本設計)'!$H$7:$H$456=$B31)*('WBS(基本設計)'!$J$7:$J$456="アプリ移管")*(NOT(ISNUMBER(SEARCH("（不採用）",'WBS(基本設計)'!$M$7:$M$456))))*'WBS(基本設計)'!$G$7:$G$456)</f>
        <v>2</v>
      </c>
      <c r="G31" s="325" t="str">
        <f>IF($D31=0,"—",IF($F31=0,"基盤",IF($E31=0,"アプリ移管","混在")))</f>
        <v>混在</v>
      </c>
      <c r="Y31" t="s">
        <v>7853</v>
      </c>
      <c r="Z31" t="s">
        <v>8653</v>
      </c>
    </row>
    <row r="32" spans="1:26">
      <c r="A32" s="325" t="str">
        <f>IFERROR(VLOOKUP($B32,$Y$3:$Z$42,2,FALSE),"横断")</f>
        <v>認証</v>
      </c>
      <c r="B32" s="325" t="s">
        <v>7815</v>
      </c>
      <c r="C32" s="462" cm="1">
        <f t="array" ref="C32">SUMPRODUCT(('WBS(基本設計)'!$H$7:$H$456=$B32)*(NOT(ISNUMBER(SEARCH("（不採用）",'WBS(基本設計)'!$M$7:$M$456))))*('WBS(基本設計)'!$A$7:$A$456&lt;&gt;""))</f>
        <v>11</v>
      </c>
      <c r="D32" s="462" cm="1">
        <f t="array" ref="D32">SUMPRODUCT(('WBS(基本設計)'!$H$7:$H$456=$B32)*(NOT(ISNUMBER(SEARCH("（不採用）",'WBS(基本設計)'!$M$7:$M$456))))*'WBS(基本設計)'!$G$7:$G$456)</f>
        <v>13</v>
      </c>
      <c r="E32" s="462" cm="1">
        <f t="array" ref="E32">SUMPRODUCT(('WBS(基本設計)'!$H$7:$H$456=$B32)*(LEFT('WBS(基本設計)'!$J$7:$J$456,2)="基盤")*(NOT(ISNUMBER(SEARCH("（不採用）",'WBS(基本設計)'!$M$7:$M$456))))*'WBS(基本設計)'!$G$7:$G$456)</f>
        <v>13</v>
      </c>
      <c r="F32" s="462" cm="1">
        <f t="array" ref="F32">SUMPRODUCT(('WBS(基本設計)'!$H$7:$H$456=$B32)*('WBS(基本設計)'!$J$7:$J$456="アプリ移管")*(NOT(ISNUMBER(SEARCH("（不採用）",'WBS(基本設計)'!$M$7:$M$456))))*'WBS(基本設計)'!$G$7:$G$456)</f>
        <v>0</v>
      </c>
      <c r="G32" s="325" t="str">
        <f>IF($D32=0,"—",IF($F32=0,"基盤",IF($E32=0,"アプリ移管","混在")))</f>
        <v>基盤</v>
      </c>
      <c r="Y32" t="s">
        <v>7854</v>
      </c>
      <c r="Z32" t="s">
        <v>8653</v>
      </c>
    </row>
    <row r="33" spans="1:26">
      <c r="A33" s="325" t="str">
        <f>IFERROR(VLOOKUP($B33,$Y$3:$Z$42,2,FALSE),"横断")</f>
        <v>管理</v>
      </c>
      <c r="B33" s="325" t="s">
        <v>7830</v>
      </c>
      <c r="C33" s="462" cm="1">
        <f t="array" ref="C33">SUMPRODUCT(('WBS(基本設計)'!$H$7:$H$456=$B33)*(NOT(ISNUMBER(SEARCH("（不採用）",'WBS(基本設計)'!$M$7:$M$456))))*('WBS(基本設計)'!$A$7:$A$456&lt;&gt;""))</f>
        <v>16</v>
      </c>
      <c r="D33" s="462" cm="1">
        <f t="array" ref="D33">SUMPRODUCT(('WBS(基本設計)'!$H$7:$H$456=$B33)*(NOT(ISNUMBER(SEARCH("（不採用）",'WBS(基本設計)'!$M$7:$M$456))))*'WBS(基本設計)'!$G$7:$G$456)</f>
        <v>14.75</v>
      </c>
      <c r="E33" s="462" cm="1">
        <f t="array" ref="E33">SUMPRODUCT(('WBS(基本設計)'!$H$7:$H$456=$B33)*(LEFT('WBS(基本設計)'!$J$7:$J$456,2)="基盤")*(NOT(ISNUMBER(SEARCH("（不採用）",'WBS(基本設計)'!$M$7:$M$456))))*'WBS(基本設計)'!$G$7:$G$456)</f>
        <v>7.75</v>
      </c>
      <c r="F33" s="462" cm="1">
        <f t="array" ref="F33">SUMPRODUCT(('WBS(基本設計)'!$H$7:$H$456=$B33)*('WBS(基本設計)'!$J$7:$J$456="アプリ移管")*(NOT(ISNUMBER(SEARCH("（不採用）",'WBS(基本設計)'!$M$7:$M$456))))*'WBS(基本設計)'!$G$7:$G$456)</f>
        <v>7</v>
      </c>
      <c r="G33" s="325" t="str">
        <f>IF($D33=0,"—",IF($F33=0,"基盤",IF($E33=0,"アプリ移管","混在")))</f>
        <v>混在</v>
      </c>
      <c r="Y33" t="s">
        <v>7857</v>
      </c>
      <c r="Z33" t="s">
        <v>8653</v>
      </c>
    </row>
    <row r="34" spans="1:26">
      <c r="A34" s="325" t="str">
        <f>IFERROR(VLOOKUP($B34,$Y$3:$Z$42,2,FALSE),"横断")</f>
        <v>プロビジョニング</v>
      </c>
      <c r="B34" s="325" t="s">
        <v>7826</v>
      </c>
      <c r="C34" s="462" cm="1">
        <f t="array" ref="C34">SUMPRODUCT(('WBS(基本設計)'!$H$7:$H$456=$B34)*(NOT(ISNUMBER(SEARCH("（不採用）",'WBS(基本設計)'!$M$7:$M$456))))*('WBS(基本設計)'!$A$7:$A$456&lt;&gt;""))</f>
        <v>9</v>
      </c>
      <c r="D34" s="462" cm="1">
        <f t="array" ref="D34">SUMPRODUCT(('WBS(基本設計)'!$H$7:$H$456=$B34)*(NOT(ISNUMBER(SEARCH("（不採用）",'WBS(基本設計)'!$M$7:$M$456))))*'WBS(基本設計)'!$G$7:$G$456)</f>
        <v>15.75</v>
      </c>
      <c r="E34" s="462" cm="1">
        <f t="array" ref="E34">SUMPRODUCT(('WBS(基本設計)'!$H$7:$H$456=$B34)*(LEFT('WBS(基本設計)'!$J$7:$J$456,2)="基盤")*(NOT(ISNUMBER(SEARCH("（不採用）",'WBS(基本設計)'!$M$7:$M$456))))*'WBS(基本設計)'!$G$7:$G$456)</f>
        <v>15.75</v>
      </c>
      <c r="F34" s="462" cm="1">
        <f t="array" ref="F34">SUMPRODUCT(('WBS(基本設計)'!$H$7:$H$456=$B34)*('WBS(基本設計)'!$J$7:$J$456="アプリ移管")*(NOT(ISNUMBER(SEARCH("（不採用）",'WBS(基本設計)'!$M$7:$M$456))))*'WBS(基本設計)'!$G$7:$G$456)</f>
        <v>0</v>
      </c>
      <c r="G34" s="325" t="str">
        <f>IF($D34=0,"—",IF($F34=0,"基盤",IF($E34=0,"アプリ移管","混在")))</f>
        <v>基盤</v>
      </c>
      <c r="Y34" t="s">
        <v>7858</v>
      </c>
      <c r="Z34" t="s">
        <v>8653</v>
      </c>
    </row>
    <row r="35" spans="1:26">
      <c r="A35" s="325" t="str">
        <f>IFERROR(VLOOKUP($B35,$Y$3:$Z$42,2,FALSE),"横断")</f>
        <v>認証</v>
      </c>
      <c r="B35" s="325" t="s">
        <v>7817</v>
      </c>
      <c r="C35" s="462" cm="1">
        <f t="array" ref="C35">SUMPRODUCT(('WBS(基本設計)'!$H$7:$H$456=$B35)*(NOT(ISNUMBER(SEARCH("（不採用）",'WBS(基本設計)'!$M$7:$M$456))))*('WBS(基本設計)'!$A$7:$A$456&lt;&gt;""))</f>
        <v>12</v>
      </c>
      <c r="D35" s="462" cm="1">
        <f t="array" ref="D35">SUMPRODUCT(('WBS(基本設計)'!$H$7:$H$456=$B35)*(NOT(ISNUMBER(SEARCH("（不採用）",'WBS(基本設計)'!$M$7:$M$456))))*'WBS(基本設計)'!$G$7:$G$456)</f>
        <v>11.5</v>
      </c>
      <c r="E35" s="462" cm="1">
        <f t="array" ref="E35">SUMPRODUCT(('WBS(基本設計)'!$H$7:$H$456=$B35)*(LEFT('WBS(基本設計)'!$J$7:$J$456,2)="基盤")*(NOT(ISNUMBER(SEARCH("（不採用）",'WBS(基本設計)'!$M$7:$M$456))))*'WBS(基本設計)'!$G$7:$G$456)</f>
        <v>11.5</v>
      </c>
      <c r="F35" s="462" cm="1">
        <f t="array" ref="F35">SUMPRODUCT(('WBS(基本設計)'!$H$7:$H$456=$B35)*('WBS(基本設計)'!$J$7:$J$456="アプリ移管")*(NOT(ISNUMBER(SEARCH("（不採用）",'WBS(基本設計)'!$M$7:$M$456))))*'WBS(基本設計)'!$G$7:$G$456)</f>
        <v>0</v>
      </c>
      <c r="G35" s="325" t="str">
        <f>IF($D35=0,"—",IF($F35=0,"基盤",IF($E35=0,"アプリ移管","混在")))</f>
        <v>基盤</v>
      </c>
      <c r="Y35" t="s">
        <v>7961</v>
      </c>
      <c r="Z35" t="s">
        <v>8653</v>
      </c>
    </row>
    <row r="36" spans="1:26">
      <c r="A36" s="325" t="str">
        <f>IFERROR(VLOOKUP($B36,$Y$3:$Z$42,2,FALSE),"横断")</f>
        <v>連携</v>
      </c>
      <c r="B36" s="325" t="s">
        <v>7857</v>
      </c>
      <c r="C36" s="462" cm="1">
        <f t="array" ref="C36">SUMPRODUCT(('WBS(基本設計)'!$H$7:$H$456=$B36)*(NOT(ISNUMBER(SEARCH("（不採用）",'WBS(基本設計)'!$M$7:$M$456))))*('WBS(基本設計)'!$A$7:$A$456&lt;&gt;""))</f>
        <v>8</v>
      </c>
      <c r="D36" s="462" cm="1">
        <f t="array" ref="D36">SUMPRODUCT(('WBS(基本設計)'!$H$7:$H$456=$B36)*(NOT(ISNUMBER(SEARCH("（不採用）",'WBS(基本設計)'!$M$7:$M$456))))*'WBS(基本設計)'!$G$7:$G$456)</f>
        <v>10.5</v>
      </c>
      <c r="E36" s="462" cm="1">
        <f t="array" ref="E36">SUMPRODUCT(('WBS(基本設計)'!$H$7:$H$456=$B36)*(LEFT('WBS(基本設計)'!$J$7:$J$456,2)="基盤")*(NOT(ISNUMBER(SEARCH("（不採用）",'WBS(基本設計)'!$M$7:$M$456))))*'WBS(基本設計)'!$G$7:$G$456)</f>
        <v>10.5</v>
      </c>
      <c r="F36" s="462" cm="1">
        <f t="array" ref="F36">SUMPRODUCT(('WBS(基本設計)'!$H$7:$H$456=$B36)*('WBS(基本設計)'!$J$7:$J$456="アプリ移管")*(NOT(ISNUMBER(SEARCH("（不採用）",'WBS(基本設計)'!$M$7:$M$456))))*'WBS(基本設計)'!$G$7:$G$456)</f>
        <v>0</v>
      </c>
      <c r="G36" s="325" t="str">
        <f>IF($D36=0,"—",IF($F36=0,"基盤",IF($E36=0,"アプリ移管","混在")))</f>
        <v>基盤</v>
      </c>
      <c r="Y36" t="s">
        <v>7955</v>
      </c>
      <c r="Z36" t="s">
        <v>8654</v>
      </c>
    </row>
    <row r="37" spans="1:26">
      <c r="A37" s="325" t="str">
        <f>IFERROR(VLOOKUP($B37,$Y$3:$Z$42,2,FALSE),"横断")</f>
        <v>認可</v>
      </c>
      <c r="B37" s="325" t="s">
        <v>7843</v>
      </c>
      <c r="C37" s="462" cm="1">
        <f t="array" ref="C37">SUMPRODUCT(('WBS(基本設計)'!$H$7:$H$456=$B37)*(NOT(ISNUMBER(SEARCH("（不採用）",'WBS(基本設計)'!$M$7:$M$456))))*('WBS(基本設計)'!$A$7:$A$456&lt;&gt;""))</f>
        <v>8</v>
      </c>
      <c r="D37" s="462" cm="1">
        <f t="array" ref="D37">SUMPRODUCT(('WBS(基本設計)'!$H$7:$H$456=$B37)*(NOT(ISNUMBER(SEARCH("（不採用）",'WBS(基本設計)'!$M$7:$M$456))))*'WBS(基本設計)'!$G$7:$G$456)</f>
        <v>11</v>
      </c>
      <c r="E37" s="462" cm="1">
        <f t="array" ref="E37">SUMPRODUCT(('WBS(基本設計)'!$H$7:$H$456=$B37)*(LEFT('WBS(基本設計)'!$J$7:$J$456,2)="基盤")*(NOT(ISNUMBER(SEARCH("（不採用）",'WBS(基本設計)'!$M$7:$M$456))))*'WBS(基本設計)'!$G$7:$G$456)</f>
        <v>3.5</v>
      </c>
      <c r="F37" s="462" cm="1">
        <f t="array" ref="F37">SUMPRODUCT(('WBS(基本設計)'!$H$7:$H$456=$B37)*('WBS(基本設計)'!$J$7:$J$456="アプリ移管")*(NOT(ISNUMBER(SEARCH("（不採用）",'WBS(基本設計)'!$M$7:$M$456))))*'WBS(基本設計)'!$G$7:$G$456)</f>
        <v>7.5</v>
      </c>
      <c r="G37" s="325" t="str">
        <f>IF($D37=0,"—",IF($F37=0,"基盤",IF($E37=0,"アプリ移管","混在")))</f>
        <v>混在</v>
      </c>
      <c r="Y37" t="s">
        <v>7859</v>
      </c>
      <c r="Z37" t="s">
        <v>8654</v>
      </c>
    </row>
    <row r="38" spans="1:26">
      <c r="A38" s="325" t="str">
        <f>IFERROR(VLOOKUP($B38,$Y$3:$Z$42,2,FALSE),"横断")</f>
        <v>連携</v>
      </c>
      <c r="B38" s="325" t="s">
        <v>7853</v>
      </c>
      <c r="C38" s="462" cm="1">
        <f t="array" ref="C38">SUMPRODUCT(('WBS(基本設計)'!$H$7:$H$456=$B38)*(NOT(ISNUMBER(SEARCH("（不採用）",'WBS(基本設計)'!$M$7:$M$456))))*('WBS(基本設計)'!$A$7:$A$456&lt;&gt;""))</f>
        <v>8</v>
      </c>
      <c r="D38" s="462" cm="1">
        <f t="array" ref="D38">SUMPRODUCT(('WBS(基本設計)'!$H$7:$H$456=$B38)*(NOT(ISNUMBER(SEARCH("（不採用）",'WBS(基本設計)'!$M$7:$M$456))))*'WBS(基本設計)'!$G$7:$G$456)</f>
        <v>12</v>
      </c>
      <c r="E38" s="462" cm="1">
        <f t="array" ref="E38">SUMPRODUCT(('WBS(基本設計)'!$H$7:$H$456=$B38)*(LEFT('WBS(基本設計)'!$J$7:$J$456,2)="基盤")*(NOT(ISNUMBER(SEARCH("（不採用）",'WBS(基本設計)'!$M$7:$M$456))))*'WBS(基本設計)'!$G$7:$G$456)</f>
        <v>6</v>
      </c>
      <c r="F38" s="462" cm="1">
        <f t="array" ref="F38">SUMPRODUCT(('WBS(基本設計)'!$H$7:$H$456=$B38)*('WBS(基本設計)'!$J$7:$J$456="アプリ移管")*(NOT(ISNUMBER(SEARCH("（不採用）",'WBS(基本設計)'!$M$7:$M$456))))*'WBS(基本設計)'!$G$7:$G$456)</f>
        <v>6</v>
      </c>
      <c r="G38" s="325" t="str">
        <f>IF($D38=0,"—",IF($F38=0,"基盤",IF($E38=0,"アプリ移管","混在")))</f>
        <v>混在</v>
      </c>
      <c r="Y38" t="s">
        <v>7860</v>
      </c>
      <c r="Z38" t="s">
        <v>8654</v>
      </c>
    </row>
    <row r="39" spans="1:26">
      <c r="A39" s="325" t="str">
        <f>IFERROR(VLOOKUP($B39,$Y$3:$Z$42,2,FALSE),"横断")</f>
        <v>管理</v>
      </c>
      <c r="B39" s="325" t="s">
        <v>7832</v>
      </c>
      <c r="C39" s="462" cm="1">
        <f t="array" ref="C39">SUMPRODUCT(('WBS(基本設計)'!$H$7:$H$456=$B39)*(NOT(ISNUMBER(SEARCH("（不採用）",'WBS(基本設計)'!$M$7:$M$456))))*('WBS(基本設計)'!$A$7:$A$456&lt;&gt;""))</f>
        <v>10</v>
      </c>
      <c r="D39" s="462" cm="1">
        <f t="array" ref="D39">SUMPRODUCT(('WBS(基本設計)'!$H$7:$H$456=$B39)*(NOT(ISNUMBER(SEARCH("（不採用）",'WBS(基本設計)'!$M$7:$M$456))))*'WBS(基本設計)'!$G$7:$G$456)</f>
        <v>5.5</v>
      </c>
      <c r="E39" s="462" cm="1">
        <f t="array" ref="E39">SUMPRODUCT(('WBS(基本設計)'!$H$7:$H$456=$B39)*(LEFT('WBS(基本設計)'!$J$7:$J$456,2)="基盤")*(NOT(ISNUMBER(SEARCH("（不採用）",'WBS(基本設計)'!$M$7:$M$456))))*'WBS(基本設計)'!$G$7:$G$456)</f>
        <v>5.5</v>
      </c>
      <c r="F39" s="462" cm="1">
        <f t="array" ref="F39">SUMPRODUCT(('WBS(基本設計)'!$H$7:$H$456=$B39)*('WBS(基本設計)'!$J$7:$J$456="アプリ移管")*(NOT(ISNUMBER(SEARCH("（不採用）",'WBS(基本設計)'!$M$7:$M$456))))*'WBS(基本設計)'!$G$7:$G$456)</f>
        <v>0</v>
      </c>
      <c r="G39" s="325" t="str">
        <f>IF($D39=0,"—",IF($F39=0,"基盤",IF($E39=0,"アプリ移管","混在")))</f>
        <v>基盤</v>
      </c>
      <c r="Y39" t="s">
        <v>7861</v>
      </c>
      <c r="Z39" t="s">
        <v>8654</v>
      </c>
    </row>
    <row r="40" spans="1:26">
      <c r="A40" s="325" t="str">
        <f>IFERROR(VLOOKUP($B40,$Y$3:$Z$42,2,FALSE),"横断")</f>
        <v>プロビジョニング</v>
      </c>
      <c r="B40" s="325" t="s">
        <v>7827</v>
      </c>
      <c r="C40" s="462" cm="1">
        <f t="array" ref="C40">SUMPRODUCT(('WBS(基本設計)'!$H$7:$H$456=$B40)*(NOT(ISNUMBER(SEARCH("（不採用）",'WBS(基本設計)'!$M$7:$M$456))))*('WBS(基本設計)'!$A$7:$A$456&lt;&gt;""))</f>
        <v>6</v>
      </c>
      <c r="D40" s="462" cm="1">
        <f t="array" ref="D40">SUMPRODUCT(('WBS(基本設計)'!$H$7:$H$456=$B40)*(NOT(ISNUMBER(SEARCH("（不採用）",'WBS(基本設計)'!$M$7:$M$456))))*'WBS(基本設計)'!$G$7:$G$456)</f>
        <v>10.5</v>
      </c>
      <c r="E40" s="462" cm="1">
        <f t="array" ref="E40">SUMPRODUCT(('WBS(基本設計)'!$H$7:$H$456=$B40)*(LEFT('WBS(基本設計)'!$J$7:$J$456,2)="基盤")*(NOT(ISNUMBER(SEARCH("（不採用）",'WBS(基本設計)'!$M$7:$M$456))))*'WBS(基本設計)'!$G$7:$G$456)</f>
        <v>10.5</v>
      </c>
      <c r="F40" s="462" cm="1">
        <f t="array" ref="F40">SUMPRODUCT(('WBS(基本設計)'!$H$7:$H$456=$B40)*('WBS(基本設計)'!$J$7:$J$456="アプリ移管")*(NOT(ISNUMBER(SEARCH("（不採用）",'WBS(基本設計)'!$M$7:$M$456))))*'WBS(基本設計)'!$G$7:$G$456)</f>
        <v>0</v>
      </c>
      <c r="G40" s="325" t="str">
        <f>IF($D40=0,"—",IF($F40=0,"基盤",IF($E40=0,"アプリ移管","混在")))</f>
        <v>基盤</v>
      </c>
      <c r="Y40" t="s">
        <v>7862</v>
      </c>
      <c r="Z40" t="s">
        <v>8654</v>
      </c>
    </row>
    <row r="41" spans="1:26">
      <c r="A41" s="325" t="str">
        <f>IFERROR(VLOOKUP($B41,$Y$3:$Z$42,2,FALSE),"横断")</f>
        <v>連携</v>
      </c>
      <c r="B41" s="325" t="s">
        <v>7852</v>
      </c>
      <c r="C41" s="462" cm="1">
        <f t="array" ref="C41">SUMPRODUCT(('WBS(基本設計)'!$H$7:$H$456=$B41)*(NOT(ISNUMBER(SEARCH("（不採用）",'WBS(基本設計)'!$M$7:$M$456))))*('WBS(基本設計)'!$A$7:$A$456&lt;&gt;""))</f>
        <v>8</v>
      </c>
      <c r="D41" s="462" cm="1">
        <f t="array" ref="D41">SUMPRODUCT(('WBS(基本設計)'!$H$7:$H$456=$B41)*(NOT(ISNUMBER(SEARCH("（不採用）",'WBS(基本設計)'!$M$7:$M$456))))*'WBS(基本設計)'!$G$7:$G$456)</f>
        <v>10.75</v>
      </c>
      <c r="E41" s="462" cm="1">
        <f t="array" ref="E41">SUMPRODUCT(('WBS(基本設計)'!$H$7:$H$456=$B41)*(LEFT('WBS(基本設計)'!$J$7:$J$456,2)="基盤")*(NOT(ISNUMBER(SEARCH("（不採用）",'WBS(基本設計)'!$M$7:$M$456))))*'WBS(基本設計)'!$G$7:$G$456)</f>
        <v>10.75</v>
      </c>
      <c r="F41" s="462" cm="1">
        <f t="array" ref="F41">SUMPRODUCT(('WBS(基本設計)'!$H$7:$H$456=$B41)*('WBS(基本設計)'!$J$7:$J$456="アプリ移管")*(NOT(ISNUMBER(SEARCH("（不採用）",'WBS(基本設計)'!$M$7:$M$456))))*'WBS(基本設計)'!$G$7:$G$456)</f>
        <v>0</v>
      </c>
      <c r="G41" s="325" t="str">
        <f>IF($D41=0,"—",IF($F41=0,"基盤",IF($E41=0,"アプリ移管","混在")))</f>
        <v>基盤</v>
      </c>
      <c r="Y41" t="s">
        <v>7949</v>
      </c>
      <c r="Z41" t="s">
        <v>8650</v>
      </c>
    </row>
    <row r="42" spans="1:26">
      <c r="A42" s="325" t="str">
        <f>IFERROR(VLOOKUP($B42,$Y$3:$Z$42,2,FALSE),"横断")</f>
        <v>プロビジョニング</v>
      </c>
      <c r="B42" s="325" t="s">
        <v>7829</v>
      </c>
      <c r="C42" s="462" cm="1">
        <f t="array" ref="C42">SUMPRODUCT(('WBS(基本設計)'!$H$7:$H$456=$B42)*(NOT(ISNUMBER(SEARCH("（不採用）",'WBS(基本設計)'!$M$7:$M$456))))*('WBS(基本設計)'!$A$7:$A$456&lt;&gt;""))</f>
        <v>7</v>
      </c>
      <c r="D42" s="462" cm="1">
        <f t="array" ref="D42">SUMPRODUCT(('WBS(基本設計)'!$H$7:$H$456=$B42)*(NOT(ISNUMBER(SEARCH("（不採用）",'WBS(基本設計)'!$M$7:$M$456))))*'WBS(基本設計)'!$G$7:$G$456)</f>
        <v>8.5</v>
      </c>
      <c r="E42" s="462" cm="1">
        <f t="array" ref="E42">SUMPRODUCT(('WBS(基本設計)'!$H$7:$H$456=$B42)*(LEFT('WBS(基本設計)'!$J$7:$J$456,2)="基盤")*(NOT(ISNUMBER(SEARCH("（不採用）",'WBS(基本設計)'!$M$7:$M$456))))*'WBS(基本設計)'!$G$7:$G$456)</f>
        <v>0</v>
      </c>
      <c r="F42" s="462" cm="1">
        <f t="array" ref="F42">SUMPRODUCT(('WBS(基本設計)'!$H$7:$H$456=$B42)*('WBS(基本設計)'!$J$7:$J$456="アプリ移管")*(NOT(ISNUMBER(SEARCH("（不採用）",'WBS(基本設計)'!$M$7:$M$456))))*'WBS(基本設計)'!$G$7:$G$456)</f>
        <v>8.5</v>
      </c>
      <c r="G42" s="325" t="str">
        <f>IF($D42=0,"—",IF($F42=0,"基盤",IF($E42=0,"アプリ移管","混在")))</f>
        <v>アプリ移管</v>
      </c>
      <c r="Y42" t="s">
        <v>7956</v>
      </c>
      <c r="Z42" t="s">
        <v>8650</v>
      </c>
    </row>
    <row r="43" spans="1:26">
      <c r="A43" s="325" t="str">
        <f>IFERROR(VLOOKUP($B43,$Y$3:$Z$42,2,FALSE),"横断")</f>
        <v>認証</v>
      </c>
      <c r="B43" s="325" t="s">
        <v>7818</v>
      </c>
      <c r="C43" s="462" cm="1">
        <f t="array" ref="C43">SUMPRODUCT(('WBS(基本設計)'!$H$7:$H$456=$B43)*(NOT(ISNUMBER(SEARCH("（不採用）",'WBS(基本設計)'!$M$7:$M$456))))*('WBS(基本設計)'!$A$7:$A$456&lt;&gt;""))</f>
        <v>9</v>
      </c>
      <c r="D43" s="462" cm="1">
        <f t="array" ref="D43">SUMPRODUCT(('WBS(基本設計)'!$H$7:$H$456=$B43)*(NOT(ISNUMBER(SEARCH("（不採用）",'WBS(基本設計)'!$M$7:$M$456))))*'WBS(基本設計)'!$G$7:$G$456)</f>
        <v>7</v>
      </c>
      <c r="E43" s="462" cm="1">
        <f t="array" ref="E43">SUMPRODUCT(('WBS(基本設計)'!$H$7:$H$456=$B43)*(LEFT('WBS(基本設計)'!$J$7:$J$456,2)="基盤")*(NOT(ISNUMBER(SEARCH("（不採用）",'WBS(基本設計)'!$M$7:$M$456))))*'WBS(基本設計)'!$G$7:$G$456)</f>
        <v>7</v>
      </c>
      <c r="F43" s="462" cm="1">
        <f t="array" ref="F43">SUMPRODUCT(('WBS(基本設計)'!$H$7:$H$456=$B43)*('WBS(基本設計)'!$J$7:$J$456="アプリ移管")*(NOT(ISNUMBER(SEARCH("（不採用）",'WBS(基本設計)'!$M$7:$M$456))))*'WBS(基本設計)'!$G$7:$G$456)</f>
        <v>0</v>
      </c>
      <c r="G43" s="325" t="str">
        <f>IF($D43=0,"—",IF($F43=0,"基盤",IF($E43=0,"アプリ移管","混在")))</f>
        <v>基盤</v>
      </c>
    </row>
    <row r="44" spans="1:26">
      <c r="A44" s="325" t="str">
        <f>IFERROR(VLOOKUP($B44,$Y$3:$Z$42,2,FALSE),"横断")</f>
        <v>プロビジョニング</v>
      </c>
      <c r="B44" s="325" t="s">
        <v>7825</v>
      </c>
      <c r="C44" s="462" cm="1">
        <f t="array" ref="C44">SUMPRODUCT(('WBS(基本設計)'!$H$7:$H$456=$B44)*(NOT(ISNUMBER(SEARCH("（不採用）",'WBS(基本設計)'!$M$7:$M$456))))*('WBS(基本設計)'!$A$7:$A$456&lt;&gt;""))</f>
        <v>8</v>
      </c>
      <c r="D44" s="462" cm="1">
        <f t="array" ref="D44">SUMPRODUCT(('WBS(基本設計)'!$H$7:$H$456=$B44)*(NOT(ISNUMBER(SEARCH("（不採用）",'WBS(基本設計)'!$M$7:$M$456))))*'WBS(基本設計)'!$G$7:$G$456)</f>
        <v>13.75</v>
      </c>
      <c r="E44" s="462" cm="1">
        <f t="array" ref="E44">SUMPRODUCT(('WBS(基本設計)'!$H$7:$H$456=$B44)*(LEFT('WBS(基本設計)'!$J$7:$J$456,2)="基盤")*(NOT(ISNUMBER(SEARCH("（不採用）",'WBS(基本設計)'!$M$7:$M$456))))*'WBS(基本設計)'!$G$7:$G$456)</f>
        <v>13.75</v>
      </c>
      <c r="F44" s="462" cm="1">
        <f t="array" ref="F44">SUMPRODUCT(('WBS(基本設計)'!$H$7:$H$456=$B44)*('WBS(基本設計)'!$J$7:$J$456="アプリ移管")*(NOT(ISNUMBER(SEARCH("（不採用）",'WBS(基本設計)'!$M$7:$M$456))))*'WBS(基本設計)'!$G$7:$G$456)</f>
        <v>0</v>
      </c>
      <c r="G44" s="325" t="str">
        <f>IF($D44=0,"—",IF($F44=0,"基盤",IF($E44=0,"アプリ移管","混在")))</f>
        <v>基盤</v>
      </c>
    </row>
    <row r="45" spans="1:26">
      <c r="A45" s="325" t="str">
        <f>IFERROR(VLOOKUP($B45,$Y$3:$Z$42,2,FALSE),"横断")</f>
        <v>管理</v>
      </c>
      <c r="B45" s="325" t="s">
        <v>7834</v>
      </c>
      <c r="C45" s="462" cm="1">
        <f t="array" ref="C45">SUMPRODUCT(('WBS(基本設計)'!$H$7:$H$456=$B45)*(NOT(ISNUMBER(SEARCH("（不採用）",'WBS(基本設計)'!$M$7:$M$456))))*('WBS(基本設計)'!$A$7:$A$456&lt;&gt;""))</f>
        <v>7</v>
      </c>
      <c r="D45" s="462" cm="1">
        <f t="array" ref="D45">SUMPRODUCT(('WBS(基本設計)'!$H$7:$H$456=$B45)*(NOT(ISNUMBER(SEARCH("（不採用）",'WBS(基本設計)'!$M$7:$M$456))))*'WBS(基本設計)'!$G$7:$G$456)</f>
        <v>5</v>
      </c>
      <c r="E45" s="462" cm="1">
        <f t="array" ref="E45">SUMPRODUCT(('WBS(基本設計)'!$H$7:$H$456=$B45)*(LEFT('WBS(基本設計)'!$J$7:$J$456,2)="基盤")*(NOT(ISNUMBER(SEARCH("（不採用）",'WBS(基本設計)'!$M$7:$M$456))))*'WBS(基本設計)'!$G$7:$G$456)</f>
        <v>4.5</v>
      </c>
      <c r="F45" s="462" cm="1">
        <f t="array" ref="F45">SUMPRODUCT(('WBS(基本設計)'!$H$7:$H$456=$B45)*('WBS(基本設計)'!$J$7:$J$456="アプリ移管")*(NOT(ISNUMBER(SEARCH("（不採用）",'WBS(基本設計)'!$M$7:$M$456))))*'WBS(基本設計)'!$G$7:$G$456)</f>
        <v>0</v>
      </c>
      <c r="G45" s="325" t="str">
        <f>IF($D45=0,"—",IF($F45=0,"基盤",IF($E45=0,"アプリ移管","混在")))</f>
        <v>基盤</v>
      </c>
    </row>
    <row r="46" spans="1:26">
      <c r="A46" s="325" t="str">
        <f>IFERROR(VLOOKUP($B46,$Y$3:$Z$42,2,FALSE),"横断")</f>
        <v>認証</v>
      </c>
      <c r="B46" s="325" t="s">
        <v>7814</v>
      </c>
      <c r="C46" s="462" cm="1">
        <f t="array" ref="C46">SUMPRODUCT(('WBS(基本設計)'!$H$7:$H$456=$B46)*(NOT(ISNUMBER(SEARCH("（不採用）",'WBS(基本設計)'!$M$7:$M$456))))*('WBS(基本設計)'!$A$7:$A$456&lt;&gt;""))</f>
        <v>2</v>
      </c>
      <c r="D46" s="462" cm="1">
        <f t="array" ref="D46">SUMPRODUCT(('WBS(基本設計)'!$H$7:$H$456=$B46)*(NOT(ISNUMBER(SEARCH("（不採用）",'WBS(基本設計)'!$M$7:$M$456))))*'WBS(基本設計)'!$G$7:$G$456)</f>
        <v>1.25</v>
      </c>
      <c r="E46" s="462" cm="1">
        <f t="array" ref="E46">SUMPRODUCT(('WBS(基本設計)'!$H$7:$H$456=$B46)*(LEFT('WBS(基本設計)'!$J$7:$J$456,2)="基盤")*(NOT(ISNUMBER(SEARCH("（不採用）",'WBS(基本設計)'!$M$7:$M$456))))*'WBS(基本設計)'!$G$7:$G$456)</f>
        <v>1.25</v>
      </c>
      <c r="F46" s="462" cm="1">
        <f t="array" ref="F46">SUMPRODUCT(('WBS(基本設計)'!$H$7:$H$456=$B46)*('WBS(基本設計)'!$J$7:$J$456="アプリ移管")*(NOT(ISNUMBER(SEARCH("（不採用）",'WBS(基本設計)'!$M$7:$M$456))))*'WBS(基本設計)'!$G$7:$G$456)</f>
        <v>0</v>
      </c>
      <c r="G46" s="325" t="str">
        <f>IF($D46=0,"—",IF($F46=0,"基盤",IF($E46=0,"アプリ移管","混在")))</f>
        <v>基盤</v>
      </c>
    </row>
    <row r="47" spans="1:26">
      <c r="A47" s="325" t="str">
        <f>IFERROR(VLOOKUP($B47,$Y$3:$Z$42,2,FALSE),"横断")</f>
        <v>認可</v>
      </c>
      <c r="B47" s="325" t="s">
        <v>7846</v>
      </c>
      <c r="C47" s="462" cm="1">
        <f t="array" ref="C47">SUMPRODUCT(('WBS(基本設計)'!$H$7:$H$456=$B47)*(NOT(ISNUMBER(SEARCH("（不採用）",'WBS(基本設計)'!$M$7:$M$456))))*('WBS(基本設計)'!$A$7:$A$456&lt;&gt;""))</f>
        <v>5</v>
      </c>
      <c r="D47" s="462" cm="1">
        <f t="array" ref="D47">SUMPRODUCT(('WBS(基本設計)'!$H$7:$H$456=$B47)*(NOT(ISNUMBER(SEARCH("（不採用）",'WBS(基本設計)'!$M$7:$M$456))))*'WBS(基本設計)'!$G$7:$G$456)</f>
        <v>6</v>
      </c>
      <c r="E47" s="462" cm="1">
        <f t="array" ref="E47">SUMPRODUCT(('WBS(基本設計)'!$H$7:$H$456=$B47)*(LEFT('WBS(基本設計)'!$J$7:$J$456,2)="基盤")*(NOT(ISNUMBER(SEARCH("（不採用）",'WBS(基本設計)'!$M$7:$M$456))))*'WBS(基本設計)'!$G$7:$G$456)</f>
        <v>6</v>
      </c>
      <c r="F47" s="462" cm="1">
        <f t="array" ref="F47">SUMPRODUCT(('WBS(基本設計)'!$H$7:$H$456=$B47)*('WBS(基本設計)'!$J$7:$J$456="アプリ移管")*(NOT(ISNUMBER(SEARCH("（不採用）",'WBS(基本設計)'!$M$7:$M$456))))*'WBS(基本設計)'!$G$7:$G$456)</f>
        <v>0</v>
      </c>
      <c r="G47" s="325" t="str">
        <f>IF($D47=0,"—",IF($F47=0,"基盤",IF($E47=0,"アプリ移管","混在")))</f>
        <v>基盤</v>
      </c>
    </row>
    <row r="48" spans="1:26">
      <c r="A48" s="325" t="str">
        <f>IFERROR(VLOOKUP($B48,$Y$3:$Z$42,2,FALSE),"横断")</f>
        <v>認証</v>
      </c>
      <c r="B48" s="325" t="s">
        <v>7819</v>
      </c>
      <c r="C48" s="462" cm="1">
        <f t="array" ref="C48">SUMPRODUCT(('WBS(基本設計)'!$H$7:$H$456=$B48)*(NOT(ISNUMBER(SEARCH("（不採用）",'WBS(基本設計)'!$M$7:$M$456))))*('WBS(基本設計)'!$A$7:$A$456&lt;&gt;""))</f>
        <v>5</v>
      </c>
      <c r="D48" s="462" cm="1">
        <f t="array" ref="D48">SUMPRODUCT(('WBS(基本設計)'!$H$7:$H$456=$B48)*(NOT(ISNUMBER(SEARCH("（不採用）",'WBS(基本設計)'!$M$7:$M$456))))*'WBS(基本設計)'!$G$7:$G$456)</f>
        <v>4.5</v>
      </c>
      <c r="E48" s="462" cm="1">
        <f t="array" ref="E48">SUMPRODUCT(('WBS(基本設計)'!$H$7:$H$456=$B48)*(LEFT('WBS(基本設計)'!$J$7:$J$456,2)="基盤")*(NOT(ISNUMBER(SEARCH("（不採用）",'WBS(基本設計)'!$M$7:$M$456))))*'WBS(基本設計)'!$G$7:$G$456)</f>
        <v>4.5</v>
      </c>
      <c r="F48" s="462" cm="1">
        <f t="array" ref="F48">SUMPRODUCT(('WBS(基本設計)'!$H$7:$H$456=$B48)*('WBS(基本設計)'!$J$7:$J$456="アプリ移管")*(NOT(ISNUMBER(SEARCH("（不採用）",'WBS(基本設計)'!$M$7:$M$456))))*'WBS(基本設計)'!$G$7:$G$456)</f>
        <v>0</v>
      </c>
      <c r="G48" s="325" t="str">
        <f>IF($D48=0,"—",IF($F48=0,"基盤",IF($E48=0,"アプリ移管","混在")))</f>
        <v>基盤</v>
      </c>
    </row>
    <row r="49" spans="1:7">
      <c r="A49" s="325" t="str">
        <f>IFERROR(VLOOKUP($B49,$Y$3:$Z$42,2,FALSE),"横断")</f>
        <v>バッチ</v>
      </c>
      <c r="B49" s="325" t="s">
        <v>7861</v>
      </c>
      <c r="C49" s="462" cm="1">
        <f t="array" ref="C49">SUMPRODUCT(('WBS(基本設計)'!$H$7:$H$456=$B49)*(NOT(ISNUMBER(SEARCH("（不採用）",'WBS(基本設計)'!$M$7:$M$456))))*('WBS(基本設計)'!$A$7:$A$456&lt;&gt;""))</f>
        <v>6</v>
      </c>
      <c r="D49" s="462" cm="1">
        <f t="array" ref="D49">SUMPRODUCT(('WBS(基本設計)'!$H$7:$H$456=$B49)*(NOT(ISNUMBER(SEARCH("（不採用）",'WBS(基本設計)'!$M$7:$M$456))))*'WBS(基本設計)'!$G$7:$G$456)</f>
        <v>6.5</v>
      </c>
      <c r="E49" s="462" cm="1">
        <f t="array" ref="E49">SUMPRODUCT(('WBS(基本設計)'!$H$7:$H$456=$B49)*(LEFT('WBS(基本設計)'!$J$7:$J$456,2)="基盤")*(NOT(ISNUMBER(SEARCH("（不採用）",'WBS(基本設計)'!$M$7:$M$456))))*'WBS(基本設計)'!$G$7:$G$456)</f>
        <v>6.5</v>
      </c>
      <c r="F49" s="462" cm="1">
        <f t="array" ref="F49">SUMPRODUCT(('WBS(基本設計)'!$H$7:$H$456=$B49)*('WBS(基本設計)'!$J$7:$J$456="アプリ移管")*(NOT(ISNUMBER(SEARCH("（不採用）",'WBS(基本設計)'!$M$7:$M$456))))*'WBS(基本設計)'!$G$7:$G$456)</f>
        <v>0</v>
      </c>
      <c r="G49" s="325" t="str">
        <f>IF($D49=0,"—",IF($F49=0,"基盤",IF($E49=0,"アプリ移管","混在")))</f>
        <v>基盤</v>
      </c>
    </row>
    <row r="50" spans="1:7">
      <c r="A50" s="325" t="str">
        <f>IFERROR(VLOOKUP($B50,$Y$3:$Z$42,2,FALSE),"横断")</f>
        <v>プロビジョニング</v>
      </c>
      <c r="B50" s="325" t="s">
        <v>7824</v>
      </c>
      <c r="C50" s="462" cm="1">
        <f t="array" ref="C50">SUMPRODUCT(('WBS(基本設計)'!$H$7:$H$456=$B50)*(NOT(ISNUMBER(SEARCH("（不採用）",'WBS(基本設計)'!$M$7:$M$456))))*('WBS(基本設計)'!$A$7:$A$456&lt;&gt;""))</f>
        <v>2</v>
      </c>
      <c r="D50" s="462" cm="1">
        <f t="array" ref="D50">SUMPRODUCT(('WBS(基本設計)'!$H$7:$H$456=$B50)*(NOT(ISNUMBER(SEARCH("（不採用）",'WBS(基本設計)'!$M$7:$M$456))))*'WBS(基本設計)'!$G$7:$G$456)</f>
        <v>1.25</v>
      </c>
      <c r="E50" s="462" cm="1">
        <f t="array" ref="E50">SUMPRODUCT(('WBS(基本設計)'!$H$7:$H$456=$B50)*(LEFT('WBS(基本設計)'!$J$7:$J$456,2)="基盤")*(NOT(ISNUMBER(SEARCH("（不採用）",'WBS(基本設計)'!$M$7:$M$456))))*'WBS(基本設計)'!$G$7:$G$456)</f>
        <v>1.25</v>
      </c>
      <c r="F50" s="462" cm="1">
        <f t="array" ref="F50">SUMPRODUCT(('WBS(基本設計)'!$H$7:$H$456=$B50)*('WBS(基本設計)'!$J$7:$J$456="アプリ移管")*(NOT(ISNUMBER(SEARCH("（不採用）",'WBS(基本設計)'!$M$7:$M$456))))*'WBS(基本設計)'!$G$7:$G$456)</f>
        <v>0</v>
      </c>
      <c r="G50" s="325" t="str">
        <f>IF($D50=0,"—",IF($F50=0,"基盤",IF($E50=0,"アプリ移管","混在")))</f>
        <v>基盤</v>
      </c>
    </row>
    <row r="51" spans="1:7">
      <c r="A51" s="325" t="str">
        <f>IFERROR(VLOOKUP($B51,$Y$3:$Z$42,2,FALSE),"横断")</f>
        <v>認可</v>
      </c>
      <c r="B51" s="325" t="s">
        <v>7844</v>
      </c>
      <c r="C51" s="462" cm="1">
        <f t="array" ref="C51">SUMPRODUCT(('WBS(基本設計)'!$H$7:$H$456=$B51)*(NOT(ISNUMBER(SEARCH("（不採用）",'WBS(基本設計)'!$M$7:$M$456))))*('WBS(基本設計)'!$A$7:$A$456&lt;&gt;""))</f>
        <v>4</v>
      </c>
      <c r="D51" s="462" cm="1">
        <f t="array" ref="D51">SUMPRODUCT(('WBS(基本設計)'!$H$7:$H$456=$B51)*(NOT(ISNUMBER(SEARCH("（不採用）",'WBS(基本設計)'!$M$7:$M$456))))*'WBS(基本設計)'!$G$7:$G$456)</f>
        <v>6.25</v>
      </c>
      <c r="E51" s="462" cm="1">
        <f t="array" ref="E51">SUMPRODUCT(('WBS(基本設計)'!$H$7:$H$456=$B51)*(LEFT('WBS(基本設計)'!$J$7:$J$456,2)="基盤")*(NOT(ISNUMBER(SEARCH("（不採用）",'WBS(基本設計)'!$M$7:$M$456))))*'WBS(基本設計)'!$G$7:$G$456)</f>
        <v>0</v>
      </c>
      <c r="F51" s="462" cm="1">
        <f t="array" ref="F51">SUMPRODUCT(('WBS(基本設計)'!$H$7:$H$456=$B51)*('WBS(基本設計)'!$J$7:$J$456="アプリ移管")*(NOT(ISNUMBER(SEARCH("（不採用）",'WBS(基本設計)'!$M$7:$M$456))))*'WBS(基本設計)'!$G$7:$G$456)</f>
        <v>6.25</v>
      </c>
      <c r="G51" s="325" t="str">
        <f>IF($D51=0,"—",IF($F51=0,"基盤",IF($E51=0,"アプリ移管","混在")))</f>
        <v>アプリ移管</v>
      </c>
    </row>
    <row r="52" spans="1:7">
      <c r="A52" s="325" t="str">
        <f>IFERROR(VLOOKUP($B52,$Y$3:$Z$42,2,FALSE),"横断")</f>
        <v>バッチ</v>
      </c>
      <c r="B52" s="325" t="s">
        <v>7859</v>
      </c>
      <c r="C52" s="462" cm="1">
        <f t="array" ref="C52">SUMPRODUCT(('WBS(基本設計)'!$H$7:$H$456=$B52)*(NOT(ISNUMBER(SEARCH("（不採用）",'WBS(基本設計)'!$M$7:$M$456))))*('WBS(基本設計)'!$A$7:$A$456&lt;&gt;""))</f>
        <v>4</v>
      </c>
      <c r="D52" s="462" cm="1">
        <f t="array" ref="D52">SUMPRODUCT(('WBS(基本設計)'!$H$7:$H$456=$B52)*(NOT(ISNUMBER(SEARCH("（不採用）",'WBS(基本設計)'!$M$7:$M$456))))*'WBS(基本設計)'!$G$7:$G$456)</f>
        <v>3.25</v>
      </c>
      <c r="E52" s="462" cm="1">
        <f t="array" ref="E52">SUMPRODUCT(('WBS(基本設計)'!$H$7:$H$456=$B52)*(LEFT('WBS(基本設計)'!$J$7:$J$456,2)="基盤")*(NOT(ISNUMBER(SEARCH("（不採用）",'WBS(基本設計)'!$M$7:$M$456))))*'WBS(基本設計)'!$G$7:$G$456)</f>
        <v>3.25</v>
      </c>
      <c r="F52" s="462" cm="1">
        <f t="array" ref="F52">SUMPRODUCT(('WBS(基本設計)'!$H$7:$H$456=$B52)*('WBS(基本設計)'!$J$7:$J$456="アプリ移管")*(NOT(ISNUMBER(SEARCH("（不採用）",'WBS(基本設計)'!$M$7:$M$456))))*'WBS(基本設計)'!$G$7:$G$456)</f>
        <v>0</v>
      </c>
      <c r="G52" s="325" t="str">
        <f>IF($D52=0,"—",IF($F52=0,"基盤",IF($E52=0,"アプリ移管","混在")))</f>
        <v>基盤</v>
      </c>
    </row>
    <row r="53" spans="1:7">
      <c r="A53" s="325" t="str">
        <f>IFERROR(VLOOKUP($B53,$Y$3:$Z$42,2,FALSE),"横断")</f>
        <v>認可</v>
      </c>
      <c r="B53" s="325" t="s">
        <v>7851</v>
      </c>
      <c r="C53" s="462" cm="1">
        <f t="array" ref="C53">SUMPRODUCT(('WBS(基本設計)'!$H$7:$H$456=$B53)*(NOT(ISNUMBER(SEARCH("（不採用）",'WBS(基本設計)'!$M$7:$M$456))))*('WBS(基本設計)'!$A$7:$A$456&lt;&gt;""))</f>
        <v>2</v>
      </c>
      <c r="D53" s="462" cm="1">
        <f t="array" ref="D53">SUMPRODUCT(('WBS(基本設計)'!$H$7:$H$456=$B53)*(NOT(ISNUMBER(SEARCH("（不採用）",'WBS(基本設計)'!$M$7:$M$456))))*'WBS(基本設計)'!$G$7:$G$456)</f>
        <v>2.5</v>
      </c>
      <c r="E53" s="462" cm="1">
        <f t="array" ref="E53">SUMPRODUCT(('WBS(基本設計)'!$H$7:$H$456=$B53)*(LEFT('WBS(基本設計)'!$J$7:$J$456,2)="基盤")*(NOT(ISNUMBER(SEARCH("（不採用）",'WBS(基本設計)'!$M$7:$M$456))))*'WBS(基本設計)'!$G$7:$G$456)</f>
        <v>2.5</v>
      </c>
      <c r="F53" s="462" cm="1">
        <f t="array" ref="F53">SUMPRODUCT(('WBS(基本設計)'!$H$7:$H$456=$B53)*('WBS(基本設計)'!$J$7:$J$456="アプリ移管")*(NOT(ISNUMBER(SEARCH("（不採用）",'WBS(基本設計)'!$M$7:$M$456))))*'WBS(基本設計)'!$G$7:$G$456)</f>
        <v>0</v>
      </c>
      <c r="G53" s="325" t="str">
        <f>IF($D53=0,"—",IF($F53=0,"基盤",IF($E53=0,"アプリ移管","混在")))</f>
        <v>基盤</v>
      </c>
    </row>
    <row r="54" spans="1:7">
      <c r="A54" s="325" t="str">
        <f>IFERROR(VLOOKUP($B54,$Y$3:$Z$42,2,FALSE),"横断")</f>
        <v>連携</v>
      </c>
      <c r="B54" s="325" t="s">
        <v>7858</v>
      </c>
      <c r="C54" s="462" cm="1">
        <f t="array" ref="C54">SUMPRODUCT(('WBS(基本設計)'!$H$7:$H$456=$B54)*(NOT(ISNUMBER(SEARCH("（不採用）",'WBS(基本設計)'!$M$7:$M$456))))*('WBS(基本設計)'!$A$7:$A$456&lt;&gt;""))</f>
        <v>1</v>
      </c>
      <c r="D54" s="462" cm="1">
        <f t="array" ref="D54">SUMPRODUCT(('WBS(基本設計)'!$H$7:$H$456=$B54)*(NOT(ISNUMBER(SEARCH("（不採用）",'WBS(基本設計)'!$M$7:$M$456))))*'WBS(基本設計)'!$G$7:$G$456)</f>
        <v>0.5</v>
      </c>
      <c r="E54" s="462" cm="1">
        <f t="array" ref="E54">SUMPRODUCT(('WBS(基本設計)'!$H$7:$H$456=$B54)*(LEFT('WBS(基本設計)'!$J$7:$J$456,2)="基盤")*(NOT(ISNUMBER(SEARCH("（不採用）",'WBS(基本設計)'!$M$7:$M$456))))*'WBS(基本設計)'!$G$7:$G$456)</f>
        <v>0.5</v>
      </c>
      <c r="F54" s="462" cm="1">
        <f t="array" ref="F54">SUMPRODUCT(('WBS(基本設計)'!$H$7:$H$456=$B54)*('WBS(基本設計)'!$J$7:$J$456="アプリ移管")*(NOT(ISNUMBER(SEARCH("（不採用）",'WBS(基本設計)'!$M$7:$M$456))))*'WBS(基本設計)'!$G$7:$G$456)</f>
        <v>0</v>
      </c>
      <c r="G54" s="325" t="str">
        <f>IF($D54=0,"—",IF($F54=0,"基盤",IF($E54=0,"アプリ移管","混在")))</f>
        <v>基盤</v>
      </c>
    </row>
    <row r="55" spans="1:7">
      <c r="A55" s="325" t="str">
        <f>IFERROR(VLOOKUP($B55,$Y$3:$Z$42,2,FALSE),"横断")</f>
        <v>連携</v>
      </c>
      <c r="B55" s="325" t="s">
        <v>7854</v>
      </c>
      <c r="C55" s="462" cm="1">
        <f t="array" ref="C55">SUMPRODUCT(('WBS(基本設計)'!$H$7:$H$456=$B55)*(NOT(ISNUMBER(SEARCH("（不採用）",'WBS(基本設計)'!$M$7:$M$456))))*('WBS(基本設計)'!$A$7:$A$456&lt;&gt;""))</f>
        <v>0</v>
      </c>
      <c r="D55" s="462" cm="1">
        <f t="array" ref="D55">SUMPRODUCT(('WBS(基本設計)'!$H$7:$H$456=$B55)*(NOT(ISNUMBER(SEARCH("（不採用）",'WBS(基本設計)'!$M$7:$M$456))))*'WBS(基本設計)'!$G$7:$G$456)</f>
        <v>0</v>
      </c>
      <c r="E55" s="462" cm="1">
        <f t="array" ref="E55">SUMPRODUCT(('WBS(基本設計)'!$H$7:$H$456=$B55)*(LEFT('WBS(基本設計)'!$J$7:$J$456,2)="基盤")*(NOT(ISNUMBER(SEARCH("（不採用）",'WBS(基本設計)'!$M$7:$M$456))))*'WBS(基本設計)'!$G$7:$G$456)</f>
        <v>0</v>
      </c>
      <c r="F55" s="462" cm="1">
        <f t="array" ref="F55">SUMPRODUCT(('WBS(基本設計)'!$H$7:$H$456=$B55)*('WBS(基本設計)'!$J$7:$J$456="アプリ移管")*(NOT(ISNUMBER(SEARCH("（不採用）",'WBS(基本設計)'!$M$7:$M$456))))*'WBS(基本設計)'!$G$7:$G$456)</f>
        <v>0</v>
      </c>
      <c r="G55" s="325" t="str">
        <f>IF($D55=0,"—",IF($F55=0,"基盤",IF($E55=0,"アプリ移管","混在")))</f>
        <v>—</v>
      </c>
    </row>
    <row r="56" spans="1:7">
      <c r="A56" s="325" t="str">
        <f>IFERROR(VLOOKUP($B56,$Y$3:$Z$42,2,FALSE),"横断")</f>
        <v>バッチ</v>
      </c>
      <c r="B56" s="325" t="s">
        <v>7860</v>
      </c>
      <c r="C56" s="462" cm="1">
        <f t="array" ref="C56">SUMPRODUCT(('WBS(基本設計)'!$H$7:$H$456=$B56)*(NOT(ISNUMBER(SEARCH("（不採用）",'WBS(基本設計)'!$M$7:$M$456))))*('WBS(基本設計)'!$A$7:$A$456&lt;&gt;""))</f>
        <v>1</v>
      </c>
      <c r="D56" s="462" cm="1">
        <f t="array" ref="D56">SUMPRODUCT(('WBS(基本設計)'!$H$7:$H$456=$B56)*(NOT(ISNUMBER(SEARCH("（不採用）",'WBS(基本設計)'!$M$7:$M$456))))*'WBS(基本設計)'!$G$7:$G$456)</f>
        <v>0.5</v>
      </c>
      <c r="E56" s="462" cm="1">
        <f t="array" ref="E56">SUMPRODUCT(('WBS(基本設計)'!$H$7:$H$456=$B56)*(LEFT('WBS(基本設計)'!$J$7:$J$456,2)="基盤")*(NOT(ISNUMBER(SEARCH("（不採用）",'WBS(基本設計)'!$M$7:$M$456))))*'WBS(基本設計)'!$G$7:$G$456)</f>
        <v>0.5</v>
      </c>
      <c r="F56" s="462" cm="1">
        <f t="array" ref="F56">SUMPRODUCT(('WBS(基本設計)'!$H$7:$H$456=$B56)*('WBS(基本設計)'!$J$7:$J$456="アプリ移管")*(NOT(ISNUMBER(SEARCH("（不採用）",'WBS(基本設計)'!$M$7:$M$456))))*'WBS(基本設計)'!$G$7:$G$456)</f>
        <v>0</v>
      </c>
      <c r="G56" s="325" t="str">
        <f>IF($D56=0,"—",IF($F56=0,"基盤",IF($E56=0,"アプリ移管","混在")))</f>
        <v>基盤</v>
      </c>
    </row>
    <row r="57" spans="1:7">
      <c r="A57" s="325" t="str">
        <f>IFERROR(VLOOKUP($B57,$Y$3:$Z$42,2,FALSE),"横断")</f>
        <v>バッチ</v>
      </c>
      <c r="B57" s="325" t="s">
        <v>7862</v>
      </c>
      <c r="C57" s="462" cm="1">
        <f t="array" ref="C57">SUMPRODUCT(('WBS(基本設計)'!$H$7:$H$456=$B57)*(NOT(ISNUMBER(SEARCH("（不採用）",'WBS(基本設計)'!$M$7:$M$456))))*('WBS(基本設計)'!$A$7:$A$456&lt;&gt;""))</f>
        <v>2</v>
      </c>
      <c r="D57" s="462" cm="1">
        <f t="array" ref="D57">SUMPRODUCT(('WBS(基本設計)'!$H$7:$H$456=$B57)*(NOT(ISNUMBER(SEARCH("（不採用）",'WBS(基本設計)'!$M$7:$M$456))))*'WBS(基本設計)'!$G$7:$G$456)</f>
        <v>1</v>
      </c>
      <c r="E57" s="462" cm="1">
        <f t="array" ref="E57">SUMPRODUCT(('WBS(基本設計)'!$H$7:$H$456=$B57)*(LEFT('WBS(基本設計)'!$J$7:$J$456,2)="基盤")*(NOT(ISNUMBER(SEARCH("（不採用）",'WBS(基本設計)'!$M$7:$M$456))))*'WBS(基本設計)'!$G$7:$G$456)</f>
        <v>0.5</v>
      </c>
      <c r="F57" s="462" cm="1">
        <f t="array" ref="F57">SUMPRODUCT(('WBS(基本設計)'!$H$7:$H$456=$B57)*('WBS(基本設計)'!$J$7:$J$456="アプリ移管")*(NOT(ISNUMBER(SEARCH("（不採用）",'WBS(基本設計)'!$M$7:$M$456))))*'WBS(基本設計)'!$G$7:$G$456)</f>
        <v>0.5</v>
      </c>
      <c r="G57" s="325" t="str">
        <f>IF($D57=0,"—",IF($F57=0,"基盤",IF($E57=0,"アプリ移管","混在")))</f>
        <v>混在</v>
      </c>
    </row>
    <row r="58" spans="1:7">
      <c r="A58" s="463" t="s">
        <v>7</v>
      </c>
      <c r="B58" s="463"/>
      <c r="C58" s="464">
        <f>SUM(C27:C57)</f>
        <v>246</v>
      </c>
      <c r="D58" s="464">
        <f>SUM(D27:D57)</f>
        <v>322.5</v>
      </c>
      <c r="E58" s="464">
        <f>SUM(E27:E57)</f>
        <v>258.5</v>
      </c>
      <c r="F58" s="464">
        <f>SUM(F27:F57)</f>
        <v>50.5</v>
      </c>
      <c r="G58" s="463" t="str">
        <f>IF($D58=0,"—",IF($F58=0,"基盤",IF($E58=0,"アプリ移管","混在")))</f>
        <v>混在</v>
      </c>
    </row>
    <row r="61" spans="1:7">
      <c r="A61" s="455" t="s">
        <v>8662</v>
      </c>
    </row>
    <row r="62" spans="1:7">
      <c r="A62" s="5" t="s">
        <v>8601</v>
      </c>
      <c r="B62" s="5" t="s">
        <v>8659</v>
      </c>
      <c r="C62" s="5" t="s">
        <v>2528</v>
      </c>
      <c r="D62" s="5" t="s">
        <v>5843</v>
      </c>
    </row>
    <row r="63" spans="1:7">
      <c r="A63" t="s">
        <v>8620</v>
      </c>
      <c r="B63" s="457">
        <f>COUNTIFS('WBS(基本設計)'!$M$7:$M$456,$A63)</f>
        <v>385</v>
      </c>
      <c r="C63" s="457">
        <f>SUMIFS('WBS(基本設計)'!$G$7:$G$456,'WBS(基本設計)'!$M$7:$M$456,$A63)</f>
        <v>618.25</v>
      </c>
      <c r="D63" t="str">
        <f>IF(ISNUMBER(SEARCH("（不採用）",$A63)),"🔴 対象外",IF(ISNUMBER(SEARCH("（未判断）",$A63)),"未判断",IF(ISNUMBER(SEARCH("（採用）",$A63)),"採用",IF(ISNUMBER(SEARCH("選べない",$A63)),"選べない","—"))))</f>
        <v>—</v>
      </c>
    </row>
    <row r="64" spans="1:7">
      <c r="A64" t="s">
        <v>8623</v>
      </c>
      <c r="B64" s="457">
        <f>COUNTIFS('WBS(基本設計)'!$M$7:$M$456,$A64)</f>
        <v>10</v>
      </c>
      <c r="C64" s="457">
        <f>SUMIFS('WBS(基本設計)'!$G$7:$G$456,'WBS(基本設計)'!$M$7:$M$456,$A64)</f>
        <v>33</v>
      </c>
      <c r="D64" t="str">
        <f>IF(ISNUMBER(SEARCH("（不採用）",$A64)),"🔴 対象外",IF(ISNUMBER(SEARCH("（未判断）",$A64)),"未判断",IF(ISNUMBER(SEARCH("（採用）",$A64)),"採用",IF(ISNUMBER(SEARCH("選べない",$A64)),"選べない","—"))))</f>
        <v>採用</v>
      </c>
    </row>
    <row r="65" spans="1:4">
      <c r="A65" t="s">
        <v>8629</v>
      </c>
      <c r="B65" s="457">
        <f>COUNTIFS('WBS(基本設計)'!$M$7:$M$456,$A65)</f>
        <v>18</v>
      </c>
      <c r="C65" s="457">
        <f>SUMIFS('WBS(基本設計)'!$G$7:$G$456,'WBS(基本設計)'!$M$7:$M$456,$A65)</f>
        <v>28.5</v>
      </c>
      <c r="D65" t="str">
        <f>IF(ISNUMBER(SEARCH("（不採用）",$A65)),"🔴 対象外",IF(ISNUMBER(SEARCH("（未判断）",$A65)),"未判断",IF(ISNUMBER(SEARCH("（採用）",$A65)),"採用",IF(ISNUMBER(SEARCH("選べない",$A65)),"選べない","—"))))</f>
        <v>🔴 対象外</v>
      </c>
    </row>
    <row r="66" spans="1:4">
      <c r="A66" t="s">
        <v>8625</v>
      </c>
      <c r="B66" s="457">
        <f>COUNTIFS('WBS(基本設計)'!$M$7:$M$456,$A66)</f>
        <v>11</v>
      </c>
      <c r="C66" s="457">
        <f>SUMIFS('WBS(基本設計)'!$G$7:$G$456,'WBS(基本設計)'!$M$7:$M$456,$A66)</f>
        <v>21.5</v>
      </c>
      <c r="D66" t="str">
        <f>IF(ISNUMBER(SEARCH("（不採用）",$A66)),"🔴 対象外",IF(ISNUMBER(SEARCH("（未判断）",$A66)),"未判断",IF(ISNUMBER(SEARCH("（採用）",$A66)),"採用",IF(ISNUMBER(SEARCH("選べない",$A66)),"選べない","—"))))</f>
        <v>🔴 対象外</v>
      </c>
    </row>
    <row r="67" spans="1:4">
      <c r="A67" t="s">
        <v>8628</v>
      </c>
      <c r="B67" s="457">
        <f>COUNTIFS('WBS(基本設計)'!$M$7:$M$456,$A67)</f>
        <v>9</v>
      </c>
      <c r="C67" s="457">
        <f>SUMIFS('WBS(基本設計)'!$G$7:$G$456,'WBS(基本設計)'!$M$7:$M$456,$A67)</f>
        <v>16.5</v>
      </c>
      <c r="D67" t="str">
        <f>IF(ISNUMBER(SEARCH("（不採用）",$A67)),"🔴 対象外",IF(ISNUMBER(SEARCH("（未判断）",$A67)),"未判断",IF(ISNUMBER(SEARCH("（採用）",$A67)),"採用",IF(ISNUMBER(SEARCH("選べない",$A67)),"選べない","—"))))</f>
        <v>選べない</v>
      </c>
    </row>
    <row r="68" spans="1:4">
      <c r="A68" t="s">
        <v>8626</v>
      </c>
      <c r="B68" s="457">
        <f>COUNTIFS('WBS(基本設計)'!$M$7:$M$456,$A68)</f>
        <v>7</v>
      </c>
      <c r="C68" s="457">
        <f>SUMIFS('WBS(基本設計)'!$G$7:$G$456,'WBS(基本設計)'!$M$7:$M$456,$A68)</f>
        <v>19</v>
      </c>
      <c r="D68" t="str">
        <f>IF(ISNUMBER(SEARCH("（不採用）",$A68)),"🔴 対象外",IF(ISNUMBER(SEARCH("（未判断）",$A68)),"未判断",IF(ISNUMBER(SEARCH("（採用）",$A68)),"採用",IF(ISNUMBER(SEARCH("選べない",$A68)),"選べない","—"))))</f>
        <v>選べない</v>
      </c>
    </row>
    <row r="69" spans="1:4">
      <c r="A69" t="s">
        <v>8624</v>
      </c>
      <c r="B69" s="457">
        <f>COUNTIFS('WBS(基本設計)'!$M$7:$M$456,$A69)</f>
        <v>6</v>
      </c>
      <c r="C69" s="457">
        <f>SUMIFS('WBS(基本設計)'!$G$7:$G$456,'WBS(基本設計)'!$M$7:$M$456,$A69)</f>
        <v>12</v>
      </c>
      <c r="D69" t="str">
        <f>IF(ISNUMBER(SEARCH("（不採用）",$A69)),"🔴 対象外",IF(ISNUMBER(SEARCH("（未判断）",$A69)),"未判断",IF(ISNUMBER(SEARCH("（採用）",$A69)),"採用",IF(ISNUMBER(SEARCH("選べない",$A69)),"選べない","—"))))</f>
        <v>採用</v>
      </c>
    </row>
    <row r="70" spans="1:4">
      <c r="A70" t="s">
        <v>8627</v>
      </c>
      <c r="B70" s="457">
        <f>COUNTIFS('WBS(基本設計)'!$M$7:$M$456,$A70)</f>
        <v>4</v>
      </c>
      <c r="C70" s="457">
        <f>SUMIFS('WBS(基本設計)'!$G$7:$G$456,'WBS(基本設計)'!$M$7:$M$456,$A70)</f>
        <v>5.25</v>
      </c>
      <c r="D70" t="str">
        <f>IF(ISNUMBER(SEARCH("（不採用）",$A70)),"🔴 対象外",IF(ISNUMBER(SEARCH("（未判断）",$A70)),"未判断",IF(ISNUMBER(SEARCH("（採用）",$A70)),"採用",IF(ISNUMBER(SEARCH("選べない",$A70)),"選べない","—"))))</f>
        <v>未判断</v>
      </c>
    </row>
    <row r="71" spans="1:4">
      <c r="A71" s="456" t="s">
        <v>7</v>
      </c>
      <c r="B71" s="458">
        <f>SUM(B63:B70)</f>
        <v>450</v>
      </c>
      <c r="C71" s="458">
        <f>SUM(C63:C70)</f>
        <v>754</v>
      </c>
      <c r="D71" t="str">
        <f>IF(ISNUMBER(SEARCH("（不採用）",$A71)),"🔴 対象外",IF(ISNUMBER(SEARCH("（未判断）",$A71)),"未判断",IF(ISNUMBER(SEARCH("（採用）",$A71)),"採用",IF(ISNUMBER(SEARCH("選べない",$A71)),"選べない","—"))))</f>
        <v>—</v>
      </c>
    </row>
    <row r="72" spans="1:4">
      <c r="A72" s="460" t="str" cm="1">
        <f t="array" ref="A72">"★『（不採用）』の "&amp;TEXT(SUMPRODUCT(('WBS(基本設計)'!$M$7:$M$456&lt;&gt;"")*(ISNUMBER(SEARCH("（不採用）",'WBS(基本設計)'!$M$7:$M$456)))*'WBS(基本設計)'!$G$7:$G$456),"0.#")&amp;" 人日が、その構成を後から足す場合に必要な設計工数（①基本設計分）。全工程では 認証製品を 2 つに戻す +141 ／ 災害対策を復活 +120 前後"</f>
        <v>★『（不採用）』の 50. 人日が、その構成を後から足す場合に必要な設計工数（①基本設計分）。全工程では 認証製品を 2 つに戻す +141 ／ 災害対策を復活 +120 前後</v>
      </c>
    </row>
    <row r="74" spans="1:4">
      <c r="A74" s="455" t="s">
        <v>8663</v>
      </c>
    </row>
    <row r="75" spans="1:4">
      <c r="A75" s="5" t="s">
        <v>8289</v>
      </c>
      <c r="B75" s="5" t="s">
        <v>8659</v>
      </c>
      <c r="C75" s="5" t="s">
        <v>2528</v>
      </c>
    </row>
    <row r="76" spans="1:4">
      <c r="A76" t="s">
        <v>8291</v>
      </c>
      <c r="B76" s="457" cm="1">
        <f t="array" ref="B76">SUMPRODUCT(('WBS(基本設計)'!$K$7:$K$456=$A76)*(NOT(ISNUMBER(SEARCH("（不採用）",'WBS(基本設計)'!$M$7:$M$456))))*('WBS(基本設計)'!$A$7:$A$456&lt;&gt;""))</f>
        <v>136</v>
      </c>
      <c r="C76" s="457" cm="1">
        <f t="array" ref="C76">SUMPRODUCT(('WBS(基本設計)'!$K$7:$K$456=$A76)*(NOT(ISNUMBER(SEARCH("（不採用）",'WBS(基本設計)'!$M$7:$M$456))))*'WBS(基本設計)'!$G$7:$G$456)</f>
        <v>222.25</v>
      </c>
    </row>
    <row r="77" spans="1:4">
      <c r="A77" t="s">
        <v>8295</v>
      </c>
      <c r="B77" s="457" cm="1">
        <f t="array" ref="B77">SUMPRODUCT(('WBS(基本設計)'!$K$7:$K$456=$A77)*(NOT(ISNUMBER(SEARCH("（不採用）",'WBS(基本設計)'!$M$7:$M$456))))*('WBS(基本設計)'!$A$7:$A$456&lt;&gt;""))</f>
        <v>44</v>
      </c>
      <c r="C77" s="457" cm="1">
        <f t="array" ref="C77">SUMPRODUCT(('WBS(基本設計)'!$K$7:$K$456=$A77)*(NOT(ISNUMBER(SEARCH("（不採用）",'WBS(基本設計)'!$M$7:$M$456))))*'WBS(基本設計)'!$G$7:$G$456)</f>
        <v>62.25</v>
      </c>
    </row>
    <row r="78" spans="1:4">
      <c r="A78" t="s">
        <v>8293</v>
      </c>
      <c r="B78" s="457" cm="1">
        <f t="array" ref="B78">SUMPRODUCT(('WBS(基本設計)'!$K$7:$K$456=$A78)*(NOT(ISNUMBER(SEARCH("（不採用）",'WBS(基本設計)'!$M$7:$M$456))))*('WBS(基本設計)'!$A$7:$A$456&lt;&gt;""))</f>
        <v>31</v>
      </c>
      <c r="C78" s="457" cm="1">
        <f t="array" ref="C78">SUMPRODUCT(('WBS(基本設計)'!$K$7:$K$456=$A78)*(NOT(ISNUMBER(SEARCH("（不採用）",'WBS(基本設計)'!$M$7:$M$456))))*'WBS(基本設計)'!$G$7:$G$456)</f>
        <v>38.75</v>
      </c>
    </row>
    <row r="79" spans="1:4">
      <c r="A79" t="s">
        <v>8302</v>
      </c>
      <c r="B79" s="457" cm="1">
        <f t="array" ref="B79">SUMPRODUCT(('WBS(基本設計)'!$K$7:$K$456=$A79)*(NOT(ISNUMBER(SEARCH("（不採用）",'WBS(基本設計)'!$M$7:$M$456))))*('WBS(基本設計)'!$A$7:$A$456&lt;&gt;""))</f>
        <v>4</v>
      </c>
      <c r="C79" s="457" cm="1">
        <f t="array" ref="C79">SUMPRODUCT(('WBS(基本設計)'!$K$7:$K$456=$A79)*(NOT(ISNUMBER(SEARCH("（不採用）",'WBS(基本設計)'!$M$7:$M$456))))*'WBS(基本設計)'!$G$7:$G$456)</f>
        <v>7.5</v>
      </c>
    </row>
    <row r="80" spans="1:4">
      <c r="A80" t="s">
        <v>8300</v>
      </c>
      <c r="B80" s="457" cm="1">
        <f t="array" ref="B80">SUMPRODUCT(('WBS(基本設計)'!$K$7:$K$456=$A80)*(NOT(ISNUMBER(SEARCH("（不採用）",'WBS(基本設計)'!$M$7:$M$456))))*('WBS(基本設計)'!$A$7:$A$456&lt;&gt;""))</f>
        <v>0</v>
      </c>
      <c r="C80" s="457" cm="1">
        <f t="array" ref="C80">SUMPRODUCT(('WBS(基本設計)'!$K$7:$K$456=$A80)*(NOT(ISNUMBER(SEARCH("（不採用）",'WBS(基本設計)'!$M$7:$M$456))))*'WBS(基本設計)'!$G$7:$G$456)</f>
        <v>0</v>
      </c>
    </row>
    <row r="81" spans="1:3">
      <c r="A81" t="s">
        <v>8301</v>
      </c>
      <c r="B81" s="457" cm="1">
        <f t="array" ref="B81">SUMPRODUCT(('WBS(基本設計)'!$K$7:$K$456=$A81)*(NOT(ISNUMBER(SEARCH("（不採用）",'WBS(基本設計)'!$M$7:$M$456))))*('WBS(基本設計)'!$A$7:$A$456&lt;&gt;""))</f>
        <v>11</v>
      </c>
      <c r="C81" s="457" cm="1">
        <f t="array" ref="C81">SUMPRODUCT(('WBS(基本設計)'!$K$7:$K$456=$A81)*(NOT(ISNUMBER(SEARCH("（不採用）",'WBS(基本設計)'!$M$7:$M$456))))*'WBS(基本設計)'!$G$7:$G$456)</f>
        <v>33</v>
      </c>
    </row>
    <row r="82" spans="1:3">
      <c r="A82" t="s">
        <v>8304</v>
      </c>
      <c r="B82" s="457" cm="1">
        <f t="array" ref="B82">SUMPRODUCT(('WBS(基本設計)'!$K$7:$K$456=$A82)*(NOT(ISNUMBER(SEARCH("（不採用）",'WBS(基本設計)'!$M$7:$M$456))))*('WBS(基本設計)'!$A$7:$A$456&lt;&gt;""))</f>
        <v>11</v>
      </c>
      <c r="C82" s="457" cm="1">
        <f t="array" ref="C82">SUMPRODUCT(('WBS(基本設計)'!$K$7:$K$456=$A82)*(NOT(ISNUMBER(SEARCH("（不採用）",'WBS(基本設計)'!$M$7:$M$456))))*'WBS(基本設計)'!$G$7:$G$456)</f>
        <v>21.5</v>
      </c>
    </row>
    <row r="83" spans="1:3">
      <c r="A83" t="s">
        <v>8299</v>
      </c>
      <c r="B83" s="457" cm="1">
        <f t="array" ref="B83">SUMPRODUCT(('WBS(基本設計)'!$K$7:$K$456=$A83)*(NOT(ISNUMBER(SEARCH("（不採用）",'WBS(基本設計)'!$M$7:$M$456))))*('WBS(基本設計)'!$A$7:$A$456&lt;&gt;""))</f>
        <v>32</v>
      </c>
      <c r="C83" s="457" cm="1">
        <f t="array" ref="C83">SUMPRODUCT(('WBS(基本設計)'!$K$7:$K$456=$A83)*(NOT(ISNUMBER(SEARCH("（不採用）",'WBS(基本設計)'!$M$7:$M$456))))*'WBS(基本設計)'!$G$7:$G$456)</f>
        <v>39</v>
      </c>
    </row>
    <row r="84" spans="1:3">
      <c r="A84" t="s">
        <v>8297</v>
      </c>
      <c r="B84" s="457" cm="1">
        <f t="array" ref="B84">SUMPRODUCT(('WBS(基本設計)'!$K$7:$K$456=$A84)*(NOT(ISNUMBER(SEARCH("（不採用）",'WBS(基本設計)'!$M$7:$M$456))))*('WBS(基本設計)'!$A$7:$A$456&lt;&gt;""))</f>
        <v>6</v>
      </c>
      <c r="C84" s="457" cm="1">
        <f t="array" ref="C84">SUMPRODUCT(('WBS(基本設計)'!$K$7:$K$456=$A84)*(NOT(ISNUMBER(SEARCH("（不採用）",'WBS(基本設計)'!$M$7:$M$456))))*'WBS(基本設計)'!$G$7:$G$456)</f>
        <v>9</v>
      </c>
    </row>
    <row r="85" spans="1:3">
      <c r="A85" t="s">
        <v>8298</v>
      </c>
      <c r="B85" s="457" cm="1">
        <f t="array" ref="B85">SUMPRODUCT(('WBS(基本設計)'!$K$7:$K$456=$A85)*(NOT(ISNUMBER(SEARCH("（不採用）",'WBS(基本設計)'!$M$7:$M$456))))*('WBS(基本設計)'!$A$7:$A$456&lt;&gt;""))</f>
        <v>20</v>
      </c>
      <c r="C85" s="457" cm="1">
        <f t="array" ref="C85">SUMPRODUCT(('WBS(基本設計)'!$K$7:$K$456=$A85)*(NOT(ISNUMBER(SEARCH("（不採用）",'WBS(基本設計)'!$M$7:$M$456))))*'WBS(基本設計)'!$G$7:$G$456)</f>
        <v>41.5</v>
      </c>
    </row>
    <row r="86" spans="1:3">
      <c r="A86" t="s">
        <v>8296</v>
      </c>
      <c r="B86" s="457" cm="1">
        <f t="array" ref="B86">SUMPRODUCT(('WBS(基本設計)'!$K$7:$K$456=$A86)*(NOT(ISNUMBER(SEARCH("（不採用）",'WBS(基本設計)'!$M$7:$M$456))))*('WBS(基本設計)'!$A$7:$A$456&lt;&gt;""))</f>
        <v>2</v>
      </c>
      <c r="C86" s="457" cm="1">
        <f t="array" ref="C86">SUMPRODUCT(('WBS(基本設計)'!$K$7:$K$456=$A86)*(NOT(ISNUMBER(SEARCH("（不採用）",'WBS(基本設計)'!$M$7:$M$456))))*'WBS(基本設計)'!$G$7:$G$456)</f>
        <v>1.5</v>
      </c>
    </row>
    <row r="87" spans="1:3">
      <c r="A87" t="s">
        <v>8292</v>
      </c>
      <c r="B87" s="457" cm="1">
        <f t="array" ref="B87">SUMPRODUCT(('WBS(基本設計)'!$K$7:$K$456=$A87)*(NOT(ISNUMBER(SEARCH("（不採用）",'WBS(基本設計)'!$M$7:$M$456))))*('WBS(基本設計)'!$A$7:$A$456&lt;&gt;""))</f>
        <v>25</v>
      </c>
      <c r="C87" s="457" cm="1">
        <f t="array" ref="C87">SUMPRODUCT(('WBS(基本設計)'!$K$7:$K$456=$A87)*(NOT(ISNUMBER(SEARCH("（不採用）",'WBS(基本設計)'!$M$7:$M$456))))*'WBS(基本設計)'!$G$7:$G$456)</f>
        <v>36.75</v>
      </c>
    </row>
    <row r="88" spans="1:3">
      <c r="A88" t="s">
        <v>8294</v>
      </c>
      <c r="B88" s="457" cm="1">
        <f t="array" ref="B88">SUMPRODUCT(('WBS(基本設計)'!$K$7:$K$456=$A88)*(NOT(ISNUMBER(SEARCH("（不採用）",'WBS(基本設計)'!$M$7:$M$456))))*('WBS(基本設計)'!$A$7:$A$456&lt;&gt;""))</f>
        <v>28</v>
      </c>
      <c r="C88" s="457" cm="1">
        <f t="array" ref="C88">SUMPRODUCT(('WBS(基本設計)'!$K$7:$K$456=$A88)*(NOT(ISNUMBER(SEARCH("（不採用）",'WBS(基本設計)'!$M$7:$M$456))))*'WBS(基本設計)'!$G$7:$G$456)</f>
        <v>36</v>
      </c>
    </row>
    <row r="89" spans="1:3">
      <c r="A89" t="s">
        <v>8303</v>
      </c>
      <c r="B89" s="457" cm="1">
        <f t="array" ref="B89">SUMPRODUCT(('WBS(基本設計)'!$K$7:$K$456=$A89)*(NOT(ISNUMBER(SEARCH("（不採用）",'WBS(基本設計)'!$M$7:$M$456))))*('WBS(基本設計)'!$A$7:$A$456&lt;&gt;""))</f>
        <v>39</v>
      </c>
      <c r="C89" s="457" cm="1">
        <f t="array" ref="C89">SUMPRODUCT(('WBS(基本設計)'!$K$7:$K$456=$A89)*(NOT(ISNUMBER(SEARCH("（不採用）",'WBS(基本設計)'!$M$7:$M$456))))*'WBS(基本設計)'!$G$7:$G$456)</f>
        <v>81</v>
      </c>
    </row>
    <row r="90" spans="1:3">
      <c r="A90" t="s">
        <v>8306</v>
      </c>
      <c r="B90" s="457" cm="1">
        <f t="array" ref="B90">SUMPRODUCT(('WBS(基本設計)'!$K$7:$K$456=$A90)*(NOT(ISNUMBER(SEARCH("（不採用）",'WBS(基本設計)'!$M$7:$M$456))))*('WBS(基本設計)'!$A$7:$A$456&lt;&gt;""))</f>
        <v>25</v>
      </c>
      <c r="C90" s="457" cm="1">
        <f t="array" ref="C90">SUMPRODUCT(('WBS(基本設計)'!$K$7:$K$456=$A90)*(NOT(ISNUMBER(SEARCH("（不採用）",'WBS(基本設計)'!$M$7:$M$456))))*'WBS(基本設計)'!$G$7:$G$456)</f>
        <v>54</v>
      </c>
    </row>
    <row r="91" spans="1:3">
      <c r="A91" t="s">
        <v>8305</v>
      </c>
      <c r="B91" s="457" cm="1">
        <f t="array" ref="B91">SUMPRODUCT(('WBS(基本設計)'!$K$7:$K$456=$A91)*(NOT(ISNUMBER(SEARCH("（不採用）",'WBS(基本設計)'!$M$7:$M$456))))*('WBS(基本設計)'!$A$7:$A$456&lt;&gt;""))</f>
        <v>7</v>
      </c>
      <c r="C91" s="457" cm="1">
        <f t="array" ref="C91">SUMPRODUCT(('WBS(基本設計)'!$K$7:$K$456=$A91)*(NOT(ISNUMBER(SEARCH("（不採用）",'WBS(基本設計)'!$M$7:$M$456))))*'WBS(基本設計)'!$G$7:$G$456)</f>
        <v>20</v>
      </c>
    </row>
    <row r="92" spans="1:3">
      <c r="A92" s="456" t="s">
        <v>8613</v>
      </c>
      <c r="B92" s="458" cm="1">
        <f t="array" ref="B92">SUMPRODUCT(('WBS(基本設計)'!$K$7:$K$456=$A92)*(NOT(ISNUMBER(SEARCH("（不採用）",'WBS(基本設計)'!$M$7:$M$456))))*('WBS(基本設計)'!$A$7:$A$456&lt;&gt;""))</f>
        <v>0</v>
      </c>
      <c r="C92" s="458" cm="1">
        <f t="array" ref="C92">SUMPRODUCT(('WBS(基本設計)'!$K$7:$K$456=$A92)*(NOT(ISNUMBER(SEARCH("（不採用）",'WBS(基本設計)'!$M$7:$M$456))))*'WBS(基本設計)'!$G$7:$G$456)</f>
        <v>0</v>
      </c>
    </row>
    <row r="93" spans="1:3">
      <c r="A93" t="s">
        <v>7</v>
      </c>
      <c r="B93">
        <f>SUM(B76:B92)</f>
        <v>421</v>
      </c>
      <c r="C93">
        <f>SUM(C76:C92)</f>
        <v>704</v>
      </c>
    </row>
  </sheetData>
  <phoneticPr fontId="3"/>
  <conditionalFormatting sqref="A63:D70">
    <cfRule type="expression" dxfId="18" priority="1">
      <formula>ISNUMBER(SEARCH("（不採用）",$A63))</formula>
    </cfRule>
  </conditionalFormatting>
  <conditionalFormatting sqref="A63:D70">
    <cfRule type="expression" dxfId="17" priority="2">
      <formula>ISNUMBER(SEARCH("（未判断）",$A63))</formula>
    </cfRule>
  </conditionalFormatting>
  <conditionalFormatting sqref="A27:G57">
    <cfRule type="expression" dxfId="16" priority="3">
      <formula>$G27="アプリ移管"</formula>
    </cfRule>
  </conditionalFormatting>
  <conditionalFormatting sqref="A27:G57">
    <cfRule type="expression" dxfId="15" priority="4">
      <formula>$G27="混在"</formula>
    </cfRule>
  </conditionalFormatting>
  <conditionalFormatting sqref="A76:C91">
    <cfRule type="expression" dxfId="14"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2026-09-02T15:29:19Z</dcterms:modified>
</cp:coreProperties>
</file>