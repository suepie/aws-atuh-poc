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D5CDCFA-E0D6-F246-A68F-4A09348CAC36}" xr6:coauthVersionLast="47" xr6:coauthVersionMax="47" xr10:uidLastSave="{00000000-0000-0000-0000-000000000000}"/>
  <bookViews>
    <workbookView xWindow="0" yWindow="780" windowWidth="34200" windowHeight="21460" activeTab="9"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'WBS(基本設計)'!$A$6:$S$116</definedName>
    <definedName name="_xlnm._FilterDatabase" localSheetId="5" hidden="1">'WBS(詳細設計_製造)'!$A$5:$I$242</definedName>
    <definedName name="_xlnm._FilterDatabase" localSheetId="0" hidden="1">コスト見積もり!$A$24:$M$59</definedName>
    <definedName name="_xlnm._FilterDatabase" localSheetId="9" hidden="1">機能名一覧!$A$1:$J$140</definedName>
    <definedName name="_xlnm._FilterDatabase" localSheetId="1" hidden="1">設計決定一覧!$A$4:$E$189</definedName>
    <definedName name="_xlnm._FilterDatabase" localSheetId="3"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3" i="32" l="1"/>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<sst xmlns="http://schemas.openxmlformats.org/spreadsheetml/2006/main" count="9355" uniqueCount="4272">
  <si>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</si>
  <si>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</si>
  <si>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</si>
  <si>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</si>
  <si>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</si>
  <si>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</si>
  <si>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</si>
  <si>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</si>
  <si>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</si>
  <si>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</si>
  <si>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</si>
  <si>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</si>
  <si>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</si>
  <si>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</si>
  <si>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</si>
  <si>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</si>
  <si>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</si>
  <si>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</si>
  <si>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</si>
  <si>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</si>
  <si>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</si>
  <si>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</si>
  <si>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</si>
  <si>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</si>
  <si>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</si>
  <si>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</si>
  <si>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</si>
  <si>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</si>
  <si>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</si>
  <si>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</si>
  <si>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</si>
  <si>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</si>
  <si>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</si>
  <si>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</si>
  <si>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</si>
  <si>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</si>
  <si>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</si>
  <si>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</si>
  <si>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</si>
  <si>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</si>
  <si>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</si>
  <si>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</si>
  <si>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</si>
  <si>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</si>
  <si>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</si>
  <si>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</si>
  <si>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</si>
  <si>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</si>
  <si>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</si>
  <si>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</si>
  <si>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</si>
  <si>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</si>
  <si>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</si>
  <si>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</si>
  <si>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</si>
  <si>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</si>
  <si>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</si>
  <si>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</si>
  <si>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</si>
  <si>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</si>
  <si>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</si>
  <si>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</si>
  <si>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</si>
  <si>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</si>
  <si>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</si>
  <si>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</si>
  <si>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</si>
  <si>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</si>
  <si>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</si>
  <si>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</si>
  <si>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</si>
  <si>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</si>
  <si>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</si>
  <si>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</si>
  <si>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</si>
  <si>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</si>
  <si>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</si>
  <si>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</si>
  <si>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</si>
  <si>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</si>
  <si>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</si>
  <si>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</si>
  <si>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</si>
  <si>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</si>
  <si>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</si>
  <si>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</si>
  <si>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</si>
  <si>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</si>
  <si>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</si>
  <si>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</si>
  <si>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</si>
  <si>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</si>
  <si>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</si>
  <si>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</si>
  <si>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</si>
  <si>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</si>
  <si>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</si>
  <si>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</si>
  <si>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</si>
  <si>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</si>
  <si>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</si>
  <si>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</si>
  <si>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</si>
  <si>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</si>
  <si>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</si>
  <si>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</si>
  <si>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</si>
  <si>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</si>
  <si>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</si>
  <si>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</si>
  <si>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</si>
  <si>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</si>
  <si>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</si>
  <si>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</si>
  <si>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</si>
  <si>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</si>
  <si>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</si>
  <si>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</si>
  <si>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</si>
  <si>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</si>
  <si>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</si>
  <si>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</si>
  <si>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</si>
  <si>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</si>
  <si>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</si>
  <si>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</si>
  <si>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</si>
  <si>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</si>
  <si>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</si>
  <si>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</si>
  <si>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</si>
  <si>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</si>
  <si>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</si>
  <si>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</si>
  <si>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</si>
  <si>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</si>
  <si>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</si>
  <si>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</si>
  <si>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</si>
  <si>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</si>
  <si>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</si>
  <si>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</si>
  <si>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</si>
  <si>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</si>
  <si>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</si>
  <si>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</si>
  <si>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</si>
  <si>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</si>
  <si>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</si>
  <si>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</si>
  <si>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</si>
  <si>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</si>
  <si>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</si>
  <si>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</si>
  <si>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</si>
  <si>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</si>
  <si>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</si>
  <si>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</si>
  <si>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</si>
  <si>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</si>
  <si>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</si>
  <si>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</si>
  <si>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</si>
  <si>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</si>
  <si>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</si>
  <si>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</si>
  <si>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</si>
  <si>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</si>
  <si>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</si>
  <si>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</si>
  <si>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</si>
  <si>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</si>
  <si>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</si>
  <si>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</si>
  <si>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</si>
  <si>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</si>
  <si>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</si>
  <si>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</si>
  <si>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</si>
  <si>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</si>
  <si>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</si>
  <si>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</si>
  <si>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</si>
  <si>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</si>
  <si>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</si>
  <si>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</si>
  <si>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</si>
  <si>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</si>
  <si>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</si>
  <si>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</si>
  <si>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</si>
  <si>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</si>
  <si>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</si>
  <si>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</si>
  <si>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</si>
  <si>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</si>
  <si>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</si>
  <si>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</si>
  <si>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</si>
  <si>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</si>
  <si>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</si>
  <si>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</si>
  <si>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</si>
  <si>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</si>
  <si>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</si>
  <si>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</si>
  <si>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</si>
  <si>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</si>
  <si>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</si>
  <si>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</si>
  <si>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</si>
  <si>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</si>
  <si>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</si>
  <si>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</si>
  <si>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</si>
  <si>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</si>
  <si>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</si>
  <si>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</si>
  <si>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</si>
  <si>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</si>
  <si>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</si>
  <si>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</si>
  <si>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</si>
  <si>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</si>
  <si>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</si>
  <si>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</si>
  <si>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</si>
  <si>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</si>
  <si>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</si>
  <si>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</si>
  <si>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</si>
  <si>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</si>
  <si>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</si>
  <si>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</si>
  <si>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</si>
  <si>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</si>
  <si>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</si>
  <si>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</si>
  <si>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</si>
  <si>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</si>
  <si>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</si>
  <si>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</si>
  <si>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</si>
  <si>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</si>
  <si>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</si>
  <si>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</si>
  <si>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</si>
  <si>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</si>
  <si>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</si>
  <si>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</si>
  <si>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</si>
  <si>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</si>
  <si>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</si>
  <si>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</si>
  <si>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</si>
  <si>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</si>
  <si>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</si>
  <si>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</si>
  <si>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</si>
  <si>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</si>
  <si>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</si>
  <si>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</si>
  <si>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</si>
  <si>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</si>
  <si>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</si>
  <si>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</si>
  <si>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</si>
  <si>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</si>
  <si>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</si>
  <si>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</si>
  <si>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</si>
  <si>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</si>
  <si>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</si>
  <si>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</si>
  <si>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</si>
  <si>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</si>
  <si>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</si>
  <si>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</si>
  <si>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</si>
  <si>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</si>
  <si>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</si>
  <si>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</si>
  <si>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</si>
  <si>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</si>
  <si>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</si>
  <si>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</si>
  <si>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</si>
  <si>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</si>
  <si>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</si>
  <si>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</si>
  <si>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</si>
  <si>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</si>
  <si>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</si>
  <si>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</si>
  <si>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</si>
  <si>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</si>
  <si>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</si>
  <si>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</si>
  <si>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</si>
  <si>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</si>
  <si>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</si>
  <si>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</si>
  <si>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</si>
  <si>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</si>
  <si>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</si>
  <si>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</si>
  <si>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</si>
  <si>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</si>
  <si>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</si>
  <si>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</si>
  <si>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</si>
  <si>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</si>
  <si>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</si>
  <si>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</si>
  <si>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</si>
  <si>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</si>
  <si>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</si>
  <si>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</si>
  <si>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</si>
  <si>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</si>
  <si>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</si>
  <si>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</si>
  <si>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</si>
  <si>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</si>
  <si>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</si>
  <si>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</si>
  <si>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</si>
  <si>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</si>
  <si>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</si>
  <si>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</si>
  <si>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</si>
  <si>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</si>
  <si>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</si>
  <si>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</si>
  <si>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</si>
  <si>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</si>
  <si>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</si>
  <si>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</si>
  <si>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</si>
  <si>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</si>
  <si>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</si>
  <si>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</si>
  <si>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</si>
  <si>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</si>
  <si>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</si>
  <si>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</si>
  <si>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</si>
  <si>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</si>
  <si>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</si>
  <si>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</si>
  <si>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</si>
  <si>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</si>
  <si>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</si>
  <si>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</si>
  <si>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</si>
  <si>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</si>
  <si>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</si>
  <si>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</si>
  <si>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</si>
  <si>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</si>
  <si>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</si>
  <si>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</si>
  <si>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</si>
  <si>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</si>
  <si>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</si>
  <si>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</si>
  <si>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</si>
  <si>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</si>
  <si>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</si>
  <si>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</si>
  <si>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</si>
  <si>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</si>
  <si>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</si>
  <si>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</si>
  <si>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</si>
  <si>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</si>
  <si>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</si>
  <si>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</si>
  <si>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</si>
  <si>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</si>
  <si>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</si>
  <si>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</si>
  <si>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</si>
  <si>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</si>
  <si>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</si>
  <si>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</si>
  <si>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</si>
  <si>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</si>
  <si>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</si>
  <si>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</si>
  <si>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</si>
  <si>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</si>
  <si>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</si>
  <si>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</si>
  <si>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</si>
  <si>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</si>
  <si>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</si>
  <si>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</si>
  <si>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</si>
  <si>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</si>
  <si>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</si>
  <si>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</si>
  <si>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</si>
  <si>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</si>
  <si>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</si>
  <si>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</si>
  <si>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</si>
  <si>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</si>
  <si>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</si>
  <si>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</si>
  <si>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</si>
  <si>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</si>
  <si>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</si>
  <si>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</si>
  <si>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</si>
  <si>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</si>
  <si>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</si>
  <si>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</si>
  <si>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</si>
  <si>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</si>
  <si>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</si>
  <si>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</si>
  <si>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</si>
  <si>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</si>
  <si>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</si>
  <si>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</si>
  <si>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</si>
  <si>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</si>
  <si>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</si>
  <si>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</si>
  <si>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</si>
  <si>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</si>
  <si>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</si>
  <si>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</si>
  <si>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</si>
  <si>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</si>
  <si>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</si>
  <si>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</si>
  <si>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</si>
  <si>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</si>
  <si>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</si>
  <si>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</si>
  <si>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</si>
  <si>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</si>
  <si>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</si>
  <si>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</si>
  <si>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</si>
  <si>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</si>
  <si>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</si>
  <si>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</si>
  <si>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</si>
  <si>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</si>
  <si>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</si>
  <si>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</si>
  <si>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</si>
  <si>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</si>
  <si>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</si>
  <si>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</si>
  <si>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</si>
  <si>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</si>
  <si>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</si>
  <si>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</si>
  <si>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</si>
  <si>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</si>
  <si>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</si>
  <si>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</si>
  <si>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</si>
  <si>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</si>
  <si>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</si>
  <si>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</si>
  <si>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</si>
  <si>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</si>
  <si>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</si>
  <si>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</si>
  <si>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</si>
  <si>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</si>
  <si>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</si>
  <si>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</si>
  <si>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</si>
  <si>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</si>
  <si>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</si>
  <si>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</si>
  <si>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</si>
  <si>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</si>
  <si>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</si>
  <si>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</si>
  <si>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</si>
  <si>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</si>
  <si>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</si>
  <si>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</si>
  <si>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</si>
  <si>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</si>
  <si>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</si>
  <si>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</si>
  <si>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</si>
  <si>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</si>
  <si>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</si>
  <si>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</si>
  <si>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</si>
  <si>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</si>
  <si>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</si>
  <si>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</si>
  <si>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</si>
  <si>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</si>
  <si>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</si>
  <si>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</si>
  <si>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</si>
  <si>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</si>
  <si>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</si>
  <si>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</si>
  <si>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</si>
  <si>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</si>
  <si>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</si>
  <si>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</si>
  <si>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</si>
  <si>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</si>
  <si>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</si>
  <si>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</si>
  <si>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</si>
  <si>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</si>
  <si>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</si>
  <si>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</si>
  <si>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</si>
  <si>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</si>
  <si>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</si>
  <si>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</si>
  <si>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</si>
  <si>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</si>
  <si>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</si>
  <si>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</si>
  <si>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</si>
  <si>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</si>
  <si>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</si>
  <si>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</si>
  <si>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</si>
  <si>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</si>
  <si>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</si>
  <si>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</si>
  <si>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</si>
  <si>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</si>
  <si>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</si>
  <si>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</si>
  <si>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</si>
  <si>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</si>
  <si>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</si>
  <si>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</si>
  <si>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</si>
  <si>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</si>
  <si>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</si>
  <si>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</si>
  <si>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</si>
  <si>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</si>
  <si>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</si>
  <si>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</si>
  <si>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</si>
  <si>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</si>
  <si>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</si>
  <si>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</si>
  <si>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</si>
  <si>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</si>
  <si>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</si>
  <si>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</si>
  <si>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</si>
  <si>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</si>
  <si>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</si>
  <si>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</si>
  <si>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</si>
  <si>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</si>
  <si>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</si>
  <si>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</si>
  <si>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</si>
  <si>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</si>
  <si>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</si>
  <si>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</si>
  <si>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</si>
  <si>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</si>
  <si>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</si>
  <si>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</si>
  <si>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</si>
  <si>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</si>
  <si>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</si>
  <si>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</si>
  <si>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</si>
  <si>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</si>
  <si>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</si>
  <si>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</si>
  <si>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</si>
  <si>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</si>
  <si>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</si>
  <si>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</si>
  <si>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</si>
  <si>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</si>
  <si>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</si>
  <si>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</si>
  <si>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</si>
  <si>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</si>
  <si>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</si>
  <si>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</si>
  <si>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</si>
  <si>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</si>
  <si>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</si>
  <si>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</si>
  <si>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</si>
  <si>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</si>
  <si>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</si>
  <si>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</si>
  <si>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</si>
  <si>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</si>
  <si>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</si>
  <si>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</si>
  <si>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</si>
  <si>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</si>
  <si>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</si>
  <si>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</si>
  <si>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</si>
  <si>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</si>
  <si>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</si>
  <si>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</si>
  <si>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</si>
  <si>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</si>
  <si>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</si>
  <si>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</si>
  <si>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</si>
  <si>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</si>
  <si>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</si>
  <si>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</si>
  <si>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</si>
  <si>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</si>
  <si>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</si>
  <si>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</si>
  <si>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</si>
  <si>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</si>
  <si>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</si>
  <si>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</si>
  <si>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</si>
  <si>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</si>
  <si>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</si>
  <si>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</si>
  <si>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</si>
  <si>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</si>
  <si>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</si>
  <si>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</si>
  <si>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</si>
  <si>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</si>
  <si>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</si>
  <si>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</si>
  <si>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</si>
  <si>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</si>
  <si>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</si>
  <si>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</si>
  <si>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</si>
  <si>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</si>
  <si>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</si>
  <si>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</si>
  <si>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</si>
  <si>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</si>
  <si>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</si>
  <si>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</si>
  <si>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</si>
  <si>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</si>
  <si>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</si>
  <si>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</si>
  <si>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</si>
  <si>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</si>
  <si>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</si>
  <si>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</si>
  <si>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</si>
  <si>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</si>
  <si>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</si>
  <si>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</si>
  <si>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</si>
  <si>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</si>
  <si>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</si>
  <si>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</si>
  <si>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</si>
  <si>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</si>
  <si>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</si>
  <si>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</si>
  <si>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</si>
  <si>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</si>
  <si>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</si>
  <si>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</si>
  <si>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</si>
  <si>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</si>
  <si>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</si>
  <si>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</si>
  <si>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</si>
  <si>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</si>
  <si>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</si>
  <si>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</si>
  <si>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</si>
  <si>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</si>
  <si>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</si>
  <si>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</si>
  <si>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</si>
  <si>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</si>
  <si>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</si>
  <si>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</si>
  <si>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</si>
  <si>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</si>
  <si>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</si>
  <si>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</si>
  <si>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</si>
  <si>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</si>
  <si>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</si>
  <si>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</si>
  <si>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</si>
  <si>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</si>
  <si>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</si>
  <si>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</si>
  <si>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</si>
  <si>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</si>
  <si>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</si>
  <si>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</si>
  <si>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</si>
  <si>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</si>
  <si>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</si>
  <si>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</si>
  <si>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</si>
  <si>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</si>
  <si>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</si>
  <si>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</si>
  <si>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</si>
  <si>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</si>
  <si>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</si>
  <si>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</si>
  <si>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</si>
  <si>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</si>
  <si>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</si>
  <si>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</si>
  <si>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</si>
  <si>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</si>
  <si>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</si>
  <si>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</si>
  <si>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</si>
  <si>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</si>
  <si>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</si>
  <si>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</si>
  <si>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</si>
  <si>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</si>
  <si>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</si>
  <si>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</si>
  <si>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</si>
  <si>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</si>
  <si>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</si>
  <si>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</si>
  <si>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</si>
  <si>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</si>
  <si>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</si>
  <si>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</si>
  <si>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</si>
  <si>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</si>
  <si>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</si>
  <si>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</si>
  <si>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</si>
  <si>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</si>
  <si>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</si>
  <si>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</si>
  <si>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</si>
  <si>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</si>
  <si>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</si>
  <si>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</si>
  <si>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</si>
  <si>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</si>
  <si>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</si>
  <si>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</si>
  <si>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</si>
  <si>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</si>
  <si>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</si>
  <si>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</si>
  <si>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</si>
  <si>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</si>
  <si>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</si>
  <si>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</si>
  <si>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</si>
  <si>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</si>
  <si>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</si>
  <si>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</si>
  <si>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</si>
  <si>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</si>
  <si>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</si>
  <si>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</si>
  <si>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</si>
  <si>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</si>
  <si>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</si>
  <si>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</si>
  <si>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</si>
  <si>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</si>
  <si>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</si>
  <si>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</si>
  <si>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</si>
  <si>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</si>
  <si>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</si>
  <si>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</si>
  <si>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</si>
  <si>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</si>
  <si>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</si>
  <si>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</si>
  <si>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</si>
  <si>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</si>
  <si>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</si>
  <si>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</si>
  <si>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</si>
  <si>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</si>
  <si>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</si>
  <si>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</si>
  <si>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</si>
  <si>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</si>
  <si>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</si>
  <si>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</si>
  <si>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</si>
  <si>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</si>
  <si>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</si>
  <si>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</si>
  <si>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</si>
  <si>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</si>
  <si>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</si>
  <si>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</si>
  <si>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</si>
  <si>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</si>
  <si>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</si>
  <si>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</si>
  <si>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</si>
  <si>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</si>
  <si>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</si>
  <si>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</si>
  <si>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</si>
  <si>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</si>
  <si>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</si>
  <si>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</si>
  <si>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</si>
  <si>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</si>
  <si>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</si>
  <si>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</si>
  <si>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</si>
  <si>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</si>
  <si>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</si>
  <si>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</si>
  <si>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</si>
  <si>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</si>
  <si>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</si>
  <si>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</si>
  <si>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</si>
  <si>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</si>
  <si>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</si>
  <si>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</si>
  <si>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</si>
  <si>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</si>
  <si>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</si>
  <si>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</si>
  <si>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</si>
  <si>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</si>
  <si>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</si>
  <si>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</si>
  <si>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</si>
  <si>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</si>
  <si>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</si>
  <si>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</si>
  <si>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</si>
  <si>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</si>
  <si>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</si>
  <si>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</si>
  <si>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</si>
  <si>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</si>
  <si>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</si>
  <si>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</si>
  <si>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</si>
  <si>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</si>
  <si>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</si>
  <si>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</si>
  <si>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</si>
  <si>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</si>
  <si>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</si>
  <si>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</si>
  <si>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</si>
  <si>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</si>
  <si>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</si>
  <si>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</si>
  <si>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</si>
  <si>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</si>
  <si>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</si>
  <si>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</si>
  <si>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</si>
  <si>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</si>
  <si>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</si>
  <si>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</si>
  <si>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</si>
  <si>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</si>
  <si>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</si>
  <si>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</si>
  <si>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</si>
  <si>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</si>
  <si>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</si>
  <si>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</si>
  <si>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</si>
  <si>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</si>
  <si>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</si>
  <si>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</si>
  <si>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</si>
  <si>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</si>
  <si>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</si>
  <si>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</si>
  <si>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</si>
  <si>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</si>
  <si>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</si>
  <si>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</si>
  <si>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</si>
  <si>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</si>
  <si>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</si>
  <si>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</si>
  <si>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</si>
  <si>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</si>
  <si>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</si>
  <si>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</si>
  <si>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</si>
  <si>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</si>
  <si>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</si>
  <si>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</si>
  <si>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</si>
  <si>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</si>
  <si>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</si>
  <si>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</si>
  <si>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</si>
  <si>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</si>
  <si>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</si>
  <si>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</si>
  <si>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</si>
  <si>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</si>
  <si>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</si>
  <si>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</si>
  <si>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</si>
  <si>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</si>
  <si>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</si>
  <si>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</si>
  <si>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</si>
  <si>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</si>
  <si>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</si>
  <si>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</si>
  <si>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</si>
  <si>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</si>
  <si>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</si>
  <si>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</si>
  <si>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</si>
  <si>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</si>
  <si>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</si>
  <si>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</si>
  <si>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</si>
  <si>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</si>
  <si>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</si>
  <si>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</si>
  <si>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</si>
  <si>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</si>
  <si>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</si>
  <si>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</si>
  <si>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</si>
  <si>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</si>
  <si>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</si>
  <si>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</si>
  <si>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</si>
  <si>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</si>
  <si>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</si>
  <si>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</si>
  <si>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</si>
  <si>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</si>
  <si>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</si>
  <si>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</si>
  <si>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</si>
  <si>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</si>
  <si>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</si>
  <si>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</si>
  <si>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</si>
  <si>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</si>
  <si>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</si>
  <si>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</si>
  <si>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</si>
  <si>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</si>
  <si>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</si>
  <si>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</si>
  <si>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</si>
  <si>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</si>
  <si>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</si>
  <si>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</si>
  <si>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</si>
  <si>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</si>
  <si>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</si>
  <si>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</si>
  <si>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</si>
  <si>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</si>
  <si>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</si>
  <si>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</si>
  <si>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</si>
  <si>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</si>
  <si>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</si>
  <si>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</si>
  <si>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</si>
  <si>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</si>
  <si>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</si>
  <si>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</si>
  <si>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</si>
  <si>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</si>
  <si>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</si>
  <si>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</si>
  <si>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</si>
  <si>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</si>
  <si>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</si>
  <si>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</si>
  <si>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</si>
  <si>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</si>
  <si>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</si>
  <si>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</si>
  <si>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</si>
  <si>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</si>
  <si>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</si>
  <si>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</si>
  <si>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</si>
  <si>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</si>
  <si>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</si>
  <si>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</si>
  <si>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</si>
  <si>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</si>
  <si>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</si>
  <si>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</si>
  <si>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</si>
  <si>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</si>
  <si>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</si>
  <si>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</si>
  <si>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</si>
  <si>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</si>
  <si>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</si>
  <si>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</si>
  <si>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</si>
  <si>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</si>
  <si>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</si>
  <si>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</si>
  <si>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</si>
  <si>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</si>
  <si>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</si>
  <si>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</si>
  <si>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</si>
  <si>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</si>
  <si>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</si>
  <si>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</si>
  <si>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</si>
  <si>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</si>
  <si>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</si>
  <si>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</si>
  <si>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</si>
  <si>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</si>
  <si>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</si>
  <si>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</si>
  <si>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</si>
  <si>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</si>
  <si>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</si>
  <si>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</si>
  <si>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</si>
  <si>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</si>
  <si>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</si>
  <si>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</si>
  <si>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</si>
  <si>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</si>
  <si>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</si>
  <si>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</si>
  <si>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</si>
  <si>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</si>
  <si>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</si>
  <si>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</si>
  <si>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</si>
  <si>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</si>
  <si>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</si>
  <si>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</si>
  <si>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</si>
  <si>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</si>
  <si>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</si>
  <si>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</si>
  <si>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</si>
  <si>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</si>
  <si>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</si>
  <si>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</si>
  <si>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</si>
  <si>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</si>
  <si>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</si>
  <si>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</si>
  <si>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</si>
  <si>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</si>
  <si>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</si>
  <si>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</si>
  <si>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</si>
  <si>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</si>
  <si>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</si>
  <si>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</si>
  <si>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</si>
  <si>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</si>
  <si>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</si>
  <si>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</si>
  <si>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</si>
  <si>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</si>
  <si>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</si>
  <si>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</si>
  <si>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</si>
  <si>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</si>
  <si>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</si>
  <si>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</si>
  <si>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</si>
  <si>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</si>
  <si>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</si>
  <si>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</si>
  <si>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</si>
  <si>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</si>
  <si>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</si>
  <si>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</si>
  <si>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</si>
  <si>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</si>
  <si>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</si>
  <si>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</si>
  <si>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</si>
  <si>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</si>
  <si>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</si>
  <si>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</si>
  <si>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</si>
  <si>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</si>
  <si>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</si>
  <si>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</si>
  <si>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</si>
  <si>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</si>
  <si>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</si>
  <si>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</si>
  <si>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</si>
  <si>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</si>
  <si>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</si>
  <si>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</si>
  <si>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</si>
  <si>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</si>
  <si>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</si>
  <si>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</si>
  <si>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</si>
  <si>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</si>
  <si>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</si>
  <si>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</si>
  <si>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</si>
  <si>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</si>
  <si>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</si>
  <si>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</si>
  <si>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</si>
  <si>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</si>
  <si>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</si>
  <si>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</si>
  <si>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</si>
  <si>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</si>
  <si>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</si>
  <si>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</si>
  <si>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</si>
  <si>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</si>
  <si>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</si>
  <si>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</si>
  <si>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</si>
  <si>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</si>
  <si>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</si>
  <si>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</si>
  <si>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</si>
  <si>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</si>
  <si>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</si>
  <si>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</si>
  <si>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</si>
  <si>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</si>
  <si>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</si>
  <si>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</si>
  <si>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</si>
  <si>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</si>
  <si>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</si>
  <si>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</si>
  <si>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</si>
  <si>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</si>
  <si>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</si>
  <si>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</si>
  <si>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</si>
  <si>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</si>
  <si>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</si>
  <si>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</si>
  <si>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</si>
  <si>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</si>
  <si>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</si>
  <si>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</si>
  <si>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</si>
  <si>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</si>
  <si>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</si>
  <si>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</si>
  <si>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</si>
  <si>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</si>
  <si>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</si>
  <si>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</si>
  <si>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</si>
  <si>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</si>
  <si>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</si>
  <si>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</si>
  <si>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</si>
  <si>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</si>
  <si>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</si>
  <si>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</si>
  <si>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</si>
  <si>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</si>
  <si>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</si>
  <si>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</si>
  <si>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</si>
  <si>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</si>
  <si>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</si>
  <si>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</si>
  <si>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</si>
  <si>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</si>
  <si>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</si>
  <si>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</si>
  <si>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</si>
  <si>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</si>
  <si>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</si>
  <si>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</si>
  <si>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</si>
  <si>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</si>
  <si>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</si>
  <si>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</si>
  <si>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</si>
  <si>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</si>
  <si>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</si>
  <si>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</si>
  <si>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</si>
  <si>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</si>
  <si>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</si>
  <si>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</si>
  <si>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</si>
  <si>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</si>
  <si>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</si>
  <si>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</si>
  <si>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</si>
  <si>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</si>
  <si>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</si>
  <si>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</si>
  <si>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</si>
  <si>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</si>
  <si>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</si>
  <si>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</si>
  <si>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</si>
  <si>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</si>
  <si>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</si>
  <si>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</si>
  <si>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</si>
  <si>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</si>
  <si>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</si>
  <si>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</si>
  <si>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</si>
  <si>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</si>
  <si>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</si>
  <si>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</si>
  <si>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</si>
  <si>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</si>
  <si>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</si>
  <si>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</si>
  <si>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</si>
  <si>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</si>
  <si>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</si>
  <si>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</si>
  <si>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</si>
  <si>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</si>
  <si>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</si>
  <si>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</si>
  <si>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</si>
  <si>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</si>
  <si>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</si>
  <si>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</si>
  <si>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</si>
  <si>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</si>
  <si>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</si>
  <si>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</si>
  <si>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</si>
  <si>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</si>
  <si>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</si>
  <si>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</si>
  <si>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</si>
  <si>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</si>
  <si>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</si>
  <si>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</si>
  <si>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</si>
  <si>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</si>
  <si>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</si>
  <si>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</si>
  <si>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</si>
  <si>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</si>
  <si>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</si>
  <si>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</si>
  <si>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</si>
  <si>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</si>
  <si>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</si>
  <si>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</si>
  <si>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</si>
  <si>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</si>
  <si>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</si>
  <si>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</si>
  <si>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</si>
  <si>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</si>
  <si>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</si>
  <si>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</si>
  <si>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</si>
  <si>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</si>
  <si>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</si>
  <si>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</si>
  <si>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</si>
  <si>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</si>
  <si>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</si>
  <si>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</si>
  <si>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</si>
  <si>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</si>
  <si>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</si>
  <si>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</si>
  <si>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</si>
  <si>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</si>
  <si>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</si>
  <si>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</si>
  <si>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</si>
  <si>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</si>
  <si>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</si>
  <si>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</si>
  <si>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</si>
  <si>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</si>
  <si>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</si>
  <si>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</si>
  <si>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</si>
  <si>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</si>
  <si>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</si>
  <si>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</si>
  <si>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</si>
  <si>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</si>
  <si>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</si>
  <si>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</si>
  <si>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</si>
  <si>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</si>
  <si>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</si>
  <si>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</si>
  <si>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</si>
  <si>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</si>
  <si>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</si>
  <si>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</si>
  <si>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</si>
  <si>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</si>
  <si>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</si>
  <si>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</si>
  <si>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</si>
  <si>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</si>
  <si>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</si>
  <si>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</si>
  <si>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</si>
  <si>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</si>
  <si>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</si>
  <si>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</si>
  <si>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</si>
  <si>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</si>
  <si>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</si>
  <si>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</si>
  <si>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</si>
  <si>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</si>
  <si>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</si>
  <si>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</si>
  <si>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</si>
  <si>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</si>
  <si>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</si>
  <si>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</si>
  <si>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</si>
  <si>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</si>
  <si>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</si>
  <si>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</si>
  <si>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</si>
  <si>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</si>
  <si>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</si>
  <si>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</si>
  <si>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</si>
  <si>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</si>
  <si>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</si>
  <si>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</si>
  <si>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</si>
  <si>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</si>
  <si>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</si>
  <si>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</si>
  <si>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</si>
  <si>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</si>
  <si>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</si>
  <si>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</si>
  <si>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</si>
  <si>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</si>
  <si>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</si>
  <si>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</si>
  <si>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</si>
  <si>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</si>
  <si>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</si>
  <si>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</si>
  <si>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</si>
  <si>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</si>
  <si>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</si>
  <si>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</si>
  <si>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</si>
  <si>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</si>
  <si>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</si>
  <si>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</si>
  <si>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</si>
  <si>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</si>
  <si>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</si>
  <si>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</si>
  <si>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</si>
  <si>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</si>
  <si>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</si>
  <si>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</si>
  <si>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</si>
  <si>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</si>
  <si>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</si>
  <si>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</si>
  <si>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</si>
  <si>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</si>
  <si>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</si>
  <si>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</si>
  <si>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</si>
  <si>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</si>
  <si>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</si>
  <si>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</si>
  <si>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</si>
  <si>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</si>
  <si>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</si>
  <si>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</si>
  <si>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</si>
  <si>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</si>
  <si>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</si>
  <si>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</si>
  <si>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</si>
  <si>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</si>
  <si>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</si>
  <si>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</si>
  <si>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</si>
  <si>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</si>
  <si>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</si>
  <si>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</si>
  <si>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</si>
  <si>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</si>
  <si>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</si>
  <si>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</si>
  <si>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</si>
  <si>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</si>
  <si>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</si>
  <si>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</si>
  <si>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</si>
  <si>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</si>
  <si>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</si>
  <si>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</si>
  <si>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</si>
  <si>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</si>
  <si>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</si>
  <si>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</si>
  <si>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</si>
  <si>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</si>
  <si>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</si>
  <si>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</si>
  <si>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</si>
  <si>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</si>
  <si>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</si>
  <si>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</si>
  <si>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</si>
  <si>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</si>
  <si>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</si>
  <si>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</si>
  <si>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</si>
  <si>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</si>
  <si>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</si>
  <si>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</si>
  <si>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</si>
  <si>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</si>
  <si>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</si>
  <si>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</si>
  <si>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</si>
  <si>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</si>
  <si>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</si>
  <si>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</si>
  <si>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</si>
  <si>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</si>
  <si>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</si>
  <si>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</si>
  <si>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</si>
  <si>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</si>
  <si>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</si>
  <si>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</si>
  <si>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</si>
  <si>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</si>
  <si>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</si>
  <si>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</si>
  <si>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</si>
  <si>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</si>
  <si>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</si>
  <si>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</si>
  <si>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</si>
  <si>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IT-09</t>
  </si>
  <si>
    <t>SEC-06</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</si>
  <si>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</si>
  <si>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</si>
  <si>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</si>
  <si>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</si>
  <si>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</si>
  <si>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</si>
  <si>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</si>
  <si>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</si>
  <si>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</si>
  <si>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</si>
  <si>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</si>
  <si>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</si>
  <si>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</si>
  <si>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</si>
  <si>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</si>
  <si>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</si>
  <si>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</si>
  <si>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</si>
  <si>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</si>
  <si>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</si>
  <si>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</si>
  <si>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</si>
  <si>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</si>
  <si>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</si>
  <si>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</si>
  <si>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</si>
  <si>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</si>
  <si>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</si>
  <si>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</si>
  <si>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</si>
  <si>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</si>
  <si>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</si>
  <si>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</si>
  <si>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</si>
  <si>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</si>
  <si>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</si>
  <si>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</si>
  <si>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</si>
  <si>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</si>
  <si>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</si>
  <si>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</si>
  <si>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</si>
  <si>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</si>
  <si>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</si>
  <si>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</si>
  <si>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</si>
  <si>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</si>
  <si>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</si>
  <si>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</si>
  <si>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</si>
  <si>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</si>
  <si>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</si>
  <si>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</si>
  <si>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</si>
  <si>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</si>
  <si>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</si>
  <si>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</si>
  <si>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</si>
  <si>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</si>
  <si>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</si>
  <si>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</si>
  <si>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</si>
  <si>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</si>
  <si>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</si>
  <si>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</si>
  <si>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</si>
  <si>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</si>
  <si>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</si>
  <si>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</si>
  <si>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</si>
  <si>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指摘対応・改訂（第1回）</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</si>
  <si>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</si>
  <si>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</si>
  <si>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</si>
  <si>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</si>
  <si>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</si>
  <si>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</si>
  <si>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</si>
  <si>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</si>
  <si>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</si>
  <si>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</si>
  <si>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</si>
  <si>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</si>
  <si>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</si>
  <si>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</si>
  <si>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</si>
  <si>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</si>
  <si>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</si>
  <si>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</si>
  <si>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</si>
  <si>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</si>
  <si>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</si>
  <si>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</si>
  <si>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</si>
  <si>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</si>
  <si>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</si>
  <si>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</si>
  <si>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</si>
  <si>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</si>
  <si>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</si>
  <si>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</si>
  <si>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</si>
  <si>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</si>
  <si>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</si>
  <si>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</si>
  <si>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</si>
  <si>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</si>
  <si>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</si>
  <si>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</si>
  <si>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</si>
  <si>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</si>
  <si>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</si>
  <si>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</si>
  <si>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</si>
  <si>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</si>
  <si>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</si>
  <si>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</si>
  <si>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</si>
  <si>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</si>
  <si>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</si>
  <si>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</si>
  <si>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</si>
  <si>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</si>
  <si>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</si>
  <si>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</si>
  <si>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</si>
  <si>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</si>
  <si>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</si>
  <si>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</si>
  <si>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</si>
  <si>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</si>
  <si>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</si>
  <si>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</si>
  <si>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</si>
  <si>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</si>
  <si>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</si>
  <si>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</si>
  <si>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</si>
  <si>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</si>
  <si>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</si>
  <si>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</si>
  <si>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</si>
  <si>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</si>
  <si>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</si>
  <si>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</si>
  <si>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</si>
  <si>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</si>
  <si>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</si>
  <si>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</si>
  <si>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</si>
  <si>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</si>
  <si>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</si>
  <si>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</si>
  <si>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</si>
  <si>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</si>
  <si>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</si>
  <si>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</si>
  <si>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</si>
  <si>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</si>
  <si>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</si>
  <si>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</si>
  <si>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</si>
  <si>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</si>
  <si>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</si>
  <si>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</si>
  <si>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</si>
  <si>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</si>
  <si>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</si>
  <si>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</si>
  <si>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</si>
  <si>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</si>
  <si>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</si>
  <si>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</si>
  <si>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</si>
  <si>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</si>
  <si>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</si>
  <si>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</si>
  <si>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</si>
  <si>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</si>
  <si>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</si>
  <si>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</si>
  <si>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</si>
  <si>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</si>
  <si>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</si>
  <si>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</si>
  <si>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</si>
  <si>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</si>
  <si>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</si>
  <si>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</si>
  <si>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</si>
  <si>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</si>
  <si>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</si>
  <si>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</si>
  <si>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</si>
  <si>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</si>
  <si>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</si>
  <si>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</si>
  <si>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</si>
  <si>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</si>
  <si>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HB-F-AUTH-09</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</si>
  <si>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</si>
  <si>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</si>
  <si>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</si>
  <si>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</si>
  <si>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</si>
  <si>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</si>
  <si>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</si>
  <si>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</si>
  <si>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</si>
  <si>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</si>
  <si>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</si>
  <si>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</si>
  <si>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</si>
  <si>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</si>
  <si>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</si>
  <si>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</si>
  <si>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</si>
  <si>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</si>
  <si>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</si>
  <si>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</si>
  <si>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</si>
  <si>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</si>
  <si>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</si>
  <si>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</si>
  <si>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</si>
  <si>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</si>
  <si>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</si>
  <si>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</si>
  <si>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</si>
  <si>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</si>
  <si>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</si>
  <si>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</si>
  <si>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</si>
  <si>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</si>
  <si>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</si>
  <si>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</si>
  <si>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</si>
  <si>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</si>
  <si>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</si>
  <si>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</si>
  <si>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</si>
  <si>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</si>
  <si>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</si>
  <si>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</si>
  <si>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</si>
  <si>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</si>
  <si>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</si>
  <si>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</si>
  <si>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</si>
  <si>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</si>
  <si>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</si>
  <si>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</si>
  <si>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</si>
  <si>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</si>
  <si>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</si>
  <si>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</si>
  <si>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</si>
  <si>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</si>
  <si>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</si>
  <si>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</si>
  <si>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</si>
  <si>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</si>
  <si>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</si>
  <si>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</si>
  <si>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</si>
  <si>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</si>
  <si>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</si>
  <si>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</si>
  <si>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</si>
  <si>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</si>
  <si>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</si>
  <si>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</si>
  <si>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</si>
  <si>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</si>
  <si>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</si>
  <si>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</si>
  <si>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</si>
  <si>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</si>
  <si>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</si>
  <si>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</si>
  <si>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</si>
  <si>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</si>
  <si>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</si>
  <si>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</si>
  <si>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</si>
  <si>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</si>
  <si>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</si>
  <si>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</si>
  <si>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</si>
  <si>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</si>
  <si>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</si>
  <si>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</si>
  <si>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</si>
  <si>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</si>
  <si>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</si>
  <si>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</si>
  <si>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</si>
  <si>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</si>
  <si>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</si>
  <si>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</si>
  <si>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</si>
  <si>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</si>
  <si>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</si>
  <si>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</si>
  <si>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</si>
  <si>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</si>
  <si>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</si>
  <si>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</si>
  <si>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</si>
  <si>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</si>
  <si>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</si>
  <si>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</si>
  <si>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</si>
  <si>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</si>
  <si>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</si>
  <si>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</si>
  <si>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</si>
  <si>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</si>
  <si>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</si>
  <si>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</si>
  <si>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</si>
  <si>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</si>
  <si>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</si>
  <si>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</si>
  <si>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</si>
  <si>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</si>
  <si>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</si>
  <si>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</si>
  <si>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</si>
  <si>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</si>
  <si>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</si>
  <si>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</si>
  <si>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</si>
  <si>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</si>
  <si>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</si>
  <si>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</si>
  <si>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</si>
  <si>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</si>
  <si>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</si>
  <si>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</si>
  <si>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</si>
  <si>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</si>
  <si>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</si>
  <si>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</si>
  <si>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</si>
  <si>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</si>
  <si>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</si>
  <si>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</si>
  <si>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</si>
  <si>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</si>
  <si>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</si>
  <si>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</si>
  <si>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</si>
  <si>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</si>
  <si>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</si>
  <si>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</si>
  <si>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</si>
  <si>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</si>
  <si>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</si>
  <si>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</si>
  <si>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</si>
  <si>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</si>
  <si>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</si>
  <si>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</si>
  <si>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</si>
  <si>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</si>
  <si>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</si>
  <si>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</si>
  <si>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</si>
  <si>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</si>
  <si>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</si>
  <si>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</si>
  <si>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</si>
  <si>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</si>
  <si>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</si>
  <si>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</si>
  <si>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</si>
  <si>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</si>
  <si>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HD-24</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</si>
  <si>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</si>
  <si>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</si>
  <si>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</si>
  <si>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</si>
  <si>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</si>
  <si>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</si>
  <si>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</si>
  <si>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</si>
  <si>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</si>
  <si>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</si>
  <si>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</si>
  <si>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</si>
  <si>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</si>
  <si>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</si>
  <si>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</si>
  <si>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</si>
  <si>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</si>
  <si>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</si>
  <si>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</si>
  <si>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</si>
  <si>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</si>
  <si>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</si>
  <si>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</si>
  <si>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</si>
  <si>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</si>
  <si>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</si>
  <si>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</si>
  <si>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</si>
  <si>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</si>
  <si>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</si>
  <si>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</si>
  <si>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</si>
  <si>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</si>
  <si>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</si>
  <si>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</si>
  <si>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</si>
  <si>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</si>
  <si>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</si>
  <si>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</si>
  <si>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</si>
  <si>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</si>
  <si>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</si>
  <si>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</si>
  <si>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</si>
  <si>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</si>
  <si>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</si>
  <si>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</si>
  <si>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</si>
  <si>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</si>
  <si>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</si>
  <si>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</si>
  <si>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</si>
  <si>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</si>
  <si>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</si>
  <si>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</si>
  <si>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</si>
  <si>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</si>
  <si>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</si>
  <si>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</si>
  <si>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</si>
  <si>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</si>
  <si>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</si>
  <si>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</si>
  <si>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</si>
  <si>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</si>
  <si>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</si>
  <si>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</si>
  <si>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</si>
  <si>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</si>
  <si>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</si>
  <si>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</si>
  <si>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</si>
  <si>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</si>
  <si>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</si>
  <si>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</si>
  <si>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</si>
  <si>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</si>
  <si>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</si>
  <si>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</si>
  <si>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</si>
  <si>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</si>
  <si>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</si>
  <si>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</si>
  <si>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</si>
  <si>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</si>
  <si>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</si>
  <si>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</si>
  <si>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</si>
  <si>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</si>
  <si>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</si>
  <si>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</si>
  <si>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</si>
  <si>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</si>
  <si>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</si>
  <si>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</si>
  <si>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</si>
  <si>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</si>
  <si>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</si>
  <si>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</si>
  <si>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</si>
  <si>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</si>
  <si>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</si>
  <si>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</si>
  <si>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</si>
  <si>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</si>
  <si>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</si>
  <si>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</si>
  <si>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</si>
  <si>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</si>
  <si>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</si>
  <si>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</si>
  <si>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</si>
  <si>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</si>
  <si>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</si>
  <si>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</si>
  <si>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</si>
  <si>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</si>
  <si>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</si>
  <si>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</si>
  <si>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</si>
  <si>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</si>
  <si>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</si>
  <si>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</si>
  <si>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</si>
  <si>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</si>
  <si>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</si>
  <si>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</si>
  <si>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</si>
  <si>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</si>
  <si>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</si>
  <si>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</si>
  <si>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</si>
  <si>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</si>
  <si>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</si>
  <si>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</si>
  <si>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</si>
  <si>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</si>
  <si>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</si>
  <si>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</si>
  <si>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</si>
  <si>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D-21</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</si>
  <si>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</si>
  <si>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</si>
  <si>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</si>
  <si>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</si>
  <si>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</si>
  <si>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</si>
  <si>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</si>
  <si>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</si>
  <si>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</si>
  <si>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</si>
  <si>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</si>
  <si>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</si>
  <si>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</si>
  <si>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</si>
  <si>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</si>
  <si>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</si>
  <si>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</si>
  <si>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</si>
  <si>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</si>
  <si>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</si>
  <si>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</si>
  <si>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</si>
  <si>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</si>
  <si>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</si>
  <si>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</si>
  <si>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</si>
  <si>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</si>
  <si>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</si>
  <si>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</si>
  <si>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</si>
  <si>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</si>
  <si>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</si>
  <si>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</si>
  <si>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</si>
  <si>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</si>
  <si>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</si>
  <si>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</si>
  <si>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</si>
  <si>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</si>
  <si>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</si>
  <si>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</si>
  <si>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</si>
  <si>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</si>
  <si>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</si>
  <si>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</si>
  <si>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</si>
  <si>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</si>
  <si>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</si>
  <si>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</si>
  <si>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</si>
  <si>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</si>
  <si>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</si>
  <si>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</si>
  <si>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</si>
  <si>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</si>
  <si>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</si>
  <si>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</si>
  <si>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</si>
  <si>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</si>
  <si>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</si>
  <si>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</si>
  <si>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</si>
  <si>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</si>
  <si>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</si>
  <si>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</si>
  <si>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</si>
  <si>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</si>
  <si>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</si>
  <si>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</si>
  <si>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</si>
  <si>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</si>
  <si>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</si>
  <si>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</si>
  <si>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</si>
  <si>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</si>
  <si>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</si>
  <si>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</si>
  <si>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</si>
  <si>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</si>
  <si>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</si>
  <si>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</si>
  <si>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</si>
  <si>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</si>
  <si>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</si>
  <si>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</si>
  <si>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</si>
  <si>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</si>
  <si>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</si>
  <si>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</si>
  <si>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</si>
  <si>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</si>
  <si>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</si>
  <si>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</si>
  <si>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</si>
  <si>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</si>
  <si>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</si>
  <si>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</si>
  <si>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</si>
  <si>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</si>
  <si>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</si>
  <si>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</si>
  <si>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</si>
  <si>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</si>
  <si>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</si>
  <si>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</si>
  <si>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</si>
  <si>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</si>
  <si>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</si>
  <si>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</si>
  <si>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</si>
  <si>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</si>
  <si>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</si>
  <si>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</si>
  <si>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</si>
  <si>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</si>
  <si>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</si>
  <si>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</si>
  <si>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</si>
  <si>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</si>
  <si>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</si>
  <si>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</si>
  <si>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</si>
  <si>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</si>
  <si>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</si>
  <si>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</si>
  <si>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</si>
  <si>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</si>
  <si>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</si>
  <si>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</si>
  <si>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</si>
  <si>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</si>
  <si>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</si>
  <si>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</si>
  <si>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</si>
  <si>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</si>
  <si>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</si>
  <si>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</si>
  <si>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</si>
  <si>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</si>
  <si>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</si>
  <si>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</si>
  <si>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</si>
  <si>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</si>
  <si>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</si>
  <si>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</si>
  <si>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</si>
  <si>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</si>
  <si>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</si>
  <si>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</si>
  <si>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</si>
  <si>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</si>
  <si>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</si>
  <si>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</si>
  <si>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</si>
  <si>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</si>
  <si>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</si>
  <si>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</si>
  <si>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</si>
  <si>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</si>
  <si>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</si>
  <si>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</si>
  <si>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</si>
  <si>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</si>
  <si>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</si>
  <si>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</si>
  <si>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</si>
  <si>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</si>
  <si>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</si>
  <si>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</si>
  <si>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</si>
  <si>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</si>
  <si>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</si>
  <si>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</si>
  <si>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</si>
  <si>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</si>
  <si>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</si>
  <si>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</si>
  <si>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</si>
  <si>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</si>
  <si>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</si>
  <si>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</si>
  <si>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</si>
  <si>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</si>
  <si>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</si>
  <si>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</si>
  <si>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</si>
  <si>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</si>
  <si>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</si>
  <si>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</si>
  <si>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</si>
  <si>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</si>
  <si>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</si>
  <si>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</si>
  <si>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</si>
  <si>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</si>
  <si>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</si>
  <si>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</si>
  <si>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</si>
  <si>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</si>
  <si>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</si>
  <si>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</si>
  <si>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</si>
  <si>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</si>
  <si>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</si>
  <si>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</si>
  <si>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</si>
  <si>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</si>
  <si>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</si>
  <si>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</si>
  <si>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</si>
  <si>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</si>
  <si>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</si>
  <si>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</si>
  <si>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</si>
  <si>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</si>
  <si>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</si>
  <si>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</si>
  <si>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</si>
  <si>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</si>
  <si>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</si>
  <si>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</si>
  <si>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</si>
  <si>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</si>
  <si>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</si>
  <si>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</si>
  <si>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</si>
  <si>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</si>
  <si>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</si>
  <si>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</si>
  <si>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</si>
  <si>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</si>
  <si>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</si>
  <si>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</si>
  <si>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</si>
  <si>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</si>
  <si>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</si>
  <si>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</si>
  <si>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</si>
  <si>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</si>
  <si>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</si>
  <si>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</si>
  <si>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</si>
  <si>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</si>
  <si>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</si>
  <si>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</si>
  <si>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</si>
  <si>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</si>
  <si>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</si>
  <si>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</si>
  <si>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</si>
  <si>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</si>
  <si>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</si>
  <si>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</si>
  <si>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</si>
  <si>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</si>
  <si>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</si>
  <si>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</si>
  <si>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</si>
  <si>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</si>
  <si>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</si>
  <si>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</si>
  <si>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</si>
  <si>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</si>
  <si>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</si>
  <si>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</si>
  <si>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</si>
  <si>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</si>
  <si>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</si>
  <si>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</si>
  <si>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</si>
  <si>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</si>
  <si>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</si>
  <si>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</si>
  <si>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</si>
  <si>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</si>
  <si>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</si>
  <si>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</si>
  <si>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</si>
  <si>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</si>
  <si>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</si>
  <si>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</si>
  <si>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</si>
  <si>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</si>
  <si>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</si>
  <si>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</si>
  <si>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</si>
  <si>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</si>
  <si>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</si>
  <si>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</si>
  <si>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</si>
  <si>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</si>
  <si>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</si>
  <si>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</si>
  <si>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</si>
  <si>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</si>
  <si>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</si>
  <si>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</si>
  <si>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</si>
  <si>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</si>
  <si>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</si>
  <si>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</si>
  <si>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</si>
  <si>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</si>
  <si>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</si>
  <si>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</si>
  <si>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</si>
  <si>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</si>
  <si>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</si>
  <si>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</si>
  <si>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</si>
  <si>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</si>
  <si>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</si>
  <si>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</si>
  <si>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</si>
  <si>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</si>
  <si>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</si>
  <si>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</si>
  <si>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</si>
  <si>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</si>
  <si>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</si>
  <si>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</si>
  <si>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</si>
  <si>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</si>
  <si>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</si>
  <si>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</si>
  <si>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</si>
  <si>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</si>
  <si>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</si>
  <si>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</si>
  <si>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</si>
  <si>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</si>
  <si>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</si>
  <si>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</si>
  <si>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</si>
  <si>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</si>
  <si>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</si>
  <si>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</si>
  <si>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</si>
  <si>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</si>
  <si>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</si>
  <si>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</si>
  <si>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</si>
  <si>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</si>
  <si>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</si>
  <si>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</si>
  <si>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</si>
  <si>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</si>
  <si>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</si>
  <si>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</si>
  <si>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</si>
  <si>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</si>
  <si>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</si>
  <si>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</si>
  <si>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</si>
  <si>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</si>
  <si>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</si>
  <si>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</si>
  <si>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</si>
  <si>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</si>
  <si>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</si>
  <si>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</si>
  <si>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</si>
  <si>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</si>
  <si>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</si>
  <si>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</si>
  <si>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</si>
  <si>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</si>
  <si>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</si>
  <si>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</si>
  <si>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</si>
  <si>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</si>
  <si>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</si>
  <si>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</si>
  <si>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</si>
  <si>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</si>
  <si>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</si>
  <si>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</si>
  <si>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</si>
  <si>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</si>
  <si>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</si>
  <si>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</si>
  <si>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</si>
  <si>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</si>
  <si>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</si>
  <si>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</si>
  <si>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</si>
  <si>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</si>
  <si>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</si>
  <si>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</si>
  <si>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</si>
  <si>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</si>
  <si>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</si>
  <si>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</si>
  <si>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</si>
  <si>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</si>
  <si>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</si>
  <si>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</si>
  <si>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</si>
  <si>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</si>
  <si>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</si>
  <si>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</si>
  <si>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</si>
  <si>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</si>
  <si>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</si>
  <si>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</si>
  <si>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</si>
  <si>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</si>
  <si>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</si>
  <si>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</si>
  <si>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</si>
  <si>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</si>
  <si>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</si>
  <si>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</si>
  <si>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</si>
  <si>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</si>
  <si>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</si>
  <si>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</si>
  <si>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</si>
  <si>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</si>
  <si>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</si>
  <si>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</si>
  <si>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</si>
  <si>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</si>
  <si>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</si>
  <si>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</si>
  <si>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</si>
  <si>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</si>
  <si>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</si>
  <si>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</si>
  <si>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</si>
  <si>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</si>
  <si>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</si>
  <si>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</si>
  <si>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</si>
  <si>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</si>
  <si>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</si>
  <si>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</si>
  <si>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</si>
  <si>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</si>
  <si>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</si>
  <si>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</si>
  <si>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</si>
  <si>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</si>
  <si>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</si>
  <si>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</si>
  <si>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</si>
  <si>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</si>
  <si>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</si>
  <si>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</si>
  <si>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</si>
  <si>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</si>
  <si>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</si>
  <si>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</si>
  <si>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</si>
  <si>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</si>
  <si>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</si>
  <si>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</si>
  <si>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</si>
  <si>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</si>
  <si>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</si>
  <si>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</si>
  <si>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</si>
  <si>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</si>
  <si>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</si>
  <si>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</si>
  <si>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</si>
  <si>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</si>
  <si>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</si>
  <si>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</si>
  <si>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</si>
  <si>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</si>
  <si>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</si>
  <si>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</si>
  <si>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</si>
  <si>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</si>
  <si>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</si>
  <si>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</si>
  <si>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</si>
  <si>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</si>
  <si>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</si>
  <si>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</si>
  <si>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</si>
  <si>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</si>
  <si>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</si>
  <si>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</si>
  <si>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</si>
  <si>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</si>
  <si>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</si>
  <si>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</si>
  <si>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</si>
  <si>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</si>
  <si>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</si>
  <si>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</si>
  <si>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</si>
  <si>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</si>
  <si>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</si>
  <si>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</si>
  <si>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</si>
  <si>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</si>
  <si>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</si>
  <si>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</si>
  <si>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</si>
  <si>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</si>
  <si>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</si>
  <si>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</si>
  <si>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</si>
  <si>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</si>
  <si>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</si>
  <si>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</si>
  <si>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</si>
  <si>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</si>
  <si>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</si>
  <si>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</si>
  <si>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</si>
  <si>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</si>
  <si>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</si>
  <si>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</si>
  <si>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</si>
  <si>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</si>
  <si>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</si>
  <si>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</si>
  <si>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</si>
  <si>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</si>
  <si>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</si>
  <si>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</si>
  <si>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</si>
  <si>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</si>
  <si>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</si>
  <si>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</si>
  <si>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</si>
  <si>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</si>
  <si>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</si>
  <si>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</si>
  <si>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</si>
  <si>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</si>
  <si>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</si>
  <si>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</si>
  <si>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</si>
  <si>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</si>
  <si>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</si>
  <si>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</si>
  <si>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</si>
  <si>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</si>
  <si>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</si>
  <si>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</si>
  <si>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</si>
  <si>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</si>
  <si>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</si>
  <si>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</si>
  <si>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</si>
  <si>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</si>
  <si>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</si>
  <si>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</si>
  <si>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</si>
  <si>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</si>
  <si>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</si>
  <si>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</si>
  <si>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</si>
  <si>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</si>
  <si>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</si>
  <si>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</si>
  <si>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</si>
  <si>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</si>
  <si>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</si>
  <si>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</si>
  <si>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</si>
  <si>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</si>
  <si>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</si>
  <si>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</si>
  <si>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</si>
  <si>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</si>
  <si>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</si>
  <si>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</si>
  <si>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</si>
  <si>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</si>
  <si>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</si>
  <si>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</si>
  <si>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</si>
  <si>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</si>
  <si>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</si>
  <si>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</si>
  <si>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</si>
  <si>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</si>
  <si>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</si>
  <si>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</si>
  <si>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</si>
  <si>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</si>
  <si>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</si>
  <si>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</si>
  <si>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</si>
  <si>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</si>
  <si>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</si>
  <si>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</si>
  <si>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</si>
  <si>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</si>
  <si>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</si>
  <si>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</si>
  <si>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</si>
  <si>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</si>
  <si>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</si>
  <si>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</si>
  <si>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</si>
  <si>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</si>
  <si>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</si>
  <si>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</si>
  <si>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</si>
  <si>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</si>
  <si>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</si>
  <si>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</si>
  <si>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</si>
  <si>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</si>
  <si>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</si>
  <si>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</si>
  <si>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</si>
  <si>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</si>
  <si>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</si>
  <si>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</si>
  <si>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</si>
  <si>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</si>
  <si>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</si>
  <si>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</si>
  <si>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</si>
  <si>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</si>
  <si>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</si>
  <si>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</si>
  <si>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</si>
  <si>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</si>
  <si>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</si>
  <si>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</si>
  <si>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</si>
  <si>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</si>
  <si>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</si>
  <si>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</si>
  <si>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</si>
  <si>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</si>
  <si>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</si>
  <si>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</si>
  <si>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</si>
  <si>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</si>
  <si>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</si>
  <si>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</si>
  <si>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</si>
  <si>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</si>
  <si>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</si>
  <si>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</si>
  <si>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</si>
  <si>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</si>
  <si>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</si>
  <si>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</si>
  <si>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</si>
  <si>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</si>
  <si>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</si>
  <si>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</si>
  <si>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</si>
  <si>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</si>
  <si>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</si>
  <si>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</si>
  <si>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</si>
  <si>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</si>
  <si>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</si>
  <si>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</si>
  <si>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</si>
  <si>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</si>
  <si>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</si>
  <si>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</si>
  <si>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</si>
  <si>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</si>
  <si>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</si>
  <si>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</si>
  <si>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</si>
  <si>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</si>
  <si>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</si>
  <si>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</si>
  <si>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</si>
  <si>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</si>
  <si>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</si>
  <si>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</si>
  <si>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</si>
  <si>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</si>
  <si>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</si>
  <si>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</si>
  <si>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</si>
  <si>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</si>
  <si>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</si>
  <si>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</si>
  <si>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</si>
  <si>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</si>
  <si>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</si>
  <si>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</si>
  <si>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</si>
  <si>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</si>
  <si>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</si>
  <si>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</si>
  <si>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</si>
  <si>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</si>
  <si>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</si>
  <si>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</si>
  <si>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</si>
  <si>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</si>
  <si>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</si>
  <si>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</si>
  <si>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</si>
  <si>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</si>
  <si>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</si>
  <si>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</si>
  <si>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</si>
  <si>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</si>
  <si>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</si>
  <si>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</si>
  <si>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</si>
  <si>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</si>
  <si>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</si>
  <si>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</si>
  <si>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</si>
  <si>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</si>
  <si>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</si>
  <si>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</si>
  <si>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</si>
  <si>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</si>
  <si>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</si>
  <si>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</si>
  <si>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</si>
  <si>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</si>
  <si>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</si>
  <si>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</si>
  <si>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</si>
  <si>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</si>
  <si>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</si>
  <si>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</si>
  <si>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</si>
  <si>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</si>
  <si>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</si>
  <si>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</si>
  <si>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</si>
  <si>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</si>
  <si>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</si>
  <si>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</si>
  <si>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</si>
  <si>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</si>
  <si>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</si>
  <si>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</si>
  <si>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</si>
  <si>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</si>
  <si>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</si>
  <si>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</si>
  <si>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</si>
  <si>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</si>
  <si>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</si>
  <si>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</si>
  <si>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</si>
  <si>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</si>
  <si>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</si>
  <si>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</si>
  <si>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</si>
  <si>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</si>
  <si>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</si>
  <si>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</si>
  <si>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</si>
  <si>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</si>
  <si>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</si>
  <si>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</si>
  <si>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</si>
  <si>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</si>
  <si>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</si>
  <si>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</si>
  <si>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</si>
  <si>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</si>
  <si>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</si>
  <si>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</si>
  <si>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</si>
  <si>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</si>
  <si>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</si>
  <si>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</si>
  <si>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</si>
  <si>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</si>
  <si>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</si>
  <si>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</si>
  <si>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</si>
  <si>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</si>
  <si>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</si>
  <si>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</si>
  <si>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</si>
  <si>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</si>
  <si>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</si>
  <si>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</si>
  <si>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</si>
  <si>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</si>
  <si>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</si>
  <si>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</si>
  <si>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</si>
  <si>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</si>
  <si>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</si>
  <si>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</si>
  <si>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</si>
  <si>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</si>
  <si>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</si>
  <si>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</si>
  <si>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</si>
  <si>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</si>
  <si>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</si>
  <si>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</si>
  <si>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</si>
  <si>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</si>
  <si>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</si>
  <si>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</si>
  <si>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</si>
  <si>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</si>
  <si>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</si>
  <si>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</si>
  <si>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</si>
  <si>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</si>
  <si>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</si>
  <si>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</si>
  <si>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</si>
  <si>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</si>
  <si>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</si>
  <si>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</si>
  <si>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</si>
  <si>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</si>
  <si>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</si>
  <si>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</si>
  <si>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</si>
  <si>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</si>
  <si>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</si>
  <si>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</si>
  <si>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</si>
  <si>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</si>
  <si>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</si>
  <si>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</si>
  <si>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</si>
  <si>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</si>
  <si>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</si>
  <si>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</si>
  <si>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</si>
  <si>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</si>
  <si>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</si>
  <si>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</si>
  <si>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</si>
  <si>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</si>
  <si>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</si>
  <si>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</si>
  <si>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</si>
  <si>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</si>
  <si>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</si>
  <si>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</si>
  <si>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</si>
  <si>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</si>
  <si>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</si>
  <si>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</si>
  <si>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</si>
  <si>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</si>
  <si>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</si>
  <si>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</si>
  <si>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</si>
  <si>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</si>
  <si>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</si>
  <si>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</si>
  <si>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</si>
  <si>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</si>
  <si>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</si>
  <si>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</si>
  <si>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</si>
  <si>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</si>
  <si>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</si>
  <si>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</si>
  <si>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</si>
  <si>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</si>
  <si>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</si>
  <si>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</si>
  <si>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</si>
  <si>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</si>
  <si>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</si>
  <si>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</si>
  <si>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</si>
  <si>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</si>
  <si>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</si>
  <si>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</si>
  <si>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</si>
  <si>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</si>
  <si>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</si>
  <si>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</si>
  <si>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</si>
  <si>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</si>
  <si>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</si>
  <si>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</si>
  <si>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</si>
  <si>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</si>
  <si>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</si>
  <si>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</si>
  <si>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</si>
  <si>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</si>
  <si>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</si>
  <si>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</si>
  <si>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</si>
  <si>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</si>
  <si>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</si>
  <si>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</si>
  <si>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</si>
  <si>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</si>
  <si>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</si>
  <si>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</si>
  <si>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</si>
  <si>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</si>
  <si>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</si>
  <si>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</si>
  <si>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</si>
  <si>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</si>
  <si>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</si>
  <si>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</si>
  <si>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</si>
  <si>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</si>
  <si>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</si>
  <si>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</si>
  <si>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</si>
  <si>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</si>
  <si>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</si>
  <si>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</si>
  <si>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</si>
  <si>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</si>
  <si>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</si>
  <si>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</si>
  <si>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</si>
  <si>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</si>
  <si>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</si>
  <si>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</si>
  <si>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</si>
  <si>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</si>
  <si>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</si>
  <si>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</si>
  <si>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</si>
  <si>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</si>
  <si>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</si>
  <si>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</si>
  <si>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</si>
  <si>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</si>
  <si>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</si>
  <si>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</si>
  <si>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</si>
  <si>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</si>
  <si>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</si>
  <si>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</si>
  <si>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</si>
  <si>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</si>
  <si>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</si>
  <si>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</si>
  <si>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</si>
  <si>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</si>
  <si>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</si>
  <si>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</si>
  <si>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</si>
  <si>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</si>
  <si>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</si>
  <si>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</si>
  <si>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</si>
  <si>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</si>
  <si>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</si>
  <si>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</si>
  <si>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</si>
  <si>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</si>
  <si>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</si>
  <si>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</si>
  <si>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</si>
  <si>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</si>
  <si>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</si>
  <si>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</si>
  <si>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</si>
  <si>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</si>
  <si>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</si>
  <si>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</si>
  <si>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</si>
  <si>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</si>
  <si>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</si>
  <si>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</si>
  <si>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</si>
  <si>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</si>
  <si>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</si>
  <si>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</si>
  <si>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</si>
  <si>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</si>
  <si>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</si>
  <si>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</si>
  <si>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</si>
  <si>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</si>
  <si>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</si>
  <si>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</si>
  <si>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</si>
  <si>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</si>
  <si>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</si>
  <si>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</si>
  <si>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</si>
  <si>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</si>
  <si>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</si>
  <si>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</si>
  <si>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</si>
  <si>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</si>
  <si>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</si>
  <si>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</si>
  <si>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</si>
  <si>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</si>
  <si>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</si>
  <si>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</si>
  <si>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</si>
  <si>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</si>
  <si>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</si>
  <si>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</si>
  <si>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</si>
  <si>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</si>
  <si>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</si>
  <si>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</si>
  <si>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</si>
  <si>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</si>
  <si>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</si>
  <si>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</si>
  <si>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</si>
  <si>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</si>
  <si>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</si>
  <si>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</si>
  <si>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</si>
  <si>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</si>
  <si>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</si>
  <si>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</si>
  <si>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</si>
  <si>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</si>
  <si>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</si>
  <si>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</si>
  <si>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</si>
  <si>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</si>
  <si>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</si>
  <si>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</si>
  <si>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</si>
  <si>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</si>
  <si>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</si>
  <si>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</si>
  <si>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</si>
  <si>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</si>
  <si>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</si>
  <si>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</si>
  <si>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</si>
  <si>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</si>
  <si>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</si>
  <si>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</si>
  <si>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</si>
  <si>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</si>
  <si>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</si>
  <si>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</si>
  <si>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</si>
  <si>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</si>
  <si>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</si>
  <si>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</si>
  <si>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</si>
  <si>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</si>
  <si>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</si>
  <si>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</si>
  <si>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</si>
  <si>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</si>
  <si>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</si>
  <si>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</si>
  <si>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</si>
  <si>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</si>
  <si>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</si>
  <si>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</si>
  <si>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</si>
  <si>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</si>
  <si>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</si>
  <si>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</si>
  <si>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</si>
  <si>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</si>
  <si>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</si>
  <si>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</si>
  <si>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</si>
  <si>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</si>
  <si>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</si>
  <si>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</si>
  <si>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</si>
  <si>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</si>
  <si>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</si>
  <si>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</si>
  <si>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</si>
  <si>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</si>
  <si>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</si>
  <si>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</si>
  <si>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</si>
  <si>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</si>
  <si>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</si>
  <si>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</si>
  <si>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</si>
  <si>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</si>
  <si>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</si>
  <si>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</si>
  <si>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</si>
  <si>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</si>
  <si>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</si>
  <si>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</si>
  <si>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</si>
  <si>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</si>
  <si>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</si>
  <si>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</si>
  <si>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</si>
  <si>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</si>
  <si>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</si>
  <si>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</si>
  <si>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</si>
  <si>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</si>
  <si>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</si>
  <si>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</si>
  <si>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</si>
  <si>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</si>
  <si>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</si>
  <si>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</si>
  <si>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</si>
  <si>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</si>
  <si>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</si>
  <si>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</si>
  <si>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</si>
  <si>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</si>
  <si>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</si>
  <si>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</si>
  <si>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</si>
  <si>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</si>
  <si>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</si>
  <si>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</si>
  <si>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</si>
  <si>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</si>
  <si>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</si>
  <si>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</si>
  <si>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</si>
  <si>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</si>
  <si>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</si>
  <si>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</si>
  <si>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</si>
  <si>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</si>
  <si>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</si>
  <si>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</si>
  <si>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</si>
  <si>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</si>
  <si>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</si>
  <si>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</si>
  <si>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</si>
  <si>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</si>
  <si>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</si>
  <si>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</si>
  <si>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</si>
  <si>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</si>
  <si>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</si>
  <si>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</si>
  <si>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</si>
  <si>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</si>
  <si>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</si>
  <si>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</si>
  <si>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</si>
  <si>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</si>
  <si>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</si>
  <si>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</si>
  <si>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</si>
  <si>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</si>
  <si>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</si>
  <si>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</si>
  <si>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</si>
  <si>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</si>
  <si>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</si>
  <si>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</si>
  <si>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</si>
  <si>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</si>
  <si>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</si>
  <si>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</si>
  <si>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</si>
  <si>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</si>
  <si>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</si>
  <si>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</si>
  <si>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</si>
  <si>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</si>
  <si>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</si>
  <si>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</si>
  <si>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</si>
  <si>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</si>
  <si>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</si>
  <si>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</si>
  <si>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</si>
  <si>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</si>
  <si>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</si>
  <si>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</si>
  <si>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</si>
  <si>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</si>
  <si>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</si>
  <si>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</si>
  <si>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</si>
  <si>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</si>
  <si>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</si>
  <si>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</si>
  <si>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</si>
  <si>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</si>
  <si>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</si>
  <si>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</si>
  <si>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</si>
  <si>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</si>
  <si>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</si>
  <si>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</si>
  <si>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</si>
  <si>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</si>
  <si>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</si>
  <si>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</si>
  <si>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</si>
  <si>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</si>
  <si>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</si>
  <si>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</si>
  <si>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</si>
  <si>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</si>
  <si>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</si>
  <si>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</si>
  <si>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</si>
  <si>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</si>
  <si>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</si>
  <si>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</si>
  <si>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</si>
  <si>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</si>
  <si>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</si>
  <si>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</si>
  <si>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</si>
  <si>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</si>
  <si>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</si>
  <si>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</si>
  <si>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</si>
  <si>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</si>
  <si>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</si>
  <si>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</si>
  <si>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</si>
  <si>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</si>
  <si>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</si>
  <si>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</si>
  <si>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</si>
  <si>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</si>
  <si>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</si>
  <si>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</si>
  <si>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</si>
  <si>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</si>
  <si>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</si>
  <si>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</si>
  <si>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</si>
  <si>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</si>
  <si>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</si>
  <si>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</si>
  <si>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</si>
  <si>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</si>
  <si>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</si>
  <si>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</si>
  <si>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</si>
  <si>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</si>
  <si>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</si>
  <si>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</si>
  <si>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</si>
  <si>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</si>
  <si>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</si>
  <si>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</si>
  <si>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</si>
  <si>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</si>
  <si>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</si>
  <si>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</si>
  <si>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</si>
  <si>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</si>
  <si>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</si>
  <si>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</si>
  <si>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</si>
  <si>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</si>
  <si>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</si>
  <si>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</si>
  <si>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</si>
  <si>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</si>
  <si>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</si>
  <si>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</si>
  <si>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</si>
  <si>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</si>
  <si>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</si>
  <si>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</si>
  <si>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</si>
  <si>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</si>
  <si>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</si>
  <si>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</si>
  <si>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</si>
  <si>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</si>
  <si>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</si>
  <si>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</si>
  <si>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</si>
  <si>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</si>
  <si>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</si>
  <si>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</si>
  <si>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</si>
  <si>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</si>
  <si>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</si>
  <si>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</si>
  <si>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</si>
  <si>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</si>
  <si>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</si>
  <si>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</si>
  <si>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</si>
  <si>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</si>
  <si>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</si>
  <si>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</si>
  <si>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</si>
  <si>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</si>
  <si>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</si>
  <si>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</si>
  <si>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</si>
  <si>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</si>
  <si>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</si>
  <si>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</si>
  <si>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</si>
  <si>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</si>
  <si>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</si>
  <si>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</si>
  <si>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</si>
  <si>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</si>
  <si>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</si>
  <si>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</si>
  <si>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</si>
  <si>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</si>
  <si>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</si>
  <si>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</si>
  <si>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</si>
  <si>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</si>
  <si>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</si>
  <si>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</si>
  <si>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</si>
  <si>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</si>
  <si>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</si>
  <si>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</si>
  <si>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</si>
  <si>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</si>
  <si>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</si>
  <si>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</si>
  <si>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</si>
  <si>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</si>
  <si>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</si>
  <si>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</si>
  <si>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</si>
  <si>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</si>
  <si>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</si>
  <si>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</si>
  <si>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</si>
  <si>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</si>
  <si>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</si>
  <si>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</si>
  <si>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</si>
  <si>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</si>
  <si>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</si>
  <si>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</si>
  <si>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</si>
  <si>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</si>
  <si>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</si>
  <si>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</si>
  <si>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</si>
  <si>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</si>
  <si>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</si>
  <si>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</si>
  <si>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</si>
  <si>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</si>
  <si>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</si>
  <si>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</si>
  <si>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</si>
  <si>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</si>
  <si>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</si>
  <si>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</si>
  <si>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</si>
  <si>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</si>
  <si>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</si>
  <si>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</si>
  <si>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</si>
  <si>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</si>
  <si>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</si>
  <si>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</si>
  <si>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</si>
  <si>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</si>
  <si>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</si>
  <si>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</si>
  <si>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</si>
  <si>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</si>
  <si>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</si>
  <si>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</si>
  <si>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</si>
  <si>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</si>
  <si>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</si>
  <si>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</si>
  <si>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</si>
  <si>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</si>
  <si>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</si>
  <si>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</si>
  <si>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</si>
  <si>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</si>
  <si>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</si>
  <si>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</si>
  <si>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</si>
  <si>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</si>
  <si>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</si>
  <si>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</si>
  <si>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</si>
  <si>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</si>
  <si>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</si>
  <si>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</si>
  <si>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</si>
  <si>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</si>
  <si>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</si>
  <si>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</si>
  <si>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</si>
  <si>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</si>
  <si>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</si>
  <si>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</si>
  <si>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</si>
  <si>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</si>
  <si>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</si>
  <si>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</si>
  <si>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</si>
  <si>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</si>
  <si>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</si>
  <si>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</si>
  <si>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</si>
  <si>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</si>
  <si>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</si>
  <si>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</si>
  <si>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</si>
  <si>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</si>
  <si>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</si>
  <si>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</si>
  <si>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</si>
  <si>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</si>
  <si>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</si>
  <si>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</si>
  <si>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</si>
  <si>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</si>
  <si>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</si>
  <si>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</si>
  <si>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</si>
  <si>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</si>
  <si>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</si>
  <si>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</si>
  <si>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</si>
  <si>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</si>
  <si>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</si>
  <si>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</si>
  <si>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</si>
  <si>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</si>
  <si>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</si>
  <si>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</si>
  <si>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</si>
  <si>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</si>
  <si>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</si>
  <si>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</si>
  <si>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</si>
  <si>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</si>
  <si>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</si>
  <si>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</si>
  <si>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</si>
  <si>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</si>
  <si>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</si>
  <si>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</si>
  <si>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</si>
  <si>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</si>
  <si>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</si>
  <si>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</si>
  <si>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</si>
  <si>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</si>
  <si>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</si>
  <si>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</si>
  <si>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</si>
  <si>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</si>
  <si>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</si>
  <si>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</si>
  <si>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</si>
  <si>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</si>
  <si>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</si>
  <si>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</si>
  <si>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</si>
  <si>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</si>
  <si>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</si>
  <si>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</si>
  <si>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</si>
  <si>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</si>
  <si>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</si>
  <si>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</si>
  <si>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</si>
  <si>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</si>
  <si>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</si>
  <si>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</si>
  <si>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</si>
  <si>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</si>
  <si>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</si>
  <si>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</si>
  <si>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</si>
  <si>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</si>
  <si>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</si>
  <si>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</si>
  <si>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</si>
  <si>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</si>
  <si>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</si>
  <si>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</si>
  <si>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</si>
  <si>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</si>
  <si>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</si>
  <si>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</si>
  <si>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</si>
  <si>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</si>
  <si>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</si>
  <si>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</si>
  <si>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</si>
  <si>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</si>
  <si>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</si>
  <si>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</si>
  <si>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</si>
  <si>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</si>
  <si>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</si>
  <si>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</si>
  <si>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</si>
  <si>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</si>
  <si>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</si>
  <si>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</si>
  <si>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</si>
  <si>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</si>
  <si>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</si>
  <si>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</si>
  <si>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</si>
  <si>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</si>
  <si>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</si>
  <si>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</si>
  <si>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</si>
  <si>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</si>
  <si>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</si>
  <si>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</si>
  <si>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</si>
  <si>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</si>
  <si>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</si>
  <si>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</si>
  <si>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</si>
  <si>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</si>
  <si>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</si>
  <si>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</si>
  <si>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</si>
  <si>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</si>
  <si>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</si>
  <si>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</si>
  <si>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</si>
  <si>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</si>
  <si>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</si>
  <si>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</si>
  <si>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</si>
  <si>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</si>
  <si>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</si>
  <si>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</si>
  <si>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</si>
  <si>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</si>
  <si>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</si>
  <si>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</si>
  <si>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</si>
  <si>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</si>
  <si>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</si>
  <si>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</si>
  <si>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</si>
  <si>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</si>
  <si>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</si>
  <si>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</si>
  <si>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</si>
  <si>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</si>
  <si>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</si>
  <si>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</si>
  <si>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</si>
  <si>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</si>
  <si>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</si>
  <si>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</si>
  <si>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</si>
  <si>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</si>
  <si>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</si>
  <si>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</si>
  <si>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</si>
  <si>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</si>
  <si>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</si>
  <si>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</si>
  <si>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</si>
  <si>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</si>
  <si>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</si>
  <si>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</si>
  <si>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</si>
  <si>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</si>
  <si>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</si>
  <si>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</si>
  <si>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</si>
  <si>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</si>
  <si>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</si>
  <si>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</si>
  <si>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</si>
  <si>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</si>
  <si>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</si>
  <si>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</si>
  <si>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</si>
  <si>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</si>
  <si>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</si>
  <si>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</si>
  <si>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</si>
  <si>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</si>
  <si>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</si>
  <si>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</si>
  <si>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</si>
  <si>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</si>
  <si>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</si>
  <si>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</si>
  <si>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</si>
  <si>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</si>
  <si>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</si>
  <si>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</si>
  <si>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</si>
  <si>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</si>
  <si>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</si>
  <si>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</si>
  <si>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</si>
  <si>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</si>
  <si>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</si>
  <si>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</si>
  <si>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</si>
  <si>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</si>
  <si>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</si>
  <si>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</si>
  <si>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</si>
  <si>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</si>
  <si>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</si>
  <si>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</si>
  <si>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</si>
  <si>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</si>
  <si>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</si>
  <si>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</si>
  <si>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</si>
  <si>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</si>
  <si>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</si>
  <si>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</si>
  <si>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</si>
  <si>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</si>
  <si>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</si>
  <si>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</si>
  <si>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</si>
  <si>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</si>
  <si>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</si>
  <si>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</si>
  <si>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</si>
  <si>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</si>
  <si>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</si>
  <si>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</si>
  <si>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</si>
  <si>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</si>
  <si>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</si>
  <si>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</si>
  <si>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</si>
  <si>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</si>
  <si>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</si>
  <si>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</si>
  <si>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</si>
  <si>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</si>
  <si>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</si>
  <si>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</si>
  <si>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</si>
  <si>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</si>
  <si>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</si>
  <si>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</si>
  <si>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</si>
  <si>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</si>
  <si>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</si>
  <si>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</si>
  <si>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</si>
  <si>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</si>
  <si>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</si>
  <si>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</si>
  <si>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</si>
  <si>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</si>
  <si>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</si>
  <si>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</si>
  <si>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</si>
  <si>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</si>
  <si>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</si>
  <si>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</si>
  <si>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</si>
  <si>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</si>
  <si>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</si>
  <si>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</si>
  <si>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</si>
  <si>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</si>
  <si>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</si>
  <si>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</si>
  <si>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</si>
  <si>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</si>
  <si>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</si>
  <si>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</si>
  <si>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</si>
  <si>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</si>
  <si>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</si>
  <si>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</si>
  <si>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</si>
  <si>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</si>
  <si>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</si>
  <si>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</si>
  <si>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</si>
  <si>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</si>
  <si>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</si>
  <si>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</si>
  <si>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</si>
  <si>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</si>
  <si>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</si>
  <si>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</si>
  <si>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</si>
  <si>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</si>
  <si>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</si>
  <si>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</si>
  <si>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</si>
  <si>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</si>
  <si>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</si>
  <si>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</si>
  <si>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</si>
  <si>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</si>
  <si>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</si>
  <si>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</si>
  <si>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</si>
  <si>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</si>
  <si>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</si>
  <si>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</si>
  <si>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</si>
  <si>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</si>
  <si>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</si>
  <si>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</si>
  <si>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</si>
  <si>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</si>
  <si>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</si>
  <si>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</si>
  <si>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</si>
  <si>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</si>
  <si>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</si>
  <si>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</si>
  <si>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</si>
  <si>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</si>
  <si>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</si>
  <si>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</si>
  <si>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</si>
  <si>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</si>
  <si>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</si>
  <si>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</si>
  <si>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</si>
  <si>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</si>
  <si>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</si>
  <si>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</si>
  <si>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</si>
  <si>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</si>
  <si>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</si>
  <si>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</si>
  <si>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</si>
  <si>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</si>
  <si>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</si>
  <si>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</si>
  <si>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</si>
  <si>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</si>
  <si>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</si>
  <si>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</si>
  <si>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</si>
  <si>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</si>
  <si>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</si>
  <si>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</si>
  <si>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</si>
  <si>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</si>
  <si>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</si>
  <si>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</si>
  <si>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</si>
  <si>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</si>
  <si>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</si>
  <si>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</si>
  <si>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</si>
  <si>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</si>
  <si>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</si>
  <si>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</si>
  <si>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</si>
  <si>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</si>
  <si>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</si>
  <si>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</si>
  <si>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</si>
  <si>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</si>
  <si>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</si>
  <si>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</si>
  <si>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</si>
  <si>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</si>
  <si>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</si>
  <si>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</si>
  <si>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</si>
  <si>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</si>
  <si>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</si>
  <si>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</si>
  <si>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</si>
  <si>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</si>
  <si>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</si>
  <si>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</si>
  <si>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</si>
  <si>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</si>
  <si>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</si>
  <si>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</si>
  <si>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</si>
  <si>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</si>
  <si>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</si>
  <si>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</si>
  <si>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</si>
  <si>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</si>
  <si>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</si>
  <si>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</si>
  <si>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</si>
  <si>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</si>
  <si>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</si>
  <si>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</si>
  <si>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</si>
  <si>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</si>
  <si>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</si>
  <si>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</si>
  <si>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</si>
  <si>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</si>
  <si>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</si>
  <si>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</si>
  <si>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</si>
  <si>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</si>
  <si>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</si>
  <si>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</si>
  <si>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</si>
  <si>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</si>
  <si>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</si>
  <si>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</si>
  <si>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</si>
  <si>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</si>
  <si>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</si>
  <si>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</si>
  <si>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</si>
  <si>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</si>
  <si>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</si>
  <si>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</si>
  <si>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</si>
  <si>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</si>
  <si>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</si>
  <si>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</si>
  <si>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</si>
  <si>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</si>
  <si>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</si>
  <si>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</si>
  <si>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</si>
  <si>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</si>
  <si>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</si>
  <si>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</si>
  <si>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</si>
  <si>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</si>
  <si>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</si>
  <si>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</si>
  <si>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</si>
  <si>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</si>
  <si>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</si>
  <si>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</si>
  <si>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</si>
  <si>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</si>
  <si>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</si>
  <si>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</si>
  <si>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</si>
  <si>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</si>
  <si>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</si>
  <si>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</si>
  <si>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</si>
  <si>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</si>
  <si>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</si>
  <si>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</si>
  <si>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</si>
  <si>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</si>
  <si>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</si>
  <si>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</si>
  <si>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</si>
  <si>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</si>
  <si>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</si>
  <si>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</si>
  <si>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</si>
  <si>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</si>
  <si>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</si>
  <si>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</si>
  <si>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</si>
  <si>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</si>
  <si>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</si>
  <si>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</si>
  <si>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</si>
  <si>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</si>
  <si>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</si>
  <si>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</si>
  <si>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</si>
  <si>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</si>
  <si>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</si>
  <si>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</si>
  <si>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</si>
  <si>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</si>
  <si>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</si>
  <si>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</si>
  <si>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</si>
  <si>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</si>
  <si>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</si>
  <si>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</si>
  <si>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</si>
  <si>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</si>
  <si>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</si>
  <si>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</si>
  <si>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</si>
  <si>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</si>
  <si>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</si>
  <si>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</si>
  <si>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</si>
  <si>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</si>
  <si>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</si>
  <si>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</si>
  <si>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</si>
  <si>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</si>
  <si>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</si>
  <si>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</si>
  <si>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</si>
  <si>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</si>
  <si>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</si>
  <si>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</si>
  <si>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</si>
  <si>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</si>
  <si>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</si>
  <si>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</si>
  <si>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</si>
  <si>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</si>
  <si>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</si>
  <si>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</si>
  <si>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</si>
  <si>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</si>
  <si>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</si>
  <si>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</si>
  <si>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</si>
  <si>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</si>
  <si>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</si>
  <si>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</si>
  <si>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</si>
  <si>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</si>
  <si>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</si>
  <si>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</si>
  <si>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</si>
  <si>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</si>
  <si>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</si>
  <si>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</si>
  <si>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</si>
  <si>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</si>
  <si>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</si>
  <si>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</si>
  <si>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</si>
  <si>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</si>
  <si>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</si>
  <si>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</si>
  <si>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</si>
  <si>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</si>
  <si>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</si>
  <si>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</si>
  <si>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</si>
  <si>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</si>
  <si>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</si>
  <si>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</si>
  <si>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</si>
  <si>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</si>
  <si>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</si>
  <si>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</si>
  <si>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</si>
  <si>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</si>
  <si>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</si>
  <si>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</si>
  <si>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</si>
  <si>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</si>
  <si>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</si>
  <si>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</si>
  <si>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</si>
  <si>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</si>
  <si>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</si>
  <si>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</si>
  <si>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</si>
  <si>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</si>
  <si>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</si>
  <si>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</si>
  <si>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</si>
  <si>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</si>
  <si>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</si>
  <si>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</si>
  <si>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</si>
  <si>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</si>
  <si>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</si>
  <si>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</si>
  <si>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</si>
  <si>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</si>
  <si>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</si>
  <si>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</si>
  <si>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</si>
  <si>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</si>
  <si>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</si>
  <si>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</si>
  <si>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</si>
  <si>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</si>
  <si>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</si>
  <si>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</si>
  <si>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</si>
  <si>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</si>
  <si>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</si>
  <si>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</si>
  <si>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</si>
  <si>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</si>
  <si>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</si>
  <si>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</si>
  <si>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</si>
  <si>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</si>
  <si>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</si>
  <si>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</si>
  <si>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</si>
  <si>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</si>
  <si>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</si>
  <si>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</si>
  <si>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</si>
  <si>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</si>
  <si>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</si>
  <si>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</si>
  <si>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</si>
  <si>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</si>
  <si>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</si>
  <si>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</si>
  <si>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</si>
  <si>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</si>
  <si>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</si>
  <si>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</si>
  <si>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</si>
  <si>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</si>
  <si>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</si>
  <si>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</si>
  <si>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</si>
  <si>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</si>
  <si>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</si>
  <si>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</si>
  <si>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</si>
  <si>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</si>
  <si>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</si>
  <si>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</si>
  <si>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</si>
  <si>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</si>
  <si>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</si>
  <si>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</si>
  <si>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</si>
  <si>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</si>
  <si>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</si>
  <si>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</si>
  <si>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</si>
  <si>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</si>
  <si>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</si>
  <si>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</si>
  <si>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</si>
  <si>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</si>
  <si>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</si>
  <si>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</si>
  <si>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</si>
  <si>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</si>
  <si>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</si>
  <si>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</si>
  <si>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</si>
  <si>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</si>
  <si>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</si>
  <si>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</si>
  <si>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</si>
  <si>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</si>
  <si>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</si>
  <si>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</si>
  <si>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</si>
  <si>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</si>
  <si>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</si>
  <si>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</si>
  <si>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</si>
  <si>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</si>
  <si>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</si>
  <si>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</si>
  <si>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</si>
  <si>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</si>
  <si>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</si>
  <si>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</si>
  <si>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</si>
  <si>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</si>
  <si>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</si>
  <si>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</si>
  <si>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</si>
  <si>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</si>
  <si>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</si>
  <si>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</si>
  <si>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</si>
  <si>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</si>
  <si>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</si>
  <si>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</si>
  <si>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</si>
  <si>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</si>
  <si>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</si>
  <si>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</si>
  <si>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</si>
  <si>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</si>
  <si>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</si>
  <si>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</si>
  <si>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</si>
  <si>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</si>
  <si>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</si>
  <si>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</si>
  <si>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</si>
  <si>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</si>
  <si>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</si>
  <si>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</si>
  <si>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</si>
  <si>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</si>
  <si>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</si>
  <si>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</si>
  <si>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</si>
  <si>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</si>
  <si>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</si>
  <si>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</si>
  <si>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</si>
  <si>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</si>
  <si>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</si>
  <si>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</si>
  <si>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</si>
  <si>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</si>
  <si>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</si>
  <si>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</si>
  <si>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</si>
  <si>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</si>
  <si>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</si>
  <si>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</si>
  <si>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</si>
  <si>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</si>
  <si>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</si>
  <si>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</si>
  <si>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</si>
  <si>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</si>
  <si>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</si>
  <si>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</si>
  <si>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</si>
  <si>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</si>
  <si>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</si>
  <si>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</si>
  <si>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</si>
  <si>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</si>
  <si>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</si>
  <si>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</si>
  <si>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</si>
  <si>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</si>
  <si>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</si>
  <si>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</si>
  <si>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</si>
  <si>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</si>
  <si>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</si>
  <si>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</si>
  <si>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</si>
  <si>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</si>
  <si>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</si>
  <si>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</si>
  <si>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</si>
  <si>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</si>
  <si>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</si>
  <si>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</si>
  <si>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</si>
  <si>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</si>
  <si>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</si>
  <si>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</si>
  <si>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</si>
  <si>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</si>
  <si>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本人からの開示・削除請求への対応手順</t>
  </si>
  <si>
    <t>本人から求められたときに、保有しているデータを開示し、または消すまでの手順を決める</t>
  </si>
  <si>
    <t>手順書。受付から回答までの期限・確認方法・記録の残し方が定まっている</t>
  </si>
  <si>
    <t>顧客が本人対応の窓口になるため、本基盤側の手順が無いと顧客が答えられない</t>
  </si>
  <si>
    <t>ユーザと記録の保持年数と消去の方針</t>
  </si>
  <si>
    <t>ユーザと記録を何年保ち、いつどうやって消すかを決める。停止から消去までの段階と、消したことをどう示すかを含む</t>
  </si>
  <si>
    <t>方針。対象ごとの保持年数・消去の起点・消去の証跡の残し方が定まっている</t>
  </si>
  <si>
    <t>個人データを求めに応じて消せることは法令の要求。トリミングで方針の行が落ち、消去の起点が決まらないまま残っていた</t>
  </si>
  <si>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</si>
  <si>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</si>
  <si>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</si>
  <si>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</si>
  <si>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</si>
  <si>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</si>
  <si>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</si>
  <si>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サーバー側で処理を受け持つ形式のアプリ向けの実装手順。Keycloak-Broker の推奨形式</t>
  </si>
  <si>
    <t>顧客IdP経由で初めてログインした人を、その場で Keycloak-Broker のユーザとして作る</t>
  </si>
  <si>
    <t>顧客IdPを Keycloak-Broker へ接続するときに、何を受け取り、どの順で登録し、どこで疎通を確認するかを決める</t>
  </si>
  <si>
    <t>証明書（顧客IdP の SAML 署名・Keycloak-Broker の SAML 署名・TLS）を止めずに入れ替える運用手順</t>
  </si>
  <si>
    <t>人ではなくシステムが Keycloak-Broker の入口を呼ぶときの資格を発行する。顧客の人事システムからの受信や、定期処理からの呼び出しで使う</t>
  </si>
  <si>
    <t>業務システムに対して、Keycloak-Broker が認証の提供元として振る舞う</t>
  </si>
  <si>
    <t>記録に残す項目と保持年数を決める。置き場所は全体の共通基盤とし、参照は保管先で行う（Keycloak-Broker に照会画面は作らない）。管理操作の記録の置き場所（D-9.2）を含む</t>
  </si>
  <si>
    <t>全体の共通基盤へ出力して集約する。Keycloak-Broker 側に照会の仕組みは作らないため、出す形式と項目をここで確定させる必要がある</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</si>
  <si>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</si>
  <si>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</si>
  <si>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</si>
  <si>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</si>
  <si>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</si>
  <si>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</si>
  <si>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</si>
  <si>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</si>
  <si>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</si>
  <si>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</si>
  <si>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</si>
  <si>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</si>
  <si>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</si>
  <si>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</si>
  <si>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</si>
  <si>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</si>
  <si>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</si>
  <si>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</si>
  <si>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</si>
  <si>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</si>
  <si>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</si>
  <si>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</si>
  <si>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</si>
  <si>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</si>
  <si>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</si>
  <si>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</si>
  <si>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</si>
  <si>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</si>
  <si>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</si>
  <si>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</si>
  <si>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</si>
  <si>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</si>
  <si>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</si>
  <si>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</si>
  <si>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</si>
  <si>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HG-09</t>
  </si>
  <si>
    <t>運用者アカウントの認証と権限モデル（WebAuthn 必須・常時全権の禁止・緊急時との関係）</t>
  </si>
  <si>
    <t>本基盤運用者のローカル認証を WebAuthn 必須とし、常時の全権付与を禁止して必要時だけ昇格する権限モデルと、緊急時アクセス（G-1.6）との関係を決める</t>
  </si>
  <si>
    <t>設計書の章。認証手段・権限の 2 状態・昇格の手順・記録が定まっている</t>
  </si>
  <si>
    <t>ADR-040 Phase 1 α（P1-04 / P1-08 / P1-09）。運用者は Keycloak-Broker にローカルで残る唯一の人</t>
  </si>
  <si>
    <t>HJ-22</t>
  </si>
  <si>
    <t>自社拡張と実行イメージの供給網対策（依存の検査・署名・部品一覧）</t>
  </si>
  <si>
    <t>自社拡張と実行イメージについて、依存の検査・イメージの署名・部品一覧（SBOM）の出し方を決める</t>
  </si>
  <si>
    <t>設計書の章。検査の道具・署名の方式・部品一覧の形式が定まっている</t>
  </si>
  <si>
    <t>ADR-046 Phase 1 = SLSA L2。テスト SEC-09 の根拠となる設計が無かった</t>
  </si>
  <si>
    <t>HK-10</t>
  </si>
  <si>
    <t>境界（WAF・NWFW）への要求仕様書／渡す相手: 境界を管理する組織</t>
  </si>
  <si>
    <t>ログイン口の流量制限・署名鍵公開先の保護・管理画面の遮断・顧客IdP 向け外向き許可など、境界側に求める設定を要求仕様書にする</t>
  </si>
  <si>
    <t>要求仕様書。要求ごとに値と根拠、確認方法が書かれている</t>
  </si>
  <si>
    <t>WAF・DDoS は他組織が持つが、何を求めるかは本基盤の責務。HG-08 の「WAF 側で行う前提」の受け皿</t>
  </si>
  <si>
    <t>HE-24</t>
  </si>
  <si>
    <t>管理 API の内部公開経路と呼び出し元の権限範囲</t>
  </si>
  <si>
    <t>アプリ側の管理 API（idm-api）が Keycloak-Broker の管理 API を呼ぶ経路（内部 NLB・インターネット非露出）、呼び出し元の資格（システム間 JWT）と許す操作の範囲、記録の残し方を決める</t>
  </si>
  <si>
    <t>接続仕様。経路・資格・許す操作の一覧が定まっている</t>
  </si>
  <si>
    <t>禁則 K-10（管理 API は内部経路のみ）の実体。ユーザの停止・全セッション破棄など管理画面からの操作はここを通る</t>
  </si>
  <si>
    <t>機能仕様書: 長期未使用者の自動停止（90 日）</t>
  </si>
  <si>
    <t>顧客IdP 経由で自動作成したユーザのうち 90 日ログインの無いものを止める定期処理。Keycloak-IdP 収容ユーザ・顧客システム連携ユーザは対象外</t>
  </si>
  <si>
    <t>機能仕様書。対象の条件・除外の条件・止めたときの記録が定まっている</t>
  </si>
  <si>
    <t>U3 D3-17 の除外規則を含む。要否は B-JIT-LC-1 で最終確認</t>
  </si>
  <si>
    <t>Keycloak-IdP 側の非機能責任表（可用性・復旧・監視・更新・鍵・ログ）</t>
  </si>
  <si>
    <t>非機能要件ごとに Keycloak-IdP 側では誰が満たすかを表にする。本基盤は ROSA の引き渡しまで、以降はアプリ責務とする方針を明文化する</t>
  </si>
  <si>
    <t>責任表。非機能要件の全行に Keycloak-IdP 側の担当が入っている</t>
  </si>
  <si>
    <t>要件マッピングの「Keycloak-IdP 側」列の根拠。曖昧だと SLA と運用で揉める</t>
  </si>
  <si>
    <t>機能仕様書: Keycloak-IdP へのログイン委譲</t>
  </si>
  <si>
    <t>Keycloak-Broker が Keycloak-IdP を顧客IdP の 1 つ（共有エントリ）として扱い、識別子の引き継ぎ・初回作成・追加認証結果（amr）の取り込みを行う</t>
  </si>
  <si>
    <t>機能仕様書。渡す情報・受け取る情報・拒否時の扱い・2 回目以降は Keycloak-IdP を呼ばないことが定まっている</t>
  </si>
  <si>
    <t>2 台構成に戻したため復活。顧客IdP を持たない顧客のログインはすべてここを通る</t>
  </si>
  <si>
    <t>HE-23</t>
  </si>
  <si>
    <t>Keycloak-Broker ⇄ Keycloak-IdP 接続仕様（要求仕様としてアプリチームへ渡す）</t>
  </si>
  <si>
    <t>Keycloak-IdP 側に求める Client（broker-rp）・返す項目（tenant_id / username / amr）・login_hint の書式・ログアウト連鎖・セッション上限の同値（12 時間）・接続経路（閉域・単方向）を 1 冊にまとめる</t>
  </si>
  <si>
    <t>接続仕様書。両チームが合意し、Keycloak-IdP 側の設定値がこの 1 冊で作れる</t>
  </si>
  <si>
    <t>U2 §2.2.2〜2.2.5 / 02a / U6 D-U6-06 の決定を接続仕様の形にする。アプリチームとの境界そのもの</t>
  </si>
  <si>
    <t>HI-11</t>
  </si>
  <si>
    <t>接続仕様のアプリチームとの合意</t>
  </si>
  <si>
    <t>接続仕様（HE-23）をアプリチームとレビューし、Keycloak-IdP 側の設定値と検証環境の提供時期を合意する</t>
  </si>
  <si>
    <t>合意記録。設定値・検証環境の提供時期・連絡先が定まっている</t>
  </si>
  <si>
    <t>合意が無いと結合試験（IT-16）が始められない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</si>
</sst>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1" fillId="9" borderId="11" xfId="0" applyFont="1" applyFill="1" applyBorder="1">
      <alignment vertical="center"/>
    </xf>
    <xf numFmtId="0" fontId="0" fillId="10" borderId="0" xfId="0" applyFill="1">
      <alignment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1206</v>
      </c>
    </row>
    <row r="2" spans="1:6">
      <c r="A2" s="1" t="s">
        <v>1207</v>
      </c>
    </row>
    <row r="3" spans="1:6">
      <c r="A3" s="31" t="s">
        <v>1208</v>
      </c>
    </row>
    <row r="5" spans="1:6">
      <c r="A5" s="2" t="s">
        <v>1209</v>
      </c>
    </row>
    <row r="6" spans="1:6">
      <c r="A6" s="11" t="s">
        <v>1210</v>
      </c>
      <c r="B6" s="12" t="s">
        <v>1211</v>
      </c>
      <c r="C6" s="12" t="s">
        <v>1212</v>
      </c>
      <c r="D6" s="13" t="s">
        <v>1213</v>
      </c>
    </row>
    <row r="7" spans="1:6">
      <c r="A7" s="14" t="s">
        <v>1214</v>
      </c>
      <c r="B7" s="77" t="s">
        <v>1215</v>
      </c>
      <c r="C7" s="15" t="s">
        <v>980</v>
      </c>
      <c r="D7" s="19" t="s">
        <v>1216</v>
      </c>
    </row>
    <row r="8" spans="1:6">
      <c r="A8" s="14" t="s">
        <v>1217</v>
      </c>
      <c r="B8" s="77">
        <v>730</v>
      </c>
      <c r="C8" s="15" t="s">
        <v>1218</v>
      </c>
      <c r="D8" s="19" t="s">
        <v>1219</v>
      </c>
    </row>
    <row r="9" spans="1:6">
      <c r="A9" s="14" t="s">
        <v>1220</v>
      </c>
      <c r="B9" s="77">
        <v>150</v>
      </c>
      <c r="C9" s="15" t="s">
        <v>1221</v>
      </c>
      <c r="D9" s="19" t="s">
        <v>1222</v>
      </c>
    </row>
    <row r="10" spans="1:6">
      <c r="A10" s="14" t="s">
        <v>1223</v>
      </c>
      <c r="B10" s="77">
        <v>1000000</v>
      </c>
      <c r="C10" s="15" t="s">
        <v>1224</v>
      </c>
      <c r="D10" s="19" t="s">
        <v>1225</v>
      </c>
    </row>
    <row r="11" spans="1:6">
      <c r="A11" s="14" t="s">
        <v>1226</v>
      </c>
      <c r="B11" s="77">
        <v>5000000</v>
      </c>
      <c r="C11" s="15" t="s">
        <v>1224</v>
      </c>
      <c r="D11" s="19" t="s">
        <v>1227</v>
      </c>
    </row>
    <row r="12" spans="1:6">
      <c r="A12" s="17" t="s">
        <v>1228</v>
      </c>
      <c r="B12" s="78">
        <v>10000000</v>
      </c>
      <c r="C12" s="18" t="s">
        <v>1224</v>
      </c>
      <c r="D12" s="20" t="s">
        <v>1229</v>
      </c>
    </row>
    <row r="14" spans="1:6">
      <c r="A14" s="2" t="s">
        <v>1230</v>
      </c>
    </row>
    <row r="15" spans="1:6">
      <c r="A15" s="57" t="s">
        <v>0</v>
      </c>
      <c r="B15" s="58" t="s">
        <v>1210</v>
      </c>
      <c r="C15" s="58" t="s">
        <v>1231</v>
      </c>
      <c r="D15" s="58" t="s">
        <v>1212</v>
      </c>
      <c r="E15" s="58" t="s">
        <v>6</v>
      </c>
      <c r="F15" s="59" t="s">
        <v>283</v>
      </c>
    </row>
    <row r="16" spans="1:6">
      <c r="A16" s="14" t="s">
        <v>1205</v>
      </c>
      <c r="B16" s="15" t="s">
        <v>1232</v>
      </c>
      <c r="C16" s="79">
        <v>0.25</v>
      </c>
      <c r="D16" s="15" t="s">
        <v>1233</v>
      </c>
      <c r="E16" s="15" t="s">
        <v>1234</v>
      </c>
      <c r="F16" s="19" t="s">
        <v>1235</v>
      </c>
    </row>
    <row r="17" spans="1:14">
      <c r="A17" s="14" t="s">
        <v>1205</v>
      </c>
      <c r="B17" s="15" t="s">
        <v>1236</v>
      </c>
      <c r="C17" s="79">
        <v>0.17100000000000001</v>
      </c>
      <c r="D17" s="15" t="s">
        <v>1237</v>
      </c>
      <c r="E17" s="15" t="s">
        <v>1234</v>
      </c>
      <c r="F17" s="19" t="s">
        <v>1235</v>
      </c>
    </row>
    <row r="18" spans="1:14">
      <c r="A18" s="14" t="s">
        <v>1205</v>
      </c>
      <c r="B18" s="15" t="s">
        <v>1238</v>
      </c>
      <c r="C18" s="79">
        <v>1500</v>
      </c>
      <c r="D18" s="15" t="s">
        <v>1239</v>
      </c>
      <c r="E18" s="15" t="s">
        <v>1234</v>
      </c>
      <c r="F18" s="19" t="s">
        <v>1235</v>
      </c>
    </row>
    <row r="19" spans="1:14">
      <c r="A19" s="14" t="s">
        <v>1205</v>
      </c>
      <c r="B19" s="15" t="s">
        <v>1240</v>
      </c>
      <c r="C19" s="79">
        <v>1000</v>
      </c>
      <c r="D19" s="15" t="s">
        <v>1239</v>
      </c>
      <c r="E19" s="15" t="s">
        <v>1234</v>
      </c>
      <c r="F19" s="19" t="s">
        <v>1235</v>
      </c>
    </row>
    <row r="20" spans="1:14">
      <c r="A20" s="17" t="s">
        <v>1205</v>
      </c>
      <c r="B20" s="18" t="s">
        <v>1241</v>
      </c>
      <c r="C20" s="80">
        <v>667</v>
      </c>
      <c r="D20" s="18" t="s">
        <v>1239</v>
      </c>
      <c r="E20" s="18" t="s">
        <v>1234</v>
      </c>
      <c r="F20" s="20" t="s">
        <v>1235</v>
      </c>
    </row>
    <row r="21" spans="1:14">
      <c r="A21" s="39" t="s">
        <v>1242</v>
      </c>
    </row>
    <row r="23" spans="1:14">
      <c r="A23" s="2" t="s">
        <v>1243</v>
      </c>
    </row>
    <row r="24" spans="1:14" ht="30" customHeight="1">
      <c r="A24" s="5" t="s">
        <v>0</v>
      </c>
      <c r="B24" s="6" t="s">
        <v>1244</v>
      </c>
      <c r="C24" s="6" t="s">
        <v>1245</v>
      </c>
      <c r="D24" s="6" t="s">
        <v>1246</v>
      </c>
      <c r="E24" s="6" t="s">
        <v>1247</v>
      </c>
      <c r="F24" s="6" t="s">
        <v>1248</v>
      </c>
      <c r="G24" s="6" t="s">
        <v>1249</v>
      </c>
      <c r="H24" s="6" t="s">
        <v>1212</v>
      </c>
      <c r="I24" s="6" t="s">
        <v>1250</v>
      </c>
      <c r="J24" s="6" t="s">
        <v>1251</v>
      </c>
      <c r="K24" s="6" t="s">
        <v>1252</v>
      </c>
      <c r="L24" s="6" t="s">
        <v>1253</v>
      </c>
      <c r="M24" s="7" t="s">
        <v>1254</v>
      </c>
      <c r="N24" s="83" t="s">
        <v>1213</v>
      </c>
    </row>
    <row r="25" spans="1:14">
      <c r="A25" s="66" t="s">
        <v>1255</v>
      </c>
      <c r="B25" s="3" t="s">
        <v>1256</v>
      </c>
      <c r="C25" s="56" t="s">
        <v>1257</v>
      </c>
      <c r="D25" s="56" t="s">
        <v>1258</v>
      </c>
      <c r="E25" s="61">
        <v>2190</v>
      </c>
      <c r="F25" s="61">
        <v>4380</v>
      </c>
      <c r="G25" s="61">
        <v>6570</v>
      </c>
      <c r="H25" s="8" t="s">
        <v>1259</v>
      </c>
      <c r="I25" s="63">
        <v>0.18190000000000001</v>
      </c>
      <c r="J25" s="64">
        <f t="shared" ref="J25:J59" si="0">E25*$I25</f>
        <v>398.36099999999999</v>
      </c>
      <c r="K25" s="64">
        <f t="shared" ref="K25:K59" si="1">F25*$I25</f>
        <v>796.72199999999998</v>
      </c>
      <c r="L25" s="64">
        <f t="shared" ref="L25:L59" si="2">G25*$I25</f>
        <v>1195.0830000000001</v>
      </c>
      <c r="M25" s="10" t="s">
        <v>1404</v>
      </c>
      <c r="N25" t="s">
        <v>1405</v>
      </c>
    </row>
    <row r="26" spans="1:14">
      <c r="A26" s="66" t="s">
        <v>1255</v>
      </c>
      <c r="B26" s="3" t="s">
        <v>1260</v>
      </c>
      <c r="C26" s="56" t="s">
        <v>1261</v>
      </c>
      <c r="D26" s="56" t="s">
        <v>1262</v>
      </c>
      <c r="E26" s="61">
        <v>2190</v>
      </c>
      <c r="F26" s="61">
        <v>6570</v>
      </c>
      <c r="G26" s="61">
        <v>13140</v>
      </c>
      <c r="H26" s="8" t="s">
        <v>1259</v>
      </c>
      <c r="I26" s="63">
        <v>0.18190000000000001</v>
      </c>
      <c r="J26" s="64">
        <f t="shared" si="0"/>
        <v>398.36099999999999</v>
      </c>
      <c r="K26" s="64">
        <f t="shared" si="1"/>
        <v>1195.0830000000001</v>
      </c>
      <c r="L26" s="64">
        <f t="shared" si="2"/>
        <v>2390.1660000000002</v>
      </c>
      <c r="M26" s="10" t="s">
        <v>1404</v>
      </c>
      <c r="N26" t="s">
        <v>1405</v>
      </c>
    </row>
    <row r="27" spans="1:14">
      <c r="A27" s="66" t="s">
        <v>1255</v>
      </c>
      <c r="B27" s="3" t="s">
        <v>1263</v>
      </c>
      <c r="C27" s="56" t="s">
        <v>1264</v>
      </c>
      <c r="D27" s="56" t="s">
        <v>1265</v>
      </c>
      <c r="E27" s="61">
        <v>4380</v>
      </c>
      <c r="F27" s="61">
        <v>4380</v>
      </c>
      <c r="G27" s="61">
        <v>4380</v>
      </c>
      <c r="H27" s="8" t="s">
        <v>1259</v>
      </c>
      <c r="I27" s="63">
        <v>9.0999999999999998E-2</v>
      </c>
      <c r="J27" s="64">
        <f t="shared" si="0"/>
        <v>398.58</v>
      </c>
      <c r="K27" s="64">
        <f t="shared" si="1"/>
        <v>398.58</v>
      </c>
      <c r="L27" s="64">
        <f t="shared" si="2"/>
        <v>398.58</v>
      </c>
      <c r="M27" s="10" t="s">
        <v>1404</v>
      </c>
      <c r="N27" t="s">
        <v>1406</v>
      </c>
    </row>
    <row r="28" spans="1:14">
      <c r="A28" s="66" t="s">
        <v>1255</v>
      </c>
      <c r="B28" s="3" t="s">
        <v>1266</v>
      </c>
      <c r="C28" s="56" t="s">
        <v>1267</v>
      </c>
      <c r="D28" s="56" t="s">
        <v>1268</v>
      </c>
      <c r="E28" s="61">
        <v>1460</v>
      </c>
      <c r="F28" s="61">
        <v>1460</v>
      </c>
      <c r="G28" s="61">
        <v>1460</v>
      </c>
      <c r="H28" s="8" t="s">
        <v>1269</v>
      </c>
      <c r="I28" s="63">
        <v>0.25</v>
      </c>
      <c r="J28" s="64">
        <f t="shared" si="0"/>
        <v>365</v>
      </c>
      <c r="K28" s="64">
        <f t="shared" si="1"/>
        <v>365</v>
      </c>
      <c r="L28" s="64">
        <f t="shared" si="2"/>
        <v>365</v>
      </c>
      <c r="M28" s="10" t="s">
        <v>1407</v>
      </c>
      <c r="N28" t="s">
        <v>1408</v>
      </c>
    </row>
    <row r="29" spans="1:14">
      <c r="A29" s="66" t="s">
        <v>1255</v>
      </c>
      <c r="B29" s="3" t="s">
        <v>1270</v>
      </c>
      <c r="C29" s="56" t="s">
        <v>1271</v>
      </c>
      <c r="D29" s="56" t="s">
        <v>1272</v>
      </c>
      <c r="E29" s="61">
        <v>1642</v>
      </c>
      <c r="F29" s="61">
        <v>3103</v>
      </c>
      <c r="G29" s="61">
        <v>5658</v>
      </c>
      <c r="H29" s="8" t="s">
        <v>1273</v>
      </c>
      <c r="I29" s="63">
        <v>0.17100000000000001</v>
      </c>
      <c r="J29" s="64">
        <f t="shared" si="0"/>
        <v>280.78200000000004</v>
      </c>
      <c r="K29" s="64">
        <f t="shared" si="1"/>
        <v>530.61300000000006</v>
      </c>
      <c r="L29" s="64">
        <f t="shared" si="2"/>
        <v>967.51800000000003</v>
      </c>
      <c r="M29" s="10" t="s">
        <v>1407</v>
      </c>
      <c r="N29" t="s">
        <v>1408</v>
      </c>
    </row>
    <row r="30" spans="1:14">
      <c r="A30" s="85" t="s">
        <v>1255</v>
      </c>
      <c r="B30" s="86" t="s">
        <v>1274</v>
      </c>
      <c r="C30" s="87" t="s">
        <v>1275</v>
      </c>
      <c r="D30" s="87" t="s">
        <v>1463</v>
      </c>
      <c r="E30" s="88">
        <v>1320</v>
      </c>
      <c r="F30" s="88">
        <v>2400</v>
      </c>
      <c r="G30" s="88">
        <v>3840</v>
      </c>
      <c r="H30" s="89" t="s">
        <v>1276</v>
      </c>
      <c r="I30" s="90">
        <v>9.6000000000000002E-2</v>
      </c>
      <c r="J30" s="91">
        <f t="shared" si="0"/>
        <v>126.72</v>
      </c>
      <c r="K30" s="91">
        <f t="shared" si="1"/>
        <v>230.4</v>
      </c>
      <c r="L30" s="91">
        <f t="shared" si="2"/>
        <v>368.64</v>
      </c>
      <c r="M30" s="92" t="s">
        <v>1409</v>
      </c>
      <c r="N30" s="81" t="s">
        <v>1464</v>
      </c>
    </row>
    <row r="31" spans="1:14">
      <c r="A31" s="66" t="s">
        <v>1277</v>
      </c>
      <c r="B31" s="3" t="s">
        <v>1278</v>
      </c>
      <c r="C31" s="56" t="s">
        <v>1279</v>
      </c>
      <c r="D31" s="56" t="s">
        <v>1280</v>
      </c>
      <c r="E31" s="61">
        <v>2190</v>
      </c>
      <c r="F31" s="61">
        <v>2190</v>
      </c>
      <c r="G31" s="61">
        <v>2190</v>
      </c>
      <c r="H31" s="8" t="s">
        <v>1259</v>
      </c>
      <c r="I31" s="63">
        <v>0.66500000000000004</v>
      </c>
      <c r="J31" s="64">
        <f t="shared" si="0"/>
        <v>1456.3500000000001</v>
      </c>
      <c r="K31" s="64">
        <f t="shared" si="1"/>
        <v>1456.3500000000001</v>
      </c>
      <c r="L31" s="64">
        <f t="shared" si="2"/>
        <v>1456.3500000000001</v>
      </c>
      <c r="M31" s="10" t="s">
        <v>1410</v>
      </c>
      <c r="N31" t="s">
        <v>1411</v>
      </c>
    </row>
    <row r="32" spans="1:14">
      <c r="A32" s="66" t="s">
        <v>1277</v>
      </c>
      <c r="B32" s="3" t="s">
        <v>1281</v>
      </c>
      <c r="C32" s="56" t="s">
        <v>1282</v>
      </c>
      <c r="D32" s="56" t="s">
        <v>1280</v>
      </c>
      <c r="E32" s="61">
        <v>2190</v>
      </c>
      <c r="F32" s="61">
        <v>2190</v>
      </c>
      <c r="G32" s="61">
        <v>2190</v>
      </c>
      <c r="H32" s="8" t="s">
        <v>1259</v>
      </c>
      <c r="I32" s="63">
        <v>0.66500000000000004</v>
      </c>
      <c r="J32" s="64">
        <f t="shared" si="0"/>
        <v>1456.3500000000001</v>
      </c>
      <c r="K32" s="64">
        <f t="shared" si="1"/>
        <v>1456.3500000000001</v>
      </c>
      <c r="L32" s="64">
        <f t="shared" si="2"/>
        <v>1456.3500000000001</v>
      </c>
      <c r="M32" s="10" t="s">
        <v>1410</v>
      </c>
      <c r="N32" t="s">
        <v>1411</v>
      </c>
    </row>
    <row r="33" spans="1:14">
      <c r="A33" s="66" t="s">
        <v>1277</v>
      </c>
      <c r="B33" s="3" t="s">
        <v>1283</v>
      </c>
      <c r="C33" s="56" t="s">
        <v>1284</v>
      </c>
      <c r="D33" s="56" t="s">
        <v>1285</v>
      </c>
      <c r="E33" s="61">
        <v>200</v>
      </c>
      <c r="F33" s="61">
        <v>1000</v>
      </c>
      <c r="G33" s="61">
        <v>2000</v>
      </c>
      <c r="H33" s="8" t="s">
        <v>1276</v>
      </c>
      <c r="I33" s="63">
        <v>0.12</v>
      </c>
      <c r="J33" s="64">
        <f t="shared" si="0"/>
        <v>24</v>
      </c>
      <c r="K33" s="64">
        <f t="shared" si="1"/>
        <v>120</v>
      </c>
      <c r="L33" s="64">
        <f t="shared" si="2"/>
        <v>240</v>
      </c>
      <c r="M33" s="10" t="s">
        <v>1410</v>
      </c>
      <c r="N33" t="s">
        <v>1412</v>
      </c>
    </row>
    <row r="34" spans="1:14">
      <c r="A34" s="85" t="s">
        <v>1277</v>
      </c>
      <c r="B34" s="86" t="s">
        <v>1286</v>
      </c>
      <c r="C34" s="87" t="s">
        <v>1287</v>
      </c>
      <c r="D34" s="87" t="s">
        <v>1288</v>
      </c>
      <c r="E34" s="88">
        <v>50000000</v>
      </c>
      <c r="F34" s="88">
        <v>250000000</v>
      </c>
      <c r="G34" s="88">
        <v>500000000</v>
      </c>
      <c r="H34" s="89" t="s">
        <v>1413</v>
      </c>
      <c r="I34" s="90">
        <v>2.3999999999999998E-7</v>
      </c>
      <c r="J34" s="91">
        <f t="shared" si="0"/>
        <v>11.999999999999998</v>
      </c>
      <c r="K34" s="91">
        <f t="shared" si="1"/>
        <v>59.999999999999993</v>
      </c>
      <c r="L34" s="91">
        <f t="shared" si="2"/>
        <v>119.99999999999999</v>
      </c>
      <c r="M34" s="92" t="s">
        <v>1410</v>
      </c>
      <c r="N34" s="81" t="s">
        <v>1414</v>
      </c>
    </row>
    <row r="35" spans="1:14">
      <c r="A35" s="66" t="s">
        <v>1277</v>
      </c>
      <c r="B35" s="3" t="s">
        <v>1290</v>
      </c>
      <c r="C35" s="56" t="s">
        <v>1291</v>
      </c>
      <c r="D35" s="56" t="s">
        <v>1292</v>
      </c>
      <c r="E35" s="61">
        <v>400</v>
      </c>
      <c r="F35" s="61">
        <v>2000</v>
      </c>
      <c r="G35" s="61">
        <v>4000</v>
      </c>
      <c r="H35" s="8" t="s">
        <v>1276</v>
      </c>
      <c r="I35" s="63">
        <v>2.3E-2</v>
      </c>
      <c r="J35" s="64">
        <f t="shared" si="0"/>
        <v>9.1999999999999993</v>
      </c>
      <c r="K35" s="64">
        <f t="shared" si="1"/>
        <v>46</v>
      </c>
      <c r="L35" s="64">
        <f t="shared" si="2"/>
        <v>92</v>
      </c>
      <c r="M35" s="10" t="s">
        <v>1410</v>
      </c>
    </row>
    <row r="36" spans="1:14">
      <c r="A36" s="66" t="s">
        <v>1277</v>
      </c>
      <c r="B36" s="3" t="s">
        <v>1293</v>
      </c>
      <c r="C36" s="56" t="s">
        <v>1294</v>
      </c>
      <c r="D36" s="56" t="s">
        <v>1295</v>
      </c>
      <c r="E36" s="61">
        <v>200</v>
      </c>
      <c r="F36" s="61">
        <v>1000</v>
      </c>
      <c r="G36" s="61">
        <v>2000</v>
      </c>
      <c r="H36" s="8" t="s">
        <v>1276</v>
      </c>
      <c r="I36" s="63">
        <v>0.12</v>
      </c>
      <c r="J36" s="64">
        <f t="shared" si="0"/>
        <v>24</v>
      </c>
      <c r="K36" s="64">
        <f t="shared" si="1"/>
        <v>120</v>
      </c>
      <c r="L36" s="64">
        <f t="shared" si="2"/>
        <v>240</v>
      </c>
      <c r="M36" s="10" t="s">
        <v>1410</v>
      </c>
      <c r="N36" t="s">
        <v>1415</v>
      </c>
    </row>
    <row r="37" spans="1:14">
      <c r="A37" s="66" t="s">
        <v>1296</v>
      </c>
      <c r="B37" s="3" t="s">
        <v>1297</v>
      </c>
      <c r="C37" s="56" t="s">
        <v>1298</v>
      </c>
      <c r="D37" s="56" t="s">
        <v>1299</v>
      </c>
      <c r="E37" s="61">
        <v>1460</v>
      </c>
      <c r="F37" s="61">
        <v>1460</v>
      </c>
      <c r="G37" s="61">
        <v>1460</v>
      </c>
      <c r="H37" s="8" t="s">
        <v>1300</v>
      </c>
      <c r="I37" s="63">
        <v>2.4299999999999999E-2</v>
      </c>
      <c r="J37" s="64">
        <f t="shared" si="0"/>
        <v>35.478000000000002</v>
      </c>
      <c r="K37" s="64">
        <f t="shared" si="1"/>
        <v>35.478000000000002</v>
      </c>
      <c r="L37" s="64">
        <f t="shared" si="2"/>
        <v>35.478000000000002</v>
      </c>
      <c r="M37" s="10" t="s">
        <v>1416</v>
      </c>
      <c r="N37" t="s">
        <v>1417</v>
      </c>
    </row>
    <row r="38" spans="1:14">
      <c r="A38" s="66" t="s">
        <v>1296</v>
      </c>
      <c r="B38" s="3" t="s">
        <v>1301</v>
      </c>
      <c r="C38" s="56" t="s">
        <v>1302</v>
      </c>
      <c r="D38" s="56" t="s">
        <v>1303</v>
      </c>
      <c r="E38" s="61">
        <v>730</v>
      </c>
      <c r="F38" s="61">
        <v>730</v>
      </c>
      <c r="G38" s="61">
        <v>730</v>
      </c>
      <c r="H38" s="8" t="s">
        <v>1304</v>
      </c>
      <c r="I38" s="63">
        <v>2.4299999999999999E-2</v>
      </c>
      <c r="J38" s="64">
        <f t="shared" si="0"/>
        <v>17.739000000000001</v>
      </c>
      <c r="K38" s="64">
        <f t="shared" si="1"/>
        <v>17.739000000000001</v>
      </c>
      <c r="L38" s="64">
        <f t="shared" si="2"/>
        <v>17.739000000000001</v>
      </c>
      <c r="M38" s="10" t="s">
        <v>1416</v>
      </c>
      <c r="N38" t="s">
        <v>1418</v>
      </c>
    </row>
    <row r="39" spans="1:14">
      <c r="A39" s="66" t="s">
        <v>1296</v>
      </c>
      <c r="B39" s="3" t="s">
        <v>1305</v>
      </c>
      <c r="C39" s="56" t="s">
        <v>1306</v>
      </c>
      <c r="D39" s="56" t="s">
        <v>1307</v>
      </c>
      <c r="E39" s="61">
        <v>500</v>
      </c>
      <c r="F39" s="61">
        <v>2500</v>
      </c>
      <c r="G39" s="61">
        <v>5000</v>
      </c>
      <c r="H39" s="8" t="s">
        <v>1308</v>
      </c>
      <c r="I39" s="63">
        <v>0.114</v>
      </c>
      <c r="J39" s="64">
        <f t="shared" si="0"/>
        <v>57</v>
      </c>
      <c r="K39" s="64">
        <f t="shared" si="1"/>
        <v>285</v>
      </c>
      <c r="L39" s="64">
        <f t="shared" si="2"/>
        <v>570</v>
      </c>
      <c r="M39" s="10" t="s">
        <v>1419</v>
      </c>
      <c r="N39" t="s">
        <v>1420</v>
      </c>
    </row>
    <row r="40" spans="1:14">
      <c r="A40" s="66" t="s">
        <v>1296</v>
      </c>
      <c r="B40" s="3" t="s">
        <v>1309</v>
      </c>
      <c r="C40" s="56" t="s">
        <v>1310</v>
      </c>
      <c r="D40" s="56" t="s">
        <v>1311</v>
      </c>
      <c r="E40" s="61">
        <v>10</v>
      </c>
      <c r="F40" s="61">
        <v>50</v>
      </c>
      <c r="G40" s="61">
        <v>100</v>
      </c>
      <c r="H40" s="8" t="s">
        <v>1289</v>
      </c>
      <c r="I40" s="63">
        <v>0.6</v>
      </c>
      <c r="J40" s="64">
        <f t="shared" si="0"/>
        <v>6</v>
      </c>
      <c r="K40" s="64">
        <f t="shared" si="1"/>
        <v>30</v>
      </c>
      <c r="L40" s="64">
        <f t="shared" si="2"/>
        <v>60</v>
      </c>
      <c r="M40" s="10" t="s">
        <v>1421</v>
      </c>
      <c r="N40" t="s">
        <v>1422</v>
      </c>
    </row>
    <row r="41" spans="1:14">
      <c r="A41" s="66" t="s">
        <v>1296</v>
      </c>
      <c r="B41" s="3" t="s">
        <v>1312</v>
      </c>
      <c r="C41" s="56" t="s">
        <v>1313</v>
      </c>
      <c r="D41" s="56" t="s">
        <v>1314</v>
      </c>
      <c r="E41" s="61">
        <v>1460</v>
      </c>
      <c r="F41" s="61">
        <v>1460</v>
      </c>
      <c r="G41" s="61">
        <v>1460</v>
      </c>
      <c r="H41" s="8" t="s">
        <v>1315</v>
      </c>
      <c r="I41" s="63">
        <v>1.4E-2</v>
      </c>
      <c r="J41" s="64">
        <f t="shared" si="0"/>
        <v>20.440000000000001</v>
      </c>
      <c r="K41" s="64">
        <f t="shared" si="1"/>
        <v>20.440000000000001</v>
      </c>
      <c r="L41" s="64">
        <f t="shared" si="2"/>
        <v>20.440000000000001</v>
      </c>
      <c r="M41" s="10" t="s">
        <v>1423</v>
      </c>
    </row>
    <row r="42" spans="1:14">
      <c r="A42" s="66" t="s">
        <v>1296</v>
      </c>
      <c r="B42" s="3" t="s">
        <v>1316</v>
      </c>
      <c r="C42" s="56" t="s">
        <v>1317</v>
      </c>
      <c r="D42" s="56" t="s">
        <v>1318</v>
      </c>
      <c r="E42" s="61">
        <v>7300</v>
      </c>
      <c r="F42" s="61">
        <v>7300</v>
      </c>
      <c r="G42" s="61">
        <v>7300</v>
      </c>
      <c r="H42" s="8" t="s">
        <v>1315</v>
      </c>
      <c r="I42" s="63">
        <v>1.4E-2</v>
      </c>
      <c r="J42" s="64">
        <f t="shared" si="0"/>
        <v>102.2</v>
      </c>
      <c r="K42" s="64">
        <f t="shared" si="1"/>
        <v>102.2</v>
      </c>
      <c r="L42" s="64">
        <f t="shared" si="2"/>
        <v>102.2</v>
      </c>
      <c r="M42" s="10" t="s">
        <v>1423</v>
      </c>
    </row>
    <row r="43" spans="1:14">
      <c r="A43" s="66" t="s">
        <v>1296</v>
      </c>
      <c r="B43" s="3" t="s">
        <v>1319</v>
      </c>
      <c r="C43" s="56" t="s">
        <v>1320</v>
      </c>
      <c r="D43" s="56" t="s">
        <v>1321</v>
      </c>
      <c r="E43" s="61">
        <v>10000000</v>
      </c>
      <c r="F43" s="61">
        <v>50000000</v>
      </c>
      <c r="G43" s="61">
        <v>100000000</v>
      </c>
      <c r="H43" s="8" t="s">
        <v>1424</v>
      </c>
      <c r="I43" s="63">
        <v>3.9999999999999998E-7</v>
      </c>
      <c r="J43" s="64">
        <f t="shared" si="0"/>
        <v>4</v>
      </c>
      <c r="K43" s="64">
        <f t="shared" si="1"/>
        <v>20</v>
      </c>
      <c r="L43" s="64">
        <f t="shared" si="2"/>
        <v>40</v>
      </c>
      <c r="M43" s="10" t="s">
        <v>1425</v>
      </c>
      <c r="N43" t="s">
        <v>1426</v>
      </c>
    </row>
    <row r="44" spans="1:14">
      <c r="A44" s="66" t="s">
        <v>1296</v>
      </c>
      <c r="B44" s="3" t="s">
        <v>1322</v>
      </c>
      <c r="C44" s="56" t="s">
        <v>1323</v>
      </c>
      <c r="D44" s="56" t="s">
        <v>1324</v>
      </c>
      <c r="E44" s="61">
        <v>100</v>
      </c>
      <c r="F44" s="61">
        <v>500</v>
      </c>
      <c r="G44" s="61">
        <v>1000</v>
      </c>
      <c r="H44" s="8" t="s">
        <v>1308</v>
      </c>
      <c r="I44" s="63">
        <v>0.09</v>
      </c>
      <c r="J44" s="64">
        <f t="shared" si="0"/>
        <v>9</v>
      </c>
      <c r="K44" s="64">
        <f t="shared" si="1"/>
        <v>45</v>
      </c>
      <c r="L44" s="64">
        <f t="shared" si="2"/>
        <v>90</v>
      </c>
      <c r="M44" s="10" t="s">
        <v>1404</v>
      </c>
      <c r="N44" t="s">
        <v>1427</v>
      </c>
    </row>
    <row r="45" spans="1:14">
      <c r="A45" s="66" t="s">
        <v>1296</v>
      </c>
      <c r="B45" s="3" t="s">
        <v>1325</v>
      </c>
      <c r="C45" s="56" t="s">
        <v>1326</v>
      </c>
      <c r="D45" s="56" t="s">
        <v>1327</v>
      </c>
      <c r="E45" s="61">
        <v>50</v>
      </c>
      <c r="F45" s="61">
        <v>250</v>
      </c>
      <c r="G45" s="61">
        <v>500</v>
      </c>
      <c r="H45" s="8" t="s">
        <v>1308</v>
      </c>
      <c r="I45" s="63">
        <v>0.114</v>
      </c>
      <c r="J45" s="64">
        <f t="shared" si="0"/>
        <v>5.7</v>
      </c>
      <c r="K45" s="64">
        <f t="shared" si="1"/>
        <v>28.5</v>
      </c>
      <c r="L45" s="64">
        <f t="shared" si="2"/>
        <v>57</v>
      </c>
      <c r="M45" s="10" t="s">
        <v>1404</v>
      </c>
      <c r="N45" t="s">
        <v>1428</v>
      </c>
    </row>
    <row r="46" spans="1:14">
      <c r="A46" s="66" t="s">
        <v>1328</v>
      </c>
      <c r="B46" s="3" t="s">
        <v>1329</v>
      </c>
      <c r="C46" s="56" t="s">
        <v>1330</v>
      </c>
      <c r="D46" s="56" t="s">
        <v>1331</v>
      </c>
      <c r="E46" s="61">
        <v>10000000</v>
      </c>
      <c r="F46" s="61">
        <v>30000000</v>
      </c>
      <c r="G46" s="61">
        <v>50000000</v>
      </c>
      <c r="H46" s="8" t="s">
        <v>1429</v>
      </c>
      <c r="I46" s="63">
        <v>1.9999999999999999E-7</v>
      </c>
      <c r="J46" s="64">
        <f t="shared" si="0"/>
        <v>2</v>
      </c>
      <c r="K46" s="64">
        <f t="shared" si="1"/>
        <v>6</v>
      </c>
      <c r="L46" s="64">
        <f t="shared" si="2"/>
        <v>10</v>
      </c>
      <c r="M46" s="10" t="s">
        <v>1430</v>
      </c>
      <c r="N46" t="s">
        <v>1431</v>
      </c>
    </row>
    <row r="47" spans="1:14">
      <c r="A47" s="66" t="s">
        <v>1328</v>
      </c>
      <c r="B47" s="3" t="s">
        <v>1332</v>
      </c>
      <c r="C47" s="56" t="s">
        <v>1333</v>
      </c>
      <c r="D47" s="56" t="s">
        <v>1334</v>
      </c>
      <c r="E47" s="61">
        <v>5000000</v>
      </c>
      <c r="F47" s="61">
        <v>15000000</v>
      </c>
      <c r="G47" s="61">
        <v>25000000</v>
      </c>
      <c r="H47" s="8" t="s">
        <v>1429</v>
      </c>
      <c r="I47" s="63">
        <v>1.9999999999999999E-7</v>
      </c>
      <c r="J47" s="64">
        <f t="shared" si="0"/>
        <v>1</v>
      </c>
      <c r="K47" s="64">
        <f t="shared" si="1"/>
        <v>3</v>
      </c>
      <c r="L47" s="64">
        <f t="shared" si="2"/>
        <v>5</v>
      </c>
      <c r="M47" s="10" t="s">
        <v>1430</v>
      </c>
      <c r="N47" t="s">
        <v>1432</v>
      </c>
    </row>
    <row r="48" spans="1:14">
      <c r="A48" s="66" t="s">
        <v>1328</v>
      </c>
      <c r="B48" s="3" t="s">
        <v>1335</v>
      </c>
      <c r="C48" s="56" t="s">
        <v>1336</v>
      </c>
      <c r="D48" s="56" t="s">
        <v>1337</v>
      </c>
      <c r="E48" s="61">
        <v>10000000</v>
      </c>
      <c r="F48" s="61">
        <v>30000000</v>
      </c>
      <c r="G48" s="61">
        <v>50000000</v>
      </c>
      <c r="H48" s="8" t="s">
        <v>1429</v>
      </c>
      <c r="I48" s="63">
        <v>1.2899999999999999E-6</v>
      </c>
      <c r="J48" s="64">
        <f t="shared" si="0"/>
        <v>12.899999999999999</v>
      </c>
      <c r="K48" s="64">
        <f t="shared" si="1"/>
        <v>38.699999999999996</v>
      </c>
      <c r="L48" s="64">
        <f t="shared" si="2"/>
        <v>64.5</v>
      </c>
      <c r="M48" s="10" t="s">
        <v>1433</v>
      </c>
      <c r="N48" t="s">
        <v>1434</v>
      </c>
    </row>
    <row r="49" spans="1:14">
      <c r="A49" s="66" t="s">
        <v>1328</v>
      </c>
      <c r="B49" s="3" t="s">
        <v>1338</v>
      </c>
      <c r="C49" s="56" t="s">
        <v>1339</v>
      </c>
      <c r="D49" s="56" t="s">
        <v>1340</v>
      </c>
      <c r="E49" s="61">
        <v>5000000</v>
      </c>
      <c r="F49" s="61">
        <v>15000000</v>
      </c>
      <c r="G49" s="61">
        <v>25000000</v>
      </c>
      <c r="H49" s="8" t="s">
        <v>1435</v>
      </c>
      <c r="I49" s="63">
        <v>9.9999999999999995E-8</v>
      </c>
      <c r="J49" s="64">
        <f t="shared" si="0"/>
        <v>0.5</v>
      </c>
      <c r="K49" s="64">
        <f t="shared" si="1"/>
        <v>1.5</v>
      </c>
      <c r="L49" s="64">
        <f t="shared" si="2"/>
        <v>2.5</v>
      </c>
      <c r="M49" s="10" t="s">
        <v>1436</v>
      </c>
      <c r="N49" t="s">
        <v>1437</v>
      </c>
    </row>
    <row r="50" spans="1:14">
      <c r="A50" s="66" t="s">
        <v>1328</v>
      </c>
      <c r="B50" s="3" t="s">
        <v>1341</v>
      </c>
      <c r="C50" s="56" t="s">
        <v>1342</v>
      </c>
      <c r="D50" s="56" t="s">
        <v>1343</v>
      </c>
      <c r="E50" s="61">
        <v>5000000</v>
      </c>
      <c r="F50" s="61">
        <v>25000000</v>
      </c>
      <c r="G50" s="61">
        <v>50000000</v>
      </c>
      <c r="H50" s="8" t="s">
        <v>1438</v>
      </c>
      <c r="I50" s="63">
        <v>8.8999999999999995E-7</v>
      </c>
      <c r="J50" s="64">
        <f t="shared" si="0"/>
        <v>4.45</v>
      </c>
      <c r="K50" s="64">
        <f t="shared" si="1"/>
        <v>22.25</v>
      </c>
      <c r="L50" s="64">
        <f t="shared" si="2"/>
        <v>44.5</v>
      </c>
      <c r="M50" s="10" t="s">
        <v>1439</v>
      </c>
      <c r="N50" t="s">
        <v>1440</v>
      </c>
    </row>
    <row r="51" spans="1:14">
      <c r="A51" s="66" t="s">
        <v>329</v>
      </c>
      <c r="B51" s="3" t="s">
        <v>1344</v>
      </c>
      <c r="C51" s="56" t="s">
        <v>1345</v>
      </c>
      <c r="D51" s="56" t="s">
        <v>1346</v>
      </c>
      <c r="E51" s="61">
        <v>10</v>
      </c>
      <c r="F51" s="61">
        <v>10</v>
      </c>
      <c r="G51" s="61">
        <v>10</v>
      </c>
      <c r="H51" s="8" t="s">
        <v>1347</v>
      </c>
      <c r="I51" s="63">
        <v>1</v>
      </c>
      <c r="J51" s="64">
        <f t="shared" si="0"/>
        <v>10</v>
      </c>
      <c r="K51" s="64">
        <f t="shared" si="1"/>
        <v>10</v>
      </c>
      <c r="L51" s="64">
        <f t="shared" si="2"/>
        <v>10</v>
      </c>
      <c r="M51" s="10" t="s">
        <v>1441</v>
      </c>
      <c r="N51" t="s">
        <v>1442</v>
      </c>
    </row>
    <row r="52" spans="1:14">
      <c r="A52" s="66" t="s">
        <v>329</v>
      </c>
      <c r="B52" s="3" t="s">
        <v>1348</v>
      </c>
      <c r="C52" s="56" t="s">
        <v>1349</v>
      </c>
      <c r="D52" s="56" t="s">
        <v>1350</v>
      </c>
      <c r="E52" s="61">
        <v>30</v>
      </c>
      <c r="F52" s="61">
        <v>30</v>
      </c>
      <c r="G52" s="61">
        <v>30</v>
      </c>
      <c r="H52" s="8" t="s">
        <v>1351</v>
      </c>
      <c r="I52" s="63">
        <v>0.4</v>
      </c>
      <c r="J52" s="64">
        <f t="shared" si="0"/>
        <v>12</v>
      </c>
      <c r="K52" s="64">
        <f t="shared" si="1"/>
        <v>12</v>
      </c>
      <c r="L52" s="64">
        <f t="shared" si="2"/>
        <v>12</v>
      </c>
      <c r="M52" s="10" t="s">
        <v>1443</v>
      </c>
    </row>
    <row r="53" spans="1:14">
      <c r="A53" s="85" t="s">
        <v>329</v>
      </c>
      <c r="B53" s="86" t="s">
        <v>1352</v>
      </c>
      <c r="C53" s="87" t="s">
        <v>1353</v>
      </c>
      <c r="D53" s="87" t="s">
        <v>1354</v>
      </c>
      <c r="E53" s="88">
        <v>1</v>
      </c>
      <c r="F53" s="88">
        <v>1</v>
      </c>
      <c r="G53" s="88">
        <v>1</v>
      </c>
      <c r="H53" s="89" t="s">
        <v>1355</v>
      </c>
      <c r="I53" s="90">
        <v>400</v>
      </c>
      <c r="J53" s="91">
        <f t="shared" si="0"/>
        <v>400</v>
      </c>
      <c r="K53" s="91">
        <f t="shared" si="1"/>
        <v>400</v>
      </c>
      <c r="L53" s="91">
        <f t="shared" si="2"/>
        <v>400</v>
      </c>
      <c r="M53" s="92" t="s">
        <v>1444</v>
      </c>
      <c r="N53" s="81" t="s">
        <v>1465</v>
      </c>
    </row>
    <row r="54" spans="1:14">
      <c r="A54" s="66" t="s">
        <v>329</v>
      </c>
      <c r="B54" s="3" t="s">
        <v>1356</v>
      </c>
      <c r="C54" s="56" t="s">
        <v>1357</v>
      </c>
      <c r="D54" s="56" t="s">
        <v>1358</v>
      </c>
      <c r="E54" s="61">
        <v>400</v>
      </c>
      <c r="F54" s="61">
        <v>2000</v>
      </c>
      <c r="G54" s="61">
        <v>4000</v>
      </c>
      <c r="H54" s="8" t="s">
        <v>1276</v>
      </c>
      <c r="I54" s="63">
        <v>0.09</v>
      </c>
      <c r="J54" s="64">
        <f t="shared" si="0"/>
        <v>36</v>
      </c>
      <c r="K54" s="64">
        <f t="shared" si="1"/>
        <v>180</v>
      </c>
      <c r="L54" s="64">
        <f t="shared" si="2"/>
        <v>360</v>
      </c>
      <c r="M54" s="10" t="s">
        <v>1445</v>
      </c>
    </row>
    <row r="55" spans="1:14">
      <c r="A55" s="66" t="s">
        <v>1359</v>
      </c>
      <c r="B55" s="3" t="s">
        <v>1360</v>
      </c>
      <c r="C55" s="56" t="s">
        <v>1361</v>
      </c>
      <c r="D55" s="56" t="s">
        <v>1362</v>
      </c>
      <c r="E55" s="61">
        <v>100</v>
      </c>
      <c r="F55" s="61">
        <v>500</v>
      </c>
      <c r="G55" s="61">
        <v>1000</v>
      </c>
      <c r="H55" s="8" t="s">
        <v>1308</v>
      </c>
      <c r="I55" s="63">
        <v>0.76</v>
      </c>
      <c r="J55" s="64">
        <f t="shared" si="0"/>
        <v>76</v>
      </c>
      <c r="K55" s="64">
        <f t="shared" si="1"/>
        <v>380</v>
      </c>
      <c r="L55" s="64">
        <f t="shared" si="2"/>
        <v>760</v>
      </c>
      <c r="M55" s="10" t="s">
        <v>1446</v>
      </c>
      <c r="N55" t="s">
        <v>1447</v>
      </c>
    </row>
    <row r="56" spans="1:14">
      <c r="A56" s="66" t="s">
        <v>1359</v>
      </c>
      <c r="B56" s="3" t="s">
        <v>1363</v>
      </c>
      <c r="C56" s="56" t="s">
        <v>1364</v>
      </c>
      <c r="D56" s="56" t="s">
        <v>1365</v>
      </c>
      <c r="E56" s="61">
        <v>1460</v>
      </c>
      <c r="F56" s="61">
        <v>2190</v>
      </c>
      <c r="G56" s="61">
        <v>2920</v>
      </c>
      <c r="H56" s="8" t="s">
        <v>1259</v>
      </c>
      <c r="I56" s="63">
        <v>0.16400000000000001</v>
      </c>
      <c r="J56" s="64">
        <f t="shared" si="0"/>
        <v>239.44</v>
      </c>
      <c r="K56" s="64">
        <f t="shared" si="1"/>
        <v>359.16</v>
      </c>
      <c r="L56" s="64">
        <f t="shared" si="2"/>
        <v>478.88</v>
      </c>
      <c r="M56" s="10" t="s">
        <v>1448</v>
      </c>
      <c r="N56" t="s">
        <v>1449</v>
      </c>
    </row>
    <row r="57" spans="1:14">
      <c r="A57" s="66" t="s">
        <v>1359</v>
      </c>
      <c r="B57" s="3" t="s">
        <v>1366</v>
      </c>
      <c r="C57" s="56" t="s">
        <v>1367</v>
      </c>
      <c r="D57" s="56" t="s">
        <v>1368</v>
      </c>
      <c r="E57" s="61">
        <v>5000</v>
      </c>
      <c r="F57" s="61">
        <v>25000</v>
      </c>
      <c r="G57" s="61">
        <v>50000</v>
      </c>
      <c r="H57" s="8" t="s">
        <v>1276</v>
      </c>
      <c r="I57" s="63">
        <v>2E-3</v>
      </c>
      <c r="J57" s="64">
        <f t="shared" si="0"/>
        <v>10</v>
      </c>
      <c r="K57" s="64">
        <f t="shared" si="1"/>
        <v>50</v>
      </c>
      <c r="L57" s="64">
        <f t="shared" si="2"/>
        <v>100</v>
      </c>
      <c r="M57" s="10" t="s">
        <v>1450</v>
      </c>
      <c r="N57" t="s">
        <v>1451</v>
      </c>
    </row>
    <row r="58" spans="1:14">
      <c r="A58" s="66" t="s">
        <v>1359</v>
      </c>
      <c r="B58" s="3" t="s">
        <v>1369</v>
      </c>
      <c r="C58" s="56" t="s">
        <v>1370</v>
      </c>
      <c r="D58" s="56" t="s">
        <v>1371</v>
      </c>
      <c r="E58" s="61">
        <v>100000</v>
      </c>
      <c r="F58" s="61">
        <v>500000</v>
      </c>
      <c r="G58" s="61">
        <v>1000000</v>
      </c>
      <c r="H58" s="8" t="s">
        <v>1452</v>
      </c>
      <c r="I58" s="63">
        <v>1E-4</v>
      </c>
      <c r="J58" s="64">
        <f t="shared" si="0"/>
        <v>10</v>
      </c>
      <c r="K58" s="64">
        <f t="shared" si="1"/>
        <v>50</v>
      </c>
      <c r="L58" s="64">
        <f t="shared" si="2"/>
        <v>100</v>
      </c>
      <c r="M58" s="10" t="s">
        <v>1453</v>
      </c>
      <c r="N58" t="s">
        <v>1454</v>
      </c>
    </row>
    <row r="59" spans="1:14">
      <c r="A59" s="66" t="s">
        <v>1359</v>
      </c>
      <c r="B59" s="3" t="s">
        <v>1372</v>
      </c>
      <c r="C59" s="56" t="s">
        <v>1373</v>
      </c>
      <c r="D59" s="56" t="s">
        <v>1374</v>
      </c>
      <c r="E59" s="61">
        <v>131400</v>
      </c>
      <c r="F59" s="61">
        <v>131400</v>
      </c>
      <c r="G59" s="61">
        <v>131400</v>
      </c>
      <c r="H59" s="8" t="s">
        <v>1375</v>
      </c>
      <c r="I59" s="63">
        <v>1.9E-3</v>
      </c>
      <c r="J59" s="64">
        <f t="shared" si="0"/>
        <v>249.66</v>
      </c>
      <c r="K59" s="64">
        <f t="shared" si="1"/>
        <v>249.66</v>
      </c>
      <c r="L59" s="64">
        <f t="shared" si="2"/>
        <v>249.66</v>
      </c>
      <c r="M59" s="10" t="s">
        <v>1446</v>
      </c>
      <c r="N59" t="s">
        <v>1455</v>
      </c>
    </row>
    <row r="60" spans="1:14">
      <c r="A60" s="30" t="s">
        <v>1376</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1377</v>
      </c>
    </row>
    <row r="63" spans="1:14">
      <c r="A63" s="11" t="s">
        <v>0</v>
      </c>
      <c r="B63" s="12" t="s">
        <v>1179</v>
      </c>
      <c r="C63" s="12" t="s">
        <v>1251</v>
      </c>
      <c r="D63" s="12" t="s">
        <v>1252</v>
      </c>
      <c r="E63" s="13" t="s">
        <v>1253</v>
      </c>
    </row>
    <row r="64" spans="1:14">
      <c r="A64" s="14" t="s">
        <v>1255</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1277</v>
      </c>
      <c r="B65" s="67">
        <f t="shared" si="3"/>
        <v>6</v>
      </c>
      <c r="C65" s="68">
        <f t="shared" si="4"/>
        <v>2981.9</v>
      </c>
      <c r="D65" s="68">
        <f t="shared" si="5"/>
        <v>3258.7000000000003</v>
      </c>
      <c r="E65" s="69">
        <f t="shared" si="6"/>
        <v>3604.7000000000003</v>
      </c>
    </row>
    <row r="66" spans="1:6">
      <c r="A66" s="14" t="s">
        <v>1296</v>
      </c>
      <c r="B66" s="67">
        <f t="shared" si="3"/>
        <v>9</v>
      </c>
      <c r="C66" s="68">
        <f t="shared" si="4"/>
        <v>257.55700000000002</v>
      </c>
      <c r="D66" s="68">
        <f t="shared" si="5"/>
        <v>584.35699999999997</v>
      </c>
      <c r="E66" s="69">
        <f t="shared" si="6"/>
        <v>992.85700000000008</v>
      </c>
    </row>
    <row r="67" spans="1:6">
      <c r="A67" s="14" t="s">
        <v>1328</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1359</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1378</v>
      </c>
    </row>
    <row r="73" spans="1:6">
      <c r="A73" s="11" t="s">
        <v>1210</v>
      </c>
      <c r="B73" s="12" t="s">
        <v>1379</v>
      </c>
      <c r="C73" s="12" t="s">
        <v>1380</v>
      </c>
      <c r="D73" s="12" t="s">
        <v>1381</v>
      </c>
      <c r="E73" s="13" t="s">
        <v>1213</v>
      </c>
    </row>
    <row r="74" spans="1:6">
      <c r="A74" s="14" t="s">
        <v>1382</v>
      </c>
      <c r="B74" s="68">
        <f>J60</f>
        <v>6271.2109999999975</v>
      </c>
      <c r="C74" s="68">
        <f>K60</f>
        <v>9121.7249999999985</v>
      </c>
      <c r="D74" s="68">
        <f>L60</f>
        <v>12879.583999999999</v>
      </c>
      <c r="E74" s="19" t="s">
        <v>1383</v>
      </c>
    </row>
    <row r="75" spans="1:6">
      <c r="A75" s="14" t="s">
        <v>1384</v>
      </c>
      <c r="B75" s="73">
        <f>B74*$B$9</f>
        <v>940681.64999999967</v>
      </c>
      <c r="C75" s="73">
        <f>C74*$B$9</f>
        <v>1368258.7499999998</v>
      </c>
      <c r="D75" s="73">
        <f>D74*$B$9</f>
        <v>1931937.5999999999</v>
      </c>
      <c r="E75" s="19" t="s">
        <v>1385</v>
      </c>
    </row>
    <row r="76" spans="1:6">
      <c r="A76" s="14" t="s">
        <v>1386</v>
      </c>
      <c r="B76" s="74">
        <f>B74*12</f>
        <v>75254.531999999977</v>
      </c>
      <c r="C76" s="74">
        <f>C74*12</f>
        <v>109460.69999999998</v>
      </c>
      <c r="D76" s="74">
        <f>D74*12</f>
        <v>154555.00799999997</v>
      </c>
      <c r="E76" s="19" t="s">
        <v>1387</v>
      </c>
    </row>
    <row r="77" spans="1:6">
      <c r="A77" s="14" t="s">
        <v>1388</v>
      </c>
      <c r="B77" s="74">
        <f>B76*3</f>
        <v>225763.59599999993</v>
      </c>
      <c r="C77" s="74">
        <f>C76*3</f>
        <v>328382.09999999998</v>
      </c>
      <c r="D77" s="74">
        <f>D76*3</f>
        <v>463665.02399999992</v>
      </c>
      <c r="E77" s="19" t="s">
        <v>1389</v>
      </c>
    </row>
    <row r="78" spans="1:6">
      <c r="A78" s="14" t="s">
        <v>1390</v>
      </c>
      <c r="B78" s="73">
        <f>B77*$B$9</f>
        <v>33864539.399999991</v>
      </c>
      <c r="C78" s="73">
        <f>C77*$B$9</f>
        <v>49257315</v>
      </c>
      <c r="D78" s="73">
        <f>D77*$B$9</f>
        <v>69549753.599999994</v>
      </c>
      <c r="E78" s="19"/>
    </row>
    <row r="79" spans="1:6">
      <c r="A79" s="14" t="s">
        <v>1391</v>
      </c>
      <c r="B79" s="75">
        <f>IFERROR(B75/$B$10,0)</f>
        <v>0.9406816499999997</v>
      </c>
      <c r="C79" s="75">
        <f>IFERROR(C75/$B$11,0)</f>
        <v>0.27365174999999997</v>
      </c>
      <c r="D79" s="75">
        <f>IFERROR(D75/$B$12,0)</f>
        <v>0.19319375999999999</v>
      </c>
      <c r="E79" s="19" t="s">
        <v>1392</v>
      </c>
    </row>
    <row r="80" spans="1:6">
      <c r="A80" s="17" t="s">
        <v>1393</v>
      </c>
      <c r="B80" s="76">
        <v>2032</v>
      </c>
      <c r="C80" s="76">
        <v>2032</v>
      </c>
      <c r="D80" s="76">
        <v>2032</v>
      </c>
      <c r="E80" s="20" t="s">
        <v>1394</v>
      </c>
    </row>
    <row r="82" spans="1:1">
      <c r="A82" s="84" t="s">
        <v>1457</v>
      </c>
    </row>
    <row r="83" spans="1:1">
      <c r="A83" s="38" t="s">
        <v>1458</v>
      </c>
    </row>
    <row r="84" spans="1:1">
      <c r="A84" s="38" t="s">
        <v>1459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1460</v>
      </c>
    </row>
    <row r="87" spans="1:1">
      <c r="A87" s="38" t="s">
        <v>1461</v>
      </c>
    </row>
    <row r="88" spans="1:1">
      <c r="A88" s="38" t="s">
        <v>1462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1470</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1466</v>
      </c>
      <c r="D33" s="96" t="s">
        <v>1167</v>
      </c>
      <c r="E33" s="97" t="s">
        <v>1467</v>
      </c>
      <c r="F33" s="82"/>
      <c r="G33" s="82"/>
      <c r="H33" s="82"/>
      <c r="I33" s="82"/>
    </row>
    <row r="34" spans="1:9">
      <c r="A34" s="93" t="s">
        <v>1056</v>
      </c>
      <c r="B34" s="94" t="s">
        <v>1057</v>
      </c>
      <c r="C34" s="95" t="s">
        <v>1466</v>
      </c>
      <c r="D34" s="96" t="s">
        <v>1167</v>
      </c>
      <c r="E34" s="97" t="s">
        <v>1468</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1469</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workbookViewId="0">
      <pane ySplit="1" topLeftCell="A156" activePane="bottomLeft" state="frozen"/>
      <selection pane="bottomLeft" activeCell="L116" sqref="L116"/>
    </sheetView>
  </sheetViews>
  <sheetFormatPr baseColWidth="10" defaultRowHeight="20"/>
  <cols>
    <col min="1" max="1" width="15.7109375" customWidth="1"/>
    <col min="2" max="3" width="9.140625" customWidth="1"/>
    <col min="4" max="4" width="17.85546875" customWidth="1"/>
    <col min="5" max="5" width="10.7109375" customWidth="1"/>
    <col min="6" max="6" width="43.42578125" customWidth="1"/>
    <col min="7" max="7" width="57.28515625" customWidth="1"/>
    <col min="8" max="11" width="28.5703125" customWidth="1"/>
    <col min="12" max="12" width="36.42578125" customWidth="1"/>
  </cols>
  <sheetData>
    <row r="1" spans="1:12">
      <c r="A1" s="159" t="s">
        <v>285</v>
      </c>
      <c r="B1" s="159" t="s">
        <v>330</v>
      </c>
      <c r="C1" s="159" t="s">
        <v>4160</v>
      </c>
      <c r="D1" s="159" t="s">
        <v>4161</v>
      </c>
      <c r="E1" s="159" t="s">
        <v>2013</v>
      </c>
      <c r="F1" s="159" t="s">
        <v>1210</v>
      </c>
      <c r="G1" s="159" t="s">
        <v>5</v>
      </c>
      <c r="H1" s="159" t="s">
        <v>1976</v>
      </c>
      <c r="I1" s="159" t="s">
        <v>986</v>
      </c>
      <c r="J1" s="159" t="s">
        <v>2450</v>
      </c>
      <c r="K1" s="159" t="s">
        <v>987</v>
      </c>
      <c r="L1" s="159" t="s">
        <v>1178</v>
      </c>
    </row>
    <row r="2" spans="1:12">
      <c r="A2" s="102" t="s">
        <v>7</v>
      </c>
      <c r="B2" s="102" t="s">
        <v>2</v>
      </c>
      <c r="C2" s="102" t="s">
        <v>2011</v>
      </c>
      <c r="D2" s="102" t="s">
        <v>3721</v>
      </c>
      <c r="E2" s="102" t="s">
        <v>2114</v>
      </c>
      <c r="F2" s="102" t="s">
        <v>3719</v>
      </c>
      <c r="G2" s="102" t="s">
        <v>3720</v>
      </c>
      <c r="H2" s="102" t="s">
        <v>3982</v>
      </c>
      <c r="I2" s="102" t="s">
        <v>1557</v>
      </c>
      <c r="J2" s="102" t="s">
        <v>3983</v>
      </c>
      <c r="K2" s="102" t="s">
        <v>1182</v>
      </c>
      <c r="L2" s="102" t="s">
        <v>4165</v>
      </c>
    </row>
    <row r="3" spans="1:12">
      <c r="A3" s="102" t="s">
        <v>8</v>
      </c>
      <c r="B3" s="102" t="s">
        <v>2</v>
      </c>
      <c r="C3" s="102" t="s">
        <v>2011</v>
      </c>
      <c r="D3" s="102" t="s">
        <v>3724</v>
      </c>
      <c r="E3" s="102" t="s">
        <v>4162</v>
      </c>
      <c r="F3" s="102" t="s">
        <v>3722</v>
      </c>
      <c r="G3" s="102" t="s">
        <v>3723</v>
      </c>
      <c r="H3" s="102" t="s">
        <v>3984</v>
      </c>
      <c r="I3" s="102" t="s">
        <v>3985</v>
      </c>
      <c r="J3" s="102" t="s">
        <v>3986</v>
      </c>
      <c r="K3" s="102" t="s">
        <v>3987</v>
      </c>
      <c r="L3" s="102" t="s">
        <v>4166</v>
      </c>
    </row>
    <row r="4" spans="1:12">
      <c r="A4" s="102" t="s">
        <v>9</v>
      </c>
      <c r="B4" s="102" t="s">
        <v>2</v>
      </c>
      <c r="C4" s="102" t="s">
        <v>2011</v>
      </c>
      <c r="D4" s="102" t="s">
        <v>3724</v>
      </c>
      <c r="E4" s="102" t="s">
        <v>4162</v>
      </c>
      <c r="F4" s="102" t="s">
        <v>10</v>
      </c>
      <c r="G4" s="102" t="s">
        <v>3725</v>
      </c>
      <c r="H4" s="102" t="s">
        <v>3984</v>
      </c>
      <c r="I4" s="102" t="s">
        <v>3985</v>
      </c>
      <c r="J4" s="102" t="s">
        <v>3986</v>
      </c>
      <c r="K4" s="102" t="s">
        <v>3988</v>
      </c>
      <c r="L4" s="102" t="s">
        <v>4166</v>
      </c>
    </row>
    <row r="5" spans="1:12">
      <c r="A5" s="102" t="s">
        <v>11</v>
      </c>
      <c r="B5" s="102" t="s">
        <v>2</v>
      </c>
      <c r="C5" s="102" t="s">
        <v>2011</v>
      </c>
      <c r="D5" s="102" t="s">
        <v>3724</v>
      </c>
      <c r="E5" s="102" t="s">
        <v>4162</v>
      </c>
      <c r="F5" s="102" t="s">
        <v>12</v>
      </c>
      <c r="G5" s="102" t="s">
        <v>3726</v>
      </c>
      <c r="H5" s="102" t="s">
        <v>1709</v>
      </c>
      <c r="I5" s="102" t="s">
        <v>1965</v>
      </c>
      <c r="J5" s="102" t="s">
        <v>3989</v>
      </c>
      <c r="K5" s="102" t="s">
        <v>1183</v>
      </c>
      <c r="L5" s="102" t="s">
        <v>4166</v>
      </c>
    </row>
    <row r="6" spans="1:12">
      <c r="A6" s="102" t="s">
        <v>13</v>
      </c>
      <c r="B6" s="102" t="s">
        <v>2</v>
      </c>
      <c r="C6" s="102" t="s">
        <v>286</v>
      </c>
      <c r="D6" s="102" t="s">
        <v>980</v>
      </c>
      <c r="E6" s="102" t="s">
        <v>980</v>
      </c>
      <c r="F6" s="102" t="s">
        <v>14</v>
      </c>
      <c r="G6" s="102" t="s">
        <v>3727</v>
      </c>
      <c r="H6" s="102"/>
      <c r="I6" s="102"/>
      <c r="J6" s="102"/>
      <c r="K6" s="102"/>
      <c r="L6" s="102" t="s">
        <v>4167</v>
      </c>
    </row>
    <row r="7" spans="1:12">
      <c r="A7" s="102" t="s">
        <v>15</v>
      </c>
      <c r="B7" s="102" t="s">
        <v>2</v>
      </c>
      <c r="C7" s="102" t="s">
        <v>286</v>
      </c>
      <c r="D7" s="102" t="s">
        <v>980</v>
      </c>
      <c r="E7" s="102" t="s">
        <v>980</v>
      </c>
      <c r="F7" s="102" t="s">
        <v>3728</v>
      </c>
      <c r="G7" s="102" t="s">
        <v>3729</v>
      </c>
      <c r="H7" s="102"/>
      <c r="I7" s="102"/>
      <c r="J7" s="102"/>
      <c r="K7" s="102"/>
      <c r="L7" s="102" t="s">
        <v>4167</v>
      </c>
    </row>
    <row r="8" spans="1:12">
      <c r="A8" s="102" t="s">
        <v>16</v>
      </c>
      <c r="B8" s="102" t="s">
        <v>2</v>
      </c>
      <c r="C8" s="102" t="s">
        <v>286</v>
      </c>
      <c r="D8" s="102" t="s">
        <v>980</v>
      </c>
      <c r="E8" s="102" t="s">
        <v>980</v>
      </c>
      <c r="F8" s="102" t="s">
        <v>3730</v>
      </c>
      <c r="G8" s="102" t="s">
        <v>3731</v>
      </c>
      <c r="H8" s="102"/>
      <c r="I8" s="102"/>
      <c r="J8" s="102"/>
      <c r="K8" s="102"/>
      <c r="L8" s="102" t="s">
        <v>4167</v>
      </c>
    </row>
    <row r="9" spans="1:12">
      <c r="A9" s="102" t="s">
        <v>17</v>
      </c>
      <c r="B9" s="102" t="s">
        <v>2</v>
      </c>
      <c r="C9" s="102" t="s">
        <v>286</v>
      </c>
      <c r="D9" s="102" t="s">
        <v>980</v>
      </c>
      <c r="E9" s="102" t="s">
        <v>980</v>
      </c>
      <c r="F9" s="102" t="s">
        <v>18</v>
      </c>
      <c r="G9" s="102" t="s">
        <v>3732</v>
      </c>
      <c r="H9" s="102"/>
      <c r="I9" s="102"/>
      <c r="J9" s="102"/>
      <c r="K9" s="102"/>
      <c r="L9" s="102" t="s">
        <v>4167</v>
      </c>
    </row>
    <row r="10" spans="1:12">
      <c r="A10" s="102" t="s">
        <v>19</v>
      </c>
      <c r="B10" s="102" t="s">
        <v>2</v>
      </c>
      <c r="C10" s="102" t="s">
        <v>2011</v>
      </c>
      <c r="D10" s="102" t="s">
        <v>3721</v>
      </c>
      <c r="E10" s="102" t="s">
        <v>2114</v>
      </c>
      <c r="F10" s="102" t="s">
        <v>20</v>
      </c>
      <c r="G10" s="102" t="s">
        <v>3733</v>
      </c>
      <c r="H10" s="102" t="s">
        <v>3982</v>
      </c>
      <c r="I10" s="102" t="s">
        <v>1557</v>
      </c>
      <c r="J10" s="102" t="s">
        <v>3983</v>
      </c>
      <c r="K10" s="102" t="s">
        <v>1182</v>
      </c>
      <c r="L10" s="102" t="s">
        <v>4165</v>
      </c>
    </row>
    <row r="11" spans="1:12">
      <c r="A11" s="102" t="s">
        <v>21</v>
      </c>
      <c r="B11" s="102" t="s">
        <v>2</v>
      </c>
      <c r="C11" s="102" t="s">
        <v>2011</v>
      </c>
      <c r="D11" s="102" t="s">
        <v>3721</v>
      </c>
      <c r="E11" s="102" t="s">
        <v>2114</v>
      </c>
      <c r="F11" s="102" t="s">
        <v>3734</v>
      </c>
      <c r="G11" s="102" t="s">
        <v>3735</v>
      </c>
      <c r="H11" s="102" t="s">
        <v>3982</v>
      </c>
      <c r="I11" s="102" t="s">
        <v>1557</v>
      </c>
      <c r="J11" s="102" t="s">
        <v>3983</v>
      </c>
      <c r="K11" s="102" t="s">
        <v>1182</v>
      </c>
      <c r="L11" s="102" t="s">
        <v>4165</v>
      </c>
    </row>
    <row r="12" spans="1:12">
      <c r="A12" s="102" t="s">
        <v>22</v>
      </c>
      <c r="B12" s="102" t="s">
        <v>2</v>
      </c>
      <c r="C12" s="102" t="s">
        <v>2011</v>
      </c>
      <c r="D12" s="102" t="s">
        <v>3721</v>
      </c>
      <c r="E12" s="102" t="s">
        <v>2114</v>
      </c>
      <c r="F12" s="102" t="s">
        <v>3736</v>
      </c>
      <c r="G12" s="102" t="s">
        <v>3737</v>
      </c>
      <c r="H12" s="102" t="s">
        <v>1697</v>
      </c>
      <c r="I12" s="102" t="s">
        <v>1550</v>
      </c>
      <c r="J12" s="102" t="s">
        <v>3990</v>
      </c>
      <c r="K12" s="102" t="s">
        <v>1198</v>
      </c>
      <c r="L12" s="102" t="s">
        <v>4165</v>
      </c>
    </row>
    <row r="13" spans="1:12">
      <c r="A13" s="102" t="s">
        <v>23</v>
      </c>
      <c r="B13" s="102" t="s">
        <v>2</v>
      </c>
      <c r="C13" s="102" t="s">
        <v>2011</v>
      </c>
      <c r="D13" s="102" t="s">
        <v>3721</v>
      </c>
      <c r="E13" s="102" t="s">
        <v>2114</v>
      </c>
      <c r="F13" s="102" t="s">
        <v>24</v>
      </c>
      <c r="G13" s="102" t="s">
        <v>3738</v>
      </c>
      <c r="H13" s="102" t="s">
        <v>3982</v>
      </c>
      <c r="I13" s="102" t="s">
        <v>1557</v>
      </c>
      <c r="J13" s="102" t="s">
        <v>3983</v>
      </c>
      <c r="K13" s="102" t="s">
        <v>1182</v>
      </c>
      <c r="L13" s="102" t="s">
        <v>4165</v>
      </c>
    </row>
    <row r="14" spans="1:12">
      <c r="A14" s="102" t="s">
        <v>25</v>
      </c>
      <c r="B14" s="102" t="s">
        <v>2</v>
      </c>
      <c r="C14" s="102" t="s">
        <v>2011</v>
      </c>
      <c r="D14" s="102" t="s">
        <v>3721</v>
      </c>
      <c r="E14" s="102" t="s">
        <v>2114</v>
      </c>
      <c r="F14" s="102" t="s">
        <v>3739</v>
      </c>
      <c r="G14" s="102" t="s">
        <v>3740</v>
      </c>
      <c r="H14" s="102"/>
      <c r="I14" s="102"/>
      <c r="J14" s="102"/>
      <c r="K14" s="102"/>
      <c r="L14" s="102" t="s">
        <v>4168</v>
      </c>
    </row>
    <row r="15" spans="1:12">
      <c r="A15" s="102" t="s">
        <v>26</v>
      </c>
      <c r="B15" s="102" t="s">
        <v>2</v>
      </c>
      <c r="C15" s="102" t="s">
        <v>2011</v>
      </c>
      <c r="D15" s="102" t="s">
        <v>3721</v>
      </c>
      <c r="E15" s="102" t="s">
        <v>2114</v>
      </c>
      <c r="F15" s="102" t="s">
        <v>27</v>
      </c>
      <c r="G15" s="102" t="s">
        <v>3741</v>
      </c>
      <c r="H15" s="102"/>
      <c r="I15" s="102"/>
      <c r="J15" s="102"/>
      <c r="K15" s="102"/>
      <c r="L15" s="102" t="s">
        <v>4168</v>
      </c>
    </row>
    <row r="16" spans="1:12">
      <c r="A16" s="102" t="s">
        <v>3742</v>
      </c>
      <c r="B16" s="102" t="s">
        <v>2</v>
      </c>
      <c r="C16" s="102" t="s">
        <v>286</v>
      </c>
      <c r="D16" s="102" t="s">
        <v>980</v>
      </c>
      <c r="E16" s="102" t="s">
        <v>980</v>
      </c>
      <c r="F16" s="102" t="s">
        <v>3743</v>
      </c>
      <c r="G16" s="102" t="s">
        <v>3744</v>
      </c>
      <c r="H16" s="102"/>
      <c r="I16" s="102"/>
      <c r="J16" s="102"/>
      <c r="K16" s="102"/>
      <c r="L16" s="102" t="s">
        <v>4167</v>
      </c>
    </row>
    <row r="17" spans="1:12">
      <c r="A17" s="102" t="s">
        <v>28</v>
      </c>
      <c r="B17" s="102" t="s">
        <v>2</v>
      </c>
      <c r="C17" s="102" t="s">
        <v>2011</v>
      </c>
      <c r="D17" s="102" t="s">
        <v>3724</v>
      </c>
      <c r="E17" s="102" t="s">
        <v>4162</v>
      </c>
      <c r="F17" s="102" t="s">
        <v>3745</v>
      </c>
      <c r="G17" s="102" t="s">
        <v>3746</v>
      </c>
      <c r="H17" s="102" t="s">
        <v>3991</v>
      </c>
      <c r="I17" s="102" t="s">
        <v>3992</v>
      </c>
      <c r="J17" s="102" t="s">
        <v>3993</v>
      </c>
      <c r="K17" s="102" t="s">
        <v>3994</v>
      </c>
      <c r="L17" s="102" t="s">
        <v>4166</v>
      </c>
    </row>
    <row r="18" spans="1:12">
      <c r="A18" s="102" t="s">
        <v>29</v>
      </c>
      <c r="B18" s="102" t="s">
        <v>2</v>
      </c>
      <c r="C18" s="102" t="s">
        <v>2011</v>
      </c>
      <c r="D18" s="102" t="s">
        <v>3724</v>
      </c>
      <c r="E18" s="102" t="s">
        <v>4162</v>
      </c>
      <c r="F18" s="102" t="s">
        <v>3747</v>
      </c>
      <c r="G18" s="102" t="s">
        <v>3748</v>
      </c>
      <c r="H18" s="102" t="s">
        <v>3991</v>
      </c>
      <c r="I18" s="102" t="s">
        <v>3992</v>
      </c>
      <c r="J18" s="102" t="s">
        <v>3993</v>
      </c>
      <c r="K18" s="102" t="s">
        <v>1188</v>
      </c>
      <c r="L18" s="102" t="s">
        <v>4166</v>
      </c>
    </row>
    <row r="19" spans="1:12">
      <c r="A19" s="102" t="s">
        <v>30</v>
      </c>
      <c r="B19" s="102" t="s">
        <v>2</v>
      </c>
      <c r="C19" s="102" t="s">
        <v>2011</v>
      </c>
      <c r="D19" s="102" t="s">
        <v>3724</v>
      </c>
      <c r="E19" s="102" t="s">
        <v>4162</v>
      </c>
      <c r="F19" s="102" t="s">
        <v>3749</v>
      </c>
      <c r="G19" s="102" t="s">
        <v>3750</v>
      </c>
      <c r="H19" s="102" t="s">
        <v>3991</v>
      </c>
      <c r="I19" s="102" t="s">
        <v>3992</v>
      </c>
      <c r="J19" s="102" t="s">
        <v>3993</v>
      </c>
      <c r="K19" s="102" t="s">
        <v>3995</v>
      </c>
      <c r="L19" s="102" t="s">
        <v>4166</v>
      </c>
    </row>
    <row r="20" spans="1:12">
      <c r="A20" s="102" t="s">
        <v>31</v>
      </c>
      <c r="B20" s="102" t="s">
        <v>2</v>
      </c>
      <c r="C20" s="102" t="s">
        <v>2011</v>
      </c>
      <c r="D20" s="102" t="s">
        <v>3724</v>
      </c>
      <c r="E20" s="102" t="s">
        <v>4162</v>
      </c>
      <c r="F20" s="102" t="s">
        <v>3751</v>
      </c>
      <c r="G20" s="102" t="s">
        <v>3752</v>
      </c>
      <c r="H20" s="102" t="s">
        <v>3991</v>
      </c>
      <c r="I20" s="102" t="s">
        <v>3992</v>
      </c>
      <c r="J20" s="102" t="s">
        <v>3993</v>
      </c>
      <c r="K20" s="102" t="s">
        <v>3995</v>
      </c>
      <c r="L20" s="102" t="s">
        <v>4166</v>
      </c>
    </row>
    <row r="21" spans="1:12">
      <c r="A21" s="102" t="s">
        <v>32</v>
      </c>
      <c r="B21" s="102" t="s">
        <v>2</v>
      </c>
      <c r="C21" s="102" t="s">
        <v>2011</v>
      </c>
      <c r="D21" s="102" t="s">
        <v>3724</v>
      </c>
      <c r="E21" s="102" t="s">
        <v>4162</v>
      </c>
      <c r="F21" s="102" t="s">
        <v>3753</v>
      </c>
      <c r="G21" s="102" t="s">
        <v>3754</v>
      </c>
      <c r="H21" s="102" t="s">
        <v>3996</v>
      </c>
      <c r="I21" s="102" t="s">
        <v>3997</v>
      </c>
      <c r="J21" s="102" t="s">
        <v>3998</v>
      </c>
      <c r="K21" s="102" t="s">
        <v>3999</v>
      </c>
      <c r="L21" s="102" t="s">
        <v>4166</v>
      </c>
    </row>
    <row r="22" spans="1:12">
      <c r="A22" s="102" t="s">
        <v>33</v>
      </c>
      <c r="B22" s="102" t="s">
        <v>2</v>
      </c>
      <c r="C22" s="102" t="s">
        <v>2011</v>
      </c>
      <c r="D22" s="102" t="s">
        <v>3724</v>
      </c>
      <c r="E22" s="102" t="s">
        <v>4162</v>
      </c>
      <c r="F22" s="102" t="s">
        <v>3755</v>
      </c>
      <c r="G22" s="102" t="s">
        <v>3756</v>
      </c>
      <c r="H22" s="102" t="s">
        <v>4000</v>
      </c>
      <c r="I22" s="102" t="s">
        <v>4001</v>
      </c>
      <c r="J22" s="102" t="s">
        <v>4002</v>
      </c>
      <c r="K22" s="102" t="s">
        <v>4003</v>
      </c>
      <c r="L22" s="102" t="s">
        <v>4166</v>
      </c>
    </row>
    <row r="23" spans="1:12">
      <c r="A23" s="102" t="s">
        <v>34</v>
      </c>
      <c r="B23" s="102" t="s">
        <v>2</v>
      </c>
      <c r="C23" s="102" t="s">
        <v>286</v>
      </c>
      <c r="D23" s="102" t="s">
        <v>980</v>
      </c>
      <c r="E23" s="102" t="s">
        <v>980</v>
      </c>
      <c r="F23" s="102" t="s">
        <v>35</v>
      </c>
      <c r="G23" s="102" t="s">
        <v>3757</v>
      </c>
      <c r="H23" s="102"/>
      <c r="I23" s="102"/>
      <c r="J23" s="102"/>
      <c r="K23" s="102"/>
      <c r="L23" s="102" t="s">
        <v>4167</v>
      </c>
    </row>
    <row r="24" spans="1:12">
      <c r="A24" s="102" t="s">
        <v>37</v>
      </c>
      <c r="B24" s="102" t="s">
        <v>2</v>
      </c>
      <c r="C24" s="102" t="s">
        <v>2011</v>
      </c>
      <c r="D24" s="102" t="s">
        <v>3724</v>
      </c>
      <c r="E24" s="102" t="s">
        <v>4162</v>
      </c>
      <c r="F24" s="102" t="s">
        <v>3758</v>
      </c>
      <c r="G24" s="102" t="s">
        <v>3759</v>
      </c>
      <c r="H24" s="102" t="s">
        <v>1691</v>
      </c>
      <c r="I24" s="102" t="s">
        <v>4004</v>
      </c>
      <c r="J24" s="102" t="s">
        <v>4005</v>
      </c>
      <c r="K24" s="102" t="s">
        <v>4006</v>
      </c>
      <c r="L24" s="102" t="s">
        <v>4166</v>
      </c>
    </row>
    <row r="25" spans="1:12">
      <c r="A25" s="102" t="s">
        <v>38</v>
      </c>
      <c r="B25" s="102" t="s">
        <v>2</v>
      </c>
      <c r="C25" s="102" t="s">
        <v>2011</v>
      </c>
      <c r="D25" s="102" t="s">
        <v>3724</v>
      </c>
      <c r="E25" s="102" t="s">
        <v>4162</v>
      </c>
      <c r="F25" s="102" t="s">
        <v>3760</v>
      </c>
      <c r="G25" s="102" t="s">
        <v>3761</v>
      </c>
      <c r="H25" s="102" t="s">
        <v>4007</v>
      </c>
      <c r="I25" s="102" t="s">
        <v>4008</v>
      </c>
      <c r="J25" s="102" t="s">
        <v>4009</v>
      </c>
      <c r="K25" s="102" t="s">
        <v>4010</v>
      </c>
      <c r="L25" s="102" t="s">
        <v>4166</v>
      </c>
    </row>
    <row r="26" spans="1:12">
      <c r="A26" s="102" t="s">
        <v>40</v>
      </c>
      <c r="B26" s="102" t="s">
        <v>2</v>
      </c>
      <c r="C26" s="102" t="s">
        <v>2011</v>
      </c>
      <c r="D26" s="102" t="s">
        <v>3724</v>
      </c>
      <c r="E26" s="102" t="s">
        <v>4162</v>
      </c>
      <c r="F26" s="102" t="s">
        <v>3762</v>
      </c>
      <c r="G26" s="102" t="s">
        <v>3763</v>
      </c>
      <c r="H26" s="102" t="s">
        <v>4011</v>
      </c>
      <c r="I26" s="102" t="s">
        <v>4012</v>
      </c>
      <c r="J26" s="102" t="s">
        <v>4013</v>
      </c>
      <c r="K26" s="102" t="s">
        <v>4014</v>
      </c>
      <c r="L26" s="102" t="s">
        <v>4166</v>
      </c>
    </row>
    <row r="27" spans="1:12">
      <c r="A27" s="102" t="s">
        <v>41</v>
      </c>
      <c r="B27" s="102" t="s">
        <v>2</v>
      </c>
      <c r="C27" s="102" t="s">
        <v>2011</v>
      </c>
      <c r="D27" s="102" t="s">
        <v>3724</v>
      </c>
      <c r="E27" s="102" t="s">
        <v>4162</v>
      </c>
      <c r="F27" s="102" t="s">
        <v>42</v>
      </c>
      <c r="G27" s="102" t="s">
        <v>3764</v>
      </c>
      <c r="H27" s="102" t="s">
        <v>4015</v>
      </c>
      <c r="I27" s="102" t="s">
        <v>1552</v>
      </c>
      <c r="J27" s="102" t="s">
        <v>4016</v>
      </c>
      <c r="K27" s="102" t="s">
        <v>4017</v>
      </c>
      <c r="L27" s="102" t="s">
        <v>4166</v>
      </c>
    </row>
    <row r="28" spans="1:12">
      <c r="A28" s="102" t="s">
        <v>39</v>
      </c>
      <c r="B28" s="102" t="s">
        <v>2</v>
      </c>
      <c r="C28" s="102" t="s">
        <v>2011</v>
      </c>
      <c r="D28" s="102" t="s">
        <v>4163</v>
      </c>
      <c r="E28" s="102" t="s">
        <v>4164</v>
      </c>
      <c r="F28" s="102" t="s">
        <v>3765</v>
      </c>
      <c r="G28" s="102" t="s">
        <v>3766</v>
      </c>
      <c r="H28" s="102"/>
      <c r="I28" s="102"/>
      <c r="J28" s="102"/>
      <c r="K28" s="102" t="s">
        <v>1188</v>
      </c>
      <c r="L28" s="102" t="s">
        <v>4169</v>
      </c>
    </row>
    <row r="29" spans="1:12">
      <c r="A29" s="102" t="s">
        <v>43</v>
      </c>
      <c r="B29" s="102" t="s">
        <v>2</v>
      </c>
      <c r="C29" s="102" t="s">
        <v>2011</v>
      </c>
      <c r="D29" s="102" t="s">
        <v>3724</v>
      </c>
      <c r="E29" s="102" t="s">
        <v>4162</v>
      </c>
      <c r="F29" s="102" t="s">
        <v>3767</v>
      </c>
      <c r="G29" s="102" t="s">
        <v>3768</v>
      </c>
      <c r="H29" s="102" t="s">
        <v>4018</v>
      </c>
      <c r="I29" s="102" t="s">
        <v>4019</v>
      </c>
      <c r="J29" s="102" t="s">
        <v>4020</v>
      </c>
      <c r="K29" s="102" t="s">
        <v>4021</v>
      </c>
      <c r="L29" s="102" t="s">
        <v>4166</v>
      </c>
    </row>
    <row r="30" spans="1:12">
      <c r="A30" s="102" t="s">
        <v>36</v>
      </c>
      <c r="B30" s="102" t="s">
        <v>2</v>
      </c>
      <c r="C30" s="102" t="s">
        <v>286</v>
      </c>
      <c r="D30" s="102" t="s">
        <v>980</v>
      </c>
      <c r="E30" s="102" t="s">
        <v>980</v>
      </c>
      <c r="F30" s="102" t="s">
        <v>3769</v>
      </c>
      <c r="G30" s="102" t="s">
        <v>3770</v>
      </c>
      <c r="H30" s="102"/>
      <c r="I30" s="102"/>
      <c r="J30" s="102"/>
      <c r="K30" s="102"/>
      <c r="L30" s="102" t="s">
        <v>4167</v>
      </c>
    </row>
    <row r="31" spans="1:12">
      <c r="A31" s="102" t="s">
        <v>44</v>
      </c>
      <c r="B31" s="102" t="s">
        <v>2</v>
      </c>
      <c r="C31" s="102" t="s">
        <v>2011</v>
      </c>
      <c r="D31" s="102" t="s">
        <v>3721</v>
      </c>
      <c r="E31" s="102" t="s">
        <v>2114</v>
      </c>
      <c r="F31" s="102" t="s">
        <v>3771</v>
      </c>
      <c r="G31" s="102" t="s">
        <v>3772</v>
      </c>
      <c r="H31" s="102"/>
      <c r="I31" s="102"/>
      <c r="J31" s="102"/>
      <c r="K31" s="102"/>
      <c r="L31" s="102" t="s">
        <v>4168</v>
      </c>
    </row>
    <row r="32" spans="1:12">
      <c r="A32" s="102" t="s">
        <v>45</v>
      </c>
      <c r="B32" s="102" t="s">
        <v>2</v>
      </c>
      <c r="C32" s="102" t="s">
        <v>2011</v>
      </c>
      <c r="D32" s="102" t="s">
        <v>3721</v>
      </c>
      <c r="E32" s="102" t="s">
        <v>2114</v>
      </c>
      <c r="F32" s="102" t="s">
        <v>46</v>
      </c>
      <c r="G32" s="102" t="s">
        <v>3773</v>
      </c>
      <c r="H32" s="102"/>
      <c r="I32" s="102"/>
      <c r="J32" s="102"/>
      <c r="K32" s="102"/>
      <c r="L32" s="102" t="s">
        <v>4168</v>
      </c>
    </row>
    <row r="33" spans="1:12">
      <c r="A33" s="102" t="s">
        <v>47</v>
      </c>
      <c r="B33" s="102" t="s">
        <v>2</v>
      </c>
      <c r="C33" s="102" t="s">
        <v>286</v>
      </c>
      <c r="D33" s="102" t="s">
        <v>980</v>
      </c>
      <c r="E33" s="102" t="s">
        <v>980</v>
      </c>
      <c r="F33" s="102" t="s">
        <v>48</v>
      </c>
      <c r="G33" s="102" t="s">
        <v>3774</v>
      </c>
      <c r="H33" s="102"/>
      <c r="I33" s="102"/>
      <c r="J33" s="102"/>
      <c r="K33" s="102"/>
      <c r="L33" s="102" t="s">
        <v>4167</v>
      </c>
    </row>
    <row r="34" spans="1:12">
      <c r="A34" s="102" t="s">
        <v>49</v>
      </c>
      <c r="B34" s="102" t="s">
        <v>2</v>
      </c>
      <c r="C34" s="102" t="s">
        <v>286</v>
      </c>
      <c r="D34" s="102" t="s">
        <v>980</v>
      </c>
      <c r="E34" s="102" t="s">
        <v>980</v>
      </c>
      <c r="F34" s="102" t="s">
        <v>3775</v>
      </c>
      <c r="G34" s="102" t="s">
        <v>3776</v>
      </c>
      <c r="H34" s="102"/>
      <c r="I34" s="102"/>
      <c r="J34" s="102"/>
      <c r="K34" s="102"/>
      <c r="L34" s="102" t="s">
        <v>4167</v>
      </c>
    </row>
    <row r="35" spans="1:12">
      <c r="A35" s="102" t="s">
        <v>50</v>
      </c>
      <c r="B35" s="102" t="s">
        <v>2</v>
      </c>
      <c r="C35" s="102" t="s">
        <v>2011</v>
      </c>
      <c r="D35" s="102" t="s">
        <v>3721</v>
      </c>
      <c r="E35" s="102" t="s">
        <v>2114</v>
      </c>
      <c r="F35" s="102" t="s">
        <v>3777</v>
      </c>
      <c r="G35" s="102" t="s">
        <v>3778</v>
      </c>
      <c r="H35" s="102"/>
      <c r="I35" s="102"/>
      <c r="J35" s="102"/>
      <c r="K35" s="102"/>
      <c r="L35" s="102" t="s">
        <v>4168</v>
      </c>
    </row>
    <row r="36" spans="1:12">
      <c r="A36" s="102" t="s">
        <v>51</v>
      </c>
      <c r="B36" s="102" t="s">
        <v>2</v>
      </c>
      <c r="C36" s="102" t="s">
        <v>286</v>
      </c>
      <c r="D36" s="102" t="s">
        <v>980</v>
      </c>
      <c r="E36" s="102" t="s">
        <v>980</v>
      </c>
      <c r="F36" s="102" t="s">
        <v>3779</v>
      </c>
      <c r="G36" s="102" t="s">
        <v>3780</v>
      </c>
      <c r="H36" s="102"/>
      <c r="I36" s="102"/>
      <c r="J36" s="102"/>
      <c r="K36" s="102"/>
      <c r="L36" s="102" t="s">
        <v>4167</v>
      </c>
    </row>
    <row r="37" spans="1:12">
      <c r="A37" s="102" t="s">
        <v>52</v>
      </c>
      <c r="B37" s="102" t="s">
        <v>2</v>
      </c>
      <c r="C37" s="102" t="s">
        <v>2011</v>
      </c>
      <c r="D37" s="102" t="s">
        <v>3721</v>
      </c>
      <c r="E37" s="102" t="s">
        <v>2114</v>
      </c>
      <c r="F37" s="102" t="s">
        <v>3781</v>
      </c>
      <c r="G37" s="102" t="s">
        <v>3782</v>
      </c>
      <c r="H37" s="102"/>
      <c r="I37" s="102"/>
      <c r="J37" s="102"/>
      <c r="K37" s="102"/>
      <c r="L37" s="102" t="s">
        <v>4168</v>
      </c>
    </row>
    <row r="38" spans="1:12">
      <c r="A38" s="102" t="s">
        <v>53</v>
      </c>
      <c r="B38" s="102" t="s">
        <v>2</v>
      </c>
      <c r="C38" s="102" t="s">
        <v>286</v>
      </c>
      <c r="D38" s="102" t="s">
        <v>980</v>
      </c>
      <c r="E38" s="102" t="s">
        <v>980</v>
      </c>
      <c r="F38" s="102" t="s">
        <v>3783</v>
      </c>
      <c r="G38" s="102" t="s">
        <v>3784</v>
      </c>
      <c r="H38" s="102"/>
      <c r="I38" s="102"/>
      <c r="J38" s="102"/>
      <c r="K38" s="102"/>
      <c r="L38" s="102" t="s">
        <v>4167</v>
      </c>
    </row>
    <row r="39" spans="1:12">
      <c r="A39" s="102" t="s">
        <v>54</v>
      </c>
      <c r="B39" s="102" t="s">
        <v>2</v>
      </c>
      <c r="C39" s="102" t="s">
        <v>2011</v>
      </c>
      <c r="D39" s="102" t="s">
        <v>3721</v>
      </c>
      <c r="E39" s="102" t="s">
        <v>2114</v>
      </c>
      <c r="F39" s="102" t="s">
        <v>3785</v>
      </c>
      <c r="G39" s="102" t="s">
        <v>3786</v>
      </c>
      <c r="H39" s="102"/>
      <c r="I39" s="102"/>
      <c r="J39" s="102"/>
      <c r="K39" s="102"/>
      <c r="L39" s="102" t="s">
        <v>4168</v>
      </c>
    </row>
    <row r="40" spans="1:12">
      <c r="A40" s="102" t="s">
        <v>55</v>
      </c>
      <c r="B40" s="102" t="s">
        <v>2</v>
      </c>
      <c r="C40" s="102" t="s">
        <v>2011</v>
      </c>
      <c r="D40" s="102" t="s">
        <v>3724</v>
      </c>
      <c r="E40" s="102" t="s">
        <v>4162</v>
      </c>
      <c r="F40" s="102" t="s">
        <v>3787</v>
      </c>
      <c r="G40" s="102" t="s">
        <v>3788</v>
      </c>
      <c r="H40" s="102" t="s">
        <v>4022</v>
      </c>
      <c r="I40" s="102" t="s">
        <v>4023</v>
      </c>
      <c r="J40" s="102" t="s">
        <v>4024</v>
      </c>
      <c r="K40" s="102" t="s">
        <v>1185</v>
      </c>
      <c r="L40" s="102" t="s">
        <v>4166</v>
      </c>
    </row>
    <row r="41" spans="1:12">
      <c r="A41" s="102" t="s">
        <v>56</v>
      </c>
      <c r="B41" s="102" t="s">
        <v>2</v>
      </c>
      <c r="C41" s="102" t="s">
        <v>2011</v>
      </c>
      <c r="D41" s="102" t="s">
        <v>3724</v>
      </c>
      <c r="E41" s="102" t="s">
        <v>4162</v>
      </c>
      <c r="F41" s="102" t="s">
        <v>3789</v>
      </c>
      <c r="G41" s="102" t="s">
        <v>3790</v>
      </c>
      <c r="H41" s="102" t="s">
        <v>4025</v>
      </c>
      <c r="I41" s="102" t="s">
        <v>4026</v>
      </c>
      <c r="J41" s="102" t="s">
        <v>4027</v>
      </c>
      <c r="K41" s="102" t="s">
        <v>4028</v>
      </c>
      <c r="L41" s="102" t="s">
        <v>4166</v>
      </c>
    </row>
    <row r="42" spans="1:12">
      <c r="A42" s="102" t="s">
        <v>57</v>
      </c>
      <c r="B42" s="102" t="s">
        <v>2</v>
      </c>
      <c r="C42" s="102" t="s">
        <v>2011</v>
      </c>
      <c r="D42" s="102" t="s">
        <v>4163</v>
      </c>
      <c r="E42" s="102" t="s">
        <v>2114</v>
      </c>
      <c r="F42" s="102" t="s">
        <v>3791</v>
      </c>
      <c r="G42" s="102" t="s">
        <v>3792</v>
      </c>
      <c r="H42" s="102" t="s">
        <v>1541</v>
      </c>
      <c r="I42" s="102" t="s">
        <v>1565</v>
      </c>
      <c r="J42" s="102" t="s">
        <v>2743</v>
      </c>
      <c r="K42" s="102" t="s">
        <v>3150</v>
      </c>
      <c r="L42" s="102" t="s">
        <v>4165</v>
      </c>
    </row>
    <row r="43" spans="1:12">
      <c r="A43" s="102" t="s">
        <v>58</v>
      </c>
      <c r="B43" s="102" t="s">
        <v>2</v>
      </c>
      <c r="C43" s="102" t="s">
        <v>2011</v>
      </c>
      <c r="D43" s="102" t="s">
        <v>3724</v>
      </c>
      <c r="E43" s="102" t="s">
        <v>4162</v>
      </c>
      <c r="F43" s="102" t="s">
        <v>3793</v>
      </c>
      <c r="G43" s="102" t="s">
        <v>3794</v>
      </c>
      <c r="H43" s="102" t="s">
        <v>4029</v>
      </c>
      <c r="I43" s="102" t="s">
        <v>1556</v>
      </c>
      <c r="J43" s="102" t="s">
        <v>4030</v>
      </c>
      <c r="K43" s="102" t="s">
        <v>1186</v>
      </c>
      <c r="L43" s="102" t="s">
        <v>4166</v>
      </c>
    </row>
    <row r="44" spans="1:12">
      <c r="A44" s="102" t="s">
        <v>59</v>
      </c>
      <c r="B44" s="102" t="s">
        <v>2</v>
      </c>
      <c r="C44" s="102" t="s">
        <v>2011</v>
      </c>
      <c r="D44" s="102" t="s">
        <v>3724</v>
      </c>
      <c r="E44" s="102" t="s">
        <v>4162</v>
      </c>
      <c r="F44" s="102" t="s">
        <v>3795</v>
      </c>
      <c r="G44" s="102" t="s">
        <v>3796</v>
      </c>
      <c r="H44" s="102" t="s">
        <v>4029</v>
      </c>
      <c r="I44" s="102" t="s">
        <v>1556</v>
      </c>
      <c r="J44" s="102" t="s">
        <v>4030</v>
      </c>
      <c r="K44" s="102" t="s">
        <v>1186</v>
      </c>
      <c r="L44" s="102" t="s">
        <v>4166</v>
      </c>
    </row>
    <row r="45" spans="1:12">
      <c r="A45" s="102" t="s">
        <v>60</v>
      </c>
      <c r="B45" s="102" t="s">
        <v>2</v>
      </c>
      <c r="C45" s="102" t="s">
        <v>286</v>
      </c>
      <c r="D45" s="102" t="s">
        <v>980</v>
      </c>
      <c r="E45" s="102" t="s">
        <v>980</v>
      </c>
      <c r="F45" s="102" t="s">
        <v>61</v>
      </c>
      <c r="G45" s="102" t="s">
        <v>3797</v>
      </c>
      <c r="H45" s="102"/>
      <c r="I45" s="102"/>
      <c r="J45" s="102"/>
      <c r="K45" s="102"/>
      <c r="L45" s="102" t="s">
        <v>4167</v>
      </c>
    </row>
    <row r="46" spans="1:12">
      <c r="A46" s="102" t="s">
        <v>62</v>
      </c>
      <c r="B46" s="102" t="s">
        <v>2</v>
      </c>
      <c r="C46" s="102" t="s">
        <v>2011</v>
      </c>
      <c r="D46" s="102" t="s">
        <v>3724</v>
      </c>
      <c r="E46" s="102" t="s">
        <v>4162</v>
      </c>
      <c r="F46" s="102" t="s">
        <v>63</v>
      </c>
      <c r="G46" s="102" t="s">
        <v>3798</v>
      </c>
      <c r="H46" s="102" t="s">
        <v>4029</v>
      </c>
      <c r="I46" s="102" t="s">
        <v>1556</v>
      </c>
      <c r="J46" s="102" t="s">
        <v>4030</v>
      </c>
      <c r="K46" s="102" t="s">
        <v>1186</v>
      </c>
      <c r="L46" s="102" t="s">
        <v>4166</v>
      </c>
    </row>
    <row r="47" spans="1:12">
      <c r="A47" s="102" t="s">
        <v>64</v>
      </c>
      <c r="B47" s="102" t="s">
        <v>2</v>
      </c>
      <c r="C47" s="102" t="s">
        <v>2011</v>
      </c>
      <c r="D47" s="102" t="s">
        <v>3724</v>
      </c>
      <c r="E47" s="102" t="s">
        <v>4162</v>
      </c>
      <c r="F47" s="102" t="s">
        <v>65</v>
      </c>
      <c r="G47" s="102" t="s">
        <v>3799</v>
      </c>
      <c r="H47" s="102" t="s">
        <v>4022</v>
      </c>
      <c r="I47" s="102" t="s">
        <v>4023</v>
      </c>
      <c r="J47" s="102" t="s">
        <v>4024</v>
      </c>
      <c r="K47" s="102" t="s">
        <v>1185</v>
      </c>
      <c r="L47" s="102" t="s">
        <v>4166</v>
      </c>
    </row>
    <row r="48" spans="1:12">
      <c r="A48" s="102" t="s">
        <v>66</v>
      </c>
      <c r="B48" s="102" t="s">
        <v>2</v>
      </c>
      <c r="C48" s="102" t="s">
        <v>2011</v>
      </c>
      <c r="D48" s="102" t="s">
        <v>3724</v>
      </c>
      <c r="E48" s="102" t="s">
        <v>4162</v>
      </c>
      <c r="F48" s="102" t="s">
        <v>67</v>
      </c>
      <c r="G48" s="102" t="s">
        <v>3800</v>
      </c>
      <c r="H48" s="102" t="s">
        <v>4031</v>
      </c>
      <c r="I48" s="102" t="s">
        <v>4032</v>
      </c>
      <c r="J48" s="102" t="s">
        <v>4033</v>
      </c>
      <c r="K48" s="102" t="s">
        <v>3028</v>
      </c>
      <c r="L48" s="102" t="s">
        <v>4166</v>
      </c>
    </row>
    <row r="49" spans="1:12">
      <c r="A49" s="102" t="s">
        <v>68</v>
      </c>
      <c r="B49" s="102" t="s">
        <v>2</v>
      </c>
      <c r="C49" s="102" t="s">
        <v>2011</v>
      </c>
      <c r="D49" s="102" t="s">
        <v>4163</v>
      </c>
      <c r="E49" s="102" t="s">
        <v>2114</v>
      </c>
      <c r="F49" s="102" t="s">
        <v>69</v>
      </c>
      <c r="G49" s="102" t="s">
        <v>3801</v>
      </c>
      <c r="H49" s="102"/>
      <c r="I49" s="102"/>
      <c r="J49" s="102"/>
      <c r="K49" s="102"/>
      <c r="L49" s="102" t="s">
        <v>4168</v>
      </c>
    </row>
    <row r="50" spans="1:12">
      <c r="A50" s="102" t="s">
        <v>70</v>
      </c>
      <c r="B50" s="102" t="s">
        <v>2</v>
      </c>
      <c r="C50" s="102" t="s">
        <v>2011</v>
      </c>
      <c r="D50" s="102" t="s">
        <v>3724</v>
      </c>
      <c r="E50" s="102" t="s">
        <v>4162</v>
      </c>
      <c r="F50" s="102" t="s">
        <v>3802</v>
      </c>
      <c r="G50" s="102" t="s">
        <v>3803</v>
      </c>
      <c r="H50" s="102" t="s">
        <v>4034</v>
      </c>
      <c r="I50" s="102" t="s">
        <v>4035</v>
      </c>
      <c r="J50" s="102" t="s">
        <v>4036</v>
      </c>
      <c r="K50" s="102" t="s">
        <v>4037</v>
      </c>
      <c r="L50" s="102" t="s">
        <v>4166</v>
      </c>
    </row>
    <row r="51" spans="1:12">
      <c r="A51" s="102" t="s">
        <v>71</v>
      </c>
      <c r="B51" s="102" t="s">
        <v>2</v>
      </c>
      <c r="C51" s="102" t="s">
        <v>2011</v>
      </c>
      <c r="D51" s="102" t="s">
        <v>3724</v>
      </c>
      <c r="E51" s="102" t="s">
        <v>4162</v>
      </c>
      <c r="F51" s="102" t="s">
        <v>3804</v>
      </c>
      <c r="G51" s="102" t="s">
        <v>3805</v>
      </c>
      <c r="H51" s="102" t="s">
        <v>2048</v>
      </c>
      <c r="I51" s="102" t="s">
        <v>1964</v>
      </c>
      <c r="J51" s="102" t="s">
        <v>4038</v>
      </c>
      <c r="K51" s="102" t="s">
        <v>4039</v>
      </c>
      <c r="L51" s="102" t="s">
        <v>4166</v>
      </c>
    </row>
    <row r="52" spans="1:12">
      <c r="A52" s="102" t="s">
        <v>72</v>
      </c>
      <c r="B52" s="102" t="s">
        <v>2</v>
      </c>
      <c r="C52" s="102" t="s">
        <v>2011</v>
      </c>
      <c r="D52" s="102" t="s">
        <v>4163</v>
      </c>
      <c r="E52" s="102" t="s">
        <v>2114</v>
      </c>
      <c r="F52" s="102" t="s">
        <v>3806</v>
      </c>
      <c r="G52" s="102" t="s">
        <v>3807</v>
      </c>
      <c r="H52" s="102"/>
      <c r="I52" s="102"/>
      <c r="J52" s="102"/>
      <c r="K52" s="102"/>
      <c r="L52" s="102" t="s">
        <v>4168</v>
      </c>
    </row>
    <row r="53" spans="1:12">
      <c r="A53" s="102" t="s">
        <v>73</v>
      </c>
      <c r="B53" s="102" t="s">
        <v>2</v>
      </c>
      <c r="C53" s="102" t="s">
        <v>2011</v>
      </c>
      <c r="D53" s="102" t="s">
        <v>4163</v>
      </c>
      <c r="E53" s="102" t="s">
        <v>2114</v>
      </c>
      <c r="F53" s="102" t="s">
        <v>74</v>
      </c>
      <c r="G53" s="102" t="s">
        <v>3808</v>
      </c>
      <c r="H53" s="102"/>
      <c r="I53" s="102"/>
      <c r="J53" s="102"/>
      <c r="K53" s="102"/>
      <c r="L53" s="102" t="s">
        <v>4168</v>
      </c>
    </row>
    <row r="54" spans="1:12">
      <c r="A54" s="102" t="s">
        <v>75</v>
      </c>
      <c r="B54" s="102" t="s">
        <v>2</v>
      </c>
      <c r="C54" s="102" t="s">
        <v>2011</v>
      </c>
      <c r="D54" s="102" t="s">
        <v>3724</v>
      </c>
      <c r="E54" s="102" t="s">
        <v>4162</v>
      </c>
      <c r="F54" s="102" t="s">
        <v>3809</v>
      </c>
      <c r="G54" s="102" t="s">
        <v>3810</v>
      </c>
      <c r="H54" s="102" t="s">
        <v>1709</v>
      </c>
      <c r="I54" s="102" t="s">
        <v>1965</v>
      </c>
      <c r="J54" s="102" t="s">
        <v>3989</v>
      </c>
      <c r="K54" s="102" t="s">
        <v>1183</v>
      </c>
      <c r="L54" s="102" t="s">
        <v>4166</v>
      </c>
    </row>
    <row r="55" spans="1:12">
      <c r="A55" s="102" t="s">
        <v>76</v>
      </c>
      <c r="B55" s="102" t="s">
        <v>2</v>
      </c>
      <c r="C55" s="102" t="s">
        <v>2011</v>
      </c>
      <c r="D55" s="102" t="s">
        <v>3724</v>
      </c>
      <c r="E55" s="102" t="s">
        <v>4162</v>
      </c>
      <c r="F55" s="102" t="s">
        <v>77</v>
      </c>
      <c r="G55" s="102" t="s">
        <v>3811</v>
      </c>
      <c r="H55" s="102" t="s">
        <v>4040</v>
      </c>
      <c r="I55" s="102" t="s">
        <v>4041</v>
      </c>
      <c r="J55" s="102" t="s">
        <v>4042</v>
      </c>
      <c r="K55" s="102" t="s">
        <v>4043</v>
      </c>
      <c r="L55" s="102" t="s">
        <v>4166</v>
      </c>
    </row>
    <row r="56" spans="1:12">
      <c r="A56" s="102" t="s">
        <v>78</v>
      </c>
      <c r="B56" s="102" t="s">
        <v>2</v>
      </c>
      <c r="C56" s="102" t="s">
        <v>2011</v>
      </c>
      <c r="D56" s="102" t="s">
        <v>4163</v>
      </c>
      <c r="E56" s="102" t="s">
        <v>2114</v>
      </c>
      <c r="F56" s="102" t="s">
        <v>3812</v>
      </c>
      <c r="G56" s="102" t="s">
        <v>3813</v>
      </c>
      <c r="H56" s="102" t="s">
        <v>1541</v>
      </c>
      <c r="I56" s="102" t="s">
        <v>1565</v>
      </c>
      <c r="J56" s="102" t="s">
        <v>2743</v>
      </c>
      <c r="K56" s="102" t="s">
        <v>3150</v>
      </c>
      <c r="L56" s="102" t="s">
        <v>4165</v>
      </c>
    </row>
    <row r="57" spans="1:12">
      <c r="A57" s="102" t="s">
        <v>79</v>
      </c>
      <c r="B57" s="102" t="s">
        <v>2</v>
      </c>
      <c r="C57" s="102" t="s">
        <v>2011</v>
      </c>
      <c r="D57" s="102" t="s">
        <v>3724</v>
      </c>
      <c r="E57" s="102" t="s">
        <v>4162</v>
      </c>
      <c r="F57" s="102" t="s">
        <v>3814</v>
      </c>
      <c r="G57" s="102" t="s">
        <v>3815</v>
      </c>
      <c r="H57" s="102" t="s">
        <v>4044</v>
      </c>
      <c r="I57" s="102" t="s">
        <v>4045</v>
      </c>
      <c r="J57" s="102" t="s">
        <v>4046</v>
      </c>
      <c r="K57" s="102" t="s">
        <v>2961</v>
      </c>
      <c r="L57" s="102" t="s">
        <v>4166</v>
      </c>
    </row>
    <row r="58" spans="1:12">
      <c r="A58" s="102" t="s">
        <v>80</v>
      </c>
      <c r="B58" s="102" t="s">
        <v>2</v>
      </c>
      <c r="C58" s="102" t="s">
        <v>2011</v>
      </c>
      <c r="D58" s="102" t="s">
        <v>4163</v>
      </c>
      <c r="E58" s="102" t="s">
        <v>2114</v>
      </c>
      <c r="F58" s="102" t="s">
        <v>81</v>
      </c>
      <c r="G58" s="102" t="s">
        <v>3816</v>
      </c>
      <c r="H58" s="102"/>
      <c r="I58" s="102"/>
      <c r="J58" s="102"/>
      <c r="K58" s="102"/>
      <c r="L58" s="102" t="s">
        <v>4168</v>
      </c>
    </row>
    <row r="59" spans="1:12">
      <c r="A59" s="102" t="s">
        <v>82</v>
      </c>
      <c r="B59" s="102" t="s">
        <v>2</v>
      </c>
      <c r="C59" s="102" t="s">
        <v>2011</v>
      </c>
      <c r="D59" s="102" t="s">
        <v>4163</v>
      </c>
      <c r="E59" s="102" t="s">
        <v>2114</v>
      </c>
      <c r="F59" s="102" t="s">
        <v>83</v>
      </c>
      <c r="G59" s="102" t="s">
        <v>3817</v>
      </c>
      <c r="H59" s="102"/>
      <c r="I59" s="102"/>
      <c r="J59" s="102"/>
      <c r="K59" s="102"/>
      <c r="L59" s="102" t="s">
        <v>4168</v>
      </c>
    </row>
    <row r="60" spans="1:12">
      <c r="A60" s="102" t="s">
        <v>84</v>
      </c>
      <c r="B60" s="102" t="s">
        <v>2</v>
      </c>
      <c r="C60" s="102" t="s">
        <v>2011</v>
      </c>
      <c r="D60" s="102" t="s">
        <v>4163</v>
      </c>
      <c r="E60" s="102" t="s">
        <v>2114</v>
      </c>
      <c r="F60" s="102" t="s">
        <v>85</v>
      </c>
      <c r="G60" s="102" t="s">
        <v>3818</v>
      </c>
      <c r="H60" s="102"/>
      <c r="I60" s="102"/>
      <c r="J60" s="102"/>
      <c r="K60" s="102"/>
      <c r="L60" s="102" t="s">
        <v>4168</v>
      </c>
    </row>
    <row r="61" spans="1:12">
      <c r="A61" s="102" t="s">
        <v>91</v>
      </c>
      <c r="B61" s="102" t="s">
        <v>2</v>
      </c>
      <c r="C61" s="102" t="s">
        <v>2011</v>
      </c>
      <c r="D61" s="102" t="s">
        <v>3724</v>
      </c>
      <c r="E61" s="102" t="s">
        <v>4162</v>
      </c>
      <c r="F61" s="102" t="s">
        <v>92</v>
      </c>
      <c r="G61" s="102" t="s">
        <v>3819</v>
      </c>
      <c r="H61" s="102" t="s">
        <v>4047</v>
      </c>
      <c r="I61" s="102" t="s">
        <v>1553</v>
      </c>
      <c r="J61" s="102" t="s">
        <v>2529</v>
      </c>
      <c r="K61" s="102" t="s">
        <v>4048</v>
      </c>
      <c r="L61" s="102" t="s">
        <v>4166</v>
      </c>
    </row>
    <row r="62" spans="1:12">
      <c r="A62" s="102" t="s">
        <v>101</v>
      </c>
      <c r="B62" s="102" t="s">
        <v>2</v>
      </c>
      <c r="C62" s="102" t="s">
        <v>2011</v>
      </c>
      <c r="D62" s="102" t="s">
        <v>3724</v>
      </c>
      <c r="E62" s="102" t="s">
        <v>4162</v>
      </c>
      <c r="F62" s="102" t="s">
        <v>102</v>
      </c>
      <c r="G62" s="102" t="s">
        <v>3820</v>
      </c>
      <c r="H62" s="102" t="s">
        <v>4049</v>
      </c>
      <c r="I62" s="102" t="s">
        <v>4050</v>
      </c>
      <c r="J62" s="102" t="s">
        <v>4051</v>
      </c>
      <c r="K62" s="102" t="s">
        <v>4052</v>
      </c>
      <c r="L62" s="102" t="s">
        <v>4166</v>
      </c>
    </row>
    <row r="63" spans="1:12">
      <c r="A63" s="102" t="s">
        <v>97</v>
      </c>
      <c r="B63" s="102" t="s">
        <v>2</v>
      </c>
      <c r="C63" s="102" t="s">
        <v>2011</v>
      </c>
      <c r="D63" s="102" t="s">
        <v>3721</v>
      </c>
      <c r="E63" s="102" t="s">
        <v>2114</v>
      </c>
      <c r="F63" s="102" t="s">
        <v>98</v>
      </c>
      <c r="G63" s="102" t="s">
        <v>3821</v>
      </c>
      <c r="H63" s="102" t="s">
        <v>3982</v>
      </c>
      <c r="I63" s="102" t="s">
        <v>1557</v>
      </c>
      <c r="J63" s="102" t="s">
        <v>3983</v>
      </c>
      <c r="K63" s="102" t="s">
        <v>1182</v>
      </c>
      <c r="L63" s="102" t="s">
        <v>4165</v>
      </c>
    </row>
    <row r="64" spans="1:12">
      <c r="A64" s="102" t="s">
        <v>86</v>
      </c>
      <c r="B64" s="102" t="s">
        <v>2</v>
      </c>
      <c r="C64" s="102" t="s">
        <v>2011</v>
      </c>
      <c r="D64" s="102" t="s">
        <v>4163</v>
      </c>
      <c r="E64" s="102" t="s">
        <v>2114</v>
      </c>
      <c r="F64" s="102" t="s">
        <v>87</v>
      </c>
      <c r="G64" s="102" t="s">
        <v>3822</v>
      </c>
      <c r="H64" s="102"/>
      <c r="I64" s="102"/>
      <c r="J64" s="102"/>
      <c r="K64" s="102"/>
      <c r="L64" s="102" t="s">
        <v>4168</v>
      </c>
    </row>
    <row r="65" spans="1:12">
      <c r="A65" s="102" t="s">
        <v>88</v>
      </c>
      <c r="B65" s="102" t="s">
        <v>2</v>
      </c>
      <c r="C65" s="102" t="s">
        <v>2011</v>
      </c>
      <c r="D65" s="102" t="s">
        <v>3724</v>
      </c>
      <c r="E65" s="102" t="s">
        <v>4162</v>
      </c>
      <c r="F65" s="102" t="s">
        <v>89</v>
      </c>
      <c r="G65" s="102" t="s">
        <v>3823</v>
      </c>
      <c r="H65" s="102" t="s">
        <v>4053</v>
      </c>
      <c r="I65" s="102" t="s">
        <v>4054</v>
      </c>
      <c r="J65" s="102" t="s">
        <v>4055</v>
      </c>
      <c r="K65" s="102" t="s">
        <v>4056</v>
      </c>
      <c r="L65" s="102" t="s">
        <v>4166</v>
      </c>
    </row>
    <row r="66" spans="1:12">
      <c r="A66" s="102" t="s">
        <v>93</v>
      </c>
      <c r="B66" s="102" t="s">
        <v>2</v>
      </c>
      <c r="C66" s="102" t="s">
        <v>286</v>
      </c>
      <c r="D66" s="102" t="s">
        <v>980</v>
      </c>
      <c r="E66" s="102" t="s">
        <v>980</v>
      </c>
      <c r="F66" s="102" t="s">
        <v>94</v>
      </c>
      <c r="G66" s="102" t="s">
        <v>3824</v>
      </c>
      <c r="H66" s="102" t="s">
        <v>1703</v>
      </c>
      <c r="I66" s="102"/>
      <c r="J66" s="102"/>
      <c r="K66" s="102"/>
      <c r="L66" s="102" t="s">
        <v>4167</v>
      </c>
    </row>
    <row r="67" spans="1:12">
      <c r="A67" s="102" t="s">
        <v>95</v>
      </c>
      <c r="B67" s="102" t="s">
        <v>2</v>
      </c>
      <c r="C67" s="102" t="s">
        <v>2011</v>
      </c>
      <c r="D67" s="102" t="s">
        <v>4163</v>
      </c>
      <c r="E67" s="102" t="s">
        <v>2114</v>
      </c>
      <c r="F67" s="102" t="s">
        <v>96</v>
      </c>
      <c r="G67" s="102" t="s">
        <v>3825</v>
      </c>
      <c r="H67" s="102"/>
      <c r="I67" s="102"/>
      <c r="J67" s="102"/>
      <c r="K67" s="102"/>
      <c r="L67" s="102" t="s">
        <v>4168</v>
      </c>
    </row>
    <row r="68" spans="1:12">
      <c r="A68" s="102" t="s">
        <v>103</v>
      </c>
      <c r="B68" s="102" t="s">
        <v>2</v>
      </c>
      <c r="C68" s="102" t="s">
        <v>2011</v>
      </c>
      <c r="D68" s="102" t="s">
        <v>4163</v>
      </c>
      <c r="E68" s="102" t="s">
        <v>2114</v>
      </c>
      <c r="F68" s="102" t="s">
        <v>104</v>
      </c>
      <c r="G68" s="102" t="s">
        <v>3826</v>
      </c>
      <c r="H68" s="102"/>
      <c r="I68" s="102"/>
      <c r="J68" s="102"/>
      <c r="K68" s="102"/>
      <c r="L68" s="102" t="s">
        <v>4168</v>
      </c>
    </row>
    <row r="69" spans="1:12">
      <c r="A69" s="102" t="s">
        <v>105</v>
      </c>
      <c r="B69" s="102" t="s">
        <v>2</v>
      </c>
      <c r="C69" s="102" t="s">
        <v>2011</v>
      </c>
      <c r="D69" s="102" t="s">
        <v>3721</v>
      </c>
      <c r="E69" s="102" t="s">
        <v>2114</v>
      </c>
      <c r="F69" s="102" t="s">
        <v>106</v>
      </c>
      <c r="G69" s="102" t="s">
        <v>3827</v>
      </c>
      <c r="H69" s="102"/>
      <c r="I69" s="102"/>
      <c r="J69" s="102"/>
      <c r="K69" s="102"/>
      <c r="L69" s="102" t="s">
        <v>4168</v>
      </c>
    </row>
    <row r="70" spans="1:12">
      <c r="A70" s="102" t="s">
        <v>90</v>
      </c>
      <c r="B70" s="102" t="s">
        <v>2</v>
      </c>
      <c r="C70" s="102" t="s">
        <v>2011</v>
      </c>
      <c r="D70" s="102" t="s">
        <v>3724</v>
      </c>
      <c r="E70" s="102" t="s">
        <v>4162</v>
      </c>
      <c r="F70" s="102" t="s">
        <v>3828</v>
      </c>
      <c r="G70" s="102" t="s">
        <v>3829</v>
      </c>
      <c r="H70" s="102" t="s">
        <v>4057</v>
      </c>
      <c r="I70" s="102" t="s">
        <v>4058</v>
      </c>
      <c r="J70" s="102" t="s">
        <v>4059</v>
      </c>
      <c r="K70" s="102" t="s">
        <v>3031</v>
      </c>
      <c r="L70" s="102" t="s">
        <v>4166</v>
      </c>
    </row>
    <row r="71" spans="1:12">
      <c r="A71" s="102" t="s">
        <v>99</v>
      </c>
      <c r="B71" s="102" t="s">
        <v>2</v>
      </c>
      <c r="C71" s="102" t="s">
        <v>2011</v>
      </c>
      <c r="D71" s="102" t="s">
        <v>4163</v>
      </c>
      <c r="E71" s="102" t="s">
        <v>2114</v>
      </c>
      <c r="F71" s="102" t="s">
        <v>100</v>
      </c>
      <c r="G71" s="102" t="s">
        <v>3830</v>
      </c>
      <c r="H71" s="102"/>
      <c r="I71" s="102"/>
      <c r="J71" s="102"/>
      <c r="K71" s="102"/>
      <c r="L71" s="102" t="s">
        <v>4168</v>
      </c>
    </row>
    <row r="72" spans="1:12">
      <c r="A72" s="102" t="s">
        <v>107</v>
      </c>
      <c r="B72" s="102" t="s">
        <v>2</v>
      </c>
      <c r="C72" s="102" t="s">
        <v>2011</v>
      </c>
      <c r="D72" s="102" t="s">
        <v>4163</v>
      </c>
      <c r="E72" s="102" t="s">
        <v>2114</v>
      </c>
      <c r="F72" s="102" t="s">
        <v>3831</v>
      </c>
      <c r="G72" s="102" t="s">
        <v>3832</v>
      </c>
      <c r="H72" s="102"/>
      <c r="I72" s="102"/>
      <c r="J72" s="102"/>
      <c r="K72" s="102"/>
      <c r="L72" s="102" t="s">
        <v>4168</v>
      </c>
    </row>
    <row r="73" spans="1:12">
      <c r="A73" s="102" t="s">
        <v>108</v>
      </c>
      <c r="B73" s="102" t="s">
        <v>2</v>
      </c>
      <c r="C73" s="102" t="s">
        <v>2011</v>
      </c>
      <c r="D73" s="102" t="s">
        <v>3724</v>
      </c>
      <c r="E73" s="102" t="s">
        <v>4162</v>
      </c>
      <c r="F73" s="102" t="s">
        <v>109</v>
      </c>
      <c r="G73" s="102" t="s">
        <v>3833</v>
      </c>
      <c r="H73" s="102" t="s">
        <v>4060</v>
      </c>
      <c r="I73" s="102" t="s">
        <v>4061</v>
      </c>
      <c r="J73" s="102" t="s">
        <v>4062</v>
      </c>
      <c r="K73" s="102" t="s">
        <v>4063</v>
      </c>
      <c r="L73" s="102" t="s">
        <v>4166</v>
      </c>
    </row>
    <row r="74" spans="1:12">
      <c r="A74" s="102" t="s">
        <v>110</v>
      </c>
      <c r="B74" s="102" t="s">
        <v>2</v>
      </c>
      <c r="C74" s="102" t="s">
        <v>2011</v>
      </c>
      <c r="D74" s="102" t="s">
        <v>3724</v>
      </c>
      <c r="E74" s="102" t="s">
        <v>4162</v>
      </c>
      <c r="F74" s="102" t="s">
        <v>3834</v>
      </c>
      <c r="G74" s="102" t="s">
        <v>3835</v>
      </c>
      <c r="H74" s="102" t="s">
        <v>4064</v>
      </c>
      <c r="I74" s="102" t="s">
        <v>1963</v>
      </c>
      <c r="J74" s="102" t="s">
        <v>4065</v>
      </c>
      <c r="K74" s="102" t="s">
        <v>4066</v>
      </c>
      <c r="L74" s="102" t="s">
        <v>4166</v>
      </c>
    </row>
    <row r="75" spans="1:12">
      <c r="A75" s="102" t="s">
        <v>111</v>
      </c>
      <c r="B75" s="102" t="s">
        <v>2</v>
      </c>
      <c r="C75" s="102" t="s">
        <v>2011</v>
      </c>
      <c r="D75" s="102" t="s">
        <v>3724</v>
      </c>
      <c r="E75" s="102" t="s">
        <v>4162</v>
      </c>
      <c r="F75" s="102" t="s">
        <v>112</v>
      </c>
      <c r="G75" s="102" t="s">
        <v>3836</v>
      </c>
      <c r="H75" s="102" t="s">
        <v>1536</v>
      </c>
      <c r="I75" s="102" t="s">
        <v>1966</v>
      </c>
      <c r="J75" s="102" t="s">
        <v>4067</v>
      </c>
      <c r="K75" s="102" t="s">
        <v>1184</v>
      </c>
      <c r="L75" s="102" t="s">
        <v>4166</v>
      </c>
    </row>
    <row r="76" spans="1:12">
      <c r="A76" s="102" t="s">
        <v>113</v>
      </c>
      <c r="B76" s="102" t="s">
        <v>2</v>
      </c>
      <c r="C76" s="102" t="s">
        <v>2011</v>
      </c>
      <c r="D76" s="102" t="s">
        <v>4163</v>
      </c>
      <c r="E76" s="102" t="s">
        <v>2114</v>
      </c>
      <c r="F76" s="102" t="s">
        <v>114</v>
      </c>
      <c r="G76" s="102" t="s">
        <v>3837</v>
      </c>
      <c r="H76" s="102"/>
      <c r="I76" s="102"/>
      <c r="J76" s="102"/>
      <c r="K76" s="102"/>
      <c r="L76" s="102" t="s">
        <v>4168</v>
      </c>
    </row>
    <row r="77" spans="1:12">
      <c r="A77" s="102" t="s">
        <v>121</v>
      </c>
      <c r="B77" s="102" t="s">
        <v>2</v>
      </c>
      <c r="C77" s="102" t="s">
        <v>2011</v>
      </c>
      <c r="D77" s="102" t="s">
        <v>4163</v>
      </c>
      <c r="E77" s="102" t="s">
        <v>2114</v>
      </c>
      <c r="F77" s="102" t="s">
        <v>122</v>
      </c>
      <c r="G77" s="102" t="s">
        <v>3838</v>
      </c>
      <c r="H77" s="102"/>
      <c r="I77" s="102"/>
      <c r="J77" s="102"/>
      <c r="K77" s="102"/>
      <c r="L77" s="102" t="s">
        <v>4168</v>
      </c>
    </row>
    <row r="78" spans="1:12">
      <c r="A78" s="102" t="s">
        <v>117</v>
      </c>
      <c r="B78" s="102" t="s">
        <v>2</v>
      </c>
      <c r="C78" s="102" t="s">
        <v>2011</v>
      </c>
      <c r="D78" s="102" t="s">
        <v>3724</v>
      </c>
      <c r="E78" s="102" t="s">
        <v>4162</v>
      </c>
      <c r="F78" s="102" t="s">
        <v>118</v>
      </c>
      <c r="G78" s="102" t="s">
        <v>3839</v>
      </c>
      <c r="H78" s="102" t="s">
        <v>4068</v>
      </c>
      <c r="I78" s="102" t="s">
        <v>4069</v>
      </c>
      <c r="J78" s="102" t="s">
        <v>4070</v>
      </c>
      <c r="K78" s="102" t="s">
        <v>4071</v>
      </c>
      <c r="L78" s="102" t="s">
        <v>4166</v>
      </c>
    </row>
    <row r="79" spans="1:12">
      <c r="A79" s="102" t="s">
        <v>119</v>
      </c>
      <c r="B79" s="102" t="s">
        <v>2</v>
      </c>
      <c r="C79" s="102" t="s">
        <v>2011</v>
      </c>
      <c r="D79" s="102" t="s">
        <v>3724</v>
      </c>
      <c r="E79" s="102" t="s">
        <v>4162</v>
      </c>
      <c r="F79" s="102" t="s">
        <v>120</v>
      </c>
      <c r="G79" s="102" t="s">
        <v>3840</v>
      </c>
      <c r="H79" s="102" t="s">
        <v>4068</v>
      </c>
      <c r="I79" s="102" t="s">
        <v>4069</v>
      </c>
      <c r="J79" s="102" t="s">
        <v>4070</v>
      </c>
      <c r="K79" s="102" t="s">
        <v>4071</v>
      </c>
      <c r="L79" s="102" t="s">
        <v>4166</v>
      </c>
    </row>
    <row r="80" spans="1:12">
      <c r="A80" s="102" t="s">
        <v>115</v>
      </c>
      <c r="B80" s="102" t="s">
        <v>2</v>
      </c>
      <c r="C80" s="102" t="s">
        <v>2011</v>
      </c>
      <c r="D80" s="102" t="s">
        <v>3724</v>
      </c>
      <c r="E80" s="102" t="s">
        <v>4162</v>
      </c>
      <c r="F80" s="102" t="s">
        <v>116</v>
      </c>
      <c r="G80" s="102" t="s">
        <v>3841</v>
      </c>
      <c r="H80" s="102" t="s">
        <v>2048</v>
      </c>
      <c r="I80" s="102" t="s">
        <v>1964</v>
      </c>
      <c r="J80" s="102" t="s">
        <v>4038</v>
      </c>
      <c r="K80" s="102" t="s">
        <v>4014</v>
      </c>
      <c r="L80" s="102" t="s">
        <v>4166</v>
      </c>
    </row>
    <row r="81" spans="1:12">
      <c r="A81" s="102" t="s">
        <v>123</v>
      </c>
      <c r="B81" s="102" t="s">
        <v>2</v>
      </c>
      <c r="C81" s="102" t="s">
        <v>2011</v>
      </c>
      <c r="D81" s="102" t="s">
        <v>4163</v>
      </c>
      <c r="E81" s="102" t="s">
        <v>2114</v>
      </c>
      <c r="F81" s="102" t="s">
        <v>124</v>
      </c>
      <c r="G81" s="102" t="s">
        <v>3842</v>
      </c>
      <c r="H81" s="102"/>
      <c r="I81" s="102"/>
      <c r="J81" s="102"/>
      <c r="K81" s="102"/>
      <c r="L81" s="102" t="s">
        <v>4168</v>
      </c>
    </row>
    <row r="82" spans="1:12">
      <c r="A82" s="102" t="s">
        <v>125</v>
      </c>
      <c r="B82" s="102" t="s">
        <v>2</v>
      </c>
      <c r="C82" s="102" t="s">
        <v>2011</v>
      </c>
      <c r="D82" s="102" t="s">
        <v>4163</v>
      </c>
      <c r="E82" s="102" t="s">
        <v>2114</v>
      </c>
      <c r="F82" s="102" t="s">
        <v>126</v>
      </c>
      <c r="G82" s="102" t="s">
        <v>3843</v>
      </c>
      <c r="H82" s="102"/>
      <c r="I82" s="102"/>
      <c r="J82" s="102"/>
      <c r="K82" s="102"/>
      <c r="L82" s="102" t="s">
        <v>4168</v>
      </c>
    </row>
    <row r="83" spans="1:12">
      <c r="A83" s="102" t="s">
        <v>127</v>
      </c>
      <c r="B83" s="102" t="s">
        <v>2</v>
      </c>
      <c r="C83" s="102" t="s">
        <v>2011</v>
      </c>
      <c r="D83" s="102" t="s">
        <v>3724</v>
      </c>
      <c r="E83" s="102" t="s">
        <v>4162</v>
      </c>
      <c r="F83" s="102" t="s">
        <v>3844</v>
      </c>
      <c r="G83" s="102" t="s">
        <v>3845</v>
      </c>
      <c r="H83" s="102" t="s">
        <v>4072</v>
      </c>
      <c r="I83" s="102" t="s">
        <v>4073</v>
      </c>
      <c r="J83" s="102" t="s">
        <v>4074</v>
      </c>
      <c r="K83" s="102" t="s">
        <v>4075</v>
      </c>
      <c r="L83" s="102" t="s">
        <v>4166</v>
      </c>
    </row>
    <row r="84" spans="1:12">
      <c r="A84" s="102" t="s">
        <v>128</v>
      </c>
      <c r="B84" s="102" t="s">
        <v>2</v>
      </c>
      <c r="C84" s="102" t="s">
        <v>2011</v>
      </c>
      <c r="D84" s="102" t="s">
        <v>3724</v>
      </c>
      <c r="E84" s="102" t="s">
        <v>4162</v>
      </c>
      <c r="F84" s="102" t="s">
        <v>129</v>
      </c>
      <c r="G84" s="102" t="s">
        <v>3846</v>
      </c>
      <c r="H84" s="102" t="s">
        <v>4076</v>
      </c>
      <c r="I84" s="102" t="s">
        <v>4077</v>
      </c>
      <c r="J84" s="102" t="s">
        <v>4078</v>
      </c>
      <c r="K84" s="102" t="s">
        <v>1181</v>
      </c>
      <c r="L84" s="102" t="s">
        <v>4166</v>
      </c>
    </row>
    <row r="85" spans="1:12">
      <c r="A85" s="102" t="s">
        <v>130</v>
      </c>
      <c r="B85" s="102" t="s">
        <v>2</v>
      </c>
      <c r="C85" s="102" t="s">
        <v>2011</v>
      </c>
      <c r="D85" s="102" t="s">
        <v>3724</v>
      </c>
      <c r="E85" s="102" t="s">
        <v>4162</v>
      </c>
      <c r="F85" s="102" t="s">
        <v>3847</v>
      </c>
      <c r="G85" s="102" t="s">
        <v>3848</v>
      </c>
      <c r="H85" s="102" t="s">
        <v>1536</v>
      </c>
      <c r="I85" s="102" t="s">
        <v>1966</v>
      </c>
      <c r="J85" s="102" t="s">
        <v>4067</v>
      </c>
      <c r="K85" s="102" t="s">
        <v>1184</v>
      </c>
      <c r="L85" s="102" t="s">
        <v>4166</v>
      </c>
    </row>
    <row r="86" spans="1:12">
      <c r="A86" s="102" t="s">
        <v>131</v>
      </c>
      <c r="B86" s="102" t="s">
        <v>2</v>
      </c>
      <c r="C86" s="102" t="s">
        <v>2011</v>
      </c>
      <c r="D86" s="102" t="s">
        <v>3724</v>
      </c>
      <c r="E86" s="102" t="s">
        <v>4162</v>
      </c>
      <c r="F86" s="102" t="s">
        <v>3849</v>
      </c>
      <c r="G86" s="102" t="s">
        <v>3850</v>
      </c>
      <c r="H86" s="102" t="s">
        <v>4079</v>
      </c>
      <c r="I86" s="102" t="s">
        <v>4080</v>
      </c>
      <c r="J86" s="102" t="s">
        <v>4081</v>
      </c>
      <c r="K86" s="102" t="s">
        <v>3036</v>
      </c>
      <c r="L86" s="102" t="s">
        <v>4166</v>
      </c>
    </row>
    <row r="87" spans="1:12">
      <c r="A87" s="102" t="s">
        <v>132</v>
      </c>
      <c r="B87" s="102" t="s">
        <v>2</v>
      </c>
      <c r="C87" s="102" t="s">
        <v>2011</v>
      </c>
      <c r="D87" s="102" t="s">
        <v>3724</v>
      </c>
      <c r="E87" s="102" t="s">
        <v>4162</v>
      </c>
      <c r="F87" s="102" t="s">
        <v>133</v>
      </c>
      <c r="G87" s="102" t="s">
        <v>3851</v>
      </c>
      <c r="H87" s="102" t="s">
        <v>4082</v>
      </c>
      <c r="I87" s="102" t="s">
        <v>4083</v>
      </c>
      <c r="J87" s="102" t="s">
        <v>4084</v>
      </c>
      <c r="K87" s="102" t="s">
        <v>4085</v>
      </c>
      <c r="L87" s="102" t="s">
        <v>4166</v>
      </c>
    </row>
    <row r="88" spans="1:12">
      <c r="A88" s="102" t="s">
        <v>138</v>
      </c>
      <c r="B88" s="102" t="s">
        <v>2</v>
      </c>
      <c r="C88" s="102" t="s">
        <v>286</v>
      </c>
      <c r="D88" s="102" t="s">
        <v>980</v>
      </c>
      <c r="E88" s="102" t="s">
        <v>980</v>
      </c>
      <c r="F88" s="102" t="s">
        <v>3852</v>
      </c>
      <c r="G88" s="102" t="s">
        <v>3853</v>
      </c>
      <c r="H88" s="102"/>
      <c r="I88" s="102"/>
      <c r="J88" s="102"/>
      <c r="K88" s="102"/>
      <c r="L88" s="102" t="s">
        <v>4167</v>
      </c>
    </row>
    <row r="89" spans="1:12">
      <c r="A89" s="102" t="s">
        <v>139</v>
      </c>
      <c r="B89" s="102" t="s">
        <v>2</v>
      </c>
      <c r="C89" s="102" t="s">
        <v>2011</v>
      </c>
      <c r="D89" s="102" t="s">
        <v>3724</v>
      </c>
      <c r="E89" s="102" t="s">
        <v>4162</v>
      </c>
      <c r="F89" s="102" t="s">
        <v>3854</v>
      </c>
      <c r="G89" s="102" t="s">
        <v>3855</v>
      </c>
      <c r="H89" s="102" t="s">
        <v>4086</v>
      </c>
      <c r="I89" s="102" t="s">
        <v>4087</v>
      </c>
      <c r="J89" s="102" t="s">
        <v>4067</v>
      </c>
      <c r="K89" s="102" t="s">
        <v>2949</v>
      </c>
      <c r="L89" s="102" t="s">
        <v>4166</v>
      </c>
    </row>
    <row r="90" spans="1:12">
      <c r="A90" s="102" t="s">
        <v>134</v>
      </c>
      <c r="B90" s="102" t="s">
        <v>2</v>
      </c>
      <c r="C90" s="102" t="s">
        <v>2011</v>
      </c>
      <c r="D90" s="102" t="s">
        <v>4163</v>
      </c>
      <c r="E90" s="102" t="s">
        <v>2114</v>
      </c>
      <c r="F90" s="102" t="s">
        <v>3856</v>
      </c>
      <c r="G90" s="102" t="s">
        <v>3857</v>
      </c>
      <c r="H90" s="102" t="s">
        <v>1541</v>
      </c>
      <c r="I90" s="102" t="s">
        <v>1565</v>
      </c>
      <c r="J90" s="102" t="s">
        <v>2743</v>
      </c>
      <c r="K90" s="102" t="s">
        <v>3150</v>
      </c>
      <c r="L90" s="102" t="s">
        <v>4165</v>
      </c>
    </row>
    <row r="91" spans="1:12">
      <c r="A91" s="102" t="s">
        <v>135</v>
      </c>
      <c r="B91" s="102" t="s">
        <v>2</v>
      </c>
      <c r="C91" s="102" t="s">
        <v>2011</v>
      </c>
      <c r="D91" s="102" t="s">
        <v>3724</v>
      </c>
      <c r="E91" s="102" t="s">
        <v>4162</v>
      </c>
      <c r="F91" s="102" t="s">
        <v>136</v>
      </c>
      <c r="G91" s="102" t="s">
        <v>3858</v>
      </c>
      <c r="H91" s="102" t="s">
        <v>4068</v>
      </c>
      <c r="I91" s="102" t="s">
        <v>4069</v>
      </c>
      <c r="J91" s="102" t="s">
        <v>4070</v>
      </c>
      <c r="K91" s="102" t="s">
        <v>1491</v>
      </c>
      <c r="L91" s="102" t="s">
        <v>4166</v>
      </c>
    </row>
    <row r="92" spans="1:12">
      <c r="A92" s="102" t="s">
        <v>137</v>
      </c>
      <c r="B92" s="102" t="s">
        <v>2</v>
      </c>
      <c r="C92" s="102" t="s">
        <v>286</v>
      </c>
      <c r="D92" s="102" t="s">
        <v>980</v>
      </c>
      <c r="E92" s="102" t="s">
        <v>980</v>
      </c>
      <c r="F92" s="102" t="s">
        <v>3859</v>
      </c>
      <c r="G92" s="102" t="s">
        <v>3860</v>
      </c>
      <c r="H92" s="102"/>
      <c r="I92" s="102"/>
      <c r="J92" s="102"/>
      <c r="K92" s="102"/>
      <c r="L92" s="102" t="s">
        <v>4167</v>
      </c>
    </row>
    <row r="93" spans="1:12">
      <c r="A93" s="102" t="s">
        <v>140</v>
      </c>
      <c r="B93" s="102" t="s">
        <v>2</v>
      </c>
      <c r="C93" s="102" t="s">
        <v>2011</v>
      </c>
      <c r="D93" s="102" t="s">
        <v>3724</v>
      </c>
      <c r="E93" s="102" t="s">
        <v>4162</v>
      </c>
      <c r="F93" s="102" t="s">
        <v>3861</v>
      </c>
      <c r="G93" s="102" t="s">
        <v>3862</v>
      </c>
      <c r="H93" s="102" t="s">
        <v>4088</v>
      </c>
      <c r="I93" s="102" t="s">
        <v>2723</v>
      </c>
      <c r="J93" s="102" t="s">
        <v>2726</v>
      </c>
      <c r="K93" s="102" t="s">
        <v>4089</v>
      </c>
      <c r="L93" s="102" t="s">
        <v>4166</v>
      </c>
    </row>
    <row r="94" spans="1:12">
      <c r="A94" s="102" t="s">
        <v>141</v>
      </c>
      <c r="B94" s="102" t="s">
        <v>3</v>
      </c>
      <c r="C94" s="102" t="s">
        <v>2011</v>
      </c>
      <c r="D94" s="102" t="s">
        <v>3724</v>
      </c>
      <c r="E94" s="102" t="s">
        <v>4162</v>
      </c>
      <c r="F94" s="102" t="s">
        <v>3863</v>
      </c>
      <c r="G94" s="102" t="s">
        <v>3864</v>
      </c>
      <c r="H94" s="102" t="s">
        <v>1540</v>
      </c>
      <c r="I94" s="102"/>
      <c r="J94" s="102"/>
      <c r="K94" s="102" t="s">
        <v>3129</v>
      </c>
      <c r="L94" s="102" t="s">
        <v>4170</v>
      </c>
    </row>
    <row r="95" spans="1:12">
      <c r="A95" s="102" t="s">
        <v>142</v>
      </c>
      <c r="B95" s="102" t="s">
        <v>3</v>
      </c>
      <c r="C95" s="102" t="s">
        <v>2011</v>
      </c>
      <c r="D95" s="102" t="s">
        <v>3724</v>
      </c>
      <c r="E95" s="102" t="s">
        <v>4162</v>
      </c>
      <c r="F95" s="102" t="s">
        <v>3865</v>
      </c>
      <c r="G95" s="102" t="s">
        <v>3866</v>
      </c>
      <c r="H95" s="102" t="s">
        <v>4090</v>
      </c>
      <c r="I95" s="102" t="s">
        <v>4091</v>
      </c>
      <c r="J95" s="102" t="s">
        <v>4092</v>
      </c>
      <c r="K95" s="102" t="s">
        <v>4093</v>
      </c>
      <c r="L95" s="102" t="s">
        <v>4166</v>
      </c>
    </row>
    <row r="96" spans="1:12">
      <c r="A96" s="102" t="s">
        <v>143</v>
      </c>
      <c r="B96" s="102" t="s">
        <v>3</v>
      </c>
      <c r="C96" s="102" t="s">
        <v>2011</v>
      </c>
      <c r="D96" s="102" t="s">
        <v>3724</v>
      </c>
      <c r="E96" s="102" t="s">
        <v>4162</v>
      </c>
      <c r="F96" s="102" t="s">
        <v>3867</v>
      </c>
      <c r="G96" s="102" t="s">
        <v>3868</v>
      </c>
      <c r="H96" s="102" t="s">
        <v>4094</v>
      </c>
      <c r="I96" s="102" t="s">
        <v>1560</v>
      </c>
      <c r="J96" s="102" t="s">
        <v>4095</v>
      </c>
      <c r="K96" s="102" t="s">
        <v>1195</v>
      </c>
      <c r="L96" s="102" t="s">
        <v>4166</v>
      </c>
    </row>
    <row r="97" spans="1:12">
      <c r="A97" s="102" t="s">
        <v>144</v>
      </c>
      <c r="B97" s="102" t="s">
        <v>3</v>
      </c>
      <c r="C97" s="102" t="s">
        <v>2011</v>
      </c>
      <c r="D97" s="102" t="s">
        <v>3724</v>
      </c>
      <c r="E97" s="102" t="s">
        <v>4162</v>
      </c>
      <c r="F97" s="102" t="s">
        <v>145</v>
      </c>
      <c r="G97" s="102" t="s">
        <v>3869</v>
      </c>
      <c r="H97" s="102" t="s">
        <v>4094</v>
      </c>
      <c r="I97" s="102" t="s">
        <v>1560</v>
      </c>
      <c r="J97" s="102" t="s">
        <v>4095</v>
      </c>
      <c r="K97" s="102" t="s">
        <v>1191</v>
      </c>
      <c r="L97" s="102" t="s">
        <v>4166</v>
      </c>
    </row>
    <row r="98" spans="1:12">
      <c r="A98" s="102" t="s">
        <v>146</v>
      </c>
      <c r="B98" s="102" t="s">
        <v>3</v>
      </c>
      <c r="C98" s="102" t="s">
        <v>2011</v>
      </c>
      <c r="D98" s="102" t="s">
        <v>3724</v>
      </c>
      <c r="E98" s="102" t="s">
        <v>4162</v>
      </c>
      <c r="F98" s="102" t="s">
        <v>147</v>
      </c>
      <c r="G98" s="102" t="s">
        <v>3870</v>
      </c>
      <c r="H98" s="102" t="s">
        <v>4096</v>
      </c>
      <c r="I98" s="102" t="s">
        <v>4097</v>
      </c>
      <c r="J98" s="102" t="s">
        <v>4095</v>
      </c>
      <c r="K98" s="102" t="s">
        <v>4098</v>
      </c>
      <c r="L98" s="102" t="s">
        <v>4166</v>
      </c>
    </row>
    <row r="99" spans="1:12">
      <c r="A99" s="102" t="s">
        <v>148</v>
      </c>
      <c r="B99" s="102" t="s">
        <v>3</v>
      </c>
      <c r="C99" s="102" t="s">
        <v>2011</v>
      </c>
      <c r="D99" s="102" t="s">
        <v>3724</v>
      </c>
      <c r="E99" s="102" t="s">
        <v>4162</v>
      </c>
      <c r="F99" s="102" t="s">
        <v>149</v>
      </c>
      <c r="G99" s="102" t="s">
        <v>3871</v>
      </c>
      <c r="H99" s="102" t="s">
        <v>4090</v>
      </c>
      <c r="I99" s="102" t="s">
        <v>4091</v>
      </c>
      <c r="J99" s="102" t="s">
        <v>4092</v>
      </c>
      <c r="K99" s="102" t="s">
        <v>4093</v>
      </c>
      <c r="L99" s="102" t="s">
        <v>4166</v>
      </c>
    </row>
    <row r="100" spans="1:12">
      <c r="A100" s="102" t="s">
        <v>150</v>
      </c>
      <c r="B100" s="102" t="s">
        <v>3</v>
      </c>
      <c r="C100" s="102" t="s">
        <v>2011</v>
      </c>
      <c r="D100" s="102" t="s">
        <v>3724</v>
      </c>
      <c r="E100" s="102" t="s">
        <v>4162</v>
      </c>
      <c r="F100" s="102" t="s">
        <v>3872</v>
      </c>
      <c r="G100" s="102" t="s">
        <v>3873</v>
      </c>
      <c r="H100" s="102" t="s">
        <v>1507</v>
      </c>
      <c r="I100" s="102" t="s">
        <v>1544</v>
      </c>
      <c r="J100" s="102" t="s">
        <v>2637</v>
      </c>
      <c r="K100" s="102" t="s">
        <v>1192</v>
      </c>
      <c r="L100" s="102" t="s">
        <v>4166</v>
      </c>
    </row>
    <row r="101" spans="1:12">
      <c r="A101" s="102" t="s">
        <v>155</v>
      </c>
      <c r="B101" s="102" t="s">
        <v>3</v>
      </c>
      <c r="C101" s="102" t="s">
        <v>2011</v>
      </c>
      <c r="D101" s="102" t="s">
        <v>3724</v>
      </c>
      <c r="E101" s="102" t="s">
        <v>4162</v>
      </c>
      <c r="F101" s="102" t="s">
        <v>156</v>
      </c>
      <c r="G101" s="102" t="s">
        <v>3874</v>
      </c>
      <c r="H101" s="102" t="s">
        <v>4099</v>
      </c>
      <c r="I101" s="102" t="s">
        <v>4100</v>
      </c>
      <c r="J101" s="102" t="s">
        <v>4101</v>
      </c>
      <c r="K101" s="102" t="s">
        <v>1189</v>
      </c>
      <c r="L101" s="102" t="s">
        <v>4166</v>
      </c>
    </row>
    <row r="102" spans="1:12">
      <c r="A102" s="102" t="s">
        <v>151</v>
      </c>
      <c r="B102" s="102" t="s">
        <v>3</v>
      </c>
      <c r="C102" s="102" t="s">
        <v>2011</v>
      </c>
      <c r="D102" s="102" t="s">
        <v>4163</v>
      </c>
      <c r="E102" s="102" t="s">
        <v>2114</v>
      </c>
      <c r="F102" s="102" t="s">
        <v>3875</v>
      </c>
      <c r="G102" s="102" t="s">
        <v>3876</v>
      </c>
      <c r="H102" s="102" t="s">
        <v>1541</v>
      </c>
      <c r="I102" s="102" t="s">
        <v>1565</v>
      </c>
      <c r="J102" s="102" t="s">
        <v>2743</v>
      </c>
      <c r="K102" s="102" t="s">
        <v>3150</v>
      </c>
      <c r="L102" s="102" t="s">
        <v>4165</v>
      </c>
    </row>
    <row r="103" spans="1:12">
      <c r="A103" s="102" t="s">
        <v>152</v>
      </c>
      <c r="B103" s="102" t="s">
        <v>3</v>
      </c>
      <c r="C103" s="102" t="s">
        <v>2011</v>
      </c>
      <c r="D103" s="102" t="s">
        <v>3724</v>
      </c>
      <c r="E103" s="102" t="s">
        <v>4162</v>
      </c>
      <c r="F103" s="102" t="s">
        <v>3877</v>
      </c>
      <c r="G103" s="102" t="s">
        <v>3878</v>
      </c>
      <c r="H103" s="102" t="s">
        <v>1507</v>
      </c>
      <c r="I103" s="102" t="s">
        <v>1544</v>
      </c>
      <c r="J103" s="102" t="s">
        <v>2637</v>
      </c>
      <c r="K103" s="102" t="s">
        <v>1190</v>
      </c>
      <c r="L103" s="102" t="s">
        <v>4166</v>
      </c>
    </row>
    <row r="104" spans="1:12">
      <c r="A104" s="102" t="s">
        <v>153</v>
      </c>
      <c r="B104" s="102" t="s">
        <v>3</v>
      </c>
      <c r="C104" s="102" t="s">
        <v>2011</v>
      </c>
      <c r="D104" s="102" t="s">
        <v>3724</v>
      </c>
      <c r="E104" s="102" t="s">
        <v>4162</v>
      </c>
      <c r="F104" s="102" t="s">
        <v>3879</v>
      </c>
      <c r="G104" s="102" t="s">
        <v>3880</v>
      </c>
      <c r="H104" s="102" t="s">
        <v>4102</v>
      </c>
      <c r="I104" s="102" t="s">
        <v>1549</v>
      </c>
      <c r="J104" s="102" t="s">
        <v>4103</v>
      </c>
      <c r="K104" s="102" t="s">
        <v>1193</v>
      </c>
      <c r="L104" s="102" t="s">
        <v>4166</v>
      </c>
    </row>
    <row r="105" spans="1:12">
      <c r="A105" s="102" t="s">
        <v>157</v>
      </c>
      <c r="B105" s="102" t="s">
        <v>3</v>
      </c>
      <c r="C105" s="102" t="s">
        <v>2011</v>
      </c>
      <c r="D105" s="102" t="s">
        <v>3724</v>
      </c>
      <c r="E105" s="102" t="s">
        <v>4162</v>
      </c>
      <c r="F105" s="102" t="s">
        <v>3881</v>
      </c>
      <c r="G105" s="102" t="s">
        <v>3882</v>
      </c>
      <c r="H105" s="102" t="s">
        <v>4104</v>
      </c>
      <c r="I105" s="102" t="s">
        <v>1545</v>
      </c>
      <c r="J105" s="102" t="s">
        <v>2935</v>
      </c>
      <c r="K105" s="102" t="s">
        <v>3058</v>
      </c>
      <c r="L105" s="102" t="s">
        <v>4166</v>
      </c>
    </row>
    <row r="106" spans="1:12">
      <c r="A106" s="102" t="s">
        <v>158</v>
      </c>
      <c r="B106" s="102" t="s">
        <v>3</v>
      </c>
      <c r="C106" s="102" t="s">
        <v>2011</v>
      </c>
      <c r="D106" s="102" t="s">
        <v>3724</v>
      </c>
      <c r="E106" s="102" t="s">
        <v>4162</v>
      </c>
      <c r="F106" s="102" t="s">
        <v>159</v>
      </c>
      <c r="G106" s="102" t="s">
        <v>3883</v>
      </c>
      <c r="H106" s="102" t="s">
        <v>4105</v>
      </c>
      <c r="I106" s="102" t="s">
        <v>4106</v>
      </c>
      <c r="J106" s="102" t="s">
        <v>4107</v>
      </c>
      <c r="K106" s="102" t="s">
        <v>1192</v>
      </c>
      <c r="L106" s="102" t="s">
        <v>4166</v>
      </c>
    </row>
    <row r="107" spans="1:12">
      <c r="A107" s="102" t="s">
        <v>154</v>
      </c>
      <c r="B107" s="102" t="s">
        <v>3</v>
      </c>
      <c r="C107" s="102" t="s">
        <v>2011</v>
      </c>
      <c r="D107" s="102" t="s">
        <v>3724</v>
      </c>
      <c r="E107" s="102" t="s">
        <v>4162</v>
      </c>
      <c r="F107" s="102" t="s">
        <v>3884</v>
      </c>
      <c r="G107" s="102" t="s">
        <v>3885</v>
      </c>
      <c r="H107" s="102" t="s">
        <v>4108</v>
      </c>
      <c r="I107" s="102" t="s">
        <v>4109</v>
      </c>
      <c r="J107" s="102"/>
      <c r="K107" s="102" t="s">
        <v>4110</v>
      </c>
      <c r="L107" s="102" t="s">
        <v>4170</v>
      </c>
    </row>
    <row r="108" spans="1:12">
      <c r="A108" s="102" t="s">
        <v>160</v>
      </c>
      <c r="B108" s="102" t="s">
        <v>3</v>
      </c>
      <c r="C108" s="102" t="s">
        <v>2011</v>
      </c>
      <c r="D108" s="102" t="s">
        <v>3724</v>
      </c>
      <c r="E108" s="102" t="s">
        <v>4162</v>
      </c>
      <c r="F108" s="102" t="s">
        <v>3886</v>
      </c>
      <c r="G108" s="102" t="s">
        <v>3887</v>
      </c>
      <c r="H108" s="102" t="s">
        <v>4111</v>
      </c>
      <c r="I108" s="102" t="s">
        <v>1555</v>
      </c>
      <c r="J108" s="102" t="s">
        <v>2642</v>
      </c>
      <c r="K108" s="102" t="s">
        <v>1193</v>
      </c>
      <c r="L108" s="102" t="s">
        <v>4166</v>
      </c>
    </row>
    <row r="109" spans="1:12">
      <c r="A109" s="102" t="s">
        <v>161</v>
      </c>
      <c r="B109" s="102" t="s">
        <v>3</v>
      </c>
      <c r="C109" s="102" t="s">
        <v>2011</v>
      </c>
      <c r="D109" s="102" t="s">
        <v>3724</v>
      </c>
      <c r="E109" s="102" t="s">
        <v>4162</v>
      </c>
      <c r="F109" s="102" t="s">
        <v>162</v>
      </c>
      <c r="G109" s="102" t="s">
        <v>3888</v>
      </c>
      <c r="H109" s="102" t="s">
        <v>4111</v>
      </c>
      <c r="I109" s="102" t="s">
        <v>1555</v>
      </c>
      <c r="J109" s="102" t="s">
        <v>2642</v>
      </c>
      <c r="K109" s="102" t="s">
        <v>1192</v>
      </c>
      <c r="L109" s="102" t="s">
        <v>4166</v>
      </c>
    </row>
    <row r="110" spans="1:12">
      <c r="A110" s="102" t="s">
        <v>163</v>
      </c>
      <c r="B110" s="102" t="s">
        <v>3</v>
      </c>
      <c r="C110" s="102" t="s">
        <v>2011</v>
      </c>
      <c r="D110" s="102" t="s">
        <v>3724</v>
      </c>
      <c r="E110" s="102" t="s">
        <v>4162</v>
      </c>
      <c r="F110" s="102" t="s">
        <v>3889</v>
      </c>
      <c r="G110" s="102" t="s">
        <v>3890</v>
      </c>
      <c r="H110" s="102" t="s">
        <v>4112</v>
      </c>
      <c r="I110" s="102" t="s">
        <v>1555</v>
      </c>
      <c r="J110" s="102" t="s">
        <v>4113</v>
      </c>
      <c r="K110" s="102" t="s">
        <v>1193</v>
      </c>
      <c r="L110" s="102" t="s">
        <v>4166</v>
      </c>
    </row>
    <row r="111" spans="1:12">
      <c r="A111" s="102" t="s">
        <v>164</v>
      </c>
      <c r="B111" s="102" t="s">
        <v>3</v>
      </c>
      <c r="C111" s="102" t="s">
        <v>2011</v>
      </c>
      <c r="D111" s="102" t="s">
        <v>3724</v>
      </c>
      <c r="E111" s="102" t="s">
        <v>4162</v>
      </c>
      <c r="F111" s="102" t="s">
        <v>3891</v>
      </c>
      <c r="G111" s="102" t="s">
        <v>3892</v>
      </c>
      <c r="H111" s="102" t="s">
        <v>1708</v>
      </c>
      <c r="I111" s="102"/>
      <c r="J111" s="102" t="s">
        <v>2556</v>
      </c>
      <c r="K111" s="102" t="s">
        <v>1201</v>
      </c>
      <c r="L111" s="102" t="s">
        <v>4170</v>
      </c>
    </row>
    <row r="112" spans="1:12">
      <c r="A112" s="102" t="s">
        <v>165</v>
      </c>
      <c r="B112" s="102" t="s">
        <v>3</v>
      </c>
      <c r="C112" s="102" t="s">
        <v>2011</v>
      </c>
      <c r="D112" s="102" t="s">
        <v>3724</v>
      </c>
      <c r="E112" s="102" t="s">
        <v>4162</v>
      </c>
      <c r="F112" s="102" t="s">
        <v>166</v>
      </c>
      <c r="G112" s="102" t="s">
        <v>3893</v>
      </c>
      <c r="H112" s="102" t="s">
        <v>4094</v>
      </c>
      <c r="I112" s="102" t="s">
        <v>1560</v>
      </c>
      <c r="J112" s="102" t="s">
        <v>4095</v>
      </c>
      <c r="K112" s="102" t="s">
        <v>1191</v>
      </c>
      <c r="L112" s="102" t="s">
        <v>4166</v>
      </c>
    </row>
    <row r="113" spans="1:12">
      <c r="A113" s="102" t="s">
        <v>167</v>
      </c>
      <c r="B113" s="102" t="s">
        <v>3</v>
      </c>
      <c r="C113" s="102" t="s">
        <v>286</v>
      </c>
      <c r="D113" s="102" t="s">
        <v>980</v>
      </c>
      <c r="E113" s="102" t="s">
        <v>980</v>
      </c>
      <c r="F113" s="102" t="s">
        <v>3894</v>
      </c>
      <c r="G113" s="102" t="s">
        <v>3895</v>
      </c>
      <c r="H113" s="102"/>
      <c r="I113" s="102"/>
      <c r="J113" s="102"/>
      <c r="K113" s="102"/>
      <c r="L113" s="102" t="s">
        <v>4167</v>
      </c>
    </row>
    <row r="114" spans="1:12">
      <c r="A114" s="102" t="s">
        <v>168</v>
      </c>
      <c r="B114" s="102" t="s">
        <v>3</v>
      </c>
      <c r="C114" s="102" t="s">
        <v>2011</v>
      </c>
      <c r="D114" s="102" t="s">
        <v>3724</v>
      </c>
      <c r="E114" s="102" t="s">
        <v>4162</v>
      </c>
      <c r="F114" s="102" t="s">
        <v>169</v>
      </c>
      <c r="G114" s="102" t="s">
        <v>3896</v>
      </c>
      <c r="H114" s="102" t="s">
        <v>4108</v>
      </c>
      <c r="I114" s="102" t="s">
        <v>4109</v>
      </c>
      <c r="J114" s="102"/>
      <c r="K114" s="102" t="s">
        <v>4110</v>
      </c>
      <c r="L114" s="102" t="s">
        <v>4170</v>
      </c>
    </row>
    <row r="115" spans="1:12">
      <c r="A115" s="102" t="s">
        <v>170</v>
      </c>
      <c r="B115" s="102" t="s">
        <v>3</v>
      </c>
      <c r="C115" s="102" t="s">
        <v>2011</v>
      </c>
      <c r="D115" s="102" t="s">
        <v>3724</v>
      </c>
      <c r="E115" s="102" t="s">
        <v>4162</v>
      </c>
      <c r="F115" s="102" t="s">
        <v>171</v>
      </c>
      <c r="G115" s="102" t="s">
        <v>3897</v>
      </c>
      <c r="H115" s="102" t="s">
        <v>4114</v>
      </c>
      <c r="I115" s="102" t="s">
        <v>4115</v>
      </c>
      <c r="J115" s="102" t="s">
        <v>4116</v>
      </c>
      <c r="K115" s="102" t="s">
        <v>1492</v>
      </c>
      <c r="L115" s="102" t="s">
        <v>4166</v>
      </c>
    </row>
    <row r="116" spans="1:12">
      <c r="A116" s="102" t="s">
        <v>172</v>
      </c>
      <c r="B116" s="102" t="s">
        <v>3</v>
      </c>
      <c r="C116" s="102" t="s">
        <v>2011</v>
      </c>
      <c r="D116" s="102" t="s">
        <v>3724</v>
      </c>
      <c r="E116" s="102" t="s">
        <v>4162</v>
      </c>
      <c r="F116" s="102" t="s">
        <v>173</v>
      </c>
      <c r="G116" s="102" t="s">
        <v>3898</v>
      </c>
      <c r="H116" s="102" t="s">
        <v>4117</v>
      </c>
      <c r="I116" s="102" t="s">
        <v>1547</v>
      </c>
      <c r="J116" s="102" t="s">
        <v>2682</v>
      </c>
      <c r="K116" s="102" t="s">
        <v>3100</v>
      </c>
      <c r="L116" s="102" t="s">
        <v>4166</v>
      </c>
    </row>
    <row r="117" spans="1:12">
      <c r="A117" s="102" t="s">
        <v>174</v>
      </c>
      <c r="B117" s="102" t="s">
        <v>3</v>
      </c>
      <c r="C117" s="102" t="s">
        <v>2011</v>
      </c>
      <c r="D117" s="102" t="s">
        <v>3724</v>
      </c>
      <c r="E117" s="102" t="s">
        <v>4162</v>
      </c>
      <c r="F117" s="102" t="s">
        <v>175</v>
      </c>
      <c r="G117" s="102" t="s">
        <v>3899</v>
      </c>
      <c r="H117" s="102" t="s">
        <v>4118</v>
      </c>
      <c r="I117" s="102" t="s">
        <v>4119</v>
      </c>
      <c r="J117" s="102" t="s">
        <v>4120</v>
      </c>
      <c r="K117" s="102" t="s">
        <v>3036</v>
      </c>
      <c r="L117" s="102" t="s">
        <v>4166</v>
      </c>
    </row>
    <row r="118" spans="1:12">
      <c r="A118" s="102" t="s">
        <v>180</v>
      </c>
      <c r="B118" s="102" t="s">
        <v>3</v>
      </c>
      <c r="C118" s="102" t="s">
        <v>2011</v>
      </c>
      <c r="D118" s="102" t="s">
        <v>3724</v>
      </c>
      <c r="E118" s="102" t="s">
        <v>4162</v>
      </c>
      <c r="F118" s="102" t="s">
        <v>181</v>
      </c>
      <c r="G118" s="102" t="s">
        <v>3900</v>
      </c>
      <c r="H118" s="102" t="s">
        <v>4034</v>
      </c>
      <c r="I118" s="102" t="s">
        <v>4035</v>
      </c>
      <c r="J118" s="102" t="s">
        <v>4036</v>
      </c>
      <c r="K118" s="102" t="s">
        <v>4121</v>
      </c>
      <c r="L118" s="102" t="s">
        <v>4166</v>
      </c>
    </row>
    <row r="119" spans="1:12">
      <c r="A119" s="102" t="s">
        <v>182</v>
      </c>
      <c r="B119" s="102" t="s">
        <v>3</v>
      </c>
      <c r="C119" s="102" t="s">
        <v>2011</v>
      </c>
      <c r="D119" s="102" t="s">
        <v>3724</v>
      </c>
      <c r="E119" s="102" t="s">
        <v>4162</v>
      </c>
      <c r="F119" s="102" t="s">
        <v>183</v>
      </c>
      <c r="G119" s="102" t="s">
        <v>3901</v>
      </c>
      <c r="H119" s="102" t="s">
        <v>4022</v>
      </c>
      <c r="I119" s="102" t="s">
        <v>4023</v>
      </c>
      <c r="J119" s="102" t="s">
        <v>4024</v>
      </c>
      <c r="K119" s="102" t="s">
        <v>1185</v>
      </c>
      <c r="L119" s="102" t="s">
        <v>4166</v>
      </c>
    </row>
    <row r="120" spans="1:12">
      <c r="A120" s="102" t="s">
        <v>184</v>
      </c>
      <c r="B120" s="102" t="s">
        <v>3</v>
      </c>
      <c r="C120" s="102" t="s">
        <v>2011</v>
      </c>
      <c r="D120" s="102" t="s">
        <v>3724</v>
      </c>
      <c r="E120" s="102" t="s">
        <v>4162</v>
      </c>
      <c r="F120" s="102" t="s">
        <v>185</v>
      </c>
      <c r="G120" s="102" t="s">
        <v>3902</v>
      </c>
      <c r="H120" s="102" t="s">
        <v>4034</v>
      </c>
      <c r="I120" s="102" t="s">
        <v>4035</v>
      </c>
      <c r="J120" s="102" t="s">
        <v>4036</v>
      </c>
      <c r="K120" s="102" t="s">
        <v>4121</v>
      </c>
      <c r="L120" s="102" t="s">
        <v>4166</v>
      </c>
    </row>
    <row r="121" spans="1:12">
      <c r="A121" s="102" t="s">
        <v>186</v>
      </c>
      <c r="B121" s="102" t="s">
        <v>3</v>
      </c>
      <c r="C121" s="102" t="s">
        <v>2011</v>
      </c>
      <c r="D121" s="102" t="s">
        <v>3724</v>
      </c>
      <c r="E121" s="102" t="s">
        <v>4162</v>
      </c>
      <c r="F121" s="102" t="s">
        <v>187</v>
      </c>
      <c r="G121" s="102" t="s">
        <v>3903</v>
      </c>
      <c r="H121" s="102" t="s">
        <v>4022</v>
      </c>
      <c r="I121" s="102" t="s">
        <v>4023</v>
      </c>
      <c r="J121" s="102" t="s">
        <v>4024</v>
      </c>
      <c r="K121" s="102" t="s">
        <v>1185</v>
      </c>
      <c r="L121" s="102" t="s">
        <v>4166</v>
      </c>
    </row>
    <row r="122" spans="1:12">
      <c r="A122" s="102" t="s">
        <v>188</v>
      </c>
      <c r="B122" s="102" t="s">
        <v>3</v>
      </c>
      <c r="C122" s="102" t="s">
        <v>2011</v>
      </c>
      <c r="D122" s="102" t="s">
        <v>3724</v>
      </c>
      <c r="E122" s="102" t="s">
        <v>4162</v>
      </c>
      <c r="F122" s="102" t="s">
        <v>189</v>
      </c>
      <c r="G122" s="102" t="s">
        <v>3904</v>
      </c>
      <c r="H122" s="102" t="s">
        <v>1705</v>
      </c>
      <c r="I122" s="102" t="s">
        <v>1551</v>
      </c>
      <c r="J122" s="102" t="s">
        <v>2538</v>
      </c>
      <c r="K122" s="102" t="s">
        <v>3028</v>
      </c>
      <c r="L122" s="102" t="s">
        <v>4166</v>
      </c>
    </row>
    <row r="123" spans="1:12">
      <c r="A123" s="102" t="s">
        <v>176</v>
      </c>
      <c r="B123" s="102" t="s">
        <v>3</v>
      </c>
      <c r="C123" s="102" t="s">
        <v>2011</v>
      </c>
      <c r="D123" s="102" t="s">
        <v>3721</v>
      </c>
      <c r="E123" s="102" t="s">
        <v>2114</v>
      </c>
      <c r="F123" s="102" t="s">
        <v>177</v>
      </c>
      <c r="G123" s="102" t="s">
        <v>3905</v>
      </c>
      <c r="H123" s="102" t="s">
        <v>3982</v>
      </c>
      <c r="I123" s="102" t="s">
        <v>1557</v>
      </c>
      <c r="J123" s="102" t="s">
        <v>3983</v>
      </c>
      <c r="K123" s="102" t="s">
        <v>1182</v>
      </c>
      <c r="L123" s="102" t="s">
        <v>4165</v>
      </c>
    </row>
    <row r="124" spans="1:12">
      <c r="A124" s="102" t="s">
        <v>192</v>
      </c>
      <c r="B124" s="102" t="s">
        <v>3</v>
      </c>
      <c r="C124" s="102" t="s">
        <v>2011</v>
      </c>
      <c r="D124" s="102" t="s">
        <v>3724</v>
      </c>
      <c r="E124" s="102" t="s">
        <v>4162</v>
      </c>
      <c r="F124" s="102" t="s">
        <v>193</v>
      </c>
      <c r="G124" s="102" t="s">
        <v>3906</v>
      </c>
      <c r="H124" s="102" t="s">
        <v>1697</v>
      </c>
      <c r="I124" s="102" t="s">
        <v>1550</v>
      </c>
      <c r="J124" s="102" t="s">
        <v>3990</v>
      </c>
      <c r="K124" s="102" t="s">
        <v>4122</v>
      </c>
      <c r="L124" s="102" t="s">
        <v>4166</v>
      </c>
    </row>
    <row r="125" spans="1:12">
      <c r="A125" s="102" t="s">
        <v>199</v>
      </c>
      <c r="B125" s="102" t="s">
        <v>3</v>
      </c>
      <c r="C125" s="102" t="s">
        <v>286</v>
      </c>
      <c r="D125" s="102" t="s">
        <v>980</v>
      </c>
      <c r="E125" s="102" t="s">
        <v>980</v>
      </c>
      <c r="F125" s="102" t="s">
        <v>3907</v>
      </c>
      <c r="G125" s="102" t="s">
        <v>3908</v>
      </c>
      <c r="H125" s="102"/>
      <c r="I125" s="102"/>
      <c r="J125" s="102"/>
      <c r="K125" s="102"/>
      <c r="L125" s="102" t="s">
        <v>4167</v>
      </c>
    </row>
    <row r="126" spans="1:12">
      <c r="A126" s="102" t="s">
        <v>194</v>
      </c>
      <c r="B126" s="102" t="s">
        <v>3</v>
      </c>
      <c r="C126" s="102" t="s">
        <v>286</v>
      </c>
      <c r="D126" s="102" t="s">
        <v>980</v>
      </c>
      <c r="E126" s="102" t="s">
        <v>980</v>
      </c>
      <c r="F126" s="102" t="s">
        <v>3909</v>
      </c>
      <c r="G126" s="102" t="s">
        <v>3910</v>
      </c>
      <c r="H126" s="102"/>
      <c r="I126" s="102"/>
      <c r="J126" s="102"/>
      <c r="K126" s="102"/>
      <c r="L126" s="102" t="s">
        <v>4167</v>
      </c>
    </row>
    <row r="127" spans="1:12">
      <c r="A127" s="102" t="s">
        <v>195</v>
      </c>
      <c r="B127" s="102" t="s">
        <v>3</v>
      </c>
      <c r="C127" s="102" t="s">
        <v>2011</v>
      </c>
      <c r="D127" s="102" t="s">
        <v>3724</v>
      </c>
      <c r="E127" s="102" t="s">
        <v>4162</v>
      </c>
      <c r="F127" s="102" t="s">
        <v>196</v>
      </c>
      <c r="G127" s="102" t="s">
        <v>3911</v>
      </c>
      <c r="H127" s="102" t="s">
        <v>4123</v>
      </c>
      <c r="I127" s="102" t="s">
        <v>1546</v>
      </c>
      <c r="J127" s="102" t="s">
        <v>4124</v>
      </c>
      <c r="K127" s="102" t="s">
        <v>1199</v>
      </c>
      <c r="L127" s="102" t="s">
        <v>4166</v>
      </c>
    </row>
    <row r="128" spans="1:12">
      <c r="A128" s="102" t="s">
        <v>197</v>
      </c>
      <c r="B128" s="102" t="s">
        <v>3</v>
      </c>
      <c r="C128" s="102" t="s">
        <v>2011</v>
      </c>
      <c r="D128" s="102" t="s">
        <v>3724</v>
      </c>
      <c r="E128" s="102" t="s">
        <v>4162</v>
      </c>
      <c r="F128" s="102" t="s">
        <v>198</v>
      </c>
      <c r="G128" s="102" t="s">
        <v>3912</v>
      </c>
      <c r="H128" s="102" t="s">
        <v>4090</v>
      </c>
      <c r="I128" s="102" t="s">
        <v>4091</v>
      </c>
      <c r="J128" s="102" t="s">
        <v>4092</v>
      </c>
      <c r="K128" s="102" t="s">
        <v>3078</v>
      </c>
      <c r="L128" s="102" t="s">
        <v>4166</v>
      </c>
    </row>
    <row r="129" spans="1:12">
      <c r="A129" s="102" t="s">
        <v>178</v>
      </c>
      <c r="B129" s="102" t="s">
        <v>3</v>
      </c>
      <c r="C129" s="102" t="s">
        <v>2011</v>
      </c>
      <c r="D129" s="102" t="s">
        <v>3724</v>
      </c>
      <c r="E129" s="102" t="s">
        <v>4162</v>
      </c>
      <c r="F129" s="102" t="s">
        <v>179</v>
      </c>
      <c r="G129" s="102" t="s">
        <v>3913</v>
      </c>
      <c r="H129" s="102" t="s">
        <v>4125</v>
      </c>
      <c r="I129" s="102" t="s">
        <v>4126</v>
      </c>
      <c r="J129" s="102" t="s">
        <v>4127</v>
      </c>
      <c r="K129" s="102" t="s">
        <v>4128</v>
      </c>
      <c r="L129" s="102" t="s">
        <v>4166</v>
      </c>
    </row>
    <row r="130" spans="1:12">
      <c r="A130" s="102" t="s">
        <v>200</v>
      </c>
      <c r="B130" s="102" t="s">
        <v>3</v>
      </c>
      <c r="C130" s="102" t="s">
        <v>2011</v>
      </c>
      <c r="D130" s="102" t="s">
        <v>3724</v>
      </c>
      <c r="E130" s="102" t="s">
        <v>4162</v>
      </c>
      <c r="F130" s="102" t="s">
        <v>201</v>
      </c>
      <c r="G130" s="102" t="s">
        <v>3914</v>
      </c>
      <c r="H130" s="102" t="s">
        <v>4129</v>
      </c>
      <c r="I130" s="102" t="s">
        <v>1559</v>
      </c>
      <c r="J130" s="102" t="s">
        <v>4130</v>
      </c>
      <c r="K130" s="102" t="s">
        <v>2965</v>
      </c>
      <c r="L130" s="102" t="s">
        <v>4166</v>
      </c>
    </row>
    <row r="131" spans="1:12">
      <c r="A131" s="102" t="s">
        <v>202</v>
      </c>
      <c r="B131" s="102" t="s">
        <v>3</v>
      </c>
      <c r="C131" s="102" t="s">
        <v>2011</v>
      </c>
      <c r="D131" s="102" t="s">
        <v>3724</v>
      </c>
      <c r="E131" s="102" t="s">
        <v>4162</v>
      </c>
      <c r="F131" s="102" t="s">
        <v>203</v>
      </c>
      <c r="G131" s="102" t="s">
        <v>3915</v>
      </c>
      <c r="H131" s="102" t="s">
        <v>4131</v>
      </c>
      <c r="I131" s="102" t="s">
        <v>4132</v>
      </c>
      <c r="J131" s="102" t="s">
        <v>4133</v>
      </c>
      <c r="K131" s="102" t="s">
        <v>3137</v>
      </c>
      <c r="L131" s="102" t="s">
        <v>4166</v>
      </c>
    </row>
    <row r="132" spans="1:12">
      <c r="A132" s="102" t="s">
        <v>204</v>
      </c>
      <c r="B132" s="102" t="s">
        <v>3</v>
      </c>
      <c r="C132" s="102" t="s">
        <v>2011</v>
      </c>
      <c r="D132" s="102" t="s">
        <v>3724</v>
      </c>
      <c r="E132" s="102" t="s">
        <v>4162</v>
      </c>
      <c r="F132" s="102" t="s">
        <v>3916</v>
      </c>
      <c r="G132" s="102" t="s">
        <v>3917</v>
      </c>
      <c r="H132" s="102" t="s">
        <v>4123</v>
      </c>
      <c r="I132" s="102" t="s">
        <v>1546</v>
      </c>
      <c r="J132" s="102" t="s">
        <v>4124</v>
      </c>
      <c r="K132" s="102" t="s">
        <v>4134</v>
      </c>
      <c r="L132" s="102" t="s">
        <v>4166</v>
      </c>
    </row>
    <row r="133" spans="1:12">
      <c r="A133" s="102" t="s">
        <v>205</v>
      </c>
      <c r="B133" s="102" t="s">
        <v>3</v>
      </c>
      <c r="C133" s="102" t="s">
        <v>2011</v>
      </c>
      <c r="D133" s="102" t="s">
        <v>3724</v>
      </c>
      <c r="E133" s="102" t="s">
        <v>4162</v>
      </c>
      <c r="F133" s="102" t="s">
        <v>3918</v>
      </c>
      <c r="G133" s="102" t="s">
        <v>3919</v>
      </c>
      <c r="H133" s="102" t="s">
        <v>4129</v>
      </c>
      <c r="I133" s="102" t="s">
        <v>1559</v>
      </c>
      <c r="J133" s="102" t="s">
        <v>4130</v>
      </c>
      <c r="K133" s="102" t="s">
        <v>2965</v>
      </c>
      <c r="L133" s="102" t="s">
        <v>4166</v>
      </c>
    </row>
    <row r="134" spans="1:12">
      <c r="A134" s="102" t="s">
        <v>190</v>
      </c>
      <c r="B134" s="102" t="s">
        <v>3</v>
      </c>
      <c r="C134" s="102" t="s">
        <v>2011</v>
      </c>
      <c r="D134" s="102" t="s">
        <v>3724</v>
      </c>
      <c r="E134" s="102" t="s">
        <v>4162</v>
      </c>
      <c r="F134" s="102" t="s">
        <v>191</v>
      </c>
      <c r="G134" s="102" t="s">
        <v>3920</v>
      </c>
      <c r="H134" s="102" t="s">
        <v>4022</v>
      </c>
      <c r="I134" s="102" t="s">
        <v>4023</v>
      </c>
      <c r="J134" s="102" t="s">
        <v>4024</v>
      </c>
      <c r="K134" s="102" t="s">
        <v>1185</v>
      </c>
      <c r="L134" s="102" t="s">
        <v>4166</v>
      </c>
    </row>
    <row r="135" spans="1:12">
      <c r="A135" s="102" t="s">
        <v>206</v>
      </c>
      <c r="B135" s="102" t="s">
        <v>3</v>
      </c>
      <c r="C135" s="102" t="s">
        <v>2011</v>
      </c>
      <c r="D135" s="102" t="s">
        <v>3724</v>
      </c>
      <c r="E135" s="102" t="s">
        <v>4162</v>
      </c>
      <c r="F135" s="102" t="s">
        <v>207</v>
      </c>
      <c r="G135" s="102" t="s">
        <v>3921</v>
      </c>
      <c r="H135" s="102" t="s">
        <v>4135</v>
      </c>
      <c r="I135" s="102" t="s">
        <v>4136</v>
      </c>
      <c r="J135" s="102" t="s">
        <v>4137</v>
      </c>
      <c r="K135" s="102" t="s">
        <v>4138</v>
      </c>
      <c r="L135" s="102" t="s">
        <v>4166</v>
      </c>
    </row>
    <row r="136" spans="1:12">
      <c r="A136" s="102" t="s">
        <v>208</v>
      </c>
      <c r="B136" s="102" t="s">
        <v>3</v>
      </c>
      <c r="C136" s="102" t="s">
        <v>2011</v>
      </c>
      <c r="D136" s="102" t="s">
        <v>3724</v>
      </c>
      <c r="E136" s="102" t="s">
        <v>4162</v>
      </c>
      <c r="F136" s="102" t="s">
        <v>209</v>
      </c>
      <c r="G136" s="102" t="s">
        <v>3922</v>
      </c>
      <c r="H136" s="102" t="s">
        <v>4135</v>
      </c>
      <c r="I136" s="102" t="s">
        <v>4136</v>
      </c>
      <c r="J136" s="102" t="s">
        <v>4137</v>
      </c>
      <c r="K136" s="102" t="s">
        <v>4139</v>
      </c>
      <c r="L136" s="102" t="s">
        <v>4166</v>
      </c>
    </row>
    <row r="137" spans="1:12">
      <c r="A137" s="102" t="s">
        <v>210</v>
      </c>
      <c r="B137" s="102" t="s">
        <v>3</v>
      </c>
      <c r="C137" s="102" t="s">
        <v>2011</v>
      </c>
      <c r="D137" s="102" t="s">
        <v>3724</v>
      </c>
      <c r="E137" s="102" t="s">
        <v>4162</v>
      </c>
      <c r="F137" s="102" t="s">
        <v>211</v>
      </c>
      <c r="G137" s="102" t="s">
        <v>3923</v>
      </c>
      <c r="H137" s="102" t="s">
        <v>4140</v>
      </c>
      <c r="I137" s="102" t="s">
        <v>4136</v>
      </c>
      <c r="J137" s="102" t="s">
        <v>4137</v>
      </c>
      <c r="K137" s="102" t="s">
        <v>4141</v>
      </c>
      <c r="L137" s="102" t="s">
        <v>4166</v>
      </c>
    </row>
    <row r="138" spans="1:12">
      <c r="A138" s="102" t="s">
        <v>212</v>
      </c>
      <c r="B138" s="102" t="s">
        <v>3</v>
      </c>
      <c r="C138" s="102" t="s">
        <v>2011</v>
      </c>
      <c r="D138" s="102" t="s">
        <v>3724</v>
      </c>
      <c r="E138" s="102" t="s">
        <v>4162</v>
      </c>
      <c r="F138" s="102" t="s">
        <v>213</v>
      </c>
      <c r="G138" s="102" t="s">
        <v>3924</v>
      </c>
      <c r="H138" s="102" t="s">
        <v>1488</v>
      </c>
      <c r="I138" s="102" t="s">
        <v>2668</v>
      </c>
      <c r="J138" s="102" t="s">
        <v>2671</v>
      </c>
      <c r="K138" s="102" t="s">
        <v>1196</v>
      </c>
      <c r="L138" s="102" t="s">
        <v>4166</v>
      </c>
    </row>
    <row r="139" spans="1:12">
      <c r="A139" s="102" t="s">
        <v>214</v>
      </c>
      <c r="B139" s="102" t="s">
        <v>3</v>
      </c>
      <c r="C139" s="102" t="s">
        <v>2011</v>
      </c>
      <c r="D139" s="102" t="s">
        <v>3724</v>
      </c>
      <c r="E139" s="102" t="s">
        <v>4162</v>
      </c>
      <c r="F139" s="102" t="s">
        <v>215</v>
      </c>
      <c r="G139" s="102" t="s">
        <v>3925</v>
      </c>
      <c r="H139" s="102" t="s">
        <v>1488</v>
      </c>
      <c r="I139" s="102" t="s">
        <v>2668</v>
      </c>
      <c r="J139" s="102" t="s">
        <v>2671</v>
      </c>
      <c r="K139" s="102" t="s">
        <v>4142</v>
      </c>
      <c r="L139" s="102" t="s">
        <v>4166</v>
      </c>
    </row>
    <row r="140" spans="1:12">
      <c r="A140" s="102" t="s">
        <v>216</v>
      </c>
      <c r="B140" s="102" t="s">
        <v>3</v>
      </c>
      <c r="C140" s="102" t="s">
        <v>2011</v>
      </c>
      <c r="D140" s="102" t="s">
        <v>3724</v>
      </c>
      <c r="E140" s="102" t="s">
        <v>4162</v>
      </c>
      <c r="F140" s="102" t="s">
        <v>217</v>
      </c>
      <c r="G140" s="102" t="s">
        <v>3926</v>
      </c>
      <c r="H140" s="102" t="s">
        <v>4140</v>
      </c>
      <c r="I140" s="102" t="s">
        <v>4136</v>
      </c>
      <c r="J140" s="102" t="s">
        <v>4137</v>
      </c>
      <c r="K140" s="102" t="s">
        <v>4141</v>
      </c>
      <c r="L140" s="102" t="s">
        <v>4166</v>
      </c>
    </row>
    <row r="141" spans="1:12">
      <c r="A141" s="102" t="s">
        <v>218</v>
      </c>
      <c r="B141" s="102" t="s">
        <v>3</v>
      </c>
      <c r="C141" s="102" t="s">
        <v>2011</v>
      </c>
      <c r="D141" s="102" t="s">
        <v>3724</v>
      </c>
      <c r="E141" s="102" t="s">
        <v>4162</v>
      </c>
      <c r="F141" s="102" t="s">
        <v>3927</v>
      </c>
      <c r="G141" s="102" t="s">
        <v>3928</v>
      </c>
      <c r="H141" s="102" t="s">
        <v>4140</v>
      </c>
      <c r="I141" s="102" t="s">
        <v>4136</v>
      </c>
      <c r="J141" s="102" t="s">
        <v>4137</v>
      </c>
      <c r="K141" s="102" t="s">
        <v>4141</v>
      </c>
      <c r="L141" s="102" t="s">
        <v>4166</v>
      </c>
    </row>
    <row r="142" spans="1:12">
      <c r="A142" s="102" t="s">
        <v>219</v>
      </c>
      <c r="B142" s="102" t="s">
        <v>3</v>
      </c>
      <c r="C142" s="102" t="s">
        <v>2011</v>
      </c>
      <c r="D142" s="102" t="s">
        <v>3724</v>
      </c>
      <c r="E142" s="102" t="s">
        <v>4162</v>
      </c>
      <c r="F142" s="102" t="s">
        <v>3929</v>
      </c>
      <c r="G142" s="102" t="s">
        <v>3930</v>
      </c>
      <c r="H142" s="102" t="s">
        <v>4140</v>
      </c>
      <c r="I142" s="102" t="s">
        <v>4136</v>
      </c>
      <c r="J142" s="102" t="s">
        <v>4137</v>
      </c>
      <c r="K142" s="102" t="s">
        <v>1194</v>
      </c>
      <c r="L142" s="102" t="s">
        <v>4166</v>
      </c>
    </row>
    <row r="143" spans="1:12">
      <c r="A143" s="102" t="s">
        <v>220</v>
      </c>
      <c r="B143" s="102" t="s">
        <v>3</v>
      </c>
      <c r="C143" s="102" t="s">
        <v>2011</v>
      </c>
      <c r="D143" s="102" t="s">
        <v>3724</v>
      </c>
      <c r="E143" s="102" t="s">
        <v>4162</v>
      </c>
      <c r="F143" s="102" t="s">
        <v>221</v>
      </c>
      <c r="G143" s="102" t="s">
        <v>3931</v>
      </c>
      <c r="H143" s="102" t="s">
        <v>4143</v>
      </c>
      <c r="I143" s="102" t="s">
        <v>2690</v>
      </c>
      <c r="J143" s="102" t="s">
        <v>2693</v>
      </c>
      <c r="K143" s="102" t="s">
        <v>3132</v>
      </c>
      <c r="L143" s="102" t="s">
        <v>4166</v>
      </c>
    </row>
    <row r="144" spans="1:12">
      <c r="A144" s="102" t="s">
        <v>222</v>
      </c>
      <c r="B144" s="102" t="s">
        <v>3</v>
      </c>
      <c r="C144" s="102" t="s">
        <v>2011</v>
      </c>
      <c r="D144" s="102" t="s">
        <v>3724</v>
      </c>
      <c r="E144" s="102" t="s">
        <v>4162</v>
      </c>
      <c r="F144" s="102" t="s">
        <v>223</v>
      </c>
      <c r="G144" s="102" t="s">
        <v>3932</v>
      </c>
      <c r="H144" s="102" t="s">
        <v>4143</v>
      </c>
      <c r="I144" s="102" t="s">
        <v>2690</v>
      </c>
      <c r="J144" s="102" t="s">
        <v>2693</v>
      </c>
      <c r="K144" s="102" t="s">
        <v>4144</v>
      </c>
      <c r="L144" s="102" t="s">
        <v>4166</v>
      </c>
    </row>
    <row r="145" spans="1:12">
      <c r="A145" s="102" t="s">
        <v>224</v>
      </c>
      <c r="B145" s="102" t="s">
        <v>3</v>
      </c>
      <c r="C145" s="102" t="s">
        <v>2011</v>
      </c>
      <c r="D145" s="102" t="s">
        <v>3724</v>
      </c>
      <c r="E145" s="102" t="s">
        <v>4162</v>
      </c>
      <c r="F145" s="102" t="s">
        <v>225</v>
      </c>
      <c r="G145" s="102" t="s">
        <v>3933</v>
      </c>
      <c r="H145" s="102" t="s">
        <v>4068</v>
      </c>
      <c r="I145" s="102" t="s">
        <v>4069</v>
      </c>
      <c r="J145" s="102" t="s">
        <v>4070</v>
      </c>
      <c r="K145" s="102" t="s">
        <v>1491</v>
      </c>
      <c r="L145" s="102" t="s">
        <v>4166</v>
      </c>
    </row>
    <row r="146" spans="1:12">
      <c r="A146" s="102" t="s">
        <v>226</v>
      </c>
      <c r="B146" s="102" t="s">
        <v>3</v>
      </c>
      <c r="C146" s="102" t="s">
        <v>2011</v>
      </c>
      <c r="D146" s="102" t="s">
        <v>3724</v>
      </c>
      <c r="E146" s="102" t="s">
        <v>4162</v>
      </c>
      <c r="F146" s="102" t="s">
        <v>227</v>
      </c>
      <c r="G146" s="102" t="s">
        <v>3934</v>
      </c>
      <c r="H146" s="102" t="s">
        <v>4068</v>
      </c>
      <c r="I146" s="102" t="s">
        <v>4069</v>
      </c>
      <c r="J146" s="102" t="s">
        <v>4070</v>
      </c>
      <c r="K146" s="102" t="s">
        <v>1202</v>
      </c>
      <c r="L146" s="102" t="s">
        <v>4166</v>
      </c>
    </row>
    <row r="147" spans="1:12">
      <c r="A147" s="102" t="s">
        <v>228</v>
      </c>
      <c r="B147" s="102" t="s">
        <v>3</v>
      </c>
      <c r="C147" s="102" t="s">
        <v>2011</v>
      </c>
      <c r="D147" s="102" t="s">
        <v>3724</v>
      </c>
      <c r="E147" s="102" t="s">
        <v>4162</v>
      </c>
      <c r="F147" s="102" t="s">
        <v>229</v>
      </c>
      <c r="G147" s="102" t="s">
        <v>3935</v>
      </c>
      <c r="H147" s="102" t="s">
        <v>4090</v>
      </c>
      <c r="I147" s="102" t="s">
        <v>4091</v>
      </c>
      <c r="J147" s="102" t="s">
        <v>4092</v>
      </c>
      <c r="K147" s="102" t="s">
        <v>3108</v>
      </c>
      <c r="L147" s="102" t="s">
        <v>4166</v>
      </c>
    </row>
    <row r="148" spans="1:12">
      <c r="A148" s="102" t="s">
        <v>230</v>
      </c>
      <c r="B148" s="102" t="s">
        <v>3</v>
      </c>
      <c r="C148" s="102" t="s">
        <v>2011</v>
      </c>
      <c r="D148" s="102" t="s">
        <v>3724</v>
      </c>
      <c r="E148" s="102" t="s">
        <v>4162</v>
      </c>
      <c r="F148" s="102" t="s">
        <v>3936</v>
      </c>
      <c r="G148" s="102" t="s">
        <v>3937</v>
      </c>
      <c r="H148" s="102" t="s">
        <v>4090</v>
      </c>
      <c r="I148" s="102" t="s">
        <v>4091</v>
      </c>
      <c r="J148" s="102" t="s">
        <v>4092</v>
      </c>
      <c r="K148" s="102" t="s">
        <v>3078</v>
      </c>
      <c r="L148" s="102" t="s">
        <v>4166</v>
      </c>
    </row>
    <row r="149" spans="1:12">
      <c r="A149" s="102" t="s">
        <v>231</v>
      </c>
      <c r="B149" s="102" t="s">
        <v>3</v>
      </c>
      <c r="C149" s="102" t="s">
        <v>2011</v>
      </c>
      <c r="D149" s="102" t="s">
        <v>3724</v>
      </c>
      <c r="E149" s="102" t="s">
        <v>4162</v>
      </c>
      <c r="F149" s="102" t="s">
        <v>3938</v>
      </c>
      <c r="G149" s="102" t="s">
        <v>3939</v>
      </c>
      <c r="H149" s="102" t="s">
        <v>4145</v>
      </c>
      <c r="I149" s="102"/>
      <c r="J149" s="102"/>
      <c r="K149" s="102"/>
      <c r="L149" s="102" t="s">
        <v>4170</v>
      </c>
    </row>
    <row r="150" spans="1:12">
      <c r="A150" s="102" t="s">
        <v>234</v>
      </c>
      <c r="B150" s="102" t="s">
        <v>3</v>
      </c>
      <c r="C150" s="102" t="s">
        <v>2011</v>
      </c>
      <c r="D150" s="102" t="s">
        <v>3724</v>
      </c>
      <c r="E150" s="102" t="s">
        <v>4162</v>
      </c>
      <c r="F150" s="102" t="s">
        <v>3940</v>
      </c>
      <c r="G150" s="102" t="s">
        <v>3941</v>
      </c>
      <c r="H150" s="102" t="s">
        <v>4146</v>
      </c>
      <c r="I150" s="102"/>
      <c r="J150" s="102" t="s">
        <v>2699</v>
      </c>
      <c r="K150" s="102" t="s">
        <v>4147</v>
      </c>
      <c r="L150" s="102" t="s">
        <v>4170</v>
      </c>
    </row>
    <row r="151" spans="1:12">
      <c r="A151" s="102" t="s">
        <v>235</v>
      </c>
      <c r="B151" s="102" t="s">
        <v>3</v>
      </c>
      <c r="C151" s="102" t="s">
        <v>2011</v>
      </c>
      <c r="D151" s="102" t="s">
        <v>3724</v>
      </c>
      <c r="E151" s="102" t="s">
        <v>4162</v>
      </c>
      <c r="F151" s="102" t="s">
        <v>236</v>
      </c>
      <c r="G151" s="102" t="s">
        <v>3942</v>
      </c>
      <c r="H151" s="102" t="s">
        <v>4148</v>
      </c>
      <c r="I151" s="102"/>
      <c r="J151" s="102"/>
      <c r="K151" s="102"/>
      <c r="L151" s="102" t="s">
        <v>4170</v>
      </c>
    </row>
    <row r="152" spans="1:12">
      <c r="A152" s="102" t="s">
        <v>232</v>
      </c>
      <c r="B152" s="102" t="s">
        <v>3</v>
      </c>
      <c r="C152" s="102" t="s">
        <v>2011</v>
      </c>
      <c r="D152" s="102" t="s">
        <v>3724</v>
      </c>
      <c r="E152" s="102" t="s">
        <v>4162</v>
      </c>
      <c r="F152" s="102" t="s">
        <v>233</v>
      </c>
      <c r="G152" s="102" t="s">
        <v>3943</v>
      </c>
      <c r="H152" s="102" t="s">
        <v>4088</v>
      </c>
      <c r="I152" s="102" t="s">
        <v>2723</v>
      </c>
      <c r="J152" s="102" t="s">
        <v>2726</v>
      </c>
      <c r="K152" s="102" t="s">
        <v>4089</v>
      </c>
      <c r="L152" s="102" t="s">
        <v>4166</v>
      </c>
    </row>
    <row r="153" spans="1:12">
      <c r="A153" s="102" t="s">
        <v>237</v>
      </c>
      <c r="B153" s="102" t="s">
        <v>3</v>
      </c>
      <c r="C153" s="102" t="s">
        <v>2011</v>
      </c>
      <c r="D153" s="102" t="s">
        <v>3724</v>
      </c>
      <c r="E153" s="102" t="s">
        <v>4162</v>
      </c>
      <c r="F153" s="102" t="s">
        <v>3944</v>
      </c>
      <c r="G153" s="102" t="s">
        <v>3945</v>
      </c>
      <c r="H153" s="102" t="s">
        <v>4149</v>
      </c>
      <c r="I153" s="102"/>
      <c r="J153" s="102" t="s">
        <v>2556</v>
      </c>
      <c r="K153" s="102" t="s">
        <v>1201</v>
      </c>
      <c r="L153" s="102" t="s">
        <v>4170</v>
      </c>
    </row>
    <row r="154" spans="1:12">
      <c r="A154" s="102" t="s">
        <v>238</v>
      </c>
      <c r="B154" s="102" t="s">
        <v>3</v>
      </c>
      <c r="C154" s="102" t="s">
        <v>2011</v>
      </c>
      <c r="D154" s="102" t="s">
        <v>3724</v>
      </c>
      <c r="E154" s="102" t="s">
        <v>4162</v>
      </c>
      <c r="F154" s="102" t="s">
        <v>239</v>
      </c>
      <c r="G154" s="102" t="s">
        <v>3946</v>
      </c>
      <c r="H154" s="102" t="s">
        <v>1478</v>
      </c>
      <c r="I154" s="102" t="s">
        <v>1548</v>
      </c>
      <c r="J154" s="102" t="s">
        <v>2687</v>
      </c>
      <c r="K154" s="102" t="s">
        <v>3100</v>
      </c>
      <c r="L154" s="102" t="s">
        <v>4166</v>
      </c>
    </row>
    <row r="155" spans="1:12">
      <c r="A155" s="102" t="s">
        <v>240</v>
      </c>
      <c r="B155" s="102" t="s">
        <v>3</v>
      </c>
      <c r="C155" s="102" t="s">
        <v>286</v>
      </c>
      <c r="D155" s="102" t="s">
        <v>980</v>
      </c>
      <c r="E155" s="102" t="s">
        <v>980</v>
      </c>
      <c r="F155" s="102" t="s">
        <v>241</v>
      </c>
      <c r="G155" s="102" t="s">
        <v>3947</v>
      </c>
      <c r="H155" s="102"/>
      <c r="I155" s="102"/>
      <c r="J155" s="102"/>
      <c r="K155" s="102"/>
      <c r="L155" s="102" t="s">
        <v>4167</v>
      </c>
    </row>
    <row r="156" spans="1:12">
      <c r="A156" s="102" t="s">
        <v>244</v>
      </c>
      <c r="B156" s="102" t="s">
        <v>3</v>
      </c>
      <c r="C156" s="102" t="s">
        <v>286</v>
      </c>
      <c r="D156" s="102" t="s">
        <v>980</v>
      </c>
      <c r="E156" s="102" t="s">
        <v>980</v>
      </c>
      <c r="F156" s="102" t="s">
        <v>245</v>
      </c>
      <c r="G156" s="102" t="s">
        <v>3948</v>
      </c>
      <c r="H156" s="102"/>
      <c r="I156" s="102"/>
      <c r="J156" s="102"/>
      <c r="K156" s="102"/>
      <c r="L156" s="102" t="s">
        <v>4167</v>
      </c>
    </row>
    <row r="157" spans="1:12">
      <c r="A157" s="102" t="s">
        <v>246</v>
      </c>
      <c r="B157" s="102" t="s">
        <v>3</v>
      </c>
      <c r="C157" s="102" t="s">
        <v>286</v>
      </c>
      <c r="D157" s="102" t="s">
        <v>980</v>
      </c>
      <c r="E157" s="102" t="s">
        <v>980</v>
      </c>
      <c r="F157" s="102" t="s">
        <v>247</v>
      </c>
      <c r="G157" s="102" t="s">
        <v>3949</v>
      </c>
      <c r="H157" s="102"/>
      <c r="I157" s="102"/>
      <c r="J157" s="102"/>
      <c r="K157" s="102"/>
      <c r="L157" s="102" t="s">
        <v>4167</v>
      </c>
    </row>
    <row r="158" spans="1:12">
      <c r="A158" s="102" t="s">
        <v>248</v>
      </c>
      <c r="B158" s="102" t="s">
        <v>3</v>
      </c>
      <c r="C158" s="102" t="s">
        <v>286</v>
      </c>
      <c r="D158" s="102" t="s">
        <v>980</v>
      </c>
      <c r="E158" s="102" t="s">
        <v>980</v>
      </c>
      <c r="F158" s="102" t="s">
        <v>3950</v>
      </c>
      <c r="G158" s="102" t="s">
        <v>3951</v>
      </c>
      <c r="H158" s="102"/>
      <c r="I158" s="102"/>
      <c r="J158" s="102"/>
      <c r="K158" s="102"/>
      <c r="L158" s="102" t="s">
        <v>4167</v>
      </c>
    </row>
    <row r="159" spans="1:12">
      <c r="A159" s="102" t="s">
        <v>249</v>
      </c>
      <c r="B159" s="102" t="s">
        <v>3</v>
      </c>
      <c r="C159" s="102" t="s">
        <v>286</v>
      </c>
      <c r="D159" s="102" t="s">
        <v>980</v>
      </c>
      <c r="E159" s="102" t="s">
        <v>980</v>
      </c>
      <c r="F159" s="102" t="s">
        <v>3952</v>
      </c>
      <c r="G159" s="102" t="s">
        <v>3953</v>
      </c>
      <c r="H159" s="102"/>
      <c r="I159" s="102"/>
      <c r="J159" s="102"/>
      <c r="K159" s="102" t="s">
        <v>1492</v>
      </c>
      <c r="L159" s="102" t="s">
        <v>4167</v>
      </c>
    </row>
    <row r="160" spans="1:12">
      <c r="A160" s="102" t="s">
        <v>250</v>
      </c>
      <c r="B160" s="102" t="s">
        <v>3</v>
      </c>
      <c r="C160" s="102" t="s">
        <v>2011</v>
      </c>
      <c r="D160" s="102" t="s">
        <v>3724</v>
      </c>
      <c r="E160" s="102" t="s">
        <v>4162</v>
      </c>
      <c r="F160" s="102" t="s">
        <v>3954</v>
      </c>
      <c r="G160" s="102" t="s">
        <v>3955</v>
      </c>
      <c r="H160" s="102" t="s">
        <v>4068</v>
      </c>
      <c r="I160" s="102" t="s">
        <v>4069</v>
      </c>
      <c r="J160" s="102" t="s">
        <v>4070</v>
      </c>
      <c r="K160" s="102" t="s">
        <v>4150</v>
      </c>
      <c r="L160" s="102" t="s">
        <v>4166</v>
      </c>
    </row>
    <row r="161" spans="1:12">
      <c r="A161" s="102" t="s">
        <v>242</v>
      </c>
      <c r="B161" s="102" t="s">
        <v>3</v>
      </c>
      <c r="C161" s="102" t="s">
        <v>2011</v>
      </c>
      <c r="D161" s="102" t="s">
        <v>3724</v>
      </c>
      <c r="E161" s="102" t="s">
        <v>4162</v>
      </c>
      <c r="F161" s="102" t="s">
        <v>243</v>
      </c>
      <c r="G161" s="102" t="s">
        <v>3956</v>
      </c>
      <c r="H161" s="102" t="s">
        <v>1498</v>
      </c>
      <c r="I161" s="102" t="s">
        <v>1558</v>
      </c>
      <c r="J161" s="102" t="s">
        <v>2604</v>
      </c>
      <c r="K161" s="102" t="s">
        <v>2975</v>
      </c>
      <c r="L161" s="102" t="s">
        <v>4166</v>
      </c>
    </row>
    <row r="162" spans="1:12">
      <c r="A162" s="102" t="s">
        <v>253</v>
      </c>
      <c r="B162" s="102" t="s">
        <v>3</v>
      </c>
      <c r="C162" s="102" t="s">
        <v>2011</v>
      </c>
      <c r="D162" s="102" t="s">
        <v>3724</v>
      </c>
      <c r="E162" s="102" t="s">
        <v>4162</v>
      </c>
      <c r="F162" s="102" t="s">
        <v>3957</v>
      </c>
      <c r="G162" s="102" t="s">
        <v>3958</v>
      </c>
      <c r="H162" s="102" t="s">
        <v>1542</v>
      </c>
      <c r="I162" s="102" t="s">
        <v>1967</v>
      </c>
      <c r="J162" s="102" t="s">
        <v>2918</v>
      </c>
      <c r="K162" s="102" t="s">
        <v>4151</v>
      </c>
      <c r="L162" s="102" t="s">
        <v>4166</v>
      </c>
    </row>
    <row r="163" spans="1:12">
      <c r="A163" s="102" t="s">
        <v>251</v>
      </c>
      <c r="B163" s="102" t="s">
        <v>3</v>
      </c>
      <c r="C163" s="102" t="s">
        <v>2011</v>
      </c>
      <c r="D163" s="102" t="s">
        <v>3724</v>
      </c>
      <c r="E163" s="102" t="s">
        <v>4162</v>
      </c>
      <c r="F163" s="102" t="s">
        <v>252</v>
      </c>
      <c r="G163" s="102" t="s">
        <v>3959</v>
      </c>
      <c r="H163" s="102" t="s">
        <v>4068</v>
      </c>
      <c r="I163" s="102" t="s">
        <v>4069</v>
      </c>
      <c r="J163" s="102" t="s">
        <v>4070</v>
      </c>
      <c r="K163" s="102" t="s">
        <v>1202</v>
      </c>
      <c r="L163" s="102" t="s">
        <v>4166</v>
      </c>
    </row>
    <row r="164" spans="1:12">
      <c r="A164" s="102" t="s">
        <v>254</v>
      </c>
      <c r="B164" s="102" t="s">
        <v>3</v>
      </c>
      <c r="C164" s="102" t="s">
        <v>2011</v>
      </c>
      <c r="D164" s="102" t="s">
        <v>3724</v>
      </c>
      <c r="E164" s="102" t="s">
        <v>4162</v>
      </c>
      <c r="F164" s="102" t="s">
        <v>3960</v>
      </c>
      <c r="G164" s="102" t="s">
        <v>3961</v>
      </c>
      <c r="H164" s="102" t="s">
        <v>4152</v>
      </c>
      <c r="I164" s="102" t="s">
        <v>4153</v>
      </c>
      <c r="J164" s="102" t="s">
        <v>4154</v>
      </c>
      <c r="K164" s="102" t="s">
        <v>4155</v>
      </c>
      <c r="L164" s="102" t="s">
        <v>4166</v>
      </c>
    </row>
    <row r="165" spans="1:12">
      <c r="A165" s="102" t="s">
        <v>255</v>
      </c>
      <c r="B165" s="102" t="s">
        <v>3</v>
      </c>
      <c r="C165" s="102" t="s">
        <v>2011</v>
      </c>
      <c r="D165" s="102" t="s">
        <v>3724</v>
      </c>
      <c r="E165" s="102" t="s">
        <v>4162</v>
      </c>
      <c r="F165" s="102" t="s">
        <v>256</v>
      </c>
      <c r="G165" s="102" t="s">
        <v>3962</v>
      </c>
      <c r="H165" s="102"/>
      <c r="I165" s="102"/>
      <c r="J165" s="102"/>
      <c r="K165" s="102"/>
      <c r="L165" s="102" t="s">
        <v>4171</v>
      </c>
    </row>
    <row r="166" spans="1:12">
      <c r="A166" s="102" t="s">
        <v>257</v>
      </c>
      <c r="B166" s="102" t="s">
        <v>3</v>
      </c>
      <c r="C166" s="102" t="s">
        <v>2011</v>
      </c>
      <c r="D166" s="102" t="s">
        <v>3724</v>
      </c>
      <c r="E166" s="102" t="s">
        <v>4162</v>
      </c>
      <c r="F166" s="102" t="s">
        <v>258</v>
      </c>
      <c r="G166" s="102" t="s">
        <v>3963</v>
      </c>
      <c r="H166" s="102"/>
      <c r="I166" s="102"/>
      <c r="J166" s="102"/>
      <c r="K166" s="102"/>
      <c r="L166" s="102" t="s">
        <v>4171</v>
      </c>
    </row>
    <row r="167" spans="1:12">
      <c r="A167" s="102" t="s">
        <v>259</v>
      </c>
      <c r="B167" s="102" t="s">
        <v>3</v>
      </c>
      <c r="C167" s="102" t="s">
        <v>2011</v>
      </c>
      <c r="D167" s="102" t="s">
        <v>3724</v>
      </c>
      <c r="E167" s="102" t="s">
        <v>4162</v>
      </c>
      <c r="F167" s="102" t="s">
        <v>3964</v>
      </c>
      <c r="G167" s="102" t="s">
        <v>3965</v>
      </c>
      <c r="H167" s="102"/>
      <c r="I167" s="102"/>
      <c r="J167" s="102"/>
      <c r="K167" s="102"/>
      <c r="L167" s="102" t="s">
        <v>4171</v>
      </c>
    </row>
    <row r="168" spans="1:12">
      <c r="A168" s="102" t="s">
        <v>260</v>
      </c>
      <c r="B168" s="102" t="s">
        <v>3</v>
      </c>
      <c r="C168" s="102" t="s">
        <v>2011</v>
      </c>
      <c r="D168" s="102" t="s">
        <v>3724</v>
      </c>
      <c r="E168" s="102" t="s">
        <v>4162</v>
      </c>
      <c r="F168" s="102" t="s">
        <v>3966</v>
      </c>
      <c r="G168" s="102" t="s">
        <v>3967</v>
      </c>
      <c r="H168" s="102" t="s">
        <v>4140</v>
      </c>
      <c r="I168" s="102" t="s">
        <v>4136</v>
      </c>
      <c r="J168" s="102" t="s">
        <v>4137</v>
      </c>
      <c r="K168" s="102" t="s">
        <v>4141</v>
      </c>
      <c r="L168" s="102" t="s">
        <v>4171</v>
      </c>
    </row>
    <row r="169" spans="1:12">
      <c r="A169" s="102" t="s">
        <v>261</v>
      </c>
      <c r="B169" s="102" t="s">
        <v>3</v>
      </c>
      <c r="C169" s="102" t="s">
        <v>2011</v>
      </c>
      <c r="D169" s="102" t="s">
        <v>3724</v>
      </c>
      <c r="E169" s="102" t="s">
        <v>4162</v>
      </c>
      <c r="F169" s="102" t="s">
        <v>262</v>
      </c>
      <c r="G169" s="102" t="s">
        <v>3968</v>
      </c>
      <c r="H169" s="102" t="s">
        <v>4148</v>
      </c>
      <c r="I169" s="102"/>
      <c r="J169" s="102"/>
      <c r="K169" s="102"/>
      <c r="L169" s="102" t="s">
        <v>4171</v>
      </c>
    </row>
    <row r="170" spans="1:12">
      <c r="A170" s="102" t="s">
        <v>263</v>
      </c>
      <c r="B170" s="102" t="s">
        <v>3</v>
      </c>
      <c r="C170" s="102" t="s">
        <v>2011</v>
      </c>
      <c r="D170" s="102" t="s">
        <v>3724</v>
      </c>
      <c r="E170" s="102" t="s">
        <v>4162</v>
      </c>
      <c r="F170" s="102" t="s">
        <v>3969</v>
      </c>
      <c r="G170" s="102" t="s">
        <v>3970</v>
      </c>
      <c r="H170" s="102" t="s">
        <v>4090</v>
      </c>
      <c r="I170" s="102" t="s">
        <v>4091</v>
      </c>
      <c r="J170" s="102" t="s">
        <v>4092</v>
      </c>
      <c r="K170" s="102" t="s">
        <v>4093</v>
      </c>
      <c r="L170" s="102" t="s">
        <v>4171</v>
      </c>
    </row>
    <row r="171" spans="1:12">
      <c r="A171" s="102" t="s">
        <v>264</v>
      </c>
      <c r="B171" s="102" t="s">
        <v>3</v>
      </c>
      <c r="C171" s="102" t="s">
        <v>2011</v>
      </c>
      <c r="D171" s="102" t="s">
        <v>3724</v>
      </c>
      <c r="E171" s="102" t="s">
        <v>4162</v>
      </c>
      <c r="F171" s="102" t="s">
        <v>3971</v>
      </c>
      <c r="G171" s="102" t="s">
        <v>3972</v>
      </c>
      <c r="H171" s="102"/>
      <c r="I171" s="102"/>
      <c r="J171" s="102"/>
      <c r="K171" s="102"/>
      <c r="L171" s="102" t="s">
        <v>4171</v>
      </c>
    </row>
    <row r="172" spans="1:12">
      <c r="A172" s="102" t="s">
        <v>265</v>
      </c>
      <c r="B172" s="102" t="s">
        <v>3</v>
      </c>
      <c r="C172" s="102" t="s">
        <v>2011</v>
      </c>
      <c r="D172" s="102" t="s">
        <v>3724</v>
      </c>
      <c r="E172" s="102" t="s">
        <v>4162</v>
      </c>
      <c r="F172" s="102" t="s">
        <v>3973</v>
      </c>
      <c r="G172" s="102" t="s">
        <v>3974</v>
      </c>
      <c r="H172" s="102"/>
      <c r="I172" s="102"/>
      <c r="J172" s="102"/>
      <c r="K172" s="102"/>
      <c r="L172" s="102" t="s">
        <v>4171</v>
      </c>
    </row>
    <row r="173" spans="1:12">
      <c r="A173" s="102" t="s">
        <v>266</v>
      </c>
      <c r="B173" s="102" t="s">
        <v>3</v>
      </c>
      <c r="C173" s="102" t="s">
        <v>2011</v>
      </c>
      <c r="D173" s="102" t="s">
        <v>3724</v>
      </c>
      <c r="E173" s="102" t="s">
        <v>4162</v>
      </c>
      <c r="F173" s="102" t="s">
        <v>3975</v>
      </c>
      <c r="G173" s="102" t="s">
        <v>3976</v>
      </c>
      <c r="H173" s="102"/>
      <c r="I173" s="102"/>
      <c r="J173" s="102"/>
      <c r="K173" s="102"/>
      <c r="L173" s="102" t="s">
        <v>4171</v>
      </c>
    </row>
    <row r="174" spans="1:12">
      <c r="A174" s="102" t="s">
        <v>267</v>
      </c>
      <c r="B174" s="102" t="s">
        <v>3</v>
      </c>
      <c r="C174" s="102" t="s">
        <v>2011</v>
      </c>
      <c r="D174" s="102" t="s">
        <v>4163</v>
      </c>
      <c r="E174" s="102" t="s">
        <v>2114</v>
      </c>
      <c r="F174" s="102" t="s">
        <v>268</v>
      </c>
      <c r="G174" s="102" t="s">
        <v>3977</v>
      </c>
      <c r="H174" s="102"/>
      <c r="I174" s="102"/>
      <c r="J174" s="102"/>
      <c r="K174" s="102"/>
      <c r="L174" s="102" t="s">
        <v>4168</v>
      </c>
    </row>
    <row r="175" spans="1:12">
      <c r="A175" s="102" t="s">
        <v>269</v>
      </c>
      <c r="B175" s="102" t="s">
        <v>3</v>
      </c>
      <c r="C175" s="102" t="s">
        <v>2011</v>
      </c>
      <c r="D175" s="102" t="s">
        <v>4163</v>
      </c>
      <c r="E175" s="102" t="s">
        <v>2114</v>
      </c>
      <c r="F175" s="102" t="s">
        <v>270</v>
      </c>
      <c r="G175" s="102" t="s">
        <v>3978</v>
      </c>
      <c r="H175" s="102"/>
      <c r="I175" s="102"/>
      <c r="J175" s="102"/>
      <c r="K175" s="102"/>
      <c r="L175" s="102" t="s">
        <v>4168</v>
      </c>
    </row>
    <row r="176" spans="1:12">
      <c r="A176" s="102" t="s">
        <v>271</v>
      </c>
      <c r="B176" s="102" t="s">
        <v>3</v>
      </c>
      <c r="C176" s="102" t="s">
        <v>2011</v>
      </c>
      <c r="D176" s="102" t="s">
        <v>3724</v>
      </c>
      <c r="E176" s="102" t="s">
        <v>4162</v>
      </c>
      <c r="F176" s="102" t="s">
        <v>272</v>
      </c>
      <c r="G176" s="102" t="s">
        <v>3979</v>
      </c>
      <c r="H176" s="102" t="s">
        <v>4156</v>
      </c>
      <c r="I176" s="102" t="s">
        <v>4157</v>
      </c>
      <c r="J176" s="102" t="s">
        <v>4158</v>
      </c>
      <c r="K176" s="102" t="s">
        <v>4159</v>
      </c>
      <c r="L176" s="102" t="s">
        <v>4166</v>
      </c>
    </row>
    <row r="177" spans="1:12">
      <c r="A177" s="102" t="s">
        <v>273</v>
      </c>
      <c r="B177" s="102" t="s">
        <v>3</v>
      </c>
      <c r="C177" s="102" t="s">
        <v>2011</v>
      </c>
      <c r="D177" s="102" t="s">
        <v>3724</v>
      </c>
      <c r="E177" s="102" t="s">
        <v>4162</v>
      </c>
      <c r="F177" s="102" t="s">
        <v>274</v>
      </c>
      <c r="G177" s="102" t="s">
        <v>3980</v>
      </c>
      <c r="H177" s="102" t="s">
        <v>1482</v>
      </c>
      <c r="I177" s="102" t="s">
        <v>1962</v>
      </c>
      <c r="J177" s="102" t="s">
        <v>2551</v>
      </c>
      <c r="K177" s="102" t="s">
        <v>3034</v>
      </c>
      <c r="L177" s="102" t="s">
        <v>4166</v>
      </c>
    </row>
    <row r="178" spans="1:12">
      <c r="A178" s="102" t="s">
        <v>275</v>
      </c>
      <c r="B178" s="102" t="s">
        <v>3</v>
      </c>
      <c r="C178" s="102" t="s">
        <v>2011</v>
      </c>
      <c r="D178" s="102" t="s">
        <v>3724</v>
      </c>
      <c r="E178" s="102" t="s">
        <v>4162</v>
      </c>
      <c r="F178" s="102" t="s">
        <v>276</v>
      </c>
      <c r="G178" s="102" t="s">
        <v>3981</v>
      </c>
      <c r="H178" s="102" t="s">
        <v>2429</v>
      </c>
      <c r="I178" s="102" t="s">
        <v>1561</v>
      </c>
      <c r="J178" s="102" t="s">
        <v>2714</v>
      </c>
      <c r="K178" s="102" t="s">
        <v>1493</v>
      </c>
      <c r="L178" s="102" t="s">
        <v>4166</v>
      </c>
    </row>
  </sheetData>
  <autoFilter ref="A1:L178"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2"/>
  <sheetViews>
    <sheetView zoomScaleNormal="100" workbookViewId="0">
      <pane ySplit="6" topLeftCell="A121"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2032</v>
      </c>
      <c r="B1" s="21"/>
      <c r="C1" s="21"/>
      <c r="D1" s="21"/>
      <c r="E1" s="21"/>
      <c r="F1" s="21"/>
      <c r="G1" s="21"/>
      <c r="H1" s="21"/>
      <c r="I1" s="126"/>
      <c r="J1" s="21"/>
      <c r="K1" s="21"/>
      <c r="L1" s="21"/>
      <c r="M1" s="21"/>
      <c r="N1" s="21"/>
      <c r="O1" s="21"/>
      <c r="P1" s="21"/>
      <c r="Q1" s="21"/>
      <c r="R1" s="21"/>
      <c r="S1" s="21"/>
    </row>
    <row r="2" spans="1:21" ht="22" customHeight="1">
      <c r="A2" s="121" t="s">
        <v>2038</v>
      </c>
      <c r="B2" s="21"/>
      <c r="C2" s="21"/>
      <c r="D2" s="21"/>
      <c r="E2" s="21"/>
      <c r="F2" s="21"/>
      <c r="G2" s="21"/>
      <c r="H2" s="21"/>
      <c r="I2" s="126"/>
      <c r="J2" s="21"/>
      <c r="K2" s="21"/>
      <c r="L2" s="21"/>
      <c r="M2" s="21"/>
      <c r="N2" s="21"/>
      <c r="O2" s="21"/>
      <c r="P2" s="21"/>
      <c r="Q2" s="21"/>
      <c r="R2" s="21"/>
      <c r="S2" s="21"/>
    </row>
    <row r="3" spans="1:21" ht="22" customHeight="1">
      <c r="A3" s="113" t="s">
        <v>2037</v>
      </c>
      <c r="B3" s="21"/>
      <c r="C3" s="21"/>
      <c r="D3" s="21"/>
      <c r="E3" s="21"/>
      <c r="F3" s="21"/>
      <c r="G3" s="21"/>
      <c r="H3" s="21"/>
      <c r="I3" s="126"/>
      <c r="J3" s="21"/>
      <c r="K3" s="21"/>
      <c r="L3" s="21"/>
      <c r="M3" s="21"/>
      <c r="N3" s="21"/>
      <c r="O3" s="21"/>
      <c r="P3" s="21"/>
      <c r="Q3" s="21"/>
      <c r="R3" s="21"/>
      <c r="S3" s="21"/>
    </row>
    <row r="4" spans="1:21" ht="22" customHeight="1">
      <c r="A4" s="113" t="s">
        <v>2039</v>
      </c>
      <c r="B4" s="21"/>
      <c r="C4" s="21"/>
      <c r="D4" s="21"/>
      <c r="E4" s="21"/>
      <c r="F4" s="21"/>
      <c r="G4" s="21"/>
      <c r="H4" s="21"/>
      <c r="I4" s="126"/>
      <c r="J4" s="21"/>
      <c r="K4" s="21"/>
      <c r="L4" s="21"/>
      <c r="M4" s="21"/>
      <c r="N4" s="21"/>
      <c r="O4" s="21"/>
      <c r="P4" s="21"/>
      <c r="Q4" s="21"/>
      <c r="R4" s="21"/>
      <c r="S4" s="21"/>
    </row>
    <row r="5" spans="1:21" ht="22" customHeight="1">
      <c r="A5" s="114" t="s">
        <v>2031</v>
      </c>
      <c r="B5" s="21"/>
      <c r="C5" s="21"/>
      <c r="D5" s="21"/>
      <c r="E5" s="21"/>
      <c r="F5" s="21"/>
      <c r="G5" s="21"/>
      <c r="H5" s="21"/>
      <c r="I5" s="126"/>
      <c r="J5" s="21"/>
      <c r="K5" s="21"/>
      <c r="L5" s="21"/>
      <c r="M5" s="21"/>
      <c r="N5" s="21"/>
      <c r="O5" s="21"/>
      <c r="P5" s="21"/>
      <c r="Q5" s="21"/>
      <c r="R5" s="21"/>
      <c r="S5" s="21"/>
    </row>
    <row r="6" spans="1:21" ht="22" customHeight="1">
      <c r="A6" s="107" t="s">
        <v>1399</v>
      </c>
      <c r="B6" s="107" t="s">
        <v>1957</v>
      </c>
      <c r="C6" s="107" t="s">
        <v>2025</v>
      </c>
      <c r="D6" s="107" t="s">
        <v>1908</v>
      </c>
      <c r="E6" s="107" t="s">
        <v>1822</v>
      </c>
      <c r="F6" s="107" t="s">
        <v>1958</v>
      </c>
      <c r="G6" s="107" t="s">
        <v>1865</v>
      </c>
      <c r="H6" s="107" t="s">
        <v>1866</v>
      </c>
      <c r="I6" s="107" t="s">
        <v>1400</v>
      </c>
      <c r="J6" s="107" t="s">
        <v>2035</v>
      </c>
      <c r="K6" s="107" t="s">
        <v>2036</v>
      </c>
      <c r="L6" s="107" t="s">
        <v>1977</v>
      </c>
      <c r="M6" s="107" t="s">
        <v>1991</v>
      </c>
      <c r="N6" s="107" t="s">
        <v>1401</v>
      </c>
      <c r="O6" s="107" t="s">
        <v>2016</v>
      </c>
      <c r="P6" s="107" t="s">
        <v>1867</v>
      </c>
      <c r="Q6" s="107" t="s">
        <v>983</v>
      </c>
      <c r="R6" s="107" t="s">
        <v>335</v>
      </c>
      <c r="S6" s="107" t="s">
        <v>1681</v>
      </c>
      <c r="T6"/>
    </row>
    <row r="7" spans="1:21" ht="22" customHeight="1">
      <c r="A7" s="128" t="s">
        <v>1684</v>
      </c>
      <c r="B7" s="128" t="s">
        <v>2353</v>
      </c>
      <c r="C7" s="128" t="s">
        <v>2030</v>
      </c>
      <c r="D7" s="128" t="s">
        <v>2117</v>
      </c>
      <c r="E7" s="128" t="s">
        <v>3463</v>
      </c>
      <c r="F7" s="128" t="s">
        <v>3631</v>
      </c>
      <c r="G7" s="128" t="s">
        <v>3632</v>
      </c>
      <c r="H7" s="128" t="s">
        <v>2354</v>
      </c>
      <c r="I7" s="128">
        <v>1</v>
      </c>
      <c r="J7" s="128" t="s">
        <v>2033</v>
      </c>
      <c r="K7" s="128" t="s">
        <v>2033</v>
      </c>
      <c r="L7" s="128" t="s">
        <v>1978</v>
      </c>
      <c r="M7" s="128" t="s">
        <v>3633</v>
      </c>
      <c r="N7" s="128" t="s">
        <v>2011</v>
      </c>
      <c r="O7" s="128" t="s">
        <v>2021</v>
      </c>
      <c r="P7" s="128" t="s">
        <v>980</v>
      </c>
      <c r="Q7" s="128" t="s">
        <v>1</v>
      </c>
      <c r="R7" s="128"/>
      <c r="S7" s="128" t="s">
        <v>1592</v>
      </c>
      <c r="T7"/>
      <c r="U7"/>
    </row>
    <row r="8" spans="1:21" ht="22" customHeight="1">
      <c r="A8" s="128" t="s">
        <v>1533</v>
      </c>
      <c r="B8" s="128" t="s">
        <v>3634</v>
      </c>
      <c r="C8" s="128" t="s">
        <v>2030</v>
      </c>
      <c r="D8" s="128" t="s">
        <v>2117</v>
      </c>
      <c r="E8" s="128" t="s">
        <v>3463</v>
      </c>
      <c r="F8" s="128" t="s">
        <v>2355</v>
      </c>
      <c r="G8" s="128" t="s">
        <v>3635</v>
      </c>
      <c r="H8" s="128" t="s">
        <v>2356</v>
      </c>
      <c r="I8" s="128">
        <v>2</v>
      </c>
      <c r="J8" s="128" t="s">
        <v>2033</v>
      </c>
      <c r="K8" s="128" t="s">
        <v>2033</v>
      </c>
      <c r="L8" s="128" t="s">
        <v>1978</v>
      </c>
      <c r="M8" s="128" t="s">
        <v>3636</v>
      </c>
      <c r="N8" s="128" t="s">
        <v>2011</v>
      </c>
      <c r="O8" s="128" t="s">
        <v>2021</v>
      </c>
      <c r="P8" s="128" t="s">
        <v>980</v>
      </c>
      <c r="Q8" s="128" t="s">
        <v>1</v>
      </c>
      <c r="R8" s="128"/>
      <c r="S8" s="128" t="s">
        <v>1592</v>
      </c>
      <c r="T8"/>
    </row>
    <row r="9" spans="1:21" ht="22" customHeight="1">
      <c r="A9" s="128" t="s">
        <v>1685</v>
      </c>
      <c r="B9" s="128" t="s">
        <v>2353</v>
      </c>
      <c r="C9" s="128" t="s">
        <v>2030</v>
      </c>
      <c r="D9" s="128" t="s">
        <v>2117</v>
      </c>
      <c r="E9" s="128" t="s">
        <v>1827</v>
      </c>
      <c r="F9" s="128" t="s">
        <v>2357</v>
      </c>
      <c r="G9" s="128" t="s">
        <v>3637</v>
      </c>
      <c r="H9" s="128" t="s">
        <v>2358</v>
      </c>
      <c r="I9" s="128">
        <v>0.5</v>
      </c>
      <c r="J9" s="128" t="s">
        <v>2033</v>
      </c>
      <c r="K9" s="128" t="s">
        <v>2033</v>
      </c>
      <c r="L9" s="128" t="s">
        <v>1982</v>
      </c>
      <c r="M9" s="128" t="s">
        <v>3638</v>
      </c>
      <c r="N9" s="128" t="s">
        <v>2011</v>
      </c>
      <c r="O9" s="128" t="s">
        <v>2021</v>
      </c>
      <c r="P9" s="128" t="s">
        <v>980</v>
      </c>
      <c r="Q9" s="128" t="s">
        <v>1</v>
      </c>
      <c r="R9" s="128"/>
      <c r="S9" s="128" t="s">
        <v>1593</v>
      </c>
      <c r="T9"/>
    </row>
    <row r="10" spans="1:21" ht="22" customHeight="1">
      <c r="A10" s="128" t="s">
        <v>1686</v>
      </c>
      <c r="B10" s="128" t="s">
        <v>2353</v>
      </c>
      <c r="C10" s="128" t="s">
        <v>2030</v>
      </c>
      <c r="D10" s="128" t="s">
        <v>2117</v>
      </c>
      <c r="E10" s="128" t="s">
        <v>3464</v>
      </c>
      <c r="F10" s="128" t="s">
        <v>3639</v>
      </c>
      <c r="G10" s="128" t="s">
        <v>3485</v>
      </c>
      <c r="H10" s="128" t="s">
        <v>2359</v>
      </c>
      <c r="I10" s="128">
        <v>0.5</v>
      </c>
      <c r="J10" s="128" t="s">
        <v>2033</v>
      </c>
      <c r="K10" s="128" t="s">
        <v>2033</v>
      </c>
      <c r="L10" s="128" t="s">
        <v>1978</v>
      </c>
      <c r="M10" s="128" t="s">
        <v>2360</v>
      </c>
      <c r="N10" s="128" t="s">
        <v>2011</v>
      </c>
      <c r="O10" s="128" t="s">
        <v>2021</v>
      </c>
      <c r="P10" s="128" t="s">
        <v>980</v>
      </c>
      <c r="Q10" s="128" t="s">
        <v>1</v>
      </c>
      <c r="R10" s="128"/>
      <c r="S10" s="128" t="s">
        <v>1594</v>
      </c>
      <c r="T10"/>
    </row>
    <row r="11" spans="1:21" ht="22" customHeight="1">
      <c r="A11" s="115" t="s">
        <v>1687</v>
      </c>
      <c r="B11" s="115" t="s">
        <v>3309</v>
      </c>
      <c r="C11" s="129" t="s">
        <v>2030</v>
      </c>
      <c r="D11" s="116" t="s">
        <v>2118</v>
      </c>
      <c r="E11" s="116" t="s">
        <v>3465</v>
      </c>
      <c r="F11" s="116" t="s">
        <v>1688</v>
      </c>
      <c r="G11" s="116" t="s">
        <v>1740</v>
      </c>
      <c r="H11" s="116" t="s">
        <v>1741</v>
      </c>
      <c r="I11" s="130">
        <v>0.5</v>
      </c>
      <c r="J11" s="115" t="s">
        <v>2033</v>
      </c>
      <c r="K11" s="115" t="s">
        <v>2033</v>
      </c>
      <c r="L11" s="131" t="s">
        <v>1978</v>
      </c>
      <c r="M11" s="131" t="s">
        <v>3640</v>
      </c>
      <c r="N11" s="131" t="s">
        <v>2011</v>
      </c>
      <c r="O11" s="129" t="s">
        <v>2020</v>
      </c>
      <c r="P11" s="115" t="s">
        <v>980</v>
      </c>
      <c r="Q11" s="115" t="s">
        <v>1</v>
      </c>
      <c r="R11" s="115" t="s">
        <v>1596</v>
      </c>
      <c r="S11" s="115" t="s">
        <v>1595</v>
      </c>
      <c r="T11"/>
    </row>
    <row r="12" spans="1:21" ht="22" customHeight="1">
      <c r="A12" s="115" t="s">
        <v>1516</v>
      </c>
      <c r="B12" s="115" t="s">
        <v>2372</v>
      </c>
      <c r="C12" s="129" t="s">
        <v>2030</v>
      </c>
      <c r="D12" s="116" t="s">
        <v>2118</v>
      </c>
      <c r="E12" s="116" t="s">
        <v>3465</v>
      </c>
      <c r="F12" s="116" t="s">
        <v>1570</v>
      </c>
      <c r="G12" s="116" t="s">
        <v>2092</v>
      </c>
      <c r="H12" s="116" t="s">
        <v>3641</v>
      </c>
      <c r="I12" s="130">
        <v>4</v>
      </c>
      <c r="J12" s="115" t="s">
        <v>2033</v>
      </c>
      <c r="K12" s="115" t="s">
        <v>2033</v>
      </c>
      <c r="L12" s="131" t="s">
        <v>1978</v>
      </c>
      <c r="M12" s="131" t="s">
        <v>3640</v>
      </c>
      <c r="N12" s="131" t="s">
        <v>2011</v>
      </c>
      <c r="O12" s="129" t="s">
        <v>2020</v>
      </c>
      <c r="P12" s="115" t="s">
        <v>980</v>
      </c>
      <c r="Q12" s="115" t="s">
        <v>1</v>
      </c>
      <c r="R12" s="115"/>
      <c r="S12" s="115" t="s">
        <v>1595</v>
      </c>
      <c r="T12"/>
    </row>
    <row r="13" spans="1:21" ht="22" customHeight="1">
      <c r="A13" s="115" t="s">
        <v>1874</v>
      </c>
      <c r="B13" s="115" t="s">
        <v>3642</v>
      </c>
      <c r="C13" s="129" t="s">
        <v>2030</v>
      </c>
      <c r="D13" s="116" t="s">
        <v>2118</v>
      </c>
      <c r="E13" s="116" t="s">
        <v>3465</v>
      </c>
      <c r="F13" s="116" t="s">
        <v>2086</v>
      </c>
      <c r="G13" s="116" t="s">
        <v>1880</v>
      </c>
      <c r="H13" s="116" t="s">
        <v>1881</v>
      </c>
      <c r="I13" s="130">
        <v>1</v>
      </c>
      <c r="J13" s="115" t="s">
        <v>2033</v>
      </c>
      <c r="K13" s="115" t="s">
        <v>2033</v>
      </c>
      <c r="L13" s="131" t="s">
        <v>1978</v>
      </c>
      <c r="M13" s="131" t="s">
        <v>3640</v>
      </c>
      <c r="N13" s="131" t="s">
        <v>2011</v>
      </c>
      <c r="O13" s="129" t="s">
        <v>2020</v>
      </c>
      <c r="P13" s="115" t="s">
        <v>980</v>
      </c>
      <c r="Q13" s="115" t="s">
        <v>1</v>
      </c>
      <c r="R13" s="115"/>
      <c r="S13" s="115" t="s">
        <v>1595</v>
      </c>
      <c r="T13"/>
    </row>
    <row r="14" spans="1:21" ht="22" customHeight="1">
      <c r="A14" s="115" t="s">
        <v>1875</v>
      </c>
      <c r="B14" s="115" t="s">
        <v>3642</v>
      </c>
      <c r="C14" s="129" t="s">
        <v>2030</v>
      </c>
      <c r="D14" s="116" t="s">
        <v>2118</v>
      </c>
      <c r="E14" s="116" t="s">
        <v>3465</v>
      </c>
      <c r="F14" s="116" t="s">
        <v>3643</v>
      </c>
      <c r="G14" s="116" t="s">
        <v>3644</v>
      </c>
      <c r="H14" s="116" t="s">
        <v>1882</v>
      </c>
      <c r="I14" s="130">
        <v>2</v>
      </c>
      <c r="J14" s="115" t="s">
        <v>2033</v>
      </c>
      <c r="K14" s="115" t="s">
        <v>2033</v>
      </c>
      <c r="L14" s="131" t="s">
        <v>1978</v>
      </c>
      <c r="M14" s="131" t="s">
        <v>3640</v>
      </c>
      <c r="N14" s="131" t="s">
        <v>2011</v>
      </c>
      <c r="O14" s="129" t="s">
        <v>2020</v>
      </c>
      <c r="P14" s="115" t="s">
        <v>980</v>
      </c>
      <c r="Q14" s="115" t="s">
        <v>1</v>
      </c>
      <c r="R14" s="115"/>
      <c r="S14" s="115" t="s">
        <v>1595</v>
      </c>
      <c r="T14"/>
    </row>
    <row r="15" spans="1:21" ht="22" customHeight="1">
      <c r="A15" s="115" t="s">
        <v>1519</v>
      </c>
      <c r="B15" s="115" t="s">
        <v>2372</v>
      </c>
      <c r="C15" s="129" t="s">
        <v>2030</v>
      </c>
      <c r="D15" s="116" t="s">
        <v>2118</v>
      </c>
      <c r="E15" s="116" t="s">
        <v>3465</v>
      </c>
      <c r="F15" s="116" t="s">
        <v>1572</v>
      </c>
      <c r="G15" s="116" t="s">
        <v>3645</v>
      </c>
      <c r="H15" s="116" t="s">
        <v>1778</v>
      </c>
      <c r="I15" s="130">
        <v>2</v>
      </c>
      <c r="J15" s="115" t="s">
        <v>2033</v>
      </c>
      <c r="K15" s="115" t="s">
        <v>2033</v>
      </c>
      <c r="L15" s="131" t="s">
        <v>1978</v>
      </c>
      <c r="M15" s="131" t="s">
        <v>2441</v>
      </c>
      <c r="N15" s="131" t="s">
        <v>2111</v>
      </c>
      <c r="O15" s="129" t="s">
        <v>2020</v>
      </c>
      <c r="P15" s="115" t="s">
        <v>980</v>
      </c>
      <c r="Q15" s="115" t="s">
        <v>1</v>
      </c>
      <c r="R15" s="115"/>
      <c r="S15" s="115" t="s">
        <v>1595</v>
      </c>
      <c r="T15"/>
    </row>
    <row r="16" spans="1:21" ht="22" customHeight="1">
      <c r="A16" s="115" t="s">
        <v>1578</v>
      </c>
      <c r="B16" s="115" t="s">
        <v>2406</v>
      </c>
      <c r="C16" s="129" t="s">
        <v>2029</v>
      </c>
      <c r="D16" s="116" t="s">
        <v>2118</v>
      </c>
      <c r="E16" s="116" t="s">
        <v>3465</v>
      </c>
      <c r="F16" s="116" t="s">
        <v>1947</v>
      </c>
      <c r="G16" s="116" t="s">
        <v>4187</v>
      </c>
      <c r="H16" s="116" t="s">
        <v>1723</v>
      </c>
      <c r="I16" s="130">
        <v>1</v>
      </c>
      <c r="J16" s="115" t="s">
        <v>2033</v>
      </c>
      <c r="K16" s="115" t="s">
        <v>2033</v>
      </c>
      <c r="L16" s="116" t="s">
        <v>1978</v>
      </c>
      <c r="M16" s="116" t="s">
        <v>3640</v>
      </c>
      <c r="N16" s="131" t="s">
        <v>2011</v>
      </c>
      <c r="O16" s="129" t="s">
        <v>2020</v>
      </c>
      <c r="P16" s="115" t="s">
        <v>980</v>
      </c>
      <c r="Q16" s="115" t="s">
        <v>1</v>
      </c>
      <c r="R16" s="115"/>
      <c r="S16" s="115" t="s">
        <v>1595</v>
      </c>
      <c r="T16"/>
    </row>
    <row r="17" spans="1:20" ht="22" customHeight="1">
      <c r="A17" s="115" t="s">
        <v>1579</v>
      </c>
      <c r="B17" s="115" t="s">
        <v>2406</v>
      </c>
      <c r="C17" s="129" t="s">
        <v>2029</v>
      </c>
      <c r="D17" s="116" t="s">
        <v>2118</v>
      </c>
      <c r="E17" s="117" t="s">
        <v>3465</v>
      </c>
      <c r="F17" s="116" t="s">
        <v>1948</v>
      </c>
      <c r="G17" s="116" t="s">
        <v>1724</v>
      </c>
      <c r="H17" s="116" t="s">
        <v>3646</v>
      </c>
      <c r="I17" s="117">
        <v>1</v>
      </c>
      <c r="J17" s="130" t="s">
        <v>2033</v>
      </c>
      <c r="K17" s="130" t="s">
        <v>2033</v>
      </c>
      <c r="L17" s="117" t="s">
        <v>1978</v>
      </c>
      <c r="M17" s="117" t="s">
        <v>3640</v>
      </c>
      <c r="N17" s="131" t="s">
        <v>2011</v>
      </c>
      <c r="O17" s="129" t="s">
        <v>2020</v>
      </c>
      <c r="P17" s="115" t="s">
        <v>980</v>
      </c>
      <c r="Q17" s="115" t="s">
        <v>1</v>
      </c>
      <c r="R17" s="115"/>
      <c r="S17" s="115" t="s">
        <v>1595</v>
      </c>
      <c r="T17"/>
    </row>
    <row r="18" spans="1:20" ht="22" customHeight="1">
      <c r="A18" s="115" t="s">
        <v>1581</v>
      </c>
      <c r="B18" s="115" t="s">
        <v>2406</v>
      </c>
      <c r="C18" s="129" t="s">
        <v>2029</v>
      </c>
      <c r="D18" s="116" t="s">
        <v>2118</v>
      </c>
      <c r="E18" s="117" t="s">
        <v>3465</v>
      </c>
      <c r="F18" s="116" t="s">
        <v>1949</v>
      </c>
      <c r="G18" s="116" t="s">
        <v>1725</v>
      </c>
      <c r="H18" s="116" t="s">
        <v>1726</v>
      </c>
      <c r="I18" s="117">
        <v>2</v>
      </c>
      <c r="J18" s="130" t="s">
        <v>2033</v>
      </c>
      <c r="K18" s="130" t="s">
        <v>2033</v>
      </c>
      <c r="L18" s="117" t="s">
        <v>1978</v>
      </c>
      <c r="M18" s="117" t="s">
        <v>3640</v>
      </c>
      <c r="N18" s="131" t="s">
        <v>2011</v>
      </c>
      <c r="O18" s="129" t="s">
        <v>2020</v>
      </c>
      <c r="P18" s="115" t="s">
        <v>980</v>
      </c>
      <c r="Q18" s="115" t="s">
        <v>1</v>
      </c>
      <c r="R18" s="115"/>
      <c r="S18" s="115" t="s">
        <v>1595</v>
      </c>
      <c r="T18"/>
    </row>
    <row r="19" spans="1:20" ht="22" customHeight="1">
      <c r="A19" s="115" t="s">
        <v>1582</v>
      </c>
      <c r="B19" s="115" t="s">
        <v>2406</v>
      </c>
      <c r="C19" s="129" t="s">
        <v>2029</v>
      </c>
      <c r="D19" s="116" t="s">
        <v>2118</v>
      </c>
      <c r="E19" s="117" t="s">
        <v>3465</v>
      </c>
      <c r="F19" s="116" t="s">
        <v>3647</v>
      </c>
      <c r="G19" s="116" t="s">
        <v>3648</v>
      </c>
      <c r="H19" s="116" t="s">
        <v>1727</v>
      </c>
      <c r="I19" s="117">
        <v>2</v>
      </c>
      <c r="J19" s="130" t="s">
        <v>2033</v>
      </c>
      <c r="K19" s="130" t="s">
        <v>2033</v>
      </c>
      <c r="L19" s="117" t="s">
        <v>1978</v>
      </c>
      <c r="M19" s="117" t="s">
        <v>3640</v>
      </c>
      <c r="N19" s="131" t="s">
        <v>2011</v>
      </c>
      <c r="O19" s="129" t="s">
        <v>2020</v>
      </c>
      <c r="P19" s="115" t="s">
        <v>980</v>
      </c>
      <c r="Q19" s="115" t="s">
        <v>1</v>
      </c>
      <c r="R19" s="115"/>
      <c r="S19" s="115" t="s">
        <v>1595</v>
      </c>
      <c r="T19"/>
    </row>
    <row r="20" spans="1:20" ht="22" customHeight="1">
      <c r="A20" s="115" t="s">
        <v>1689</v>
      </c>
      <c r="B20" s="115" t="s">
        <v>3309</v>
      </c>
      <c r="C20" s="129" t="s">
        <v>2030</v>
      </c>
      <c r="D20" s="116" t="s">
        <v>2118</v>
      </c>
      <c r="E20" s="116" t="s">
        <v>3466</v>
      </c>
      <c r="F20" s="116" t="s">
        <v>1690</v>
      </c>
      <c r="G20" s="116" t="s">
        <v>1742</v>
      </c>
      <c r="H20" s="116" t="s">
        <v>1743</v>
      </c>
      <c r="I20" s="130">
        <v>0.5</v>
      </c>
      <c r="J20" s="115" t="s">
        <v>2033</v>
      </c>
      <c r="K20" s="115" t="s">
        <v>2033</v>
      </c>
      <c r="L20" s="131" t="s">
        <v>1978</v>
      </c>
      <c r="M20" s="131" t="s">
        <v>3640</v>
      </c>
      <c r="N20" s="131" t="s">
        <v>2011</v>
      </c>
      <c r="O20" s="129" t="s">
        <v>2020</v>
      </c>
      <c r="P20" s="115" t="s">
        <v>980</v>
      </c>
      <c r="Q20" s="115" t="s">
        <v>1</v>
      </c>
      <c r="R20" s="115" t="s">
        <v>1598</v>
      </c>
      <c r="S20" s="115" t="s">
        <v>1597</v>
      </c>
      <c r="T20"/>
    </row>
    <row r="21" spans="1:20" ht="22" customHeight="1">
      <c r="A21" s="115" t="s">
        <v>1517</v>
      </c>
      <c r="B21" s="115" t="s">
        <v>2372</v>
      </c>
      <c r="C21" s="129" t="s">
        <v>2030</v>
      </c>
      <c r="D21" s="116" t="s">
        <v>2118</v>
      </c>
      <c r="E21" s="116" t="s">
        <v>3466</v>
      </c>
      <c r="F21" s="116" t="s">
        <v>1571</v>
      </c>
      <c r="G21" s="116" t="s">
        <v>2093</v>
      </c>
      <c r="H21" s="116" t="s">
        <v>1777</v>
      </c>
      <c r="I21" s="130">
        <v>4</v>
      </c>
      <c r="J21" s="115" t="s">
        <v>2033</v>
      </c>
      <c r="K21" s="115" t="s">
        <v>2033</v>
      </c>
      <c r="L21" s="131" t="s">
        <v>1978</v>
      </c>
      <c r="M21" s="131" t="s">
        <v>3640</v>
      </c>
      <c r="N21" s="131" t="s">
        <v>2011</v>
      </c>
      <c r="O21" s="129" t="s">
        <v>2020</v>
      </c>
      <c r="P21" s="115" t="s">
        <v>980</v>
      </c>
      <c r="Q21" s="115" t="s">
        <v>1</v>
      </c>
      <c r="R21" s="115"/>
      <c r="S21" s="115" t="s">
        <v>1597</v>
      </c>
      <c r="T21"/>
    </row>
    <row r="22" spans="1:20" ht="22" customHeight="1">
      <c r="A22" s="115" t="s">
        <v>277</v>
      </c>
      <c r="B22" s="115" t="s">
        <v>2430</v>
      </c>
      <c r="C22" s="129" t="s">
        <v>2028</v>
      </c>
      <c r="D22" s="116" t="s">
        <v>2118</v>
      </c>
      <c r="E22" s="116" t="s">
        <v>3466</v>
      </c>
      <c r="F22" s="116" t="s">
        <v>3649</v>
      </c>
      <c r="G22" s="116" t="s">
        <v>3650</v>
      </c>
      <c r="H22" s="116" t="s">
        <v>1811</v>
      </c>
      <c r="I22" s="130">
        <v>2</v>
      </c>
      <c r="J22" s="115" t="s">
        <v>2033</v>
      </c>
      <c r="K22" s="115" t="s">
        <v>2033</v>
      </c>
      <c r="L22" s="131" t="s">
        <v>1978</v>
      </c>
      <c r="M22" s="131" t="s">
        <v>2440</v>
      </c>
      <c r="N22" s="131" t="s">
        <v>2111</v>
      </c>
      <c r="O22" s="129" t="s">
        <v>2020</v>
      </c>
      <c r="P22" s="115" t="s">
        <v>980</v>
      </c>
      <c r="Q22" s="115" t="s">
        <v>1</v>
      </c>
      <c r="R22" s="115"/>
      <c r="S22" s="115" t="s">
        <v>1597</v>
      </c>
      <c r="T22"/>
    </row>
    <row r="23" spans="1:20" ht="22" customHeight="1">
      <c r="A23" s="128" t="s">
        <v>1691</v>
      </c>
      <c r="B23" s="128" t="s">
        <v>2353</v>
      </c>
      <c r="C23" s="128" t="s">
        <v>2030</v>
      </c>
      <c r="D23" s="128" t="s">
        <v>2118</v>
      </c>
      <c r="E23" s="128" t="s">
        <v>2198</v>
      </c>
      <c r="F23" s="128" t="s">
        <v>2361</v>
      </c>
      <c r="G23" s="128" t="s">
        <v>4188</v>
      </c>
      <c r="H23" s="128" t="s">
        <v>2362</v>
      </c>
      <c r="I23" s="128">
        <v>1</v>
      </c>
      <c r="J23" s="128" t="s">
        <v>2033</v>
      </c>
      <c r="K23" s="128" t="s">
        <v>2033</v>
      </c>
      <c r="L23" s="128" t="s">
        <v>1978</v>
      </c>
      <c r="M23" s="128" t="s">
        <v>3651</v>
      </c>
      <c r="N23" s="128" t="s">
        <v>2011</v>
      </c>
      <c r="O23" s="128" t="s">
        <v>2021</v>
      </c>
      <c r="P23" s="128" t="s">
        <v>980</v>
      </c>
      <c r="Q23" s="128" t="s">
        <v>1</v>
      </c>
      <c r="R23" s="128"/>
      <c r="S23" s="128" t="s">
        <v>1615</v>
      </c>
      <c r="T23"/>
    </row>
    <row r="24" spans="1:20" ht="22" customHeight="1">
      <c r="A24" s="128" t="s">
        <v>1698</v>
      </c>
      <c r="B24" s="128" t="s">
        <v>2353</v>
      </c>
      <c r="C24" s="128" t="s">
        <v>2030</v>
      </c>
      <c r="D24" s="128" t="s">
        <v>2118</v>
      </c>
      <c r="E24" s="128" t="s">
        <v>1837</v>
      </c>
      <c r="F24" s="128" t="s">
        <v>2363</v>
      </c>
      <c r="G24" s="128" t="s">
        <v>2364</v>
      </c>
      <c r="H24" s="128" t="s">
        <v>2365</v>
      </c>
      <c r="I24" s="128">
        <v>0.5</v>
      </c>
      <c r="J24" s="128" t="s">
        <v>2033</v>
      </c>
      <c r="K24" s="128" t="s">
        <v>2033</v>
      </c>
      <c r="L24" s="128" t="s">
        <v>1978</v>
      </c>
      <c r="M24" s="128" t="s">
        <v>2366</v>
      </c>
      <c r="N24" s="128" t="s">
        <v>2011</v>
      </c>
      <c r="O24" s="128" t="s">
        <v>2021</v>
      </c>
      <c r="P24" s="128" t="s">
        <v>980</v>
      </c>
      <c r="Q24" s="128" t="s">
        <v>1</v>
      </c>
      <c r="R24" s="128"/>
      <c r="S24" s="128" t="s">
        <v>1616</v>
      </c>
      <c r="T24"/>
    </row>
    <row r="25" spans="1:20" ht="22" customHeight="1">
      <c r="A25" s="128" t="s">
        <v>1692</v>
      </c>
      <c r="B25" s="128" t="s">
        <v>2353</v>
      </c>
      <c r="C25" s="128" t="s">
        <v>2030</v>
      </c>
      <c r="D25" s="128" t="s">
        <v>2118</v>
      </c>
      <c r="E25" s="128" t="s">
        <v>3487</v>
      </c>
      <c r="F25" s="128" t="s">
        <v>4258</v>
      </c>
      <c r="G25" s="128" t="s">
        <v>4259</v>
      </c>
      <c r="H25" s="128" t="s">
        <v>4260</v>
      </c>
      <c r="I25" s="128">
        <v>1</v>
      </c>
      <c r="J25" s="128" t="s">
        <v>2033</v>
      </c>
      <c r="K25" s="128" t="s">
        <v>2033</v>
      </c>
      <c r="L25" s="128" t="s">
        <v>1978</v>
      </c>
      <c r="M25" s="128" t="s">
        <v>4261</v>
      </c>
      <c r="N25" s="128" t="s">
        <v>2011</v>
      </c>
      <c r="O25" s="128" t="s">
        <v>2021</v>
      </c>
      <c r="P25" s="128" t="s">
        <v>980</v>
      </c>
      <c r="Q25" s="128" t="s">
        <v>1</v>
      </c>
      <c r="R25" s="128"/>
      <c r="S25" s="128" t="s">
        <v>1599</v>
      </c>
      <c r="T25"/>
    </row>
    <row r="26" spans="1:20" ht="22" customHeight="1">
      <c r="A26" s="128" t="s">
        <v>4262</v>
      </c>
      <c r="B26" s="128" t="s">
        <v>2372</v>
      </c>
      <c r="C26" s="128" t="s">
        <v>2030</v>
      </c>
      <c r="D26" s="128" t="s">
        <v>2118</v>
      </c>
      <c r="E26" s="128" t="s">
        <v>3487</v>
      </c>
      <c r="F26" s="128" t="s">
        <v>4263</v>
      </c>
      <c r="G26" s="128" t="s">
        <v>4264</v>
      </c>
      <c r="H26" s="128" t="s">
        <v>4265</v>
      </c>
      <c r="I26" s="128">
        <v>2.5</v>
      </c>
      <c r="J26" s="128" t="s">
        <v>2033</v>
      </c>
      <c r="K26" s="128" t="s">
        <v>2033</v>
      </c>
      <c r="L26" s="128" t="s">
        <v>1978</v>
      </c>
      <c r="M26" s="128" t="s">
        <v>4266</v>
      </c>
      <c r="N26" s="128" t="s">
        <v>2011</v>
      </c>
      <c r="O26" s="128" t="s">
        <v>2021</v>
      </c>
      <c r="P26" s="128" t="s">
        <v>980</v>
      </c>
      <c r="Q26" s="128" t="s">
        <v>1</v>
      </c>
      <c r="R26" s="128"/>
      <c r="S26" s="128" t="s">
        <v>1599</v>
      </c>
      <c r="T26"/>
    </row>
    <row r="27" spans="1:20" ht="22" customHeight="1">
      <c r="A27" s="128" t="s">
        <v>4267</v>
      </c>
      <c r="B27" s="128" t="s">
        <v>3317</v>
      </c>
      <c r="C27" s="128" t="s">
        <v>2027</v>
      </c>
      <c r="D27" s="128" t="s">
        <v>2118</v>
      </c>
      <c r="E27" s="128" t="s">
        <v>3487</v>
      </c>
      <c r="F27" s="128" t="s">
        <v>4268</v>
      </c>
      <c r="G27" s="128" t="s">
        <v>4269</v>
      </c>
      <c r="H27" s="128" t="s">
        <v>4270</v>
      </c>
      <c r="I27" s="128">
        <v>1</v>
      </c>
      <c r="J27" s="128" t="s">
        <v>2033</v>
      </c>
      <c r="K27" s="128" t="s">
        <v>2033</v>
      </c>
      <c r="L27" s="128" t="s">
        <v>1990</v>
      </c>
      <c r="M27" s="128" t="s">
        <v>4271</v>
      </c>
      <c r="N27" s="128" t="s">
        <v>2011</v>
      </c>
      <c r="O27" s="128" t="s">
        <v>2021</v>
      </c>
      <c r="P27" s="128" t="s">
        <v>980</v>
      </c>
      <c r="Q27" s="128" t="s">
        <v>1</v>
      </c>
      <c r="R27" s="128"/>
      <c r="S27" s="128" t="s">
        <v>1599</v>
      </c>
      <c r="T27"/>
    </row>
    <row r="28" spans="1:20" ht="22" customHeight="1">
      <c r="A28" s="115" t="s">
        <v>1682</v>
      </c>
      <c r="B28" s="115" t="s">
        <v>3309</v>
      </c>
      <c r="C28" s="129" t="s">
        <v>2030</v>
      </c>
      <c r="D28" s="116" t="s">
        <v>2119</v>
      </c>
      <c r="E28" s="116" t="s">
        <v>2175</v>
      </c>
      <c r="F28" s="116" t="s">
        <v>1683</v>
      </c>
      <c r="G28" s="116" t="s">
        <v>3652</v>
      </c>
      <c r="H28" s="116" t="s">
        <v>3653</v>
      </c>
      <c r="I28" s="130">
        <v>0.5</v>
      </c>
      <c r="J28" s="115" t="s">
        <v>2033</v>
      </c>
      <c r="K28" s="115" t="s">
        <v>2033</v>
      </c>
      <c r="L28" s="131" t="s">
        <v>1978</v>
      </c>
      <c r="M28" s="131" t="s">
        <v>3654</v>
      </c>
      <c r="N28" s="131" t="s">
        <v>2011</v>
      </c>
      <c r="O28" s="129" t="s">
        <v>2020</v>
      </c>
      <c r="P28" s="115" t="s">
        <v>980</v>
      </c>
      <c r="Q28" s="115" t="s">
        <v>1</v>
      </c>
      <c r="R28" s="115" t="s">
        <v>1591</v>
      </c>
      <c r="S28" s="115" t="s">
        <v>1590</v>
      </c>
      <c r="T28"/>
    </row>
    <row r="29" spans="1:20" ht="22" customHeight="1">
      <c r="A29" s="115" t="s">
        <v>1876</v>
      </c>
      <c r="B29" s="115" t="s">
        <v>3642</v>
      </c>
      <c r="C29" s="129" t="s">
        <v>2030</v>
      </c>
      <c r="D29" s="116" t="s">
        <v>2119</v>
      </c>
      <c r="E29" s="116" t="s">
        <v>2175</v>
      </c>
      <c r="F29" s="116" t="s">
        <v>3655</v>
      </c>
      <c r="G29" s="116" t="s">
        <v>3656</v>
      </c>
      <c r="H29" s="116" t="s">
        <v>1883</v>
      </c>
      <c r="I29" s="130">
        <v>2</v>
      </c>
      <c r="J29" s="115" t="s">
        <v>2033</v>
      </c>
      <c r="K29" s="115" t="s">
        <v>2033</v>
      </c>
      <c r="L29" s="131" t="s">
        <v>3657</v>
      </c>
      <c r="M29" s="131" t="s">
        <v>2022</v>
      </c>
      <c r="N29" s="131" t="s">
        <v>3658</v>
      </c>
      <c r="O29" s="129" t="s">
        <v>2020</v>
      </c>
      <c r="P29" s="115" t="s">
        <v>980</v>
      </c>
      <c r="Q29" s="115" t="s">
        <v>1</v>
      </c>
      <c r="R29" s="115"/>
      <c r="S29" s="115" t="s">
        <v>1590</v>
      </c>
      <c r="T29"/>
    </row>
    <row r="30" spans="1:20" ht="22" customHeight="1">
      <c r="A30" s="128" t="s">
        <v>2421</v>
      </c>
      <c r="B30" s="128" t="s">
        <v>3634</v>
      </c>
      <c r="C30" s="128" t="s">
        <v>2027</v>
      </c>
      <c r="D30" s="128" t="s">
        <v>2119</v>
      </c>
      <c r="E30" s="128" t="s">
        <v>2175</v>
      </c>
      <c r="F30" s="128" t="s">
        <v>3659</v>
      </c>
      <c r="G30" s="128" t="s">
        <v>2422</v>
      </c>
      <c r="H30" s="128" t="s">
        <v>2423</v>
      </c>
      <c r="I30" s="128">
        <v>1.5</v>
      </c>
      <c r="J30" s="128" t="s">
        <v>2033</v>
      </c>
      <c r="K30" s="128" t="s">
        <v>2033</v>
      </c>
      <c r="L30" s="128" t="s">
        <v>1990</v>
      </c>
      <c r="M30" s="128" t="s">
        <v>2424</v>
      </c>
      <c r="N30" s="128" t="s">
        <v>2011</v>
      </c>
      <c r="O30" s="128" t="s">
        <v>2021</v>
      </c>
      <c r="P30" s="128" t="s">
        <v>980</v>
      </c>
      <c r="Q30" s="128" t="s">
        <v>1</v>
      </c>
      <c r="R30" s="128"/>
      <c r="S30" s="128" t="s">
        <v>1590</v>
      </c>
      <c r="T30"/>
    </row>
    <row r="31" spans="1:20" ht="22" customHeight="1">
      <c r="A31" s="128" t="s">
        <v>2012</v>
      </c>
      <c r="B31" s="128" t="s">
        <v>2430</v>
      </c>
      <c r="C31" s="128" t="s">
        <v>2027</v>
      </c>
      <c r="D31" s="128" t="s">
        <v>2119</v>
      </c>
      <c r="E31" s="128" t="s">
        <v>4214</v>
      </c>
      <c r="F31" s="128" t="s">
        <v>4254</v>
      </c>
      <c r="G31" s="128" t="s">
        <v>4255</v>
      </c>
      <c r="H31" s="128" t="s">
        <v>4256</v>
      </c>
      <c r="I31" s="128">
        <v>1.5</v>
      </c>
      <c r="J31" s="128" t="s">
        <v>2033</v>
      </c>
      <c r="K31" s="128" t="s">
        <v>2033</v>
      </c>
      <c r="L31" s="128" t="s">
        <v>1990</v>
      </c>
      <c r="M31" s="128" t="s">
        <v>4257</v>
      </c>
      <c r="N31" s="128" t="s">
        <v>2011</v>
      </c>
      <c r="O31" s="128" t="s">
        <v>2019</v>
      </c>
      <c r="P31" s="128" t="s">
        <v>980</v>
      </c>
      <c r="Q31" s="128" t="s">
        <v>1</v>
      </c>
      <c r="R31" s="128"/>
      <c r="S31" s="128" t="s">
        <v>4215</v>
      </c>
      <c r="T31"/>
    </row>
    <row r="32" spans="1:20" ht="22" customHeight="1">
      <c r="A32" s="115" t="s">
        <v>1693</v>
      </c>
      <c r="B32" s="115" t="s">
        <v>3309</v>
      </c>
      <c r="C32" s="129" t="s">
        <v>2030</v>
      </c>
      <c r="D32" s="116" t="s">
        <v>1909</v>
      </c>
      <c r="E32" s="116" t="s">
        <v>1828</v>
      </c>
      <c r="F32" s="116" t="s">
        <v>1694</v>
      </c>
      <c r="G32" s="116" t="s">
        <v>1744</v>
      </c>
      <c r="H32" s="116" t="s">
        <v>2097</v>
      </c>
      <c r="I32" s="130">
        <v>0.5</v>
      </c>
      <c r="J32" s="115" t="s">
        <v>2033</v>
      </c>
      <c r="K32" s="115" t="s">
        <v>2033</v>
      </c>
      <c r="L32" s="131" t="s">
        <v>1980</v>
      </c>
      <c r="M32" s="131" t="s">
        <v>3660</v>
      </c>
      <c r="N32" s="131" t="s">
        <v>3661</v>
      </c>
      <c r="O32" s="129" t="s">
        <v>2020</v>
      </c>
      <c r="P32" s="115" t="s">
        <v>980</v>
      </c>
      <c r="Q32" s="115" t="s">
        <v>1</v>
      </c>
      <c r="R32" s="115" t="s">
        <v>1601</v>
      </c>
      <c r="S32" s="115" t="s">
        <v>1600</v>
      </c>
      <c r="T32"/>
    </row>
    <row r="33" spans="1:20" ht="22" customHeight="1">
      <c r="A33" s="115" t="s">
        <v>1695</v>
      </c>
      <c r="B33" s="115" t="s">
        <v>3309</v>
      </c>
      <c r="C33" s="129" t="s">
        <v>2030</v>
      </c>
      <c r="D33" s="116" t="s">
        <v>1909</v>
      </c>
      <c r="E33" s="116" t="s">
        <v>1830</v>
      </c>
      <c r="F33" s="116" t="s">
        <v>1696</v>
      </c>
      <c r="G33" s="116" t="s">
        <v>1745</v>
      </c>
      <c r="H33" s="116" t="s">
        <v>2098</v>
      </c>
      <c r="I33" s="130">
        <v>0.5</v>
      </c>
      <c r="J33" s="115" t="s">
        <v>2033</v>
      </c>
      <c r="K33" s="115" t="s">
        <v>2033</v>
      </c>
      <c r="L33" s="131" t="s">
        <v>1980</v>
      </c>
      <c r="M33" s="131" t="s">
        <v>3660</v>
      </c>
      <c r="N33" s="131" t="s">
        <v>3661</v>
      </c>
      <c r="O33" s="129" t="s">
        <v>2020</v>
      </c>
      <c r="P33" s="115" t="s">
        <v>980</v>
      </c>
      <c r="Q33" s="115" t="s">
        <v>1</v>
      </c>
      <c r="R33" s="115" t="s">
        <v>1604</v>
      </c>
      <c r="S33" s="115" t="s">
        <v>1603</v>
      </c>
      <c r="T33"/>
    </row>
    <row r="34" spans="1:20" ht="22" customHeight="1">
      <c r="A34" s="101" t="s">
        <v>1697</v>
      </c>
      <c r="B34" s="101" t="s">
        <v>2353</v>
      </c>
      <c r="C34" s="101" t="s">
        <v>2030</v>
      </c>
      <c r="D34" s="101" t="s">
        <v>1910</v>
      </c>
      <c r="E34" s="101" t="s">
        <v>3467</v>
      </c>
      <c r="F34" s="101" t="s">
        <v>2908</v>
      </c>
      <c r="G34" s="101" t="s">
        <v>2909</v>
      </c>
      <c r="H34" s="101" t="s">
        <v>2910</v>
      </c>
      <c r="I34" s="127">
        <v>1</v>
      </c>
      <c r="J34" s="101" t="s">
        <v>2033</v>
      </c>
      <c r="K34" s="101" t="s">
        <v>2033</v>
      </c>
      <c r="L34" s="101" t="s">
        <v>1982</v>
      </c>
      <c r="M34" s="101" t="s">
        <v>3662</v>
      </c>
      <c r="N34" s="101" t="s">
        <v>2011</v>
      </c>
      <c r="O34" s="101" t="s">
        <v>2021</v>
      </c>
      <c r="P34" s="101" t="s">
        <v>980</v>
      </c>
      <c r="Q34" s="101" t="s">
        <v>1</v>
      </c>
      <c r="R34" s="101"/>
      <c r="S34" s="101" t="s">
        <v>1613</v>
      </c>
      <c r="T34"/>
    </row>
    <row r="35" spans="1:20" ht="22" customHeight="1">
      <c r="A35" s="115" t="s">
        <v>1500</v>
      </c>
      <c r="B35" s="115" t="s">
        <v>3310</v>
      </c>
      <c r="C35" s="129" t="s">
        <v>2030</v>
      </c>
      <c r="D35" s="116" t="s">
        <v>2122</v>
      </c>
      <c r="E35" s="116" t="s">
        <v>2197</v>
      </c>
      <c r="F35" s="116" t="s">
        <v>2067</v>
      </c>
      <c r="G35" s="116" t="s">
        <v>1757</v>
      </c>
      <c r="H35" s="116" t="s">
        <v>1758</v>
      </c>
      <c r="I35" s="130">
        <v>2</v>
      </c>
      <c r="J35" s="115" t="s">
        <v>2105</v>
      </c>
      <c r="K35" s="115" t="s">
        <v>2105</v>
      </c>
      <c r="L35" s="131" t="s">
        <v>1988</v>
      </c>
      <c r="M35" s="131" t="s">
        <v>3663</v>
      </c>
      <c r="N35" s="131" t="s">
        <v>2011</v>
      </c>
      <c r="O35" s="129" t="s">
        <v>2020</v>
      </c>
      <c r="P35" s="115" t="s">
        <v>980</v>
      </c>
      <c r="Q35" s="115" t="s">
        <v>1</v>
      </c>
      <c r="R35" s="115"/>
      <c r="S35" s="115" t="s">
        <v>2252</v>
      </c>
      <c r="T35"/>
    </row>
    <row r="36" spans="1:20" ht="22" customHeight="1">
      <c r="A36" s="115" t="s">
        <v>1586</v>
      </c>
      <c r="B36" s="115" t="s">
        <v>2406</v>
      </c>
      <c r="C36" s="129" t="s">
        <v>2029</v>
      </c>
      <c r="D36" s="116" t="s">
        <v>2122</v>
      </c>
      <c r="E36" s="117" t="s">
        <v>2197</v>
      </c>
      <c r="F36" s="116" t="s">
        <v>1953</v>
      </c>
      <c r="G36" s="116" t="s">
        <v>1733</v>
      </c>
      <c r="H36" s="116" t="s">
        <v>1734</v>
      </c>
      <c r="I36" s="117">
        <v>2</v>
      </c>
      <c r="J36" s="130" t="s">
        <v>2033</v>
      </c>
      <c r="K36" s="130" t="s">
        <v>2033</v>
      </c>
      <c r="L36" s="117" t="s">
        <v>1978</v>
      </c>
      <c r="M36" s="117" t="s">
        <v>3640</v>
      </c>
      <c r="N36" s="131" t="s">
        <v>2011</v>
      </c>
      <c r="O36" s="129" t="s">
        <v>2020</v>
      </c>
      <c r="P36" s="115" t="s">
        <v>980</v>
      </c>
      <c r="Q36" s="115" t="s">
        <v>1</v>
      </c>
      <c r="R36" s="115"/>
      <c r="S36" s="115" t="s">
        <v>2252</v>
      </c>
      <c r="T36"/>
    </row>
    <row r="37" spans="1:20" ht="22" customHeight="1">
      <c r="A37" s="115" t="s">
        <v>1589</v>
      </c>
      <c r="B37" s="115" t="s">
        <v>2406</v>
      </c>
      <c r="C37" s="129" t="s">
        <v>2029</v>
      </c>
      <c r="D37" s="116" t="s">
        <v>2122</v>
      </c>
      <c r="E37" s="117" t="s">
        <v>2197</v>
      </c>
      <c r="F37" s="116" t="s">
        <v>1956</v>
      </c>
      <c r="G37" s="116" t="s">
        <v>3664</v>
      </c>
      <c r="H37" s="116" t="s">
        <v>1739</v>
      </c>
      <c r="I37" s="117">
        <v>1</v>
      </c>
      <c r="J37" s="115" t="s">
        <v>2033</v>
      </c>
      <c r="K37" s="130" t="s">
        <v>2033</v>
      </c>
      <c r="L37" s="117" t="s">
        <v>1978</v>
      </c>
      <c r="M37" s="117" t="s">
        <v>3640</v>
      </c>
      <c r="N37" s="131" t="s">
        <v>2011</v>
      </c>
      <c r="O37" s="129" t="s">
        <v>2020</v>
      </c>
      <c r="P37" s="115" t="s">
        <v>980</v>
      </c>
      <c r="Q37" s="115" t="s">
        <v>1</v>
      </c>
      <c r="R37" s="115"/>
      <c r="S37" s="115" t="s">
        <v>2252</v>
      </c>
      <c r="T37"/>
    </row>
    <row r="38" spans="1:20" ht="22" customHeight="1">
      <c r="A38" s="115" t="s">
        <v>1587</v>
      </c>
      <c r="B38" s="115" t="s">
        <v>2406</v>
      </c>
      <c r="C38" s="129" t="s">
        <v>2029</v>
      </c>
      <c r="D38" s="116" t="s">
        <v>2122</v>
      </c>
      <c r="E38" s="117" t="s">
        <v>2218</v>
      </c>
      <c r="F38" s="116" t="s">
        <v>1954</v>
      </c>
      <c r="G38" s="116" t="s">
        <v>1735</v>
      </c>
      <c r="H38" s="116" t="s">
        <v>1736</v>
      </c>
      <c r="I38" s="117">
        <v>2</v>
      </c>
      <c r="J38" s="130" t="s">
        <v>2033</v>
      </c>
      <c r="K38" s="130" t="s">
        <v>2033</v>
      </c>
      <c r="L38" s="117" t="s">
        <v>1978</v>
      </c>
      <c r="M38" s="117" t="s">
        <v>3640</v>
      </c>
      <c r="N38" s="131" t="s">
        <v>2011</v>
      </c>
      <c r="O38" s="129" t="s">
        <v>2020</v>
      </c>
      <c r="P38" s="115" t="s">
        <v>980</v>
      </c>
      <c r="Q38" s="115" t="s">
        <v>1</v>
      </c>
      <c r="R38" s="115"/>
      <c r="S38" s="115" t="s">
        <v>2267</v>
      </c>
      <c r="T38"/>
    </row>
    <row r="39" spans="1:20" ht="22" customHeight="1">
      <c r="A39" s="115" t="s">
        <v>1588</v>
      </c>
      <c r="B39" s="115" t="s">
        <v>2406</v>
      </c>
      <c r="C39" s="129" t="s">
        <v>2029</v>
      </c>
      <c r="D39" s="116" t="s">
        <v>2122</v>
      </c>
      <c r="E39" s="117" t="s">
        <v>2218</v>
      </c>
      <c r="F39" s="116" t="s">
        <v>1955</v>
      </c>
      <c r="G39" s="116" t="s">
        <v>1737</v>
      </c>
      <c r="H39" s="116" t="s">
        <v>1738</v>
      </c>
      <c r="I39" s="117">
        <v>2</v>
      </c>
      <c r="J39" s="130" t="s">
        <v>2033</v>
      </c>
      <c r="K39" s="130" t="s">
        <v>2033</v>
      </c>
      <c r="L39" s="117" t="s">
        <v>1978</v>
      </c>
      <c r="M39" s="117" t="s">
        <v>3640</v>
      </c>
      <c r="N39" s="131" t="s">
        <v>2011</v>
      </c>
      <c r="O39" s="129" t="s">
        <v>2020</v>
      </c>
      <c r="P39" s="115" t="s">
        <v>980</v>
      </c>
      <c r="Q39" s="115" t="s">
        <v>1</v>
      </c>
      <c r="R39" s="115"/>
      <c r="S39" s="115" t="s">
        <v>2267</v>
      </c>
      <c r="T39"/>
    </row>
    <row r="40" spans="1:20" ht="22" customHeight="1">
      <c r="A40" s="101" t="s">
        <v>2008</v>
      </c>
      <c r="B40" s="101" t="s">
        <v>2899</v>
      </c>
      <c r="C40" s="101" t="s">
        <v>2030</v>
      </c>
      <c r="D40" s="101" t="s">
        <v>2124</v>
      </c>
      <c r="E40" s="101" t="s">
        <v>2168</v>
      </c>
      <c r="F40" s="101" t="s">
        <v>2900</v>
      </c>
      <c r="G40" s="101" t="s">
        <v>2901</v>
      </c>
      <c r="H40" s="101" t="s">
        <v>2902</v>
      </c>
      <c r="I40" s="127">
        <v>1</v>
      </c>
      <c r="J40" s="101" t="s">
        <v>2033</v>
      </c>
      <c r="K40" s="101" t="s">
        <v>2033</v>
      </c>
      <c r="L40" s="101" t="s">
        <v>1978</v>
      </c>
      <c r="M40" s="101" t="s">
        <v>2903</v>
      </c>
      <c r="N40" s="101" t="s">
        <v>2011</v>
      </c>
      <c r="O40" s="101" t="s">
        <v>2021</v>
      </c>
      <c r="P40" s="101" t="s">
        <v>980</v>
      </c>
      <c r="Q40" s="101" t="s">
        <v>1</v>
      </c>
      <c r="R40" s="101"/>
      <c r="S40" s="101" t="s">
        <v>2226</v>
      </c>
      <c r="T40"/>
    </row>
    <row r="41" spans="1:20" ht="22" customHeight="1">
      <c r="A41" s="101" t="s">
        <v>2009</v>
      </c>
      <c r="B41" s="101" t="s">
        <v>2899</v>
      </c>
      <c r="C41" s="101" t="s">
        <v>2030</v>
      </c>
      <c r="D41" s="101" t="s">
        <v>2124</v>
      </c>
      <c r="E41" s="101" t="s">
        <v>3468</v>
      </c>
      <c r="F41" s="101" t="s">
        <v>3665</v>
      </c>
      <c r="G41" s="101" t="s">
        <v>2904</v>
      </c>
      <c r="H41" s="101" t="s">
        <v>2905</v>
      </c>
      <c r="I41" s="127">
        <v>1</v>
      </c>
      <c r="J41" s="101" t="s">
        <v>2033</v>
      </c>
      <c r="K41" s="101" t="s">
        <v>2033</v>
      </c>
      <c r="L41" s="101" t="s">
        <v>1982</v>
      </c>
      <c r="M41" s="101" t="s">
        <v>3666</v>
      </c>
      <c r="N41" s="101" t="s">
        <v>2011</v>
      </c>
      <c r="O41" s="101" t="s">
        <v>2021</v>
      </c>
      <c r="P41" s="101" t="s">
        <v>980</v>
      </c>
      <c r="Q41" s="101" t="s">
        <v>1</v>
      </c>
      <c r="R41" s="101"/>
      <c r="S41" s="101" t="s">
        <v>2254</v>
      </c>
      <c r="T41"/>
    </row>
    <row r="42" spans="1:20" ht="22" customHeight="1">
      <c r="A42" s="128" t="s">
        <v>1515</v>
      </c>
      <c r="B42" s="128" t="s">
        <v>2372</v>
      </c>
      <c r="C42" s="128" t="s">
        <v>2030</v>
      </c>
      <c r="D42" s="128" t="s">
        <v>2126</v>
      </c>
      <c r="E42" s="128" t="s">
        <v>3469</v>
      </c>
      <c r="F42" s="128" t="s">
        <v>2373</v>
      </c>
      <c r="G42" s="128" t="s">
        <v>3667</v>
      </c>
      <c r="H42" s="128" t="s">
        <v>2374</v>
      </c>
      <c r="I42" s="128">
        <v>3</v>
      </c>
      <c r="J42" s="128" t="s">
        <v>2033</v>
      </c>
      <c r="K42" s="128" t="s">
        <v>1471</v>
      </c>
      <c r="L42" s="128" t="s">
        <v>1978</v>
      </c>
      <c r="M42" s="128" t="s">
        <v>3668</v>
      </c>
      <c r="N42" s="128" t="s">
        <v>2011</v>
      </c>
      <c r="O42" s="128" t="s">
        <v>2021</v>
      </c>
      <c r="P42" s="128" t="s">
        <v>980</v>
      </c>
      <c r="Q42" s="128" t="s">
        <v>1</v>
      </c>
      <c r="R42" s="128"/>
      <c r="S42" s="128" t="s">
        <v>1617</v>
      </c>
      <c r="T42"/>
    </row>
    <row r="43" spans="1:20" ht="22" customHeight="1">
      <c r="A43" s="128" t="s">
        <v>1699</v>
      </c>
      <c r="B43" s="128" t="s">
        <v>2353</v>
      </c>
      <c r="C43" s="128" t="s">
        <v>2030</v>
      </c>
      <c r="D43" s="128" t="s">
        <v>2126</v>
      </c>
      <c r="E43" s="128" t="s">
        <v>3469</v>
      </c>
      <c r="F43" s="128" t="s">
        <v>3669</v>
      </c>
      <c r="G43" s="128" t="s">
        <v>3670</v>
      </c>
      <c r="H43" s="128" t="s">
        <v>2375</v>
      </c>
      <c r="I43" s="128">
        <v>1</v>
      </c>
      <c r="J43" s="128" t="s">
        <v>2033</v>
      </c>
      <c r="K43" s="128" t="s">
        <v>1471</v>
      </c>
      <c r="L43" s="128" t="s">
        <v>1978</v>
      </c>
      <c r="M43" s="128" t="s">
        <v>2376</v>
      </c>
      <c r="N43" s="128" t="s">
        <v>2011</v>
      </c>
      <c r="O43" s="128" t="s">
        <v>2021</v>
      </c>
      <c r="P43" s="128" t="s">
        <v>980</v>
      </c>
      <c r="Q43" s="128" t="s">
        <v>1</v>
      </c>
      <c r="R43" s="128"/>
      <c r="S43" s="128" t="s">
        <v>1617</v>
      </c>
      <c r="T43"/>
    </row>
    <row r="44" spans="1:20" ht="22" customHeight="1">
      <c r="A44" s="128" t="s">
        <v>1700</v>
      </c>
      <c r="B44" s="128" t="s">
        <v>2353</v>
      </c>
      <c r="C44" s="128" t="s">
        <v>2030</v>
      </c>
      <c r="D44" s="128" t="s">
        <v>2126</v>
      </c>
      <c r="E44" s="128" t="s">
        <v>3470</v>
      </c>
      <c r="F44" s="128" t="s">
        <v>3671</v>
      </c>
      <c r="G44" s="128" t="s">
        <v>3672</v>
      </c>
      <c r="H44" s="128" t="s">
        <v>2377</v>
      </c>
      <c r="I44" s="128">
        <v>0.75</v>
      </c>
      <c r="J44" s="128" t="s">
        <v>2033</v>
      </c>
      <c r="K44" s="128" t="s">
        <v>1471</v>
      </c>
      <c r="L44" s="128" t="s">
        <v>1978</v>
      </c>
      <c r="M44" s="128" t="s">
        <v>2378</v>
      </c>
      <c r="N44" s="128" t="s">
        <v>2011</v>
      </c>
      <c r="O44" s="128" t="s">
        <v>2021</v>
      </c>
      <c r="P44" s="128" t="s">
        <v>980</v>
      </c>
      <c r="Q44" s="128" t="s">
        <v>1</v>
      </c>
      <c r="R44" s="128"/>
      <c r="S44" s="128" t="s">
        <v>1618</v>
      </c>
      <c r="T44"/>
    </row>
    <row r="45" spans="1:20" ht="22" customHeight="1">
      <c r="A45" s="128" t="s">
        <v>1701</v>
      </c>
      <c r="B45" s="128" t="s">
        <v>2353</v>
      </c>
      <c r="C45" s="128" t="s">
        <v>2030</v>
      </c>
      <c r="D45" s="128" t="s">
        <v>2126</v>
      </c>
      <c r="E45" s="128" t="s">
        <v>2200</v>
      </c>
      <c r="F45" s="128" t="s">
        <v>2379</v>
      </c>
      <c r="G45" s="128" t="s">
        <v>2380</v>
      </c>
      <c r="H45" s="128" t="s">
        <v>2381</v>
      </c>
      <c r="I45" s="128">
        <v>1</v>
      </c>
      <c r="J45" s="128" t="s">
        <v>2033</v>
      </c>
      <c r="K45" s="128" t="s">
        <v>1471</v>
      </c>
      <c r="L45" s="128" t="s">
        <v>1982</v>
      </c>
      <c r="M45" s="128" t="s">
        <v>2382</v>
      </c>
      <c r="N45" s="128" t="s">
        <v>2011</v>
      </c>
      <c r="O45" s="128" t="s">
        <v>2021</v>
      </c>
      <c r="P45" s="128" t="s">
        <v>980</v>
      </c>
      <c r="Q45" s="128" t="s">
        <v>1</v>
      </c>
      <c r="R45" s="128"/>
      <c r="S45" s="128" t="s">
        <v>1619</v>
      </c>
      <c r="T45"/>
    </row>
    <row r="46" spans="1:20" ht="22" customHeight="1">
      <c r="A46" s="128" t="s">
        <v>1702</v>
      </c>
      <c r="B46" s="128" t="s">
        <v>2353</v>
      </c>
      <c r="C46" s="128" t="s">
        <v>2030</v>
      </c>
      <c r="D46" s="128" t="s">
        <v>2126</v>
      </c>
      <c r="E46" s="128" t="s">
        <v>3471</v>
      </c>
      <c r="F46" s="128" t="s">
        <v>3673</v>
      </c>
      <c r="G46" s="128" t="s">
        <v>3674</v>
      </c>
      <c r="H46" s="128" t="s">
        <v>2383</v>
      </c>
      <c r="I46" s="128">
        <v>0.5</v>
      </c>
      <c r="J46" s="128" t="s">
        <v>2033</v>
      </c>
      <c r="K46" s="128" t="s">
        <v>1471</v>
      </c>
      <c r="L46" s="128" t="s">
        <v>1978</v>
      </c>
      <c r="M46" s="128" t="s">
        <v>2378</v>
      </c>
      <c r="N46" s="128" t="s">
        <v>2011</v>
      </c>
      <c r="O46" s="128" t="s">
        <v>2021</v>
      </c>
      <c r="P46" s="128" t="s">
        <v>980</v>
      </c>
      <c r="Q46" s="128" t="s">
        <v>1</v>
      </c>
      <c r="R46" s="128"/>
      <c r="S46" s="128" t="s">
        <v>1620</v>
      </c>
      <c r="T46"/>
    </row>
    <row r="47" spans="1:20" ht="22" customHeight="1">
      <c r="A47" s="128" t="s">
        <v>1703</v>
      </c>
      <c r="B47" s="128" t="s">
        <v>2353</v>
      </c>
      <c r="C47" s="128" t="s">
        <v>2030</v>
      </c>
      <c r="D47" s="128" t="s">
        <v>2126</v>
      </c>
      <c r="E47" s="128" t="s">
        <v>2201</v>
      </c>
      <c r="F47" s="128" t="s">
        <v>2076</v>
      </c>
      <c r="G47" s="128" t="s">
        <v>2384</v>
      </c>
      <c r="H47" s="128" t="s">
        <v>2385</v>
      </c>
      <c r="I47" s="128">
        <v>0.5</v>
      </c>
      <c r="J47" s="128" t="s">
        <v>2033</v>
      </c>
      <c r="K47" s="128" t="s">
        <v>1471</v>
      </c>
      <c r="L47" s="128" t="s">
        <v>1981</v>
      </c>
      <c r="M47" s="128" t="s">
        <v>2386</v>
      </c>
      <c r="N47" s="128" t="s">
        <v>2011</v>
      </c>
      <c r="O47" s="128" t="s">
        <v>2021</v>
      </c>
      <c r="P47" s="128" t="s">
        <v>980</v>
      </c>
      <c r="Q47" s="128" t="s">
        <v>1</v>
      </c>
      <c r="R47" s="128"/>
      <c r="S47" s="128" t="s">
        <v>1621</v>
      </c>
      <c r="T47"/>
    </row>
    <row r="48" spans="1:20" ht="22" customHeight="1">
      <c r="A48" s="128" t="s">
        <v>1513</v>
      </c>
      <c r="B48" s="128" t="s">
        <v>2367</v>
      </c>
      <c r="C48" s="128" t="s">
        <v>2030</v>
      </c>
      <c r="D48" s="128" t="s">
        <v>2128</v>
      </c>
      <c r="E48" s="128" t="s">
        <v>1838</v>
      </c>
      <c r="F48" s="128" t="s">
        <v>3675</v>
      </c>
      <c r="G48" s="128" t="s">
        <v>3676</v>
      </c>
      <c r="H48" s="128" t="s">
        <v>2368</v>
      </c>
      <c r="I48" s="128">
        <v>1.5</v>
      </c>
      <c r="J48" s="128" t="s">
        <v>2033</v>
      </c>
      <c r="K48" s="128" t="s">
        <v>1471</v>
      </c>
      <c r="L48" s="128" t="s">
        <v>1978</v>
      </c>
      <c r="M48" s="128" t="s">
        <v>3677</v>
      </c>
      <c r="N48" s="128" t="s">
        <v>2011</v>
      </c>
      <c r="O48" s="128" t="s">
        <v>2021</v>
      </c>
      <c r="P48" s="128" t="s">
        <v>980</v>
      </c>
      <c r="Q48" s="128" t="s">
        <v>1</v>
      </c>
      <c r="R48" s="128"/>
      <c r="S48" s="128" t="s">
        <v>1622</v>
      </c>
      <c r="T48"/>
    </row>
    <row r="49" spans="1:20" ht="22" customHeight="1">
      <c r="A49" s="128" t="s">
        <v>1869</v>
      </c>
      <c r="B49" s="128" t="s">
        <v>2367</v>
      </c>
      <c r="C49" s="128" t="s">
        <v>2030</v>
      </c>
      <c r="D49" s="128" t="s">
        <v>2128</v>
      </c>
      <c r="E49" s="128" t="s">
        <v>1838</v>
      </c>
      <c r="F49" s="128" t="s">
        <v>3678</v>
      </c>
      <c r="G49" s="128" t="s">
        <v>2369</v>
      </c>
      <c r="H49" s="128" t="s">
        <v>2370</v>
      </c>
      <c r="I49" s="128">
        <v>1.5</v>
      </c>
      <c r="J49" s="128" t="s">
        <v>2033</v>
      </c>
      <c r="K49" s="128" t="s">
        <v>1471</v>
      </c>
      <c r="L49" s="128" t="s">
        <v>1978</v>
      </c>
      <c r="M49" s="128" t="s">
        <v>2371</v>
      </c>
      <c r="N49" s="128" t="s">
        <v>2011</v>
      </c>
      <c r="O49" s="128" t="s">
        <v>2021</v>
      </c>
      <c r="P49" s="128" t="s">
        <v>980</v>
      </c>
      <c r="Q49" s="128" t="s">
        <v>1</v>
      </c>
      <c r="R49" s="128"/>
      <c r="S49" s="128" t="s">
        <v>1622</v>
      </c>
      <c r="T49"/>
    </row>
    <row r="50" spans="1:20" ht="22" customHeight="1">
      <c r="A50" s="128" t="s">
        <v>1704</v>
      </c>
      <c r="B50" s="128" t="s">
        <v>2353</v>
      </c>
      <c r="C50" s="128" t="s">
        <v>2030</v>
      </c>
      <c r="D50" s="128" t="s">
        <v>2128</v>
      </c>
      <c r="E50" s="128" t="s">
        <v>1839</v>
      </c>
      <c r="F50" s="128" t="s">
        <v>2387</v>
      </c>
      <c r="G50" s="128" t="s">
        <v>3679</v>
      </c>
      <c r="H50" s="128" t="s">
        <v>2388</v>
      </c>
      <c r="I50" s="128">
        <v>0.75</v>
      </c>
      <c r="J50" s="128" t="s">
        <v>2033</v>
      </c>
      <c r="K50" s="128" t="s">
        <v>1471</v>
      </c>
      <c r="L50" s="128" t="s">
        <v>1982</v>
      </c>
      <c r="M50" s="128" t="s">
        <v>2389</v>
      </c>
      <c r="N50" s="128" t="s">
        <v>2011</v>
      </c>
      <c r="O50" s="128" t="s">
        <v>2021</v>
      </c>
      <c r="P50" s="128" t="s">
        <v>980</v>
      </c>
      <c r="Q50" s="128" t="s">
        <v>1</v>
      </c>
      <c r="R50" s="128"/>
      <c r="S50" s="128" t="s">
        <v>1623</v>
      </c>
      <c r="T50"/>
    </row>
    <row r="51" spans="1:20" ht="22" customHeight="1">
      <c r="A51" s="128" t="s">
        <v>1705</v>
      </c>
      <c r="B51" s="128" t="s">
        <v>2353</v>
      </c>
      <c r="C51" s="128" t="s">
        <v>2030</v>
      </c>
      <c r="D51" s="128" t="s">
        <v>2130</v>
      </c>
      <c r="E51" s="128" t="s">
        <v>3472</v>
      </c>
      <c r="F51" s="128" t="s">
        <v>3680</v>
      </c>
      <c r="G51" s="128" t="s">
        <v>3681</v>
      </c>
      <c r="H51" s="128" t="s">
        <v>2390</v>
      </c>
      <c r="I51" s="128">
        <v>0.75</v>
      </c>
      <c r="J51" s="128" t="s">
        <v>2033</v>
      </c>
      <c r="K51" s="128" t="s">
        <v>1471</v>
      </c>
      <c r="L51" s="128" t="s">
        <v>1982</v>
      </c>
      <c r="M51" s="128" t="s">
        <v>2391</v>
      </c>
      <c r="N51" s="128" t="s">
        <v>2011</v>
      </c>
      <c r="O51" s="128" t="s">
        <v>2021</v>
      </c>
      <c r="P51" s="128" t="s">
        <v>980</v>
      </c>
      <c r="Q51" s="128" t="s">
        <v>1</v>
      </c>
      <c r="R51" s="128"/>
      <c r="S51" s="128" t="s">
        <v>1624</v>
      </c>
      <c r="T51"/>
    </row>
    <row r="52" spans="1:20" ht="22" customHeight="1">
      <c r="A52" s="128" t="s">
        <v>1706</v>
      </c>
      <c r="B52" s="128" t="s">
        <v>2353</v>
      </c>
      <c r="C52" s="128" t="s">
        <v>2030</v>
      </c>
      <c r="D52" s="128" t="s">
        <v>2130</v>
      </c>
      <c r="E52" s="128" t="s">
        <v>3473</v>
      </c>
      <c r="F52" s="128" t="s">
        <v>3682</v>
      </c>
      <c r="G52" s="128" t="s">
        <v>3501</v>
      </c>
      <c r="H52" s="128" t="s">
        <v>2392</v>
      </c>
      <c r="I52" s="128">
        <v>0.75</v>
      </c>
      <c r="J52" s="128" t="s">
        <v>2033</v>
      </c>
      <c r="K52" s="128" t="s">
        <v>1471</v>
      </c>
      <c r="L52" s="128" t="s">
        <v>1982</v>
      </c>
      <c r="M52" s="128" t="s">
        <v>2393</v>
      </c>
      <c r="N52" s="128" t="s">
        <v>2011</v>
      </c>
      <c r="O52" s="128" t="s">
        <v>2021</v>
      </c>
      <c r="P52" s="128" t="s">
        <v>980</v>
      </c>
      <c r="Q52" s="128" t="s">
        <v>1</v>
      </c>
      <c r="R52" s="128"/>
      <c r="S52" s="128" t="s">
        <v>1625</v>
      </c>
      <c r="T52"/>
    </row>
    <row r="53" spans="1:20" ht="22" customHeight="1">
      <c r="A53" s="128" t="s">
        <v>1871</v>
      </c>
      <c r="B53" s="128" t="s">
        <v>2367</v>
      </c>
      <c r="C53" s="128" t="s">
        <v>2030</v>
      </c>
      <c r="D53" s="128" t="s">
        <v>2130</v>
      </c>
      <c r="E53" s="128" t="s">
        <v>1864</v>
      </c>
      <c r="F53" s="128" t="s">
        <v>4176</v>
      </c>
      <c r="G53" s="128" t="s">
        <v>4177</v>
      </c>
      <c r="H53" s="128" t="s">
        <v>4178</v>
      </c>
      <c r="I53" s="128">
        <v>1.5</v>
      </c>
      <c r="J53" s="128" t="s">
        <v>2033</v>
      </c>
      <c r="K53" s="128" t="s">
        <v>2033</v>
      </c>
      <c r="L53" s="128" t="s">
        <v>1986</v>
      </c>
      <c r="M53" s="128" t="s">
        <v>4179</v>
      </c>
      <c r="N53" s="128" t="s">
        <v>2011</v>
      </c>
      <c r="O53" s="128" t="s">
        <v>2019</v>
      </c>
      <c r="P53" s="128" t="s">
        <v>980</v>
      </c>
      <c r="Q53" s="128" t="s">
        <v>1</v>
      </c>
      <c r="R53" s="128"/>
      <c r="S53" s="128" t="s">
        <v>1680</v>
      </c>
      <c r="T53"/>
    </row>
    <row r="54" spans="1:20" ht="22" customHeight="1">
      <c r="A54" s="128" t="s">
        <v>1714</v>
      </c>
      <c r="B54" s="128" t="s">
        <v>3309</v>
      </c>
      <c r="C54" s="128" t="s">
        <v>2030</v>
      </c>
      <c r="D54" s="128" t="s">
        <v>2130</v>
      </c>
      <c r="E54" s="128" t="s">
        <v>1858</v>
      </c>
      <c r="F54" s="128" t="s">
        <v>4250</v>
      </c>
      <c r="G54" s="128" t="s">
        <v>4251</v>
      </c>
      <c r="H54" s="128" t="s">
        <v>4252</v>
      </c>
      <c r="I54" s="128">
        <v>1</v>
      </c>
      <c r="J54" s="128" t="s">
        <v>2033</v>
      </c>
      <c r="K54" s="128" t="s">
        <v>2033</v>
      </c>
      <c r="L54" s="128" t="s">
        <v>1986</v>
      </c>
      <c r="M54" s="128" t="s">
        <v>4253</v>
      </c>
      <c r="N54" s="128" t="s">
        <v>2011</v>
      </c>
      <c r="O54" s="128" t="s">
        <v>2021</v>
      </c>
      <c r="P54" s="128" t="s">
        <v>980</v>
      </c>
      <c r="Q54" s="128" t="s">
        <v>1</v>
      </c>
      <c r="R54" s="128"/>
      <c r="S54" s="128" t="s">
        <v>1671</v>
      </c>
      <c r="T54"/>
    </row>
    <row r="55" spans="1:20" ht="22" customHeight="1">
      <c r="A55" s="101" t="s">
        <v>1707</v>
      </c>
      <c r="B55" s="101" t="s">
        <v>2353</v>
      </c>
      <c r="C55" s="101" t="s">
        <v>2030</v>
      </c>
      <c r="D55" s="101" t="s">
        <v>2132</v>
      </c>
      <c r="E55" s="101" t="s">
        <v>1913</v>
      </c>
      <c r="F55" s="101" t="s">
        <v>3683</v>
      </c>
      <c r="G55" s="101" t="s">
        <v>2892</v>
      </c>
      <c r="H55" s="101" t="s">
        <v>2893</v>
      </c>
      <c r="I55" s="127">
        <v>1</v>
      </c>
      <c r="J55" s="101" t="s">
        <v>2033</v>
      </c>
      <c r="K55" s="101" t="s">
        <v>2033</v>
      </c>
      <c r="L55" s="101" t="s">
        <v>1989</v>
      </c>
      <c r="M55" s="101" t="s">
        <v>2894</v>
      </c>
      <c r="N55" s="101" t="s">
        <v>2011</v>
      </c>
      <c r="O55" s="101" t="s">
        <v>2021</v>
      </c>
      <c r="P55" s="101" t="s">
        <v>980</v>
      </c>
      <c r="Q55" s="101" t="s">
        <v>1</v>
      </c>
      <c r="R55" s="101"/>
      <c r="S55" s="101" t="s">
        <v>1645</v>
      </c>
      <c r="T55"/>
    </row>
    <row r="56" spans="1:20" ht="22" customHeight="1">
      <c r="A56" s="115" t="s">
        <v>1482</v>
      </c>
      <c r="B56" s="115" t="s">
        <v>2425</v>
      </c>
      <c r="C56" s="129" t="s">
        <v>2029</v>
      </c>
      <c r="D56" s="116" t="s">
        <v>2132</v>
      </c>
      <c r="E56" s="116" t="s">
        <v>2182</v>
      </c>
      <c r="F56" s="116" t="s">
        <v>1897</v>
      </c>
      <c r="G56" s="116" t="s">
        <v>1930</v>
      </c>
      <c r="H56" s="116" t="s">
        <v>1931</v>
      </c>
      <c r="I56" s="130">
        <v>1</v>
      </c>
      <c r="J56" s="115" t="s">
        <v>2033</v>
      </c>
      <c r="K56" s="115" t="s">
        <v>2033</v>
      </c>
      <c r="L56" s="131" t="s">
        <v>1989</v>
      </c>
      <c r="M56" s="131" t="s">
        <v>2005</v>
      </c>
      <c r="N56" s="131" t="s">
        <v>2011</v>
      </c>
      <c r="O56" s="129" t="s">
        <v>2019</v>
      </c>
      <c r="P56" s="115" t="s">
        <v>980</v>
      </c>
      <c r="Q56" s="115" t="s">
        <v>1</v>
      </c>
      <c r="R56" s="115"/>
      <c r="S56" s="115" t="s">
        <v>2237</v>
      </c>
      <c r="T56"/>
    </row>
    <row r="57" spans="1:20" ht="22" customHeight="1">
      <c r="A57" s="101" t="s">
        <v>1708</v>
      </c>
      <c r="B57" s="101" t="s">
        <v>2353</v>
      </c>
      <c r="C57" s="101" t="s">
        <v>2030</v>
      </c>
      <c r="D57" s="101" t="s">
        <v>3440</v>
      </c>
      <c r="E57" s="101" t="s">
        <v>3474</v>
      </c>
      <c r="F57" s="101" t="s">
        <v>3684</v>
      </c>
      <c r="G57" s="101" t="s">
        <v>4189</v>
      </c>
      <c r="H57" s="101" t="s">
        <v>2895</v>
      </c>
      <c r="I57" s="127">
        <v>2</v>
      </c>
      <c r="J57" s="101" t="s">
        <v>2033</v>
      </c>
      <c r="K57" s="101" t="s">
        <v>2033</v>
      </c>
      <c r="L57" s="101" t="s">
        <v>1978</v>
      </c>
      <c r="M57" s="101" t="s">
        <v>2896</v>
      </c>
      <c r="N57" s="101" t="s">
        <v>2011</v>
      </c>
      <c r="O57" s="101" t="s">
        <v>2021</v>
      </c>
      <c r="P57" s="101" t="s">
        <v>980</v>
      </c>
      <c r="Q57" s="101" t="s">
        <v>1</v>
      </c>
      <c r="R57" s="101"/>
      <c r="S57" s="101" t="s">
        <v>1647</v>
      </c>
      <c r="T57"/>
    </row>
    <row r="58" spans="1:20" ht="22" customHeight="1">
      <c r="A58" s="115" t="s">
        <v>278</v>
      </c>
      <c r="B58" s="115" t="s">
        <v>2430</v>
      </c>
      <c r="C58" s="129" t="s">
        <v>2028</v>
      </c>
      <c r="D58" s="116" t="s">
        <v>3440</v>
      </c>
      <c r="E58" s="116" t="s">
        <v>1849</v>
      </c>
      <c r="F58" s="116" t="s">
        <v>4190</v>
      </c>
      <c r="G58" s="116" t="s">
        <v>3685</v>
      </c>
      <c r="H58" s="116" t="s">
        <v>2094</v>
      </c>
      <c r="I58" s="130">
        <v>3</v>
      </c>
      <c r="J58" s="115" t="s">
        <v>2033</v>
      </c>
      <c r="K58" s="115" t="s">
        <v>2033</v>
      </c>
      <c r="L58" s="131" t="s">
        <v>1979</v>
      </c>
      <c r="M58" s="131" t="s">
        <v>1996</v>
      </c>
      <c r="N58" s="131" t="s">
        <v>2011</v>
      </c>
      <c r="O58" s="129" t="s">
        <v>2021</v>
      </c>
      <c r="P58" s="115" t="s">
        <v>980</v>
      </c>
      <c r="Q58" s="115" t="s">
        <v>1</v>
      </c>
      <c r="R58" s="115"/>
      <c r="S58" s="115" t="s">
        <v>1648</v>
      </c>
      <c r="T58"/>
    </row>
    <row r="59" spans="1:20" ht="22" customHeight="1">
      <c r="A59" s="101" t="s">
        <v>1713</v>
      </c>
      <c r="B59" s="101" t="s">
        <v>2353</v>
      </c>
      <c r="C59" s="101" t="s">
        <v>2030</v>
      </c>
      <c r="D59" s="101" t="s">
        <v>3440</v>
      </c>
      <c r="E59" s="101" t="s">
        <v>1857</v>
      </c>
      <c r="F59" s="101" t="s">
        <v>2897</v>
      </c>
      <c r="G59" s="101" t="s">
        <v>3686</v>
      </c>
      <c r="H59" s="101" t="s">
        <v>2898</v>
      </c>
      <c r="I59" s="127">
        <v>1</v>
      </c>
      <c r="J59" s="101" t="s">
        <v>2033</v>
      </c>
      <c r="K59" s="101" t="s">
        <v>2033</v>
      </c>
      <c r="L59" s="101" t="s">
        <v>1989</v>
      </c>
      <c r="M59" s="101" t="s">
        <v>3687</v>
      </c>
      <c r="N59" s="101" t="s">
        <v>2011</v>
      </c>
      <c r="O59" s="101" t="s">
        <v>2021</v>
      </c>
      <c r="P59" s="101" t="s">
        <v>980</v>
      </c>
      <c r="Q59" s="101" t="s">
        <v>1</v>
      </c>
      <c r="R59" s="101"/>
      <c r="S59" s="101" t="s">
        <v>1669</v>
      </c>
      <c r="T59"/>
    </row>
    <row r="60" spans="1:20" ht="22" customHeight="1">
      <c r="A60" s="115" t="s">
        <v>1503</v>
      </c>
      <c r="B60" s="115" t="s">
        <v>3310</v>
      </c>
      <c r="C60" s="129" t="s">
        <v>2030</v>
      </c>
      <c r="D60" s="116" t="s">
        <v>1912</v>
      </c>
      <c r="E60" s="116" t="s">
        <v>1842</v>
      </c>
      <c r="F60" s="116" t="s">
        <v>2070</v>
      </c>
      <c r="G60" s="116" t="s">
        <v>1763</v>
      </c>
      <c r="H60" s="116" t="s">
        <v>1764</v>
      </c>
      <c r="I60" s="130">
        <v>2</v>
      </c>
      <c r="J60" s="115" t="s">
        <v>2105</v>
      </c>
      <c r="K60" s="115" t="s">
        <v>2105</v>
      </c>
      <c r="L60" s="131" t="s">
        <v>1983</v>
      </c>
      <c r="M60" s="131" t="s">
        <v>3688</v>
      </c>
      <c r="N60" s="131" t="s">
        <v>2011</v>
      </c>
      <c r="O60" s="129" t="s">
        <v>2021</v>
      </c>
      <c r="P60" s="115" t="s">
        <v>980</v>
      </c>
      <c r="Q60" s="115" t="s">
        <v>1</v>
      </c>
      <c r="R60" s="115"/>
      <c r="S60" s="115" t="s">
        <v>1630</v>
      </c>
      <c r="T60"/>
    </row>
    <row r="61" spans="1:20" ht="22" customHeight="1">
      <c r="A61" s="128" t="s">
        <v>1870</v>
      </c>
      <c r="B61" s="128" t="s">
        <v>2367</v>
      </c>
      <c r="C61" s="128" t="s">
        <v>2028</v>
      </c>
      <c r="D61" s="128" t="s">
        <v>1912</v>
      </c>
      <c r="E61" s="128" t="s">
        <v>1842</v>
      </c>
      <c r="F61" s="128" t="s">
        <v>3689</v>
      </c>
      <c r="G61" s="128" t="s">
        <v>3690</v>
      </c>
      <c r="H61" s="128" t="s">
        <v>2418</v>
      </c>
      <c r="I61" s="128">
        <v>1</v>
      </c>
      <c r="J61" s="128" t="s">
        <v>2034</v>
      </c>
      <c r="K61" s="128" t="s">
        <v>1471</v>
      </c>
      <c r="L61" s="128" t="s">
        <v>1985</v>
      </c>
      <c r="M61" s="128" t="s">
        <v>2419</v>
      </c>
      <c r="N61" s="128" t="s">
        <v>2011</v>
      </c>
      <c r="O61" s="128" t="s">
        <v>2021</v>
      </c>
      <c r="P61" s="128" t="s">
        <v>980</v>
      </c>
      <c r="Q61" s="128" t="s">
        <v>1</v>
      </c>
      <c r="R61" s="128"/>
      <c r="S61" s="128" t="s">
        <v>1630</v>
      </c>
      <c r="T61"/>
    </row>
    <row r="62" spans="1:20" ht="22" customHeight="1">
      <c r="A62" s="115" t="s">
        <v>1535</v>
      </c>
      <c r="B62" s="115" t="s">
        <v>3642</v>
      </c>
      <c r="C62" s="129" t="s">
        <v>2030</v>
      </c>
      <c r="D62" s="116" t="s">
        <v>2134</v>
      </c>
      <c r="E62" s="116" t="s">
        <v>3475</v>
      </c>
      <c r="F62" s="116" t="s">
        <v>3691</v>
      </c>
      <c r="G62" s="116" t="s">
        <v>3692</v>
      </c>
      <c r="H62" s="116" t="s">
        <v>1798</v>
      </c>
      <c r="I62" s="130">
        <v>1</v>
      </c>
      <c r="J62" s="115" t="s">
        <v>2033</v>
      </c>
      <c r="K62" s="115" t="s">
        <v>2033</v>
      </c>
      <c r="L62" s="131" t="s">
        <v>1980</v>
      </c>
      <c r="M62" s="131" t="s">
        <v>3693</v>
      </c>
      <c r="N62" s="131" t="s">
        <v>2011</v>
      </c>
      <c r="O62" s="129" t="s">
        <v>2018</v>
      </c>
      <c r="P62" s="115" t="s">
        <v>980</v>
      </c>
      <c r="Q62" s="115" t="s">
        <v>1</v>
      </c>
      <c r="R62" s="115"/>
      <c r="S62" s="115" t="s">
        <v>2257</v>
      </c>
      <c r="T62"/>
    </row>
    <row r="63" spans="1:20" ht="22" customHeight="1">
      <c r="A63" s="115" t="s">
        <v>1583</v>
      </c>
      <c r="B63" s="115" t="s">
        <v>2406</v>
      </c>
      <c r="C63" s="129" t="s">
        <v>2029</v>
      </c>
      <c r="D63" s="116" t="s">
        <v>2134</v>
      </c>
      <c r="E63" s="117" t="s">
        <v>3475</v>
      </c>
      <c r="F63" s="116" t="s">
        <v>1950</v>
      </c>
      <c r="G63" s="116" t="s">
        <v>3694</v>
      </c>
      <c r="H63" s="116" t="s">
        <v>1728</v>
      </c>
      <c r="I63" s="117">
        <v>2</v>
      </c>
      <c r="J63" s="130" t="s">
        <v>2033</v>
      </c>
      <c r="K63" s="130" t="s">
        <v>2033</v>
      </c>
      <c r="L63" s="117" t="s">
        <v>1978</v>
      </c>
      <c r="M63" s="117" t="s">
        <v>3640</v>
      </c>
      <c r="N63" s="131" t="s">
        <v>2011</v>
      </c>
      <c r="O63" s="129" t="s">
        <v>2020</v>
      </c>
      <c r="P63" s="115" t="s">
        <v>980</v>
      </c>
      <c r="Q63" s="115" t="s">
        <v>1</v>
      </c>
      <c r="R63" s="115"/>
      <c r="S63" s="115" t="s">
        <v>2257</v>
      </c>
      <c r="T63"/>
    </row>
    <row r="64" spans="1:20" ht="22" customHeight="1">
      <c r="A64" s="115" t="s">
        <v>1584</v>
      </c>
      <c r="B64" s="115" t="s">
        <v>2406</v>
      </c>
      <c r="C64" s="129" t="s">
        <v>2029</v>
      </c>
      <c r="D64" s="116" t="s">
        <v>2134</v>
      </c>
      <c r="E64" s="117" t="s">
        <v>3475</v>
      </c>
      <c r="F64" s="116" t="s">
        <v>1951</v>
      </c>
      <c r="G64" s="116" t="s">
        <v>1729</v>
      </c>
      <c r="H64" s="116" t="s">
        <v>1730</v>
      </c>
      <c r="I64" s="117">
        <v>1</v>
      </c>
      <c r="J64" s="130" t="s">
        <v>2033</v>
      </c>
      <c r="K64" s="130" t="s">
        <v>2033</v>
      </c>
      <c r="L64" s="117" t="s">
        <v>1978</v>
      </c>
      <c r="M64" s="117" t="s">
        <v>3640</v>
      </c>
      <c r="N64" s="131" t="s">
        <v>2011</v>
      </c>
      <c r="O64" s="129" t="s">
        <v>2020</v>
      </c>
      <c r="P64" s="115" t="s">
        <v>980</v>
      </c>
      <c r="Q64" s="115" t="s">
        <v>1</v>
      </c>
      <c r="R64" s="115"/>
      <c r="S64" s="115" t="s">
        <v>2257</v>
      </c>
      <c r="T64"/>
    </row>
    <row r="65" spans="1:20" ht="22" customHeight="1">
      <c r="A65" s="128" t="s">
        <v>2048</v>
      </c>
      <c r="B65" s="128" t="s">
        <v>2353</v>
      </c>
      <c r="C65" s="128" t="s">
        <v>2030</v>
      </c>
      <c r="D65" s="128" t="s">
        <v>2134</v>
      </c>
      <c r="E65" s="128" t="s">
        <v>3476</v>
      </c>
      <c r="F65" s="128" t="s">
        <v>3695</v>
      </c>
      <c r="G65" s="128" t="s">
        <v>3696</v>
      </c>
      <c r="H65" s="128" t="s">
        <v>2420</v>
      </c>
      <c r="I65" s="128">
        <v>0.5</v>
      </c>
      <c r="J65" s="128" t="s">
        <v>2033</v>
      </c>
      <c r="K65" s="128" t="s">
        <v>2033</v>
      </c>
      <c r="L65" s="128" t="s">
        <v>1982</v>
      </c>
      <c r="M65" s="128" t="s">
        <v>3697</v>
      </c>
      <c r="N65" s="128" t="s">
        <v>2011</v>
      </c>
      <c r="O65" s="128" t="s">
        <v>2021</v>
      </c>
      <c r="P65" s="128" t="s">
        <v>980</v>
      </c>
      <c r="Q65" s="128" t="s">
        <v>1</v>
      </c>
      <c r="R65" s="128"/>
      <c r="S65" s="128" t="s">
        <v>1658</v>
      </c>
      <c r="T65"/>
    </row>
    <row r="66" spans="1:20" ht="22" customHeight="1">
      <c r="A66" s="115" t="s">
        <v>279</v>
      </c>
      <c r="B66" s="115" t="s">
        <v>2430</v>
      </c>
      <c r="C66" s="129" t="s">
        <v>2028</v>
      </c>
      <c r="D66" s="116" t="s">
        <v>2134</v>
      </c>
      <c r="E66" s="116" t="s">
        <v>2173</v>
      </c>
      <c r="F66" s="116" t="s">
        <v>1885</v>
      </c>
      <c r="G66" s="116" t="s">
        <v>1812</v>
      </c>
      <c r="H66" s="116" t="s">
        <v>3698</v>
      </c>
      <c r="I66" s="130">
        <v>1</v>
      </c>
      <c r="J66" s="115" t="s">
        <v>2033</v>
      </c>
      <c r="K66" s="115" t="s">
        <v>2033</v>
      </c>
      <c r="L66" s="131" t="s">
        <v>1990</v>
      </c>
      <c r="M66" s="131" t="s">
        <v>2106</v>
      </c>
      <c r="N66" s="131" t="s">
        <v>2111</v>
      </c>
      <c r="O66" s="129" t="s">
        <v>2021</v>
      </c>
      <c r="P66" s="115" t="s">
        <v>980</v>
      </c>
      <c r="Q66" s="115" t="s">
        <v>1</v>
      </c>
      <c r="R66" s="115"/>
      <c r="S66" s="115" t="s">
        <v>1659</v>
      </c>
      <c r="T66"/>
    </row>
    <row r="67" spans="1:20" ht="22" customHeight="1">
      <c r="A67" s="101" t="s">
        <v>1709</v>
      </c>
      <c r="B67" s="101" t="s">
        <v>2353</v>
      </c>
      <c r="C67" s="101" t="s">
        <v>2030</v>
      </c>
      <c r="D67" s="101" t="s">
        <v>3443</v>
      </c>
      <c r="E67" s="101" t="s">
        <v>3477</v>
      </c>
      <c r="F67" s="101" t="s">
        <v>3699</v>
      </c>
      <c r="G67" s="101" t="s">
        <v>4191</v>
      </c>
      <c r="H67" s="101" t="s">
        <v>2906</v>
      </c>
      <c r="I67" s="127">
        <v>1.5</v>
      </c>
      <c r="J67" s="101" t="s">
        <v>2033</v>
      </c>
      <c r="K67" s="101" t="s">
        <v>2033</v>
      </c>
      <c r="L67" s="101" t="s">
        <v>1978</v>
      </c>
      <c r="M67" s="101" t="s">
        <v>2907</v>
      </c>
      <c r="N67" s="101" t="s">
        <v>2011</v>
      </c>
      <c r="O67" s="101" t="s">
        <v>2021</v>
      </c>
      <c r="P67" s="101" t="s">
        <v>980</v>
      </c>
      <c r="Q67" s="101" t="s">
        <v>1</v>
      </c>
      <c r="R67" s="101"/>
      <c r="S67" s="101" t="s">
        <v>1660</v>
      </c>
      <c r="T67"/>
    </row>
    <row r="68" spans="1:20" ht="22" customHeight="1">
      <c r="A68" s="115" t="s">
        <v>1536</v>
      </c>
      <c r="B68" s="115" t="s">
        <v>3642</v>
      </c>
      <c r="C68" s="129" t="s">
        <v>2030</v>
      </c>
      <c r="D68" s="116" t="s">
        <v>2135</v>
      </c>
      <c r="E68" s="116" t="s">
        <v>2213</v>
      </c>
      <c r="F68" s="116" t="s">
        <v>1575</v>
      </c>
      <c r="G68" s="116" t="s">
        <v>1799</v>
      </c>
      <c r="H68" s="116" t="s">
        <v>1800</v>
      </c>
      <c r="I68" s="130">
        <v>1</v>
      </c>
      <c r="J68" s="115" t="s">
        <v>2033</v>
      </c>
      <c r="K68" s="115" t="s">
        <v>2033</v>
      </c>
      <c r="L68" s="131" t="s">
        <v>1980</v>
      </c>
      <c r="M68" s="131" t="s">
        <v>3693</v>
      </c>
      <c r="N68" s="131" t="s">
        <v>2011</v>
      </c>
      <c r="O68" s="129" t="s">
        <v>2018</v>
      </c>
      <c r="P68" s="115" t="s">
        <v>980</v>
      </c>
      <c r="Q68" s="115" t="s">
        <v>1</v>
      </c>
      <c r="R68" s="115"/>
      <c r="S68" s="115" t="s">
        <v>2262</v>
      </c>
      <c r="T68"/>
    </row>
    <row r="69" spans="1:20" ht="22" customHeight="1">
      <c r="A69" s="115" t="s">
        <v>4245</v>
      </c>
      <c r="B69" s="115" t="s">
        <v>2372</v>
      </c>
      <c r="C69" s="129" t="s">
        <v>2030</v>
      </c>
      <c r="D69" s="116" t="s">
        <v>2135</v>
      </c>
      <c r="E69" s="116" t="s">
        <v>4223</v>
      </c>
      <c r="F69" s="116" t="s">
        <v>4246</v>
      </c>
      <c r="G69" s="116" t="s">
        <v>4247</v>
      </c>
      <c r="H69" s="116" t="s">
        <v>4248</v>
      </c>
      <c r="I69" s="130">
        <v>2</v>
      </c>
      <c r="J69" s="115" t="s">
        <v>2033</v>
      </c>
      <c r="K69" s="115" t="s">
        <v>2033</v>
      </c>
      <c r="L69" s="131" t="s">
        <v>1982</v>
      </c>
      <c r="M69" s="131" t="s">
        <v>4249</v>
      </c>
      <c r="N69" s="131" t="s">
        <v>2011</v>
      </c>
      <c r="O69" s="129" t="s">
        <v>2021</v>
      </c>
      <c r="P69" s="115" t="s">
        <v>980</v>
      </c>
      <c r="Q69" s="115" t="s">
        <v>1</v>
      </c>
      <c r="R69" s="115"/>
      <c r="S69" s="115" t="s">
        <v>4224</v>
      </c>
      <c r="T69"/>
    </row>
    <row r="70" spans="1:20" ht="22" customHeight="1">
      <c r="A70" s="128" t="s">
        <v>1710</v>
      </c>
      <c r="B70" s="128" t="s">
        <v>2353</v>
      </c>
      <c r="C70" s="128" t="s">
        <v>2030</v>
      </c>
      <c r="D70" s="128" t="s">
        <v>2136</v>
      </c>
      <c r="E70" s="128" t="s">
        <v>1824</v>
      </c>
      <c r="F70" s="128" t="s">
        <v>2394</v>
      </c>
      <c r="G70" s="128" t="s">
        <v>4192</v>
      </c>
      <c r="H70" s="128" t="s">
        <v>2395</v>
      </c>
      <c r="I70" s="128">
        <v>2</v>
      </c>
      <c r="J70" s="128" t="s">
        <v>2033</v>
      </c>
      <c r="K70" s="128" t="s">
        <v>2033</v>
      </c>
      <c r="L70" s="128" t="s">
        <v>1978</v>
      </c>
      <c r="M70" s="128" t="s">
        <v>2396</v>
      </c>
      <c r="N70" s="128" t="s">
        <v>2011</v>
      </c>
      <c r="O70" s="128" t="s">
        <v>2021</v>
      </c>
      <c r="P70" s="128" t="s">
        <v>980</v>
      </c>
      <c r="Q70" s="128" t="s">
        <v>1</v>
      </c>
      <c r="R70" s="128"/>
      <c r="S70" s="128" t="s">
        <v>1662</v>
      </c>
      <c r="T70"/>
    </row>
    <row r="71" spans="1:20" ht="22" customHeight="1">
      <c r="A71" s="128" t="s">
        <v>1518</v>
      </c>
      <c r="B71" s="128" t="s">
        <v>2372</v>
      </c>
      <c r="C71" s="128" t="s">
        <v>2030</v>
      </c>
      <c r="D71" s="128" t="s">
        <v>2136</v>
      </c>
      <c r="E71" s="128" t="s">
        <v>1824</v>
      </c>
      <c r="F71" s="128" t="s">
        <v>2402</v>
      </c>
      <c r="G71" s="128" t="s">
        <v>2403</v>
      </c>
      <c r="H71" s="128" t="s">
        <v>2404</v>
      </c>
      <c r="I71" s="128">
        <v>3</v>
      </c>
      <c r="J71" s="128" t="s">
        <v>2033</v>
      </c>
      <c r="K71" s="128" t="s">
        <v>2033</v>
      </c>
      <c r="L71" s="128" t="s">
        <v>1978</v>
      </c>
      <c r="M71" s="128" t="s">
        <v>2405</v>
      </c>
      <c r="N71" s="128" t="s">
        <v>2011</v>
      </c>
      <c r="O71" s="128" t="s">
        <v>2021</v>
      </c>
      <c r="P71" s="128" t="s">
        <v>980</v>
      </c>
      <c r="Q71" s="128" t="s">
        <v>1</v>
      </c>
      <c r="R71" s="128"/>
      <c r="S71" s="128" t="s">
        <v>1662</v>
      </c>
      <c r="T71"/>
    </row>
    <row r="72" spans="1:20" ht="22" customHeight="1">
      <c r="A72" s="128" t="s">
        <v>1580</v>
      </c>
      <c r="B72" s="128" t="s">
        <v>2406</v>
      </c>
      <c r="C72" s="128" t="s">
        <v>2029</v>
      </c>
      <c r="D72" s="128" t="s">
        <v>2136</v>
      </c>
      <c r="E72" s="128" t="s">
        <v>1824</v>
      </c>
      <c r="F72" s="128" t="s">
        <v>2407</v>
      </c>
      <c r="G72" s="128" t="s">
        <v>2408</v>
      </c>
      <c r="H72" s="128" t="s">
        <v>2409</v>
      </c>
      <c r="I72" s="128">
        <v>2</v>
      </c>
      <c r="J72" s="128" t="s">
        <v>2033</v>
      </c>
      <c r="K72" s="128" t="s">
        <v>1471</v>
      </c>
      <c r="L72" s="128" t="s">
        <v>1978</v>
      </c>
      <c r="M72" s="128" t="s">
        <v>2410</v>
      </c>
      <c r="N72" s="128" t="s">
        <v>2011</v>
      </c>
      <c r="O72" s="128" t="s">
        <v>2021</v>
      </c>
      <c r="P72" s="128" t="s">
        <v>980</v>
      </c>
      <c r="Q72" s="128" t="s">
        <v>1</v>
      </c>
      <c r="R72" s="128"/>
      <c r="S72" s="128" t="s">
        <v>1662</v>
      </c>
      <c r="T72"/>
    </row>
    <row r="73" spans="1:20" ht="22" customHeight="1">
      <c r="A73" s="128" t="s">
        <v>1711</v>
      </c>
      <c r="B73" s="128" t="s">
        <v>2353</v>
      </c>
      <c r="C73" s="128" t="s">
        <v>2030</v>
      </c>
      <c r="D73" s="128" t="s">
        <v>2136</v>
      </c>
      <c r="E73" s="128" t="s">
        <v>3478</v>
      </c>
      <c r="F73" s="128" t="s">
        <v>3700</v>
      </c>
      <c r="G73" s="128" t="s">
        <v>3534</v>
      </c>
      <c r="H73" s="128" t="s">
        <v>2397</v>
      </c>
      <c r="I73" s="128">
        <v>2</v>
      </c>
      <c r="J73" s="128" t="s">
        <v>2033</v>
      </c>
      <c r="K73" s="128" t="s">
        <v>1471</v>
      </c>
      <c r="L73" s="128" t="s">
        <v>1978</v>
      </c>
      <c r="M73" s="128" t="s">
        <v>3701</v>
      </c>
      <c r="N73" s="128" t="s">
        <v>2011</v>
      </c>
      <c r="O73" s="128" t="s">
        <v>2021</v>
      </c>
      <c r="P73" s="128" t="s">
        <v>980</v>
      </c>
      <c r="Q73" s="128" t="s">
        <v>1</v>
      </c>
      <c r="R73" s="128"/>
      <c r="S73" s="128" t="s">
        <v>1663</v>
      </c>
      <c r="T73"/>
    </row>
    <row r="74" spans="1:20" ht="22" customHeight="1">
      <c r="A74" s="128" t="s">
        <v>1712</v>
      </c>
      <c r="B74" s="128" t="s">
        <v>2353</v>
      </c>
      <c r="C74" s="128" t="s">
        <v>2030</v>
      </c>
      <c r="D74" s="128" t="s">
        <v>2136</v>
      </c>
      <c r="E74" s="128" t="s">
        <v>1854</v>
      </c>
      <c r="F74" s="128" t="s">
        <v>2398</v>
      </c>
      <c r="G74" s="128" t="s">
        <v>2399</v>
      </c>
      <c r="H74" s="128" t="s">
        <v>2400</v>
      </c>
      <c r="I74" s="128">
        <v>1</v>
      </c>
      <c r="J74" s="128" t="s">
        <v>2033</v>
      </c>
      <c r="K74" s="128" t="s">
        <v>1471</v>
      </c>
      <c r="L74" s="128" t="s">
        <v>1981</v>
      </c>
      <c r="M74" s="128" t="s">
        <v>2401</v>
      </c>
      <c r="N74" s="128" t="s">
        <v>2011</v>
      </c>
      <c r="O74" s="128" t="s">
        <v>2021</v>
      </c>
      <c r="P74" s="128" t="s">
        <v>980</v>
      </c>
      <c r="Q74" s="128" t="s">
        <v>1</v>
      </c>
      <c r="R74" s="128"/>
      <c r="S74" s="128" t="s">
        <v>1664</v>
      </c>
      <c r="T74"/>
    </row>
    <row r="75" spans="1:20" ht="22" customHeight="1">
      <c r="A75" s="115" t="s">
        <v>1520</v>
      </c>
      <c r="B75" s="115" t="s">
        <v>3311</v>
      </c>
      <c r="C75" s="129" t="s">
        <v>2030</v>
      </c>
      <c r="D75" s="116" t="s">
        <v>2137</v>
      </c>
      <c r="E75" s="116" t="s">
        <v>2191</v>
      </c>
      <c r="F75" s="116" t="s">
        <v>2078</v>
      </c>
      <c r="G75" s="116" t="s">
        <v>2444</v>
      </c>
      <c r="H75" s="116" t="s">
        <v>2103</v>
      </c>
      <c r="I75" s="130">
        <v>1</v>
      </c>
      <c r="J75" s="115" t="s">
        <v>2033</v>
      </c>
      <c r="K75" s="115" t="s">
        <v>2033</v>
      </c>
      <c r="L75" s="131" t="s">
        <v>1984</v>
      </c>
      <c r="M75" s="131" t="s">
        <v>1995</v>
      </c>
      <c r="N75" s="131" t="s">
        <v>2011</v>
      </c>
      <c r="O75" s="129" t="s">
        <v>2019</v>
      </c>
      <c r="P75" s="115" t="s">
        <v>980</v>
      </c>
      <c r="Q75" s="115" t="s">
        <v>1</v>
      </c>
      <c r="R75" s="115"/>
      <c r="S75" s="115" t="s">
        <v>2245</v>
      </c>
      <c r="T75"/>
    </row>
    <row r="76" spans="1:20" ht="22" customHeight="1">
      <c r="A76" s="115" t="s">
        <v>1521</v>
      </c>
      <c r="B76" s="115" t="s">
        <v>3311</v>
      </c>
      <c r="C76" s="129" t="s">
        <v>2030</v>
      </c>
      <c r="D76" s="116" t="s">
        <v>2137</v>
      </c>
      <c r="E76" s="116" t="s">
        <v>2191</v>
      </c>
      <c r="F76" s="116" t="s">
        <v>2079</v>
      </c>
      <c r="G76" s="116" t="s">
        <v>4193</v>
      </c>
      <c r="H76" s="116" t="s">
        <v>2104</v>
      </c>
      <c r="I76" s="130">
        <v>1</v>
      </c>
      <c r="J76" s="115" t="s">
        <v>2033</v>
      </c>
      <c r="K76" s="115" t="s">
        <v>2033</v>
      </c>
      <c r="L76" s="131" t="s">
        <v>1984</v>
      </c>
      <c r="M76" s="131" t="s">
        <v>4194</v>
      </c>
      <c r="N76" s="131" t="s">
        <v>2011</v>
      </c>
      <c r="O76" s="129" t="s">
        <v>2019</v>
      </c>
      <c r="P76" s="115" t="s">
        <v>1520</v>
      </c>
      <c r="Q76" s="115" t="s">
        <v>1</v>
      </c>
      <c r="R76" s="115"/>
      <c r="S76" s="115" t="s">
        <v>2245</v>
      </c>
      <c r="T76"/>
    </row>
    <row r="77" spans="1:20" ht="22" customHeight="1">
      <c r="A77" s="115" t="s">
        <v>1474</v>
      </c>
      <c r="B77" s="115" t="s">
        <v>2430</v>
      </c>
      <c r="C77" s="129" t="s">
        <v>2028</v>
      </c>
      <c r="D77" s="116" t="s">
        <v>2137</v>
      </c>
      <c r="E77" s="116" t="s">
        <v>2191</v>
      </c>
      <c r="F77" s="116" t="s">
        <v>1884</v>
      </c>
      <c r="G77" s="116" t="s">
        <v>1890</v>
      </c>
      <c r="H77" s="116" t="s">
        <v>1891</v>
      </c>
      <c r="I77" s="130">
        <v>1</v>
      </c>
      <c r="J77" s="115" t="s">
        <v>2033</v>
      </c>
      <c r="K77" s="115" t="s">
        <v>2033</v>
      </c>
      <c r="L77" s="131" t="s">
        <v>1984</v>
      </c>
      <c r="M77" s="131" t="s">
        <v>2107</v>
      </c>
      <c r="N77" s="131" t="s">
        <v>2111</v>
      </c>
      <c r="O77" s="129" t="s">
        <v>2019</v>
      </c>
      <c r="P77" s="115" t="s">
        <v>980</v>
      </c>
      <c r="Q77" s="115" t="s">
        <v>1</v>
      </c>
      <c r="R77" s="115"/>
      <c r="S77" s="115" t="s">
        <v>2245</v>
      </c>
      <c r="T77"/>
    </row>
    <row r="78" spans="1:20" ht="22" customHeight="1">
      <c r="A78" s="115" t="s">
        <v>1514</v>
      </c>
      <c r="B78" s="115" t="s">
        <v>2367</v>
      </c>
      <c r="C78" s="129" t="s">
        <v>2030</v>
      </c>
      <c r="D78" s="116" t="s">
        <v>2137</v>
      </c>
      <c r="E78" s="116" t="s">
        <v>2191</v>
      </c>
      <c r="F78" s="116" t="s">
        <v>1868</v>
      </c>
      <c r="G78" s="116" t="s">
        <v>1877</v>
      </c>
      <c r="H78" s="116" t="s">
        <v>3702</v>
      </c>
      <c r="I78" s="130">
        <v>2</v>
      </c>
      <c r="J78" s="115" t="s">
        <v>2033</v>
      </c>
      <c r="K78" s="115" t="s">
        <v>2033</v>
      </c>
      <c r="L78" s="131" t="s">
        <v>1987</v>
      </c>
      <c r="M78" s="131" t="s">
        <v>2110</v>
      </c>
      <c r="N78" s="131" t="s">
        <v>2111</v>
      </c>
      <c r="O78" s="129" t="s">
        <v>2019</v>
      </c>
      <c r="P78" s="115"/>
      <c r="Q78" s="115" t="s">
        <v>1</v>
      </c>
      <c r="R78" s="115"/>
      <c r="S78" s="115" t="s">
        <v>2245</v>
      </c>
      <c r="T78"/>
    </row>
    <row r="79" spans="1:20" ht="22" customHeight="1">
      <c r="A79" s="115" t="s">
        <v>1542</v>
      </c>
      <c r="B79" s="115" t="s">
        <v>3316</v>
      </c>
      <c r="C79" s="129" t="s">
        <v>2029</v>
      </c>
      <c r="D79" s="116" t="s">
        <v>2137</v>
      </c>
      <c r="E79" s="116" t="s">
        <v>2217</v>
      </c>
      <c r="F79" s="116" t="s">
        <v>4172</v>
      </c>
      <c r="G79" s="116" t="s">
        <v>4173</v>
      </c>
      <c r="H79" s="116" t="s">
        <v>4174</v>
      </c>
      <c r="I79" s="130">
        <v>1</v>
      </c>
      <c r="J79" s="115" t="s">
        <v>2033</v>
      </c>
      <c r="K79" s="115" t="s">
        <v>2033</v>
      </c>
      <c r="L79" s="131" t="s">
        <v>1986</v>
      </c>
      <c r="M79" s="131" t="s">
        <v>4175</v>
      </c>
      <c r="N79" s="131" t="s">
        <v>2011</v>
      </c>
      <c r="O79" s="129" t="s">
        <v>2019</v>
      </c>
      <c r="P79" s="115" t="s">
        <v>980</v>
      </c>
      <c r="Q79" s="115" t="s">
        <v>1</v>
      </c>
      <c r="R79" s="115"/>
      <c r="S79" s="115" t="s">
        <v>2266</v>
      </c>
      <c r="T79"/>
    </row>
    <row r="80" spans="1:20" ht="22" customHeight="1">
      <c r="A80" s="115" t="s">
        <v>1715</v>
      </c>
      <c r="B80" s="115" t="s">
        <v>3309</v>
      </c>
      <c r="C80" s="129" t="s">
        <v>2030</v>
      </c>
      <c r="D80" s="116" t="s">
        <v>2140</v>
      </c>
      <c r="E80" s="116" t="s">
        <v>1861</v>
      </c>
      <c r="F80" s="116" t="s">
        <v>1716</v>
      </c>
      <c r="G80" s="116" t="s">
        <v>3703</v>
      </c>
      <c r="H80" s="116" t="s">
        <v>2099</v>
      </c>
      <c r="I80" s="130">
        <v>0.5</v>
      </c>
      <c r="J80" s="115" t="s">
        <v>2033</v>
      </c>
      <c r="K80" s="115" t="s">
        <v>2033</v>
      </c>
      <c r="L80" s="131" t="s">
        <v>1982</v>
      </c>
      <c r="M80" s="131" t="s">
        <v>1997</v>
      </c>
      <c r="N80" s="131" t="s">
        <v>2011</v>
      </c>
      <c r="O80" s="129" t="s">
        <v>2019</v>
      </c>
      <c r="P80" s="115" t="s">
        <v>980</v>
      </c>
      <c r="Q80" s="115" t="s">
        <v>1</v>
      </c>
      <c r="R80" s="115" t="s">
        <v>1675</v>
      </c>
      <c r="S80" s="115" t="s">
        <v>1674</v>
      </c>
      <c r="T80"/>
    </row>
    <row r="81" spans="1:20" ht="22" customHeight="1">
      <c r="A81" s="115" t="s">
        <v>1585</v>
      </c>
      <c r="B81" s="115" t="s">
        <v>2406</v>
      </c>
      <c r="C81" s="129" t="s">
        <v>2029</v>
      </c>
      <c r="D81" s="116" t="s">
        <v>2140</v>
      </c>
      <c r="E81" s="117" t="s">
        <v>1861</v>
      </c>
      <c r="F81" s="116" t="s">
        <v>1952</v>
      </c>
      <c r="G81" s="116" t="s">
        <v>1731</v>
      </c>
      <c r="H81" s="116" t="s">
        <v>1732</v>
      </c>
      <c r="I81" s="117">
        <v>2</v>
      </c>
      <c r="J81" s="130" t="s">
        <v>2033</v>
      </c>
      <c r="K81" s="130" t="s">
        <v>2033</v>
      </c>
      <c r="L81" s="117" t="s">
        <v>1978</v>
      </c>
      <c r="M81" s="117" t="s">
        <v>3640</v>
      </c>
      <c r="N81" s="131" t="s">
        <v>2011</v>
      </c>
      <c r="O81" s="129" t="s">
        <v>2020</v>
      </c>
      <c r="P81" s="115" t="s">
        <v>980</v>
      </c>
      <c r="Q81" s="115" t="s">
        <v>1</v>
      </c>
      <c r="R81" s="115"/>
      <c r="S81" s="115" t="s">
        <v>1674</v>
      </c>
      <c r="T81"/>
    </row>
    <row r="82" spans="1:20" ht="22" customHeight="1">
      <c r="A82" s="115" t="s">
        <v>1717</v>
      </c>
      <c r="B82" s="115" t="s">
        <v>3309</v>
      </c>
      <c r="C82" s="129" t="s">
        <v>2030</v>
      </c>
      <c r="D82" s="116" t="s">
        <v>2140</v>
      </c>
      <c r="E82" s="116" t="s">
        <v>1862</v>
      </c>
      <c r="F82" s="116" t="s">
        <v>1718</v>
      </c>
      <c r="G82" s="116" t="s">
        <v>1747</v>
      </c>
      <c r="H82" s="116" t="s">
        <v>2100</v>
      </c>
      <c r="I82" s="130">
        <v>0.5</v>
      </c>
      <c r="J82" s="115" t="s">
        <v>2033</v>
      </c>
      <c r="K82" s="115" t="s">
        <v>2033</v>
      </c>
      <c r="L82" s="131" t="s">
        <v>1982</v>
      </c>
      <c r="M82" s="131" t="s">
        <v>1997</v>
      </c>
      <c r="N82" s="131" t="s">
        <v>2011</v>
      </c>
      <c r="O82" s="129" t="s">
        <v>2019</v>
      </c>
      <c r="P82" s="115" t="s">
        <v>980</v>
      </c>
      <c r="Q82" s="115" t="s">
        <v>1</v>
      </c>
      <c r="R82" s="115" t="s">
        <v>1677</v>
      </c>
      <c r="S82" s="115" t="s">
        <v>1676</v>
      </c>
      <c r="T82"/>
    </row>
    <row r="83" spans="1:20" ht="22" customHeight="1">
      <c r="A83" s="115" t="s">
        <v>1719</v>
      </c>
      <c r="B83" s="115" t="s">
        <v>3309</v>
      </c>
      <c r="C83" s="129" t="s">
        <v>2030</v>
      </c>
      <c r="D83" s="116" t="s">
        <v>2140</v>
      </c>
      <c r="E83" s="116" t="s">
        <v>1863</v>
      </c>
      <c r="F83" s="116" t="s">
        <v>1720</v>
      </c>
      <c r="G83" s="116" t="s">
        <v>1748</v>
      </c>
      <c r="H83" s="116" t="s">
        <v>2101</v>
      </c>
      <c r="I83" s="130">
        <v>0.5</v>
      </c>
      <c r="J83" s="115" t="s">
        <v>2033</v>
      </c>
      <c r="K83" s="115" t="s">
        <v>2033</v>
      </c>
      <c r="L83" s="131" t="s">
        <v>1982</v>
      </c>
      <c r="M83" s="131" t="s">
        <v>1998</v>
      </c>
      <c r="N83" s="131" t="s">
        <v>2011</v>
      </c>
      <c r="O83" s="129" t="s">
        <v>2019</v>
      </c>
      <c r="P83" s="115" t="s">
        <v>980</v>
      </c>
      <c r="Q83" s="115" t="s">
        <v>1</v>
      </c>
      <c r="R83" s="115" t="s">
        <v>278</v>
      </c>
      <c r="S83" s="115" t="s">
        <v>1678</v>
      </c>
      <c r="T83"/>
    </row>
    <row r="84" spans="1:20" ht="22" customHeight="1">
      <c r="A84" s="115" t="s">
        <v>1498</v>
      </c>
      <c r="B84" s="115" t="s">
        <v>3310</v>
      </c>
      <c r="C84" s="129" t="s">
        <v>2030</v>
      </c>
      <c r="D84" s="116" t="s">
        <v>2145</v>
      </c>
      <c r="E84" s="116" t="s">
        <v>2189</v>
      </c>
      <c r="F84" s="116" t="s">
        <v>2065</v>
      </c>
      <c r="G84" s="116" t="s">
        <v>2089</v>
      </c>
      <c r="H84" s="116" t="s">
        <v>1755</v>
      </c>
      <c r="I84" s="130">
        <v>2</v>
      </c>
      <c r="J84" s="115" t="s">
        <v>2033</v>
      </c>
      <c r="K84" s="115" t="s">
        <v>2033</v>
      </c>
      <c r="L84" s="131" t="s">
        <v>1988</v>
      </c>
      <c r="M84" s="131" t="s">
        <v>2002</v>
      </c>
      <c r="N84" s="131" t="s">
        <v>2011</v>
      </c>
      <c r="O84" s="129" t="s">
        <v>2020</v>
      </c>
      <c r="P84" s="115" t="s">
        <v>980</v>
      </c>
      <c r="Q84" s="115" t="s">
        <v>1</v>
      </c>
      <c r="R84" s="115"/>
      <c r="S84" s="115" t="s">
        <v>2243</v>
      </c>
      <c r="T84"/>
    </row>
    <row r="85" spans="1:20" ht="22" customHeight="1">
      <c r="A85" s="115" t="s">
        <v>1499</v>
      </c>
      <c r="B85" s="115" t="s">
        <v>3310</v>
      </c>
      <c r="C85" s="129" t="s">
        <v>2030</v>
      </c>
      <c r="D85" s="116" t="s">
        <v>2145</v>
      </c>
      <c r="E85" s="116" t="s">
        <v>2166</v>
      </c>
      <c r="F85" s="116" t="s">
        <v>2066</v>
      </c>
      <c r="G85" s="116" t="s">
        <v>2090</v>
      </c>
      <c r="H85" s="116" t="s">
        <v>1756</v>
      </c>
      <c r="I85" s="130">
        <v>2</v>
      </c>
      <c r="J85" s="115" t="s">
        <v>2033</v>
      </c>
      <c r="K85" s="115" t="s">
        <v>2033</v>
      </c>
      <c r="L85" s="131" t="s">
        <v>1988</v>
      </c>
      <c r="M85" s="131" t="s">
        <v>3704</v>
      </c>
      <c r="N85" s="131" t="s">
        <v>2011</v>
      </c>
      <c r="O85" s="129" t="s">
        <v>2020</v>
      </c>
      <c r="P85" s="115" t="s">
        <v>980</v>
      </c>
      <c r="Q85" s="115" t="s">
        <v>1</v>
      </c>
      <c r="R85" s="115"/>
      <c r="S85" s="115" t="s">
        <v>2224</v>
      </c>
      <c r="T85"/>
    </row>
    <row r="86" spans="1:20" ht="22" customHeight="1">
      <c r="A86" s="115" t="s">
        <v>1490</v>
      </c>
      <c r="B86" s="115" t="s">
        <v>3312</v>
      </c>
      <c r="C86" s="129" t="s">
        <v>2030</v>
      </c>
      <c r="D86" s="116" t="s">
        <v>2145</v>
      </c>
      <c r="E86" s="116" t="s">
        <v>2166</v>
      </c>
      <c r="F86" s="116" t="s">
        <v>2061</v>
      </c>
      <c r="G86" s="116" t="s">
        <v>2443</v>
      </c>
      <c r="H86" s="116" t="s">
        <v>1946</v>
      </c>
      <c r="I86" s="130">
        <v>2</v>
      </c>
      <c r="J86" s="115" t="s">
        <v>2033</v>
      </c>
      <c r="K86" s="115" t="s">
        <v>2033</v>
      </c>
      <c r="L86" s="131" t="s">
        <v>2339</v>
      </c>
      <c r="M86" s="131" t="s">
        <v>3704</v>
      </c>
      <c r="N86" s="131" t="s">
        <v>2011</v>
      </c>
      <c r="O86" s="129" t="s">
        <v>2019</v>
      </c>
      <c r="P86" s="115" t="s">
        <v>980</v>
      </c>
      <c r="Q86" s="115" t="s">
        <v>1</v>
      </c>
      <c r="R86" s="115"/>
      <c r="S86" s="115" t="s">
        <v>2224</v>
      </c>
      <c r="T86"/>
    </row>
    <row r="87" spans="1:20" ht="22" customHeight="1">
      <c r="A87" s="115" t="s">
        <v>1537</v>
      </c>
      <c r="B87" s="115" t="s">
        <v>3642</v>
      </c>
      <c r="C87" s="129" t="s">
        <v>2030</v>
      </c>
      <c r="D87" s="116" t="s">
        <v>2145</v>
      </c>
      <c r="E87" s="116" t="s">
        <v>2167</v>
      </c>
      <c r="F87" s="116" t="s">
        <v>2087</v>
      </c>
      <c r="G87" s="116" t="s">
        <v>1801</v>
      </c>
      <c r="H87" s="116" t="s">
        <v>1802</v>
      </c>
      <c r="I87" s="130">
        <v>1</v>
      </c>
      <c r="J87" s="115" t="s">
        <v>2033</v>
      </c>
      <c r="K87" s="115" t="s">
        <v>2033</v>
      </c>
      <c r="L87" s="131" t="s">
        <v>1980</v>
      </c>
      <c r="M87" s="131" t="s">
        <v>3693</v>
      </c>
      <c r="N87" s="131" t="s">
        <v>2011</v>
      </c>
      <c r="O87" s="129" t="s">
        <v>2018</v>
      </c>
      <c r="P87" s="115" t="s">
        <v>980</v>
      </c>
      <c r="Q87" s="115" t="s">
        <v>1</v>
      </c>
      <c r="R87" s="115"/>
      <c r="S87" s="115" t="s">
        <v>2225</v>
      </c>
      <c r="T87"/>
    </row>
    <row r="88" spans="1:20" ht="22" customHeight="1">
      <c r="A88" s="115" t="s">
        <v>1538</v>
      </c>
      <c r="B88" s="115" t="s">
        <v>3642</v>
      </c>
      <c r="C88" s="129" t="s">
        <v>2030</v>
      </c>
      <c r="D88" s="116" t="s">
        <v>2145</v>
      </c>
      <c r="E88" s="116" t="s">
        <v>2167</v>
      </c>
      <c r="F88" s="116" t="s">
        <v>2088</v>
      </c>
      <c r="G88" s="116" t="s">
        <v>1803</v>
      </c>
      <c r="H88" s="116" t="s">
        <v>1804</v>
      </c>
      <c r="I88" s="130">
        <v>1</v>
      </c>
      <c r="J88" s="115" t="s">
        <v>2033</v>
      </c>
      <c r="K88" s="115" t="s">
        <v>2033</v>
      </c>
      <c r="L88" s="131" t="s">
        <v>1980</v>
      </c>
      <c r="M88" s="131" t="s">
        <v>3693</v>
      </c>
      <c r="N88" s="131" t="s">
        <v>2011</v>
      </c>
      <c r="O88" s="129" t="s">
        <v>2018</v>
      </c>
      <c r="P88" s="115" t="s">
        <v>980</v>
      </c>
      <c r="Q88" s="115" t="s">
        <v>1</v>
      </c>
      <c r="R88" s="115"/>
      <c r="S88" s="115" t="s">
        <v>2225</v>
      </c>
      <c r="T88"/>
    </row>
    <row r="89" spans="1:20" ht="22" customHeight="1">
      <c r="A89" s="115" t="s">
        <v>1873</v>
      </c>
      <c r="B89" s="115" t="s">
        <v>3642</v>
      </c>
      <c r="C89" s="129" t="s">
        <v>2030</v>
      </c>
      <c r="D89" s="116" t="s">
        <v>2145</v>
      </c>
      <c r="E89" s="116" t="s">
        <v>2176</v>
      </c>
      <c r="F89" s="116" t="s">
        <v>2085</v>
      </c>
      <c r="G89" s="116" t="s">
        <v>1878</v>
      </c>
      <c r="H89" s="116" t="s">
        <v>1879</v>
      </c>
      <c r="I89" s="130">
        <v>4</v>
      </c>
      <c r="J89" s="115" t="s">
        <v>2033</v>
      </c>
      <c r="K89" s="115" t="s">
        <v>2033</v>
      </c>
      <c r="L89" s="131" t="s">
        <v>1978</v>
      </c>
      <c r="M89" s="131" t="s">
        <v>3640</v>
      </c>
      <c r="N89" s="131" t="s">
        <v>2011</v>
      </c>
      <c r="O89" s="129" t="s">
        <v>2020</v>
      </c>
      <c r="P89" s="115" t="s">
        <v>980</v>
      </c>
      <c r="Q89" s="115" t="s">
        <v>1</v>
      </c>
      <c r="R89" s="115"/>
      <c r="S89" s="115" t="s">
        <v>2231</v>
      </c>
      <c r="T89"/>
    </row>
    <row r="90" spans="1:20" ht="22" customHeight="1">
      <c r="A90" s="115" t="s">
        <v>1526</v>
      </c>
      <c r="B90" s="115" t="s">
        <v>3313</v>
      </c>
      <c r="C90" s="129" t="s">
        <v>2030</v>
      </c>
      <c r="D90" s="116" t="s">
        <v>2145</v>
      </c>
      <c r="E90" s="116" t="s">
        <v>2211</v>
      </c>
      <c r="F90" s="116" t="s">
        <v>2084</v>
      </c>
      <c r="G90" s="116" t="s">
        <v>1786</v>
      </c>
      <c r="H90" s="116" t="s">
        <v>1787</v>
      </c>
      <c r="I90" s="130">
        <v>1</v>
      </c>
      <c r="J90" s="115" t="s">
        <v>2033</v>
      </c>
      <c r="K90" s="115" t="s">
        <v>2033</v>
      </c>
      <c r="L90" s="131" t="s">
        <v>1989</v>
      </c>
      <c r="M90" s="131" t="s">
        <v>2001</v>
      </c>
      <c r="N90" s="131" t="s">
        <v>2011</v>
      </c>
      <c r="O90" s="129" t="s">
        <v>2019</v>
      </c>
      <c r="P90" s="115" t="s">
        <v>980</v>
      </c>
      <c r="Q90" s="115" t="s">
        <v>1</v>
      </c>
      <c r="R90" s="115"/>
      <c r="S90" s="115" t="s">
        <v>2260</v>
      </c>
      <c r="T90"/>
    </row>
    <row r="91" spans="1:20" ht="22" customHeight="1">
      <c r="A91" s="128" t="s">
        <v>1511</v>
      </c>
      <c r="B91" s="128" t="s">
        <v>2367</v>
      </c>
      <c r="C91" s="128" t="s">
        <v>2030</v>
      </c>
      <c r="D91" s="128" t="s">
        <v>2145</v>
      </c>
      <c r="E91" s="128" t="s">
        <v>3479</v>
      </c>
      <c r="F91" s="128" t="s">
        <v>3705</v>
      </c>
      <c r="G91" s="128" t="s">
        <v>2411</v>
      </c>
      <c r="H91" s="128" t="s">
        <v>2412</v>
      </c>
      <c r="I91" s="128">
        <v>1</v>
      </c>
      <c r="J91" s="128" t="s">
        <v>2033</v>
      </c>
      <c r="K91" s="128" t="s">
        <v>2033</v>
      </c>
      <c r="L91" s="128" t="s">
        <v>1990</v>
      </c>
      <c r="M91" s="128" t="s">
        <v>3706</v>
      </c>
      <c r="N91" s="128" t="s">
        <v>2011</v>
      </c>
      <c r="O91" s="128" t="s">
        <v>2021</v>
      </c>
      <c r="P91" s="128" t="s">
        <v>980</v>
      </c>
      <c r="Q91" s="128" t="s">
        <v>1</v>
      </c>
      <c r="R91" s="128"/>
      <c r="S91" s="128" t="s">
        <v>2413</v>
      </c>
      <c r="T91"/>
    </row>
    <row r="92" spans="1:20" ht="22" customHeight="1">
      <c r="A92" s="128" t="s">
        <v>1512</v>
      </c>
      <c r="B92" s="128" t="s">
        <v>2367</v>
      </c>
      <c r="C92" s="128" t="s">
        <v>2030</v>
      </c>
      <c r="D92" s="128" t="s">
        <v>2145</v>
      </c>
      <c r="E92" s="128" t="s">
        <v>3479</v>
      </c>
      <c r="F92" s="128" t="s">
        <v>3707</v>
      </c>
      <c r="G92" s="128" t="s">
        <v>3708</v>
      </c>
      <c r="H92" s="128" t="s">
        <v>2414</v>
      </c>
      <c r="I92" s="128">
        <v>1</v>
      </c>
      <c r="J92" s="128" t="s">
        <v>2033</v>
      </c>
      <c r="K92" s="128" t="s">
        <v>2033</v>
      </c>
      <c r="L92" s="128" t="s">
        <v>1982</v>
      </c>
      <c r="M92" s="128" t="s">
        <v>2415</v>
      </c>
      <c r="N92" s="128" t="s">
        <v>2011</v>
      </c>
      <c r="O92" s="128" t="s">
        <v>2021</v>
      </c>
      <c r="P92" s="128" t="s">
        <v>980</v>
      </c>
      <c r="Q92" s="128" t="s">
        <v>1</v>
      </c>
      <c r="R92" s="128"/>
      <c r="S92" s="128" t="s">
        <v>2413</v>
      </c>
      <c r="T92"/>
    </row>
    <row r="93" spans="1:20" ht="22" customHeight="1">
      <c r="A93" s="128" t="s">
        <v>1872</v>
      </c>
      <c r="B93" s="128" t="s">
        <v>2367</v>
      </c>
      <c r="C93" s="128" t="s">
        <v>2030</v>
      </c>
      <c r="D93" s="128" t="s">
        <v>2145</v>
      </c>
      <c r="E93" s="128" t="s">
        <v>3479</v>
      </c>
      <c r="F93" s="128" t="s">
        <v>3709</v>
      </c>
      <c r="G93" s="128" t="s">
        <v>2416</v>
      </c>
      <c r="H93" s="128" t="s">
        <v>2417</v>
      </c>
      <c r="I93" s="128">
        <v>1</v>
      </c>
      <c r="J93" s="128" t="s">
        <v>2033</v>
      </c>
      <c r="K93" s="128" t="s">
        <v>2033</v>
      </c>
      <c r="L93" s="128" t="s">
        <v>1990</v>
      </c>
      <c r="M93" s="128" t="s">
        <v>3710</v>
      </c>
      <c r="N93" s="128" t="s">
        <v>2011</v>
      </c>
      <c r="O93" s="128" t="s">
        <v>2021</v>
      </c>
      <c r="P93" s="128" t="s">
        <v>980</v>
      </c>
      <c r="Q93" s="128" t="s">
        <v>1</v>
      </c>
      <c r="R93" s="128"/>
      <c r="S93" s="128" t="s">
        <v>2413</v>
      </c>
      <c r="T93"/>
    </row>
    <row r="94" spans="1:20" ht="22" customHeight="1">
      <c r="A94" s="128" t="s">
        <v>4240</v>
      </c>
      <c r="B94" s="128" t="s">
        <v>3316</v>
      </c>
      <c r="C94" s="128" t="s">
        <v>2029</v>
      </c>
      <c r="D94" s="128" t="s">
        <v>2145</v>
      </c>
      <c r="E94" s="128" t="s">
        <v>2170</v>
      </c>
      <c r="F94" s="128" t="s">
        <v>4241</v>
      </c>
      <c r="G94" s="128" t="s">
        <v>4242</v>
      </c>
      <c r="H94" s="128" t="s">
        <v>4243</v>
      </c>
      <c r="I94" s="128">
        <v>1.5</v>
      </c>
      <c r="J94" s="128" t="s">
        <v>2033</v>
      </c>
      <c r="K94" s="128" t="s">
        <v>2033</v>
      </c>
      <c r="L94" s="128" t="s">
        <v>1982</v>
      </c>
      <c r="M94" s="128" t="s">
        <v>4244</v>
      </c>
      <c r="N94" s="128" t="s">
        <v>2011</v>
      </c>
      <c r="O94" s="128" t="s">
        <v>2019</v>
      </c>
      <c r="P94" s="128" t="s">
        <v>980</v>
      </c>
      <c r="Q94" s="128" t="s">
        <v>1</v>
      </c>
      <c r="R94" s="128"/>
      <c r="S94" s="128" t="s">
        <v>2228</v>
      </c>
      <c r="T94"/>
    </row>
    <row r="95" spans="1:20" ht="22" customHeight="1">
      <c r="A95" s="115" t="s">
        <v>1507</v>
      </c>
      <c r="B95" s="115" t="s">
        <v>3310</v>
      </c>
      <c r="C95" s="129" t="s">
        <v>2030</v>
      </c>
      <c r="D95" s="116" t="s">
        <v>2148</v>
      </c>
      <c r="E95" s="116" t="s">
        <v>2181</v>
      </c>
      <c r="F95" s="116" t="s">
        <v>2073</v>
      </c>
      <c r="G95" s="116" t="s">
        <v>1770</v>
      </c>
      <c r="H95" s="116" t="s">
        <v>1771</v>
      </c>
      <c r="I95" s="130">
        <v>4</v>
      </c>
      <c r="J95" s="115" t="s">
        <v>2033</v>
      </c>
      <c r="K95" s="115" t="s">
        <v>2105</v>
      </c>
      <c r="L95" s="131" t="s">
        <v>1988</v>
      </c>
      <c r="M95" s="131" t="s">
        <v>2024</v>
      </c>
      <c r="N95" s="131" t="s">
        <v>2011</v>
      </c>
      <c r="O95" s="129" t="s">
        <v>2017</v>
      </c>
      <c r="P95" s="115" t="s">
        <v>980</v>
      </c>
      <c r="Q95" s="115" t="s">
        <v>1</v>
      </c>
      <c r="R95" s="115"/>
      <c r="S95" s="115" t="s">
        <v>2236</v>
      </c>
      <c r="T95"/>
    </row>
    <row r="96" spans="1:20" ht="22" customHeight="1">
      <c r="A96" s="115" t="s">
        <v>1472</v>
      </c>
      <c r="B96" s="115" t="s">
        <v>3314</v>
      </c>
      <c r="C96" s="129" t="s">
        <v>2026</v>
      </c>
      <c r="D96" s="116" t="s">
        <v>2148</v>
      </c>
      <c r="E96" s="116" t="s">
        <v>2162</v>
      </c>
      <c r="F96" s="116" t="s">
        <v>2058</v>
      </c>
      <c r="G96" s="116" t="s">
        <v>3711</v>
      </c>
      <c r="H96" s="116" t="s">
        <v>1892</v>
      </c>
      <c r="I96" s="130">
        <v>1</v>
      </c>
      <c r="J96" s="115" t="s">
        <v>2033</v>
      </c>
      <c r="K96" s="115" t="s">
        <v>2033</v>
      </c>
      <c r="L96" s="131" t="s">
        <v>1990</v>
      </c>
      <c r="M96" s="131" t="s">
        <v>1993</v>
      </c>
      <c r="N96" s="131" t="s">
        <v>2011</v>
      </c>
      <c r="O96" s="129" t="s">
        <v>2018</v>
      </c>
      <c r="P96" s="115" t="s">
        <v>980</v>
      </c>
      <c r="Q96" s="115" t="s">
        <v>1</v>
      </c>
      <c r="R96" s="115"/>
      <c r="S96" s="115" t="s">
        <v>2220</v>
      </c>
      <c r="T96"/>
    </row>
    <row r="97" spans="1:25" ht="22" customHeight="1">
      <c r="A97" s="115" t="s">
        <v>1508</v>
      </c>
      <c r="B97" s="115" t="s">
        <v>3310</v>
      </c>
      <c r="C97" s="129" t="s">
        <v>2030</v>
      </c>
      <c r="D97" s="116" t="s">
        <v>2148</v>
      </c>
      <c r="E97" s="116" t="s">
        <v>2162</v>
      </c>
      <c r="F97" s="116" t="s">
        <v>2074</v>
      </c>
      <c r="G97" s="116" t="s">
        <v>2091</v>
      </c>
      <c r="H97" s="116" t="s">
        <v>1772</v>
      </c>
      <c r="I97" s="130">
        <v>4</v>
      </c>
      <c r="J97" s="115" t="s">
        <v>2033</v>
      </c>
      <c r="K97" s="115" t="s">
        <v>2033</v>
      </c>
      <c r="L97" s="131" t="s">
        <v>1988</v>
      </c>
      <c r="M97" s="131" t="s">
        <v>2002</v>
      </c>
      <c r="N97" s="131" t="s">
        <v>2011</v>
      </c>
      <c r="O97" s="129" t="s">
        <v>2017</v>
      </c>
      <c r="P97" s="115" t="s">
        <v>980</v>
      </c>
      <c r="Q97" s="115" t="s">
        <v>1</v>
      </c>
      <c r="R97" s="115"/>
      <c r="S97" s="115" t="s">
        <v>2220</v>
      </c>
      <c r="T97"/>
    </row>
    <row r="98" spans="1:25" ht="22" customHeight="1">
      <c r="A98" s="101" t="s">
        <v>3211</v>
      </c>
      <c r="B98" s="101" t="s">
        <v>3177</v>
      </c>
      <c r="C98" s="101" t="s">
        <v>2030</v>
      </c>
      <c r="D98" s="101" t="s">
        <v>2148</v>
      </c>
      <c r="E98" s="101" t="s">
        <v>2162</v>
      </c>
      <c r="F98" s="101" t="s">
        <v>3212</v>
      </c>
      <c r="G98" s="101" t="s">
        <v>3712</v>
      </c>
      <c r="H98" s="101" t="s">
        <v>3213</v>
      </c>
      <c r="I98" s="127">
        <v>1.5</v>
      </c>
      <c r="J98" s="101" t="s">
        <v>2033</v>
      </c>
      <c r="K98" s="101" t="s">
        <v>2033</v>
      </c>
      <c r="L98" s="101" t="s">
        <v>1989</v>
      </c>
      <c r="M98" s="101" t="s">
        <v>3214</v>
      </c>
      <c r="N98" s="101" t="s">
        <v>2011</v>
      </c>
      <c r="O98" s="101" t="s">
        <v>2019</v>
      </c>
      <c r="P98" s="101" t="s">
        <v>980</v>
      </c>
      <c r="Q98" s="101" t="s">
        <v>1</v>
      </c>
      <c r="R98" s="101"/>
      <c r="S98" s="101" t="s">
        <v>2220</v>
      </c>
      <c r="T98"/>
    </row>
    <row r="99" spans="1:25" ht="22" customHeight="1">
      <c r="A99" s="115" t="s">
        <v>2049</v>
      </c>
      <c r="B99" s="115" t="s">
        <v>3315</v>
      </c>
      <c r="C99" s="129" t="s">
        <v>2028</v>
      </c>
      <c r="D99" s="116" t="s">
        <v>2148</v>
      </c>
      <c r="E99" s="116" t="s">
        <v>2172</v>
      </c>
      <c r="F99" s="116" t="s">
        <v>2050</v>
      </c>
      <c r="G99" s="116" t="s">
        <v>3713</v>
      </c>
      <c r="H99" s="116" t="s">
        <v>1927</v>
      </c>
      <c r="I99" s="130">
        <v>1</v>
      </c>
      <c r="J99" s="115" t="s">
        <v>2033</v>
      </c>
      <c r="K99" s="115" t="s">
        <v>2033</v>
      </c>
      <c r="L99" s="131" t="s">
        <v>1990</v>
      </c>
      <c r="M99" s="131" t="s">
        <v>2004</v>
      </c>
      <c r="N99" s="131" t="s">
        <v>2011</v>
      </c>
      <c r="O99" s="129" t="s">
        <v>2018</v>
      </c>
      <c r="P99" s="115" t="s">
        <v>980</v>
      </c>
      <c r="Q99" s="115" t="s">
        <v>1</v>
      </c>
      <c r="R99" s="115"/>
      <c r="S99" s="115" t="s">
        <v>2229</v>
      </c>
      <c r="T99"/>
    </row>
    <row r="100" spans="1:25" ht="22" customHeight="1">
      <c r="A100" s="115" t="s">
        <v>2054</v>
      </c>
      <c r="B100" s="115" t="s">
        <v>3315</v>
      </c>
      <c r="C100" s="129" t="s">
        <v>2028</v>
      </c>
      <c r="D100" s="116" t="s">
        <v>2148</v>
      </c>
      <c r="E100" s="116" t="s">
        <v>2172</v>
      </c>
      <c r="F100" s="116" t="s">
        <v>2055</v>
      </c>
      <c r="G100" s="116" t="s">
        <v>3713</v>
      </c>
      <c r="H100" s="116" t="s">
        <v>1927</v>
      </c>
      <c r="I100" s="130">
        <v>1</v>
      </c>
      <c r="J100" s="115" t="s">
        <v>2033</v>
      </c>
      <c r="K100" s="115" t="s">
        <v>2033</v>
      </c>
      <c r="L100" s="131" t="s">
        <v>1990</v>
      </c>
      <c r="M100" s="131" t="s">
        <v>2004</v>
      </c>
      <c r="N100" s="131" t="s">
        <v>2011</v>
      </c>
      <c r="O100" s="129" t="s">
        <v>2018</v>
      </c>
      <c r="P100" s="115" t="s">
        <v>980</v>
      </c>
      <c r="Q100" s="115" t="s">
        <v>1</v>
      </c>
      <c r="R100" s="115"/>
      <c r="S100" s="115" t="s">
        <v>2229</v>
      </c>
      <c r="T100"/>
    </row>
    <row r="101" spans="1:25" ht="22" customHeight="1">
      <c r="A101" s="115" t="s">
        <v>2056</v>
      </c>
      <c r="B101" s="115" t="s">
        <v>3315</v>
      </c>
      <c r="C101" s="129" t="s">
        <v>2028</v>
      </c>
      <c r="D101" s="116" t="s">
        <v>2148</v>
      </c>
      <c r="E101" s="116" t="s">
        <v>2172</v>
      </c>
      <c r="F101" s="116" t="s">
        <v>2057</v>
      </c>
      <c r="G101" s="116" t="s">
        <v>3713</v>
      </c>
      <c r="H101" s="116" t="s">
        <v>1927</v>
      </c>
      <c r="I101" s="130">
        <v>1</v>
      </c>
      <c r="J101" s="115" t="s">
        <v>2033</v>
      </c>
      <c r="K101" s="115" t="s">
        <v>2033</v>
      </c>
      <c r="L101" s="131" t="s">
        <v>1990</v>
      </c>
      <c r="M101" s="131" t="s">
        <v>2004</v>
      </c>
      <c r="N101" s="131" t="s">
        <v>2011</v>
      </c>
      <c r="O101" s="129" t="s">
        <v>2018</v>
      </c>
      <c r="P101" s="115" t="s">
        <v>980</v>
      </c>
      <c r="Q101" s="115" t="s">
        <v>1</v>
      </c>
      <c r="R101" s="115"/>
      <c r="S101" s="115" t="s">
        <v>2229</v>
      </c>
      <c r="T101"/>
    </row>
    <row r="102" spans="1:25" ht="22" customHeight="1">
      <c r="A102" s="115" t="s">
        <v>280</v>
      </c>
      <c r="B102" s="115" t="s">
        <v>3315</v>
      </c>
      <c r="C102" s="129" t="s">
        <v>2028</v>
      </c>
      <c r="D102" s="116" t="s">
        <v>2148</v>
      </c>
      <c r="E102" s="116" t="s">
        <v>2178</v>
      </c>
      <c r="F102" s="116" t="s">
        <v>1896</v>
      </c>
      <c r="G102" s="116" t="s">
        <v>1925</v>
      </c>
      <c r="H102" s="116" t="s">
        <v>1926</v>
      </c>
      <c r="I102" s="130">
        <v>4</v>
      </c>
      <c r="J102" s="115" t="s">
        <v>2033</v>
      </c>
      <c r="K102" s="115" t="s">
        <v>2033</v>
      </c>
      <c r="L102" s="131" t="s">
        <v>1990</v>
      </c>
      <c r="M102" s="131" t="s">
        <v>2004</v>
      </c>
      <c r="N102" s="131" t="s">
        <v>2011</v>
      </c>
      <c r="O102" s="129" t="s">
        <v>2017</v>
      </c>
      <c r="P102" s="115" t="s">
        <v>980</v>
      </c>
      <c r="Q102" s="115" t="s">
        <v>1</v>
      </c>
      <c r="R102" s="115"/>
      <c r="S102" s="115" t="s">
        <v>2233</v>
      </c>
      <c r="T102"/>
    </row>
    <row r="103" spans="1:25" ht="22" customHeight="1">
      <c r="A103" s="115" t="s">
        <v>1475</v>
      </c>
      <c r="B103" s="115" t="s">
        <v>2430</v>
      </c>
      <c r="C103" s="129" t="s">
        <v>2028</v>
      </c>
      <c r="D103" s="116" t="s">
        <v>2150</v>
      </c>
      <c r="E103" s="116" t="s">
        <v>2169</v>
      </c>
      <c r="F103" s="116" t="s">
        <v>1886</v>
      </c>
      <c r="G103" s="116" t="s">
        <v>1813</v>
      </c>
      <c r="H103" s="116" t="s">
        <v>1814</v>
      </c>
      <c r="I103" s="130">
        <v>0.5</v>
      </c>
      <c r="J103" s="115" t="s">
        <v>2033</v>
      </c>
      <c r="K103" s="115" t="s">
        <v>2033</v>
      </c>
      <c r="L103" s="131" t="s">
        <v>1990</v>
      </c>
      <c r="M103" s="131" t="s">
        <v>2439</v>
      </c>
      <c r="N103" s="131" t="s">
        <v>2011</v>
      </c>
      <c r="O103" s="129" t="s">
        <v>2021</v>
      </c>
      <c r="P103" s="115" t="s">
        <v>980</v>
      </c>
      <c r="Q103" s="115" t="s">
        <v>1</v>
      </c>
      <c r="R103" s="115"/>
      <c r="S103" s="115" t="s">
        <v>2227</v>
      </c>
      <c r="T103"/>
    </row>
    <row r="104" spans="1:25" ht="22" customHeight="1">
      <c r="A104" s="115" t="s">
        <v>1473</v>
      </c>
      <c r="B104" s="115" t="s">
        <v>2430</v>
      </c>
      <c r="C104" s="129" t="s">
        <v>2028</v>
      </c>
      <c r="D104" s="116" t="s">
        <v>2150</v>
      </c>
      <c r="E104" s="116" t="s">
        <v>2169</v>
      </c>
      <c r="F104" s="116" t="s">
        <v>1887</v>
      </c>
      <c r="G104" s="116" t="s">
        <v>1815</v>
      </c>
      <c r="H104" s="116" t="s">
        <v>1816</v>
      </c>
      <c r="I104" s="130">
        <v>2</v>
      </c>
      <c r="J104" s="115" t="s">
        <v>2033</v>
      </c>
      <c r="K104" s="115" t="s">
        <v>2033</v>
      </c>
      <c r="L104" s="131" t="s">
        <v>1990</v>
      </c>
      <c r="M104" s="131" t="s">
        <v>2439</v>
      </c>
      <c r="N104" s="131" t="s">
        <v>2011</v>
      </c>
      <c r="O104" s="129" t="s">
        <v>2021</v>
      </c>
      <c r="P104" s="115" t="s">
        <v>1475</v>
      </c>
      <c r="Q104" s="115" t="s">
        <v>1</v>
      </c>
      <c r="R104" s="115"/>
      <c r="S104" s="115" t="s">
        <v>2227</v>
      </c>
      <c r="T104"/>
    </row>
    <row r="105" spans="1:25" ht="22" customHeight="1">
      <c r="A105" s="115" t="s">
        <v>1476</v>
      </c>
      <c r="B105" s="115" t="s">
        <v>2430</v>
      </c>
      <c r="C105" s="129" t="s">
        <v>2028</v>
      </c>
      <c r="D105" s="116" t="s">
        <v>2150</v>
      </c>
      <c r="E105" s="116" t="s">
        <v>2169</v>
      </c>
      <c r="F105" s="116" t="s">
        <v>1888</v>
      </c>
      <c r="G105" s="116" t="s">
        <v>1817</v>
      </c>
      <c r="H105" s="116" t="s">
        <v>1818</v>
      </c>
      <c r="I105" s="130">
        <v>1</v>
      </c>
      <c r="J105" s="115" t="s">
        <v>2033</v>
      </c>
      <c r="K105" s="115" t="s">
        <v>2033</v>
      </c>
      <c r="L105" s="131" t="s">
        <v>1990</v>
      </c>
      <c r="M105" s="131" t="s">
        <v>2439</v>
      </c>
      <c r="N105" s="131" t="s">
        <v>2011</v>
      </c>
      <c r="O105" s="129" t="s">
        <v>2021</v>
      </c>
      <c r="P105" s="115" t="s">
        <v>1473</v>
      </c>
      <c r="Q105" s="115" t="s">
        <v>1</v>
      </c>
      <c r="R105" s="115"/>
      <c r="S105" s="115" t="s">
        <v>2227</v>
      </c>
      <c r="T105"/>
    </row>
    <row r="106" spans="1:25" ht="22" customHeight="1">
      <c r="A106" s="115" t="s">
        <v>1477</v>
      </c>
      <c r="B106" s="115" t="s">
        <v>2430</v>
      </c>
      <c r="C106" s="129" t="s">
        <v>2028</v>
      </c>
      <c r="D106" s="116" t="s">
        <v>2150</v>
      </c>
      <c r="E106" s="116" t="s">
        <v>2169</v>
      </c>
      <c r="F106" s="116" t="s">
        <v>1889</v>
      </c>
      <c r="G106" s="116" t="s">
        <v>1819</v>
      </c>
      <c r="H106" s="116" t="s">
        <v>1820</v>
      </c>
      <c r="I106" s="130">
        <v>3</v>
      </c>
      <c r="J106" s="115" t="s">
        <v>2033</v>
      </c>
      <c r="K106" s="115" t="s">
        <v>2033</v>
      </c>
      <c r="L106" s="131" t="s">
        <v>1990</v>
      </c>
      <c r="M106" s="131" t="s">
        <v>2439</v>
      </c>
      <c r="N106" s="131" t="s">
        <v>2011</v>
      </c>
      <c r="O106" s="129" t="s">
        <v>2021</v>
      </c>
      <c r="P106" s="115" t="s">
        <v>1476</v>
      </c>
      <c r="Q106" s="115" t="s">
        <v>1</v>
      </c>
      <c r="R106" s="115"/>
      <c r="S106" s="115" t="s">
        <v>2227</v>
      </c>
      <c r="T106"/>
      <c r="U106" s="103"/>
      <c r="V106" s="103"/>
      <c r="W106" s="103"/>
      <c r="X106" s="105"/>
      <c r="Y106" s="106"/>
    </row>
    <row r="107" spans="1:25" ht="22" customHeight="1">
      <c r="A107" s="115" t="s">
        <v>1486</v>
      </c>
      <c r="B107" s="115" t="s">
        <v>2425</v>
      </c>
      <c r="C107" s="129" t="s">
        <v>2029</v>
      </c>
      <c r="D107" s="116" t="s">
        <v>2150</v>
      </c>
      <c r="E107" s="116" t="s">
        <v>2169</v>
      </c>
      <c r="F107" s="116" t="s">
        <v>1901</v>
      </c>
      <c r="G107" s="116" t="s">
        <v>1936</v>
      </c>
      <c r="H107" s="116" t="s">
        <v>1937</v>
      </c>
      <c r="I107" s="130">
        <v>0.5</v>
      </c>
      <c r="J107" s="115" t="s">
        <v>2033</v>
      </c>
      <c r="K107" s="115" t="s">
        <v>2033</v>
      </c>
      <c r="L107" s="131" t="s">
        <v>1989</v>
      </c>
      <c r="M107" s="131" t="s">
        <v>2439</v>
      </c>
      <c r="N107" s="131" t="s">
        <v>2011</v>
      </c>
      <c r="O107" s="129" t="s">
        <v>2019</v>
      </c>
      <c r="P107" s="115" t="s">
        <v>980</v>
      </c>
      <c r="Q107" s="115" t="s">
        <v>1</v>
      </c>
      <c r="R107" s="115"/>
      <c r="S107" s="115" t="s">
        <v>2227</v>
      </c>
      <c r="T107"/>
      <c r="U107" s="103"/>
      <c r="V107" s="103"/>
      <c r="W107" s="103"/>
      <c r="X107" s="105"/>
      <c r="Y107" s="106"/>
    </row>
    <row r="108" spans="1:25" ht="22" customHeight="1">
      <c r="A108" s="115" t="s">
        <v>1487</v>
      </c>
      <c r="B108" s="115" t="s">
        <v>2425</v>
      </c>
      <c r="C108" s="129" t="s">
        <v>2029</v>
      </c>
      <c r="D108" s="116" t="s">
        <v>2150</v>
      </c>
      <c r="E108" s="116" t="s">
        <v>2169</v>
      </c>
      <c r="F108" s="116" t="s">
        <v>1902</v>
      </c>
      <c r="G108" s="116" t="s">
        <v>1938</v>
      </c>
      <c r="H108" s="116" t="s">
        <v>1939</v>
      </c>
      <c r="I108" s="130">
        <v>2.5</v>
      </c>
      <c r="J108" s="115" t="s">
        <v>2033</v>
      </c>
      <c r="K108" s="115" t="s">
        <v>2033</v>
      </c>
      <c r="L108" s="131" t="s">
        <v>1989</v>
      </c>
      <c r="M108" s="131" t="s">
        <v>2439</v>
      </c>
      <c r="N108" s="131" t="s">
        <v>2011</v>
      </c>
      <c r="O108" s="129" t="s">
        <v>2019</v>
      </c>
      <c r="P108" s="115" t="s">
        <v>1473</v>
      </c>
      <c r="Q108" s="115" t="s">
        <v>1</v>
      </c>
      <c r="R108" s="115"/>
      <c r="S108" s="115" t="s">
        <v>2227</v>
      </c>
      <c r="T108"/>
      <c r="U108" s="110"/>
      <c r="V108" s="110"/>
      <c r="W108" s="110"/>
      <c r="X108" s="111"/>
      <c r="Y108" s="106"/>
    </row>
    <row r="109" spans="1:25" ht="22" customHeight="1">
      <c r="A109" s="115" t="s">
        <v>1489</v>
      </c>
      <c r="B109" s="115" t="s">
        <v>2425</v>
      </c>
      <c r="C109" s="129" t="s">
        <v>2029</v>
      </c>
      <c r="D109" s="116" t="s">
        <v>2150</v>
      </c>
      <c r="E109" s="116" t="s">
        <v>2169</v>
      </c>
      <c r="F109" s="116" t="s">
        <v>1904</v>
      </c>
      <c r="G109" s="116" t="s">
        <v>1942</v>
      </c>
      <c r="H109" s="116" t="s">
        <v>1943</v>
      </c>
      <c r="I109" s="130">
        <v>2</v>
      </c>
      <c r="J109" s="115" t="s">
        <v>2033</v>
      </c>
      <c r="K109" s="115" t="s">
        <v>2033</v>
      </c>
      <c r="L109" s="131" t="s">
        <v>1989</v>
      </c>
      <c r="M109" s="131" t="s">
        <v>2439</v>
      </c>
      <c r="N109" s="131" t="s">
        <v>2011</v>
      </c>
      <c r="O109" s="129" t="s">
        <v>2019</v>
      </c>
      <c r="P109" s="115" t="s">
        <v>980</v>
      </c>
      <c r="Q109" s="115" t="s">
        <v>1</v>
      </c>
      <c r="R109" s="115"/>
      <c r="S109" s="115" t="s">
        <v>2227</v>
      </c>
      <c r="T109"/>
      <c r="U109" s="104"/>
      <c r="V109" s="104"/>
      <c r="W109" s="104"/>
      <c r="X109" s="104"/>
      <c r="Y109" s="104"/>
    </row>
    <row r="110" spans="1:25" ht="22" customHeight="1">
      <c r="A110" s="115" t="s">
        <v>1488</v>
      </c>
      <c r="B110" s="115" t="s">
        <v>2425</v>
      </c>
      <c r="C110" s="129" t="s">
        <v>2029</v>
      </c>
      <c r="D110" s="116" t="s">
        <v>2150</v>
      </c>
      <c r="E110" s="116" t="s">
        <v>2186</v>
      </c>
      <c r="F110" s="116" t="s">
        <v>1903</v>
      </c>
      <c r="G110" s="116" t="s">
        <v>1940</v>
      </c>
      <c r="H110" s="116" t="s">
        <v>1941</v>
      </c>
      <c r="I110" s="130">
        <v>2</v>
      </c>
      <c r="J110" s="115" t="s">
        <v>2033</v>
      </c>
      <c r="K110" s="115" t="s">
        <v>2033</v>
      </c>
      <c r="L110" s="131" t="s">
        <v>1989</v>
      </c>
      <c r="M110" s="131" t="s">
        <v>2005</v>
      </c>
      <c r="N110" s="131" t="s">
        <v>2011</v>
      </c>
      <c r="O110" s="129" t="s">
        <v>2019</v>
      </c>
      <c r="P110" s="115" t="s">
        <v>1476</v>
      </c>
      <c r="Q110" s="115" t="s">
        <v>1</v>
      </c>
      <c r="R110" s="115"/>
      <c r="S110" s="115" t="s">
        <v>2240</v>
      </c>
      <c r="T110"/>
      <c r="U110" s="104"/>
      <c r="V110" s="104"/>
      <c r="W110" s="104"/>
      <c r="X110" s="104"/>
      <c r="Y110" s="104"/>
    </row>
    <row r="111" spans="1:25" ht="22" customHeight="1">
      <c r="A111" s="115" t="s">
        <v>1540</v>
      </c>
      <c r="B111" s="115" t="s">
        <v>3316</v>
      </c>
      <c r="C111" s="129" t="s">
        <v>2027</v>
      </c>
      <c r="D111" s="116" t="s">
        <v>2150</v>
      </c>
      <c r="E111" s="116" t="s">
        <v>2215</v>
      </c>
      <c r="F111" s="116" t="s">
        <v>1576</v>
      </c>
      <c r="G111" s="116" t="s">
        <v>1807</v>
      </c>
      <c r="H111" s="116" t="s">
        <v>1808</v>
      </c>
      <c r="I111" s="130">
        <v>1</v>
      </c>
      <c r="J111" s="115" t="s">
        <v>2033</v>
      </c>
      <c r="K111" s="115" t="s">
        <v>2033</v>
      </c>
      <c r="L111" s="131" t="s">
        <v>1986</v>
      </c>
      <c r="M111" s="131" t="s">
        <v>1992</v>
      </c>
      <c r="N111" s="131" t="s">
        <v>2011</v>
      </c>
      <c r="O111" s="129" t="s">
        <v>2019</v>
      </c>
      <c r="P111" s="115" t="s">
        <v>1473</v>
      </c>
      <c r="Q111" s="115" t="s">
        <v>1</v>
      </c>
      <c r="R111" s="115"/>
      <c r="S111" s="115" t="s">
        <v>2264</v>
      </c>
      <c r="T111"/>
      <c r="U111" s="104"/>
      <c r="V111" s="104"/>
      <c r="W111" s="104"/>
      <c r="X111" s="104"/>
      <c r="Y111" s="104"/>
    </row>
    <row r="112" spans="1:25" ht="22" customHeight="1">
      <c r="A112" s="115" t="s">
        <v>2051</v>
      </c>
      <c r="B112" s="115" t="s">
        <v>3315</v>
      </c>
      <c r="C112" s="129" t="s">
        <v>2028</v>
      </c>
      <c r="D112" s="116" t="s">
        <v>2152</v>
      </c>
      <c r="E112" s="116" t="s">
        <v>2165</v>
      </c>
      <c r="F112" s="116" t="s">
        <v>2052</v>
      </c>
      <c r="G112" s="116" t="s">
        <v>3713</v>
      </c>
      <c r="H112" s="116" t="s">
        <v>1927</v>
      </c>
      <c r="I112" s="130">
        <v>1</v>
      </c>
      <c r="J112" s="115" t="s">
        <v>2033</v>
      </c>
      <c r="K112" s="115" t="s">
        <v>2033</v>
      </c>
      <c r="L112" s="131" t="s">
        <v>1990</v>
      </c>
      <c r="M112" s="131" t="s">
        <v>2004</v>
      </c>
      <c r="N112" s="131" t="s">
        <v>2011</v>
      </c>
      <c r="O112" s="129" t="s">
        <v>2018</v>
      </c>
      <c r="P112" s="115" t="s">
        <v>980</v>
      </c>
      <c r="Q112" s="115" t="s">
        <v>1</v>
      </c>
      <c r="R112" s="115"/>
      <c r="S112" s="115" t="s">
        <v>2222</v>
      </c>
      <c r="T112"/>
      <c r="U112" s="104"/>
      <c r="V112" s="104"/>
      <c r="W112" s="104"/>
      <c r="X112" s="104"/>
      <c r="Y112" s="104"/>
    </row>
    <row r="113" spans="1:25" ht="22" customHeight="1">
      <c r="A113" s="115" t="s">
        <v>1522</v>
      </c>
      <c r="B113" s="115" t="s">
        <v>3311</v>
      </c>
      <c r="C113" s="129" t="s">
        <v>2030</v>
      </c>
      <c r="D113" s="116" t="s">
        <v>2152</v>
      </c>
      <c r="E113" s="116" t="s">
        <v>2165</v>
      </c>
      <c r="F113" s="116" t="s">
        <v>2080</v>
      </c>
      <c r="G113" s="116" t="s">
        <v>2442</v>
      </c>
      <c r="H113" s="116" t="s">
        <v>1779</v>
      </c>
      <c r="I113" s="130">
        <v>3</v>
      </c>
      <c r="J113" s="115" t="s">
        <v>2033</v>
      </c>
      <c r="K113" s="115" t="s">
        <v>2033</v>
      </c>
      <c r="L113" s="131" t="s">
        <v>1987</v>
      </c>
      <c r="M113" s="131" t="s">
        <v>2000</v>
      </c>
      <c r="N113" s="131" t="s">
        <v>2011</v>
      </c>
      <c r="O113" s="129" t="s">
        <v>2019</v>
      </c>
      <c r="P113" s="115" t="s">
        <v>980</v>
      </c>
      <c r="Q113" s="115" t="s">
        <v>1</v>
      </c>
      <c r="R113" s="115"/>
      <c r="S113" s="115" t="s">
        <v>2222</v>
      </c>
      <c r="T113"/>
      <c r="U113" s="104"/>
      <c r="V113" s="104"/>
      <c r="W113" s="104"/>
      <c r="X113" s="104"/>
      <c r="Y113" s="104"/>
    </row>
    <row r="114" spans="1:25" ht="22" customHeight="1">
      <c r="A114" s="115" t="s">
        <v>2053</v>
      </c>
      <c r="B114" s="115" t="s">
        <v>3315</v>
      </c>
      <c r="C114" s="129" t="s">
        <v>2028</v>
      </c>
      <c r="D114" s="116" t="s">
        <v>2152</v>
      </c>
      <c r="E114" s="116" t="s">
        <v>2180</v>
      </c>
      <c r="F114" s="116" t="s">
        <v>3324</v>
      </c>
      <c r="G114" s="116" t="s">
        <v>3713</v>
      </c>
      <c r="H114" s="116" t="s">
        <v>1927</v>
      </c>
      <c r="I114" s="130">
        <v>1</v>
      </c>
      <c r="J114" s="115" t="s">
        <v>2033</v>
      </c>
      <c r="K114" s="115" t="s">
        <v>2033</v>
      </c>
      <c r="L114" s="131" t="s">
        <v>1990</v>
      </c>
      <c r="M114" s="131" t="s">
        <v>2004</v>
      </c>
      <c r="N114" s="131" t="s">
        <v>2011</v>
      </c>
      <c r="O114" s="129" t="s">
        <v>2018</v>
      </c>
      <c r="P114" s="115" t="s">
        <v>980</v>
      </c>
      <c r="Q114" s="115" t="s">
        <v>1</v>
      </c>
      <c r="R114" s="115"/>
      <c r="S114" s="115" t="s">
        <v>2235</v>
      </c>
      <c r="T114"/>
      <c r="U114" s="104"/>
      <c r="V114" s="104"/>
      <c r="W114" s="104"/>
      <c r="X114" s="104"/>
      <c r="Y114" s="104"/>
    </row>
    <row r="115" spans="1:25" ht="22" customHeight="1">
      <c r="A115" s="115" t="s">
        <v>2006</v>
      </c>
      <c r="B115" s="115" t="s">
        <v>2372</v>
      </c>
      <c r="C115" s="129" t="s">
        <v>2030</v>
      </c>
      <c r="D115" s="116" t="s">
        <v>2152</v>
      </c>
      <c r="E115" s="116" t="s">
        <v>2180</v>
      </c>
      <c r="F115" s="116" t="s">
        <v>2077</v>
      </c>
      <c r="G115" s="116" t="s">
        <v>2007</v>
      </c>
      <c r="H115" s="116" t="s">
        <v>2102</v>
      </c>
      <c r="I115" s="130">
        <v>1</v>
      </c>
      <c r="J115" s="115" t="s">
        <v>2033</v>
      </c>
      <c r="K115" s="115" t="s">
        <v>2033</v>
      </c>
      <c r="L115" s="131" t="s">
        <v>1982</v>
      </c>
      <c r="M115" s="131" t="s">
        <v>1997</v>
      </c>
      <c r="N115" s="131" t="s">
        <v>2011</v>
      </c>
      <c r="O115" s="129" t="s">
        <v>2019</v>
      </c>
      <c r="P115" s="115" t="s">
        <v>980</v>
      </c>
      <c r="Q115" s="115" t="s">
        <v>1</v>
      </c>
      <c r="R115" s="115"/>
      <c r="S115" s="115" t="s">
        <v>2235</v>
      </c>
      <c r="T115"/>
      <c r="U115" s="104"/>
      <c r="V115" s="104"/>
      <c r="W115" s="104"/>
      <c r="X115" s="104"/>
      <c r="Y115" s="104"/>
    </row>
    <row r="116" spans="1:25" ht="22" customHeight="1">
      <c r="A116" s="115" t="s">
        <v>1510</v>
      </c>
      <c r="B116" s="115" t="s">
        <v>3310</v>
      </c>
      <c r="C116" s="129" t="s">
        <v>2030</v>
      </c>
      <c r="D116" s="116" t="s">
        <v>2152</v>
      </c>
      <c r="E116" s="116" t="s">
        <v>2180</v>
      </c>
      <c r="F116" s="116" t="s">
        <v>2075</v>
      </c>
      <c r="G116" s="116" t="s">
        <v>1775</v>
      </c>
      <c r="H116" s="116" t="s">
        <v>2096</v>
      </c>
      <c r="I116" s="130">
        <v>1</v>
      </c>
      <c r="J116" s="115" t="s">
        <v>2033</v>
      </c>
      <c r="K116" s="115" t="s">
        <v>2033</v>
      </c>
      <c r="L116" s="131" t="s">
        <v>1982</v>
      </c>
      <c r="M116" s="131" t="s">
        <v>1997</v>
      </c>
      <c r="N116" s="131" t="s">
        <v>2011</v>
      </c>
      <c r="O116" s="129" t="s">
        <v>2019</v>
      </c>
      <c r="P116" s="115" t="s">
        <v>980</v>
      </c>
      <c r="Q116" s="115" t="s">
        <v>1</v>
      </c>
      <c r="R116" s="115"/>
      <c r="S116" s="115" t="s">
        <v>2235</v>
      </c>
      <c r="T116"/>
      <c r="U116" s="104"/>
      <c r="V116" s="104"/>
      <c r="W116" s="104"/>
      <c r="X116" s="104"/>
      <c r="Y116" s="104"/>
    </row>
    <row r="117" spans="1:25" ht="22" customHeight="1">
      <c r="A117" s="115" t="s">
        <v>1478</v>
      </c>
      <c r="B117" s="115" t="s">
        <v>2430</v>
      </c>
      <c r="C117" s="129" t="s">
        <v>2028</v>
      </c>
      <c r="D117" s="116" t="s">
        <v>2152</v>
      </c>
      <c r="E117" s="116" t="s">
        <v>2192</v>
      </c>
      <c r="F117" s="116" t="s">
        <v>2059</v>
      </c>
      <c r="G117" s="116" t="s">
        <v>1821</v>
      </c>
      <c r="H117" s="116" t="s">
        <v>2095</v>
      </c>
      <c r="I117" s="130">
        <v>3</v>
      </c>
      <c r="J117" s="115" t="s">
        <v>2033</v>
      </c>
      <c r="K117" s="115" t="s">
        <v>2033</v>
      </c>
      <c r="L117" s="131" t="s">
        <v>1990</v>
      </c>
      <c r="M117" s="131" t="s">
        <v>1994</v>
      </c>
      <c r="N117" s="131" t="s">
        <v>2011</v>
      </c>
      <c r="O117" s="129" t="s">
        <v>2021</v>
      </c>
      <c r="P117" s="115" t="s">
        <v>980</v>
      </c>
      <c r="Q117" s="115" t="s">
        <v>1</v>
      </c>
      <c r="R117" s="115"/>
      <c r="S117" s="115" t="s">
        <v>2246</v>
      </c>
      <c r="T117"/>
    </row>
    <row r="118" spans="1:25" ht="22" customHeight="1">
      <c r="A118" s="115" t="s">
        <v>1523</v>
      </c>
      <c r="B118" s="115" t="s">
        <v>3313</v>
      </c>
      <c r="C118" s="129" t="s">
        <v>2030</v>
      </c>
      <c r="D118" s="116" t="s">
        <v>2154</v>
      </c>
      <c r="E118" s="116" t="s">
        <v>2210</v>
      </c>
      <c r="F118" s="116" t="s">
        <v>2081</v>
      </c>
      <c r="G118" s="116" t="s">
        <v>1780</v>
      </c>
      <c r="H118" s="116" t="s">
        <v>1781</v>
      </c>
      <c r="I118" s="130">
        <v>1</v>
      </c>
      <c r="J118" s="115" t="s">
        <v>2033</v>
      </c>
      <c r="K118" s="115" t="s">
        <v>2033</v>
      </c>
      <c r="L118" s="131" t="s">
        <v>1989</v>
      </c>
      <c r="M118" s="131" t="s">
        <v>2001</v>
      </c>
      <c r="N118" s="131" t="s">
        <v>2011</v>
      </c>
      <c r="O118" s="129" t="s">
        <v>2019</v>
      </c>
      <c r="P118" s="115" t="s">
        <v>980</v>
      </c>
      <c r="Q118" s="115" t="s">
        <v>1</v>
      </c>
      <c r="R118" s="115"/>
      <c r="S118" s="115" t="s">
        <v>2259</v>
      </c>
      <c r="T118"/>
    </row>
    <row r="119" spans="1:25" ht="22" customHeight="1">
      <c r="A119" s="115" t="s">
        <v>1524</v>
      </c>
      <c r="B119" s="115" t="s">
        <v>3313</v>
      </c>
      <c r="C119" s="129" t="s">
        <v>2030</v>
      </c>
      <c r="D119" s="116" t="s">
        <v>2154</v>
      </c>
      <c r="E119" s="116" t="s">
        <v>2210</v>
      </c>
      <c r="F119" s="116" t="s">
        <v>2082</v>
      </c>
      <c r="G119" s="116" t="s">
        <v>1782</v>
      </c>
      <c r="H119" s="116" t="s">
        <v>1783</v>
      </c>
      <c r="I119" s="130">
        <v>1</v>
      </c>
      <c r="J119" s="115" t="s">
        <v>2033</v>
      </c>
      <c r="K119" s="115" t="s">
        <v>2033</v>
      </c>
      <c r="L119" s="131" t="s">
        <v>1989</v>
      </c>
      <c r="M119" s="131" t="s">
        <v>2001</v>
      </c>
      <c r="N119" s="131" t="s">
        <v>2011</v>
      </c>
      <c r="O119" s="129" t="s">
        <v>2019</v>
      </c>
      <c r="P119" s="115" t="s">
        <v>980</v>
      </c>
      <c r="Q119" s="115" t="s">
        <v>1</v>
      </c>
      <c r="R119" s="115"/>
      <c r="S119" s="115" t="s">
        <v>2259</v>
      </c>
      <c r="T119"/>
    </row>
    <row r="120" spans="1:25" ht="22" customHeight="1">
      <c r="A120" s="115" t="s">
        <v>1525</v>
      </c>
      <c r="B120" s="115" t="s">
        <v>3313</v>
      </c>
      <c r="C120" s="129" t="s">
        <v>2030</v>
      </c>
      <c r="D120" s="116" t="s">
        <v>2154</v>
      </c>
      <c r="E120" s="116" t="s">
        <v>2210</v>
      </c>
      <c r="F120" s="116" t="s">
        <v>2083</v>
      </c>
      <c r="G120" s="116" t="s">
        <v>1784</v>
      </c>
      <c r="H120" s="116" t="s">
        <v>1785</v>
      </c>
      <c r="I120" s="130">
        <v>1</v>
      </c>
      <c r="J120" s="115" t="s">
        <v>2033</v>
      </c>
      <c r="K120" s="115" t="s">
        <v>2033</v>
      </c>
      <c r="L120" s="131" t="s">
        <v>1989</v>
      </c>
      <c r="M120" s="131" t="s">
        <v>2001</v>
      </c>
      <c r="N120" s="131" t="s">
        <v>2011</v>
      </c>
      <c r="O120" s="129" t="s">
        <v>2019</v>
      </c>
      <c r="P120" s="115" t="s">
        <v>980</v>
      </c>
      <c r="Q120" s="115" t="s">
        <v>1</v>
      </c>
      <c r="R120" s="115"/>
      <c r="S120" s="115" t="s">
        <v>2259</v>
      </c>
      <c r="T120"/>
    </row>
    <row r="121" spans="1:25" ht="22" customHeight="1">
      <c r="A121" s="115" t="s">
        <v>282</v>
      </c>
      <c r="B121" s="115" t="s">
        <v>3177</v>
      </c>
      <c r="C121" s="129" t="s">
        <v>2030</v>
      </c>
      <c r="D121" s="116" t="s">
        <v>2154</v>
      </c>
      <c r="E121" s="116" t="s">
        <v>2187</v>
      </c>
      <c r="F121" s="116" t="s">
        <v>2060</v>
      </c>
      <c r="G121" s="116" t="s">
        <v>1944</v>
      </c>
      <c r="H121" s="116" t="s">
        <v>1945</v>
      </c>
      <c r="I121" s="130">
        <v>1</v>
      </c>
      <c r="J121" s="115" t="s">
        <v>2033</v>
      </c>
      <c r="K121" s="115" t="s">
        <v>2033</v>
      </c>
      <c r="L121" s="131" t="s">
        <v>1989</v>
      </c>
      <c r="M121" s="131" t="s">
        <v>2005</v>
      </c>
      <c r="N121" s="131" t="s">
        <v>2011</v>
      </c>
      <c r="O121" s="129" t="s">
        <v>2019</v>
      </c>
      <c r="P121" s="115" t="s">
        <v>980</v>
      </c>
      <c r="Q121" s="115" t="s">
        <v>1</v>
      </c>
      <c r="R121" s="115"/>
      <c r="S121" s="115" t="s">
        <v>2241</v>
      </c>
      <c r="T121"/>
    </row>
    <row r="122" spans="1:25" ht="22" customHeight="1">
      <c r="A122" s="128" t="s">
        <v>1483</v>
      </c>
      <c r="B122" s="128" t="s">
        <v>2425</v>
      </c>
      <c r="C122" s="128" t="s">
        <v>2029</v>
      </c>
      <c r="D122" s="128" t="s">
        <v>2154</v>
      </c>
      <c r="E122" s="128" t="s">
        <v>2183</v>
      </c>
      <c r="F122" s="128" t="s">
        <v>1898</v>
      </c>
      <c r="G122" s="128" t="s">
        <v>2426</v>
      </c>
      <c r="H122" s="128" t="s">
        <v>2427</v>
      </c>
      <c r="I122" s="128">
        <v>1.5</v>
      </c>
      <c r="J122" s="128" t="s">
        <v>2033</v>
      </c>
      <c r="K122" s="128" t="s">
        <v>2033</v>
      </c>
      <c r="L122" s="128" t="s">
        <v>1982</v>
      </c>
      <c r="M122" s="128" t="s">
        <v>2428</v>
      </c>
      <c r="N122" s="128" t="s">
        <v>2011</v>
      </c>
      <c r="O122" s="128" t="s">
        <v>2021</v>
      </c>
      <c r="P122" s="128" t="s">
        <v>980</v>
      </c>
      <c r="Q122" s="128" t="s">
        <v>1</v>
      </c>
      <c r="R122" s="128"/>
      <c r="S122" s="128" t="s">
        <v>2238</v>
      </c>
      <c r="T122"/>
    </row>
    <row r="123" spans="1:25" ht="22" customHeight="1">
      <c r="A123" s="128" t="s">
        <v>1484</v>
      </c>
      <c r="B123" s="128" t="s">
        <v>2425</v>
      </c>
      <c r="C123" s="128" t="s">
        <v>2029</v>
      </c>
      <c r="D123" s="128" t="s">
        <v>2154</v>
      </c>
      <c r="E123" s="128" t="s">
        <v>2183</v>
      </c>
      <c r="F123" s="128" t="s">
        <v>1899</v>
      </c>
      <c r="G123" s="128" t="s">
        <v>1932</v>
      </c>
      <c r="H123" s="128" t="s">
        <v>1933</v>
      </c>
      <c r="I123" s="128">
        <v>0.5</v>
      </c>
      <c r="J123" s="128" t="s">
        <v>2033</v>
      </c>
      <c r="K123" s="128" t="s">
        <v>2033</v>
      </c>
      <c r="L123" s="128" t="s">
        <v>1989</v>
      </c>
      <c r="M123" s="128" t="s">
        <v>2005</v>
      </c>
      <c r="N123" s="128" t="s">
        <v>2011</v>
      </c>
      <c r="O123" s="128" t="s">
        <v>2019</v>
      </c>
      <c r="P123" s="128" t="s">
        <v>980</v>
      </c>
      <c r="Q123" s="128" t="s">
        <v>1</v>
      </c>
      <c r="R123" s="128"/>
      <c r="S123" s="128" t="s">
        <v>2238</v>
      </c>
      <c r="T123"/>
    </row>
    <row r="124" spans="1:25" ht="22" customHeight="1">
      <c r="A124" s="115" t="s">
        <v>1485</v>
      </c>
      <c r="B124" s="115" t="s">
        <v>2425</v>
      </c>
      <c r="C124" s="129" t="s">
        <v>2029</v>
      </c>
      <c r="D124" s="116" t="s">
        <v>2154</v>
      </c>
      <c r="E124" s="116" t="s">
        <v>2184</v>
      </c>
      <c r="F124" s="116" t="s">
        <v>1900</v>
      </c>
      <c r="G124" s="116" t="s">
        <v>1934</v>
      </c>
      <c r="H124" s="116" t="s">
        <v>1935</v>
      </c>
      <c r="I124" s="130">
        <v>0.5</v>
      </c>
      <c r="J124" s="115" t="s">
        <v>2033</v>
      </c>
      <c r="K124" s="115" t="s">
        <v>2033</v>
      </c>
      <c r="L124" s="131" t="s">
        <v>1989</v>
      </c>
      <c r="M124" s="131" t="s">
        <v>2005</v>
      </c>
      <c r="N124" s="131" t="s">
        <v>2011</v>
      </c>
      <c r="O124" s="129" t="s">
        <v>2019</v>
      </c>
      <c r="P124" s="115" t="s">
        <v>980</v>
      </c>
      <c r="Q124" s="115" t="s">
        <v>1</v>
      </c>
      <c r="R124" s="115"/>
      <c r="S124" s="115" t="s">
        <v>2239</v>
      </c>
      <c r="T124"/>
    </row>
    <row r="125" spans="1:25" ht="22" customHeight="1">
      <c r="A125" s="115" t="s">
        <v>281</v>
      </c>
      <c r="B125" s="115" t="s">
        <v>3315</v>
      </c>
      <c r="C125" s="129" t="s">
        <v>2028</v>
      </c>
      <c r="D125" s="116" t="s">
        <v>2154</v>
      </c>
      <c r="E125" s="116" t="s">
        <v>3480</v>
      </c>
      <c r="F125" s="116" t="s">
        <v>3714</v>
      </c>
      <c r="G125" s="116" t="s">
        <v>1928</v>
      </c>
      <c r="H125" s="116" t="s">
        <v>1929</v>
      </c>
      <c r="I125" s="130">
        <v>1</v>
      </c>
      <c r="J125" s="115" t="s">
        <v>2033</v>
      </c>
      <c r="K125" s="115" t="s">
        <v>2033</v>
      </c>
      <c r="L125" s="131" t="s">
        <v>1990</v>
      </c>
      <c r="M125" s="131" t="s">
        <v>2004</v>
      </c>
      <c r="N125" s="131" t="s">
        <v>2011</v>
      </c>
      <c r="O125" s="129" t="s">
        <v>2018</v>
      </c>
      <c r="P125" s="115" t="s">
        <v>980</v>
      </c>
      <c r="Q125" s="115" t="s">
        <v>1</v>
      </c>
      <c r="R125" s="115"/>
      <c r="S125" s="115" t="s">
        <v>2223</v>
      </c>
      <c r="T125"/>
    </row>
    <row r="126" spans="1:25" ht="22" customHeight="1">
      <c r="A126" s="115" t="s">
        <v>1534</v>
      </c>
      <c r="B126" s="115" t="s">
        <v>3642</v>
      </c>
      <c r="C126" s="129" t="s">
        <v>2030</v>
      </c>
      <c r="D126" s="116" t="s">
        <v>2154</v>
      </c>
      <c r="E126" s="116" t="s">
        <v>3480</v>
      </c>
      <c r="F126" s="116" t="s">
        <v>1905</v>
      </c>
      <c r="G126" s="116" t="s">
        <v>1796</v>
      </c>
      <c r="H126" s="116" t="s">
        <v>1797</v>
      </c>
      <c r="I126" s="130">
        <v>4</v>
      </c>
      <c r="J126" s="115" t="s">
        <v>2033</v>
      </c>
      <c r="K126" s="115" t="s">
        <v>2033</v>
      </c>
      <c r="L126" s="131" t="s">
        <v>1980</v>
      </c>
      <c r="M126" s="131" t="s">
        <v>3693</v>
      </c>
      <c r="N126" s="131" t="s">
        <v>2011</v>
      </c>
      <c r="O126" s="129" t="s">
        <v>2018</v>
      </c>
      <c r="P126" s="115" t="s">
        <v>980</v>
      </c>
      <c r="Q126" s="115" t="s">
        <v>1</v>
      </c>
      <c r="R126" s="115"/>
      <c r="S126" s="115" t="s">
        <v>2223</v>
      </c>
      <c r="T126"/>
    </row>
    <row r="127" spans="1:25" ht="22" customHeight="1">
      <c r="A127" s="115" t="s">
        <v>4235</v>
      </c>
      <c r="B127" s="115" t="s">
        <v>3642</v>
      </c>
      <c r="C127" s="129" t="s">
        <v>2030</v>
      </c>
      <c r="D127" s="116" t="s">
        <v>2154</v>
      </c>
      <c r="E127" s="116" t="s">
        <v>3480</v>
      </c>
      <c r="F127" s="116" t="s">
        <v>4236</v>
      </c>
      <c r="G127" s="116" t="s">
        <v>4237</v>
      </c>
      <c r="H127" s="116" t="s">
        <v>4238</v>
      </c>
      <c r="I127" s="130">
        <v>1</v>
      </c>
      <c r="J127" s="115" t="s">
        <v>2033</v>
      </c>
      <c r="K127" s="115" t="s">
        <v>2033</v>
      </c>
      <c r="L127" s="131" t="s">
        <v>1982</v>
      </c>
      <c r="M127" s="131" t="s">
        <v>4239</v>
      </c>
      <c r="N127" s="131" t="s">
        <v>2011</v>
      </c>
      <c r="O127" s="129" t="s">
        <v>2019</v>
      </c>
      <c r="P127" s="115" t="s">
        <v>980</v>
      </c>
      <c r="Q127" s="115" t="s">
        <v>1</v>
      </c>
      <c r="R127" s="115"/>
      <c r="S127" s="115" t="s">
        <v>2223</v>
      </c>
      <c r="T127"/>
    </row>
    <row r="128" spans="1:25" ht="22" customHeight="1">
      <c r="A128" s="101" t="s">
        <v>3176</v>
      </c>
      <c r="B128" s="101" t="s">
        <v>3177</v>
      </c>
      <c r="C128" s="101" t="s">
        <v>2030</v>
      </c>
      <c r="D128" s="101" t="s">
        <v>2154</v>
      </c>
      <c r="E128" s="101" t="s">
        <v>3167</v>
      </c>
      <c r="F128" s="101" t="s">
        <v>3178</v>
      </c>
      <c r="G128" s="101" t="s">
        <v>3179</v>
      </c>
      <c r="H128" s="101" t="s">
        <v>3180</v>
      </c>
      <c r="I128" s="127">
        <v>2</v>
      </c>
      <c r="J128" s="101" t="s">
        <v>2033</v>
      </c>
      <c r="K128" s="101" t="s">
        <v>2033</v>
      </c>
      <c r="L128" s="101" t="s">
        <v>1989</v>
      </c>
      <c r="M128" s="101" t="s">
        <v>3181</v>
      </c>
      <c r="N128" s="101" t="s">
        <v>2011</v>
      </c>
      <c r="O128" s="101" t="s">
        <v>2019</v>
      </c>
      <c r="P128" s="101" t="s">
        <v>980</v>
      </c>
      <c r="Q128" s="101" t="s">
        <v>1</v>
      </c>
      <c r="R128" s="101"/>
      <c r="S128" s="101" t="s">
        <v>3168</v>
      </c>
      <c r="T128"/>
    </row>
    <row r="129" spans="1:20" ht="22" customHeight="1">
      <c r="A129" s="101" t="s">
        <v>3182</v>
      </c>
      <c r="B129" s="101" t="s">
        <v>3177</v>
      </c>
      <c r="C129" s="101" t="s">
        <v>2030</v>
      </c>
      <c r="D129" s="101" t="s">
        <v>2154</v>
      </c>
      <c r="E129" s="101" t="s">
        <v>3167</v>
      </c>
      <c r="F129" s="101" t="s">
        <v>3183</v>
      </c>
      <c r="G129" s="101" t="s">
        <v>3184</v>
      </c>
      <c r="H129" s="101" t="s">
        <v>3185</v>
      </c>
      <c r="I129" s="127">
        <v>2</v>
      </c>
      <c r="J129" s="101" t="s">
        <v>2033</v>
      </c>
      <c r="K129" s="101" t="s">
        <v>2033</v>
      </c>
      <c r="L129" s="101" t="s">
        <v>1982</v>
      </c>
      <c r="M129" s="101" t="s">
        <v>3186</v>
      </c>
      <c r="N129" s="101" t="s">
        <v>2011</v>
      </c>
      <c r="O129" s="101" t="s">
        <v>2019</v>
      </c>
      <c r="P129" s="101" t="s">
        <v>980</v>
      </c>
      <c r="Q129" s="101" t="s">
        <v>1</v>
      </c>
      <c r="R129" s="101"/>
      <c r="S129" s="101" t="s">
        <v>3168</v>
      </c>
      <c r="T129"/>
    </row>
    <row r="130" spans="1:20" ht="22" customHeight="1">
      <c r="A130" s="101" t="s">
        <v>3187</v>
      </c>
      <c r="B130" s="101" t="s">
        <v>3177</v>
      </c>
      <c r="C130" s="101" t="s">
        <v>2030</v>
      </c>
      <c r="D130" s="101" t="s">
        <v>2154</v>
      </c>
      <c r="E130" s="101" t="s">
        <v>3167</v>
      </c>
      <c r="F130" s="101" t="s">
        <v>3188</v>
      </c>
      <c r="G130" s="101" t="s">
        <v>3189</v>
      </c>
      <c r="H130" s="101" t="s">
        <v>3190</v>
      </c>
      <c r="I130" s="127">
        <v>1.5</v>
      </c>
      <c r="J130" s="101" t="s">
        <v>2033</v>
      </c>
      <c r="K130" s="101" t="s">
        <v>2033</v>
      </c>
      <c r="L130" s="101" t="s">
        <v>1989</v>
      </c>
      <c r="M130" s="101" t="s">
        <v>3191</v>
      </c>
      <c r="N130" s="101" t="s">
        <v>2011</v>
      </c>
      <c r="O130" s="101" t="s">
        <v>2019</v>
      </c>
      <c r="P130" s="101" t="s">
        <v>980</v>
      </c>
      <c r="Q130" s="101" t="s">
        <v>1</v>
      </c>
      <c r="R130" s="101"/>
      <c r="S130" s="101" t="s">
        <v>3168</v>
      </c>
      <c r="T130"/>
    </row>
    <row r="131" spans="1:20" ht="22" customHeight="1">
      <c r="A131" s="101" t="s">
        <v>3202</v>
      </c>
      <c r="B131" s="101" t="s">
        <v>3177</v>
      </c>
      <c r="C131" s="101" t="s">
        <v>2030</v>
      </c>
      <c r="D131" s="101" t="s">
        <v>2154</v>
      </c>
      <c r="E131" s="101" t="s">
        <v>3167</v>
      </c>
      <c r="F131" s="101" t="s">
        <v>3203</v>
      </c>
      <c r="G131" s="101" t="s">
        <v>3204</v>
      </c>
      <c r="H131" s="101" t="s">
        <v>3205</v>
      </c>
      <c r="I131" s="127">
        <v>1.5</v>
      </c>
      <c r="J131" s="101" t="s">
        <v>2033</v>
      </c>
      <c r="K131" s="101" t="s">
        <v>2033</v>
      </c>
      <c r="L131" s="101" t="s">
        <v>1982</v>
      </c>
      <c r="M131" s="101" t="s">
        <v>3325</v>
      </c>
      <c r="N131" s="101" t="s">
        <v>2011</v>
      </c>
      <c r="O131" s="101" t="s">
        <v>2019</v>
      </c>
      <c r="P131" s="101" t="s">
        <v>980</v>
      </c>
      <c r="Q131" s="101" t="s">
        <v>1</v>
      </c>
      <c r="R131" s="101"/>
      <c r="S131" s="101" t="s">
        <v>3168</v>
      </c>
      <c r="T131"/>
    </row>
    <row r="132" spans="1:20" ht="22" customHeight="1">
      <c r="A132" s="101" t="s">
        <v>3192</v>
      </c>
      <c r="B132" s="101" t="s">
        <v>3177</v>
      </c>
      <c r="C132" s="101" t="s">
        <v>2030</v>
      </c>
      <c r="D132" s="101" t="s">
        <v>2154</v>
      </c>
      <c r="E132" s="101" t="s">
        <v>3170</v>
      </c>
      <c r="F132" s="101" t="s">
        <v>3193</v>
      </c>
      <c r="G132" s="101" t="s">
        <v>3194</v>
      </c>
      <c r="H132" s="101" t="s">
        <v>3195</v>
      </c>
      <c r="I132" s="127">
        <v>2</v>
      </c>
      <c r="J132" s="101" t="s">
        <v>2033</v>
      </c>
      <c r="K132" s="101" t="s">
        <v>2033</v>
      </c>
      <c r="L132" s="101" t="s">
        <v>1986</v>
      </c>
      <c r="M132" s="101" t="s">
        <v>3196</v>
      </c>
      <c r="N132" s="101" t="s">
        <v>2011</v>
      </c>
      <c r="O132" s="101" t="s">
        <v>2019</v>
      </c>
      <c r="P132" s="101" t="s">
        <v>980</v>
      </c>
      <c r="Q132" s="101" t="s">
        <v>1</v>
      </c>
      <c r="R132" s="101"/>
      <c r="S132" s="101" t="s">
        <v>3171</v>
      </c>
      <c r="T132"/>
    </row>
    <row r="133" spans="1:20" ht="22" customHeight="1">
      <c r="A133" s="101" t="s">
        <v>3197</v>
      </c>
      <c r="B133" s="101" t="s">
        <v>3177</v>
      </c>
      <c r="C133" s="101" t="s">
        <v>2030</v>
      </c>
      <c r="D133" s="101" t="s">
        <v>2154</v>
      </c>
      <c r="E133" s="101" t="s">
        <v>3173</v>
      </c>
      <c r="F133" s="101" t="s">
        <v>3198</v>
      </c>
      <c r="G133" s="101" t="s">
        <v>3199</v>
      </c>
      <c r="H133" s="101" t="s">
        <v>3200</v>
      </c>
      <c r="I133" s="127">
        <v>2</v>
      </c>
      <c r="J133" s="101" t="s">
        <v>2033</v>
      </c>
      <c r="K133" s="101" t="s">
        <v>2033</v>
      </c>
      <c r="L133" s="101" t="s">
        <v>1989</v>
      </c>
      <c r="M133" s="101" t="s">
        <v>3201</v>
      </c>
      <c r="N133" s="101" t="s">
        <v>2011</v>
      </c>
      <c r="O133" s="101" t="s">
        <v>2019</v>
      </c>
      <c r="P133" s="101" t="s">
        <v>980</v>
      </c>
      <c r="Q133" s="101" t="s">
        <v>1</v>
      </c>
      <c r="R133" s="101"/>
      <c r="S133" s="101" t="s">
        <v>3174</v>
      </c>
      <c r="T133"/>
    </row>
    <row r="134" spans="1:20" ht="22" customHeight="1">
      <c r="A134" s="101" t="s">
        <v>3206</v>
      </c>
      <c r="B134" s="101" t="s">
        <v>3177</v>
      </c>
      <c r="C134" s="101" t="s">
        <v>2029</v>
      </c>
      <c r="D134" s="101" t="s">
        <v>2154</v>
      </c>
      <c r="E134" s="101" t="s">
        <v>3173</v>
      </c>
      <c r="F134" s="101" t="s">
        <v>3207</v>
      </c>
      <c r="G134" s="101" t="s">
        <v>3208</v>
      </c>
      <c r="H134" s="101" t="s">
        <v>3209</v>
      </c>
      <c r="I134" s="127">
        <v>1.5</v>
      </c>
      <c r="J134" s="101" t="s">
        <v>2033</v>
      </c>
      <c r="K134" s="101" t="s">
        <v>2033</v>
      </c>
      <c r="L134" s="101" t="s">
        <v>1989</v>
      </c>
      <c r="M134" s="101" t="s">
        <v>3210</v>
      </c>
      <c r="N134" s="101" t="s">
        <v>2011</v>
      </c>
      <c r="O134" s="101" t="s">
        <v>2019</v>
      </c>
      <c r="P134" s="101" t="s">
        <v>980</v>
      </c>
      <c r="Q134" s="101" t="s">
        <v>1</v>
      </c>
      <c r="R134" s="101"/>
      <c r="S134" s="101" t="s">
        <v>3174</v>
      </c>
      <c r="T134"/>
    </row>
    <row r="135" spans="1:20" ht="22" customHeight="1">
      <c r="A135" s="101" t="s">
        <v>4230</v>
      </c>
      <c r="B135" s="101" t="s">
        <v>3311</v>
      </c>
      <c r="C135" s="101" t="s">
        <v>2030</v>
      </c>
      <c r="D135" s="101" t="s">
        <v>2154</v>
      </c>
      <c r="E135" s="101" t="s">
        <v>4227</v>
      </c>
      <c r="F135" s="101" t="s">
        <v>4231</v>
      </c>
      <c r="G135" s="101" t="s">
        <v>4232</v>
      </c>
      <c r="H135" s="101" t="s">
        <v>4233</v>
      </c>
      <c r="I135" s="127">
        <v>2</v>
      </c>
      <c r="J135" s="101" t="s">
        <v>2033</v>
      </c>
      <c r="K135" s="101" t="s">
        <v>2033</v>
      </c>
      <c r="L135" s="101" t="s">
        <v>1982</v>
      </c>
      <c r="M135" s="101" t="s">
        <v>4234</v>
      </c>
      <c r="N135" s="101" t="s">
        <v>2011</v>
      </c>
      <c r="O135" s="101" t="s">
        <v>2019</v>
      </c>
      <c r="P135" s="101" t="s">
        <v>980</v>
      </c>
      <c r="Q135" s="101" t="s">
        <v>1</v>
      </c>
      <c r="R135" s="101"/>
      <c r="S135" s="101" t="s">
        <v>4228</v>
      </c>
      <c r="T135"/>
    </row>
    <row r="136" spans="1:20" ht="22" customHeight="1">
      <c r="A136" s="115" t="s">
        <v>1479</v>
      </c>
      <c r="B136" s="115" t="s">
        <v>3315</v>
      </c>
      <c r="C136" s="129" t="s">
        <v>2028</v>
      </c>
      <c r="D136" s="116" t="s">
        <v>2155</v>
      </c>
      <c r="E136" s="116" t="s">
        <v>2177</v>
      </c>
      <c r="F136" s="116" t="s">
        <v>1893</v>
      </c>
      <c r="G136" s="116" t="s">
        <v>1919</v>
      </c>
      <c r="H136" s="116" t="s">
        <v>1920</v>
      </c>
      <c r="I136" s="130">
        <v>1</v>
      </c>
      <c r="J136" s="115" t="s">
        <v>2033</v>
      </c>
      <c r="K136" s="115" t="s">
        <v>2033</v>
      </c>
      <c r="L136" s="131" t="s">
        <v>1990</v>
      </c>
      <c r="M136" s="131" t="s">
        <v>2108</v>
      </c>
      <c r="N136" s="131" t="s">
        <v>2111</v>
      </c>
      <c r="O136" s="129" t="s">
        <v>2018</v>
      </c>
      <c r="P136" s="115" t="s">
        <v>980</v>
      </c>
      <c r="Q136" s="115" t="s">
        <v>1</v>
      </c>
      <c r="R136" s="115"/>
      <c r="S136" s="115" t="s">
        <v>2232</v>
      </c>
      <c r="T136"/>
    </row>
    <row r="137" spans="1:20" ht="22" customHeight="1">
      <c r="A137" s="115" t="s">
        <v>1480</v>
      </c>
      <c r="B137" s="115" t="s">
        <v>3315</v>
      </c>
      <c r="C137" s="129" t="s">
        <v>2028</v>
      </c>
      <c r="D137" s="116" t="s">
        <v>2155</v>
      </c>
      <c r="E137" s="116" t="s">
        <v>2177</v>
      </c>
      <c r="F137" s="116" t="s">
        <v>1894</v>
      </c>
      <c r="G137" s="116" t="s">
        <v>1921</v>
      </c>
      <c r="H137" s="116" t="s">
        <v>1922</v>
      </c>
      <c r="I137" s="130">
        <v>1</v>
      </c>
      <c r="J137" s="115" t="s">
        <v>2033</v>
      </c>
      <c r="K137" s="115" t="s">
        <v>2033</v>
      </c>
      <c r="L137" s="131" t="s">
        <v>1990</v>
      </c>
      <c r="M137" s="131" t="s">
        <v>2004</v>
      </c>
      <c r="N137" s="131" t="s">
        <v>2011</v>
      </c>
      <c r="O137" s="129" t="s">
        <v>2018</v>
      </c>
      <c r="P137" s="115" t="s">
        <v>1479</v>
      </c>
      <c r="Q137" s="115" t="s">
        <v>1</v>
      </c>
      <c r="R137" s="115"/>
      <c r="S137" s="115" t="s">
        <v>2232</v>
      </c>
      <c r="T137"/>
    </row>
    <row r="138" spans="1:20" ht="22" customHeight="1">
      <c r="A138" s="115" t="s">
        <v>1481</v>
      </c>
      <c r="B138" s="115" t="s">
        <v>3315</v>
      </c>
      <c r="C138" s="129" t="s">
        <v>2028</v>
      </c>
      <c r="D138" s="116" t="s">
        <v>2155</v>
      </c>
      <c r="E138" s="116" t="s">
        <v>2177</v>
      </c>
      <c r="F138" s="116" t="s">
        <v>1895</v>
      </c>
      <c r="G138" s="116" t="s">
        <v>1923</v>
      </c>
      <c r="H138" s="116" t="s">
        <v>1924</v>
      </c>
      <c r="I138" s="130">
        <v>1</v>
      </c>
      <c r="J138" s="115" t="s">
        <v>2033</v>
      </c>
      <c r="K138" s="115" t="s">
        <v>2033</v>
      </c>
      <c r="L138" s="131" t="s">
        <v>1990</v>
      </c>
      <c r="M138" s="131" t="s">
        <v>2109</v>
      </c>
      <c r="N138" s="131" t="s">
        <v>2111</v>
      </c>
      <c r="O138" s="129" t="s">
        <v>2018</v>
      </c>
      <c r="P138" s="115" t="s">
        <v>1479</v>
      </c>
      <c r="Q138" s="115" t="s">
        <v>1</v>
      </c>
      <c r="R138" s="115"/>
      <c r="S138" s="115" t="s">
        <v>2232</v>
      </c>
      <c r="T138"/>
    </row>
    <row r="139" spans="1:20" ht="22" customHeight="1">
      <c r="A139" s="128" t="s">
        <v>2429</v>
      </c>
      <c r="B139" s="128" t="s">
        <v>2430</v>
      </c>
      <c r="C139" s="128" t="s">
        <v>2028</v>
      </c>
      <c r="D139" s="128" t="s">
        <v>2155</v>
      </c>
      <c r="E139" s="128" t="s">
        <v>2174</v>
      </c>
      <c r="F139" s="128" t="s">
        <v>2431</v>
      </c>
      <c r="G139" s="128" t="s">
        <v>2432</v>
      </c>
      <c r="H139" s="128" t="s">
        <v>2433</v>
      </c>
      <c r="I139" s="128">
        <v>1.5</v>
      </c>
      <c r="J139" s="128" t="s">
        <v>2033</v>
      </c>
      <c r="K139" s="128" t="s">
        <v>1471</v>
      </c>
      <c r="L139" s="128" t="s">
        <v>1982</v>
      </c>
      <c r="M139" s="128" t="s">
        <v>3715</v>
      </c>
      <c r="N139" s="128" t="s">
        <v>2011</v>
      </c>
      <c r="O139" s="128" t="s">
        <v>2021</v>
      </c>
      <c r="P139" s="128" t="s">
        <v>980</v>
      </c>
      <c r="Q139" s="128" t="s">
        <v>1</v>
      </c>
      <c r="R139" s="128"/>
      <c r="S139" s="128" t="s">
        <v>2230</v>
      </c>
      <c r="T139"/>
    </row>
    <row r="140" spans="1:20" ht="22" customHeight="1">
      <c r="A140" s="115" t="s">
        <v>1501</v>
      </c>
      <c r="B140" s="115" t="s">
        <v>3310</v>
      </c>
      <c r="C140" s="129" t="s">
        <v>2030</v>
      </c>
      <c r="D140" s="116" t="s">
        <v>2157</v>
      </c>
      <c r="E140" s="116" t="s">
        <v>2190</v>
      </c>
      <c r="F140" s="116" t="s">
        <v>2068</v>
      </c>
      <c r="G140" s="116" t="s">
        <v>1759</v>
      </c>
      <c r="H140" s="116" t="s">
        <v>1760</v>
      </c>
      <c r="I140" s="130">
        <v>0.5</v>
      </c>
      <c r="J140" s="115" t="s">
        <v>2105</v>
      </c>
      <c r="K140" s="115" t="s">
        <v>2105</v>
      </c>
      <c r="L140" s="131" t="s">
        <v>1988</v>
      </c>
      <c r="M140" s="131" t="s">
        <v>2002</v>
      </c>
      <c r="N140" s="131" t="s">
        <v>2011</v>
      </c>
      <c r="O140" s="129" t="s">
        <v>2020</v>
      </c>
      <c r="P140" s="115" t="s">
        <v>980</v>
      </c>
      <c r="Q140" s="115" t="s">
        <v>1</v>
      </c>
      <c r="R140" s="115"/>
      <c r="S140" s="115" t="s">
        <v>2244</v>
      </c>
      <c r="T140"/>
    </row>
    <row r="141" spans="1:20" ht="22" customHeight="1">
      <c r="A141" s="115" t="s">
        <v>1502</v>
      </c>
      <c r="B141" s="115" t="s">
        <v>3310</v>
      </c>
      <c r="C141" s="129" t="s">
        <v>2030</v>
      </c>
      <c r="D141" s="116" t="s">
        <v>2157</v>
      </c>
      <c r="E141" s="116" t="s">
        <v>2190</v>
      </c>
      <c r="F141" s="116" t="s">
        <v>2069</v>
      </c>
      <c r="G141" s="116" t="s">
        <v>1761</v>
      </c>
      <c r="H141" s="116" t="s">
        <v>1762</v>
      </c>
      <c r="I141" s="130">
        <v>3</v>
      </c>
      <c r="J141" s="115" t="s">
        <v>2105</v>
      </c>
      <c r="K141" s="115" t="s">
        <v>2105</v>
      </c>
      <c r="L141" s="131" t="s">
        <v>1979</v>
      </c>
      <c r="M141" s="131" t="s">
        <v>3716</v>
      </c>
      <c r="N141" s="131" t="s">
        <v>2011</v>
      </c>
      <c r="O141" s="129" t="s">
        <v>2017</v>
      </c>
      <c r="P141" s="115" t="s">
        <v>980</v>
      </c>
      <c r="Q141" s="115" t="s">
        <v>1</v>
      </c>
      <c r="R141" s="115"/>
      <c r="S141" s="115" t="s">
        <v>2244</v>
      </c>
      <c r="T141"/>
    </row>
    <row r="142" spans="1:20" ht="22" customHeight="1">
      <c r="A142" s="115" t="s">
        <v>2047</v>
      </c>
      <c r="B142" s="115" t="s">
        <v>2372</v>
      </c>
      <c r="C142" s="129" t="s">
        <v>2030</v>
      </c>
      <c r="D142" s="116" t="s">
        <v>2157</v>
      </c>
      <c r="E142" s="116" t="s">
        <v>2194</v>
      </c>
      <c r="F142" s="116" t="s">
        <v>3717</v>
      </c>
      <c r="G142" s="116" t="s">
        <v>2010</v>
      </c>
      <c r="H142" s="116" t="s">
        <v>1776</v>
      </c>
      <c r="I142" s="130">
        <v>2</v>
      </c>
      <c r="J142" s="115" t="s">
        <v>2033</v>
      </c>
      <c r="K142" s="115" t="s">
        <v>2033</v>
      </c>
      <c r="L142" s="131" t="s">
        <v>1984</v>
      </c>
      <c r="M142" s="131" t="s">
        <v>1999</v>
      </c>
      <c r="N142" s="131" t="s">
        <v>2011</v>
      </c>
      <c r="O142" s="129" t="s">
        <v>2021</v>
      </c>
      <c r="P142" s="115" t="s">
        <v>980</v>
      </c>
      <c r="Q142" s="115" t="s">
        <v>1</v>
      </c>
      <c r="R142" s="115"/>
      <c r="S142" s="115" t="s">
        <v>2248</v>
      </c>
      <c r="T142"/>
    </row>
    <row r="143" spans="1:20" ht="22" customHeight="1">
      <c r="A143" s="115" t="s">
        <v>1504</v>
      </c>
      <c r="B143" s="115" t="s">
        <v>3310</v>
      </c>
      <c r="C143" s="129" t="s">
        <v>2030</v>
      </c>
      <c r="D143" s="116" t="s">
        <v>2157</v>
      </c>
      <c r="E143" s="116" t="s">
        <v>2193</v>
      </c>
      <c r="F143" s="116" t="s">
        <v>2071</v>
      </c>
      <c r="G143" s="116" t="s">
        <v>3718</v>
      </c>
      <c r="H143" s="116" t="s">
        <v>1765</v>
      </c>
      <c r="I143" s="130">
        <v>0.5</v>
      </c>
      <c r="J143" s="115" t="s">
        <v>2033</v>
      </c>
      <c r="K143" s="115" t="s">
        <v>2033</v>
      </c>
      <c r="L143" s="131" t="s">
        <v>1988</v>
      </c>
      <c r="M143" s="131" t="s">
        <v>2002</v>
      </c>
      <c r="N143" s="131" t="s">
        <v>2011</v>
      </c>
      <c r="O143" s="129" t="s">
        <v>2020</v>
      </c>
      <c r="P143" s="115" t="s">
        <v>980</v>
      </c>
      <c r="Q143" s="115" t="s">
        <v>1</v>
      </c>
      <c r="R143" s="115"/>
      <c r="S143" s="115" t="s">
        <v>2247</v>
      </c>
      <c r="T143"/>
    </row>
    <row r="144" spans="1:20" ht="22" customHeight="1">
      <c r="A144" s="115" t="s">
        <v>1505</v>
      </c>
      <c r="B144" s="115" t="s">
        <v>3310</v>
      </c>
      <c r="C144" s="129" t="s">
        <v>2030</v>
      </c>
      <c r="D144" s="116" t="s">
        <v>2157</v>
      </c>
      <c r="E144" s="116" t="s">
        <v>2193</v>
      </c>
      <c r="F144" s="116" t="s">
        <v>2072</v>
      </c>
      <c r="G144" s="116" t="s">
        <v>1766</v>
      </c>
      <c r="H144" s="116" t="s">
        <v>1767</v>
      </c>
      <c r="I144" s="130">
        <v>1</v>
      </c>
      <c r="J144" s="115" t="s">
        <v>2033</v>
      </c>
      <c r="K144" s="115" t="s">
        <v>2033</v>
      </c>
      <c r="L144" s="131" t="s">
        <v>1988</v>
      </c>
      <c r="M144" s="131" t="s">
        <v>2002</v>
      </c>
      <c r="N144" s="131" t="s">
        <v>2011</v>
      </c>
      <c r="O144" s="129" t="s">
        <v>2018</v>
      </c>
      <c r="P144" s="115" t="s">
        <v>980</v>
      </c>
      <c r="Q144" s="115" t="s">
        <v>1</v>
      </c>
      <c r="R144" s="115"/>
      <c r="S144" s="115" t="s">
        <v>2247</v>
      </c>
      <c r="T144"/>
    </row>
    <row r="145" spans="1:20" ht="22" customHeight="1">
      <c r="A145" s="115" t="s">
        <v>1495</v>
      </c>
      <c r="B145" s="115" t="s">
        <v>3310</v>
      </c>
      <c r="C145" s="129" t="s">
        <v>2030</v>
      </c>
      <c r="D145" s="116" t="s">
        <v>2159</v>
      </c>
      <c r="E145" s="116" t="s">
        <v>2188</v>
      </c>
      <c r="F145" s="116" t="s">
        <v>2062</v>
      </c>
      <c r="G145" s="116" t="s">
        <v>1749</v>
      </c>
      <c r="H145" s="116" t="s">
        <v>1750</v>
      </c>
      <c r="I145" s="130">
        <v>1</v>
      </c>
      <c r="J145" s="115" t="s">
        <v>2033</v>
      </c>
      <c r="K145" s="115" t="s">
        <v>2033</v>
      </c>
      <c r="L145" s="131" t="s">
        <v>1988</v>
      </c>
      <c r="M145" s="131" t="s">
        <v>2002</v>
      </c>
      <c r="N145" s="131" t="s">
        <v>2011</v>
      </c>
      <c r="O145" s="129" t="s">
        <v>2020</v>
      </c>
      <c r="P145" s="115" t="s">
        <v>980</v>
      </c>
      <c r="Q145" s="115" t="s">
        <v>1</v>
      </c>
      <c r="R145" s="115"/>
      <c r="S145" s="115" t="s">
        <v>2242</v>
      </c>
      <c r="T145"/>
    </row>
    <row r="146" spans="1:20" ht="22" customHeight="1">
      <c r="A146" s="115" t="s">
        <v>1496</v>
      </c>
      <c r="B146" s="115" t="s">
        <v>3310</v>
      </c>
      <c r="C146" s="129" t="s">
        <v>2030</v>
      </c>
      <c r="D146" s="116" t="s">
        <v>2159</v>
      </c>
      <c r="E146" s="116" t="s">
        <v>2188</v>
      </c>
      <c r="F146" s="116" t="s">
        <v>2063</v>
      </c>
      <c r="G146" s="116" t="s">
        <v>1751</v>
      </c>
      <c r="H146" s="116" t="s">
        <v>1752</v>
      </c>
      <c r="I146" s="130">
        <v>1</v>
      </c>
      <c r="J146" s="115" t="s">
        <v>2033</v>
      </c>
      <c r="K146" s="115" t="s">
        <v>2033</v>
      </c>
      <c r="L146" s="131" t="s">
        <v>1988</v>
      </c>
      <c r="M146" s="131" t="s">
        <v>2002</v>
      </c>
      <c r="N146" s="131" t="s">
        <v>2011</v>
      </c>
      <c r="O146" s="129" t="s">
        <v>2020</v>
      </c>
      <c r="P146" s="115" t="s">
        <v>980</v>
      </c>
      <c r="Q146" s="115" t="s">
        <v>1</v>
      </c>
      <c r="R146" s="115"/>
      <c r="S146" s="115" t="s">
        <v>2242</v>
      </c>
      <c r="T146"/>
    </row>
    <row r="147" spans="1:20" ht="22" customHeight="1">
      <c r="A147" s="115" t="s">
        <v>1497</v>
      </c>
      <c r="B147" s="115" t="s">
        <v>3310</v>
      </c>
      <c r="C147" s="129" t="s">
        <v>2030</v>
      </c>
      <c r="D147" s="116" t="s">
        <v>2159</v>
      </c>
      <c r="E147" s="116" t="s">
        <v>2188</v>
      </c>
      <c r="F147" s="116" t="s">
        <v>2064</v>
      </c>
      <c r="G147" s="116" t="s">
        <v>1753</v>
      </c>
      <c r="H147" s="116" t="s">
        <v>1754</v>
      </c>
      <c r="I147" s="130">
        <v>0.5</v>
      </c>
      <c r="J147" s="115" t="s">
        <v>2033</v>
      </c>
      <c r="K147" s="115" t="s">
        <v>2033</v>
      </c>
      <c r="L147" s="131" t="s">
        <v>1988</v>
      </c>
      <c r="M147" s="131" t="s">
        <v>2002</v>
      </c>
      <c r="N147" s="131" t="s">
        <v>2011</v>
      </c>
      <c r="O147" s="129" t="s">
        <v>2020</v>
      </c>
      <c r="P147" s="115" t="s">
        <v>980</v>
      </c>
      <c r="Q147" s="115" t="s">
        <v>1</v>
      </c>
      <c r="R147" s="115"/>
      <c r="S147" s="115" t="s">
        <v>2242</v>
      </c>
      <c r="T147"/>
    </row>
    <row r="148" spans="1:20" ht="22" customHeight="1">
      <c r="A148" s="115" t="s">
        <v>1506</v>
      </c>
      <c r="B148" s="115" t="s">
        <v>3310</v>
      </c>
      <c r="C148" s="129" t="s">
        <v>2030</v>
      </c>
      <c r="D148" s="116" t="s">
        <v>2159</v>
      </c>
      <c r="E148" s="116" t="s">
        <v>2195</v>
      </c>
      <c r="F148" s="116" t="s">
        <v>1568</v>
      </c>
      <c r="G148" s="116" t="s">
        <v>1768</v>
      </c>
      <c r="H148" s="116" t="s">
        <v>1769</v>
      </c>
      <c r="I148" s="130">
        <v>2</v>
      </c>
      <c r="J148" s="115" t="s">
        <v>2033</v>
      </c>
      <c r="K148" s="115" t="s">
        <v>2105</v>
      </c>
      <c r="L148" s="131" t="s">
        <v>1988</v>
      </c>
      <c r="M148" s="131" t="s">
        <v>2023</v>
      </c>
      <c r="N148" s="131" t="s">
        <v>2011</v>
      </c>
      <c r="O148" s="129" t="s">
        <v>2017</v>
      </c>
      <c r="P148" s="115" t="s">
        <v>980</v>
      </c>
      <c r="Q148" s="115" t="s">
        <v>2112</v>
      </c>
      <c r="R148" s="115"/>
      <c r="S148" s="115" t="s">
        <v>2250</v>
      </c>
      <c r="T148"/>
    </row>
    <row r="149" spans="1:20" ht="22" customHeight="1">
      <c r="A149" s="115" t="s">
        <v>1509</v>
      </c>
      <c r="B149" s="115" t="s">
        <v>3310</v>
      </c>
      <c r="C149" s="129" t="s">
        <v>2030</v>
      </c>
      <c r="D149" s="116" t="s">
        <v>2159</v>
      </c>
      <c r="E149" s="116" t="s">
        <v>2195</v>
      </c>
      <c r="F149" s="116" t="s">
        <v>1569</v>
      </c>
      <c r="G149" s="116" t="s">
        <v>1773</v>
      </c>
      <c r="H149" s="116" t="s">
        <v>1774</v>
      </c>
      <c r="I149" s="130">
        <v>5</v>
      </c>
      <c r="J149" s="115" t="s">
        <v>2033</v>
      </c>
      <c r="K149" s="115" t="s">
        <v>2033</v>
      </c>
      <c r="L149" s="131" t="s">
        <v>1988</v>
      </c>
      <c r="M149" s="131" t="s">
        <v>2002</v>
      </c>
      <c r="N149" s="131" t="s">
        <v>2011</v>
      </c>
      <c r="O149" s="129" t="s">
        <v>2020</v>
      </c>
      <c r="P149" s="115" t="s">
        <v>980</v>
      </c>
      <c r="Q149" s="115" t="s">
        <v>2112</v>
      </c>
      <c r="R149" s="115"/>
      <c r="S149" s="115" t="s">
        <v>2250</v>
      </c>
      <c r="T149"/>
    </row>
    <row r="150" spans="1:20" ht="22" customHeight="1">
      <c r="A150" s="115" t="s">
        <v>1527</v>
      </c>
      <c r="B150" s="115" t="s">
        <v>3317</v>
      </c>
      <c r="C150" s="129" t="s">
        <v>2027</v>
      </c>
      <c r="D150" s="116" t="s">
        <v>2159</v>
      </c>
      <c r="E150" s="116" t="s">
        <v>2212</v>
      </c>
      <c r="F150" s="116" t="s">
        <v>1573</v>
      </c>
      <c r="G150" s="116" t="s">
        <v>1788</v>
      </c>
      <c r="H150" s="116" t="s">
        <v>1789</v>
      </c>
      <c r="I150" s="130">
        <v>1</v>
      </c>
      <c r="J150" s="115" t="s">
        <v>2033</v>
      </c>
      <c r="K150" s="115" t="s">
        <v>2033</v>
      </c>
      <c r="L150" s="131" t="s">
        <v>1988</v>
      </c>
      <c r="M150" s="131" t="s">
        <v>2003</v>
      </c>
      <c r="N150" s="131" t="s">
        <v>2011</v>
      </c>
      <c r="O150" s="129" t="s">
        <v>2020</v>
      </c>
      <c r="P150" s="115" t="s">
        <v>980</v>
      </c>
      <c r="Q150" s="115" t="s">
        <v>1</v>
      </c>
      <c r="R150" s="115"/>
      <c r="S150" s="115" t="s">
        <v>2261</v>
      </c>
      <c r="T150"/>
    </row>
    <row r="151" spans="1:20" ht="22" customHeight="1">
      <c r="A151" s="115" t="s">
        <v>1528</v>
      </c>
      <c r="B151" s="115" t="s">
        <v>3317</v>
      </c>
      <c r="C151" s="129" t="s">
        <v>2027</v>
      </c>
      <c r="D151" s="116" t="s">
        <v>2159</v>
      </c>
      <c r="E151" s="116" t="s">
        <v>2212</v>
      </c>
      <c r="F151" s="116" t="s">
        <v>1563</v>
      </c>
      <c r="G151" s="116" t="s">
        <v>1790</v>
      </c>
      <c r="H151" s="116" t="s">
        <v>1791</v>
      </c>
      <c r="I151" s="130">
        <v>2</v>
      </c>
      <c r="J151" s="115" t="s">
        <v>2033</v>
      </c>
      <c r="K151" s="115" t="s">
        <v>2033</v>
      </c>
      <c r="L151" s="131" t="s">
        <v>1988</v>
      </c>
      <c r="M151" s="131" t="s">
        <v>2003</v>
      </c>
      <c r="N151" s="131" t="s">
        <v>2011</v>
      </c>
      <c r="O151" s="129" t="s">
        <v>2020</v>
      </c>
      <c r="P151" s="115" t="s">
        <v>1527</v>
      </c>
      <c r="Q151" s="115" t="s">
        <v>1</v>
      </c>
      <c r="R151" s="115"/>
      <c r="S151" s="115" t="s">
        <v>2261</v>
      </c>
      <c r="T151"/>
    </row>
    <row r="152" spans="1:20" ht="22" customHeight="1">
      <c r="A152" s="115" t="s">
        <v>1529</v>
      </c>
      <c r="B152" s="115" t="s">
        <v>3317</v>
      </c>
      <c r="C152" s="129" t="s">
        <v>2027</v>
      </c>
      <c r="D152" s="116" t="s">
        <v>2159</v>
      </c>
      <c r="E152" s="116" t="s">
        <v>2212</v>
      </c>
      <c r="F152" s="116" t="s">
        <v>1574</v>
      </c>
      <c r="G152" s="116" t="s">
        <v>1792</v>
      </c>
      <c r="H152" s="130" t="s">
        <v>3318</v>
      </c>
      <c r="I152" s="130">
        <v>1</v>
      </c>
      <c r="J152" s="115" t="s">
        <v>2033</v>
      </c>
      <c r="K152" s="115" t="s">
        <v>2033</v>
      </c>
      <c r="L152" s="131" t="s">
        <v>1988</v>
      </c>
      <c r="M152" s="131" t="s">
        <v>2438</v>
      </c>
      <c r="N152" s="131" t="s">
        <v>2011</v>
      </c>
      <c r="O152" s="129" t="s">
        <v>2018</v>
      </c>
      <c r="P152" s="115"/>
      <c r="Q152" s="115" t="s">
        <v>1</v>
      </c>
      <c r="R152" s="115"/>
      <c r="S152" s="115" t="s">
        <v>2261</v>
      </c>
      <c r="T152"/>
    </row>
    <row r="153" spans="1:20" ht="22" customHeight="1">
      <c r="A153" s="115" t="s">
        <v>1530</v>
      </c>
      <c r="B153" s="115" t="s">
        <v>3317</v>
      </c>
      <c r="C153" s="129" t="s">
        <v>2027</v>
      </c>
      <c r="D153" s="116" t="s">
        <v>2159</v>
      </c>
      <c r="E153" s="116" t="s">
        <v>2212</v>
      </c>
      <c r="F153" s="116" t="s">
        <v>1564</v>
      </c>
      <c r="G153" s="116" t="s">
        <v>1794</v>
      </c>
      <c r="H153" s="130" t="s">
        <v>3319</v>
      </c>
      <c r="I153" s="130">
        <v>2</v>
      </c>
      <c r="J153" s="115" t="s">
        <v>2033</v>
      </c>
      <c r="K153" s="115" t="s">
        <v>2033</v>
      </c>
      <c r="L153" s="131" t="s">
        <v>1988</v>
      </c>
      <c r="M153" s="131" t="s">
        <v>2438</v>
      </c>
      <c r="N153" s="131" t="s">
        <v>2011</v>
      </c>
      <c r="O153" s="129" t="s">
        <v>2018</v>
      </c>
      <c r="P153" s="115"/>
      <c r="Q153" s="115" t="s">
        <v>1</v>
      </c>
      <c r="R153" s="115"/>
      <c r="S153" s="115" t="s">
        <v>2261</v>
      </c>
      <c r="T153"/>
    </row>
    <row r="154" spans="1:20" ht="22" customHeight="1">
      <c r="A154" s="115" t="s">
        <v>1531</v>
      </c>
      <c r="B154" s="115" t="s">
        <v>3317</v>
      </c>
      <c r="C154" s="129" t="s">
        <v>2027</v>
      </c>
      <c r="D154" s="116" t="s">
        <v>2159</v>
      </c>
      <c r="E154" s="116" t="s">
        <v>2212</v>
      </c>
      <c r="F154" s="116" t="s">
        <v>2340</v>
      </c>
      <c r="G154" s="116" t="s">
        <v>2346</v>
      </c>
      <c r="H154" s="130" t="s">
        <v>3320</v>
      </c>
      <c r="I154" s="130">
        <v>1</v>
      </c>
      <c r="J154" s="115" t="s">
        <v>2033</v>
      </c>
      <c r="K154" s="115" t="s">
        <v>2033</v>
      </c>
      <c r="L154" s="131" t="s">
        <v>1988</v>
      </c>
      <c r="M154" s="131" t="s">
        <v>2438</v>
      </c>
      <c r="N154" s="131" t="s">
        <v>2011</v>
      </c>
      <c r="O154" s="129" t="s">
        <v>2018</v>
      </c>
      <c r="P154" s="115"/>
      <c r="Q154" s="115" t="s">
        <v>1</v>
      </c>
      <c r="R154" s="115"/>
      <c r="S154" s="115" t="s">
        <v>2261</v>
      </c>
      <c r="T154"/>
    </row>
    <row r="155" spans="1:20" ht="22" customHeight="1">
      <c r="A155" s="115" t="s">
        <v>1532</v>
      </c>
      <c r="B155" s="115" t="s">
        <v>3317</v>
      </c>
      <c r="C155" s="129" t="s">
        <v>2027</v>
      </c>
      <c r="D155" s="116" t="s">
        <v>2159</v>
      </c>
      <c r="E155" s="116" t="s">
        <v>2212</v>
      </c>
      <c r="F155" s="116" t="s">
        <v>2341</v>
      </c>
      <c r="G155" s="116" t="s">
        <v>2347</v>
      </c>
      <c r="H155" s="130" t="s">
        <v>3321</v>
      </c>
      <c r="I155" s="130">
        <v>2</v>
      </c>
      <c r="J155" s="115" t="s">
        <v>2033</v>
      </c>
      <c r="K155" s="115" t="s">
        <v>2033</v>
      </c>
      <c r="L155" s="131" t="s">
        <v>1988</v>
      </c>
      <c r="M155" s="131" t="s">
        <v>2438</v>
      </c>
      <c r="N155" s="131" t="s">
        <v>2011</v>
      </c>
      <c r="O155" s="129" t="s">
        <v>2018</v>
      </c>
      <c r="P155" s="115"/>
      <c r="Q155" s="115" t="s">
        <v>1</v>
      </c>
      <c r="R155" s="115"/>
      <c r="S155" s="115" t="s">
        <v>2261</v>
      </c>
      <c r="T155"/>
    </row>
    <row r="156" spans="1:20" ht="22" customHeight="1">
      <c r="A156" s="115" t="s">
        <v>2434</v>
      </c>
      <c r="B156" s="115" t="s">
        <v>3317</v>
      </c>
      <c r="C156" s="129" t="s">
        <v>2027</v>
      </c>
      <c r="D156" s="116" t="s">
        <v>2159</v>
      </c>
      <c r="E156" s="116" t="s">
        <v>2212</v>
      </c>
      <c r="F156" s="116" t="s">
        <v>2342</v>
      </c>
      <c r="G156" s="116" t="s">
        <v>2348</v>
      </c>
      <c r="H156" s="130" t="s">
        <v>3322</v>
      </c>
      <c r="I156" s="130">
        <v>1</v>
      </c>
      <c r="J156" s="115" t="s">
        <v>2033</v>
      </c>
      <c r="K156" s="115" t="s">
        <v>2033</v>
      </c>
      <c r="L156" s="131" t="s">
        <v>1988</v>
      </c>
      <c r="M156" s="131" t="s">
        <v>2438</v>
      </c>
      <c r="N156" s="131" t="s">
        <v>2011</v>
      </c>
      <c r="O156" s="129" t="s">
        <v>2018</v>
      </c>
      <c r="P156" s="115"/>
      <c r="Q156" s="115" t="s">
        <v>1</v>
      </c>
      <c r="R156" s="115"/>
      <c r="S156" s="115" t="s">
        <v>2261</v>
      </c>
      <c r="T156"/>
    </row>
    <row r="157" spans="1:20" ht="22" customHeight="1">
      <c r="A157" s="115" t="s">
        <v>2435</v>
      </c>
      <c r="B157" s="115" t="s">
        <v>3317</v>
      </c>
      <c r="C157" s="129" t="s">
        <v>2027</v>
      </c>
      <c r="D157" s="116" t="s">
        <v>2159</v>
      </c>
      <c r="E157" s="116" t="s">
        <v>2212</v>
      </c>
      <c r="F157" s="116" t="s">
        <v>2345</v>
      </c>
      <c r="G157" s="116" t="s">
        <v>2349</v>
      </c>
      <c r="H157" s="130" t="s">
        <v>3323</v>
      </c>
      <c r="I157" s="130">
        <v>2</v>
      </c>
      <c r="J157" s="115" t="s">
        <v>2033</v>
      </c>
      <c r="K157" s="115" t="s">
        <v>2033</v>
      </c>
      <c r="L157" s="131" t="s">
        <v>1988</v>
      </c>
      <c r="M157" s="131" t="s">
        <v>2438</v>
      </c>
      <c r="N157" s="131" t="s">
        <v>2011</v>
      </c>
      <c r="O157" s="129" t="s">
        <v>2018</v>
      </c>
      <c r="P157" s="115"/>
      <c r="Q157" s="115" t="s">
        <v>1</v>
      </c>
      <c r="R157" s="115"/>
      <c r="S157" s="115" t="s">
        <v>2261</v>
      </c>
      <c r="T157"/>
    </row>
    <row r="158" spans="1:20" ht="22" customHeight="1">
      <c r="A158" s="115" t="s">
        <v>2436</v>
      </c>
      <c r="B158" s="115" t="s">
        <v>3317</v>
      </c>
      <c r="C158" s="129" t="s">
        <v>2027</v>
      </c>
      <c r="D158" s="116" t="s">
        <v>2159</v>
      </c>
      <c r="E158" s="116" t="s">
        <v>2212</v>
      </c>
      <c r="F158" s="116" t="s">
        <v>2344</v>
      </c>
      <c r="G158" s="116" t="s">
        <v>2350</v>
      </c>
      <c r="H158" s="116" t="s">
        <v>1793</v>
      </c>
      <c r="I158" s="130">
        <v>1</v>
      </c>
      <c r="J158" s="115" t="s">
        <v>2033</v>
      </c>
      <c r="K158" s="115" t="s">
        <v>2033</v>
      </c>
      <c r="L158" s="131" t="s">
        <v>1988</v>
      </c>
      <c r="M158" s="131" t="s">
        <v>2003</v>
      </c>
      <c r="N158" s="131" t="s">
        <v>2011</v>
      </c>
      <c r="O158" s="129" t="s">
        <v>2020</v>
      </c>
      <c r="P158" s="115" t="s">
        <v>1528</v>
      </c>
      <c r="Q158" s="115" t="s">
        <v>1</v>
      </c>
      <c r="R158" s="115"/>
      <c r="S158" s="115" t="s">
        <v>2261</v>
      </c>
      <c r="T158"/>
    </row>
    <row r="159" spans="1:20" ht="22" customHeight="1">
      <c r="A159" s="115" t="s">
        <v>2437</v>
      </c>
      <c r="B159" s="115" t="s">
        <v>3317</v>
      </c>
      <c r="C159" s="129" t="s">
        <v>2027</v>
      </c>
      <c r="D159" s="116" t="s">
        <v>2159</v>
      </c>
      <c r="E159" s="116" t="s">
        <v>2212</v>
      </c>
      <c r="F159" s="116" t="s">
        <v>2343</v>
      </c>
      <c r="G159" s="116" t="s">
        <v>2351</v>
      </c>
      <c r="H159" s="116" t="s">
        <v>1795</v>
      </c>
      <c r="I159" s="130">
        <v>2</v>
      </c>
      <c r="J159" s="115" t="s">
        <v>2033</v>
      </c>
      <c r="K159" s="115" t="s">
        <v>2033</v>
      </c>
      <c r="L159" s="131" t="s">
        <v>1988</v>
      </c>
      <c r="M159" s="131" t="s">
        <v>2003</v>
      </c>
      <c r="N159" s="131" t="s">
        <v>2011</v>
      </c>
      <c r="O159" s="129" t="s">
        <v>2020</v>
      </c>
      <c r="P159" s="115" t="s">
        <v>1529</v>
      </c>
      <c r="Q159" s="115" t="s">
        <v>1</v>
      </c>
      <c r="R159" s="115"/>
      <c r="S159" s="115" t="s">
        <v>2261</v>
      </c>
      <c r="T159"/>
    </row>
    <row r="160" spans="1:20" ht="22" customHeight="1">
      <c r="A160" s="115" t="s">
        <v>1541</v>
      </c>
      <c r="B160" s="115" t="s">
        <v>3316</v>
      </c>
      <c r="C160" s="129" t="s">
        <v>2029</v>
      </c>
      <c r="D160" s="116" t="s">
        <v>2160</v>
      </c>
      <c r="E160" s="116" t="s">
        <v>2216</v>
      </c>
      <c r="F160" s="116" t="s">
        <v>1907</v>
      </c>
      <c r="G160" s="116" t="s">
        <v>1721</v>
      </c>
      <c r="H160" s="116" t="s">
        <v>1722</v>
      </c>
      <c r="I160" s="130">
        <v>1</v>
      </c>
      <c r="J160" s="115" t="s">
        <v>2033</v>
      </c>
      <c r="K160" s="115" t="s">
        <v>2033</v>
      </c>
      <c r="L160" s="131" t="s">
        <v>1986</v>
      </c>
      <c r="M160" s="131" t="s">
        <v>1992</v>
      </c>
      <c r="N160" s="131" t="s">
        <v>2011</v>
      </c>
      <c r="O160" s="129" t="s">
        <v>2019</v>
      </c>
      <c r="P160" s="115" t="s">
        <v>980</v>
      </c>
      <c r="Q160" s="115" t="s">
        <v>1</v>
      </c>
      <c r="R160" s="115"/>
      <c r="S160" s="115" t="s">
        <v>2265</v>
      </c>
      <c r="T160"/>
    </row>
    <row r="161" spans="1:20" ht="22" customHeight="1">
      <c r="A161" s="115" t="s">
        <v>1539</v>
      </c>
      <c r="B161" s="115" t="s">
        <v>3316</v>
      </c>
      <c r="C161" s="129" t="s">
        <v>2027</v>
      </c>
      <c r="D161" s="116" t="s">
        <v>2160</v>
      </c>
      <c r="E161" s="116" t="s">
        <v>2214</v>
      </c>
      <c r="F161" s="116" t="s">
        <v>1906</v>
      </c>
      <c r="G161" s="116" t="s">
        <v>1805</v>
      </c>
      <c r="H161" s="116" t="s">
        <v>1806</v>
      </c>
      <c r="I161" s="130">
        <v>2</v>
      </c>
      <c r="J161" s="115" t="s">
        <v>2033</v>
      </c>
      <c r="K161" s="115" t="s">
        <v>2033</v>
      </c>
      <c r="L161" s="131" t="s">
        <v>1986</v>
      </c>
      <c r="M161" s="131" t="s">
        <v>1992</v>
      </c>
      <c r="N161" s="131" t="s">
        <v>2011</v>
      </c>
      <c r="O161" s="129" t="s">
        <v>2019</v>
      </c>
      <c r="P161" s="115" t="s">
        <v>980</v>
      </c>
      <c r="Q161" s="115" t="s">
        <v>1</v>
      </c>
      <c r="R161" s="115"/>
      <c r="S161" s="115" t="s">
        <v>2263</v>
      </c>
      <c r="T161"/>
    </row>
    <row r="162" spans="1:20" ht="22" customHeight="1">
      <c r="A162" s="115" t="s">
        <v>1543</v>
      </c>
      <c r="B162" s="115" t="s">
        <v>3316</v>
      </c>
      <c r="C162" s="129" t="s">
        <v>2029</v>
      </c>
      <c r="D162" s="116" t="s">
        <v>2160</v>
      </c>
      <c r="E162" s="116" t="s">
        <v>2214</v>
      </c>
      <c r="F162" s="116" t="s">
        <v>1577</v>
      </c>
      <c r="G162" s="116" t="s">
        <v>1809</v>
      </c>
      <c r="H162" s="116" t="s">
        <v>1810</v>
      </c>
      <c r="I162" s="130">
        <v>1</v>
      </c>
      <c r="J162" s="115" t="s">
        <v>2033</v>
      </c>
      <c r="K162" s="115" t="s">
        <v>2033</v>
      </c>
      <c r="L162" s="131" t="s">
        <v>2352</v>
      </c>
      <c r="M162" s="131" t="s">
        <v>1992</v>
      </c>
      <c r="N162" s="131" t="s">
        <v>2011</v>
      </c>
      <c r="O162" s="129" t="s">
        <v>2019</v>
      </c>
      <c r="P162" s="115" t="s">
        <v>980</v>
      </c>
      <c r="Q162" s="115" t="s">
        <v>1</v>
      </c>
      <c r="R162" s="115"/>
      <c r="S162" s="115" t="s">
        <v>2263</v>
      </c>
      <c r="T162"/>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1972</v>
      </c>
      <c r="B1" s="123"/>
      <c r="C1" s="123"/>
      <c r="D1" s="122"/>
      <c r="E1" s="123"/>
      <c r="F1" s="123"/>
      <c r="G1" s="123"/>
      <c r="H1" s="123"/>
      <c r="I1" s="123"/>
    </row>
    <row r="2" spans="1:9">
      <c r="A2" s="114" t="s">
        <v>1566</v>
      </c>
      <c r="B2" s="123"/>
      <c r="C2" s="123"/>
      <c r="D2" s="122"/>
      <c r="E2" s="123"/>
      <c r="F2" s="123"/>
      <c r="G2" s="123"/>
      <c r="H2" s="123"/>
      <c r="I2" s="123"/>
    </row>
    <row r="3" spans="1:9">
      <c r="A3" s="120" t="s">
        <v>1973</v>
      </c>
      <c r="B3" s="123"/>
      <c r="C3" s="123"/>
      <c r="D3" s="122"/>
      <c r="E3" s="123"/>
      <c r="F3" s="123"/>
      <c r="G3" s="123"/>
      <c r="H3" s="123"/>
      <c r="I3" s="123"/>
    </row>
    <row r="4" spans="1:9">
      <c r="A4" s="113" t="s">
        <v>2043</v>
      </c>
      <c r="B4" s="123"/>
      <c r="C4" s="123"/>
      <c r="D4" s="122"/>
      <c r="E4" s="123"/>
      <c r="F4" s="123"/>
      <c r="G4" s="123"/>
      <c r="H4" s="123"/>
      <c r="I4" s="123"/>
    </row>
    <row r="5" spans="1:9" ht="26" customHeight="1">
      <c r="A5" s="134" t="s">
        <v>1399</v>
      </c>
      <c r="B5" s="134" t="s">
        <v>1957</v>
      </c>
      <c r="C5" s="134" t="s">
        <v>1908</v>
      </c>
      <c r="D5" s="134" t="s">
        <v>1822</v>
      </c>
      <c r="E5" s="134" t="s">
        <v>1958</v>
      </c>
      <c r="F5" s="134" t="s">
        <v>1959</v>
      </c>
      <c r="G5" s="134" t="s">
        <v>2890</v>
      </c>
      <c r="H5" s="134" t="s">
        <v>2891</v>
      </c>
      <c r="I5" s="134" t="s">
        <v>1960</v>
      </c>
    </row>
    <row r="6" spans="1:9" ht="19" customHeight="1">
      <c r="A6" s="115" t="s">
        <v>2746</v>
      </c>
      <c r="B6" s="115" t="s">
        <v>2445</v>
      </c>
      <c r="C6" s="115" t="s">
        <v>2117</v>
      </c>
      <c r="D6" s="116" t="s">
        <v>3463</v>
      </c>
      <c r="E6" s="116" t="s">
        <v>2446</v>
      </c>
      <c r="F6" s="116" t="s">
        <v>2447</v>
      </c>
      <c r="G6" s="135">
        <v>3</v>
      </c>
      <c r="H6" s="117"/>
      <c r="I6" s="116"/>
    </row>
    <row r="7" spans="1:9" ht="19" customHeight="1">
      <c r="A7" s="115" t="s">
        <v>2747</v>
      </c>
      <c r="B7" s="115" t="s">
        <v>1974</v>
      </c>
      <c r="C7" s="115" t="s">
        <v>2117</v>
      </c>
      <c r="D7" s="116" t="s">
        <v>3463</v>
      </c>
      <c r="E7" s="116" t="s">
        <v>2448</v>
      </c>
      <c r="F7" s="116" t="s">
        <v>2449</v>
      </c>
      <c r="G7" s="135">
        <v>1</v>
      </c>
      <c r="H7" s="117"/>
      <c r="I7" s="116"/>
    </row>
    <row r="8" spans="1:9" ht="19" customHeight="1">
      <c r="A8" s="115" t="s">
        <v>2748</v>
      </c>
      <c r="B8" s="115" t="s">
        <v>2451</v>
      </c>
      <c r="C8" s="115" t="s">
        <v>2117</v>
      </c>
      <c r="D8" s="116" t="s">
        <v>3463</v>
      </c>
      <c r="E8" s="116" t="s">
        <v>2452</v>
      </c>
      <c r="F8" s="116" t="s">
        <v>2453</v>
      </c>
      <c r="G8" s="135"/>
      <c r="H8" s="117">
        <v>5</v>
      </c>
      <c r="I8" s="116"/>
    </row>
    <row r="9" spans="1:9" ht="19" customHeight="1">
      <c r="A9" s="115" t="s">
        <v>2749</v>
      </c>
      <c r="B9" s="115" t="s">
        <v>2454</v>
      </c>
      <c r="C9" s="115" t="s">
        <v>2117</v>
      </c>
      <c r="D9" s="116" t="s">
        <v>3463</v>
      </c>
      <c r="E9" s="116" t="s">
        <v>2455</v>
      </c>
      <c r="F9" s="116" t="s">
        <v>2456</v>
      </c>
      <c r="G9" s="135"/>
      <c r="H9" s="117">
        <v>2</v>
      </c>
      <c r="I9" s="116"/>
    </row>
    <row r="10" spans="1:9" ht="19" customHeight="1">
      <c r="A10" s="115" t="s">
        <v>2750</v>
      </c>
      <c r="B10" s="115" t="s">
        <v>2451</v>
      </c>
      <c r="C10" s="115" t="s">
        <v>2117</v>
      </c>
      <c r="D10" s="116" t="s">
        <v>1827</v>
      </c>
      <c r="E10" s="116" t="s">
        <v>2457</v>
      </c>
      <c r="F10" s="116" t="s">
        <v>2458</v>
      </c>
      <c r="G10" s="135"/>
      <c r="H10" s="117">
        <v>1.5</v>
      </c>
      <c r="I10" s="116"/>
    </row>
    <row r="11" spans="1:9" ht="19" customHeight="1">
      <c r="A11" s="115" t="s">
        <v>2751</v>
      </c>
      <c r="B11" s="115" t="s">
        <v>3595</v>
      </c>
      <c r="C11" s="115" t="s">
        <v>2117</v>
      </c>
      <c r="D11" s="116" t="s">
        <v>3464</v>
      </c>
      <c r="E11" s="116" t="s">
        <v>3596</v>
      </c>
      <c r="F11" s="116" t="s">
        <v>2459</v>
      </c>
      <c r="G11" s="135"/>
      <c r="H11" s="117">
        <v>1.5</v>
      </c>
      <c r="I11" s="116"/>
    </row>
    <row r="12" spans="1:9" ht="19" customHeight="1">
      <c r="A12" s="115" t="s">
        <v>2752</v>
      </c>
      <c r="B12" s="115" t="s">
        <v>1961</v>
      </c>
      <c r="C12" s="115" t="s">
        <v>2118</v>
      </c>
      <c r="D12" s="116" t="s">
        <v>3465</v>
      </c>
      <c r="E12" s="116" t="s">
        <v>2460</v>
      </c>
      <c r="F12" s="116" t="s">
        <v>3597</v>
      </c>
      <c r="G12" s="135">
        <v>4</v>
      </c>
      <c r="H12" s="117"/>
      <c r="I12" s="116" t="s">
        <v>2461</v>
      </c>
    </row>
    <row r="13" spans="1:9" ht="19" customHeight="1">
      <c r="A13" s="115" t="s">
        <v>2753</v>
      </c>
      <c r="B13" s="115" t="s">
        <v>2462</v>
      </c>
      <c r="C13" s="115" t="s">
        <v>2118</v>
      </c>
      <c r="D13" s="116" t="s">
        <v>3465</v>
      </c>
      <c r="E13" s="116" t="s">
        <v>2463</v>
      </c>
      <c r="F13" s="116" t="s">
        <v>2464</v>
      </c>
      <c r="G13" s="135">
        <v>3</v>
      </c>
      <c r="H13" s="117"/>
      <c r="I13" s="116"/>
    </row>
    <row r="14" spans="1:9" ht="19" customHeight="1">
      <c r="A14" s="115" t="s">
        <v>2754</v>
      </c>
      <c r="B14" s="115" t="s">
        <v>1974</v>
      </c>
      <c r="C14" s="115" t="s">
        <v>2118</v>
      </c>
      <c r="D14" s="116" t="s">
        <v>3465</v>
      </c>
      <c r="E14" s="116" t="s">
        <v>2465</v>
      </c>
      <c r="F14" s="116" t="s">
        <v>2466</v>
      </c>
      <c r="G14" s="135">
        <v>2</v>
      </c>
      <c r="H14" s="117"/>
      <c r="I14" s="116"/>
    </row>
    <row r="15" spans="1:9" ht="19" customHeight="1">
      <c r="A15" s="115" t="s">
        <v>2755</v>
      </c>
      <c r="B15" s="115" t="s">
        <v>3595</v>
      </c>
      <c r="C15" s="115" t="s">
        <v>2118</v>
      </c>
      <c r="D15" s="116" t="s">
        <v>3465</v>
      </c>
      <c r="E15" s="116" t="s">
        <v>3598</v>
      </c>
      <c r="F15" s="116" t="s">
        <v>3599</v>
      </c>
      <c r="G15" s="135"/>
      <c r="H15" s="117">
        <v>5</v>
      </c>
      <c r="I15" s="116" t="s">
        <v>2467</v>
      </c>
    </row>
    <row r="16" spans="1:9" ht="19" customHeight="1">
      <c r="A16" s="115" t="s">
        <v>2756</v>
      </c>
      <c r="B16" s="115" t="s">
        <v>3595</v>
      </c>
      <c r="C16" s="115" t="s">
        <v>2118</v>
      </c>
      <c r="D16" s="116" t="s">
        <v>3465</v>
      </c>
      <c r="E16" s="116" t="s">
        <v>2468</v>
      </c>
      <c r="F16" s="116" t="s">
        <v>2469</v>
      </c>
      <c r="G16" s="135"/>
      <c r="H16" s="117">
        <v>4</v>
      </c>
      <c r="I16" s="116"/>
    </row>
    <row r="17" spans="1:9" ht="19" customHeight="1">
      <c r="A17" s="115" t="s">
        <v>2757</v>
      </c>
      <c r="B17" s="115" t="s">
        <v>2454</v>
      </c>
      <c r="C17" s="115" t="s">
        <v>2118</v>
      </c>
      <c r="D17" s="116" t="s">
        <v>3465</v>
      </c>
      <c r="E17" s="116" t="s">
        <v>2470</v>
      </c>
      <c r="F17" s="116" t="s">
        <v>2456</v>
      </c>
      <c r="G17" s="135"/>
      <c r="H17" s="117">
        <v>3</v>
      </c>
      <c r="I17" s="116"/>
    </row>
    <row r="18" spans="1:9" ht="19" customHeight="1">
      <c r="A18" s="115" t="s">
        <v>2758</v>
      </c>
      <c r="B18" s="115" t="s">
        <v>1961</v>
      </c>
      <c r="C18" s="115" t="s">
        <v>2118</v>
      </c>
      <c r="D18" s="116" t="s">
        <v>3466</v>
      </c>
      <c r="E18" s="116" t="s">
        <v>2471</v>
      </c>
      <c r="F18" s="116" t="s">
        <v>3600</v>
      </c>
      <c r="G18" s="135">
        <v>3</v>
      </c>
      <c r="H18" s="117"/>
      <c r="I18" s="116"/>
    </row>
    <row r="19" spans="1:9" ht="19" customHeight="1">
      <c r="A19" s="115" t="s">
        <v>2759</v>
      </c>
      <c r="B19" s="115" t="s">
        <v>2462</v>
      </c>
      <c r="C19" s="115" t="s">
        <v>2118</v>
      </c>
      <c r="D19" s="116" t="s">
        <v>3466</v>
      </c>
      <c r="E19" s="116" t="s">
        <v>2472</v>
      </c>
      <c r="F19" s="116" t="s">
        <v>2473</v>
      </c>
      <c r="G19" s="135">
        <v>3</v>
      </c>
      <c r="H19" s="117"/>
      <c r="I19" s="116"/>
    </row>
    <row r="20" spans="1:9" ht="19" customHeight="1">
      <c r="A20" s="115" t="s">
        <v>2760</v>
      </c>
      <c r="B20" s="115" t="s">
        <v>1974</v>
      </c>
      <c r="C20" s="115" t="s">
        <v>2118</v>
      </c>
      <c r="D20" s="116" t="s">
        <v>3466</v>
      </c>
      <c r="E20" s="116" t="s">
        <v>2474</v>
      </c>
      <c r="F20" s="116" t="s">
        <v>2475</v>
      </c>
      <c r="G20" s="135">
        <v>1.5</v>
      </c>
      <c r="H20" s="117"/>
      <c r="I20" s="116"/>
    </row>
    <row r="21" spans="1:9" ht="19" customHeight="1">
      <c r="A21" s="115" t="s">
        <v>2761</v>
      </c>
      <c r="B21" s="115" t="s">
        <v>3595</v>
      </c>
      <c r="C21" s="115" t="s">
        <v>2118</v>
      </c>
      <c r="D21" s="116" t="s">
        <v>3466</v>
      </c>
      <c r="E21" s="116" t="s">
        <v>3601</v>
      </c>
      <c r="F21" s="116" t="s">
        <v>3602</v>
      </c>
      <c r="G21" s="135"/>
      <c r="H21" s="117">
        <v>4</v>
      </c>
      <c r="I21" s="116"/>
    </row>
    <row r="22" spans="1:9" ht="19" customHeight="1">
      <c r="A22" s="115" t="s">
        <v>2762</v>
      </c>
      <c r="B22" s="115" t="s">
        <v>2454</v>
      </c>
      <c r="C22" s="115" t="s">
        <v>2118</v>
      </c>
      <c r="D22" s="116" t="s">
        <v>3466</v>
      </c>
      <c r="E22" s="116" t="s">
        <v>2476</v>
      </c>
      <c r="F22" s="116" t="s">
        <v>2456</v>
      </c>
      <c r="G22" s="135"/>
      <c r="H22" s="117">
        <v>2</v>
      </c>
      <c r="I22" s="116"/>
    </row>
    <row r="23" spans="1:9" ht="19" customHeight="1">
      <c r="A23" s="115" t="s">
        <v>2763</v>
      </c>
      <c r="B23" s="115" t="s">
        <v>1961</v>
      </c>
      <c r="C23" s="115" t="s">
        <v>2118</v>
      </c>
      <c r="D23" s="116" t="s">
        <v>2198</v>
      </c>
      <c r="E23" s="116" t="s">
        <v>2477</v>
      </c>
      <c r="F23" s="116" t="s">
        <v>2478</v>
      </c>
      <c r="G23" s="135">
        <v>3</v>
      </c>
      <c r="H23" s="117"/>
      <c r="I23" s="116"/>
    </row>
    <row r="24" spans="1:9" ht="19" customHeight="1">
      <c r="A24" s="115" t="s">
        <v>2764</v>
      </c>
      <c r="B24" s="115" t="s">
        <v>1974</v>
      </c>
      <c r="C24" s="115" t="s">
        <v>2118</v>
      </c>
      <c r="D24" s="116" t="s">
        <v>2198</v>
      </c>
      <c r="E24" s="116" t="s">
        <v>2479</v>
      </c>
      <c r="F24" s="116" t="s">
        <v>2480</v>
      </c>
      <c r="G24" s="135">
        <v>1</v>
      </c>
      <c r="H24" s="117"/>
      <c r="I24" s="116"/>
    </row>
    <row r="25" spans="1:9" ht="19" customHeight="1">
      <c r="A25" s="115" t="s">
        <v>2765</v>
      </c>
      <c r="B25" s="115" t="s">
        <v>3595</v>
      </c>
      <c r="C25" s="115" t="s">
        <v>2118</v>
      </c>
      <c r="D25" s="116" t="s">
        <v>2198</v>
      </c>
      <c r="E25" s="116" t="s">
        <v>2481</v>
      </c>
      <c r="F25" s="116" t="s">
        <v>3603</v>
      </c>
      <c r="G25" s="135"/>
      <c r="H25" s="117">
        <v>3</v>
      </c>
      <c r="I25" s="116"/>
    </row>
    <row r="26" spans="1:9" ht="19" customHeight="1">
      <c r="A26" s="115" t="s">
        <v>2766</v>
      </c>
      <c r="B26" s="115" t="s">
        <v>2454</v>
      </c>
      <c r="C26" s="115" t="s">
        <v>2118</v>
      </c>
      <c r="D26" s="116" t="s">
        <v>2198</v>
      </c>
      <c r="E26" s="116" t="s">
        <v>2482</v>
      </c>
      <c r="F26" s="116" t="s">
        <v>2456</v>
      </c>
      <c r="G26" s="135"/>
      <c r="H26" s="117">
        <v>2</v>
      </c>
      <c r="I26" s="116"/>
    </row>
    <row r="27" spans="1:9" ht="19" customHeight="1">
      <c r="A27" s="115" t="s">
        <v>2767</v>
      </c>
      <c r="B27" s="115" t="s">
        <v>1961</v>
      </c>
      <c r="C27" s="115" t="s">
        <v>2118</v>
      </c>
      <c r="D27" s="116" t="s">
        <v>1837</v>
      </c>
      <c r="E27" s="116" t="s">
        <v>2483</v>
      </c>
      <c r="F27" s="116" t="s">
        <v>2484</v>
      </c>
      <c r="G27" s="135">
        <v>1.5</v>
      </c>
      <c r="H27" s="117"/>
      <c r="I27" s="116"/>
    </row>
    <row r="28" spans="1:9" ht="19" customHeight="1">
      <c r="A28" s="115" t="s">
        <v>2768</v>
      </c>
      <c r="B28" s="115" t="s">
        <v>3595</v>
      </c>
      <c r="C28" s="115" t="s">
        <v>2118</v>
      </c>
      <c r="D28" s="116" t="s">
        <v>1837</v>
      </c>
      <c r="E28" s="116" t="s">
        <v>2485</v>
      </c>
      <c r="F28" s="116" t="s">
        <v>2486</v>
      </c>
      <c r="G28" s="135"/>
      <c r="H28" s="117">
        <v>2</v>
      </c>
      <c r="I28" s="116"/>
    </row>
    <row r="29" spans="1:9" ht="19" customHeight="1">
      <c r="A29" s="115" t="s">
        <v>2769</v>
      </c>
      <c r="B29" s="115" t="s">
        <v>2487</v>
      </c>
      <c r="C29" s="115" t="s">
        <v>2119</v>
      </c>
      <c r="D29" s="116" t="s">
        <v>2175</v>
      </c>
      <c r="E29" s="116" t="s">
        <v>2488</v>
      </c>
      <c r="F29" s="116" t="s">
        <v>2489</v>
      </c>
      <c r="G29" s="135">
        <v>2</v>
      </c>
      <c r="H29" s="117"/>
      <c r="I29" s="116" t="s">
        <v>2490</v>
      </c>
    </row>
    <row r="30" spans="1:9" ht="19" customHeight="1">
      <c r="A30" s="115" t="s">
        <v>2770</v>
      </c>
      <c r="B30" s="115" t="s">
        <v>2491</v>
      </c>
      <c r="C30" s="115" t="s">
        <v>2119</v>
      </c>
      <c r="D30" s="116" t="s">
        <v>2175</v>
      </c>
      <c r="E30" s="116" t="s">
        <v>3604</v>
      </c>
      <c r="F30" s="116" t="s">
        <v>3605</v>
      </c>
      <c r="G30" s="135"/>
      <c r="H30" s="117">
        <v>6</v>
      </c>
      <c r="I30" s="116" t="s">
        <v>2492</v>
      </c>
    </row>
    <row r="31" spans="1:9" ht="19" customHeight="1">
      <c r="A31" s="115" t="s">
        <v>2771</v>
      </c>
      <c r="B31" s="115" t="s">
        <v>2493</v>
      </c>
      <c r="C31" s="115" t="s">
        <v>2119</v>
      </c>
      <c r="D31" s="116" t="s">
        <v>2175</v>
      </c>
      <c r="E31" s="116" t="s">
        <v>2494</v>
      </c>
      <c r="F31" s="116" t="s">
        <v>2495</v>
      </c>
      <c r="G31" s="135"/>
      <c r="H31" s="117">
        <v>2</v>
      </c>
      <c r="I31" s="116"/>
    </row>
    <row r="32" spans="1:9" ht="19" customHeight="1">
      <c r="A32" s="115" t="s">
        <v>2789</v>
      </c>
      <c r="B32" s="115" t="s">
        <v>1961</v>
      </c>
      <c r="C32" s="115" t="s">
        <v>1910</v>
      </c>
      <c r="D32" s="116" t="s">
        <v>3467</v>
      </c>
      <c r="E32" s="116" t="s">
        <v>2933</v>
      </c>
      <c r="F32" s="116" t="s">
        <v>2934</v>
      </c>
      <c r="G32" s="135">
        <v>1.5</v>
      </c>
      <c r="H32" s="117"/>
      <c r="I32" s="116"/>
    </row>
    <row r="33" spans="1:9" ht="19" customHeight="1">
      <c r="A33" s="115" t="s">
        <v>2774</v>
      </c>
      <c r="B33" s="115" t="s">
        <v>3595</v>
      </c>
      <c r="C33" s="115" t="s">
        <v>1910</v>
      </c>
      <c r="D33" s="116" t="s">
        <v>3467</v>
      </c>
      <c r="E33" s="116" t="s">
        <v>2936</v>
      </c>
      <c r="F33" s="116" t="s">
        <v>2937</v>
      </c>
      <c r="G33" s="135"/>
      <c r="H33" s="117">
        <v>2</v>
      </c>
      <c r="I33" s="116"/>
    </row>
    <row r="34" spans="1:9" ht="19" customHeight="1">
      <c r="A34" s="115" t="s">
        <v>2775</v>
      </c>
      <c r="B34" s="115" t="s">
        <v>2454</v>
      </c>
      <c r="C34" s="115" t="s">
        <v>1910</v>
      </c>
      <c r="D34" s="116" t="s">
        <v>3467</v>
      </c>
      <c r="E34" s="116" t="s">
        <v>2938</v>
      </c>
      <c r="F34" s="116" t="s">
        <v>2939</v>
      </c>
      <c r="G34" s="135"/>
      <c r="H34" s="117">
        <v>1</v>
      </c>
      <c r="I34" s="116"/>
    </row>
    <row r="35" spans="1:9" ht="19" customHeight="1">
      <c r="A35" s="115" t="s">
        <v>2772</v>
      </c>
      <c r="B35" s="115" t="s">
        <v>1975</v>
      </c>
      <c r="C35" s="115" t="s">
        <v>2122</v>
      </c>
      <c r="D35" s="116" t="s">
        <v>2197</v>
      </c>
      <c r="E35" s="116" t="s">
        <v>2496</v>
      </c>
      <c r="F35" s="116" t="s">
        <v>2497</v>
      </c>
      <c r="G35" s="135">
        <v>3</v>
      </c>
      <c r="H35" s="117"/>
      <c r="I35" s="116"/>
    </row>
    <row r="36" spans="1:9" ht="19" customHeight="1">
      <c r="A36" s="115" t="s">
        <v>2773</v>
      </c>
      <c r="B36" s="115" t="s">
        <v>1974</v>
      </c>
      <c r="C36" s="115" t="s">
        <v>2122</v>
      </c>
      <c r="D36" s="116" t="s">
        <v>2197</v>
      </c>
      <c r="E36" s="116" t="s">
        <v>2498</v>
      </c>
      <c r="F36" s="116" t="s">
        <v>2499</v>
      </c>
      <c r="G36" s="135">
        <v>1</v>
      </c>
      <c r="H36" s="117"/>
      <c r="I36" s="116"/>
    </row>
    <row r="37" spans="1:9" ht="19" customHeight="1">
      <c r="A37" s="115" t="s">
        <v>2777</v>
      </c>
      <c r="B37" s="115" t="s">
        <v>3595</v>
      </c>
      <c r="C37" s="115" t="s">
        <v>2122</v>
      </c>
      <c r="D37" s="116" t="s">
        <v>2197</v>
      </c>
      <c r="E37" s="116" t="s">
        <v>2500</v>
      </c>
      <c r="F37" s="116" t="s">
        <v>2501</v>
      </c>
      <c r="G37" s="135"/>
      <c r="H37" s="117">
        <v>2</v>
      </c>
      <c r="I37" s="116"/>
    </row>
    <row r="38" spans="1:9" ht="19" customHeight="1">
      <c r="A38" s="115" t="s">
        <v>2778</v>
      </c>
      <c r="B38" s="115" t="s">
        <v>2454</v>
      </c>
      <c r="C38" s="115" t="s">
        <v>2122</v>
      </c>
      <c r="D38" s="116" t="s">
        <v>2197</v>
      </c>
      <c r="E38" s="116" t="s">
        <v>2502</v>
      </c>
      <c r="F38" s="116" t="s">
        <v>2456</v>
      </c>
      <c r="G38" s="135"/>
      <c r="H38" s="117">
        <v>1</v>
      </c>
      <c r="I38" s="116"/>
    </row>
    <row r="39" spans="1:9" ht="19" customHeight="1">
      <c r="A39" s="115" t="s">
        <v>2776</v>
      </c>
      <c r="B39" s="115" t="s">
        <v>2462</v>
      </c>
      <c r="C39" s="115" t="s">
        <v>2122</v>
      </c>
      <c r="D39" s="116" t="s">
        <v>2218</v>
      </c>
      <c r="E39" s="116" t="s">
        <v>2503</v>
      </c>
      <c r="F39" s="116" t="s">
        <v>2504</v>
      </c>
      <c r="G39" s="135">
        <v>3</v>
      </c>
      <c r="H39" s="117"/>
      <c r="I39" s="116"/>
    </row>
    <row r="40" spans="1:9" ht="19" customHeight="1">
      <c r="A40" s="115" t="s">
        <v>2788</v>
      </c>
      <c r="B40" s="115" t="s">
        <v>3595</v>
      </c>
      <c r="C40" s="115" t="s">
        <v>2122</v>
      </c>
      <c r="D40" s="116" t="s">
        <v>2218</v>
      </c>
      <c r="E40" s="116" t="s">
        <v>2505</v>
      </c>
      <c r="F40" s="116" t="s">
        <v>2506</v>
      </c>
      <c r="G40" s="135"/>
      <c r="H40" s="117">
        <v>2</v>
      </c>
      <c r="I40" s="116"/>
    </row>
    <row r="41" spans="1:9" ht="19" customHeight="1">
      <c r="A41" s="115" t="s">
        <v>2782</v>
      </c>
      <c r="B41" s="115" t="s">
        <v>2454</v>
      </c>
      <c r="C41" s="115" t="s">
        <v>2122</v>
      </c>
      <c r="D41" s="116" t="s">
        <v>2218</v>
      </c>
      <c r="E41" s="116" t="s">
        <v>2507</v>
      </c>
      <c r="F41" s="116" t="s">
        <v>2508</v>
      </c>
      <c r="G41" s="135"/>
      <c r="H41" s="117">
        <v>1.5</v>
      </c>
      <c r="I41" s="116"/>
    </row>
    <row r="42" spans="1:9" ht="19" customHeight="1">
      <c r="A42" s="115" t="s">
        <v>3333</v>
      </c>
      <c r="B42" s="115" t="s">
        <v>1968</v>
      </c>
      <c r="C42" s="115" t="s">
        <v>2124</v>
      </c>
      <c r="D42" s="116" t="s">
        <v>2168</v>
      </c>
      <c r="E42" s="116" t="s">
        <v>2923</v>
      </c>
      <c r="F42" s="116" t="s">
        <v>3606</v>
      </c>
      <c r="G42" s="135">
        <v>2</v>
      </c>
      <c r="H42" s="117"/>
      <c r="I42" s="116"/>
    </row>
    <row r="43" spans="1:9" ht="19" customHeight="1">
      <c r="A43" s="115" t="s">
        <v>2875</v>
      </c>
      <c r="B43" s="115" t="s">
        <v>2924</v>
      </c>
      <c r="C43" s="115" t="s">
        <v>2124</v>
      </c>
      <c r="D43" s="116" t="s">
        <v>2168</v>
      </c>
      <c r="E43" s="116" t="s">
        <v>2925</v>
      </c>
      <c r="F43" s="116" t="s">
        <v>2926</v>
      </c>
      <c r="G43" s="135"/>
      <c r="H43" s="117">
        <v>3</v>
      </c>
      <c r="I43" s="116"/>
    </row>
    <row r="44" spans="1:9" ht="19" customHeight="1">
      <c r="A44" s="115" t="s">
        <v>2803</v>
      </c>
      <c r="B44" s="115" t="s">
        <v>2454</v>
      </c>
      <c r="C44" s="115" t="s">
        <v>2124</v>
      </c>
      <c r="D44" s="116" t="s">
        <v>2168</v>
      </c>
      <c r="E44" s="116" t="s">
        <v>2927</v>
      </c>
      <c r="F44" s="116" t="s">
        <v>2928</v>
      </c>
      <c r="G44" s="135"/>
      <c r="H44" s="117">
        <v>1</v>
      </c>
      <c r="I44" s="116"/>
    </row>
    <row r="45" spans="1:9" ht="19" customHeight="1">
      <c r="A45" s="115" t="s">
        <v>3334</v>
      </c>
      <c r="B45" s="115" t="s">
        <v>1968</v>
      </c>
      <c r="C45" s="115" t="s">
        <v>2124</v>
      </c>
      <c r="D45" s="116" t="s">
        <v>3468</v>
      </c>
      <c r="E45" s="116" t="s">
        <v>2929</v>
      </c>
      <c r="F45" s="116" t="s">
        <v>2930</v>
      </c>
      <c r="G45" s="135">
        <v>1</v>
      </c>
      <c r="H45" s="117"/>
      <c r="I45" s="116"/>
    </row>
    <row r="46" spans="1:9" ht="19" customHeight="1">
      <c r="A46" s="115" t="s">
        <v>3335</v>
      </c>
      <c r="B46" s="115" t="s">
        <v>2924</v>
      </c>
      <c r="C46" s="115" t="s">
        <v>2124</v>
      </c>
      <c r="D46" s="116" t="s">
        <v>3468</v>
      </c>
      <c r="E46" s="116" t="s">
        <v>2931</v>
      </c>
      <c r="F46" s="116" t="s">
        <v>2932</v>
      </c>
      <c r="G46" s="135"/>
      <c r="H46" s="117">
        <v>2</v>
      </c>
      <c r="I46" s="116"/>
    </row>
    <row r="47" spans="1:9" ht="19" customHeight="1">
      <c r="A47" s="115" t="s">
        <v>2779</v>
      </c>
      <c r="B47" s="115" t="s">
        <v>2462</v>
      </c>
      <c r="C47" s="115" t="s">
        <v>2126</v>
      </c>
      <c r="D47" s="116" t="s">
        <v>3469</v>
      </c>
      <c r="E47" s="116" t="s">
        <v>2509</v>
      </c>
      <c r="F47" s="116" t="s">
        <v>3607</v>
      </c>
      <c r="G47" s="135">
        <v>4</v>
      </c>
      <c r="H47" s="117"/>
      <c r="I47" s="116" t="s">
        <v>2510</v>
      </c>
    </row>
    <row r="48" spans="1:9" ht="19" customHeight="1">
      <c r="A48" s="115" t="s">
        <v>2780</v>
      </c>
      <c r="B48" s="115" t="s">
        <v>1974</v>
      </c>
      <c r="C48" s="115" t="s">
        <v>2126</v>
      </c>
      <c r="D48" s="116" t="s">
        <v>3469</v>
      </c>
      <c r="E48" s="116" t="s">
        <v>2511</v>
      </c>
      <c r="F48" s="116" t="s">
        <v>2512</v>
      </c>
      <c r="G48" s="135">
        <v>2</v>
      </c>
      <c r="H48" s="117"/>
      <c r="I48" s="116"/>
    </row>
    <row r="49" spans="1:9" ht="19" customHeight="1">
      <c r="A49" s="115" t="s">
        <v>2781</v>
      </c>
      <c r="B49" s="115" t="s">
        <v>2513</v>
      </c>
      <c r="C49" s="115" t="s">
        <v>2126</v>
      </c>
      <c r="D49" s="116" t="s">
        <v>3469</v>
      </c>
      <c r="E49" s="116" t="s">
        <v>2514</v>
      </c>
      <c r="F49" s="116" t="s">
        <v>3608</v>
      </c>
      <c r="G49" s="135"/>
      <c r="H49" s="117">
        <v>8</v>
      </c>
      <c r="I49" s="116" t="s">
        <v>2515</v>
      </c>
    </row>
    <row r="50" spans="1:9" ht="19" customHeight="1">
      <c r="A50" s="115" t="s">
        <v>2806</v>
      </c>
      <c r="B50" s="115" t="s">
        <v>2454</v>
      </c>
      <c r="C50" s="115" t="s">
        <v>2126</v>
      </c>
      <c r="D50" s="116" t="s">
        <v>3469</v>
      </c>
      <c r="E50" s="116" t="s">
        <v>2516</v>
      </c>
      <c r="F50" s="116" t="s">
        <v>2456</v>
      </c>
      <c r="G50" s="135"/>
      <c r="H50" s="117">
        <v>3</v>
      </c>
      <c r="I50" s="116"/>
    </row>
    <row r="51" spans="1:9" ht="19" customHeight="1">
      <c r="A51" s="115" t="s">
        <v>2783</v>
      </c>
      <c r="B51" s="115" t="s">
        <v>2462</v>
      </c>
      <c r="C51" s="115" t="s">
        <v>2126</v>
      </c>
      <c r="D51" s="116" t="s">
        <v>3470</v>
      </c>
      <c r="E51" s="116" t="s">
        <v>2517</v>
      </c>
      <c r="F51" s="116" t="s">
        <v>3609</v>
      </c>
      <c r="G51" s="135">
        <v>1</v>
      </c>
      <c r="H51" s="117"/>
      <c r="I51" s="116"/>
    </row>
    <row r="52" spans="1:9" ht="19" customHeight="1">
      <c r="A52" s="115" t="s">
        <v>2784</v>
      </c>
      <c r="B52" s="115" t="s">
        <v>2462</v>
      </c>
      <c r="C52" s="115" t="s">
        <v>2126</v>
      </c>
      <c r="D52" s="116" t="s">
        <v>2200</v>
      </c>
      <c r="E52" s="116" t="s">
        <v>2518</v>
      </c>
      <c r="F52" s="116" t="s">
        <v>2519</v>
      </c>
      <c r="G52" s="135">
        <v>1</v>
      </c>
      <c r="H52" s="117"/>
      <c r="I52" s="116"/>
    </row>
    <row r="53" spans="1:9" ht="19" customHeight="1">
      <c r="A53" s="115" t="s">
        <v>2785</v>
      </c>
      <c r="B53" s="115" t="s">
        <v>2513</v>
      </c>
      <c r="C53" s="115" t="s">
        <v>2126</v>
      </c>
      <c r="D53" s="116" t="s">
        <v>2200</v>
      </c>
      <c r="E53" s="116" t="s">
        <v>2520</v>
      </c>
      <c r="F53" s="116" t="s">
        <v>3610</v>
      </c>
      <c r="G53" s="135"/>
      <c r="H53" s="117">
        <v>1.5</v>
      </c>
      <c r="I53" s="116"/>
    </row>
    <row r="54" spans="1:9" ht="19" customHeight="1">
      <c r="A54" s="115" t="s">
        <v>2786</v>
      </c>
      <c r="B54" s="115" t="s">
        <v>2462</v>
      </c>
      <c r="C54" s="115" t="s">
        <v>2126</v>
      </c>
      <c r="D54" s="116" t="s">
        <v>3471</v>
      </c>
      <c r="E54" s="116" t="s">
        <v>2521</v>
      </c>
      <c r="F54" s="116" t="s">
        <v>2522</v>
      </c>
      <c r="G54" s="135">
        <v>2</v>
      </c>
      <c r="H54" s="117"/>
      <c r="I54" s="116"/>
    </row>
    <row r="55" spans="1:9" ht="19" customHeight="1">
      <c r="A55" s="115" t="s">
        <v>2787</v>
      </c>
      <c r="B55" s="115" t="s">
        <v>1969</v>
      </c>
      <c r="C55" s="115" t="s">
        <v>2128</v>
      </c>
      <c r="D55" s="116" t="s">
        <v>1838</v>
      </c>
      <c r="E55" s="116" t="s">
        <v>2523</v>
      </c>
      <c r="F55" s="116" t="s">
        <v>2524</v>
      </c>
      <c r="G55" s="135">
        <v>3</v>
      </c>
      <c r="H55" s="117"/>
      <c r="I55" s="116"/>
    </row>
    <row r="56" spans="1:9" ht="19" customHeight="1">
      <c r="A56" s="115" t="s">
        <v>2790</v>
      </c>
      <c r="B56" s="115" t="s">
        <v>3595</v>
      </c>
      <c r="C56" s="115" t="s">
        <v>2128</v>
      </c>
      <c r="D56" s="116" t="s">
        <v>1838</v>
      </c>
      <c r="E56" s="116" t="s">
        <v>2525</v>
      </c>
      <c r="F56" s="116" t="s">
        <v>2526</v>
      </c>
      <c r="G56" s="135"/>
      <c r="H56" s="117">
        <v>3</v>
      </c>
      <c r="I56" s="116"/>
    </row>
    <row r="57" spans="1:9" ht="19" customHeight="1">
      <c r="A57" s="115" t="s">
        <v>2791</v>
      </c>
      <c r="B57" s="115" t="s">
        <v>1961</v>
      </c>
      <c r="C57" s="115" t="s">
        <v>2128</v>
      </c>
      <c r="D57" s="116" t="s">
        <v>1839</v>
      </c>
      <c r="E57" s="116" t="s">
        <v>2527</v>
      </c>
      <c r="F57" s="116" t="s">
        <v>2528</v>
      </c>
      <c r="G57" s="135">
        <v>1.5</v>
      </c>
      <c r="H57" s="117"/>
      <c r="I57" s="116"/>
    </row>
    <row r="58" spans="1:9" ht="19" customHeight="1">
      <c r="A58" s="115" t="s">
        <v>2792</v>
      </c>
      <c r="B58" s="115" t="s">
        <v>3595</v>
      </c>
      <c r="C58" s="115" t="s">
        <v>2128</v>
      </c>
      <c r="D58" s="116" t="s">
        <v>1839</v>
      </c>
      <c r="E58" s="116" t="s">
        <v>2530</v>
      </c>
      <c r="F58" s="116" t="s">
        <v>2531</v>
      </c>
      <c r="G58" s="135"/>
      <c r="H58" s="117">
        <v>1.5</v>
      </c>
      <c r="I58" s="116"/>
    </row>
    <row r="59" spans="1:9" ht="19" customHeight="1">
      <c r="A59" s="115" t="s">
        <v>2793</v>
      </c>
      <c r="B59" s="115" t="s">
        <v>1961</v>
      </c>
      <c r="C59" s="115" t="s">
        <v>2130</v>
      </c>
      <c r="D59" s="116" t="s">
        <v>3472</v>
      </c>
      <c r="E59" s="116" t="s">
        <v>2532</v>
      </c>
      <c r="F59" s="116" t="s">
        <v>2533</v>
      </c>
      <c r="G59" s="135">
        <v>1.5</v>
      </c>
      <c r="H59" s="117"/>
      <c r="I59" s="116"/>
    </row>
    <row r="60" spans="1:9" ht="19" customHeight="1">
      <c r="A60" s="115" t="s">
        <v>2794</v>
      </c>
      <c r="B60" s="115" t="s">
        <v>3595</v>
      </c>
      <c r="C60" s="115" t="s">
        <v>2130</v>
      </c>
      <c r="D60" s="116" t="s">
        <v>3472</v>
      </c>
      <c r="E60" s="116" t="s">
        <v>2534</v>
      </c>
      <c r="F60" s="116" t="s">
        <v>2535</v>
      </c>
      <c r="G60" s="135"/>
      <c r="H60" s="117">
        <v>2</v>
      </c>
      <c r="I60" s="116"/>
    </row>
    <row r="61" spans="1:9" ht="19" customHeight="1">
      <c r="A61" s="115" t="s">
        <v>2795</v>
      </c>
      <c r="B61" s="115" t="s">
        <v>1961</v>
      </c>
      <c r="C61" s="115" t="s">
        <v>2130</v>
      </c>
      <c r="D61" s="116" t="s">
        <v>3473</v>
      </c>
      <c r="E61" s="116" t="s">
        <v>2536</v>
      </c>
      <c r="F61" s="116" t="s">
        <v>2537</v>
      </c>
      <c r="G61" s="135">
        <v>0.5</v>
      </c>
      <c r="H61" s="117"/>
      <c r="I61" s="116"/>
    </row>
    <row r="62" spans="1:9" ht="19" customHeight="1">
      <c r="A62" s="115" t="s">
        <v>2796</v>
      </c>
      <c r="B62" s="115" t="s">
        <v>3595</v>
      </c>
      <c r="C62" s="115" t="s">
        <v>2130</v>
      </c>
      <c r="D62" s="116" t="s">
        <v>3473</v>
      </c>
      <c r="E62" s="116" t="s">
        <v>2539</v>
      </c>
      <c r="F62" s="116" t="s">
        <v>2540</v>
      </c>
      <c r="G62" s="135"/>
      <c r="H62" s="117">
        <v>1</v>
      </c>
      <c r="I62" s="116"/>
    </row>
    <row r="63" spans="1:9" ht="19" customHeight="1">
      <c r="A63" s="115" t="s">
        <v>1554</v>
      </c>
      <c r="B63" s="115" t="s">
        <v>1969</v>
      </c>
      <c r="C63" s="115" t="s">
        <v>2130</v>
      </c>
      <c r="D63" s="116" t="s">
        <v>1864</v>
      </c>
      <c r="E63" s="116" t="s">
        <v>1970</v>
      </c>
      <c r="F63" s="116" t="s">
        <v>4204</v>
      </c>
      <c r="G63" s="135">
        <v>1.5</v>
      </c>
      <c r="H63" s="117"/>
      <c r="I63" s="116"/>
    </row>
    <row r="64" spans="1:9" ht="19" customHeight="1">
      <c r="A64" s="115" t="s">
        <v>2588</v>
      </c>
      <c r="B64" s="115" t="s">
        <v>2589</v>
      </c>
      <c r="C64" s="115" t="s">
        <v>2130</v>
      </c>
      <c r="D64" s="116" t="s">
        <v>1864</v>
      </c>
      <c r="E64" s="116" t="s">
        <v>4205</v>
      </c>
      <c r="F64" s="116" t="s">
        <v>4206</v>
      </c>
      <c r="G64" s="135"/>
      <c r="H64" s="117">
        <v>2</v>
      </c>
      <c r="I64" s="116"/>
    </row>
    <row r="65" spans="1:9" ht="19" customHeight="1">
      <c r="A65" s="115" t="s">
        <v>2797</v>
      </c>
      <c r="B65" s="115" t="s">
        <v>1961</v>
      </c>
      <c r="C65" s="115" t="s">
        <v>2132</v>
      </c>
      <c r="D65" s="116" t="s">
        <v>1913</v>
      </c>
      <c r="E65" s="116" t="s">
        <v>3611</v>
      </c>
      <c r="F65" s="116" t="s">
        <v>2920</v>
      </c>
      <c r="G65" s="135">
        <v>2</v>
      </c>
      <c r="H65" s="117"/>
      <c r="I65" s="116"/>
    </row>
    <row r="66" spans="1:9" ht="19" customHeight="1">
      <c r="A66" s="115" t="s">
        <v>2798</v>
      </c>
      <c r="B66" s="115" t="s">
        <v>3595</v>
      </c>
      <c r="C66" s="115" t="s">
        <v>2132</v>
      </c>
      <c r="D66" s="116" t="s">
        <v>1913</v>
      </c>
      <c r="E66" s="116" t="s">
        <v>2921</v>
      </c>
      <c r="F66" s="116" t="s">
        <v>2922</v>
      </c>
      <c r="G66" s="135"/>
      <c r="H66" s="117">
        <v>2</v>
      </c>
      <c r="I66" s="116"/>
    </row>
    <row r="67" spans="1:9" ht="19" customHeight="1">
      <c r="A67" s="115" t="s">
        <v>2804</v>
      </c>
      <c r="B67" s="115" t="s">
        <v>1961</v>
      </c>
      <c r="C67" s="115" t="s">
        <v>2132</v>
      </c>
      <c r="D67" s="116" t="s">
        <v>2182</v>
      </c>
      <c r="E67" s="116" t="s">
        <v>2541</v>
      </c>
      <c r="F67" s="116" t="s">
        <v>2542</v>
      </c>
      <c r="G67" s="135">
        <v>1.5</v>
      </c>
      <c r="H67" s="117"/>
      <c r="I67" s="116"/>
    </row>
    <row r="68" spans="1:9" ht="19" customHeight="1">
      <c r="A68" s="115" t="s">
        <v>2799</v>
      </c>
      <c r="B68" s="115" t="s">
        <v>3595</v>
      </c>
      <c r="C68" s="115" t="s">
        <v>2132</v>
      </c>
      <c r="D68" s="116" t="s">
        <v>2182</v>
      </c>
      <c r="E68" s="116" t="s">
        <v>2543</v>
      </c>
      <c r="F68" s="116" t="s">
        <v>2544</v>
      </c>
      <c r="G68" s="135"/>
      <c r="H68" s="117">
        <v>1.5</v>
      </c>
      <c r="I68" s="116"/>
    </row>
    <row r="69" spans="1:9" ht="19" customHeight="1">
      <c r="A69" s="115" t="s">
        <v>2802</v>
      </c>
      <c r="B69" s="115" t="s">
        <v>3595</v>
      </c>
      <c r="C69" s="115" t="s">
        <v>3440</v>
      </c>
      <c r="D69" s="116" t="s">
        <v>3474</v>
      </c>
      <c r="E69" s="116" t="s">
        <v>2919</v>
      </c>
      <c r="F69" s="116" t="s">
        <v>3612</v>
      </c>
      <c r="G69" s="135"/>
      <c r="H69" s="117">
        <v>3</v>
      </c>
      <c r="I69" s="116"/>
    </row>
    <row r="70" spans="1:9" ht="19" customHeight="1">
      <c r="A70" s="115" t="s">
        <v>2807</v>
      </c>
      <c r="B70" s="115" t="s">
        <v>1961</v>
      </c>
      <c r="C70" s="115" t="s">
        <v>3440</v>
      </c>
      <c r="D70" s="116" t="s">
        <v>1849</v>
      </c>
      <c r="E70" s="116" t="s">
        <v>2545</v>
      </c>
      <c r="F70" s="116" t="s">
        <v>2546</v>
      </c>
      <c r="G70" s="135">
        <v>2</v>
      </c>
      <c r="H70" s="117"/>
      <c r="I70" s="116"/>
    </row>
    <row r="71" spans="1:9" ht="19" customHeight="1">
      <c r="A71" s="115" t="s">
        <v>2805</v>
      </c>
      <c r="B71" s="115" t="s">
        <v>3595</v>
      </c>
      <c r="C71" s="115" t="s">
        <v>3440</v>
      </c>
      <c r="D71" s="116" t="s">
        <v>1849</v>
      </c>
      <c r="E71" s="116" t="s">
        <v>2547</v>
      </c>
      <c r="F71" s="116" t="s">
        <v>2548</v>
      </c>
      <c r="G71" s="135"/>
      <c r="H71" s="117">
        <v>3</v>
      </c>
      <c r="I71" s="116"/>
    </row>
    <row r="72" spans="1:9" ht="19" customHeight="1">
      <c r="A72" s="115" t="s">
        <v>2820</v>
      </c>
      <c r="B72" s="115" t="s">
        <v>1971</v>
      </c>
      <c r="C72" s="115" t="s">
        <v>3440</v>
      </c>
      <c r="D72" s="116" t="s">
        <v>1857</v>
      </c>
      <c r="E72" s="116" t="s">
        <v>2914</v>
      </c>
      <c r="F72" s="116" t="s">
        <v>2915</v>
      </c>
      <c r="G72" s="135">
        <v>1.5</v>
      </c>
      <c r="H72" s="117"/>
      <c r="I72" s="116"/>
    </row>
    <row r="73" spans="1:9" ht="19" customHeight="1">
      <c r="A73" s="115" t="s">
        <v>2823</v>
      </c>
      <c r="B73" s="115" t="s">
        <v>2589</v>
      </c>
      <c r="C73" s="115" t="s">
        <v>3440</v>
      </c>
      <c r="D73" s="116" t="s">
        <v>1857</v>
      </c>
      <c r="E73" s="116" t="s">
        <v>2916</v>
      </c>
      <c r="F73" s="116" t="s">
        <v>2917</v>
      </c>
      <c r="G73" s="135"/>
      <c r="H73" s="117">
        <v>2</v>
      </c>
      <c r="I73" s="116"/>
    </row>
    <row r="74" spans="1:9" ht="19" customHeight="1">
      <c r="A74" s="115" t="s">
        <v>2816</v>
      </c>
      <c r="B74" s="115" t="s">
        <v>1969</v>
      </c>
      <c r="C74" s="115" t="s">
        <v>1912</v>
      </c>
      <c r="D74" s="116" t="s">
        <v>1842</v>
      </c>
      <c r="E74" s="116" t="s">
        <v>2549</v>
      </c>
      <c r="F74" s="116" t="s">
        <v>2550</v>
      </c>
      <c r="G74" s="135">
        <v>2</v>
      </c>
      <c r="H74" s="117"/>
      <c r="I74" s="116"/>
    </row>
    <row r="75" spans="1:9" ht="19" customHeight="1">
      <c r="A75" s="115" t="s">
        <v>2808</v>
      </c>
      <c r="B75" s="115" t="s">
        <v>3595</v>
      </c>
      <c r="C75" s="115" t="s">
        <v>1912</v>
      </c>
      <c r="D75" s="116" t="s">
        <v>1842</v>
      </c>
      <c r="E75" s="116" t="s">
        <v>2552</v>
      </c>
      <c r="F75" s="116" t="s">
        <v>2553</v>
      </c>
      <c r="G75" s="135"/>
      <c r="H75" s="117">
        <v>2</v>
      </c>
      <c r="I75" s="116"/>
    </row>
    <row r="76" spans="1:9" ht="19" customHeight="1">
      <c r="A76" s="115" t="s">
        <v>2800</v>
      </c>
      <c r="B76" s="115" t="s">
        <v>2462</v>
      </c>
      <c r="C76" s="115" t="s">
        <v>2134</v>
      </c>
      <c r="D76" s="116" t="s">
        <v>3475</v>
      </c>
      <c r="E76" s="116" t="s">
        <v>3613</v>
      </c>
      <c r="F76" s="116" t="s">
        <v>2554</v>
      </c>
      <c r="G76" s="135">
        <v>3</v>
      </c>
      <c r="H76" s="117"/>
      <c r="I76" s="116"/>
    </row>
    <row r="77" spans="1:9" ht="19" customHeight="1">
      <c r="A77" s="115" t="s">
        <v>2801</v>
      </c>
      <c r="B77" s="115" t="s">
        <v>1974</v>
      </c>
      <c r="C77" s="115" t="s">
        <v>2134</v>
      </c>
      <c r="D77" s="116" t="s">
        <v>3475</v>
      </c>
      <c r="E77" s="116" t="s">
        <v>3614</v>
      </c>
      <c r="F77" s="116" t="s">
        <v>2555</v>
      </c>
      <c r="G77" s="135">
        <v>1</v>
      </c>
      <c r="H77" s="117"/>
      <c r="I77" s="116"/>
    </row>
    <row r="78" spans="1:9" ht="19" customHeight="1">
      <c r="A78" s="115" t="s">
        <v>2812</v>
      </c>
      <c r="B78" s="115" t="s">
        <v>3595</v>
      </c>
      <c r="C78" s="115" t="s">
        <v>2134</v>
      </c>
      <c r="D78" s="116" t="s">
        <v>3475</v>
      </c>
      <c r="E78" s="116" t="s">
        <v>3615</v>
      </c>
      <c r="F78" s="116" t="s">
        <v>3616</v>
      </c>
      <c r="G78" s="135"/>
      <c r="H78" s="117">
        <v>3</v>
      </c>
      <c r="I78" s="116"/>
    </row>
    <row r="79" spans="1:9" ht="19" customHeight="1">
      <c r="A79" s="115" t="s">
        <v>2809</v>
      </c>
      <c r="B79" s="115" t="s">
        <v>2454</v>
      </c>
      <c r="C79" s="115" t="s">
        <v>2134</v>
      </c>
      <c r="D79" s="116" t="s">
        <v>3475</v>
      </c>
      <c r="E79" s="116" t="s">
        <v>3617</v>
      </c>
      <c r="F79" s="116" t="s">
        <v>2456</v>
      </c>
      <c r="G79" s="135"/>
      <c r="H79" s="117">
        <v>1.5</v>
      </c>
      <c r="I79" s="116"/>
    </row>
    <row r="80" spans="1:9" ht="19" customHeight="1">
      <c r="A80" s="115" t="s">
        <v>2810</v>
      </c>
      <c r="B80" s="115" t="s">
        <v>1961</v>
      </c>
      <c r="C80" s="115" t="s">
        <v>2134</v>
      </c>
      <c r="D80" s="116" t="s">
        <v>3476</v>
      </c>
      <c r="E80" s="116" t="s">
        <v>2557</v>
      </c>
      <c r="F80" s="116" t="s">
        <v>2558</v>
      </c>
      <c r="G80" s="135">
        <v>1.5</v>
      </c>
      <c r="H80" s="117"/>
      <c r="I80" s="116"/>
    </row>
    <row r="81" spans="1:9" ht="19" customHeight="1">
      <c r="A81" s="115" t="s">
        <v>2814</v>
      </c>
      <c r="B81" s="115" t="s">
        <v>3595</v>
      </c>
      <c r="C81" s="115" t="s">
        <v>2134</v>
      </c>
      <c r="D81" s="116" t="s">
        <v>3476</v>
      </c>
      <c r="E81" s="116" t="s">
        <v>2559</v>
      </c>
      <c r="F81" s="116" t="s">
        <v>3618</v>
      </c>
      <c r="G81" s="135"/>
      <c r="H81" s="117">
        <v>1.5</v>
      </c>
      <c r="I81" s="116"/>
    </row>
    <row r="82" spans="1:9" ht="19" customHeight="1">
      <c r="A82" s="115" t="s">
        <v>2813</v>
      </c>
      <c r="B82" s="115" t="s">
        <v>2454</v>
      </c>
      <c r="C82" s="115" t="s">
        <v>2134</v>
      </c>
      <c r="D82" s="116" t="s">
        <v>3476</v>
      </c>
      <c r="E82" s="116" t="s">
        <v>2560</v>
      </c>
      <c r="F82" s="116" t="s">
        <v>2561</v>
      </c>
      <c r="G82" s="135"/>
      <c r="H82" s="117">
        <v>1</v>
      </c>
      <c r="I82" s="116"/>
    </row>
    <row r="83" spans="1:9" ht="19" customHeight="1">
      <c r="A83" s="115" t="s">
        <v>2835</v>
      </c>
      <c r="B83" s="115" t="s">
        <v>1961</v>
      </c>
      <c r="C83" s="115" t="s">
        <v>3443</v>
      </c>
      <c r="D83" s="116" t="s">
        <v>3477</v>
      </c>
      <c r="E83" s="116" t="s">
        <v>3619</v>
      </c>
      <c r="F83" s="116" t="s">
        <v>2911</v>
      </c>
      <c r="G83" s="135">
        <v>1.5</v>
      </c>
      <c r="H83" s="117"/>
      <c r="I83" s="116"/>
    </row>
    <row r="84" spans="1:9" ht="19" customHeight="1">
      <c r="A84" s="115" t="s">
        <v>2815</v>
      </c>
      <c r="B84" s="115" t="s">
        <v>3595</v>
      </c>
      <c r="C84" s="115" t="s">
        <v>3443</v>
      </c>
      <c r="D84" s="116" t="s">
        <v>3477</v>
      </c>
      <c r="E84" s="116" t="s">
        <v>3620</v>
      </c>
      <c r="F84" s="116" t="s">
        <v>2912</v>
      </c>
      <c r="G84" s="135"/>
      <c r="H84" s="117">
        <v>2</v>
      </c>
      <c r="I84" s="116"/>
    </row>
    <row r="85" spans="1:9" ht="19" customHeight="1">
      <c r="A85" s="115" t="s">
        <v>2819</v>
      </c>
      <c r="B85" s="115" t="s">
        <v>2454</v>
      </c>
      <c r="C85" s="115" t="s">
        <v>3443</v>
      </c>
      <c r="D85" s="116" t="s">
        <v>3477</v>
      </c>
      <c r="E85" s="116" t="s">
        <v>3621</v>
      </c>
      <c r="F85" s="116" t="s">
        <v>2913</v>
      </c>
      <c r="G85" s="135"/>
      <c r="H85" s="117">
        <v>1</v>
      </c>
      <c r="I85" s="116"/>
    </row>
    <row r="86" spans="1:9" ht="19" customHeight="1">
      <c r="A86" s="115" t="s">
        <v>3336</v>
      </c>
      <c r="B86" s="115" t="s">
        <v>1961</v>
      </c>
      <c r="C86" s="115" t="s">
        <v>2135</v>
      </c>
      <c r="D86" s="116" t="s">
        <v>2213</v>
      </c>
      <c r="E86" s="116" t="s">
        <v>2562</v>
      </c>
      <c r="F86" s="116" t="s">
        <v>2563</v>
      </c>
      <c r="G86" s="135">
        <v>2</v>
      </c>
      <c r="H86" s="117"/>
      <c r="I86" s="116"/>
    </row>
    <row r="87" spans="1:9" ht="19" customHeight="1">
      <c r="A87" s="115" t="s">
        <v>2836</v>
      </c>
      <c r="B87" s="115" t="s">
        <v>3595</v>
      </c>
      <c r="C87" s="115" t="s">
        <v>2135</v>
      </c>
      <c r="D87" s="116" t="s">
        <v>2213</v>
      </c>
      <c r="E87" s="116" t="s">
        <v>2564</v>
      </c>
      <c r="F87" s="116" t="s">
        <v>2565</v>
      </c>
      <c r="G87" s="135"/>
      <c r="H87" s="117">
        <v>3</v>
      </c>
      <c r="I87" s="116"/>
    </row>
    <row r="88" spans="1:9" ht="19" customHeight="1">
      <c r="A88" s="115" t="s">
        <v>2821</v>
      </c>
      <c r="B88" s="115" t="s">
        <v>2454</v>
      </c>
      <c r="C88" s="115" t="s">
        <v>2135</v>
      </c>
      <c r="D88" s="116" t="s">
        <v>2213</v>
      </c>
      <c r="E88" s="116" t="s">
        <v>2566</v>
      </c>
      <c r="F88" s="116" t="s">
        <v>2567</v>
      </c>
      <c r="G88" s="135"/>
      <c r="H88" s="117">
        <v>1</v>
      </c>
      <c r="I88" s="116"/>
    </row>
    <row r="89" spans="1:9" ht="19" customHeight="1">
      <c r="A89" s="115" t="s">
        <v>3337</v>
      </c>
      <c r="B89" s="115" t="s">
        <v>1961</v>
      </c>
      <c r="C89" s="115" t="s">
        <v>2136</v>
      </c>
      <c r="D89" s="116" t="s">
        <v>1824</v>
      </c>
      <c r="E89" s="116" t="s">
        <v>2568</v>
      </c>
      <c r="F89" s="116" t="s">
        <v>2569</v>
      </c>
      <c r="G89" s="135">
        <v>4</v>
      </c>
      <c r="H89" s="117"/>
      <c r="I89" s="116"/>
    </row>
    <row r="90" spans="1:9" ht="19" customHeight="1">
      <c r="A90" s="115" t="s">
        <v>2811</v>
      </c>
      <c r="B90" s="115" t="s">
        <v>1974</v>
      </c>
      <c r="C90" s="115" t="s">
        <v>2136</v>
      </c>
      <c r="D90" s="116" t="s">
        <v>1824</v>
      </c>
      <c r="E90" s="116" t="s">
        <v>2570</v>
      </c>
      <c r="F90" s="116" t="s">
        <v>3622</v>
      </c>
      <c r="G90" s="135">
        <v>1</v>
      </c>
      <c r="H90" s="117"/>
      <c r="I90" s="116"/>
    </row>
    <row r="91" spans="1:9" ht="19" customHeight="1">
      <c r="A91" s="115" t="s">
        <v>2847</v>
      </c>
      <c r="B91" s="115" t="s">
        <v>3595</v>
      </c>
      <c r="C91" s="115" t="s">
        <v>2136</v>
      </c>
      <c r="D91" s="116" t="s">
        <v>1824</v>
      </c>
      <c r="E91" s="116" t="s">
        <v>2571</v>
      </c>
      <c r="F91" s="116" t="s">
        <v>3623</v>
      </c>
      <c r="G91" s="135"/>
      <c r="H91" s="117">
        <v>4</v>
      </c>
      <c r="I91" s="116" t="s">
        <v>2572</v>
      </c>
    </row>
    <row r="92" spans="1:9" ht="19" customHeight="1">
      <c r="A92" s="115" t="s">
        <v>2856</v>
      </c>
      <c r="B92" s="115" t="s">
        <v>2454</v>
      </c>
      <c r="C92" s="115" t="s">
        <v>2136</v>
      </c>
      <c r="D92" s="116" t="s">
        <v>1824</v>
      </c>
      <c r="E92" s="116" t="s">
        <v>2573</v>
      </c>
      <c r="F92" s="116" t="s">
        <v>2456</v>
      </c>
      <c r="G92" s="135"/>
      <c r="H92" s="117">
        <v>2</v>
      </c>
      <c r="I92" s="116"/>
    </row>
    <row r="93" spans="1:9" ht="19" customHeight="1">
      <c r="A93" s="115" t="s">
        <v>2879</v>
      </c>
      <c r="B93" s="115" t="s">
        <v>3595</v>
      </c>
      <c r="C93" s="115" t="s">
        <v>2136</v>
      </c>
      <c r="D93" s="116" t="s">
        <v>3478</v>
      </c>
      <c r="E93" s="116" t="s">
        <v>3624</v>
      </c>
      <c r="F93" s="116" t="s">
        <v>3625</v>
      </c>
      <c r="G93" s="135"/>
      <c r="H93" s="117">
        <v>2</v>
      </c>
      <c r="I93" s="116" t="s">
        <v>2572</v>
      </c>
    </row>
    <row r="94" spans="1:9" ht="19" customHeight="1">
      <c r="A94" s="115" t="s">
        <v>3338</v>
      </c>
      <c r="B94" s="115" t="s">
        <v>3595</v>
      </c>
      <c r="C94" s="115" t="s">
        <v>2136</v>
      </c>
      <c r="D94" s="116" t="s">
        <v>1854</v>
      </c>
      <c r="E94" s="116" t="s">
        <v>2574</v>
      </c>
      <c r="F94" s="116" t="s">
        <v>2575</v>
      </c>
      <c r="G94" s="135"/>
      <c r="H94" s="117">
        <v>1</v>
      </c>
      <c r="I94" s="116"/>
    </row>
    <row r="95" spans="1:9" ht="19" customHeight="1">
      <c r="A95" s="115" t="s">
        <v>2840</v>
      </c>
      <c r="B95" s="115" t="s">
        <v>1969</v>
      </c>
      <c r="C95" s="115" t="s">
        <v>2137</v>
      </c>
      <c r="D95" s="116" t="s">
        <v>2191</v>
      </c>
      <c r="E95" s="116" t="s">
        <v>2576</v>
      </c>
      <c r="F95" s="116" t="s">
        <v>2577</v>
      </c>
      <c r="G95" s="135">
        <v>2</v>
      </c>
      <c r="H95" s="117"/>
      <c r="I95" s="116"/>
    </row>
    <row r="96" spans="1:9" ht="19" customHeight="1">
      <c r="A96" s="115" t="s">
        <v>2817</v>
      </c>
      <c r="B96" s="115" t="s">
        <v>2462</v>
      </c>
      <c r="C96" s="115" t="s">
        <v>2137</v>
      </c>
      <c r="D96" s="116" t="s">
        <v>2191</v>
      </c>
      <c r="E96" s="116" t="s">
        <v>2578</v>
      </c>
      <c r="F96" s="116" t="s">
        <v>2579</v>
      </c>
      <c r="G96" s="135">
        <v>2</v>
      </c>
      <c r="H96" s="117"/>
      <c r="I96" s="116"/>
    </row>
    <row r="97" spans="1:9" ht="19" customHeight="1">
      <c r="A97" s="115" t="s">
        <v>2818</v>
      </c>
      <c r="B97" s="115" t="s">
        <v>2580</v>
      </c>
      <c r="C97" s="115" t="s">
        <v>2137</v>
      </c>
      <c r="D97" s="116" t="s">
        <v>2191</v>
      </c>
      <c r="E97" s="116" t="s">
        <v>2581</v>
      </c>
      <c r="F97" s="116" t="s">
        <v>2582</v>
      </c>
      <c r="G97" s="135"/>
      <c r="H97" s="117">
        <v>3</v>
      </c>
      <c r="I97" s="116" t="s">
        <v>2583</v>
      </c>
    </row>
    <row r="98" spans="1:9" ht="19" customHeight="1">
      <c r="A98" s="115" t="s">
        <v>2861</v>
      </c>
      <c r="B98" s="115" t="s">
        <v>2454</v>
      </c>
      <c r="C98" s="115" t="s">
        <v>2137</v>
      </c>
      <c r="D98" s="116" t="s">
        <v>2191</v>
      </c>
      <c r="E98" s="116" t="s">
        <v>2584</v>
      </c>
      <c r="F98" s="116" t="s">
        <v>2585</v>
      </c>
      <c r="G98" s="135"/>
      <c r="H98" s="117">
        <v>1.5</v>
      </c>
      <c r="I98" s="116"/>
    </row>
    <row r="99" spans="1:9" ht="19" customHeight="1">
      <c r="A99" s="115" t="s">
        <v>1967</v>
      </c>
      <c r="B99" s="115" t="s">
        <v>1961</v>
      </c>
      <c r="C99" s="115" t="s">
        <v>2137</v>
      </c>
      <c r="D99" s="116" t="s">
        <v>2217</v>
      </c>
      <c r="E99" s="116" t="s">
        <v>4199</v>
      </c>
      <c r="F99" s="116" t="s">
        <v>4200</v>
      </c>
      <c r="G99" s="135">
        <v>1</v>
      </c>
      <c r="H99" s="117"/>
      <c r="I99" s="116"/>
    </row>
    <row r="100" spans="1:9" ht="19" customHeight="1">
      <c r="A100" s="115" t="s">
        <v>2918</v>
      </c>
      <c r="B100" s="115" t="s">
        <v>4201</v>
      </c>
      <c r="C100" s="115" t="s">
        <v>2137</v>
      </c>
      <c r="D100" s="116" t="s">
        <v>2217</v>
      </c>
      <c r="E100" s="116" t="s">
        <v>4202</v>
      </c>
      <c r="F100" s="116" t="s">
        <v>4203</v>
      </c>
      <c r="G100" s="135"/>
      <c r="H100" s="117">
        <v>1.5</v>
      </c>
      <c r="I100" s="116"/>
    </row>
    <row r="101" spans="1:9" ht="19" customHeight="1">
      <c r="A101" s="115" t="s">
        <v>2822</v>
      </c>
      <c r="B101" s="115" t="s">
        <v>1971</v>
      </c>
      <c r="C101" s="115" t="s">
        <v>2140</v>
      </c>
      <c r="D101" s="116" t="s">
        <v>1861</v>
      </c>
      <c r="E101" s="116" t="s">
        <v>2586</v>
      </c>
      <c r="F101" s="116" t="s">
        <v>2587</v>
      </c>
      <c r="G101" s="135">
        <v>2</v>
      </c>
      <c r="H101" s="117"/>
      <c r="I101" s="116"/>
    </row>
    <row r="102" spans="1:9" ht="19" customHeight="1">
      <c r="A102" s="115" t="s">
        <v>2825</v>
      </c>
      <c r="B102" s="115" t="s">
        <v>2589</v>
      </c>
      <c r="C102" s="115" t="s">
        <v>2140</v>
      </c>
      <c r="D102" s="116" t="s">
        <v>1861</v>
      </c>
      <c r="E102" s="116" t="s">
        <v>2590</v>
      </c>
      <c r="F102" s="116" t="s">
        <v>2591</v>
      </c>
      <c r="G102" s="135"/>
      <c r="H102" s="117">
        <v>2</v>
      </c>
      <c r="I102" s="116"/>
    </row>
    <row r="103" spans="1:9" ht="19" customHeight="1">
      <c r="A103" s="115" t="s">
        <v>3339</v>
      </c>
      <c r="B103" s="115" t="s">
        <v>2454</v>
      </c>
      <c r="C103" s="115" t="s">
        <v>2140</v>
      </c>
      <c r="D103" s="116" t="s">
        <v>1861</v>
      </c>
      <c r="E103" s="116" t="s">
        <v>2592</v>
      </c>
      <c r="F103" s="116" t="s">
        <v>2593</v>
      </c>
      <c r="G103" s="135"/>
      <c r="H103" s="117">
        <v>1</v>
      </c>
      <c r="I103" s="116"/>
    </row>
    <row r="104" spans="1:9" ht="19" customHeight="1">
      <c r="A104" s="115" t="s">
        <v>2824</v>
      </c>
      <c r="B104" s="115" t="s">
        <v>1971</v>
      </c>
      <c r="C104" s="115" t="s">
        <v>2140</v>
      </c>
      <c r="D104" s="116" t="s">
        <v>1862</v>
      </c>
      <c r="E104" s="116" t="s">
        <v>2594</v>
      </c>
      <c r="F104" s="116" t="s">
        <v>2595</v>
      </c>
      <c r="G104" s="135">
        <v>1.5</v>
      </c>
      <c r="H104" s="117"/>
      <c r="I104" s="116"/>
    </row>
    <row r="105" spans="1:9" ht="19" customHeight="1">
      <c r="A105" s="115" t="s">
        <v>3341</v>
      </c>
      <c r="B105" s="115" t="s">
        <v>2589</v>
      </c>
      <c r="C105" s="115" t="s">
        <v>2140</v>
      </c>
      <c r="D105" s="116" t="s">
        <v>1862</v>
      </c>
      <c r="E105" s="116" t="s">
        <v>2596</v>
      </c>
      <c r="F105" s="116" t="s">
        <v>2597</v>
      </c>
      <c r="G105" s="135"/>
      <c r="H105" s="117">
        <v>2</v>
      </c>
      <c r="I105" s="116"/>
    </row>
    <row r="106" spans="1:9" ht="19" customHeight="1">
      <c r="A106" s="115" t="s">
        <v>3340</v>
      </c>
      <c r="B106" s="115" t="s">
        <v>1971</v>
      </c>
      <c r="C106" s="115" t="s">
        <v>2140</v>
      </c>
      <c r="D106" s="116" t="s">
        <v>1863</v>
      </c>
      <c r="E106" s="116" t="s">
        <v>2598</v>
      </c>
      <c r="F106" s="116" t="s">
        <v>2599</v>
      </c>
      <c r="G106" s="135">
        <v>1.5</v>
      </c>
      <c r="H106" s="117"/>
      <c r="I106" s="116"/>
    </row>
    <row r="107" spans="1:9" ht="19" customHeight="1">
      <c r="A107" s="115" t="s">
        <v>4195</v>
      </c>
      <c r="B107" s="115" t="s">
        <v>2589</v>
      </c>
      <c r="C107" s="115" t="s">
        <v>2140</v>
      </c>
      <c r="D107" s="116" t="s">
        <v>1863</v>
      </c>
      <c r="E107" s="116" t="s">
        <v>2600</v>
      </c>
      <c r="F107" s="116" t="s">
        <v>2601</v>
      </c>
      <c r="G107" s="135"/>
      <c r="H107" s="117">
        <v>2</v>
      </c>
      <c r="I107" s="116"/>
    </row>
    <row r="108" spans="1:9" ht="19" customHeight="1">
      <c r="A108" s="115" t="s">
        <v>2826</v>
      </c>
      <c r="B108" s="115" t="s">
        <v>2487</v>
      </c>
      <c r="C108" s="115" t="s">
        <v>2145</v>
      </c>
      <c r="D108" s="116" t="s">
        <v>2189</v>
      </c>
      <c r="E108" s="116" t="s">
        <v>2602</v>
      </c>
      <c r="F108" s="116" t="s">
        <v>2603</v>
      </c>
      <c r="G108" s="135">
        <v>2</v>
      </c>
      <c r="H108" s="117"/>
      <c r="I108" s="116"/>
    </row>
    <row r="109" spans="1:9" ht="19" customHeight="1">
      <c r="A109" s="115" t="s">
        <v>2827</v>
      </c>
      <c r="B109" s="115" t="s">
        <v>2491</v>
      </c>
      <c r="C109" s="115" t="s">
        <v>2145</v>
      </c>
      <c r="D109" s="116" t="s">
        <v>2189</v>
      </c>
      <c r="E109" s="116" t="s">
        <v>2605</v>
      </c>
      <c r="F109" s="116" t="s">
        <v>2606</v>
      </c>
      <c r="G109" s="135"/>
      <c r="H109" s="117">
        <v>2</v>
      </c>
      <c r="I109" s="116"/>
    </row>
    <row r="110" spans="1:9" ht="19" customHeight="1">
      <c r="A110" s="115" t="s">
        <v>2828</v>
      </c>
      <c r="B110" s="115" t="s">
        <v>2487</v>
      </c>
      <c r="C110" s="115" t="s">
        <v>2145</v>
      </c>
      <c r="D110" s="116" t="s">
        <v>2166</v>
      </c>
      <c r="E110" s="116" t="s">
        <v>2607</v>
      </c>
      <c r="F110" s="116" t="s">
        <v>2608</v>
      </c>
      <c r="G110" s="135">
        <v>5</v>
      </c>
      <c r="H110" s="117"/>
      <c r="I110" s="116" t="s">
        <v>2609</v>
      </c>
    </row>
    <row r="111" spans="1:9" ht="19" customHeight="1">
      <c r="A111" s="115" t="s">
        <v>2829</v>
      </c>
      <c r="B111" s="115" t="s">
        <v>2491</v>
      </c>
      <c r="C111" s="115" t="s">
        <v>2145</v>
      </c>
      <c r="D111" s="116" t="s">
        <v>2166</v>
      </c>
      <c r="E111" s="116" t="s">
        <v>2610</v>
      </c>
      <c r="F111" s="116" t="s">
        <v>2611</v>
      </c>
      <c r="G111" s="135"/>
      <c r="H111" s="117">
        <v>8</v>
      </c>
      <c r="I111" s="116"/>
    </row>
    <row r="112" spans="1:9" ht="19" customHeight="1">
      <c r="A112" s="115" t="s">
        <v>2830</v>
      </c>
      <c r="B112" s="115" t="s">
        <v>2491</v>
      </c>
      <c r="C112" s="115" t="s">
        <v>2145</v>
      </c>
      <c r="D112" s="116" t="s">
        <v>2166</v>
      </c>
      <c r="E112" s="116" t="s">
        <v>2612</v>
      </c>
      <c r="F112" s="116" t="s">
        <v>2613</v>
      </c>
      <c r="G112" s="135"/>
      <c r="H112" s="117">
        <v>4</v>
      </c>
      <c r="I112" s="116"/>
    </row>
    <row r="113" spans="1:9" ht="19" customHeight="1">
      <c r="A113" s="115" t="s">
        <v>2831</v>
      </c>
      <c r="B113" s="115" t="s">
        <v>2487</v>
      </c>
      <c r="C113" s="115" t="s">
        <v>2145</v>
      </c>
      <c r="D113" s="116" t="s">
        <v>2167</v>
      </c>
      <c r="E113" s="116" t="s">
        <v>2614</v>
      </c>
      <c r="F113" s="116" t="s">
        <v>2615</v>
      </c>
      <c r="G113" s="135">
        <v>4</v>
      </c>
      <c r="H113" s="117"/>
      <c r="I113" s="116"/>
    </row>
    <row r="114" spans="1:9" ht="19" customHeight="1">
      <c r="A114" s="115" t="s">
        <v>2832</v>
      </c>
      <c r="B114" s="115" t="s">
        <v>2491</v>
      </c>
      <c r="C114" s="115" t="s">
        <v>2145</v>
      </c>
      <c r="D114" s="116" t="s">
        <v>2167</v>
      </c>
      <c r="E114" s="116" t="s">
        <v>2616</v>
      </c>
      <c r="F114" s="116" t="s">
        <v>3626</v>
      </c>
      <c r="G114" s="135"/>
      <c r="H114" s="117">
        <v>8</v>
      </c>
      <c r="I114" s="116"/>
    </row>
    <row r="115" spans="1:9" ht="19" customHeight="1">
      <c r="A115" s="115" t="s">
        <v>2833</v>
      </c>
      <c r="B115" s="115" t="s">
        <v>2491</v>
      </c>
      <c r="C115" s="115" t="s">
        <v>2145</v>
      </c>
      <c r="D115" s="116" t="s">
        <v>2167</v>
      </c>
      <c r="E115" s="116" t="s">
        <v>2617</v>
      </c>
      <c r="F115" s="116" t="s">
        <v>2618</v>
      </c>
      <c r="G115" s="135"/>
      <c r="H115" s="117">
        <v>3</v>
      </c>
      <c r="I115" s="116"/>
    </row>
    <row r="116" spans="1:9" ht="19" customHeight="1">
      <c r="A116" s="115" t="s">
        <v>2834</v>
      </c>
      <c r="B116" s="115" t="s">
        <v>2619</v>
      </c>
      <c r="C116" s="115" t="s">
        <v>2145</v>
      </c>
      <c r="D116" s="116" t="s">
        <v>2167</v>
      </c>
      <c r="E116" s="116" t="s">
        <v>3627</v>
      </c>
      <c r="F116" s="116" t="s">
        <v>3628</v>
      </c>
      <c r="G116" s="135"/>
      <c r="H116" s="117">
        <v>4</v>
      </c>
      <c r="I116" s="116" t="s">
        <v>2620</v>
      </c>
    </row>
    <row r="117" spans="1:9" ht="19" customHeight="1">
      <c r="A117" s="115" t="s">
        <v>4196</v>
      </c>
      <c r="B117" s="115" t="s">
        <v>1961</v>
      </c>
      <c r="C117" s="115" t="s">
        <v>2145</v>
      </c>
      <c r="D117" s="116" t="s">
        <v>2176</v>
      </c>
      <c r="E117" s="116" t="s">
        <v>2621</v>
      </c>
      <c r="F117" s="116" t="s">
        <v>2622</v>
      </c>
      <c r="G117" s="135">
        <v>3</v>
      </c>
      <c r="H117" s="117"/>
      <c r="I117" s="116"/>
    </row>
    <row r="118" spans="1:9" ht="19" customHeight="1">
      <c r="A118" s="115" t="s">
        <v>3342</v>
      </c>
      <c r="B118" s="115" t="s">
        <v>3595</v>
      </c>
      <c r="C118" s="115" t="s">
        <v>2145</v>
      </c>
      <c r="D118" s="116" t="s">
        <v>2176</v>
      </c>
      <c r="E118" s="116" t="s">
        <v>2623</v>
      </c>
      <c r="F118" s="116" t="s">
        <v>2624</v>
      </c>
      <c r="G118" s="135"/>
      <c r="H118" s="117">
        <v>4</v>
      </c>
      <c r="I118" s="116"/>
    </row>
    <row r="119" spans="1:9" ht="19" customHeight="1">
      <c r="A119" s="115" t="s">
        <v>2837</v>
      </c>
      <c r="B119" s="115" t="s">
        <v>2487</v>
      </c>
      <c r="C119" s="115" t="s">
        <v>2145</v>
      </c>
      <c r="D119" s="116" t="s">
        <v>2211</v>
      </c>
      <c r="E119" s="116" t="s">
        <v>2625</v>
      </c>
      <c r="F119" s="116" t="s">
        <v>2626</v>
      </c>
      <c r="G119" s="135">
        <v>2</v>
      </c>
      <c r="H119" s="117"/>
      <c r="I119" s="116"/>
    </row>
    <row r="120" spans="1:9" ht="19" customHeight="1">
      <c r="A120" s="115" t="s">
        <v>2838</v>
      </c>
      <c r="B120" s="115" t="s">
        <v>2491</v>
      </c>
      <c r="C120" s="115" t="s">
        <v>2145</v>
      </c>
      <c r="D120" s="116" t="s">
        <v>2211</v>
      </c>
      <c r="E120" s="116" t="s">
        <v>2627</v>
      </c>
      <c r="F120" s="116" t="s">
        <v>2628</v>
      </c>
      <c r="G120" s="135"/>
      <c r="H120" s="117">
        <v>6</v>
      </c>
      <c r="I120" s="116"/>
    </row>
    <row r="121" spans="1:9" ht="19" customHeight="1">
      <c r="A121" s="115" t="s">
        <v>2839</v>
      </c>
      <c r="B121" s="115" t="s">
        <v>2491</v>
      </c>
      <c r="C121" s="115" t="s">
        <v>2145</v>
      </c>
      <c r="D121" s="116" t="s">
        <v>2211</v>
      </c>
      <c r="E121" s="116" t="s">
        <v>2629</v>
      </c>
      <c r="F121" s="116" t="s">
        <v>2630</v>
      </c>
      <c r="G121" s="135"/>
      <c r="H121" s="117">
        <v>4</v>
      </c>
      <c r="I121" s="116"/>
    </row>
    <row r="122" spans="1:9" ht="19" customHeight="1">
      <c r="A122" s="115" t="s">
        <v>2841</v>
      </c>
      <c r="B122" s="115" t="s">
        <v>1969</v>
      </c>
      <c r="C122" s="115" t="s">
        <v>2145</v>
      </c>
      <c r="D122" s="116" t="s">
        <v>3479</v>
      </c>
      <c r="E122" s="116" t="s">
        <v>2631</v>
      </c>
      <c r="F122" s="116" t="s">
        <v>2632</v>
      </c>
      <c r="G122" s="135">
        <v>3</v>
      </c>
      <c r="H122" s="117"/>
      <c r="I122" s="116"/>
    </row>
    <row r="123" spans="1:9" ht="19" customHeight="1">
      <c r="A123" s="115" t="s">
        <v>2844</v>
      </c>
      <c r="B123" s="115" t="s">
        <v>1969</v>
      </c>
      <c r="C123" s="115" t="s">
        <v>2145</v>
      </c>
      <c r="D123" s="116" t="s">
        <v>3479</v>
      </c>
      <c r="E123" s="116" t="s">
        <v>2633</v>
      </c>
      <c r="F123" s="116" t="s">
        <v>2634</v>
      </c>
      <c r="G123" s="135">
        <v>2</v>
      </c>
      <c r="H123" s="117"/>
      <c r="I123" s="116"/>
    </row>
    <row r="124" spans="1:9" ht="19" customHeight="1">
      <c r="A124" s="115" t="s">
        <v>2842</v>
      </c>
      <c r="B124" s="115" t="s">
        <v>1975</v>
      </c>
      <c r="C124" s="115" t="s">
        <v>2148</v>
      </c>
      <c r="D124" s="116" t="s">
        <v>2181</v>
      </c>
      <c r="E124" s="116" t="s">
        <v>2635</v>
      </c>
      <c r="F124" s="116" t="s">
        <v>2636</v>
      </c>
      <c r="G124" s="135">
        <v>3</v>
      </c>
      <c r="H124" s="117"/>
      <c r="I124" s="116"/>
    </row>
    <row r="125" spans="1:9" ht="19" customHeight="1">
      <c r="A125" s="115" t="s">
        <v>2843</v>
      </c>
      <c r="B125" s="115" t="s">
        <v>2491</v>
      </c>
      <c r="C125" s="115" t="s">
        <v>2148</v>
      </c>
      <c r="D125" s="116" t="s">
        <v>2181</v>
      </c>
      <c r="E125" s="116" t="s">
        <v>2638</v>
      </c>
      <c r="F125" s="116" t="s">
        <v>2639</v>
      </c>
      <c r="G125" s="135"/>
      <c r="H125" s="117">
        <v>3</v>
      </c>
      <c r="I125" s="116"/>
    </row>
    <row r="126" spans="1:9" ht="19" customHeight="1">
      <c r="A126" s="115" t="s">
        <v>4197</v>
      </c>
      <c r="B126" s="115" t="s">
        <v>1969</v>
      </c>
      <c r="C126" s="115" t="s">
        <v>2148</v>
      </c>
      <c r="D126" s="116" t="s">
        <v>2162</v>
      </c>
      <c r="E126" s="116" t="s">
        <v>2640</v>
      </c>
      <c r="F126" s="116" t="s">
        <v>2641</v>
      </c>
      <c r="G126" s="135">
        <v>2</v>
      </c>
      <c r="H126" s="117"/>
      <c r="I126" s="116"/>
    </row>
    <row r="127" spans="1:9" ht="19" customHeight="1">
      <c r="A127" s="115" t="s">
        <v>2845</v>
      </c>
      <c r="B127" s="115" t="s">
        <v>2491</v>
      </c>
      <c r="C127" s="115" t="s">
        <v>2148</v>
      </c>
      <c r="D127" s="116" t="s">
        <v>2162</v>
      </c>
      <c r="E127" s="116" t="s">
        <v>2643</v>
      </c>
      <c r="F127" s="116" t="s">
        <v>2644</v>
      </c>
      <c r="G127" s="135"/>
      <c r="H127" s="117">
        <v>1</v>
      </c>
      <c r="I127" s="116"/>
    </row>
    <row r="128" spans="1:9" ht="19" customHeight="1">
      <c r="A128" s="115" t="s">
        <v>2846</v>
      </c>
      <c r="B128" s="115" t="s">
        <v>1975</v>
      </c>
      <c r="C128" s="115" t="s">
        <v>2148</v>
      </c>
      <c r="D128" s="116" t="s">
        <v>2172</v>
      </c>
      <c r="E128" s="116" t="s">
        <v>2645</v>
      </c>
      <c r="F128" s="116" t="s">
        <v>2646</v>
      </c>
      <c r="G128" s="135">
        <v>2</v>
      </c>
      <c r="H128" s="117"/>
      <c r="I128" s="116"/>
    </row>
    <row r="129" spans="1:9" ht="19" customHeight="1">
      <c r="A129" s="115" t="s">
        <v>3346</v>
      </c>
      <c r="B129" s="115" t="s">
        <v>3595</v>
      </c>
      <c r="C129" s="115" t="s">
        <v>2148</v>
      </c>
      <c r="D129" s="116" t="s">
        <v>2172</v>
      </c>
      <c r="E129" s="116" t="s">
        <v>2647</v>
      </c>
      <c r="F129" s="116" t="s">
        <v>2648</v>
      </c>
      <c r="G129" s="135"/>
      <c r="H129" s="117">
        <v>2</v>
      </c>
      <c r="I129" s="116"/>
    </row>
    <row r="130" spans="1:9" ht="19" customHeight="1">
      <c r="A130" s="115" t="s">
        <v>2848</v>
      </c>
      <c r="B130" s="115" t="s">
        <v>1974</v>
      </c>
      <c r="C130" s="115" t="s">
        <v>2148</v>
      </c>
      <c r="D130" s="116" t="s">
        <v>2178</v>
      </c>
      <c r="E130" s="116" t="s">
        <v>2649</v>
      </c>
      <c r="F130" s="116" t="s">
        <v>2650</v>
      </c>
      <c r="G130" s="135">
        <v>2</v>
      </c>
      <c r="H130" s="117"/>
      <c r="I130" s="116"/>
    </row>
    <row r="131" spans="1:9" ht="19" customHeight="1">
      <c r="A131" s="115" t="s">
        <v>2849</v>
      </c>
      <c r="B131" s="115" t="s">
        <v>2580</v>
      </c>
      <c r="C131" s="115" t="s">
        <v>2148</v>
      </c>
      <c r="D131" s="116" t="s">
        <v>2178</v>
      </c>
      <c r="E131" s="116" t="s">
        <v>2651</v>
      </c>
      <c r="F131" s="116" t="s">
        <v>2652</v>
      </c>
      <c r="G131" s="135"/>
      <c r="H131" s="117">
        <v>2</v>
      </c>
      <c r="I131" s="116"/>
    </row>
    <row r="132" spans="1:9" ht="19" customHeight="1">
      <c r="A132" s="115" t="s">
        <v>2850</v>
      </c>
      <c r="B132" s="115" t="s">
        <v>2487</v>
      </c>
      <c r="C132" s="115" t="s">
        <v>2150</v>
      </c>
      <c r="D132" s="116" t="s">
        <v>2169</v>
      </c>
      <c r="E132" s="116" t="s">
        <v>2653</v>
      </c>
      <c r="F132" s="116" t="s">
        <v>2654</v>
      </c>
      <c r="G132" s="135">
        <v>4</v>
      </c>
      <c r="H132" s="117"/>
      <c r="I132" s="116" t="s">
        <v>2655</v>
      </c>
    </row>
    <row r="133" spans="1:9" ht="19" customHeight="1">
      <c r="A133" s="115" t="s">
        <v>2851</v>
      </c>
      <c r="B133" s="115" t="s">
        <v>2487</v>
      </c>
      <c r="C133" s="115" t="s">
        <v>2150</v>
      </c>
      <c r="D133" s="116" t="s">
        <v>2169</v>
      </c>
      <c r="E133" s="116" t="s">
        <v>2656</v>
      </c>
      <c r="F133" s="116" t="s">
        <v>2657</v>
      </c>
      <c r="G133" s="135">
        <v>3</v>
      </c>
      <c r="H133" s="117"/>
      <c r="I133" s="116"/>
    </row>
    <row r="134" spans="1:9" ht="19" customHeight="1">
      <c r="A134" s="115" t="s">
        <v>2852</v>
      </c>
      <c r="B134" s="115" t="s">
        <v>2487</v>
      </c>
      <c r="C134" s="115" t="s">
        <v>2150</v>
      </c>
      <c r="D134" s="116" t="s">
        <v>2169</v>
      </c>
      <c r="E134" s="116" t="s">
        <v>2658</v>
      </c>
      <c r="F134" s="116" t="s">
        <v>2659</v>
      </c>
      <c r="G134" s="135">
        <v>2</v>
      </c>
      <c r="H134" s="117"/>
      <c r="I134" s="116"/>
    </row>
    <row r="135" spans="1:9" ht="19" customHeight="1">
      <c r="A135" s="115" t="s">
        <v>2853</v>
      </c>
      <c r="B135" s="115" t="s">
        <v>2491</v>
      </c>
      <c r="C135" s="115" t="s">
        <v>2150</v>
      </c>
      <c r="D135" s="116" t="s">
        <v>2169</v>
      </c>
      <c r="E135" s="116" t="s">
        <v>2660</v>
      </c>
      <c r="F135" s="116" t="s">
        <v>2661</v>
      </c>
      <c r="G135" s="135"/>
      <c r="H135" s="117">
        <v>10</v>
      </c>
      <c r="I135" s="116"/>
    </row>
    <row r="136" spans="1:9" ht="19" customHeight="1">
      <c r="A136" s="115" t="s">
        <v>2854</v>
      </c>
      <c r="B136" s="115" t="s">
        <v>2491</v>
      </c>
      <c r="C136" s="115" t="s">
        <v>2150</v>
      </c>
      <c r="D136" s="116" t="s">
        <v>2169</v>
      </c>
      <c r="E136" s="116" t="s">
        <v>2662</v>
      </c>
      <c r="F136" s="116" t="s">
        <v>2663</v>
      </c>
      <c r="G136" s="135"/>
      <c r="H136" s="117">
        <v>4</v>
      </c>
      <c r="I136" s="116"/>
    </row>
    <row r="137" spans="1:9" ht="19" customHeight="1">
      <c r="A137" s="115" t="s">
        <v>2855</v>
      </c>
      <c r="B137" s="115" t="s">
        <v>2491</v>
      </c>
      <c r="C137" s="115" t="s">
        <v>2150</v>
      </c>
      <c r="D137" s="116" t="s">
        <v>2169</v>
      </c>
      <c r="E137" s="116" t="s">
        <v>2664</v>
      </c>
      <c r="F137" s="116" t="s">
        <v>2665</v>
      </c>
      <c r="G137" s="135"/>
      <c r="H137" s="117">
        <v>4</v>
      </c>
      <c r="I137" s="116"/>
    </row>
    <row r="138" spans="1:9" ht="19" customHeight="1">
      <c r="A138" s="115" t="s">
        <v>3343</v>
      </c>
      <c r="B138" s="115" t="s">
        <v>2454</v>
      </c>
      <c r="C138" s="115" t="s">
        <v>2150</v>
      </c>
      <c r="D138" s="116" t="s">
        <v>2169</v>
      </c>
      <c r="E138" s="116" t="s">
        <v>2666</v>
      </c>
      <c r="F138" s="116" t="s">
        <v>2667</v>
      </c>
      <c r="G138" s="135"/>
      <c r="H138" s="117">
        <v>4</v>
      </c>
      <c r="I138" s="116"/>
    </row>
    <row r="139" spans="1:9" ht="19" customHeight="1">
      <c r="A139" s="115" t="s">
        <v>2857</v>
      </c>
      <c r="B139" s="115" t="s">
        <v>2487</v>
      </c>
      <c r="C139" s="115" t="s">
        <v>2150</v>
      </c>
      <c r="D139" s="116" t="s">
        <v>2186</v>
      </c>
      <c r="E139" s="116" t="s">
        <v>2669</v>
      </c>
      <c r="F139" s="116" t="s">
        <v>2670</v>
      </c>
      <c r="G139" s="135">
        <v>2</v>
      </c>
      <c r="H139" s="117"/>
      <c r="I139" s="116"/>
    </row>
    <row r="140" spans="1:9" ht="19" customHeight="1">
      <c r="A140" s="115" t="s">
        <v>2858</v>
      </c>
      <c r="B140" s="115" t="s">
        <v>2491</v>
      </c>
      <c r="C140" s="115" t="s">
        <v>2150</v>
      </c>
      <c r="D140" s="116" t="s">
        <v>2186</v>
      </c>
      <c r="E140" s="116" t="s">
        <v>2672</v>
      </c>
      <c r="F140" s="116" t="s">
        <v>2673</v>
      </c>
      <c r="G140" s="135"/>
      <c r="H140" s="117">
        <v>4</v>
      </c>
      <c r="I140" s="116"/>
    </row>
    <row r="141" spans="1:9" ht="19" customHeight="1">
      <c r="A141" s="115" t="s">
        <v>2859</v>
      </c>
      <c r="B141" s="115" t="s">
        <v>1975</v>
      </c>
      <c r="C141" s="115" t="s">
        <v>2152</v>
      </c>
      <c r="D141" s="116" t="s">
        <v>2165</v>
      </c>
      <c r="E141" s="116" t="s">
        <v>2674</v>
      </c>
      <c r="F141" s="116" t="s">
        <v>2675</v>
      </c>
      <c r="G141" s="135">
        <v>3</v>
      </c>
      <c r="H141" s="117"/>
      <c r="I141" s="116"/>
    </row>
    <row r="142" spans="1:9" ht="19" customHeight="1">
      <c r="A142" s="115" t="s">
        <v>2860</v>
      </c>
      <c r="B142" s="115" t="s">
        <v>2491</v>
      </c>
      <c r="C142" s="115" t="s">
        <v>2152</v>
      </c>
      <c r="D142" s="116" t="s">
        <v>2165</v>
      </c>
      <c r="E142" s="116" t="s">
        <v>2676</v>
      </c>
      <c r="F142" s="116" t="s">
        <v>2677</v>
      </c>
      <c r="G142" s="135"/>
      <c r="H142" s="117">
        <v>4</v>
      </c>
      <c r="I142" s="116"/>
    </row>
    <row r="143" spans="1:9" ht="19" customHeight="1">
      <c r="A143" s="115" t="s">
        <v>3344</v>
      </c>
      <c r="B143" s="115" t="s">
        <v>2454</v>
      </c>
      <c r="C143" s="115" t="s">
        <v>2152</v>
      </c>
      <c r="D143" s="116" t="s">
        <v>2165</v>
      </c>
      <c r="E143" s="116" t="s">
        <v>2678</v>
      </c>
      <c r="F143" s="116" t="s">
        <v>2679</v>
      </c>
      <c r="G143" s="135"/>
      <c r="H143" s="117">
        <v>2</v>
      </c>
      <c r="I143" s="116"/>
    </row>
    <row r="144" spans="1:9" ht="19" customHeight="1">
      <c r="A144" s="115" t="s">
        <v>2862</v>
      </c>
      <c r="B144" s="115" t="s">
        <v>1975</v>
      </c>
      <c r="C144" s="115" t="s">
        <v>2152</v>
      </c>
      <c r="D144" s="116" t="s">
        <v>2180</v>
      </c>
      <c r="E144" s="116" t="s">
        <v>2680</v>
      </c>
      <c r="F144" s="116" t="s">
        <v>2681</v>
      </c>
      <c r="G144" s="135">
        <v>3</v>
      </c>
      <c r="H144" s="117"/>
      <c r="I144" s="116"/>
    </row>
    <row r="145" spans="1:9" ht="19" customHeight="1">
      <c r="A145" s="115" t="s">
        <v>2863</v>
      </c>
      <c r="B145" s="115" t="s">
        <v>2491</v>
      </c>
      <c r="C145" s="115" t="s">
        <v>2152</v>
      </c>
      <c r="D145" s="116" t="s">
        <v>2180</v>
      </c>
      <c r="E145" s="116" t="s">
        <v>2683</v>
      </c>
      <c r="F145" s="116" t="s">
        <v>2684</v>
      </c>
      <c r="G145" s="135"/>
      <c r="H145" s="117">
        <v>4</v>
      </c>
      <c r="I145" s="116"/>
    </row>
    <row r="146" spans="1:9" ht="19" customHeight="1">
      <c r="A146" s="115" t="s">
        <v>2864</v>
      </c>
      <c r="B146" s="115" t="s">
        <v>1975</v>
      </c>
      <c r="C146" s="115" t="s">
        <v>2152</v>
      </c>
      <c r="D146" s="116" t="s">
        <v>2192</v>
      </c>
      <c r="E146" s="116" t="s">
        <v>2685</v>
      </c>
      <c r="F146" s="116" t="s">
        <v>2686</v>
      </c>
      <c r="G146" s="135">
        <v>2</v>
      </c>
      <c r="H146" s="117"/>
      <c r="I146" s="116"/>
    </row>
    <row r="147" spans="1:9" ht="19" customHeight="1">
      <c r="A147" s="115" t="s">
        <v>2865</v>
      </c>
      <c r="B147" s="115" t="s">
        <v>2580</v>
      </c>
      <c r="C147" s="115" t="s">
        <v>2152</v>
      </c>
      <c r="D147" s="116" t="s">
        <v>2192</v>
      </c>
      <c r="E147" s="116" t="s">
        <v>2688</v>
      </c>
      <c r="F147" s="116" t="s">
        <v>2689</v>
      </c>
      <c r="G147" s="135"/>
      <c r="H147" s="117">
        <v>3</v>
      </c>
      <c r="I147" s="116"/>
    </row>
    <row r="148" spans="1:9" ht="19" customHeight="1">
      <c r="A148" s="115" t="s">
        <v>2866</v>
      </c>
      <c r="B148" s="115" t="s">
        <v>2487</v>
      </c>
      <c r="C148" s="115" t="s">
        <v>2154</v>
      </c>
      <c r="D148" s="116" t="s">
        <v>2210</v>
      </c>
      <c r="E148" s="116" t="s">
        <v>2691</v>
      </c>
      <c r="F148" s="116" t="s">
        <v>2692</v>
      </c>
      <c r="G148" s="135">
        <v>3</v>
      </c>
      <c r="H148" s="117"/>
      <c r="I148" s="116"/>
    </row>
    <row r="149" spans="1:9" ht="19" customHeight="1">
      <c r="A149" s="115" t="s">
        <v>2867</v>
      </c>
      <c r="B149" s="115" t="s">
        <v>2580</v>
      </c>
      <c r="C149" s="115" t="s">
        <v>2154</v>
      </c>
      <c r="D149" s="116" t="s">
        <v>2210</v>
      </c>
      <c r="E149" s="116" t="s">
        <v>2694</v>
      </c>
      <c r="F149" s="116" t="s">
        <v>2695</v>
      </c>
      <c r="G149" s="135"/>
      <c r="H149" s="117">
        <v>8</v>
      </c>
      <c r="I149" s="116" t="s">
        <v>2696</v>
      </c>
    </row>
    <row r="150" spans="1:9" ht="19" customHeight="1">
      <c r="A150" s="115" t="s">
        <v>2868</v>
      </c>
      <c r="B150" s="115" t="s">
        <v>2580</v>
      </c>
      <c r="C150" s="115" t="s">
        <v>2154</v>
      </c>
      <c r="D150" s="116" t="s">
        <v>2187</v>
      </c>
      <c r="E150" s="116" t="s">
        <v>2697</v>
      </c>
      <c r="F150" s="116" t="s">
        <v>2698</v>
      </c>
      <c r="G150" s="135"/>
      <c r="H150" s="117">
        <v>1</v>
      </c>
      <c r="I150" s="116"/>
    </row>
    <row r="151" spans="1:9" ht="19" customHeight="1">
      <c r="A151" s="115" t="s">
        <v>2869</v>
      </c>
      <c r="B151" s="115" t="s">
        <v>2580</v>
      </c>
      <c r="C151" s="115" t="s">
        <v>2154</v>
      </c>
      <c r="D151" s="116" t="s">
        <v>2183</v>
      </c>
      <c r="E151" s="116" t="s">
        <v>2700</v>
      </c>
      <c r="F151" s="116" t="s">
        <v>2701</v>
      </c>
      <c r="G151" s="135"/>
      <c r="H151" s="117">
        <v>1</v>
      </c>
      <c r="I151" s="116"/>
    </row>
    <row r="152" spans="1:9" ht="19" customHeight="1">
      <c r="A152" s="115" t="s">
        <v>2870</v>
      </c>
      <c r="B152" s="115" t="s">
        <v>2487</v>
      </c>
      <c r="C152" s="115" t="s">
        <v>2154</v>
      </c>
      <c r="D152" s="116" t="s">
        <v>2184</v>
      </c>
      <c r="E152" s="116" t="s">
        <v>2702</v>
      </c>
      <c r="F152" s="116" t="s">
        <v>2703</v>
      </c>
      <c r="G152" s="135">
        <v>1.5</v>
      </c>
      <c r="H152" s="117"/>
      <c r="I152" s="116"/>
    </row>
    <row r="153" spans="1:9" ht="19" customHeight="1">
      <c r="A153" s="115" t="s">
        <v>2871</v>
      </c>
      <c r="B153" s="115" t="s">
        <v>2491</v>
      </c>
      <c r="C153" s="115" t="s">
        <v>2154</v>
      </c>
      <c r="D153" s="116" t="s">
        <v>2184</v>
      </c>
      <c r="E153" s="116" t="s">
        <v>2704</v>
      </c>
      <c r="F153" s="116" t="s">
        <v>2705</v>
      </c>
      <c r="G153" s="135"/>
      <c r="H153" s="117">
        <v>2</v>
      </c>
      <c r="I153" s="116"/>
    </row>
    <row r="154" spans="1:9" ht="19" customHeight="1">
      <c r="A154" s="115" t="s">
        <v>2872</v>
      </c>
      <c r="B154" s="115" t="s">
        <v>2487</v>
      </c>
      <c r="C154" s="115" t="s">
        <v>2154</v>
      </c>
      <c r="D154" s="116" t="s">
        <v>3480</v>
      </c>
      <c r="E154" s="116" t="s">
        <v>3629</v>
      </c>
      <c r="F154" s="116" t="s">
        <v>2706</v>
      </c>
      <c r="G154" s="135">
        <v>3</v>
      </c>
      <c r="H154" s="117"/>
      <c r="I154" s="116"/>
    </row>
    <row r="155" spans="1:9" ht="19" customHeight="1">
      <c r="A155" s="115" t="s">
        <v>2873</v>
      </c>
      <c r="B155" s="115" t="s">
        <v>2445</v>
      </c>
      <c r="C155" s="115" t="s">
        <v>2154</v>
      </c>
      <c r="D155" s="116" t="s">
        <v>3480</v>
      </c>
      <c r="E155" s="116" t="s">
        <v>2707</v>
      </c>
      <c r="F155" s="116" t="s">
        <v>2708</v>
      </c>
      <c r="G155" s="135">
        <v>3</v>
      </c>
      <c r="H155" s="117"/>
      <c r="I155" s="116"/>
    </row>
    <row r="156" spans="1:9" ht="19" customHeight="1">
      <c r="A156" s="115" t="s">
        <v>2874</v>
      </c>
      <c r="B156" s="115" t="s">
        <v>2491</v>
      </c>
      <c r="C156" s="115" t="s">
        <v>2154</v>
      </c>
      <c r="D156" s="116" t="s">
        <v>3480</v>
      </c>
      <c r="E156" s="116" t="s">
        <v>3630</v>
      </c>
      <c r="F156" s="116" t="s">
        <v>2709</v>
      </c>
      <c r="G156" s="135"/>
      <c r="H156" s="117">
        <v>3</v>
      </c>
      <c r="I156" s="116"/>
    </row>
    <row r="157" spans="1:9" ht="19" customHeight="1">
      <c r="A157" s="115" t="s">
        <v>3345</v>
      </c>
      <c r="B157" s="115" t="s">
        <v>2451</v>
      </c>
      <c r="C157" s="115" t="s">
        <v>2154</v>
      </c>
      <c r="D157" s="116" t="s">
        <v>3480</v>
      </c>
      <c r="E157" s="116" t="s">
        <v>2710</v>
      </c>
      <c r="F157" s="116" t="s">
        <v>2711</v>
      </c>
      <c r="G157" s="135"/>
      <c r="H157" s="117">
        <v>4</v>
      </c>
      <c r="I157" s="116"/>
    </row>
    <row r="158" spans="1:9" ht="19" customHeight="1">
      <c r="A158" s="115" t="s">
        <v>2876</v>
      </c>
      <c r="B158" s="115" t="s">
        <v>1562</v>
      </c>
      <c r="C158" s="115" t="s">
        <v>2155</v>
      </c>
      <c r="D158" s="116" t="s">
        <v>2174</v>
      </c>
      <c r="E158" s="116" t="s">
        <v>2712</v>
      </c>
      <c r="F158" s="116" t="s">
        <v>2713</v>
      </c>
      <c r="G158" s="135">
        <v>2</v>
      </c>
      <c r="H158" s="117"/>
      <c r="I158" s="116"/>
    </row>
    <row r="159" spans="1:9" ht="19" customHeight="1">
      <c r="A159" s="115" t="s">
        <v>2877</v>
      </c>
      <c r="B159" s="115" t="s">
        <v>2493</v>
      </c>
      <c r="C159" s="115" t="s">
        <v>2155</v>
      </c>
      <c r="D159" s="116" t="s">
        <v>2174</v>
      </c>
      <c r="E159" s="116" t="s">
        <v>2715</v>
      </c>
      <c r="F159" s="116" t="s">
        <v>2716</v>
      </c>
      <c r="G159" s="135"/>
      <c r="H159" s="117">
        <v>2</v>
      </c>
      <c r="I159" s="116"/>
    </row>
    <row r="160" spans="1:9" ht="19" customHeight="1">
      <c r="A160" s="115" t="s">
        <v>2878</v>
      </c>
      <c r="B160" s="115" t="s">
        <v>1975</v>
      </c>
      <c r="C160" s="115" t="s">
        <v>2157</v>
      </c>
      <c r="D160" s="116" t="s">
        <v>2190</v>
      </c>
      <c r="E160" s="116" t="s">
        <v>2717</v>
      </c>
      <c r="F160" s="116" t="s">
        <v>2718</v>
      </c>
      <c r="G160" s="135">
        <v>3</v>
      </c>
      <c r="H160" s="117"/>
      <c r="I160" s="116"/>
    </row>
    <row r="161" spans="1:9" ht="19" customHeight="1">
      <c r="A161" s="115" t="s">
        <v>4198</v>
      </c>
      <c r="B161" s="115" t="s">
        <v>3595</v>
      </c>
      <c r="C161" s="115" t="s">
        <v>2157</v>
      </c>
      <c r="D161" s="116" t="s">
        <v>2190</v>
      </c>
      <c r="E161" s="116" t="s">
        <v>2719</v>
      </c>
      <c r="F161" s="116" t="s">
        <v>2720</v>
      </c>
      <c r="G161" s="135"/>
      <c r="H161" s="117">
        <v>2</v>
      </c>
      <c r="I161" s="116"/>
    </row>
    <row r="162" spans="1:9" ht="19" customHeight="1">
      <c r="A162" s="115" t="s">
        <v>2880</v>
      </c>
      <c r="B162" s="115" t="s">
        <v>2462</v>
      </c>
      <c r="C162" s="115" t="s">
        <v>2157</v>
      </c>
      <c r="D162" s="116" t="s">
        <v>2194</v>
      </c>
      <c r="E162" s="116" t="s">
        <v>2721</v>
      </c>
      <c r="F162" s="116" t="s">
        <v>2722</v>
      </c>
      <c r="G162" s="135">
        <v>2</v>
      </c>
      <c r="H162" s="117"/>
      <c r="I162" s="116"/>
    </row>
    <row r="163" spans="1:9" ht="19" customHeight="1">
      <c r="A163" s="115" t="s">
        <v>2881</v>
      </c>
      <c r="B163" s="115" t="s">
        <v>2487</v>
      </c>
      <c r="C163" s="115" t="s">
        <v>2157</v>
      </c>
      <c r="D163" s="116" t="s">
        <v>2193</v>
      </c>
      <c r="E163" s="116" t="s">
        <v>2724</v>
      </c>
      <c r="F163" s="116" t="s">
        <v>2725</v>
      </c>
      <c r="G163" s="135">
        <v>2</v>
      </c>
      <c r="H163" s="117"/>
      <c r="I163" s="116"/>
    </row>
    <row r="164" spans="1:9" ht="19" customHeight="1">
      <c r="A164" s="115" t="s">
        <v>2882</v>
      </c>
      <c r="B164" s="115" t="s">
        <v>2491</v>
      </c>
      <c r="C164" s="115" t="s">
        <v>2157</v>
      </c>
      <c r="D164" s="116" t="s">
        <v>2193</v>
      </c>
      <c r="E164" s="116" t="s">
        <v>2727</v>
      </c>
      <c r="F164" s="116" t="s">
        <v>2728</v>
      </c>
      <c r="G164" s="135"/>
      <c r="H164" s="117">
        <v>4</v>
      </c>
      <c r="I164" s="116" t="s">
        <v>2620</v>
      </c>
    </row>
    <row r="165" spans="1:9" ht="19" customHeight="1">
      <c r="A165" s="115" t="s">
        <v>2883</v>
      </c>
      <c r="B165" s="115" t="s">
        <v>1562</v>
      </c>
      <c r="C165" s="115" t="s">
        <v>2159</v>
      </c>
      <c r="D165" s="116" t="s">
        <v>2188</v>
      </c>
      <c r="E165" s="116" t="s">
        <v>2729</v>
      </c>
      <c r="F165" s="116" t="s">
        <v>2730</v>
      </c>
      <c r="G165" s="135">
        <v>1.5</v>
      </c>
      <c r="H165" s="117"/>
      <c r="I165" s="116"/>
    </row>
    <row r="166" spans="1:9" ht="19" customHeight="1">
      <c r="A166" s="115" t="s">
        <v>2884</v>
      </c>
      <c r="B166" s="115" t="s">
        <v>1562</v>
      </c>
      <c r="C166" s="115" t="s">
        <v>2159</v>
      </c>
      <c r="D166" s="116" t="s">
        <v>2195</v>
      </c>
      <c r="E166" s="116" t="s">
        <v>2731</v>
      </c>
      <c r="F166" s="116" t="s">
        <v>2732</v>
      </c>
      <c r="G166" s="135">
        <v>3</v>
      </c>
      <c r="H166" s="117"/>
      <c r="I166" s="116"/>
    </row>
    <row r="167" spans="1:9" ht="19" customHeight="1">
      <c r="A167" s="115" t="s">
        <v>2885</v>
      </c>
      <c r="B167" s="115" t="s">
        <v>2493</v>
      </c>
      <c r="C167" s="115" t="s">
        <v>2159</v>
      </c>
      <c r="D167" s="116" t="s">
        <v>2195</v>
      </c>
      <c r="E167" s="116" t="s">
        <v>2733</v>
      </c>
      <c r="F167" s="116" t="s">
        <v>2734</v>
      </c>
      <c r="G167" s="135"/>
      <c r="H167" s="117">
        <v>2</v>
      </c>
      <c r="I167" s="116"/>
    </row>
    <row r="168" spans="1:9" ht="19" customHeight="1">
      <c r="A168" s="115" t="s">
        <v>2886</v>
      </c>
      <c r="B168" s="115" t="s">
        <v>1562</v>
      </c>
      <c r="C168" s="115" t="s">
        <v>2159</v>
      </c>
      <c r="D168" s="116" t="s">
        <v>2212</v>
      </c>
      <c r="E168" s="116" t="s">
        <v>2735</v>
      </c>
      <c r="F168" s="116" t="s">
        <v>2736</v>
      </c>
      <c r="G168" s="135">
        <v>9</v>
      </c>
      <c r="H168" s="117"/>
      <c r="I168" s="116" t="s">
        <v>2737</v>
      </c>
    </row>
    <row r="169" spans="1:9" ht="19" customHeight="1">
      <c r="A169" s="115" t="s">
        <v>2887</v>
      </c>
      <c r="B169" s="115" t="s">
        <v>2493</v>
      </c>
      <c r="C169" s="115" t="s">
        <v>2159</v>
      </c>
      <c r="D169" s="116" t="s">
        <v>2212</v>
      </c>
      <c r="E169" s="116" t="s">
        <v>2738</v>
      </c>
      <c r="F169" s="116" t="s">
        <v>2739</v>
      </c>
      <c r="G169" s="135"/>
      <c r="H169" s="117">
        <v>6</v>
      </c>
      <c r="I169" s="116" t="s">
        <v>2740</v>
      </c>
    </row>
    <row r="170" spans="1:9" ht="19" customHeight="1">
      <c r="A170" s="115" t="s">
        <v>2888</v>
      </c>
      <c r="B170" s="115" t="s">
        <v>1562</v>
      </c>
      <c r="C170" s="115" t="s">
        <v>2160</v>
      </c>
      <c r="D170" s="116" t="s">
        <v>2216</v>
      </c>
      <c r="E170" s="116" t="s">
        <v>2741</v>
      </c>
      <c r="F170" s="116" t="s">
        <v>2742</v>
      </c>
      <c r="G170" s="135">
        <v>2</v>
      </c>
      <c r="H170" s="117"/>
      <c r="I170" s="116"/>
    </row>
    <row r="171" spans="1:9" ht="19" customHeight="1">
      <c r="A171" s="115" t="s">
        <v>2889</v>
      </c>
      <c r="B171" s="115" t="s">
        <v>2493</v>
      </c>
      <c r="C171" s="115" t="s">
        <v>2160</v>
      </c>
      <c r="D171" s="116" t="s">
        <v>2216</v>
      </c>
      <c r="E171" s="116" t="s">
        <v>2744</v>
      </c>
      <c r="F171" s="116" t="s">
        <v>2745</v>
      </c>
      <c r="G171" s="135"/>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39" customWidth="1"/>
    <col min="2" max="2" width="15.7109375" style="139" customWidth="1"/>
    <col min="3" max="3" width="25.28515625" style="139" customWidth="1"/>
    <col min="4" max="4" width="33.5703125" style="139" customWidth="1"/>
    <col min="5" max="5" width="46.140625" style="139" customWidth="1"/>
    <col min="6" max="6" width="61.42578125" style="139" customWidth="1"/>
    <col min="7" max="7" width="21.42578125" style="139" customWidth="1"/>
    <col min="8" max="8" width="60" style="139" customWidth="1"/>
    <col min="9" max="9" width="65.28515625" style="139" customWidth="1"/>
    <col min="10" max="14" width="15.7109375" style="139" customWidth="1"/>
    <col min="15" max="16384" width="10.7109375" style="139"/>
  </cols>
  <sheetData>
    <row r="1" spans="1:14">
      <c r="A1" s="137" t="s">
        <v>2044</v>
      </c>
      <c r="B1" s="138"/>
      <c r="C1" s="138"/>
      <c r="D1" s="137" t="s">
        <v>2040</v>
      </c>
      <c r="E1" s="138">
        <f>SUM('WBS(基本設計)'!$I$7:$I$162)</f>
        <v>232</v>
      </c>
      <c r="F1" s="138"/>
      <c r="G1" s="138"/>
      <c r="H1" s="138"/>
      <c r="I1" s="138"/>
      <c r="J1" s="138"/>
      <c r="K1" s="138"/>
      <c r="L1" s="138"/>
      <c r="M1" s="138"/>
      <c r="N1" s="138"/>
    </row>
    <row r="2" spans="1:14">
      <c r="A2" s="140" t="s">
        <v>1494</v>
      </c>
      <c r="B2" s="138"/>
      <c r="C2" s="138"/>
      <c r="D2" s="137" t="s">
        <v>2041</v>
      </c>
      <c r="E2" s="138">
        <f>SUM('WBS(詳細設計_製造)'!$G$6:$H$171)</f>
        <v>433.5</v>
      </c>
      <c r="F2" s="138"/>
      <c r="G2" s="138"/>
      <c r="H2" s="138"/>
      <c r="I2" s="138"/>
      <c r="J2" s="138"/>
      <c r="K2" s="138"/>
      <c r="L2" s="138"/>
      <c r="M2" s="138"/>
      <c r="N2" s="138"/>
    </row>
    <row r="3" spans="1:14">
      <c r="A3" s="141" t="s">
        <v>2045</v>
      </c>
      <c r="B3" s="138"/>
      <c r="C3" s="138"/>
      <c r="D3" s="137" t="s">
        <v>2042</v>
      </c>
      <c r="E3" s="138">
        <f>SUM($G$6:$G$93)</f>
        <v>331</v>
      </c>
      <c r="F3" s="138"/>
      <c r="G3" s="138"/>
      <c r="H3" s="138"/>
      <c r="I3" s="138"/>
      <c r="J3" s="138"/>
      <c r="K3" s="138"/>
      <c r="L3" s="138"/>
      <c r="M3" s="138"/>
      <c r="N3" s="138"/>
    </row>
    <row r="4" spans="1:14">
      <c r="A4" s="142" t="s">
        <v>2046</v>
      </c>
      <c r="B4" s="138"/>
      <c r="C4" s="138"/>
      <c r="D4" s="137"/>
      <c r="E4" s="138">
        <f>SUM(E1:E3)</f>
        <v>996.5</v>
      </c>
      <c r="F4" s="138">
        <f>E4/20</f>
        <v>49.825000000000003</v>
      </c>
      <c r="G4" s="138">
        <f>F4*160</f>
        <v>7972</v>
      </c>
      <c r="H4" s="138"/>
      <c r="I4" s="138"/>
      <c r="J4" s="138"/>
      <c r="K4" s="138"/>
      <c r="L4" s="138"/>
      <c r="M4" s="138"/>
      <c r="N4" s="138"/>
    </row>
    <row r="5" spans="1:14" ht="24" customHeight="1">
      <c r="A5" s="143" t="s">
        <v>982</v>
      </c>
      <c r="B5" s="143" t="s">
        <v>1399</v>
      </c>
      <c r="C5" s="143" t="s">
        <v>1908</v>
      </c>
      <c r="D5" s="143" t="s">
        <v>1822</v>
      </c>
      <c r="E5" s="143" t="s">
        <v>3543</v>
      </c>
      <c r="F5" s="143" t="s">
        <v>3544</v>
      </c>
      <c r="G5" s="143" t="s">
        <v>1400</v>
      </c>
      <c r="H5" s="143" t="s">
        <v>3545</v>
      </c>
      <c r="I5" s="143" t="s">
        <v>1396</v>
      </c>
      <c r="J5" s="144"/>
      <c r="K5" s="144"/>
      <c r="L5" s="144"/>
      <c r="M5" s="144"/>
      <c r="N5" s="144"/>
    </row>
    <row r="6" spans="1:14" ht="19">
      <c r="A6" s="115" t="s">
        <v>1180</v>
      </c>
      <c r="B6" s="115" t="s">
        <v>3347</v>
      </c>
      <c r="C6" s="115" t="s">
        <v>2118</v>
      </c>
      <c r="D6" s="115" t="s">
        <v>3465</v>
      </c>
      <c r="E6" s="115" t="s">
        <v>3546</v>
      </c>
      <c r="F6" s="115" t="s">
        <v>3547</v>
      </c>
      <c r="G6" s="115">
        <v>4</v>
      </c>
      <c r="H6" s="116" t="s">
        <v>2940</v>
      </c>
      <c r="I6" s="145" t="s">
        <v>3548</v>
      </c>
      <c r="J6" s="138"/>
      <c r="K6" s="138"/>
      <c r="L6" s="138"/>
      <c r="M6" s="138"/>
      <c r="N6" s="138"/>
    </row>
    <row r="7" spans="1:14" ht="19">
      <c r="A7" s="115" t="s">
        <v>1180</v>
      </c>
      <c r="B7" s="115" t="s">
        <v>3348</v>
      </c>
      <c r="C7" s="115" t="s">
        <v>2118</v>
      </c>
      <c r="D7" s="115" t="s">
        <v>3466</v>
      </c>
      <c r="E7" s="115" t="s">
        <v>3549</v>
      </c>
      <c r="F7" s="115" t="s">
        <v>3550</v>
      </c>
      <c r="G7" s="115">
        <v>4</v>
      </c>
      <c r="H7" s="116" t="s">
        <v>2941</v>
      </c>
      <c r="I7" s="145" t="s">
        <v>2942</v>
      </c>
      <c r="J7" s="138"/>
      <c r="K7" s="138"/>
      <c r="L7" s="138"/>
      <c r="M7" s="138"/>
      <c r="N7" s="138"/>
    </row>
    <row r="8" spans="1:14" ht="19">
      <c r="A8" s="115" t="s">
        <v>1180</v>
      </c>
      <c r="B8" s="115" t="s">
        <v>3349</v>
      </c>
      <c r="C8" s="115" t="s">
        <v>2119</v>
      </c>
      <c r="D8" s="115" t="s">
        <v>2175</v>
      </c>
      <c r="E8" s="115" t="s">
        <v>3551</v>
      </c>
      <c r="F8" s="115" t="s">
        <v>3552</v>
      </c>
      <c r="G8" s="115">
        <v>2</v>
      </c>
      <c r="H8" s="116" t="s">
        <v>980</v>
      </c>
      <c r="I8" s="145" t="s">
        <v>2943</v>
      </c>
      <c r="J8" s="138"/>
      <c r="K8" s="138"/>
      <c r="L8" s="138"/>
      <c r="M8" s="138"/>
      <c r="N8" s="138"/>
    </row>
    <row r="9" spans="1:14" ht="19">
      <c r="A9" s="115" t="s">
        <v>1180</v>
      </c>
      <c r="B9" s="115" t="s">
        <v>3350</v>
      </c>
      <c r="C9" s="115" t="s">
        <v>2126</v>
      </c>
      <c r="D9" s="115" t="s">
        <v>3469</v>
      </c>
      <c r="E9" s="115" t="s">
        <v>3553</v>
      </c>
      <c r="F9" s="115" t="s">
        <v>3554</v>
      </c>
      <c r="G9" s="115">
        <v>5</v>
      </c>
      <c r="H9" s="116" t="s">
        <v>2944</v>
      </c>
      <c r="I9" s="145" t="s">
        <v>2945</v>
      </c>
      <c r="J9" s="138"/>
      <c r="K9" s="138"/>
      <c r="L9" s="138"/>
      <c r="M9" s="138"/>
      <c r="N9" s="138"/>
    </row>
    <row r="10" spans="1:14" ht="19">
      <c r="A10" s="115" t="s">
        <v>1180</v>
      </c>
      <c r="B10" s="115" t="s">
        <v>3351</v>
      </c>
      <c r="C10" s="115" t="s">
        <v>1912</v>
      </c>
      <c r="D10" s="115" t="s">
        <v>1842</v>
      </c>
      <c r="E10" s="115" t="s">
        <v>2946</v>
      </c>
      <c r="F10" s="115" t="s">
        <v>2947</v>
      </c>
      <c r="G10" s="115">
        <v>2</v>
      </c>
      <c r="H10" s="116" t="s">
        <v>70</v>
      </c>
      <c r="I10" s="145" t="s">
        <v>2948</v>
      </c>
      <c r="J10" s="138"/>
      <c r="K10" s="138"/>
      <c r="L10" s="138"/>
      <c r="M10" s="138"/>
      <c r="N10" s="138"/>
    </row>
    <row r="11" spans="1:14" ht="19">
      <c r="A11" s="115" t="s">
        <v>1180</v>
      </c>
      <c r="B11" s="115" t="s">
        <v>3352</v>
      </c>
      <c r="C11" s="115" t="s">
        <v>3443</v>
      </c>
      <c r="D11" s="115" t="s">
        <v>3477</v>
      </c>
      <c r="E11" s="115" t="s">
        <v>3555</v>
      </c>
      <c r="F11" s="115" t="s">
        <v>2950</v>
      </c>
      <c r="G11" s="115">
        <v>2</v>
      </c>
      <c r="H11" s="116" t="s">
        <v>2951</v>
      </c>
      <c r="I11" s="145" t="s">
        <v>2948</v>
      </c>
      <c r="J11" s="138"/>
      <c r="K11" s="138"/>
      <c r="L11" s="138"/>
      <c r="M11" s="138"/>
      <c r="N11" s="138"/>
    </row>
    <row r="12" spans="1:14" ht="19">
      <c r="A12" s="115" t="s">
        <v>1180</v>
      </c>
      <c r="B12" s="115" t="s">
        <v>3353</v>
      </c>
      <c r="C12" s="115" t="s">
        <v>2135</v>
      </c>
      <c r="D12" s="115" t="s">
        <v>2213</v>
      </c>
      <c r="E12" s="115" t="s">
        <v>3556</v>
      </c>
      <c r="F12" s="115" t="s">
        <v>3557</v>
      </c>
      <c r="G12" s="115">
        <v>4</v>
      </c>
      <c r="H12" s="116" t="s">
        <v>2952</v>
      </c>
      <c r="I12" s="145" t="s">
        <v>2953</v>
      </c>
      <c r="J12" s="138"/>
      <c r="K12" s="138"/>
      <c r="L12" s="138"/>
      <c r="M12" s="138"/>
      <c r="N12" s="138"/>
    </row>
    <row r="13" spans="1:14" ht="19">
      <c r="A13" s="146" t="s">
        <v>1180</v>
      </c>
      <c r="B13" s="146" t="s">
        <v>3354</v>
      </c>
      <c r="C13" s="146" t="s">
        <v>2136</v>
      </c>
      <c r="D13" s="146" t="s">
        <v>1824</v>
      </c>
      <c r="E13" s="146" t="s">
        <v>2954</v>
      </c>
      <c r="F13" s="146" t="s">
        <v>3558</v>
      </c>
      <c r="G13" s="146">
        <v>4</v>
      </c>
      <c r="H13" s="147" t="s">
        <v>2955</v>
      </c>
      <c r="I13" s="145" t="s">
        <v>2956</v>
      </c>
      <c r="J13" s="138"/>
      <c r="K13" s="138"/>
      <c r="L13" s="138"/>
      <c r="M13" s="138"/>
      <c r="N13" s="138"/>
    </row>
    <row r="14" spans="1:14" ht="19">
      <c r="A14" s="146" t="s">
        <v>1180</v>
      </c>
      <c r="B14" s="146" t="s">
        <v>3355</v>
      </c>
      <c r="C14" s="146" t="s">
        <v>2137</v>
      </c>
      <c r="D14" s="146" t="s">
        <v>2191</v>
      </c>
      <c r="E14" s="146" t="s">
        <v>2957</v>
      </c>
      <c r="F14" s="146" t="s">
        <v>2958</v>
      </c>
      <c r="G14" s="146">
        <v>4</v>
      </c>
      <c r="H14" s="147" t="s">
        <v>2959</v>
      </c>
      <c r="I14" s="145" t="s">
        <v>2960</v>
      </c>
      <c r="J14" s="138"/>
      <c r="K14" s="138"/>
      <c r="L14" s="138"/>
      <c r="M14" s="138"/>
      <c r="N14" s="138"/>
    </row>
    <row r="15" spans="1:14" ht="19">
      <c r="A15" s="115" t="s">
        <v>1180</v>
      </c>
      <c r="B15" s="115" t="s">
        <v>3356</v>
      </c>
      <c r="C15" s="115" t="s">
        <v>2145</v>
      </c>
      <c r="D15" s="115" t="s">
        <v>2189</v>
      </c>
      <c r="E15" s="115" t="s">
        <v>2962</v>
      </c>
      <c r="F15" s="115" t="s">
        <v>2963</v>
      </c>
      <c r="G15" s="115">
        <v>1.5</v>
      </c>
      <c r="H15" s="116" t="s">
        <v>980</v>
      </c>
      <c r="I15" s="145" t="s">
        <v>2964</v>
      </c>
      <c r="J15" s="138"/>
      <c r="K15" s="138"/>
      <c r="L15" s="138"/>
      <c r="M15" s="138"/>
      <c r="N15" s="138"/>
    </row>
    <row r="16" spans="1:14" ht="19">
      <c r="A16" s="115" t="s">
        <v>1180</v>
      </c>
      <c r="B16" s="115" t="s">
        <v>3357</v>
      </c>
      <c r="C16" s="115" t="s">
        <v>2145</v>
      </c>
      <c r="D16" s="115" t="s">
        <v>2166</v>
      </c>
      <c r="E16" s="115" t="s">
        <v>2966</v>
      </c>
      <c r="F16" s="115" t="s">
        <v>3559</v>
      </c>
      <c r="G16" s="115">
        <v>4</v>
      </c>
      <c r="H16" s="116" t="s">
        <v>2967</v>
      </c>
      <c r="I16" s="145" t="s">
        <v>2968</v>
      </c>
      <c r="J16" s="138"/>
      <c r="K16" s="138"/>
      <c r="L16" s="138"/>
      <c r="M16" s="138"/>
      <c r="N16" s="138"/>
    </row>
    <row r="17" spans="1:14" ht="19">
      <c r="A17" s="115" t="s">
        <v>1180</v>
      </c>
      <c r="B17" s="115" t="s">
        <v>3358</v>
      </c>
      <c r="C17" s="115" t="s">
        <v>2145</v>
      </c>
      <c r="D17" s="115" t="s">
        <v>2176</v>
      </c>
      <c r="E17" s="115" t="s">
        <v>2969</v>
      </c>
      <c r="F17" s="115" t="s">
        <v>3560</v>
      </c>
      <c r="G17" s="115">
        <v>2</v>
      </c>
      <c r="H17" s="116" t="s">
        <v>2970</v>
      </c>
      <c r="I17" s="145" t="s">
        <v>2971</v>
      </c>
      <c r="J17" s="138"/>
      <c r="K17" s="138"/>
      <c r="L17" s="138"/>
      <c r="M17" s="138"/>
      <c r="N17" s="138"/>
    </row>
    <row r="18" spans="1:14" ht="19">
      <c r="A18" s="115" t="s">
        <v>1180</v>
      </c>
      <c r="B18" s="115" t="s">
        <v>3359</v>
      </c>
      <c r="C18" s="115" t="s">
        <v>2145</v>
      </c>
      <c r="D18" s="115" t="s">
        <v>2211</v>
      </c>
      <c r="E18" s="115" t="s">
        <v>2972</v>
      </c>
      <c r="F18" s="115" t="s">
        <v>2973</v>
      </c>
      <c r="G18" s="115">
        <v>2</v>
      </c>
      <c r="H18" s="116" t="s">
        <v>980</v>
      </c>
      <c r="I18" s="145" t="s">
        <v>2974</v>
      </c>
      <c r="J18" s="138"/>
      <c r="K18" s="138"/>
      <c r="L18" s="138"/>
      <c r="M18" s="138"/>
      <c r="N18" s="138"/>
    </row>
    <row r="19" spans="1:14" ht="19">
      <c r="A19" s="115" t="s">
        <v>1180</v>
      </c>
      <c r="B19" s="115" t="s">
        <v>3360</v>
      </c>
      <c r="C19" s="115" t="s">
        <v>2145</v>
      </c>
      <c r="D19" s="115" t="s">
        <v>3479</v>
      </c>
      <c r="E19" s="115" t="s">
        <v>3561</v>
      </c>
      <c r="F19" s="115" t="s">
        <v>2976</v>
      </c>
      <c r="G19" s="115">
        <v>3</v>
      </c>
      <c r="H19" s="116" t="s">
        <v>2977</v>
      </c>
      <c r="I19" s="145" t="s">
        <v>2978</v>
      </c>
      <c r="J19" s="138"/>
      <c r="K19" s="138"/>
      <c r="L19" s="138"/>
      <c r="M19" s="138"/>
      <c r="N19" s="138"/>
    </row>
    <row r="20" spans="1:14" ht="19">
      <c r="A20" s="115" t="s">
        <v>1180</v>
      </c>
      <c r="B20" s="115" t="s">
        <v>3361</v>
      </c>
      <c r="C20" s="115" t="s">
        <v>2157</v>
      </c>
      <c r="D20" s="115" t="s">
        <v>2194</v>
      </c>
      <c r="E20" s="115" t="s">
        <v>2979</v>
      </c>
      <c r="F20" s="115" t="s">
        <v>2980</v>
      </c>
      <c r="G20" s="115">
        <v>2</v>
      </c>
      <c r="H20" s="116" t="s">
        <v>139</v>
      </c>
      <c r="I20" s="145" t="s">
        <v>2378</v>
      </c>
      <c r="J20" s="138"/>
      <c r="K20" s="138"/>
      <c r="L20" s="138"/>
      <c r="M20" s="138"/>
      <c r="N20" s="138"/>
    </row>
    <row r="21" spans="1:14" ht="19">
      <c r="A21" s="115" t="s">
        <v>2981</v>
      </c>
      <c r="B21" s="115" t="s">
        <v>3362</v>
      </c>
      <c r="C21" s="115" t="s">
        <v>2117</v>
      </c>
      <c r="D21" s="115" t="s">
        <v>3463</v>
      </c>
      <c r="E21" s="115" t="s">
        <v>3562</v>
      </c>
      <c r="F21" s="115" t="s">
        <v>3563</v>
      </c>
      <c r="G21" s="115">
        <v>3</v>
      </c>
      <c r="H21" s="116" t="s">
        <v>2982</v>
      </c>
      <c r="I21" s="145" t="s">
        <v>2983</v>
      </c>
      <c r="J21" s="138"/>
      <c r="K21" s="138"/>
      <c r="L21" s="138"/>
      <c r="M21" s="138"/>
      <c r="N21" s="138"/>
    </row>
    <row r="22" spans="1:14" ht="19">
      <c r="A22" s="115" t="s">
        <v>2981</v>
      </c>
      <c r="B22" s="115" t="s">
        <v>3363</v>
      </c>
      <c r="C22" s="115" t="s">
        <v>2117</v>
      </c>
      <c r="D22" s="115" t="s">
        <v>1827</v>
      </c>
      <c r="E22" s="115" t="s">
        <v>2984</v>
      </c>
      <c r="F22" s="115" t="s">
        <v>2985</v>
      </c>
      <c r="G22" s="115">
        <v>1</v>
      </c>
      <c r="H22" s="116" t="s">
        <v>43</v>
      </c>
      <c r="I22" s="145" t="s">
        <v>2983</v>
      </c>
      <c r="J22" s="138"/>
      <c r="K22" s="138"/>
      <c r="L22" s="138"/>
      <c r="M22" s="138"/>
      <c r="N22" s="138"/>
    </row>
    <row r="23" spans="1:14" ht="19">
      <c r="A23" s="115" t="s">
        <v>2981</v>
      </c>
      <c r="B23" s="115" t="s">
        <v>3364</v>
      </c>
      <c r="C23" s="115" t="s">
        <v>2117</v>
      </c>
      <c r="D23" s="115" t="s">
        <v>3464</v>
      </c>
      <c r="E23" s="115" t="s">
        <v>3564</v>
      </c>
      <c r="F23" s="115" t="s">
        <v>2986</v>
      </c>
      <c r="G23" s="115">
        <v>1</v>
      </c>
      <c r="H23" s="116" t="s">
        <v>43</v>
      </c>
      <c r="I23" s="145" t="s">
        <v>2983</v>
      </c>
      <c r="J23" s="138"/>
      <c r="K23" s="138"/>
      <c r="L23" s="138"/>
      <c r="M23" s="138"/>
      <c r="N23" s="138"/>
    </row>
    <row r="24" spans="1:14" ht="19">
      <c r="A24" s="115" t="s">
        <v>2981</v>
      </c>
      <c r="B24" s="115" t="s">
        <v>3365</v>
      </c>
      <c r="C24" s="115" t="s">
        <v>2118</v>
      </c>
      <c r="D24" s="115" t="s">
        <v>3465</v>
      </c>
      <c r="E24" s="115" t="s">
        <v>2987</v>
      </c>
      <c r="F24" s="115" t="s">
        <v>3565</v>
      </c>
      <c r="G24" s="115">
        <v>4</v>
      </c>
      <c r="H24" s="116" t="s">
        <v>2988</v>
      </c>
      <c r="I24" s="145" t="s">
        <v>2989</v>
      </c>
      <c r="J24" s="138"/>
      <c r="K24" s="138"/>
      <c r="L24" s="138"/>
      <c r="M24" s="138"/>
      <c r="N24" s="138"/>
    </row>
    <row r="25" spans="1:14" ht="19">
      <c r="A25" s="115" t="s">
        <v>2981</v>
      </c>
      <c r="B25" s="115" t="s">
        <v>3366</v>
      </c>
      <c r="C25" s="115" t="s">
        <v>2118</v>
      </c>
      <c r="D25" s="115" t="s">
        <v>3466</v>
      </c>
      <c r="E25" s="115" t="s">
        <v>2990</v>
      </c>
      <c r="F25" s="115" t="s">
        <v>2991</v>
      </c>
      <c r="G25" s="115">
        <v>5</v>
      </c>
      <c r="H25" s="116" t="s">
        <v>2992</v>
      </c>
      <c r="I25" s="145" t="s">
        <v>2378</v>
      </c>
      <c r="J25" s="138"/>
      <c r="K25" s="138"/>
      <c r="L25" s="138"/>
      <c r="M25" s="138"/>
      <c r="N25" s="138"/>
    </row>
    <row r="26" spans="1:14" ht="19">
      <c r="A26" s="115" t="s">
        <v>2981</v>
      </c>
      <c r="B26" s="115" t="s">
        <v>3367</v>
      </c>
      <c r="C26" s="115" t="s">
        <v>2118</v>
      </c>
      <c r="D26" s="115" t="s">
        <v>2198</v>
      </c>
      <c r="E26" s="115" t="s">
        <v>2993</v>
      </c>
      <c r="F26" s="115" t="s">
        <v>3566</v>
      </c>
      <c r="G26" s="115">
        <v>2</v>
      </c>
      <c r="H26" s="116" t="s">
        <v>2994</v>
      </c>
      <c r="I26" s="145" t="s">
        <v>2989</v>
      </c>
      <c r="J26" s="138"/>
      <c r="K26" s="138"/>
      <c r="L26" s="138"/>
      <c r="M26" s="138"/>
      <c r="N26" s="138"/>
    </row>
    <row r="27" spans="1:14" ht="19">
      <c r="A27" s="115" t="s">
        <v>2981</v>
      </c>
      <c r="B27" s="115" t="s">
        <v>3368</v>
      </c>
      <c r="C27" s="115" t="s">
        <v>2118</v>
      </c>
      <c r="D27" s="115" t="s">
        <v>1837</v>
      </c>
      <c r="E27" s="115" t="s">
        <v>2995</v>
      </c>
      <c r="F27" s="115" t="s">
        <v>2996</v>
      </c>
      <c r="G27" s="115">
        <v>1</v>
      </c>
      <c r="H27" s="116" t="s">
        <v>38</v>
      </c>
      <c r="I27" s="145" t="s">
        <v>2989</v>
      </c>
      <c r="J27" s="138"/>
      <c r="K27" s="138"/>
      <c r="L27" s="138"/>
      <c r="M27" s="138"/>
      <c r="N27" s="138"/>
    </row>
    <row r="28" spans="1:14" ht="19">
      <c r="A28" s="115" t="s">
        <v>2981</v>
      </c>
      <c r="B28" s="115" t="s">
        <v>3369</v>
      </c>
      <c r="C28" s="115" t="s">
        <v>2122</v>
      </c>
      <c r="D28" s="115" t="s">
        <v>2197</v>
      </c>
      <c r="E28" s="115" t="s">
        <v>2997</v>
      </c>
      <c r="F28" s="115" t="s">
        <v>2998</v>
      </c>
      <c r="G28" s="115">
        <v>6</v>
      </c>
      <c r="H28" s="116" t="s">
        <v>2999</v>
      </c>
      <c r="I28" s="145" t="s">
        <v>2378</v>
      </c>
      <c r="J28" s="138"/>
      <c r="K28" s="138"/>
      <c r="L28" s="138"/>
      <c r="M28" s="138"/>
      <c r="N28" s="138"/>
    </row>
    <row r="29" spans="1:14" ht="19">
      <c r="A29" s="115" t="s">
        <v>2981</v>
      </c>
      <c r="B29" s="115" t="s">
        <v>3370</v>
      </c>
      <c r="C29" s="115" t="s">
        <v>2122</v>
      </c>
      <c r="D29" s="115" t="s">
        <v>2218</v>
      </c>
      <c r="E29" s="115" t="s">
        <v>3000</v>
      </c>
      <c r="F29" s="115" t="s">
        <v>3567</v>
      </c>
      <c r="G29" s="115">
        <v>4</v>
      </c>
      <c r="H29" s="116" t="s">
        <v>3001</v>
      </c>
      <c r="I29" s="145" t="s">
        <v>2378</v>
      </c>
      <c r="J29" s="138"/>
      <c r="K29" s="138"/>
      <c r="L29" s="138"/>
      <c r="M29" s="138"/>
      <c r="N29" s="138"/>
    </row>
    <row r="30" spans="1:14" ht="19">
      <c r="A30" s="115" t="s">
        <v>2981</v>
      </c>
      <c r="B30" s="115" t="s">
        <v>3371</v>
      </c>
      <c r="C30" s="115" t="s">
        <v>2124</v>
      </c>
      <c r="D30" s="115" t="s">
        <v>2168</v>
      </c>
      <c r="E30" s="115" t="s">
        <v>3002</v>
      </c>
      <c r="F30" s="115" t="s">
        <v>3003</v>
      </c>
      <c r="G30" s="115">
        <v>2</v>
      </c>
      <c r="H30" s="116" t="s">
        <v>127</v>
      </c>
      <c r="I30" s="145" t="s">
        <v>2378</v>
      </c>
      <c r="J30" s="138"/>
      <c r="K30" s="138"/>
      <c r="L30" s="138"/>
      <c r="M30" s="138"/>
      <c r="N30" s="138"/>
    </row>
    <row r="31" spans="1:14" ht="19">
      <c r="A31" s="115" t="s">
        <v>2981</v>
      </c>
      <c r="B31" s="115" t="s">
        <v>3372</v>
      </c>
      <c r="C31" s="115" t="s">
        <v>2124</v>
      </c>
      <c r="D31" s="115" t="s">
        <v>3468</v>
      </c>
      <c r="E31" s="115" t="s">
        <v>3004</v>
      </c>
      <c r="F31" s="115" t="s">
        <v>3005</v>
      </c>
      <c r="G31" s="115">
        <v>1.5</v>
      </c>
      <c r="H31" s="116" t="s">
        <v>3006</v>
      </c>
      <c r="I31" s="145" t="s">
        <v>2378</v>
      </c>
      <c r="J31" s="138"/>
      <c r="K31" s="138"/>
      <c r="L31" s="138"/>
      <c r="M31" s="138"/>
      <c r="N31" s="138"/>
    </row>
    <row r="32" spans="1:14" ht="19">
      <c r="A32" s="115" t="s">
        <v>2981</v>
      </c>
      <c r="B32" s="115" t="s">
        <v>3373</v>
      </c>
      <c r="C32" s="115" t="s">
        <v>2126</v>
      </c>
      <c r="D32" s="115" t="s">
        <v>3469</v>
      </c>
      <c r="E32" s="115" t="s">
        <v>3007</v>
      </c>
      <c r="F32" s="115" t="s">
        <v>3008</v>
      </c>
      <c r="G32" s="115">
        <v>3</v>
      </c>
      <c r="H32" s="116" t="s">
        <v>3009</v>
      </c>
      <c r="I32" s="145" t="s">
        <v>2378</v>
      </c>
      <c r="J32" s="138"/>
      <c r="K32" s="138"/>
      <c r="L32" s="138"/>
      <c r="M32" s="138"/>
      <c r="N32" s="138"/>
    </row>
    <row r="33" spans="1:14" ht="19">
      <c r="A33" s="115" t="s">
        <v>2981</v>
      </c>
      <c r="B33" s="115" t="s">
        <v>3374</v>
      </c>
      <c r="C33" s="115" t="s">
        <v>2126</v>
      </c>
      <c r="D33" s="115" t="s">
        <v>3470</v>
      </c>
      <c r="E33" s="115" t="s">
        <v>3010</v>
      </c>
      <c r="F33" s="115" t="s">
        <v>3011</v>
      </c>
      <c r="G33" s="115">
        <v>1</v>
      </c>
      <c r="H33" s="116" t="s">
        <v>101</v>
      </c>
      <c r="I33" s="145" t="s">
        <v>2945</v>
      </c>
      <c r="J33" s="138"/>
      <c r="K33" s="138"/>
      <c r="L33" s="138"/>
      <c r="M33" s="138"/>
      <c r="N33" s="138"/>
    </row>
    <row r="34" spans="1:14" ht="19">
      <c r="A34" s="115" t="s">
        <v>2981</v>
      </c>
      <c r="B34" s="115" t="s">
        <v>3375</v>
      </c>
      <c r="C34" s="115" t="s">
        <v>2126</v>
      </c>
      <c r="D34" s="115" t="s">
        <v>2200</v>
      </c>
      <c r="E34" s="115" t="s">
        <v>3012</v>
      </c>
      <c r="F34" s="115" t="s">
        <v>3013</v>
      </c>
      <c r="G34" s="115">
        <v>1.5</v>
      </c>
      <c r="H34" s="116" t="s">
        <v>3014</v>
      </c>
      <c r="I34" s="145" t="s">
        <v>2945</v>
      </c>
      <c r="J34" s="138"/>
      <c r="K34" s="138"/>
      <c r="L34" s="138"/>
      <c r="M34" s="138"/>
      <c r="N34" s="138"/>
    </row>
    <row r="35" spans="1:14" ht="19">
      <c r="A35" s="115" t="s">
        <v>2981</v>
      </c>
      <c r="B35" s="115" t="s">
        <v>3376</v>
      </c>
      <c r="C35" s="115" t="s">
        <v>2126</v>
      </c>
      <c r="D35" s="115" t="s">
        <v>3471</v>
      </c>
      <c r="E35" s="115" t="s">
        <v>3015</v>
      </c>
      <c r="F35" s="115" t="s">
        <v>3568</v>
      </c>
      <c r="G35" s="115">
        <v>0.5</v>
      </c>
      <c r="H35" s="116" t="s">
        <v>3016</v>
      </c>
      <c r="I35" s="145" t="s">
        <v>2945</v>
      </c>
      <c r="J35" s="138"/>
      <c r="K35" s="138"/>
      <c r="L35" s="138"/>
      <c r="M35" s="138"/>
      <c r="N35" s="138"/>
    </row>
    <row r="36" spans="1:14" ht="19">
      <c r="A36" s="115" t="s">
        <v>2981</v>
      </c>
      <c r="B36" s="115" t="s">
        <v>3377</v>
      </c>
      <c r="C36" s="115" t="s">
        <v>2128</v>
      </c>
      <c r="D36" s="115" t="s">
        <v>1838</v>
      </c>
      <c r="E36" s="115" t="s">
        <v>3017</v>
      </c>
      <c r="F36" s="115" t="s">
        <v>3018</v>
      </c>
      <c r="G36" s="115">
        <v>4</v>
      </c>
      <c r="H36" s="116" t="s">
        <v>3019</v>
      </c>
      <c r="I36" s="145" t="s">
        <v>2378</v>
      </c>
      <c r="J36" s="138"/>
      <c r="K36" s="138"/>
      <c r="L36" s="138"/>
      <c r="M36" s="138"/>
      <c r="N36" s="138"/>
    </row>
    <row r="37" spans="1:14" ht="19">
      <c r="A37" s="115" t="s">
        <v>2981</v>
      </c>
      <c r="B37" s="115" t="s">
        <v>3378</v>
      </c>
      <c r="C37" s="115" t="s">
        <v>2128</v>
      </c>
      <c r="D37" s="115" t="s">
        <v>1839</v>
      </c>
      <c r="E37" s="115" t="s">
        <v>3020</v>
      </c>
      <c r="F37" s="115" t="s">
        <v>3021</v>
      </c>
      <c r="G37" s="115">
        <v>1</v>
      </c>
      <c r="H37" s="116" t="s">
        <v>91</v>
      </c>
      <c r="I37" s="145" t="s">
        <v>2989</v>
      </c>
      <c r="J37" s="138"/>
      <c r="K37" s="138"/>
      <c r="L37" s="138"/>
      <c r="M37" s="138"/>
      <c r="N37" s="138"/>
    </row>
    <row r="38" spans="1:14" ht="19">
      <c r="A38" s="115" t="s">
        <v>2981</v>
      </c>
      <c r="B38" s="115" t="s">
        <v>3379</v>
      </c>
      <c r="C38" s="115" t="s">
        <v>2130</v>
      </c>
      <c r="D38" s="115" t="s">
        <v>3472</v>
      </c>
      <c r="E38" s="115" t="s">
        <v>3022</v>
      </c>
      <c r="F38" s="115" t="s">
        <v>3569</v>
      </c>
      <c r="G38" s="115">
        <v>3</v>
      </c>
      <c r="H38" s="116" t="s">
        <v>3023</v>
      </c>
      <c r="I38" s="145" t="s">
        <v>2378</v>
      </c>
      <c r="J38" s="138"/>
      <c r="K38" s="138"/>
      <c r="L38" s="138"/>
      <c r="M38" s="138"/>
      <c r="N38" s="138"/>
    </row>
    <row r="39" spans="1:14" ht="19">
      <c r="A39" s="115" t="s">
        <v>2981</v>
      </c>
      <c r="B39" s="115" t="s">
        <v>3380</v>
      </c>
      <c r="C39" s="115" t="s">
        <v>2130</v>
      </c>
      <c r="D39" s="115" t="s">
        <v>3473</v>
      </c>
      <c r="E39" s="115" t="s">
        <v>3473</v>
      </c>
      <c r="F39" s="115" t="s">
        <v>3024</v>
      </c>
      <c r="G39" s="115">
        <v>2</v>
      </c>
      <c r="H39" s="116" t="s">
        <v>88</v>
      </c>
      <c r="I39" s="145" t="s">
        <v>3326</v>
      </c>
      <c r="J39" s="138"/>
      <c r="K39" s="138"/>
      <c r="L39" s="138"/>
      <c r="M39" s="138"/>
      <c r="N39" s="138"/>
    </row>
    <row r="40" spans="1:14" ht="19">
      <c r="A40" s="115" t="s">
        <v>2981</v>
      </c>
      <c r="B40" s="115" t="s">
        <v>3031</v>
      </c>
      <c r="C40" s="115" t="s">
        <v>2130</v>
      </c>
      <c r="D40" s="115" t="s">
        <v>1864</v>
      </c>
      <c r="E40" s="115" t="s">
        <v>4184</v>
      </c>
      <c r="F40" s="115" t="s">
        <v>4185</v>
      </c>
      <c r="G40" s="115">
        <v>2</v>
      </c>
      <c r="H40" s="116" t="s">
        <v>4186</v>
      </c>
      <c r="I40" s="145" t="s">
        <v>3027</v>
      </c>
      <c r="J40" s="138"/>
      <c r="K40" s="138"/>
      <c r="L40" s="138"/>
      <c r="M40" s="138"/>
      <c r="N40" s="138"/>
    </row>
    <row r="41" spans="1:14" ht="19">
      <c r="A41" s="115" t="s">
        <v>2981</v>
      </c>
      <c r="B41" s="115" t="s">
        <v>3381</v>
      </c>
      <c r="C41" s="115" t="s">
        <v>2132</v>
      </c>
      <c r="D41" s="115" t="s">
        <v>1913</v>
      </c>
      <c r="E41" s="115" t="s">
        <v>3025</v>
      </c>
      <c r="F41" s="115" t="s">
        <v>3570</v>
      </c>
      <c r="G41" s="115">
        <v>3</v>
      </c>
      <c r="H41" s="116" t="s">
        <v>3026</v>
      </c>
      <c r="I41" s="145" t="s">
        <v>3027</v>
      </c>
      <c r="J41" s="138"/>
      <c r="K41" s="138"/>
      <c r="L41" s="138"/>
      <c r="M41" s="138"/>
      <c r="N41" s="138"/>
    </row>
    <row r="42" spans="1:14" ht="19">
      <c r="A42" s="115" t="s">
        <v>2981</v>
      </c>
      <c r="B42" s="115" t="s">
        <v>3382</v>
      </c>
      <c r="C42" s="115" t="s">
        <v>2132</v>
      </c>
      <c r="D42" s="115" t="s">
        <v>2182</v>
      </c>
      <c r="E42" s="115" t="s">
        <v>3029</v>
      </c>
      <c r="F42" s="115" t="s">
        <v>3571</v>
      </c>
      <c r="G42" s="115">
        <v>4</v>
      </c>
      <c r="H42" s="116" t="s">
        <v>3030</v>
      </c>
      <c r="I42" s="145" t="s">
        <v>2378</v>
      </c>
      <c r="J42" s="138"/>
      <c r="K42" s="138"/>
      <c r="L42" s="138"/>
      <c r="M42" s="138"/>
      <c r="N42" s="138"/>
    </row>
    <row r="43" spans="1:14" ht="19">
      <c r="A43" s="115" t="s">
        <v>2981</v>
      </c>
      <c r="B43" s="115" t="s">
        <v>3383</v>
      </c>
      <c r="C43" s="115" t="s">
        <v>2134</v>
      </c>
      <c r="D43" s="115" t="s">
        <v>3475</v>
      </c>
      <c r="E43" s="115" t="s">
        <v>3572</v>
      </c>
      <c r="F43" s="115" t="s">
        <v>3573</v>
      </c>
      <c r="G43" s="115">
        <v>5</v>
      </c>
      <c r="H43" s="116" t="s">
        <v>3032</v>
      </c>
      <c r="I43" s="145" t="s">
        <v>2378</v>
      </c>
      <c r="J43" s="138"/>
      <c r="K43" s="138"/>
      <c r="L43" s="138"/>
      <c r="M43" s="138"/>
      <c r="N43" s="138"/>
    </row>
    <row r="44" spans="1:14" ht="19">
      <c r="A44" s="115" t="s">
        <v>2981</v>
      </c>
      <c r="B44" s="115" t="s">
        <v>3384</v>
      </c>
      <c r="C44" s="115" t="s">
        <v>2134</v>
      </c>
      <c r="D44" s="115" t="s">
        <v>3476</v>
      </c>
      <c r="E44" s="115" t="s">
        <v>3574</v>
      </c>
      <c r="F44" s="115" t="s">
        <v>3575</v>
      </c>
      <c r="G44" s="115">
        <v>4</v>
      </c>
      <c r="H44" s="116" t="s">
        <v>3033</v>
      </c>
      <c r="I44" s="145" t="s">
        <v>2378</v>
      </c>
      <c r="J44" s="138"/>
      <c r="K44" s="138"/>
      <c r="L44" s="138"/>
      <c r="M44" s="138"/>
      <c r="N44" s="138"/>
    </row>
    <row r="45" spans="1:14" ht="19">
      <c r="A45" s="115" t="s">
        <v>2981</v>
      </c>
      <c r="B45" s="115" t="s">
        <v>3385</v>
      </c>
      <c r="C45" s="115" t="s">
        <v>2136</v>
      </c>
      <c r="D45" s="115" t="s">
        <v>1824</v>
      </c>
      <c r="E45" s="115" t="s">
        <v>3035</v>
      </c>
      <c r="F45" s="115" t="s">
        <v>3576</v>
      </c>
      <c r="G45" s="115">
        <v>3</v>
      </c>
      <c r="H45" s="116" t="s">
        <v>2955</v>
      </c>
      <c r="I45" s="145" t="s">
        <v>2378</v>
      </c>
      <c r="J45" s="138"/>
      <c r="K45" s="138"/>
      <c r="L45" s="138"/>
      <c r="M45" s="138"/>
      <c r="N45" s="138"/>
    </row>
    <row r="46" spans="1:14" ht="19">
      <c r="A46" s="115" t="s">
        <v>2981</v>
      </c>
      <c r="B46" s="115" t="s">
        <v>3386</v>
      </c>
      <c r="C46" s="115" t="s">
        <v>2136</v>
      </c>
      <c r="D46" s="115" t="s">
        <v>3478</v>
      </c>
      <c r="E46" s="115" t="s">
        <v>3478</v>
      </c>
      <c r="F46" s="115" t="s">
        <v>3037</v>
      </c>
      <c r="G46" s="115">
        <v>1</v>
      </c>
      <c r="H46" s="116" t="s">
        <v>33</v>
      </c>
      <c r="I46" s="145" t="s">
        <v>2956</v>
      </c>
      <c r="J46" s="138"/>
      <c r="K46" s="138"/>
      <c r="L46" s="138"/>
      <c r="M46" s="138"/>
      <c r="N46" s="138"/>
    </row>
    <row r="47" spans="1:14" ht="19">
      <c r="A47" s="115" t="s">
        <v>2981</v>
      </c>
      <c r="B47" s="115" t="s">
        <v>4180</v>
      </c>
      <c r="C47" s="115" t="s">
        <v>2136</v>
      </c>
      <c r="D47" s="115" t="s">
        <v>1854</v>
      </c>
      <c r="E47" s="115" t="s">
        <v>1854</v>
      </c>
      <c r="F47" s="115" t="s">
        <v>3038</v>
      </c>
      <c r="G47" s="115">
        <v>1</v>
      </c>
      <c r="H47" s="116" t="s">
        <v>132</v>
      </c>
      <c r="I47" s="145" t="s">
        <v>2956</v>
      </c>
      <c r="J47" s="138"/>
      <c r="K47" s="138"/>
      <c r="L47" s="138"/>
      <c r="M47" s="138"/>
      <c r="N47" s="138"/>
    </row>
    <row r="48" spans="1:14" ht="19">
      <c r="A48" s="146" t="s">
        <v>1187</v>
      </c>
      <c r="B48" s="146" t="s">
        <v>3387</v>
      </c>
      <c r="C48" s="146" t="s">
        <v>2118</v>
      </c>
      <c r="D48" s="146" t="s">
        <v>3465</v>
      </c>
      <c r="E48" s="146" t="s">
        <v>3577</v>
      </c>
      <c r="F48" s="146" t="s">
        <v>3039</v>
      </c>
      <c r="G48" s="146">
        <v>6</v>
      </c>
      <c r="H48" s="147" t="s">
        <v>3040</v>
      </c>
      <c r="I48" s="145" t="s">
        <v>3041</v>
      </c>
      <c r="J48" s="138"/>
      <c r="K48" s="138"/>
      <c r="L48" s="138"/>
      <c r="M48" s="138"/>
      <c r="N48" s="138"/>
    </row>
    <row r="49" spans="1:14" ht="19">
      <c r="A49" s="115" t="s">
        <v>1187</v>
      </c>
      <c r="B49" s="115" t="s">
        <v>3388</v>
      </c>
      <c r="C49" s="115" t="s">
        <v>2118</v>
      </c>
      <c r="D49" s="115" t="s">
        <v>3465</v>
      </c>
      <c r="E49" s="115" t="s">
        <v>3578</v>
      </c>
      <c r="F49" s="115" t="s">
        <v>3042</v>
      </c>
      <c r="G49" s="115">
        <v>5</v>
      </c>
      <c r="H49" s="116" t="s">
        <v>3043</v>
      </c>
      <c r="I49" s="145" t="s">
        <v>2378</v>
      </c>
      <c r="J49" s="138"/>
      <c r="K49" s="138"/>
      <c r="L49" s="138"/>
      <c r="M49" s="138"/>
      <c r="N49" s="138"/>
    </row>
    <row r="50" spans="1:14" ht="19">
      <c r="A50" s="115" t="s">
        <v>1187</v>
      </c>
      <c r="B50" s="115" t="s">
        <v>3389</v>
      </c>
      <c r="C50" s="115" t="s">
        <v>2118</v>
      </c>
      <c r="D50" s="115" t="s">
        <v>3466</v>
      </c>
      <c r="E50" s="115" t="s">
        <v>3579</v>
      </c>
      <c r="F50" s="115" t="s">
        <v>3580</v>
      </c>
      <c r="G50" s="115">
        <v>5</v>
      </c>
      <c r="H50" s="116" t="s">
        <v>32</v>
      </c>
      <c r="I50" s="145" t="s">
        <v>2378</v>
      </c>
      <c r="J50" s="138"/>
      <c r="K50" s="138"/>
      <c r="L50" s="138"/>
      <c r="M50" s="138"/>
      <c r="N50" s="138"/>
    </row>
    <row r="51" spans="1:14" ht="19">
      <c r="A51" s="115" t="s">
        <v>1187</v>
      </c>
      <c r="B51" s="115" t="s">
        <v>3390</v>
      </c>
      <c r="C51" s="115" t="s">
        <v>2126</v>
      </c>
      <c r="D51" s="115" t="s">
        <v>3469</v>
      </c>
      <c r="E51" s="115" t="s">
        <v>3044</v>
      </c>
      <c r="F51" s="115" t="s">
        <v>3045</v>
      </c>
      <c r="G51" s="115">
        <v>5</v>
      </c>
      <c r="H51" s="116" t="s">
        <v>101</v>
      </c>
      <c r="I51" s="145" t="s">
        <v>3041</v>
      </c>
      <c r="J51" s="138"/>
      <c r="K51" s="138"/>
      <c r="L51" s="138"/>
      <c r="M51" s="138"/>
      <c r="N51" s="138"/>
    </row>
    <row r="52" spans="1:14" ht="19">
      <c r="A52" s="115" t="s">
        <v>1187</v>
      </c>
      <c r="B52" s="115" t="s">
        <v>3391</v>
      </c>
      <c r="C52" s="115" t="s">
        <v>2136</v>
      </c>
      <c r="D52" s="115" t="s">
        <v>1824</v>
      </c>
      <c r="E52" s="115" t="s">
        <v>3046</v>
      </c>
      <c r="F52" s="115" t="s">
        <v>3581</v>
      </c>
      <c r="G52" s="115">
        <v>6</v>
      </c>
      <c r="H52" s="116" t="s">
        <v>33</v>
      </c>
      <c r="I52" s="145" t="s">
        <v>2378</v>
      </c>
      <c r="J52" s="138"/>
      <c r="K52" s="138"/>
      <c r="L52" s="138"/>
      <c r="M52" s="138"/>
      <c r="N52" s="138"/>
    </row>
    <row r="53" spans="1:14" ht="19">
      <c r="A53" s="115" t="s">
        <v>3047</v>
      </c>
      <c r="B53" s="115" t="s">
        <v>3392</v>
      </c>
      <c r="C53" s="115" t="s">
        <v>2126</v>
      </c>
      <c r="D53" s="115" t="s">
        <v>3469</v>
      </c>
      <c r="E53" s="115" t="s">
        <v>3048</v>
      </c>
      <c r="F53" s="115" t="s">
        <v>3049</v>
      </c>
      <c r="G53" s="115">
        <v>5</v>
      </c>
      <c r="H53" s="116" t="s">
        <v>155</v>
      </c>
      <c r="I53" s="145" t="s">
        <v>2378</v>
      </c>
      <c r="J53" s="138"/>
      <c r="K53" s="138"/>
      <c r="L53" s="138"/>
      <c r="M53" s="138"/>
      <c r="N53" s="138"/>
    </row>
    <row r="54" spans="1:14" ht="19">
      <c r="A54" s="115" t="s">
        <v>3047</v>
      </c>
      <c r="B54" s="115" t="s">
        <v>3393</v>
      </c>
      <c r="C54" s="115" t="s">
        <v>2134</v>
      </c>
      <c r="D54" s="115" t="s">
        <v>3475</v>
      </c>
      <c r="E54" s="115" t="s">
        <v>3582</v>
      </c>
      <c r="F54" s="115" t="s">
        <v>3050</v>
      </c>
      <c r="G54" s="115">
        <v>4</v>
      </c>
      <c r="H54" s="116" t="s">
        <v>3051</v>
      </c>
      <c r="I54" s="145" t="s">
        <v>2378</v>
      </c>
      <c r="J54" s="138"/>
      <c r="K54" s="138"/>
      <c r="L54" s="138"/>
      <c r="M54" s="138"/>
      <c r="N54" s="138"/>
    </row>
    <row r="55" spans="1:14" ht="19">
      <c r="A55" s="115" t="s">
        <v>3047</v>
      </c>
      <c r="B55" s="115" t="s">
        <v>3394</v>
      </c>
      <c r="C55" s="115" t="s">
        <v>2145</v>
      </c>
      <c r="D55" s="115" t="s">
        <v>2167</v>
      </c>
      <c r="E55" s="115" t="s">
        <v>3052</v>
      </c>
      <c r="F55" s="115" t="s">
        <v>3053</v>
      </c>
      <c r="G55" s="115">
        <v>4</v>
      </c>
      <c r="H55" s="116" t="s">
        <v>3054</v>
      </c>
      <c r="I55" s="145" t="s">
        <v>3055</v>
      </c>
      <c r="J55" s="138"/>
      <c r="K55" s="138"/>
      <c r="L55" s="138"/>
      <c r="M55" s="138"/>
      <c r="N55" s="138"/>
    </row>
    <row r="56" spans="1:14" ht="19">
      <c r="A56" s="115" t="s">
        <v>3047</v>
      </c>
      <c r="B56" s="115" t="s">
        <v>3395</v>
      </c>
      <c r="C56" s="115" t="s">
        <v>2145</v>
      </c>
      <c r="D56" s="115" t="s">
        <v>3479</v>
      </c>
      <c r="E56" s="115" t="s">
        <v>3056</v>
      </c>
      <c r="F56" s="115" t="s">
        <v>3057</v>
      </c>
      <c r="G56" s="115">
        <v>4</v>
      </c>
      <c r="H56" s="116" t="s">
        <v>2977</v>
      </c>
      <c r="I56" s="145" t="s">
        <v>2378</v>
      </c>
      <c r="J56" s="138"/>
      <c r="K56" s="138"/>
      <c r="L56" s="138"/>
      <c r="M56" s="138"/>
      <c r="N56" s="138"/>
    </row>
    <row r="57" spans="1:14" ht="19">
      <c r="A57" s="148" t="s">
        <v>3047</v>
      </c>
      <c r="B57" s="148" t="s">
        <v>3396</v>
      </c>
      <c r="C57" s="148" t="s">
        <v>2148</v>
      </c>
      <c r="D57" s="148" t="s">
        <v>2181</v>
      </c>
      <c r="E57" s="148" t="s">
        <v>3059</v>
      </c>
      <c r="F57" s="148" t="s">
        <v>3060</v>
      </c>
      <c r="G57" s="148">
        <v>8</v>
      </c>
      <c r="H57" s="149" t="s">
        <v>3061</v>
      </c>
      <c r="I57" s="145" t="s">
        <v>3062</v>
      </c>
      <c r="J57" s="138"/>
      <c r="K57" s="138"/>
      <c r="L57" s="138"/>
      <c r="M57" s="138"/>
      <c r="N57" s="138"/>
    </row>
    <row r="58" spans="1:14" ht="19">
      <c r="A58" s="148" t="s">
        <v>3047</v>
      </c>
      <c r="B58" s="148" t="s">
        <v>3397</v>
      </c>
      <c r="C58" s="148" t="s">
        <v>2148</v>
      </c>
      <c r="D58" s="148" t="s">
        <v>2162</v>
      </c>
      <c r="E58" s="148" t="s">
        <v>3583</v>
      </c>
      <c r="F58" s="148" t="s">
        <v>3584</v>
      </c>
      <c r="G58" s="148">
        <v>6</v>
      </c>
      <c r="H58" s="149" t="s">
        <v>3063</v>
      </c>
      <c r="I58" s="145" t="s">
        <v>2378</v>
      </c>
      <c r="J58" s="138"/>
      <c r="K58" s="138"/>
      <c r="L58" s="138"/>
      <c r="M58" s="138"/>
      <c r="N58" s="138"/>
    </row>
    <row r="59" spans="1:14" ht="19">
      <c r="A59" s="148" t="s">
        <v>3047</v>
      </c>
      <c r="B59" s="148" t="s">
        <v>3398</v>
      </c>
      <c r="C59" s="148" t="s">
        <v>2148</v>
      </c>
      <c r="D59" s="148" t="s">
        <v>2172</v>
      </c>
      <c r="E59" s="148" t="s">
        <v>3064</v>
      </c>
      <c r="F59" s="148" t="s">
        <v>3065</v>
      </c>
      <c r="G59" s="148">
        <v>3</v>
      </c>
      <c r="H59" s="149" t="s">
        <v>157</v>
      </c>
      <c r="I59" s="145" t="s">
        <v>2378</v>
      </c>
      <c r="J59" s="138"/>
      <c r="K59" s="138"/>
      <c r="L59" s="138"/>
      <c r="M59" s="138"/>
      <c r="N59" s="138"/>
    </row>
    <row r="60" spans="1:14" ht="19">
      <c r="A60" s="148" t="s">
        <v>3066</v>
      </c>
      <c r="B60" s="148" t="s">
        <v>3399</v>
      </c>
      <c r="C60" s="148" t="s">
        <v>2150</v>
      </c>
      <c r="D60" s="148" t="s">
        <v>2169</v>
      </c>
      <c r="E60" s="148" t="s">
        <v>3067</v>
      </c>
      <c r="F60" s="148" t="s">
        <v>3068</v>
      </c>
      <c r="G60" s="148">
        <v>8</v>
      </c>
      <c r="H60" s="149" t="s">
        <v>3069</v>
      </c>
      <c r="I60" s="145" t="s">
        <v>3070</v>
      </c>
      <c r="J60" s="138"/>
      <c r="K60" s="138"/>
      <c r="L60" s="138"/>
      <c r="M60" s="138"/>
      <c r="N60" s="138"/>
    </row>
    <row r="61" spans="1:14" ht="19">
      <c r="A61" s="145" t="s">
        <v>3066</v>
      </c>
      <c r="B61" s="145" t="s">
        <v>3400</v>
      </c>
      <c r="C61" s="145" t="s">
        <v>2150</v>
      </c>
      <c r="D61" s="145" t="s">
        <v>2169</v>
      </c>
      <c r="E61" s="145" t="s">
        <v>3585</v>
      </c>
      <c r="F61" s="145" t="s">
        <v>3586</v>
      </c>
      <c r="G61" s="145">
        <v>3</v>
      </c>
      <c r="H61" s="116" t="s">
        <v>219</v>
      </c>
      <c r="I61" s="145" t="s">
        <v>2378</v>
      </c>
      <c r="J61" s="138"/>
      <c r="K61" s="138"/>
      <c r="L61" s="138"/>
      <c r="M61" s="138"/>
      <c r="N61" s="138"/>
    </row>
    <row r="62" spans="1:14">
      <c r="A62" s="145" t="s">
        <v>3066</v>
      </c>
      <c r="B62" s="145" t="s">
        <v>3401</v>
      </c>
      <c r="C62" s="145" t="s">
        <v>2150</v>
      </c>
      <c r="D62" s="145" t="s">
        <v>2186</v>
      </c>
      <c r="E62" s="145" t="s">
        <v>984</v>
      </c>
      <c r="F62" s="145" t="s">
        <v>3071</v>
      </c>
      <c r="G62" s="145">
        <v>6</v>
      </c>
      <c r="H62" s="145" t="s">
        <v>3072</v>
      </c>
      <c r="I62" s="145" t="s">
        <v>3073</v>
      </c>
      <c r="J62" s="138"/>
      <c r="K62" s="138"/>
      <c r="L62" s="138"/>
      <c r="M62" s="138"/>
      <c r="N62" s="138"/>
    </row>
    <row r="63" spans="1:14">
      <c r="A63" s="145" t="s">
        <v>3066</v>
      </c>
      <c r="B63" s="145" t="s">
        <v>3402</v>
      </c>
      <c r="C63" s="145" t="s">
        <v>2150</v>
      </c>
      <c r="D63" s="145" t="s">
        <v>2186</v>
      </c>
      <c r="E63" s="145" t="s">
        <v>3074</v>
      </c>
      <c r="F63" s="145" t="s">
        <v>3075</v>
      </c>
      <c r="G63" s="145">
        <v>5</v>
      </c>
      <c r="H63" s="145" t="s">
        <v>3076</v>
      </c>
      <c r="I63" s="145" t="s">
        <v>3077</v>
      </c>
      <c r="J63" s="138"/>
      <c r="K63" s="138"/>
      <c r="L63" s="138"/>
      <c r="M63" s="138"/>
      <c r="N63" s="138"/>
    </row>
    <row r="64" spans="1:14">
      <c r="A64" s="134" t="s">
        <v>1197</v>
      </c>
      <c r="B64" s="134" t="s">
        <v>3403</v>
      </c>
      <c r="C64" s="134" t="s">
        <v>1910</v>
      </c>
      <c r="D64" s="134" t="s">
        <v>3467</v>
      </c>
      <c r="E64" s="134" t="s">
        <v>3079</v>
      </c>
      <c r="F64" s="145" t="s">
        <v>3587</v>
      </c>
      <c r="G64" s="145">
        <v>3</v>
      </c>
      <c r="H64" s="145" t="s">
        <v>192</v>
      </c>
      <c r="I64" s="145" t="s">
        <v>3080</v>
      </c>
      <c r="J64" s="138"/>
      <c r="K64" s="138"/>
      <c r="L64" s="138"/>
      <c r="M64" s="138"/>
      <c r="N64" s="138"/>
    </row>
    <row r="65" spans="1:14">
      <c r="A65" s="145" t="s">
        <v>1197</v>
      </c>
      <c r="B65" s="145" t="s">
        <v>3404</v>
      </c>
      <c r="C65" s="145" t="s">
        <v>2140</v>
      </c>
      <c r="D65" s="145" t="s">
        <v>1861</v>
      </c>
      <c r="E65" s="145" t="s">
        <v>3081</v>
      </c>
      <c r="F65" s="145" t="s">
        <v>3588</v>
      </c>
      <c r="G65" s="145">
        <v>1.5</v>
      </c>
      <c r="H65" s="145" t="s">
        <v>254</v>
      </c>
      <c r="I65" s="145" t="s">
        <v>3095</v>
      </c>
      <c r="J65" s="138"/>
      <c r="K65" s="138"/>
      <c r="L65" s="138"/>
      <c r="M65" s="138"/>
      <c r="N65" s="138"/>
    </row>
    <row r="66" spans="1:14">
      <c r="A66" s="145" t="s">
        <v>1197</v>
      </c>
      <c r="B66" s="145" t="s">
        <v>3405</v>
      </c>
      <c r="C66" s="145" t="s">
        <v>2140</v>
      </c>
      <c r="D66" s="145" t="s">
        <v>1862</v>
      </c>
      <c r="E66" s="145" t="s">
        <v>3082</v>
      </c>
      <c r="F66" s="145" t="s">
        <v>3083</v>
      </c>
      <c r="G66" s="145">
        <v>0.5</v>
      </c>
      <c r="H66" s="145" t="s">
        <v>178</v>
      </c>
      <c r="I66" s="145" t="s">
        <v>3095</v>
      </c>
      <c r="J66" s="138"/>
      <c r="K66" s="138"/>
      <c r="L66" s="138"/>
      <c r="M66" s="138"/>
      <c r="N66" s="138"/>
    </row>
    <row r="67" spans="1:14">
      <c r="A67" s="145" t="s">
        <v>1197</v>
      </c>
      <c r="B67" s="145" t="s">
        <v>3406</v>
      </c>
      <c r="C67" s="145" t="s">
        <v>2152</v>
      </c>
      <c r="D67" s="145" t="s">
        <v>2165</v>
      </c>
      <c r="E67" s="145" t="s">
        <v>3084</v>
      </c>
      <c r="F67" s="145" t="s">
        <v>3589</v>
      </c>
      <c r="G67" s="145">
        <v>10</v>
      </c>
      <c r="H67" s="145" t="s">
        <v>195</v>
      </c>
      <c r="I67" s="145" t="s">
        <v>3085</v>
      </c>
      <c r="J67" s="138"/>
      <c r="K67" s="138"/>
      <c r="L67" s="138"/>
      <c r="M67" s="138"/>
      <c r="N67" s="138"/>
    </row>
    <row r="68" spans="1:14">
      <c r="A68" s="145" t="s">
        <v>1197</v>
      </c>
      <c r="B68" s="145" t="s">
        <v>3407</v>
      </c>
      <c r="C68" s="145" t="s">
        <v>2152</v>
      </c>
      <c r="D68" s="145" t="s">
        <v>2165</v>
      </c>
      <c r="E68" s="145" t="s">
        <v>3086</v>
      </c>
      <c r="F68" s="145" t="s">
        <v>3590</v>
      </c>
      <c r="G68" s="145">
        <v>4</v>
      </c>
      <c r="H68" s="145" t="s">
        <v>3087</v>
      </c>
      <c r="I68" s="145" t="s">
        <v>3088</v>
      </c>
      <c r="J68" s="138"/>
      <c r="K68" s="138"/>
      <c r="L68" s="138"/>
      <c r="M68" s="138"/>
      <c r="N68" s="138"/>
    </row>
    <row r="69" spans="1:14">
      <c r="A69" s="145" t="s">
        <v>1197</v>
      </c>
      <c r="B69" s="145" t="s">
        <v>3408</v>
      </c>
      <c r="C69" s="145" t="s">
        <v>2152</v>
      </c>
      <c r="D69" s="145" t="s">
        <v>2180</v>
      </c>
      <c r="E69" s="145" t="s">
        <v>3089</v>
      </c>
      <c r="F69" s="145" t="s">
        <v>3090</v>
      </c>
      <c r="G69" s="145">
        <v>4</v>
      </c>
      <c r="H69" s="145" t="s">
        <v>3091</v>
      </c>
      <c r="I69" s="145" t="s">
        <v>2378</v>
      </c>
      <c r="J69" s="138"/>
      <c r="K69" s="138"/>
      <c r="L69" s="138"/>
      <c r="M69" s="138"/>
      <c r="N69" s="138"/>
    </row>
    <row r="70" spans="1:14">
      <c r="A70" s="145" t="s">
        <v>1197</v>
      </c>
      <c r="B70" s="145" t="s">
        <v>3409</v>
      </c>
      <c r="C70" s="145" t="s">
        <v>2152</v>
      </c>
      <c r="D70" s="145" t="s">
        <v>2180</v>
      </c>
      <c r="E70" s="145" t="s">
        <v>3092</v>
      </c>
      <c r="F70" s="145" t="s">
        <v>3093</v>
      </c>
      <c r="G70" s="145">
        <v>3</v>
      </c>
      <c r="H70" s="145" t="s">
        <v>3094</v>
      </c>
      <c r="I70" s="145" t="s">
        <v>3095</v>
      </c>
      <c r="J70" s="138"/>
      <c r="K70" s="138"/>
      <c r="L70" s="138"/>
      <c r="M70" s="138"/>
      <c r="N70" s="138"/>
    </row>
    <row r="71" spans="1:14">
      <c r="A71" s="145" t="s">
        <v>1197</v>
      </c>
      <c r="B71" s="145" t="s">
        <v>3410</v>
      </c>
      <c r="C71" s="145" t="s">
        <v>2152</v>
      </c>
      <c r="D71" s="145" t="s">
        <v>2192</v>
      </c>
      <c r="E71" s="145" t="s">
        <v>3096</v>
      </c>
      <c r="F71" s="145" t="s">
        <v>3097</v>
      </c>
      <c r="G71" s="145">
        <v>4</v>
      </c>
      <c r="H71" s="145" t="s">
        <v>3098</v>
      </c>
      <c r="I71" s="145" t="s">
        <v>3099</v>
      </c>
      <c r="J71" s="138"/>
      <c r="K71" s="138"/>
      <c r="L71" s="138"/>
      <c r="M71" s="138"/>
      <c r="N71" s="138"/>
    </row>
    <row r="72" spans="1:14">
      <c r="A72" s="145" t="s">
        <v>1197</v>
      </c>
      <c r="B72" s="145" t="s">
        <v>3411</v>
      </c>
      <c r="C72" s="145" t="s">
        <v>2154</v>
      </c>
      <c r="D72" s="145" t="s">
        <v>3480</v>
      </c>
      <c r="E72" s="145" t="s">
        <v>3101</v>
      </c>
      <c r="F72" s="145" t="s">
        <v>3102</v>
      </c>
      <c r="G72" s="145">
        <v>4</v>
      </c>
      <c r="H72" s="145" t="s">
        <v>3103</v>
      </c>
      <c r="I72" s="145" t="s">
        <v>3104</v>
      </c>
      <c r="J72" s="138"/>
      <c r="K72" s="138"/>
      <c r="L72" s="138"/>
      <c r="M72" s="138"/>
      <c r="N72" s="138"/>
    </row>
    <row r="73" spans="1:14">
      <c r="A73" s="145" t="s">
        <v>1200</v>
      </c>
      <c r="B73" s="145" t="s">
        <v>3412</v>
      </c>
      <c r="C73" s="145" t="s">
        <v>3440</v>
      </c>
      <c r="D73" s="145" t="s">
        <v>3474</v>
      </c>
      <c r="E73" s="145" t="s">
        <v>3105</v>
      </c>
      <c r="F73" s="145" t="s">
        <v>3591</v>
      </c>
      <c r="G73" s="145">
        <v>4</v>
      </c>
      <c r="H73" s="145" t="s">
        <v>3106</v>
      </c>
      <c r="I73" s="145" t="s">
        <v>3107</v>
      </c>
      <c r="J73" s="138"/>
      <c r="K73" s="138"/>
      <c r="L73" s="138"/>
      <c r="M73" s="138"/>
      <c r="N73" s="138"/>
    </row>
    <row r="74" spans="1:14">
      <c r="A74" s="145" t="s">
        <v>1200</v>
      </c>
      <c r="B74" s="145" t="s">
        <v>3413</v>
      </c>
      <c r="C74" s="145" t="s">
        <v>3440</v>
      </c>
      <c r="D74" s="145" t="s">
        <v>1857</v>
      </c>
      <c r="E74" s="145" t="s">
        <v>1857</v>
      </c>
      <c r="F74" s="145" t="s">
        <v>3109</v>
      </c>
      <c r="G74" s="145">
        <v>1.5</v>
      </c>
      <c r="H74" s="145" t="s">
        <v>3110</v>
      </c>
      <c r="I74" s="145" t="s">
        <v>3111</v>
      </c>
      <c r="J74" s="138"/>
      <c r="K74" s="138"/>
      <c r="L74" s="138"/>
      <c r="M74" s="138"/>
      <c r="N74" s="138"/>
    </row>
    <row r="75" spans="1:14">
      <c r="A75" s="150" t="s">
        <v>1200</v>
      </c>
      <c r="B75" s="150" t="s">
        <v>3414</v>
      </c>
      <c r="C75" s="150" t="s">
        <v>2137</v>
      </c>
      <c r="D75" s="150" t="s">
        <v>2191</v>
      </c>
      <c r="E75" s="145" t="s">
        <v>3112</v>
      </c>
      <c r="F75" s="145" t="s">
        <v>3113</v>
      </c>
      <c r="G75" s="145">
        <v>3</v>
      </c>
      <c r="H75" s="145" t="s">
        <v>3114</v>
      </c>
      <c r="I75" s="145" t="s">
        <v>3115</v>
      </c>
      <c r="J75" s="138"/>
      <c r="K75" s="138"/>
      <c r="L75" s="138"/>
      <c r="M75" s="138"/>
      <c r="N75" s="138"/>
    </row>
    <row r="76" spans="1:14">
      <c r="A76" s="150" t="s">
        <v>1200</v>
      </c>
      <c r="B76" s="150" t="s">
        <v>1203</v>
      </c>
      <c r="C76" s="150" t="s">
        <v>2137</v>
      </c>
      <c r="D76" s="150" t="s">
        <v>2217</v>
      </c>
      <c r="E76" s="145" t="s">
        <v>2217</v>
      </c>
      <c r="F76" s="145" t="s">
        <v>4182</v>
      </c>
      <c r="G76" s="145">
        <v>1.5</v>
      </c>
      <c r="H76" s="145" t="s">
        <v>253</v>
      </c>
      <c r="I76" s="145" t="s">
        <v>4183</v>
      </c>
      <c r="J76" s="138"/>
      <c r="K76" s="138"/>
      <c r="L76" s="138"/>
      <c r="M76" s="138"/>
      <c r="N76" s="138"/>
    </row>
    <row r="77" spans="1:14">
      <c r="A77" s="128" t="s">
        <v>1200</v>
      </c>
      <c r="B77" s="128" t="s">
        <v>3415</v>
      </c>
      <c r="C77" s="128" t="s">
        <v>2140</v>
      </c>
      <c r="D77" s="128" t="s">
        <v>1863</v>
      </c>
      <c r="E77" s="128" t="s">
        <v>3116</v>
      </c>
      <c r="F77" s="128" t="s">
        <v>3117</v>
      </c>
      <c r="G77" s="128">
        <v>1</v>
      </c>
      <c r="H77" s="128" t="s">
        <v>222</v>
      </c>
      <c r="I77" s="128" t="s">
        <v>3327</v>
      </c>
    </row>
    <row r="78" spans="1:14">
      <c r="A78" s="128" t="s">
        <v>1200</v>
      </c>
      <c r="B78" s="128" t="s">
        <v>3416</v>
      </c>
      <c r="C78" s="128" t="s">
        <v>2150</v>
      </c>
      <c r="D78" s="128" t="s">
        <v>2215</v>
      </c>
      <c r="E78" s="128" t="s">
        <v>3118</v>
      </c>
      <c r="F78" s="128" t="s">
        <v>3119</v>
      </c>
      <c r="G78" s="128">
        <v>2</v>
      </c>
      <c r="H78" s="128" t="s">
        <v>3120</v>
      </c>
      <c r="I78" s="128" t="s">
        <v>3121</v>
      </c>
    </row>
    <row r="79" spans="1:14">
      <c r="A79" s="128" t="s">
        <v>1200</v>
      </c>
      <c r="B79" s="128" t="s">
        <v>3417</v>
      </c>
      <c r="C79" s="128" t="s">
        <v>2154</v>
      </c>
      <c r="D79" s="128" t="s">
        <v>2210</v>
      </c>
      <c r="E79" s="128" t="s">
        <v>3122</v>
      </c>
      <c r="F79" s="128" t="s">
        <v>3123</v>
      </c>
      <c r="G79" s="128">
        <v>6</v>
      </c>
      <c r="H79" s="128" t="s">
        <v>3124</v>
      </c>
      <c r="I79" s="128" t="s">
        <v>3125</v>
      </c>
    </row>
    <row r="80" spans="1:14">
      <c r="A80" s="128" t="s">
        <v>1200</v>
      </c>
      <c r="B80" s="128" t="s">
        <v>3418</v>
      </c>
      <c r="C80" s="128" t="s">
        <v>2154</v>
      </c>
      <c r="D80" s="128" t="s">
        <v>2183</v>
      </c>
      <c r="E80" s="128" t="s">
        <v>3126</v>
      </c>
      <c r="F80" s="128" t="s">
        <v>3127</v>
      </c>
      <c r="G80" s="128">
        <v>8</v>
      </c>
      <c r="H80" s="128" t="s">
        <v>234</v>
      </c>
      <c r="I80" s="128" t="s">
        <v>3128</v>
      </c>
    </row>
    <row r="81" spans="1:9">
      <c r="A81" s="128" t="s">
        <v>1200</v>
      </c>
      <c r="B81" s="128" t="s">
        <v>3419</v>
      </c>
      <c r="C81" s="128" t="s">
        <v>2154</v>
      </c>
      <c r="D81" s="128" t="s">
        <v>2184</v>
      </c>
      <c r="E81" s="128" t="s">
        <v>2184</v>
      </c>
      <c r="F81" s="128" t="s">
        <v>3130</v>
      </c>
      <c r="G81" s="128">
        <v>3</v>
      </c>
      <c r="H81" s="128" t="s">
        <v>202</v>
      </c>
      <c r="I81" s="128" t="s">
        <v>3131</v>
      </c>
    </row>
    <row r="82" spans="1:9">
      <c r="A82" s="128" t="s">
        <v>1200</v>
      </c>
      <c r="B82" s="128" t="s">
        <v>3420</v>
      </c>
      <c r="C82" s="128" t="s">
        <v>2154</v>
      </c>
      <c r="D82" s="128" t="s">
        <v>3480</v>
      </c>
      <c r="E82" s="128" t="s">
        <v>3133</v>
      </c>
      <c r="F82" s="128" t="s">
        <v>3134</v>
      </c>
      <c r="G82" s="128">
        <v>5</v>
      </c>
      <c r="H82" s="128" t="s">
        <v>3135</v>
      </c>
      <c r="I82" s="128" t="s">
        <v>3136</v>
      </c>
    </row>
    <row r="83" spans="1:9">
      <c r="A83" s="128" t="s">
        <v>1200</v>
      </c>
      <c r="B83" s="128" t="s">
        <v>4181</v>
      </c>
      <c r="C83" s="128" t="s">
        <v>2157</v>
      </c>
      <c r="D83" s="128" t="s">
        <v>2193</v>
      </c>
      <c r="E83" s="128" t="s">
        <v>3138</v>
      </c>
      <c r="F83" s="128" t="s">
        <v>3139</v>
      </c>
      <c r="G83" s="128">
        <v>4</v>
      </c>
      <c r="H83" s="128" t="s">
        <v>3140</v>
      </c>
      <c r="I83" s="128" t="s">
        <v>3141</v>
      </c>
    </row>
    <row r="84" spans="1:9">
      <c r="A84" s="128" t="s">
        <v>1204</v>
      </c>
      <c r="B84" s="128" t="s">
        <v>3421</v>
      </c>
      <c r="C84" s="128" t="s">
        <v>2117</v>
      </c>
      <c r="D84" s="128" t="s">
        <v>3463</v>
      </c>
      <c r="E84" s="128" t="s">
        <v>3592</v>
      </c>
      <c r="F84" s="128" t="s">
        <v>3142</v>
      </c>
      <c r="G84" s="128">
        <v>5</v>
      </c>
      <c r="H84" s="128" t="s">
        <v>980</v>
      </c>
      <c r="I84" s="128" t="s">
        <v>3143</v>
      </c>
    </row>
    <row r="85" spans="1:9">
      <c r="A85" s="128" t="s">
        <v>1204</v>
      </c>
      <c r="B85" s="128" t="s">
        <v>3422</v>
      </c>
      <c r="C85" s="128" t="s">
        <v>3440</v>
      </c>
      <c r="D85" s="128" t="s">
        <v>1849</v>
      </c>
      <c r="E85" s="128" t="s">
        <v>3144</v>
      </c>
      <c r="F85" s="128" t="s">
        <v>3145</v>
      </c>
      <c r="G85" s="128">
        <v>5</v>
      </c>
      <c r="H85" s="128" t="s">
        <v>41</v>
      </c>
      <c r="I85" s="128" t="s">
        <v>3593</v>
      </c>
    </row>
    <row r="86" spans="1:9">
      <c r="A86" s="128" t="s">
        <v>1204</v>
      </c>
      <c r="B86" s="128" t="s">
        <v>3423</v>
      </c>
      <c r="C86" s="128" t="s">
        <v>2154</v>
      </c>
      <c r="D86" s="128" t="s">
        <v>2187</v>
      </c>
      <c r="E86" s="128" t="s">
        <v>3146</v>
      </c>
      <c r="F86" s="128" t="s">
        <v>3147</v>
      </c>
      <c r="G86" s="128">
        <v>4</v>
      </c>
      <c r="H86" s="128" t="s">
        <v>3148</v>
      </c>
      <c r="I86" s="128" t="s">
        <v>3149</v>
      </c>
    </row>
    <row r="87" spans="1:9">
      <c r="A87" s="128" t="s">
        <v>1204</v>
      </c>
      <c r="B87" s="128" t="s">
        <v>3424</v>
      </c>
      <c r="C87" s="128" t="s">
        <v>2160</v>
      </c>
      <c r="D87" s="128" t="s">
        <v>2216</v>
      </c>
      <c r="E87" s="128" t="s">
        <v>3151</v>
      </c>
      <c r="F87" s="128" t="s">
        <v>3594</v>
      </c>
      <c r="G87" s="128">
        <v>5</v>
      </c>
      <c r="H87" s="128" t="s">
        <v>980</v>
      </c>
      <c r="I87" s="128" t="s">
        <v>3152</v>
      </c>
    </row>
    <row r="88" spans="1:9">
      <c r="A88" s="128" t="s">
        <v>3153</v>
      </c>
      <c r="B88" s="128" t="s">
        <v>3425</v>
      </c>
      <c r="C88" s="128" t="s">
        <v>2155</v>
      </c>
      <c r="D88" s="128" t="s">
        <v>2177</v>
      </c>
      <c r="E88" s="128" t="s">
        <v>3154</v>
      </c>
      <c r="F88" s="128" t="s">
        <v>3155</v>
      </c>
      <c r="G88" s="128">
        <v>8</v>
      </c>
      <c r="H88" s="128" t="s">
        <v>980</v>
      </c>
      <c r="I88" s="128" t="s">
        <v>3328</v>
      </c>
    </row>
    <row r="89" spans="1:9">
      <c r="A89" s="128" t="s">
        <v>3153</v>
      </c>
      <c r="B89" s="128" t="s">
        <v>3426</v>
      </c>
      <c r="C89" s="128" t="s">
        <v>2155</v>
      </c>
      <c r="D89" s="128" t="s">
        <v>2177</v>
      </c>
      <c r="E89" s="128" t="s">
        <v>3156</v>
      </c>
      <c r="F89" s="128" t="s">
        <v>3157</v>
      </c>
      <c r="G89" s="128">
        <v>6</v>
      </c>
      <c r="H89" s="128" t="s">
        <v>980</v>
      </c>
      <c r="I89" s="128" t="s">
        <v>3329</v>
      </c>
    </row>
    <row r="90" spans="1:9">
      <c r="A90" s="128" t="s">
        <v>3153</v>
      </c>
      <c r="B90" s="128" t="s">
        <v>3427</v>
      </c>
      <c r="C90" s="128" t="s">
        <v>2155</v>
      </c>
      <c r="D90" s="128" t="s">
        <v>2174</v>
      </c>
      <c r="E90" s="128" t="s">
        <v>3158</v>
      </c>
      <c r="F90" s="128" t="s">
        <v>3159</v>
      </c>
      <c r="G90" s="128">
        <v>5</v>
      </c>
      <c r="H90" s="128" t="s">
        <v>275</v>
      </c>
      <c r="I90" s="128" t="s">
        <v>3160</v>
      </c>
    </row>
    <row r="91" spans="1:9">
      <c r="A91" s="128" t="s">
        <v>3153</v>
      </c>
      <c r="B91" s="128" t="s">
        <v>3428</v>
      </c>
      <c r="C91" s="128" t="s">
        <v>2157</v>
      </c>
      <c r="D91" s="128" t="s">
        <v>2190</v>
      </c>
      <c r="E91" s="128" t="s">
        <v>3161</v>
      </c>
      <c r="F91" s="128" t="s">
        <v>3162</v>
      </c>
      <c r="G91" s="128">
        <v>8</v>
      </c>
      <c r="H91" s="128" t="s">
        <v>980</v>
      </c>
      <c r="I91" s="128" t="s">
        <v>3330</v>
      </c>
    </row>
    <row r="92" spans="1:9">
      <c r="A92" s="128" t="s">
        <v>3153</v>
      </c>
      <c r="B92" s="128" t="s">
        <v>3429</v>
      </c>
      <c r="C92" s="128" t="s">
        <v>2159</v>
      </c>
      <c r="D92" s="128" t="s">
        <v>2195</v>
      </c>
      <c r="E92" s="128" t="s">
        <v>3163</v>
      </c>
      <c r="F92" s="128" t="s">
        <v>3164</v>
      </c>
      <c r="G92" s="128">
        <v>6</v>
      </c>
      <c r="H92" s="128" t="s">
        <v>980</v>
      </c>
      <c r="I92" s="128" t="s">
        <v>3331</v>
      </c>
    </row>
    <row r="93" spans="1:9">
      <c r="A93" s="128" t="s">
        <v>3153</v>
      </c>
      <c r="B93" s="128" t="s">
        <v>3430</v>
      </c>
      <c r="C93" s="128" t="s">
        <v>2159</v>
      </c>
      <c r="D93" s="128" t="s">
        <v>2212</v>
      </c>
      <c r="E93" s="128" t="s">
        <v>3165</v>
      </c>
      <c r="F93" s="128" t="s">
        <v>3166</v>
      </c>
      <c r="G93" s="128">
        <v>8</v>
      </c>
      <c r="H93" s="128" t="s">
        <v>980</v>
      </c>
      <c r="I93" s="128" t="s">
        <v>3332</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E15" sqref="E1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3" t="s">
        <v>982</v>
      </c>
      <c r="B1" s="153" t="s">
        <v>1399</v>
      </c>
      <c r="C1" s="153" t="s">
        <v>3447</v>
      </c>
      <c r="D1" s="153" t="s">
        <v>981</v>
      </c>
      <c r="E1" s="153" t="s">
        <v>3448</v>
      </c>
      <c r="F1" s="153" t="s">
        <v>3449</v>
      </c>
      <c r="G1" s="153" t="s">
        <v>3450</v>
      </c>
      <c r="H1" s="153" t="s">
        <v>3451</v>
      </c>
      <c r="I1" s="153" t="s">
        <v>3452</v>
      </c>
      <c r="J1" s="153" t="s">
        <v>3453</v>
      </c>
      <c r="K1" s="153" t="s">
        <v>3454</v>
      </c>
    </row>
    <row r="2" spans="1:11">
      <c r="A2" s="101" t="s">
        <v>3215</v>
      </c>
      <c r="B2" s="101" t="s">
        <v>3216</v>
      </c>
      <c r="C2" s="101" t="s">
        <v>3217</v>
      </c>
      <c r="D2" s="101" t="s">
        <v>3218</v>
      </c>
      <c r="E2" s="101" t="s">
        <v>3219</v>
      </c>
      <c r="F2" s="154">
        <v>0.5</v>
      </c>
      <c r="G2" s="155">
        <v>250</v>
      </c>
      <c r="H2" s="156">
        <v>15.6</v>
      </c>
      <c r="I2" s="155">
        <v>250</v>
      </c>
      <c r="J2" s="156">
        <v>15.6</v>
      </c>
      <c r="K2" s="101" t="s">
        <v>2033</v>
      </c>
    </row>
    <row r="3" spans="1:11">
      <c r="A3" s="101" t="s">
        <v>3215</v>
      </c>
      <c r="B3" s="101" t="s">
        <v>3220</v>
      </c>
      <c r="C3" s="101" t="s">
        <v>3221</v>
      </c>
      <c r="D3" s="101" t="s">
        <v>3222</v>
      </c>
      <c r="E3" s="101" t="s">
        <v>3219</v>
      </c>
      <c r="F3" s="154">
        <v>0.25</v>
      </c>
      <c r="G3" s="155">
        <v>250</v>
      </c>
      <c r="H3" s="156">
        <v>7.8</v>
      </c>
      <c r="I3" s="155">
        <v>250</v>
      </c>
      <c r="J3" s="156">
        <v>7.8</v>
      </c>
      <c r="K3" s="101" t="s">
        <v>2033</v>
      </c>
    </row>
    <row r="4" spans="1:11">
      <c r="A4" s="101" t="s">
        <v>3223</v>
      </c>
      <c r="B4" s="101" t="s">
        <v>3224</v>
      </c>
      <c r="C4" s="101" t="s">
        <v>3225</v>
      </c>
      <c r="D4" s="101" t="s">
        <v>3226</v>
      </c>
      <c r="E4" s="101" t="s">
        <v>3227</v>
      </c>
      <c r="F4" s="154">
        <v>1</v>
      </c>
      <c r="G4" s="155">
        <v>50</v>
      </c>
      <c r="H4" s="156">
        <v>6.2</v>
      </c>
      <c r="I4" s="155">
        <v>50</v>
      </c>
      <c r="J4" s="156">
        <v>6.2</v>
      </c>
      <c r="K4" s="101" t="s">
        <v>2033</v>
      </c>
    </row>
    <row r="5" spans="1:11">
      <c r="A5" s="101" t="s">
        <v>3223</v>
      </c>
      <c r="B5" s="101" t="s">
        <v>3228</v>
      </c>
      <c r="C5" s="101" t="s">
        <v>3229</v>
      </c>
      <c r="D5" s="101" t="s">
        <v>3230</v>
      </c>
      <c r="E5" s="101" t="s">
        <v>3227</v>
      </c>
      <c r="F5" s="154">
        <v>1</v>
      </c>
      <c r="G5" s="155">
        <v>50</v>
      </c>
      <c r="H5" s="156">
        <v>6.2</v>
      </c>
      <c r="I5" s="155">
        <v>50</v>
      </c>
      <c r="J5" s="156">
        <v>6.2</v>
      </c>
      <c r="K5" s="101" t="s">
        <v>2033</v>
      </c>
    </row>
    <row r="6" spans="1:11">
      <c r="A6" s="101" t="s">
        <v>3223</v>
      </c>
      <c r="B6" s="101" t="s">
        <v>3231</v>
      </c>
      <c r="C6" s="101" t="s">
        <v>3232</v>
      </c>
      <c r="D6" s="101" t="s">
        <v>3455</v>
      </c>
      <c r="E6" s="101" t="s">
        <v>3227</v>
      </c>
      <c r="F6" s="154">
        <v>1</v>
      </c>
      <c r="G6" s="155">
        <v>50</v>
      </c>
      <c r="H6" s="156">
        <v>6.2</v>
      </c>
      <c r="I6" s="155">
        <v>50</v>
      </c>
      <c r="J6" s="156">
        <v>6.2</v>
      </c>
      <c r="K6" s="101" t="s">
        <v>2033</v>
      </c>
    </row>
    <row r="7" spans="1:11">
      <c r="A7" s="101" t="s">
        <v>3233</v>
      </c>
      <c r="B7" s="101" t="s">
        <v>3234</v>
      </c>
      <c r="C7" s="101" t="s">
        <v>3235</v>
      </c>
      <c r="D7" s="101" t="s">
        <v>3236</v>
      </c>
      <c r="E7" s="101" t="s">
        <v>3237</v>
      </c>
      <c r="F7" s="154">
        <v>4</v>
      </c>
      <c r="G7" s="155">
        <v>12</v>
      </c>
      <c r="H7" s="156">
        <v>6</v>
      </c>
      <c r="I7" s="155">
        <v>12</v>
      </c>
      <c r="J7" s="156">
        <v>6</v>
      </c>
      <c r="K7" s="101" t="s">
        <v>2033</v>
      </c>
    </row>
    <row r="8" spans="1:11">
      <c r="A8" s="101" t="s">
        <v>3233</v>
      </c>
      <c r="B8" s="101" t="s">
        <v>3238</v>
      </c>
      <c r="C8" s="101" t="s">
        <v>3239</v>
      </c>
      <c r="D8" s="101" t="s">
        <v>3456</v>
      </c>
      <c r="E8" s="101" t="s">
        <v>3237</v>
      </c>
      <c r="F8" s="154">
        <v>2</v>
      </c>
      <c r="G8" s="155">
        <v>12</v>
      </c>
      <c r="H8" s="156">
        <v>3</v>
      </c>
      <c r="I8" s="155">
        <v>12</v>
      </c>
      <c r="J8" s="156">
        <v>3</v>
      </c>
      <c r="K8" s="101" t="s">
        <v>2033</v>
      </c>
    </row>
    <row r="9" spans="1:11">
      <c r="A9" s="101" t="s">
        <v>3233</v>
      </c>
      <c r="B9" s="101" t="s">
        <v>3240</v>
      </c>
      <c r="C9" s="101" t="s">
        <v>3241</v>
      </c>
      <c r="D9" s="101" t="s">
        <v>3242</v>
      </c>
      <c r="E9" s="101" t="s">
        <v>3237</v>
      </c>
      <c r="F9" s="154">
        <v>4</v>
      </c>
      <c r="G9" s="155">
        <v>12</v>
      </c>
      <c r="H9" s="156">
        <v>6</v>
      </c>
      <c r="I9" s="155">
        <v>12</v>
      </c>
      <c r="J9" s="156">
        <v>6</v>
      </c>
      <c r="K9" s="101" t="s">
        <v>2033</v>
      </c>
    </row>
    <row r="10" spans="1:11">
      <c r="A10" s="101" t="s">
        <v>3233</v>
      </c>
      <c r="B10" s="101" t="s">
        <v>3243</v>
      </c>
      <c r="C10" s="101" t="s">
        <v>3244</v>
      </c>
      <c r="D10" s="101" t="s">
        <v>3245</v>
      </c>
      <c r="E10" s="101" t="s">
        <v>3237</v>
      </c>
      <c r="F10" s="154">
        <v>2</v>
      </c>
      <c r="G10" s="155">
        <v>12</v>
      </c>
      <c r="H10" s="156">
        <v>3</v>
      </c>
      <c r="I10" s="155">
        <v>12</v>
      </c>
      <c r="J10" s="156">
        <v>3</v>
      </c>
      <c r="K10" s="101" t="s">
        <v>2033</v>
      </c>
    </row>
    <row r="11" spans="1:11">
      <c r="A11" s="101" t="s">
        <v>3233</v>
      </c>
      <c r="B11" s="101" t="s">
        <v>3246</v>
      </c>
      <c r="C11" s="101" t="s">
        <v>3247</v>
      </c>
      <c r="D11" s="101" t="s">
        <v>3248</v>
      </c>
      <c r="E11" s="101" t="s">
        <v>3237</v>
      </c>
      <c r="F11" s="154">
        <v>2</v>
      </c>
      <c r="G11" s="155">
        <v>12</v>
      </c>
      <c r="H11" s="156">
        <v>3</v>
      </c>
      <c r="I11" s="155">
        <v>12</v>
      </c>
      <c r="J11" s="156">
        <v>3</v>
      </c>
      <c r="K11" s="101" t="s">
        <v>2033</v>
      </c>
    </row>
    <row r="12" spans="1:11">
      <c r="A12" s="101" t="s">
        <v>3233</v>
      </c>
      <c r="B12" s="101" t="s">
        <v>3249</v>
      </c>
      <c r="C12" s="101" t="s">
        <v>3250</v>
      </c>
      <c r="D12" s="101" t="s">
        <v>3251</v>
      </c>
      <c r="E12" s="101" t="s">
        <v>3237</v>
      </c>
      <c r="F12" s="154">
        <v>2</v>
      </c>
      <c r="G12" s="155">
        <v>12</v>
      </c>
      <c r="H12" s="156">
        <v>3</v>
      </c>
      <c r="I12" s="155">
        <v>12</v>
      </c>
      <c r="J12" s="156">
        <v>3</v>
      </c>
      <c r="K12" s="101" t="s">
        <v>2033</v>
      </c>
    </row>
    <row r="13" spans="1:11">
      <c r="A13" s="101" t="s">
        <v>3252</v>
      </c>
      <c r="B13" s="101" t="s">
        <v>3253</v>
      </c>
      <c r="C13" s="101" t="s">
        <v>3254</v>
      </c>
      <c r="D13" s="101" t="s">
        <v>3255</v>
      </c>
      <c r="E13" s="101" t="s">
        <v>3256</v>
      </c>
      <c r="F13" s="154">
        <v>8</v>
      </c>
      <c r="G13" s="155">
        <v>4</v>
      </c>
      <c r="H13" s="156">
        <v>4</v>
      </c>
      <c r="I13" s="155">
        <v>4</v>
      </c>
      <c r="J13" s="156">
        <v>4</v>
      </c>
      <c r="K13" s="101" t="s">
        <v>2033</v>
      </c>
    </row>
    <row r="14" spans="1:11">
      <c r="A14" s="101" t="s">
        <v>3252</v>
      </c>
      <c r="B14" s="101" t="s">
        <v>3257</v>
      </c>
      <c r="C14" s="101" t="s">
        <v>3258</v>
      </c>
      <c r="D14" s="101" t="s">
        <v>3259</v>
      </c>
      <c r="E14" s="101" t="s">
        <v>3256</v>
      </c>
      <c r="F14" s="154">
        <v>4</v>
      </c>
      <c r="G14" s="155">
        <v>4</v>
      </c>
      <c r="H14" s="156">
        <v>2</v>
      </c>
      <c r="I14" s="155">
        <v>4</v>
      </c>
      <c r="J14" s="156">
        <v>2</v>
      </c>
      <c r="K14" s="101" t="s">
        <v>2033</v>
      </c>
    </row>
    <row r="15" spans="1:11">
      <c r="A15" s="101" t="s">
        <v>3252</v>
      </c>
      <c r="B15" s="101" t="s">
        <v>3260</v>
      </c>
      <c r="C15" s="101" t="s">
        <v>3261</v>
      </c>
      <c r="D15" s="101" t="s">
        <v>3262</v>
      </c>
      <c r="E15" s="101" t="s">
        <v>3256</v>
      </c>
      <c r="F15" s="154">
        <v>4</v>
      </c>
      <c r="G15" s="155">
        <v>4</v>
      </c>
      <c r="H15" s="156">
        <v>2</v>
      </c>
      <c r="I15" s="155">
        <v>4</v>
      </c>
      <c r="J15" s="156">
        <v>2</v>
      </c>
      <c r="K15" s="101" t="s">
        <v>2033</v>
      </c>
    </row>
    <row r="16" spans="1:11">
      <c r="A16" s="101" t="s">
        <v>3263</v>
      </c>
      <c r="B16" s="101" t="s">
        <v>3264</v>
      </c>
      <c r="C16" s="101" t="s">
        <v>3265</v>
      </c>
      <c r="D16" s="101" t="s">
        <v>3266</v>
      </c>
      <c r="E16" s="101" t="s">
        <v>3267</v>
      </c>
      <c r="F16" s="154">
        <v>8</v>
      </c>
      <c r="G16" s="155">
        <v>1</v>
      </c>
      <c r="H16" s="156">
        <v>1</v>
      </c>
      <c r="I16" s="155">
        <v>1</v>
      </c>
      <c r="J16" s="156">
        <v>1</v>
      </c>
      <c r="K16" s="101" t="s">
        <v>2033</v>
      </c>
    </row>
    <row r="17" spans="1:11">
      <c r="A17" s="101" t="s">
        <v>3263</v>
      </c>
      <c r="B17" s="101" t="s">
        <v>3268</v>
      </c>
      <c r="C17" s="101" t="s">
        <v>3269</v>
      </c>
      <c r="D17" s="101" t="s">
        <v>3270</v>
      </c>
      <c r="E17" s="101" t="s">
        <v>3267</v>
      </c>
      <c r="F17" s="154">
        <v>8</v>
      </c>
      <c r="G17" s="155">
        <v>1</v>
      </c>
      <c r="H17" s="156">
        <v>1</v>
      </c>
      <c r="I17" s="155">
        <v>1</v>
      </c>
      <c r="J17" s="156">
        <v>1</v>
      </c>
      <c r="K17" s="101" t="s">
        <v>2033</v>
      </c>
    </row>
    <row r="18" spans="1:11">
      <c r="A18" s="101" t="s">
        <v>3263</v>
      </c>
      <c r="B18" s="101" t="s">
        <v>3271</v>
      </c>
      <c r="C18" s="101" t="s">
        <v>3457</v>
      </c>
      <c r="D18" s="101" t="s">
        <v>3272</v>
      </c>
      <c r="E18" s="101" t="s">
        <v>3273</v>
      </c>
      <c r="F18" s="154">
        <v>40</v>
      </c>
      <c r="G18" s="155">
        <v>2</v>
      </c>
      <c r="H18" s="156">
        <v>10</v>
      </c>
      <c r="I18" s="155">
        <v>2</v>
      </c>
      <c r="J18" s="156">
        <v>10</v>
      </c>
      <c r="K18" s="101" t="s">
        <v>2033</v>
      </c>
    </row>
    <row r="19" spans="1:11">
      <c r="A19" s="101" t="s">
        <v>3263</v>
      </c>
      <c r="B19" s="101" t="s">
        <v>3274</v>
      </c>
      <c r="C19" s="101" t="s">
        <v>3275</v>
      </c>
      <c r="D19" s="101" t="s">
        <v>3276</v>
      </c>
      <c r="E19" s="101" t="s">
        <v>3267</v>
      </c>
      <c r="F19" s="154">
        <v>40</v>
      </c>
      <c r="G19" s="155">
        <v>1</v>
      </c>
      <c r="H19" s="156">
        <v>5</v>
      </c>
      <c r="I19" s="155">
        <v>1</v>
      </c>
      <c r="J19" s="156">
        <v>5</v>
      </c>
      <c r="K19" s="101" t="s">
        <v>2033</v>
      </c>
    </row>
    <row r="20" spans="1:11">
      <c r="A20" s="101" t="s">
        <v>3263</v>
      </c>
      <c r="B20" s="101" t="s">
        <v>3277</v>
      </c>
      <c r="C20" s="101" t="s">
        <v>3278</v>
      </c>
      <c r="D20" s="101" t="s">
        <v>3279</v>
      </c>
      <c r="E20" s="101" t="s">
        <v>3267</v>
      </c>
      <c r="F20" s="154">
        <v>24</v>
      </c>
      <c r="G20" s="155">
        <v>1</v>
      </c>
      <c r="H20" s="156">
        <v>3</v>
      </c>
      <c r="I20" s="155">
        <v>1</v>
      </c>
      <c r="J20" s="156">
        <v>3</v>
      </c>
      <c r="K20" s="101" t="s">
        <v>2033</v>
      </c>
    </row>
    <row r="21" spans="1:11">
      <c r="A21" s="101" t="s">
        <v>3263</v>
      </c>
      <c r="B21" s="101" t="s">
        <v>3280</v>
      </c>
      <c r="C21" s="101" t="s">
        <v>3281</v>
      </c>
      <c r="D21" s="101" t="s">
        <v>3282</v>
      </c>
      <c r="E21" s="101" t="s">
        <v>3273</v>
      </c>
      <c r="F21" s="154">
        <v>8</v>
      </c>
      <c r="G21" s="155">
        <v>2</v>
      </c>
      <c r="H21" s="156">
        <v>2</v>
      </c>
      <c r="I21" s="155">
        <v>2</v>
      </c>
      <c r="J21" s="156">
        <v>2</v>
      </c>
      <c r="K21" s="101" t="s">
        <v>2033</v>
      </c>
    </row>
    <row r="22" spans="1:11">
      <c r="A22" s="101" t="s">
        <v>3263</v>
      </c>
      <c r="B22" s="101" t="s">
        <v>3283</v>
      </c>
      <c r="C22" s="101" t="s">
        <v>3284</v>
      </c>
      <c r="D22" s="101" t="s">
        <v>3285</v>
      </c>
      <c r="E22" s="101" t="s">
        <v>3267</v>
      </c>
      <c r="F22" s="154">
        <v>16</v>
      </c>
      <c r="G22" s="155">
        <v>1</v>
      </c>
      <c r="H22" s="156">
        <v>2</v>
      </c>
      <c r="I22" s="155">
        <v>1</v>
      </c>
      <c r="J22" s="156">
        <v>2</v>
      </c>
      <c r="K22" s="101" t="s">
        <v>2033</v>
      </c>
    </row>
    <row r="23" spans="1:11">
      <c r="A23" s="101" t="s">
        <v>3286</v>
      </c>
      <c r="B23" s="101" t="s">
        <v>3287</v>
      </c>
      <c r="C23" s="101" t="s">
        <v>3458</v>
      </c>
      <c r="D23" s="101" t="s">
        <v>3459</v>
      </c>
      <c r="E23" s="101" t="s">
        <v>3288</v>
      </c>
      <c r="F23" s="154">
        <v>8</v>
      </c>
      <c r="G23" s="155">
        <v>50</v>
      </c>
      <c r="H23" s="156">
        <v>50</v>
      </c>
      <c r="I23" s="155">
        <v>30</v>
      </c>
      <c r="J23" s="156">
        <v>30</v>
      </c>
      <c r="K23" s="101" t="s">
        <v>2033</v>
      </c>
    </row>
    <row r="24" spans="1:11">
      <c r="A24" s="101" t="s">
        <v>3286</v>
      </c>
      <c r="B24" s="101" t="s">
        <v>3289</v>
      </c>
      <c r="C24" s="101" t="s">
        <v>2182</v>
      </c>
      <c r="D24" s="101" t="s">
        <v>3290</v>
      </c>
      <c r="E24" s="101" t="s">
        <v>3288</v>
      </c>
      <c r="F24" s="154">
        <v>4</v>
      </c>
      <c r="G24" s="155">
        <v>2</v>
      </c>
      <c r="H24" s="156">
        <v>1</v>
      </c>
      <c r="I24" s="155">
        <v>5</v>
      </c>
      <c r="J24" s="156">
        <v>2.5</v>
      </c>
      <c r="K24" s="101" t="s">
        <v>2033</v>
      </c>
    </row>
    <row r="25" spans="1:11">
      <c r="A25" s="101" t="s">
        <v>3286</v>
      </c>
      <c r="B25" s="101" t="s">
        <v>3291</v>
      </c>
      <c r="C25" s="101" t="s">
        <v>3292</v>
      </c>
      <c r="D25" s="101" t="s">
        <v>3293</v>
      </c>
      <c r="E25" s="101" t="s">
        <v>3288</v>
      </c>
      <c r="F25" s="154">
        <v>4</v>
      </c>
      <c r="G25" s="155">
        <v>20</v>
      </c>
      <c r="H25" s="156">
        <v>10</v>
      </c>
      <c r="I25" s="155">
        <v>10</v>
      </c>
      <c r="J25" s="156">
        <v>5</v>
      </c>
      <c r="K25" s="101" t="s">
        <v>2033</v>
      </c>
    </row>
    <row r="26" spans="1:11">
      <c r="A26" s="101" t="s">
        <v>3286</v>
      </c>
      <c r="B26" s="101" t="s">
        <v>3294</v>
      </c>
      <c r="C26" s="101" t="s">
        <v>3295</v>
      </c>
      <c r="D26" s="101" t="s">
        <v>3296</v>
      </c>
      <c r="E26" s="101" t="s">
        <v>3288</v>
      </c>
      <c r="F26" s="154">
        <v>2</v>
      </c>
      <c r="G26" s="155">
        <v>10</v>
      </c>
      <c r="H26" s="156">
        <v>2.5</v>
      </c>
      <c r="I26" s="155">
        <v>17</v>
      </c>
      <c r="J26" s="156">
        <v>4.2</v>
      </c>
      <c r="K26" s="101" t="s">
        <v>2033</v>
      </c>
    </row>
    <row r="27" spans="1:11">
      <c r="A27" s="101" t="s">
        <v>3286</v>
      </c>
      <c r="B27" s="101" t="s">
        <v>3297</v>
      </c>
      <c r="C27" s="101" t="s">
        <v>3298</v>
      </c>
      <c r="D27" s="101" t="s">
        <v>3299</v>
      </c>
      <c r="E27" s="101" t="s">
        <v>3300</v>
      </c>
      <c r="F27" s="154">
        <v>1</v>
      </c>
      <c r="G27" s="155">
        <v>240</v>
      </c>
      <c r="H27" s="156">
        <v>30</v>
      </c>
      <c r="I27" s="155">
        <v>240</v>
      </c>
      <c r="J27" s="156">
        <v>30</v>
      </c>
      <c r="K27" s="101" t="s">
        <v>2033</v>
      </c>
    </row>
    <row r="28" spans="1:11">
      <c r="A28" s="101" t="s">
        <v>3286</v>
      </c>
      <c r="B28" s="101" t="s">
        <v>3301</v>
      </c>
      <c r="C28" s="101" t="s">
        <v>3302</v>
      </c>
      <c r="D28" s="101" t="s">
        <v>3303</v>
      </c>
      <c r="E28" s="101" t="s">
        <v>3304</v>
      </c>
      <c r="F28" s="154">
        <v>8</v>
      </c>
      <c r="G28" s="155">
        <v>4</v>
      </c>
      <c r="H28" s="156">
        <v>4</v>
      </c>
      <c r="I28" s="155">
        <v>4</v>
      </c>
      <c r="J28" s="156">
        <v>4</v>
      </c>
      <c r="K28" s="101" t="s">
        <v>2033</v>
      </c>
    </row>
    <row r="29" spans="1:11">
      <c r="A29" s="101" t="s">
        <v>3286</v>
      </c>
      <c r="B29" s="101" t="s">
        <v>3305</v>
      </c>
      <c r="C29" s="101" t="s">
        <v>3306</v>
      </c>
      <c r="D29" s="101" t="s">
        <v>3307</v>
      </c>
      <c r="E29" s="101" t="s">
        <v>3308</v>
      </c>
      <c r="F29" s="154">
        <v>2</v>
      </c>
      <c r="G29" s="155">
        <v>48</v>
      </c>
      <c r="H29" s="156">
        <v>12</v>
      </c>
      <c r="I29" s="155">
        <v>48</v>
      </c>
      <c r="J29" s="156">
        <v>12</v>
      </c>
      <c r="K29" s="101" t="s">
        <v>2033</v>
      </c>
    </row>
    <row r="30" spans="1:11">
      <c r="A30" s="101"/>
      <c r="B30" s="101"/>
      <c r="C30" s="157" t="s">
        <v>4</v>
      </c>
      <c r="D30" s="157"/>
      <c r="E30" s="157"/>
      <c r="F30" s="157"/>
      <c r="G30" s="157"/>
      <c r="H30" s="158">
        <f>SUM(H2:H29)</f>
        <v>207.5</v>
      </c>
      <c r="I30" s="157"/>
      <c r="J30" s="158">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1" sqref="C31"/>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4" t="s">
        <v>1908</v>
      </c>
      <c r="B1" s="124" t="s">
        <v>1398</v>
      </c>
      <c r="C1" s="124" t="s">
        <v>1865</v>
      </c>
      <c r="D1" s="124" t="s">
        <v>3431</v>
      </c>
      <c r="E1" s="124" t="s">
        <v>1400</v>
      </c>
      <c r="F1"/>
      <c r="G1"/>
      <c r="H1"/>
      <c r="I1"/>
      <c r="J1"/>
      <c r="K1"/>
      <c r="L1"/>
      <c r="M1"/>
      <c r="N1"/>
      <c r="O1"/>
      <c r="P1"/>
      <c r="Q1"/>
      <c r="R1"/>
      <c r="S1"/>
      <c r="T1"/>
      <c r="U1"/>
      <c r="V1"/>
      <c r="W1"/>
    </row>
    <row r="2" spans="1:23" ht="20">
      <c r="A2" s="151" t="s">
        <v>2117</v>
      </c>
      <c r="B2" s="151" t="s">
        <v>2014</v>
      </c>
      <c r="C2" s="151" t="s">
        <v>3432</v>
      </c>
      <c r="D2" s="152">
        <v>4</v>
      </c>
      <c r="E2" s="152">
        <v>4</v>
      </c>
      <c r="F2"/>
      <c r="G2"/>
      <c r="H2"/>
      <c r="I2"/>
      <c r="J2"/>
      <c r="K2"/>
      <c r="L2"/>
      <c r="M2"/>
      <c r="N2"/>
      <c r="O2"/>
      <c r="P2"/>
      <c r="Q2"/>
      <c r="R2"/>
      <c r="S2"/>
      <c r="T2"/>
      <c r="U2"/>
      <c r="V2"/>
      <c r="W2"/>
    </row>
    <row r="3" spans="1:23" ht="20">
      <c r="A3" s="151" t="s">
        <v>2118</v>
      </c>
      <c r="B3" s="151" t="s">
        <v>2014</v>
      </c>
      <c r="C3" s="151" t="s">
        <v>4207</v>
      </c>
      <c r="D3" s="152">
        <v>17</v>
      </c>
      <c r="E3" s="152">
        <v>28</v>
      </c>
      <c r="F3"/>
      <c r="G3"/>
      <c r="H3"/>
      <c r="I3"/>
      <c r="J3"/>
      <c r="K3"/>
      <c r="L3"/>
      <c r="M3"/>
      <c r="N3"/>
      <c r="O3"/>
      <c r="P3"/>
      <c r="Q3"/>
      <c r="R3"/>
      <c r="S3"/>
      <c r="T3"/>
      <c r="U3"/>
      <c r="V3"/>
      <c r="W3"/>
    </row>
    <row r="4" spans="1:23" ht="20">
      <c r="A4" s="151" t="s">
        <v>2119</v>
      </c>
      <c r="B4" s="151" t="s">
        <v>2014</v>
      </c>
      <c r="C4" s="151" t="s">
        <v>4208</v>
      </c>
      <c r="D4" s="152">
        <v>4</v>
      </c>
      <c r="E4" s="152">
        <v>5.5</v>
      </c>
      <c r="F4"/>
      <c r="G4"/>
      <c r="H4"/>
      <c r="I4"/>
      <c r="J4"/>
      <c r="K4"/>
      <c r="L4"/>
      <c r="M4"/>
      <c r="N4"/>
      <c r="O4"/>
      <c r="P4"/>
      <c r="Q4"/>
      <c r="R4"/>
      <c r="S4"/>
      <c r="T4"/>
      <c r="U4"/>
      <c r="V4"/>
      <c r="W4"/>
    </row>
    <row r="5" spans="1:23" ht="20">
      <c r="A5" s="151" t="s">
        <v>1909</v>
      </c>
      <c r="B5" s="151" t="s">
        <v>2014</v>
      </c>
      <c r="C5" s="151" t="s">
        <v>2120</v>
      </c>
      <c r="D5" s="152">
        <v>2</v>
      </c>
      <c r="E5" s="152">
        <v>1</v>
      </c>
      <c r="F5"/>
      <c r="G5"/>
      <c r="H5"/>
      <c r="I5"/>
      <c r="J5"/>
      <c r="K5"/>
      <c r="L5"/>
      <c r="M5"/>
      <c r="N5"/>
      <c r="O5"/>
      <c r="P5"/>
      <c r="Q5"/>
      <c r="R5"/>
      <c r="S5"/>
      <c r="T5"/>
      <c r="U5"/>
      <c r="V5"/>
      <c r="W5"/>
    </row>
    <row r="6" spans="1:23" ht="20">
      <c r="A6" s="151" t="s">
        <v>2121</v>
      </c>
      <c r="B6" s="151" t="s">
        <v>2014</v>
      </c>
      <c r="C6" s="151" t="s">
        <v>3433</v>
      </c>
      <c r="D6" s="152">
        <v>0</v>
      </c>
      <c r="E6" s="152">
        <v>0</v>
      </c>
      <c r="F6"/>
      <c r="G6"/>
      <c r="H6"/>
      <c r="I6"/>
      <c r="J6"/>
      <c r="K6"/>
      <c r="L6"/>
      <c r="M6"/>
      <c r="N6"/>
      <c r="O6"/>
      <c r="P6"/>
      <c r="Q6"/>
      <c r="R6"/>
      <c r="S6"/>
      <c r="T6"/>
      <c r="U6"/>
      <c r="V6"/>
      <c r="W6"/>
    </row>
    <row r="7" spans="1:23" ht="20">
      <c r="A7" s="151" t="s">
        <v>1910</v>
      </c>
      <c r="B7" s="151" t="s">
        <v>2014</v>
      </c>
      <c r="C7" s="151" t="s">
        <v>3434</v>
      </c>
      <c r="D7" s="152">
        <v>1</v>
      </c>
      <c r="E7" s="152">
        <v>1</v>
      </c>
      <c r="F7"/>
      <c r="G7"/>
      <c r="H7"/>
      <c r="I7"/>
      <c r="J7"/>
      <c r="K7"/>
      <c r="L7"/>
      <c r="M7"/>
      <c r="N7"/>
      <c r="O7"/>
      <c r="P7"/>
      <c r="Q7"/>
      <c r="R7"/>
      <c r="S7"/>
      <c r="T7"/>
      <c r="U7"/>
      <c r="V7"/>
      <c r="W7"/>
    </row>
    <row r="8" spans="1:23" ht="20">
      <c r="A8" s="151" t="s">
        <v>2122</v>
      </c>
      <c r="B8" s="151" t="s">
        <v>2014</v>
      </c>
      <c r="C8" s="151" t="s">
        <v>2123</v>
      </c>
      <c r="D8" s="152">
        <v>5</v>
      </c>
      <c r="E8" s="152">
        <v>9</v>
      </c>
      <c r="F8"/>
      <c r="G8"/>
      <c r="H8"/>
      <c r="I8"/>
      <c r="J8"/>
      <c r="K8"/>
      <c r="L8"/>
      <c r="M8"/>
      <c r="N8"/>
      <c r="O8"/>
      <c r="P8"/>
      <c r="Q8"/>
      <c r="R8"/>
      <c r="S8"/>
      <c r="T8"/>
      <c r="U8"/>
      <c r="V8"/>
      <c r="W8"/>
    </row>
    <row r="9" spans="1:23" ht="20">
      <c r="A9" s="151" t="s">
        <v>2124</v>
      </c>
      <c r="B9" s="151" t="s">
        <v>2014</v>
      </c>
      <c r="C9" s="151" t="s">
        <v>3435</v>
      </c>
      <c r="D9" s="152">
        <v>2</v>
      </c>
      <c r="E9" s="152">
        <v>2</v>
      </c>
      <c r="F9"/>
      <c r="G9"/>
      <c r="H9"/>
      <c r="I9"/>
      <c r="J9"/>
      <c r="K9"/>
      <c r="L9"/>
      <c r="M9"/>
      <c r="N9"/>
      <c r="O9"/>
      <c r="P9"/>
      <c r="Q9"/>
      <c r="R9"/>
      <c r="S9"/>
      <c r="T9"/>
      <c r="U9"/>
      <c r="V9"/>
      <c r="W9"/>
    </row>
    <row r="10" spans="1:23" ht="20">
      <c r="A10" s="151" t="s">
        <v>327</v>
      </c>
      <c r="B10" s="151" t="s">
        <v>2014</v>
      </c>
      <c r="C10" s="151" t="s">
        <v>2125</v>
      </c>
      <c r="D10" s="152">
        <v>1</v>
      </c>
      <c r="E10" s="152">
        <v>0.5</v>
      </c>
      <c r="F10"/>
      <c r="G10"/>
      <c r="H10"/>
      <c r="I10"/>
      <c r="J10"/>
      <c r="K10"/>
      <c r="L10"/>
      <c r="M10"/>
      <c r="N10"/>
      <c r="O10"/>
      <c r="P10"/>
      <c r="Q10"/>
      <c r="R10"/>
      <c r="S10"/>
      <c r="T10"/>
      <c r="U10"/>
      <c r="V10"/>
      <c r="W10"/>
    </row>
    <row r="11" spans="1:23" ht="20">
      <c r="A11" s="151" t="s">
        <v>2126</v>
      </c>
      <c r="B11" s="151" t="s">
        <v>2127</v>
      </c>
      <c r="C11" s="151" t="s">
        <v>3436</v>
      </c>
      <c r="D11" s="152">
        <v>6</v>
      </c>
      <c r="E11" s="152">
        <v>6.75</v>
      </c>
      <c r="F11"/>
      <c r="G11"/>
      <c r="H11"/>
      <c r="I11"/>
      <c r="J11"/>
      <c r="K11"/>
      <c r="L11"/>
      <c r="M11"/>
      <c r="N11"/>
      <c r="O11"/>
      <c r="P11"/>
      <c r="Q11"/>
      <c r="R11"/>
      <c r="S11"/>
      <c r="T11"/>
      <c r="U11"/>
      <c r="V11"/>
      <c r="W11"/>
    </row>
    <row r="12" spans="1:23" ht="20">
      <c r="A12" s="151" t="s">
        <v>2128</v>
      </c>
      <c r="B12" s="151" t="s">
        <v>2127</v>
      </c>
      <c r="C12" s="151" t="s">
        <v>2129</v>
      </c>
      <c r="D12" s="152">
        <v>3</v>
      </c>
      <c r="E12" s="152">
        <v>3.75</v>
      </c>
      <c r="F12"/>
      <c r="G12"/>
      <c r="H12"/>
      <c r="I12"/>
      <c r="J12"/>
      <c r="K12"/>
      <c r="L12"/>
      <c r="M12"/>
      <c r="N12"/>
      <c r="O12"/>
      <c r="P12"/>
      <c r="Q12"/>
      <c r="R12"/>
      <c r="S12"/>
      <c r="T12"/>
      <c r="U12"/>
      <c r="V12"/>
      <c r="W12"/>
    </row>
    <row r="13" spans="1:23" ht="20">
      <c r="A13" s="151" t="s">
        <v>2130</v>
      </c>
      <c r="B13" s="151" t="s">
        <v>2127</v>
      </c>
      <c r="C13" s="151" t="s">
        <v>3437</v>
      </c>
      <c r="D13" s="152">
        <v>4</v>
      </c>
      <c r="E13" s="152">
        <v>4</v>
      </c>
      <c r="F13"/>
      <c r="G13"/>
      <c r="H13"/>
      <c r="I13"/>
      <c r="J13"/>
      <c r="K13"/>
      <c r="L13"/>
      <c r="M13"/>
      <c r="N13"/>
      <c r="O13"/>
      <c r="P13"/>
      <c r="Q13"/>
      <c r="R13"/>
      <c r="S13"/>
      <c r="T13"/>
      <c r="U13"/>
      <c r="V13"/>
      <c r="W13"/>
    </row>
    <row r="14" spans="1:23" ht="20">
      <c r="A14" s="151" t="s">
        <v>2131</v>
      </c>
      <c r="B14" s="151" t="s">
        <v>2127</v>
      </c>
      <c r="C14" s="151" t="s">
        <v>3438</v>
      </c>
      <c r="D14" s="152">
        <v>0</v>
      </c>
      <c r="E14" s="152">
        <v>0</v>
      </c>
      <c r="F14"/>
      <c r="G14"/>
      <c r="H14"/>
      <c r="I14"/>
      <c r="J14"/>
      <c r="K14"/>
      <c r="L14"/>
      <c r="M14"/>
      <c r="N14"/>
      <c r="O14"/>
      <c r="P14"/>
      <c r="Q14"/>
      <c r="R14"/>
      <c r="S14"/>
      <c r="T14"/>
      <c r="U14"/>
      <c r="V14"/>
      <c r="W14"/>
    </row>
    <row r="15" spans="1:23" ht="20">
      <c r="A15" s="151" t="s">
        <v>2132</v>
      </c>
      <c r="B15" s="151" t="s">
        <v>2127</v>
      </c>
      <c r="C15" s="151" t="s">
        <v>3439</v>
      </c>
      <c r="D15" s="152">
        <v>2</v>
      </c>
      <c r="E15" s="152">
        <v>2</v>
      </c>
      <c r="F15"/>
      <c r="G15"/>
      <c r="H15"/>
      <c r="I15"/>
      <c r="J15"/>
      <c r="K15"/>
      <c r="L15"/>
      <c r="M15"/>
      <c r="N15"/>
      <c r="O15"/>
      <c r="P15"/>
      <c r="Q15"/>
      <c r="R15"/>
      <c r="S15"/>
      <c r="T15"/>
      <c r="U15"/>
      <c r="V15"/>
      <c r="W15"/>
    </row>
    <row r="16" spans="1:23" ht="20">
      <c r="A16" s="151" t="s">
        <v>3440</v>
      </c>
      <c r="B16" s="151" t="s">
        <v>2127</v>
      </c>
      <c r="C16" s="151" t="s">
        <v>4209</v>
      </c>
      <c r="D16" s="152">
        <v>3</v>
      </c>
      <c r="E16" s="152">
        <v>6</v>
      </c>
      <c r="F16"/>
      <c r="G16"/>
      <c r="H16"/>
      <c r="I16"/>
      <c r="J16"/>
      <c r="K16"/>
      <c r="L16"/>
      <c r="M16"/>
      <c r="N16"/>
      <c r="O16"/>
      <c r="P16"/>
      <c r="Q16"/>
      <c r="R16"/>
      <c r="S16"/>
      <c r="T16"/>
      <c r="U16"/>
      <c r="V16"/>
      <c r="W16"/>
    </row>
    <row r="17" spans="1:23" ht="20">
      <c r="A17" s="151" t="s">
        <v>1912</v>
      </c>
      <c r="B17" s="151" t="s">
        <v>2133</v>
      </c>
      <c r="C17" s="151" t="s">
        <v>3441</v>
      </c>
      <c r="D17" s="152">
        <v>2</v>
      </c>
      <c r="E17" s="152">
        <v>3</v>
      </c>
      <c r="F17"/>
      <c r="G17"/>
      <c r="H17"/>
      <c r="I17"/>
      <c r="J17"/>
      <c r="K17"/>
      <c r="L17"/>
      <c r="M17"/>
      <c r="N17"/>
      <c r="O17"/>
      <c r="P17"/>
      <c r="Q17"/>
      <c r="R17"/>
      <c r="S17"/>
      <c r="T17"/>
      <c r="U17"/>
      <c r="V17"/>
      <c r="W17"/>
    </row>
    <row r="18" spans="1:23" ht="20">
      <c r="A18" s="151" t="s">
        <v>2134</v>
      </c>
      <c r="B18" s="151" t="s">
        <v>2133</v>
      </c>
      <c r="C18" s="151" t="s">
        <v>3442</v>
      </c>
      <c r="D18" s="152">
        <v>5</v>
      </c>
      <c r="E18" s="152">
        <v>5.5</v>
      </c>
      <c r="F18"/>
      <c r="G18"/>
      <c r="H18"/>
      <c r="I18"/>
      <c r="J18"/>
      <c r="K18"/>
      <c r="L18"/>
      <c r="M18"/>
      <c r="N18"/>
      <c r="O18"/>
      <c r="P18"/>
      <c r="Q18"/>
      <c r="R18"/>
      <c r="S18"/>
      <c r="T18"/>
      <c r="U18"/>
      <c r="V18"/>
      <c r="W18"/>
    </row>
    <row r="19" spans="1:23" ht="20">
      <c r="A19" s="151" t="s">
        <v>3443</v>
      </c>
      <c r="B19" s="151" t="s">
        <v>2133</v>
      </c>
      <c r="C19" s="151" t="s">
        <v>2113</v>
      </c>
      <c r="D19" s="152">
        <v>1</v>
      </c>
      <c r="E19" s="152">
        <v>1.5</v>
      </c>
      <c r="F19"/>
      <c r="G19"/>
      <c r="H19"/>
      <c r="I19"/>
      <c r="J19"/>
      <c r="K19"/>
      <c r="L19"/>
      <c r="M19"/>
      <c r="N19"/>
      <c r="O19"/>
      <c r="P19"/>
      <c r="Q19"/>
      <c r="R19"/>
      <c r="S19"/>
      <c r="T19"/>
      <c r="U19"/>
      <c r="V19"/>
      <c r="W19"/>
    </row>
    <row r="20" spans="1:23" ht="20">
      <c r="A20" s="151" t="s">
        <v>2135</v>
      </c>
      <c r="B20" s="151" t="s">
        <v>2015</v>
      </c>
      <c r="C20" s="151" t="s">
        <v>3444</v>
      </c>
      <c r="D20" s="152">
        <v>2</v>
      </c>
      <c r="E20" s="152">
        <v>3</v>
      </c>
      <c r="F20"/>
      <c r="G20"/>
      <c r="H20"/>
      <c r="I20"/>
      <c r="J20"/>
      <c r="K20"/>
      <c r="L20"/>
      <c r="M20"/>
      <c r="N20"/>
      <c r="O20"/>
      <c r="P20"/>
      <c r="Q20"/>
      <c r="R20"/>
      <c r="S20"/>
      <c r="T20"/>
      <c r="U20"/>
      <c r="V20"/>
      <c r="W20"/>
    </row>
    <row r="21" spans="1:23" ht="20">
      <c r="A21" s="151" t="s">
        <v>2136</v>
      </c>
      <c r="B21" s="151" t="s">
        <v>2015</v>
      </c>
      <c r="C21" s="151" t="s">
        <v>4210</v>
      </c>
      <c r="D21" s="152">
        <v>5</v>
      </c>
      <c r="E21" s="152">
        <v>10</v>
      </c>
      <c r="F21"/>
      <c r="G21"/>
      <c r="H21"/>
      <c r="I21"/>
      <c r="J21"/>
      <c r="K21"/>
      <c r="L21"/>
      <c r="M21"/>
      <c r="N21"/>
      <c r="O21"/>
      <c r="P21"/>
      <c r="Q21"/>
      <c r="R21"/>
      <c r="S21"/>
      <c r="T21"/>
      <c r="U21"/>
      <c r="V21"/>
      <c r="W21"/>
    </row>
    <row r="22" spans="1:23" ht="20">
      <c r="A22" s="151" t="s">
        <v>2137</v>
      </c>
      <c r="B22" s="151" t="s">
        <v>2138</v>
      </c>
      <c r="C22" s="151" t="s">
        <v>2139</v>
      </c>
      <c r="D22" s="152">
        <v>5</v>
      </c>
      <c r="E22" s="152">
        <v>6</v>
      </c>
      <c r="F22"/>
      <c r="G22"/>
      <c r="H22"/>
      <c r="I22"/>
      <c r="J22"/>
      <c r="K22"/>
      <c r="L22"/>
      <c r="M22"/>
      <c r="N22"/>
      <c r="O22"/>
      <c r="P22"/>
      <c r="Q22"/>
      <c r="R22"/>
      <c r="S22"/>
      <c r="T22"/>
      <c r="U22"/>
      <c r="V22"/>
      <c r="W22"/>
    </row>
    <row r="23" spans="1:23" ht="20">
      <c r="A23" s="151" t="s">
        <v>2140</v>
      </c>
      <c r="B23" s="151" t="s">
        <v>2138</v>
      </c>
      <c r="C23" s="151" t="s">
        <v>2141</v>
      </c>
      <c r="D23" s="152">
        <v>4</v>
      </c>
      <c r="E23" s="152">
        <v>3.5</v>
      </c>
      <c r="F23"/>
      <c r="G23"/>
      <c r="H23"/>
      <c r="I23"/>
      <c r="J23"/>
      <c r="K23"/>
      <c r="L23"/>
      <c r="M23"/>
      <c r="N23"/>
      <c r="O23"/>
      <c r="P23"/>
      <c r="Q23"/>
      <c r="R23"/>
      <c r="S23"/>
      <c r="T23"/>
      <c r="U23"/>
      <c r="V23"/>
      <c r="W23"/>
    </row>
    <row r="24" spans="1:23" ht="20">
      <c r="A24" s="151" t="s">
        <v>2142</v>
      </c>
      <c r="B24" s="151" t="s">
        <v>2138</v>
      </c>
      <c r="C24" s="151" t="s">
        <v>2143</v>
      </c>
      <c r="D24" s="152">
        <v>0</v>
      </c>
      <c r="E24" s="152">
        <v>0</v>
      </c>
      <c r="F24"/>
      <c r="G24"/>
      <c r="H24"/>
      <c r="I24"/>
      <c r="J24"/>
      <c r="K24"/>
      <c r="L24"/>
      <c r="M24"/>
      <c r="N24"/>
      <c r="O24"/>
      <c r="P24"/>
      <c r="Q24"/>
      <c r="R24"/>
      <c r="S24"/>
      <c r="T24"/>
      <c r="U24"/>
      <c r="V24"/>
      <c r="W24"/>
    </row>
    <row r="25" spans="1:23" ht="20">
      <c r="A25" s="151" t="s">
        <v>1916</v>
      </c>
      <c r="B25" s="151" t="s">
        <v>2138</v>
      </c>
      <c r="C25" s="151" t="s">
        <v>2144</v>
      </c>
      <c r="D25" s="152">
        <v>1</v>
      </c>
      <c r="E25" s="152">
        <v>1</v>
      </c>
      <c r="F25"/>
      <c r="G25"/>
      <c r="H25"/>
      <c r="I25"/>
      <c r="J25"/>
      <c r="K25"/>
      <c r="L25"/>
      <c r="M25"/>
      <c r="N25"/>
      <c r="O25"/>
      <c r="P25"/>
      <c r="Q25"/>
      <c r="R25"/>
      <c r="S25"/>
      <c r="T25"/>
      <c r="U25"/>
      <c r="V25"/>
      <c r="W25"/>
    </row>
    <row r="26" spans="1:23" ht="20">
      <c r="A26" s="151" t="s">
        <v>2145</v>
      </c>
      <c r="B26" s="151" t="s">
        <v>2146</v>
      </c>
      <c r="C26" s="151" t="s">
        <v>2147</v>
      </c>
      <c r="D26" s="152">
        <v>11</v>
      </c>
      <c r="E26" s="152">
        <v>17.5</v>
      </c>
      <c r="F26"/>
      <c r="G26"/>
      <c r="H26"/>
      <c r="I26"/>
      <c r="J26"/>
      <c r="K26"/>
      <c r="L26"/>
      <c r="M26"/>
      <c r="N26"/>
      <c r="O26"/>
      <c r="P26"/>
      <c r="Q26"/>
      <c r="R26"/>
      <c r="S26"/>
      <c r="T26"/>
      <c r="U26"/>
      <c r="V26"/>
      <c r="W26"/>
    </row>
    <row r="27" spans="1:23" ht="20">
      <c r="A27" s="151" t="s">
        <v>2148</v>
      </c>
      <c r="B27" s="151" t="s">
        <v>2146</v>
      </c>
      <c r="C27" s="151" t="s">
        <v>2149</v>
      </c>
      <c r="D27" s="152">
        <v>8</v>
      </c>
      <c r="E27" s="152">
        <v>17.5</v>
      </c>
      <c r="F27"/>
      <c r="G27"/>
      <c r="H27"/>
      <c r="I27"/>
      <c r="J27"/>
      <c r="K27"/>
      <c r="L27"/>
      <c r="M27"/>
      <c r="N27"/>
      <c r="O27"/>
      <c r="P27"/>
      <c r="Q27"/>
      <c r="R27"/>
      <c r="S27"/>
      <c r="T27"/>
      <c r="U27"/>
      <c r="V27"/>
      <c r="W27"/>
    </row>
    <row r="28" spans="1:23" ht="20">
      <c r="A28" s="151" t="s">
        <v>2150</v>
      </c>
      <c r="B28" s="151" t="s">
        <v>2146</v>
      </c>
      <c r="C28" s="151" t="s">
        <v>2151</v>
      </c>
      <c r="D28" s="152">
        <v>9</v>
      </c>
      <c r="E28" s="152">
        <v>14.5</v>
      </c>
      <c r="F28"/>
      <c r="G28"/>
      <c r="H28"/>
      <c r="I28"/>
      <c r="J28"/>
      <c r="K28"/>
      <c r="L28"/>
      <c r="M28"/>
      <c r="N28"/>
      <c r="O28"/>
      <c r="P28"/>
      <c r="Q28"/>
      <c r="R28"/>
      <c r="S28"/>
      <c r="T28"/>
      <c r="U28"/>
      <c r="V28"/>
      <c r="W28"/>
    </row>
    <row r="29" spans="1:23" ht="20">
      <c r="A29" s="151" t="s">
        <v>2152</v>
      </c>
      <c r="B29" s="151" t="s">
        <v>2146</v>
      </c>
      <c r="C29" s="151" t="s">
        <v>2153</v>
      </c>
      <c r="D29" s="152">
        <v>6</v>
      </c>
      <c r="E29" s="152">
        <v>10</v>
      </c>
      <c r="F29"/>
      <c r="G29"/>
      <c r="H29"/>
      <c r="I29"/>
      <c r="J29"/>
      <c r="K29"/>
      <c r="L29"/>
      <c r="M29"/>
      <c r="N29"/>
      <c r="O29"/>
      <c r="P29"/>
      <c r="Q29"/>
      <c r="R29"/>
      <c r="S29"/>
      <c r="T29"/>
      <c r="U29"/>
      <c r="V29"/>
      <c r="W29"/>
    </row>
    <row r="30" spans="1:23" ht="20">
      <c r="A30" s="151" t="s">
        <v>2154</v>
      </c>
      <c r="B30" s="151" t="s">
        <v>2146</v>
      </c>
      <c r="C30" s="151" t="s">
        <v>3445</v>
      </c>
      <c r="D30" s="152">
        <v>18</v>
      </c>
      <c r="E30" s="152">
        <v>27</v>
      </c>
      <c r="F30"/>
      <c r="G30"/>
      <c r="H30"/>
      <c r="I30"/>
      <c r="J30"/>
      <c r="K30"/>
      <c r="L30"/>
      <c r="M30"/>
      <c r="N30"/>
      <c r="O30"/>
      <c r="P30"/>
      <c r="Q30"/>
      <c r="R30"/>
      <c r="S30"/>
      <c r="T30"/>
      <c r="U30"/>
      <c r="V30"/>
      <c r="W30"/>
    </row>
    <row r="31" spans="1:23" ht="20">
      <c r="A31" s="151" t="s">
        <v>2155</v>
      </c>
      <c r="B31" s="151" t="s">
        <v>2146</v>
      </c>
      <c r="C31" s="151" t="s">
        <v>2156</v>
      </c>
      <c r="D31" s="152">
        <v>4</v>
      </c>
      <c r="E31" s="152">
        <v>4.5</v>
      </c>
      <c r="F31"/>
      <c r="G31"/>
      <c r="H31"/>
      <c r="I31"/>
      <c r="J31"/>
      <c r="K31"/>
      <c r="L31"/>
      <c r="M31"/>
      <c r="N31"/>
      <c r="O31"/>
      <c r="P31"/>
      <c r="Q31"/>
      <c r="R31"/>
      <c r="S31"/>
      <c r="T31"/>
      <c r="U31"/>
      <c r="V31"/>
      <c r="W31"/>
    </row>
    <row r="32" spans="1:23" ht="20">
      <c r="A32" s="151" t="s">
        <v>2157</v>
      </c>
      <c r="B32" s="151" t="s">
        <v>2146</v>
      </c>
      <c r="C32" s="151" t="s">
        <v>2158</v>
      </c>
      <c r="D32" s="152">
        <v>5</v>
      </c>
      <c r="E32" s="152">
        <v>7</v>
      </c>
      <c r="F32"/>
      <c r="G32"/>
      <c r="H32"/>
      <c r="I32"/>
      <c r="J32"/>
      <c r="K32"/>
      <c r="L32"/>
      <c r="M32"/>
      <c r="N32"/>
      <c r="O32"/>
      <c r="P32"/>
      <c r="Q32"/>
      <c r="R32"/>
      <c r="S32"/>
      <c r="T32"/>
      <c r="U32"/>
      <c r="V32"/>
      <c r="W32"/>
    </row>
    <row r="33" spans="1:23" ht="20">
      <c r="A33" s="151" t="s">
        <v>2159</v>
      </c>
      <c r="B33" s="151" t="s">
        <v>2146</v>
      </c>
      <c r="C33" s="151" t="s">
        <v>3446</v>
      </c>
      <c r="D33" s="152">
        <v>15</v>
      </c>
      <c r="E33" s="152">
        <v>24.5</v>
      </c>
      <c r="F33"/>
      <c r="G33"/>
      <c r="H33"/>
      <c r="I33"/>
      <c r="J33"/>
      <c r="K33"/>
      <c r="L33"/>
      <c r="M33"/>
      <c r="N33"/>
      <c r="O33"/>
      <c r="P33"/>
      <c r="Q33"/>
      <c r="R33"/>
      <c r="S33"/>
      <c r="T33"/>
      <c r="U33"/>
      <c r="V33"/>
      <c r="W33"/>
    </row>
    <row r="34" spans="1:23" ht="20">
      <c r="A34" s="151" t="s">
        <v>2160</v>
      </c>
      <c r="B34" s="151" t="s">
        <v>2146</v>
      </c>
      <c r="C34" s="151" t="s">
        <v>2161</v>
      </c>
      <c r="D34" s="152">
        <v>3</v>
      </c>
      <c r="E34" s="152">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tabSelected="1" zoomScaleNormal="114" workbookViewId="0">
      <pane ySplit="1" topLeftCell="A2" activePane="bottomLeft" state="frozen"/>
      <selection pane="bottomLeft" activeCell="E18" sqref="E18"/>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4" t="s">
        <v>1398</v>
      </c>
      <c r="B1" s="124" t="s">
        <v>1908</v>
      </c>
      <c r="C1" s="124" t="s">
        <v>1822</v>
      </c>
      <c r="D1" s="124" t="s">
        <v>1681</v>
      </c>
      <c r="E1" s="124" t="s">
        <v>1865</v>
      </c>
      <c r="F1" s="124" t="s">
        <v>3481</v>
      </c>
      <c r="G1" s="124" t="s">
        <v>2115</v>
      </c>
      <c r="H1" s="124" t="s">
        <v>3431</v>
      </c>
      <c r="I1" s="124" t="s">
        <v>1400</v>
      </c>
      <c r="J1" s="124" t="s">
        <v>3482</v>
      </c>
    </row>
    <row r="2" spans="1:22">
      <c r="A2" s="151" t="s">
        <v>2014</v>
      </c>
      <c r="B2" s="151" t="s">
        <v>2117</v>
      </c>
      <c r="C2" s="151" t="s">
        <v>3463</v>
      </c>
      <c r="D2" s="151" t="s">
        <v>1592</v>
      </c>
      <c r="E2" s="151" t="s">
        <v>3483</v>
      </c>
      <c r="F2" s="160" t="s">
        <v>1456</v>
      </c>
      <c r="G2" s="160" t="s">
        <v>1395</v>
      </c>
      <c r="H2" s="152">
        <v>2</v>
      </c>
      <c r="I2" s="152">
        <v>3</v>
      </c>
      <c r="J2" s="152">
        <v>3</v>
      </c>
    </row>
    <row r="3" spans="1:22">
      <c r="A3" s="151" t="s">
        <v>2014</v>
      </c>
      <c r="B3" s="151" t="s">
        <v>2117</v>
      </c>
      <c r="C3" s="151" t="s">
        <v>1827</v>
      </c>
      <c r="D3" s="151" t="s">
        <v>1593</v>
      </c>
      <c r="E3" s="151" t="s">
        <v>3484</v>
      </c>
      <c r="F3" s="160" t="s">
        <v>1456</v>
      </c>
      <c r="G3" s="160" t="s">
        <v>1395</v>
      </c>
      <c r="H3" s="152">
        <v>1</v>
      </c>
      <c r="I3" s="152">
        <v>0.5</v>
      </c>
      <c r="J3" s="152">
        <v>0.5</v>
      </c>
    </row>
    <row r="4" spans="1:22" s="125" customFormat="1">
      <c r="A4" s="151" t="s">
        <v>2014</v>
      </c>
      <c r="B4" s="151" t="s">
        <v>2117</v>
      </c>
      <c r="C4" s="151" t="s">
        <v>3464</v>
      </c>
      <c r="D4" s="151" t="s">
        <v>1594</v>
      </c>
      <c r="E4" s="151" t="s">
        <v>3485</v>
      </c>
      <c r="F4" s="160" t="s">
        <v>1456</v>
      </c>
      <c r="G4" s="160" t="s">
        <v>1395</v>
      </c>
      <c r="H4" s="152">
        <v>1</v>
      </c>
      <c r="I4" s="152">
        <v>0.5</v>
      </c>
      <c r="J4" s="152">
        <v>0.5</v>
      </c>
      <c r="K4"/>
      <c r="L4"/>
      <c r="M4"/>
      <c r="N4"/>
      <c r="O4"/>
      <c r="P4"/>
      <c r="Q4"/>
      <c r="R4"/>
      <c r="S4"/>
      <c r="T4"/>
      <c r="U4"/>
      <c r="V4"/>
    </row>
    <row r="5" spans="1:22">
      <c r="A5" s="151" t="s">
        <v>2014</v>
      </c>
      <c r="B5" s="151" t="s">
        <v>2118</v>
      </c>
      <c r="C5" s="151" t="s">
        <v>3465</v>
      </c>
      <c r="D5" s="151" t="s">
        <v>1595</v>
      </c>
      <c r="E5" s="151" t="s">
        <v>2269</v>
      </c>
      <c r="F5" s="160" t="s">
        <v>1456</v>
      </c>
      <c r="G5" s="160" t="s">
        <v>1395</v>
      </c>
      <c r="H5" s="152">
        <v>9</v>
      </c>
      <c r="I5" s="152">
        <v>15.5</v>
      </c>
      <c r="J5" s="152">
        <v>13.5</v>
      </c>
    </row>
    <row r="6" spans="1:22">
      <c r="A6" s="151" t="s">
        <v>2014</v>
      </c>
      <c r="B6" s="151" t="s">
        <v>2118</v>
      </c>
      <c r="C6" s="151" t="s">
        <v>3466</v>
      </c>
      <c r="D6" s="151" t="s">
        <v>1597</v>
      </c>
      <c r="E6" s="151" t="s">
        <v>2270</v>
      </c>
      <c r="F6" s="160" t="s">
        <v>1456</v>
      </c>
      <c r="G6" s="160" t="s">
        <v>1395</v>
      </c>
      <c r="H6" s="152">
        <v>3</v>
      </c>
      <c r="I6" s="152">
        <v>6.5</v>
      </c>
      <c r="J6" s="152">
        <v>4.5</v>
      </c>
    </row>
    <row r="7" spans="1:22">
      <c r="A7" s="151" t="s">
        <v>2014</v>
      </c>
      <c r="B7" s="151" t="s">
        <v>2118</v>
      </c>
      <c r="C7" s="151" t="s">
        <v>2198</v>
      </c>
      <c r="D7" s="151" t="s">
        <v>1615</v>
      </c>
      <c r="E7" s="151" t="s">
        <v>4211</v>
      </c>
      <c r="F7" s="160" t="s">
        <v>1456</v>
      </c>
      <c r="G7" s="160" t="s">
        <v>1395</v>
      </c>
      <c r="H7" s="152">
        <v>1</v>
      </c>
      <c r="I7" s="152">
        <v>1</v>
      </c>
      <c r="J7" s="152">
        <v>1</v>
      </c>
    </row>
    <row r="8" spans="1:22">
      <c r="A8" s="151" t="s">
        <v>2014</v>
      </c>
      <c r="B8" s="151" t="s">
        <v>2118</v>
      </c>
      <c r="C8" s="151" t="s">
        <v>1837</v>
      </c>
      <c r="D8" s="151" t="s">
        <v>1616</v>
      </c>
      <c r="E8" s="151" t="s">
        <v>2271</v>
      </c>
      <c r="F8" s="160" t="s">
        <v>1456</v>
      </c>
      <c r="G8" s="160" t="s">
        <v>1395</v>
      </c>
      <c r="H8" s="152">
        <v>1</v>
      </c>
      <c r="I8" s="152">
        <v>0.5</v>
      </c>
      <c r="J8" s="152">
        <v>0.5</v>
      </c>
    </row>
    <row r="9" spans="1:22">
      <c r="A9" s="151" t="s">
        <v>2014</v>
      </c>
      <c r="B9" s="151" t="s">
        <v>2118</v>
      </c>
      <c r="C9" s="151" t="s">
        <v>2202</v>
      </c>
      <c r="D9" s="151" t="s">
        <v>1628</v>
      </c>
      <c r="E9" s="151" t="s">
        <v>2272</v>
      </c>
      <c r="F9" s="160" t="s">
        <v>1395</v>
      </c>
      <c r="G9" s="160" t="s">
        <v>1456</v>
      </c>
      <c r="H9" s="152">
        <v>0</v>
      </c>
      <c r="I9" s="152">
        <v>0</v>
      </c>
      <c r="J9" s="152">
        <v>0</v>
      </c>
    </row>
    <row r="10" spans="1:22">
      <c r="A10" s="151" t="s">
        <v>2014</v>
      </c>
      <c r="B10" s="151" t="s">
        <v>2118</v>
      </c>
      <c r="C10" s="151" t="s">
        <v>2203</v>
      </c>
      <c r="D10" s="151" t="s">
        <v>1629</v>
      </c>
      <c r="E10" s="151" t="s">
        <v>3486</v>
      </c>
      <c r="F10" s="160" t="s">
        <v>1395</v>
      </c>
      <c r="G10" s="160" t="s">
        <v>1456</v>
      </c>
      <c r="H10" s="152">
        <v>0</v>
      </c>
      <c r="I10" s="152">
        <v>0</v>
      </c>
      <c r="J10" s="152">
        <v>0</v>
      </c>
    </row>
    <row r="11" spans="1:22">
      <c r="A11" s="151" t="s">
        <v>2014</v>
      </c>
      <c r="B11" s="151" t="s">
        <v>2118</v>
      </c>
      <c r="C11" s="151" t="s">
        <v>3487</v>
      </c>
      <c r="D11" s="151" t="s">
        <v>1599</v>
      </c>
      <c r="E11" s="151" t="s">
        <v>4212</v>
      </c>
      <c r="F11" s="160" t="s">
        <v>1456</v>
      </c>
      <c r="G11" s="160" t="s">
        <v>2116</v>
      </c>
      <c r="H11" s="152">
        <v>3</v>
      </c>
      <c r="I11" s="152">
        <v>4.5</v>
      </c>
      <c r="J11" s="152">
        <v>4.5</v>
      </c>
    </row>
    <row r="12" spans="1:22">
      <c r="A12" s="151" t="s">
        <v>2014</v>
      </c>
      <c r="B12" s="151" t="s">
        <v>2119</v>
      </c>
      <c r="C12" s="151" t="s">
        <v>2175</v>
      </c>
      <c r="D12" s="151" t="s">
        <v>1590</v>
      </c>
      <c r="E12" s="151" t="s">
        <v>4213</v>
      </c>
      <c r="F12" s="160" t="s">
        <v>1456</v>
      </c>
      <c r="G12" s="160" t="s">
        <v>2116</v>
      </c>
      <c r="H12" s="152">
        <v>2</v>
      </c>
      <c r="I12" s="152">
        <v>2.5</v>
      </c>
      <c r="J12" s="152">
        <v>0.5</v>
      </c>
    </row>
    <row r="13" spans="1:22">
      <c r="A13" s="151" t="s">
        <v>2014</v>
      </c>
      <c r="B13" s="151" t="s">
        <v>2119</v>
      </c>
      <c r="C13" s="151" t="s">
        <v>4214</v>
      </c>
      <c r="D13" s="151" t="s">
        <v>4215</v>
      </c>
      <c r="E13" s="151" t="s">
        <v>4216</v>
      </c>
      <c r="F13" s="160" t="s">
        <v>1456</v>
      </c>
      <c r="G13" s="160" t="s">
        <v>2116</v>
      </c>
      <c r="H13" s="152">
        <v>2</v>
      </c>
      <c r="I13" s="152">
        <v>3</v>
      </c>
      <c r="J13" s="152">
        <v>3</v>
      </c>
    </row>
    <row r="14" spans="1:22">
      <c r="A14" s="151" t="s">
        <v>2014</v>
      </c>
      <c r="B14" s="151" t="s">
        <v>1909</v>
      </c>
      <c r="C14" s="151" t="s">
        <v>1828</v>
      </c>
      <c r="D14" s="151" t="s">
        <v>1600</v>
      </c>
      <c r="E14" s="151" t="s">
        <v>1744</v>
      </c>
      <c r="F14" s="160" t="s">
        <v>1456</v>
      </c>
      <c r="G14" s="160" t="s">
        <v>1395</v>
      </c>
      <c r="H14" s="152">
        <v>1</v>
      </c>
      <c r="I14" s="152">
        <v>0.5</v>
      </c>
      <c r="J14" s="152">
        <v>0</v>
      </c>
    </row>
    <row r="15" spans="1:22">
      <c r="A15" s="151" t="s">
        <v>2014</v>
      </c>
      <c r="B15" s="151" t="s">
        <v>1909</v>
      </c>
      <c r="C15" s="151" t="s">
        <v>1829</v>
      </c>
      <c r="D15" s="151" t="s">
        <v>1602</v>
      </c>
      <c r="E15" s="151" t="s">
        <v>4217</v>
      </c>
      <c r="F15" s="160" t="s">
        <v>1456</v>
      </c>
      <c r="G15" s="160" t="s">
        <v>1395</v>
      </c>
      <c r="H15" s="152">
        <v>0</v>
      </c>
      <c r="I15" s="152">
        <v>0</v>
      </c>
      <c r="J15" s="152">
        <v>0</v>
      </c>
    </row>
    <row r="16" spans="1:22">
      <c r="A16" s="151" t="s">
        <v>2014</v>
      </c>
      <c r="B16" s="151" t="s">
        <v>1909</v>
      </c>
      <c r="C16" s="151" t="s">
        <v>1830</v>
      </c>
      <c r="D16" s="151" t="s">
        <v>1603</v>
      </c>
      <c r="E16" s="151" t="s">
        <v>2273</v>
      </c>
      <c r="F16" s="160" t="s">
        <v>1456</v>
      </c>
      <c r="G16" s="160" t="s">
        <v>1395</v>
      </c>
      <c r="H16" s="152">
        <v>1</v>
      </c>
      <c r="I16" s="152">
        <v>0.5</v>
      </c>
      <c r="J16" s="152">
        <v>0</v>
      </c>
    </row>
    <row r="17" spans="1:10">
      <c r="A17" s="151" t="s">
        <v>2014</v>
      </c>
      <c r="B17" s="151" t="s">
        <v>1909</v>
      </c>
      <c r="C17" s="151" t="s">
        <v>1831</v>
      </c>
      <c r="D17" s="151" t="s">
        <v>1605</v>
      </c>
      <c r="E17" s="151" t="s">
        <v>2274</v>
      </c>
      <c r="F17" s="160" t="s">
        <v>1456</v>
      </c>
      <c r="G17" s="160" t="s">
        <v>1395</v>
      </c>
      <c r="H17" s="152">
        <v>0</v>
      </c>
      <c r="I17" s="152">
        <v>0</v>
      </c>
      <c r="J17" s="152">
        <v>0</v>
      </c>
    </row>
    <row r="18" spans="1:10" ht="40" customHeight="1">
      <c r="A18" s="151" t="s">
        <v>2014</v>
      </c>
      <c r="B18" s="151" t="s">
        <v>1909</v>
      </c>
      <c r="C18" s="151" t="s">
        <v>2199</v>
      </c>
      <c r="D18" s="151" t="s">
        <v>1606</v>
      </c>
      <c r="E18" s="151" t="s">
        <v>2275</v>
      </c>
      <c r="F18" s="160" t="s">
        <v>1456</v>
      </c>
      <c r="G18" s="160" t="s">
        <v>1395</v>
      </c>
      <c r="H18" s="152">
        <v>0</v>
      </c>
      <c r="I18" s="152">
        <v>0</v>
      </c>
      <c r="J18" s="152">
        <v>0</v>
      </c>
    </row>
    <row r="19" spans="1:10">
      <c r="A19" s="151" t="s">
        <v>2014</v>
      </c>
      <c r="B19" s="151" t="s">
        <v>1909</v>
      </c>
      <c r="C19" s="151" t="s">
        <v>1845</v>
      </c>
      <c r="D19" s="151" t="s">
        <v>1640</v>
      </c>
      <c r="E19" s="151" t="s">
        <v>3488</v>
      </c>
      <c r="F19" s="160" t="s">
        <v>2116</v>
      </c>
      <c r="G19" s="160" t="s">
        <v>2116</v>
      </c>
      <c r="H19" s="152">
        <v>0</v>
      </c>
      <c r="I19" s="152">
        <v>0</v>
      </c>
      <c r="J19" s="152">
        <v>0</v>
      </c>
    </row>
    <row r="20" spans="1:10" ht="66" customHeight="1">
      <c r="A20" s="151" t="s">
        <v>2014</v>
      </c>
      <c r="B20" s="151" t="s">
        <v>1909</v>
      </c>
      <c r="C20" s="151" t="s">
        <v>1826</v>
      </c>
      <c r="D20" s="151" t="s">
        <v>1609</v>
      </c>
      <c r="E20" s="151" t="s">
        <v>2276</v>
      </c>
      <c r="F20" s="160" t="s">
        <v>1456</v>
      </c>
      <c r="G20" s="160" t="s">
        <v>1395</v>
      </c>
      <c r="H20" s="152">
        <v>0</v>
      </c>
      <c r="I20" s="152">
        <v>0</v>
      </c>
      <c r="J20" s="152">
        <v>0</v>
      </c>
    </row>
    <row r="21" spans="1:10">
      <c r="A21" s="151" t="s">
        <v>2014</v>
      </c>
      <c r="B21" s="151" t="s">
        <v>2121</v>
      </c>
      <c r="C21" s="151" t="s">
        <v>1834</v>
      </c>
      <c r="D21" s="151" t="s">
        <v>1610</v>
      </c>
      <c r="E21" s="151" t="s">
        <v>3489</v>
      </c>
      <c r="F21" s="160" t="s">
        <v>1456</v>
      </c>
      <c r="G21" s="160" t="s">
        <v>1395</v>
      </c>
      <c r="H21" s="152">
        <v>0</v>
      </c>
      <c r="I21" s="152">
        <v>0</v>
      </c>
      <c r="J21" s="152">
        <v>0</v>
      </c>
    </row>
    <row r="22" spans="1:10">
      <c r="A22" s="151" t="s">
        <v>2014</v>
      </c>
      <c r="B22" s="151" t="s">
        <v>2121</v>
      </c>
      <c r="C22" s="151" t="s">
        <v>1835</v>
      </c>
      <c r="D22" s="151" t="s">
        <v>1611</v>
      </c>
      <c r="E22" s="151" t="s">
        <v>1746</v>
      </c>
      <c r="F22" s="160" t="s">
        <v>1456</v>
      </c>
      <c r="G22" s="160" t="s">
        <v>1395</v>
      </c>
      <c r="H22" s="152">
        <v>0</v>
      </c>
      <c r="I22" s="152">
        <v>0</v>
      </c>
      <c r="J22" s="152">
        <v>0</v>
      </c>
    </row>
    <row r="23" spans="1:10" ht="58" customHeight="1">
      <c r="A23" s="151" t="s">
        <v>2014</v>
      </c>
      <c r="B23" s="151" t="s">
        <v>2121</v>
      </c>
      <c r="C23" s="151" t="s">
        <v>1844</v>
      </c>
      <c r="D23" s="151" t="s">
        <v>1638</v>
      </c>
      <c r="E23" s="151" t="s">
        <v>3490</v>
      </c>
      <c r="F23" s="160" t="s">
        <v>2116</v>
      </c>
      <c r="G23" s="160" t="s">
        <v>2116</v>
      </c>
      <c r="H23" s="152">
        <v>0</v>
      </c>
      <c r="I23" s="152">
        <v>0</v>
      </c>
      <c r="J23" s="152">
        <v>0</v>
      </c>
    </row>
    <row r="24" spans="1:10">
      <c r="A24" s="151" t="s">
        <v>2014</v>
      </c>
      <c r="B24" s="151" t="s">
        <v>2121</v>
      </c>
      <c r="C24" s="151" t="s">
        <v>1832</v>
      </c>
      <c r="D24" s="151" t="s">
        <v>1607</v>
      </c>
      <c r="E24" s="151" t="s">
        <v>2277</v>
      </c>
      <c r="F24" s="160" t="s">
        <v>1456</v>
      </c>
      <c r="G24" s="160" t="s">
        <v>1395</v>
      </c>
      <c r="H24" s="152">
        <v>0</v>
      </c>
      <c r="I24" s="152">
        <v>0</v>
      </c>
      <c r="J24" s="152">
        <v>0</v>
      </c>
    </row>
    <row r="25" spans="1:10">
      <c r="A25" s="151" t="s">
        <v>2014</v>
      </c>
      <c r="B25" s="151" t="s">
        <v>2121</v>
      </c>
      <c r="C25" s="151" t="s">
        <v>1833</v>
      </c>
      <c r="D25" s="151" t="s">
        <v>1608</v>
      </c>
      <c r="E25" s="151" t="s">
        <v>3491</v>
      </c>
      <c r="F25" s="160" t="s">
        <v>1456</v>
      </c>
      <c r="G25" s="160" t="s">
        <v>1395</v>
      </c>
      <c r="H25" s="152">
        <v>0</v>
      </c>
      <c r="I25" s="152">
        <v>0</v>
      </c>
      <c r="J25" s="152">
        <v>0</v>
      </c>
    </row>
    <row r="26" spans="1:10">
      <c r="A26" s="151" t="s">
        <v>2014</v>
      </c>
      <c r="B26" s="151" t="s">
        <v>1910</v>
      </c>
      <c r="C26" s="151" t="s">
        <v>1836</v>
      </c>
      <c r="D26" s="151" t="s">
        <v>1612</v>
      </c>
      <c r="E26" s="151" t="s">
        <v>2278</v>
      </c>
      <c r="F26" s="160" t="s">
        <v>1456</v>
      </c>
      <c r="G26" s="160" t="s">
        <v>1395</v>
      </c>
      <c r="H26" s="152">
        <v>0</v>
      </c>
      <c r="I26" s="152">
        <v>0</v>
      </c>
      <c r="J26" s="152">
        <v>0</v>
      </c>
    </row>
    <row r="27" spans="1:10" ht="40" customHeight="1">
      <c r="A27" s="151" t="s">
        <v>2014</v>
      </c>
      <c r="B27" s="151" t="s">
        <v>1910</v>
      </c>
      <c r="C27" s="151" t="s">
        <v>3467</v>
      </c>
      <c r="D27" s="151" t="s">
        <v>1613</v>
      </c>
      <c r="E27" s="151" t="s">
        <v>2279</v>
      </c>
      <c r="F27" s="160" t="s">
        <v>1456</v>
      </c>
      <c r="G27" s="160" t="s">
        <v>1395</v>
      </c>
      <c r="H27" s="152">
        <v>1</v>
      </c>
      <c r="I27" s="152">
        <v>1</v>
      </c>
      <c r="J27" s="152">
        <v>1</v>
      </c>
    </row>
    <row r="28" spans="1:10">
      <c r="A28" s="151" t="s">
        <v>2014</v>
      </c>
      <c r="B28" s="151" t="s">
        <v>1910</v>
      </c>
      <c r="C28" s="151" t="s">
        <v>1911</v>
      </c>
      <c r="D28" s="151" t="s">
        <v>1614</v>
      </c>
      <c r="E28" s="151" t="s">
        <v>2280</v>
      </c>
      <c r="F28" s="160" t="s">
        <v>1456</v>
      </c>
      <c r="G28" s="160" t="s">
        <v>1395</v>
      </c>
      <c r="H28" s="152">
        <v>0</v>
      </c>
      <c r="I28" s="152">
        <v>0</v>
      </c>
      <c r="J28" s="152">
        <v>0</v>
      </c>
    </row>
    <row r="29" spans="1:10">
      <c r="A29" s="151" t="s">
        <v>2014</v>
      </c>
      <c r="B29" s="151" t="s">
        <v>2122</v>
      </c>
      <c r="C29" s="151" t="s">
        <v>2197</v>
      </c>
      <c r="D29" s="151" t="s">
        <v>2252</v>
      </c>
      <c r="E29" s="151" t="s">
        <v>2281</v>
      </c>
      <c r="F29" s="160" t="s">
        <v>1456</v>
      </c>
      <c r="G29" s="160" t="s">
        <v>1395</v>
      </c>
      <c r="H29" s="152">
        <v>3</v>
      </c>
      <c r="I29" s="152">
        <v>5</v>
      </c>
      <c r="J29" s="152">
        <v>5</v>
      </c>
    </row>
    <row r="30" spans="1:10">
      <c r="A30" s="151" t="s">
        <v>2014</v>
      </c>
      <c r="B30" s="151" t="s">
        <v>2122</v>
      </c>
      <c r="C30" s="151" t="s">
        <v>2218</v>
      </c>
      <c r="D30" s="151" t="s">
        <v>2267</v>
      </c>
      <c r="E30" s="151" t="s">
        <v>2282</v>
      </c>
      <c r="F30" s="160" t="s">
        <v>1456</v>
      </c>
      <c r="G30" s="160" t="s">
        <v>1395</v>
      </c>
      <c r="H30" s="152">
        <v>2</v>
      </c>
      <c r="I30" s="152">
        <v>4</v>
      </c>
      <c r="J30" s="152">
        <v>4</v>
      </c>
    </row>
    <row r="31" spans="1:10">
      <c r="A31" s="151" t="s">
        <v>2014</v>
      </c>
      <c r="B31" s="151" t="s">
        <v>2122</v>
      </c>
      <c r="C31" s="151" t="s">
        <v>2185</v>
      </c>
      <c r="D31" s="151" t="s">
        <v>1641</v>
      </c>
      <c r="E31" s="151" t="s">
        <v>3492</v>
      </c>
      <c r="F31" s="160" t="s">
        <v>2116</v>
      </c>
      <c r="G31" s="160" t="s">
        <v>2116</v>
      </c>
      <c r="H31" s="152">
        <v>0</v>
      </c>
      <c r="I31" s="152">
        <v>0</v>
      </c>
      <c r="J31" s="152">
        <v>0</v>
      </c>
    </row>
    <row r="32" spans="1:10">
      <c r="A32" s="151" t="s">
        <v>2014</v>
      </c>
      <c r="B32" s="151" t="s">
        <v>2124</v>
      </c>
      <c r="C32" s="151" t="s">
        <v>2168</v>
      </c>
      <c r="D32" s="151" t="s">
        <v>2226</v>
      </c>
      <c r="E32" s="151" t="s">
        <v>3493</v>
      </c>
      <c r="F32" s="160" t="s">
        <v>1456</v>
      </c>
      <c r="G32" s="160" t="s">
        <v>1395</v>
      </c>
      <c r="H32" s="152">
        <v>1</v>
      </c>
      <c r="I32" s="152">
        <v>1</v>
      </c>
      <c r="J32" s="152">
        <v>1</v>
      </c>
    </row>
    <row r="33" spans="1:10">
      <c r="A33" s="151" t="s">
        <v>2014</v>
      </c>
      <c r="B33" s="151" t="s">
        <v>2124</v>
      </c>
      <c r="C33" s="151" t="s">
        <v>3468</v>
      </c>
      <c r="D33" s="151" t="s">
        <v>2254</v>
      </c>
      <c r="E33" s="151" t="s">
        <v>3494</v>
      </c>
      <c r="F33" s="160" t="s">
        <v>1456</v>
      </c>
      <c r="G33" s="160" t="s">
        <v>1395</v>
      </c>
      <c r="H33" s="152">
        <v>1</v>
      </c>
      <c r="I33" s="152">
        <v>1</v>
      </c>
      <c r="J33" s="152">
        <v>1</v>
      </c>
    </row>
    <row r="34" spans="1:10">
      <c r="A34" s="151" t="s">
        <v>2014</v>
      </c>
      <c r="B34" s="151" t="s">
        <v>2124</v>
      </c>
      <c r="C34" s="151" t="s">
        <v>2219</v>
      </c>
      <c r="D34" s="151" t="s">
        <v>2268</v>
      </c>
      <c r="E34" s="151" t="s">
        <v>2283</v>
      </c>
      <c r="F34" s="160" t="s">
        <v>1456</v>
      </c>
      <c r="G34" s="160" t="s">
        <v>1395</v>
      </c>
      <c r="H34" s="152">
        <v>0</v>
      </c>
      <c r="I34" s="152">
        <v>0</v>
      </c>
      <c r="J34" s="152">
        <v>0</v>
      </c>
    </row>
    <row r="35" spans="1:10">
      <c r="A35" s="151" t="s">
        <v>2014</v>
      </c>
      <c r="B35" s="151" t="s">
        <v>327</v>
      </c>
      <c r="C35" s="151" t="s">
        <v>2207</v>
      </c>
      <c r="D35" s="151" t="s">
        <v>2255</v>
      </c>
      <c r="E35" s="151" t="s">
        <v>4218</v>
      </c>
      <c r="F35" s="160" t="s">
        <v>2116</v>
      </c>
      <c r="G35" s="160" t="s">
        <v>2116</v>
      </c>
      <c r="H35" s="152">
        <v>1</v>
      </c>
      <c r="I35" s="152">
        <v>0.5</v>
      </c>
      <c r="J35" s="152">
        <v>0.5</v>
      </c>
    </row>
    <row r="36" spans="1:10">
      <c r="A36" s="151" t="s">
        <v>2127</v>
      </c>
      <c r="B36" s="151" t="s">
        <v>2126</v>
      </c>
      <c r="C36" s="151" t="s">
        <v>3469</v>
      </c>
      <c r="D36" s="151" t="s">
        <v>1617</v>
      </c>
      <c r="E36" s="151" t="s">
        <v>3495</v>
      </c>
      <c r="F36" s="160" t="s">
        <v>1456</v>
      </c>
      <c r="G36" s="160" t="s">
        <v>1395</v>
      </c>
      <c r="H36" s="152">
        <v>2</v>
      </c>
      <c r="I36" s="152">
        <v>4</v>
      </c>
      <c r="J36" s="152">
        <v>4</v>
      </c>
    </row>
    <row r="37" spans="1:10">
      <c r="A37" s="151" t="s">
        <v>2127</v>
      </c>
      <c r="B37" s="151" t="s">
        <v>2126</v>
      </c>
      <c r="C37" s="151" t="s">
        <v>3470</v>
      </c>
      <c r="D37" s="151" t="s">
        <v>1618</v>
      </c>
      <c r="E37" s="151" t="s">
        <v>3496</v>
      </c>
      <c r="F37" s="160" t="s">
        <v>1456</v>
      </c>
      <c r="G37" s="160" t="s">
        <v>1395</v>
      </c>
      <c r="H37" s="152">
        <v>1</v>
      </c>
      <c r="I37" s="152">
        <v>0.75</v>
      </c>
      <c r="J37" s="152">
        <v>0.75</v>
      </c>
    </row>
    <row r="38" spans="1:10">
      <c r="A38" s="151" t="s">
        <v>2127</v>
      </c>
      <c r="B38" s="151" t="s">
        <v>2126</v>
      </c>
      <c r="C38" s="151" t="s">
        <v>2200</v>
      </c>
      <c r="D38" s="151" t="s">
        <v>1619</v>
      </c>
      <c r="E38" s="151" t="s">
        <v>2284</v>
      </c>
      <c r="F38" s="160" t="s">
        <v>1456</v>
      </c>
      <c r="G38" s="160" t="s">
        <v>1395</v>
      </c>
      <c r="H38" s="152">
        <v>1</v>
      </c>
      <c r="I38" s="152">
        <v>1</v>
      </c>
      <c r="J38" s="152">
        <v>1</v>
      </c>
    </row>
    <row r="39" spans="1:10">
      <c r="A39" s="151" t="s">
        <v>2127</v>
      </c>
      <c r="B39" s="151" t="s">
        <v>2126</v>
      </c>
      <c r="C39" s="151" t="s">
        <v>3471</v>
      </c>
      <c r="D39" s="151" t="s">
        <v>1620</v>
      </c>
      <c r="E39" s="151" t="s">
        <v>3497</v>
      </c>
      <c r="F39" s="160" t="s">
        <v>1456</v>
      </c>
      <c r="G39" s="160" t="s">
        <v>1395</v>
      </c>
      <c r="H39" s="152">
        <v>1</v>
      </c>
      <c r="I39" s="152">
        <v>0.5</v>
      </c>
      <c r="J39" s="152">
        <v>0.5</v>
      </c>
    </row>
    <row r="40" spans="1:10">
      <c r="A40" s="151" t="s">
        <v>2127</v>
      </c>
      <c r="B40" s="151" t="s">
        <v>2126</v>
      </c>
      <c r="C40" s="151" t="s">
        <v>2201</v>
      </c>
      <c r="D40" s="151" t="s">
        <v>1621</v>
      </c>
      <c r="E40" s="151" t="s">
        <v>2285</v>
      </c>
      <c r="F40" s="160" t="s">
        <v>1456</v>
      </c>
      <c r="G40" s="160" t="s">
        <v>1395</v>
      </c>
      <c r="H40" s="152">
        <v>1</v>
      </c>
      <c r="I40" s="152">
        <v>0.5</v>
      </c>
      <c r="J40" s="152">
        <v>0.5</v>
      </c>
    </row>
    <row r="41" spans="1:10">
      <c r="A41" s="151" t="s">
        <v>2127</v>
      </c>
      <c r="B41" s="151" t="s">
        <v>2128</v>
      </c>
      <c r="C41" s="151" t="s">
        <v>1838</v>
      </c>
      <c r="D41" s="151" t="s">
        <v>1622</v>
      </c>
      <c r="E41" s="151" t="s">
        <v>3498</v>
      </c>
      <c r="F41" s="160" t="s">
        <v>1456</v>
      </c>
      <c r="G41" s="160" t="s">
        <v>1395</v>
      </c>
      <c r="H41" s="152">
        <v>2</v>
      </c>
      <c r="I41" s="152">
        <v>3</v>
      </c>
      <c r="J41" s="152">
        <v>3</v>
      </c>
    </row>
    <row r="42" spans="1:10">
      <c r="A42" s="151" t="s">
        <v>2127</v>
      </c>
      <c r="B42" s="151" t="s">
        <v>2128</v>
      </c>
      <c r="C42" s="151" t="s">
        <v>1839</v>
      </c>
      <c r="D42" s="151" t="s">
        <v>1623</v>
      </c>
      <c r="E42" s="151" t="s">
        <v>3499</v>
      </c>
      <c r="F42" s="160" t="s">
        <v>2116</v>
      </c>
      <c r="G42" s="160" t="s">
        <v>2116</v>
      </c>
      <c r="H42" s="152">
        <v>1</v>
      </c>
      <c r="I42" s="152">
        <v>0.75</v>
      </c>
      <c r="J42" s="152">
        <v>0.75</v>
      </c>
    </row>
    <row r="43" spans="1:10">
      <c r="A43" s="151" t="s">
        <v>2127</v>
      </c>
      <c r="B43" s="151" t="s">
        <v>2130</v>
      </c>
      <c r="C43" s="151" t="s">
        <v>3472</v>
      </c>
      <c r="D43" s="151" t="s">
        <v>1624</v>
      </c>
      <c r="E43" s="151" t="s">
        <v>3500</v>
      </c>
      <c r="F43" s="160" t="s">
        <v>1456</v>
      </c>
      <c r="G43" s="160" t="s">
        <v>1395</v>
      </c>
      <c r="H43" s="152">
        <v>1</v>
      </c>
      <c r="I43" s="152">
        <v>0.75</v>
      </c>
      <c r="J43" s="152">
        <v>0.75</v>
      </c>
    </row>
    <row r="44" spans="1:10">
      <c r="A44" s="151" t="s">
        <v>2127</v>
      </c>
      <c r="B44" s="151" t="s">
        <v>2130</v>
      </c>
      <c r="C44" s="151" t="s">
        <v>3473</v>
      </c>
      <c r="D44" s="151" t="s">
        <v>1625</v>
      </c>
      <c r="E44" s="151" t="s">
        <v>3501</v>
      </c>
      <c r="F44" s="160" t="s">
        <v>1456</v>
      </c>
      <c r="G44" s="160" t="s">
        <v>1395</v>
      </c>
      <c r="H44" s="152">
        <v>1</v>
      </c>
      <c r="I44" s="152">
        <v>0.75</v>
      </c>
      <c r="J44" s="152">
        <v>0.75</v>
      </c>
    </row>
    <row r="45" spans="1:10">
      <c r="A45" s="151" t="s">
        <v>2127</v>
      </c>
      <c r="B45" s="151" t="s">
        <v>2130</v>
      </c>
      <c r="C45" s="151" t="s">
        <v>1858</v>
      </c>
      <c r="D45" s="151" t="s">
        <v>1671</v>
      </c>
      <c r="E45" s="151" t="s">
        <v>4219</v>
      </c>
      <c r="F45" s="160" t="s">
        <v>1456</v>
      </c>
      <c r="G45" s="160" t="s">
        <v>1395</v>
      </c>
      <c r="H45" s="152">
        <v>1</v>
      </c>
      <c r="I45" s="152">
        <v>1</v>
      </c>
      <c r="J45" s="152">
        <v>1</v>
      </c>
    </row>
    <row r="46" spans="1:10">
      <c r="A46" s="151" t="s">
        <v>2127</v>
      </c>
      <c r="B46" s="151" t="s">
        <v>2130</v>
      </c>
      <c r="C46" s="151" t="s">
        <v>1864</v>
      </c>
      <c r="D46" s="151" t="s">
        <v>1680</v>
      </c>
      <c r="E46" s="151" t="s">
        <v>2286</v>
      </c>
      <c r="F46" s="160" t="s">
        <v>1456</v>
      </c>
      <c r="G46" s="160" t="s">
        <v>1395</v>
      </c>
      <c r="H46" s="152">
        <v>1</v>
      </c>
      <c r="I46" s="152">
        <v>1.5</v>
      </c>
      <c r="J46" s="152">
        <v>1.5</v>
      </c>
    </row>
    <row r="47" spans="1:10">
      <c r="A47" s="151" t="s">
        <v>2127</v>
      </c>
      <c r="B47" s="151" t="s">
        <v>2130</v>
      </c>
      <c r="C47" s="151" t="s">
        <v>1840</v>
      </c>
      <c r="D47" s="151" t="s">
        <v>1626</v>
      </c>
      <c r="E47" s="151" t="s">
        <v>4220</v>
      </c>
      <c r="F47" s="160" t="s">
        <v>1456</v>
      </c>
      <c r="G47" s="160" t="s">
        <v>1395</v>
      </c>
      <c r="H47" s="152">
        <v>0</v>
      </c>
      <c r="I47" s="152">
        <v>0</v>
      </c>
      <c r="J47" s="152">
        <v>0</v>
      </c>
    </row>
    <row r="48" spans="1:10">
      <c r="A48" s="151" t="s">
        <v>2127</v>
      </c>
      <c r="B48" s="151" t="s">
        <v>2130</v>
      </c>
      <c r="C48" s="151" t="s">
        <v>1841</v>
      </c>
      <c r="D48" s="151" t="s">
        <v>1627</v>
      </c>
      <c r="E48" s="151" t="s">
        <v>4221</v>
      </c>
      <c r="F48" s="160" t="s">
        <v>1456</v>
      </c>
      <c r="G48" s="160" t="s">
        <v>1395</v>
      </c>
      <c r="H48" s="152">
        <v>0</v>
      </c>
      <c r="I48" s="152">
        <v>0</v>
      </c>
      <c r="J48" s="152">
        <v>0</v>
      </c>
    </row>
    <row r="49" spans="1:10">
      <c r="A49" s="151" t="s">
        <v>2127</v>
      </c>
      <c r="B49" s="151" t="s">
        <v>2131</v>
      </c>
      <c r="C49" s="151" t="s">
        <v>3502</v>
      </c>
      <c r="D49" s="151" t="s">
        <v>1632</v>
      </c>
      <c r="E49" s="151" t="s">
        <v>3503</v>
      </c>
      <c r="F49" s="160" t="s">
        <v>2116</v>
      </c>
      <c r="G49" s="160" t="s">
        <v>2116</v>
      </c>
      <c r="H49" s="152">
        <v>0</v>
      </c>
      <c r="I49" s="152">
        <v>0</v>
      </c>
      <c r="J49" s="152">
        <v>0</v>
      </c>
    </row>
    <row r="50" spans="1:10">
      <c r="A50" s="151" t="s">
        <v>2127</v>
      </c>
      <c r="B50" s="151" t="s">
        <v>2131</v>
      </c>
      <c r="C50" s="151" t="s">
        <v>3504</v>
      </c>
      <c r="D50" s="151" t="s">
        <v>1633</v>
      </c>
      <c r="E50" s="151" t="s">
        <v>3505</v>
      </c>
      <c r="F50" s="160" t="s">
        <v>2116</v>
      </c>
      <c r="G50" s="160" t="s">
        <v>2116</v>
      </c>
      <c r="H50" s="152">
        <v>0</v>
      </c>
      <c r="I50" s="152">
        <v>0</v>
      </c>
      <c r="J50" s="152">
        <v>0</v>
      </c>
    </row>
    <row r="51" spans="1:10">
      <c r="A51" s="151" t="s">
        <v>2127</v>
      </c>
      <c r="B51" s="151" t="s">
        <v>2131</v>
      </c>
      <c r="C51" s="151" t="s">
        <v>3506</v>
      </c>
      <c r="D51" s="151" t="s">
        <v>1634</v>
      </c>
      <c r="E51" s="151" t="s">
        <v>3507</v>
      </c>
      <c r="F51" s="160" t="s">
        <v>2116</v>
      </c>
      <c r="G51" s="160" t="s">
        <v>2116</v>
      </c>
      <c r="H51" s="152">
        <v>0</v>
      </c>
      <c r="I51" s="152">
        <v>0</v>
      </c>
      <c r="J51" s="152">
        <v>0</v>
      </c>
    </row>
    <row r="52" spans="1:10">
      <c r="A52" s="151" t="s">
        <v>2127</v>
      </c>
      <c r="B52" s="151" t="s">
        <v>2131</v>
      </c>
      <c r="C52" s="151" t="s">
        <v>3508</v>
      </c>
      <c r="D52" s="151" t="s">
        <v>1635</v>
      </c>
      <c r="E52" s="151" t="s">
        <v>3509</v>
      </c>
      <c r="F52" s="160" t="s">
        <v>2116</v>
      </c>
      <c r="G52" s="160" t="s">
        <v>2116</v>
      </c>
      <c r="H52" s="152">
        <v>0</v>
      </c>
      <c r="I52" s="152">
        <v>0</v>
      </c>
      <c r="J52" s="152">
        <v>0</v>
      </c>
    </row>
    <row r="53" spans="1:10">
      <c r="A53" s="151" t="s">
        <v>2127</v>
      </c>
      <c r="B53" s="151" t="s">
        <v>2131</v>
      </c>
      <c r="C53" s="151" t="s">
        <v>3510</v>
      </c>
      <c r="D53" s="151" t="s">
        <v>1636</v>
      </c>
      <c r="E53" s="151" t="s">
        <v>3511</v>
      </c>
      <c r="F53" s="160" t="s">
        <v>2116</v>
      </c>
      <c r="G53" s="160" t="s">
        <v>2116</v>
      </c>
      <c r="H53" s="152">
        <v>0</v>
      </c>
      <c r="I53" s="152">
        <v>0</v>
      </c>
      <c r="J53" s="152">
        <v>0</v>
      </c>
    </row>
    <row r="54" spans="1:10">
      <c r="A54" s="151" t="s">
        <v>2127</v>
      </c>
      <c r="B54" s="151" t="s">
        <v>2131</v>
      </c>
      <c r="C54" s="151" t="s">
        <v>3512</v>
      </c>
      <c r="D54" s="151" t="s">
        <v>1637</v>
      </c>
      <c r="E54" s="151" t="s">
        <v>3513</v>
      </c>
      <c r="F54" s="160" t="s">
        <v>2116</v>
      </c>
      <c r="G54" s="160" t="s">
        <v>2116</v>
      </c>
      <c r="H54" s="152">
        <v>0</v>
      </c>
      <c r="I54" s="152">
        <v>0</v>
      </c>
      <c r="J54" s="152">
        <v>0</v>
      </c>
    </row>
    <row r="55" spans="1:10">
      <c r="A55" s="151" t="s">
        <v>2127</v>
      </c>
      <c r="B55" s="151" t="s">
        <v>2131</v>
      </c>
      <c r="C55" s="151" t="s">
        <v>3514</v>
      </c>
      <c r="D55" s="151" t="s">
        <v>1639</v>
      </c>
      <c r="E55" s="151" t="s">
        <v>3515</v>
      </c>
      <c r="F55" s="160" t="s">
        <v>2116</v>
      </c>
      <c r="G55" s="160" t="s">
        <v>2116</v>
      </c>
      <c r="H55" s="152">
        <v>0</v>
      </c>
      <c r="I55" s="152">
        <v>0</v>
      </c>
      <c r="J55" s="152">
        <v>0</v>
      </c>
    </row>
    <row r="56" spans="1:10">
      <c r="A56" s="151" t="s">
        <v>2127</v>
      </c>
      <c r="B56" s="151" t="s">
        <v>2131</v>
      </c>
      <c r="C56" s="151" t="s">
        <v>3516</v>
      </c>
      <c r="D56" s="151" t="s">
        <v>1651</v>
      </c>
      <c r="E56" s="151" t="s">
        <v>3517</v>
      </c>
      <c r="F56" s="160" t="s">
        <v>2116</v>
      </c>
      <c r="G56" s="160" t="s">
        <v>2116</v>
      </c>
      <c r="H56" s="152">
        <v>0</v>
      </c>
      <c r="I56" s="152">
        <v>0</v>
      </c>
      <c r="J56" s="152">
        <v>0</v>
      </c>
    </row>
    <row r="57" spans="1:10">
      <c r="A57" s="151" t="s">
        <v>2127</v>
      </c>
      <c r="B57" s="151" t="s">
        <v>2131</v>
      </c>
      <c r="C57" s="151" t="s">
        <v>1823</v>
      </c>
      <c r="D57" s="151" t="s">
        <v>1652</v>
      </c>
      <c r="E57" s="151" t="s">
        <v>3518</v>
      </c>
      <c r="F57" s="160" t="s">
        <v>2116</v>
      </c>
      <c r="G57" s="160" t="s">
        <v>2116</v>
      </c>
      <c r="H57" s="152">
        <v>0</v>
      </c>
      <c r="I57" s="152">
        <v>0</v>
      </c>
      <c r="J57" s="152">
        <v>0</v>
      </c>
    </row>
    <row r="58" spans="1:10">
      <c r="A58" s="151" t="s">
        <v>2127</v>
      </c>
      <c r="B58" s="151" t="s">
        <v>2132</v>
      </c>
      <c r="C58" s="151" t="s">
        <v>1913</v>
      </c>
      <c r="D58" s="151" t="s">
        <v>1645</v>
      </c>
      <c r="E58" s="151" t="s">
        <v>3519</v>
      </c>
      <c r="F58" s="160" t="s">
        <v>1456</v>
      </c>
      <c r="G58" s="160" t="s">
        <v>1395</v>
      </c>
      <c r="H58" s="152">
        <v>1</v>
      </c>
      <c r="I58" s="152">
        <v>1</v>
      </c>
      <c r="J58" s="152">
        <v>1</v>
      </c>
    </row>
    <row r="59" spans="1:10">
      <c r="A59" s="151" t="s">
        <v>2127</v>
      </c>
      <c r="B59" s="151" t="s">
        <v>2132</v>
      </c>
      <c r="C59" s="151" t="s">
        <v>1914</v>
      </c>
      <c r="D59" s="151" t="s">
        <v>1646</v>
      </c>
      <c r="E59" s="151" t="s">
        <v>2287</v>
      </c>
      <c r="F59" s="160" t="s">
        <v>2116</v>
      </c>
      <c r="G59" s="160" t="s">
        <v>2116</v>
      </c>
      <c r="H59" s="152">
        <v>0</v>
      </c>
      <c r="I59" s="152">
        <v>0</v>
      </c>
      <c r="J59" s="152">
        <v>0</v>
      </c>
    </row>
    <row r="60" spans="1:10">
      <c r="A60" s="151" t="s">
        <v>2127</v>
      </c>
      <c r="B60" s="151" t="s">
        <v>2132</v>
      </c>
      <c r="C60" s="151" t="s">
        <v>1848</v>
      </c>
      <c r="D60" s="151" t="s">
        <v>1644</v>
      </c>
      <c r="E60" s="151" t="s">
        <v>3520</v>
      </c>
      <c r="F60" s="160" t="s">
        <v>2116</v>
      </c>
      <c r="G60" s="160" t="s">
        <v>2116</v>
      </c>
      <c r="H60" s="152">
        <v>0</v>
      </c>
      <c r="I60" s="152">
        <v>0</v>
      </c>
      <c r="J60" s="152">
        <v>0</v>
      </c>
    </row>
    <row r="61" spans="1:10">
      <c r="A61" s="151" t="s">
        <v>2127</v>
      </c>
      <c r="B61" s="151" t="s">
        <v>2132</v>
      </c>
      <c r="C61" s="151" t="s">
        <v>2182</v>
      </c>
      <c r="D61" s="151" t="s">
        <v>2237</v>
      </c>
      <c r="E61" s="151" t="s">
        <v>2288</v>
      </c>
      <c r="F61" s="160" t="s">
        <v>1456</v>
      </c>
      <c r="G61" s="160" t="s">
        <v>1395</v>
      </c>
      <c r="H61" s="152">
        <v>1</v>
      </c>
      <c r="I61" s="152">
        <v>1</v>
      </c>
      <c r="J61" s="152">
        <v>1</v>
      </c>
    </row>
    <row r="62" spans="1:10" ht="40" customHeight="1">
      <c r="A62" s="151" t="s">
        <v>2127</v>
      </c>
      <c r="B62" s="151" t="s">
        <v>3440</v>
      </c>
      <c r="C62" s="151" t="s">
        <v>3474</v>
      </c>
      <c r="D62" s="151" t="s">
        <v>1647</v>
      </c>
      <c r="E62" s="151" t="s">
        <v>3521</v>
      </c>
      <c r="F62" s="160" t="s">
        <v>2116</v>
      </c>
      <c r="G62" s="160" t="s">
        <v>2116</v>
      </c>
      <c r="H62" s="152">
        <v>1</v>
      </c>
      <c r="I62" s="152">
        <v>2</v>
      </c>
      <c r="J62" s="152">
        <v>2</v>
      </c>
    </row>
    <row r="63" spans="1:10">
      <c r="A63" s="151" t="s">
        <v>2127</v>
      </c>
      <c r="B63" s="151" t="s">
        <v>3440</v>
      </c>
      <c r="C63" s="151" t="s">
        <v>1849</v>
      </c>
      <c r="D63" s="151" t="s">
        <v>1648</v>
      </c>
      <c r="E63" s="151" t="s">
        <v>2289</v>
      </c>
      <c r="F63" s="160" t="s">
        <v>1456</v>
      </c>
      <c r="G63" s="160" t="s">
        <v>1395</v>
      </c>
      <c r="H63" s="152">
        <v>1</v>
      </c>
      <c r="I63" s="152">
        <v>3</v>
      </c>
      <c r="J63" s="152">
        <v>3</v>
      </c>
    </row>
    <row r="64" spans="1:10">
      <c r="A64" s="151" t="s">
        <v>2127</v>
      </c>
      <c r="B64" s="151" t="s">
        <v>3440</v>
      </c>
      <c r="C64" s="151" t="s">
        <v>1857</v>
      </c>
      <c r="D64" s="151" t="s">
        <v>1669</v>
      </c>
      <c r="E64" s="151" t="s">
        <v>3522</v>
      </c>
      <c r="F64" s="160" t="s">
        <v>1456</v>
      </c>
      <c r="G64" s="160" t="s">
        <v>1395</v>
      </c>
      <c r="H64" s="152">
        <v>1</v>
      </c>
      <c r="I64" s="152">
        <v>1</v>
      </c>
      <c r="J64" s="152">
        <v>1</v>
      </c>
    </row>
    <row r="65" spans="1:22">
      <c r="A65" s="151" t="s">
        <v>2133</v>
      </c>
      <c r="B65" s="151" t="s">
        <v>1912</v>
      </c>
      <c r="C65" s="151" t="s">
        <v>1846</v>
      </c>
      <c r="D65" s="151" t="s">
        <v>1642</v>
      </c>
      <c r="E65" s="151" t="s">
        <v>3523</v>
      </c>
      <c r="F65" s="160" t="s">
        <v>1395</v>
      </c>
      <c r="G65" s="160" t="s">
        <v>1456</v>
      </c>
      <c r="H65" s="152">
        <v>0</v>
      </c>
      <c r="I65" s="152">
        <v>0</v>
      </c>
      <c r="J65" s="152">
        <v>0</v>
      </c>
    </row>
    <row r="66" spans="1:22">
      <c r="A66" s="151" t="s">
        <v>2133</v>
      </c>
      <c r="B66" s="151" t="s">
        <v>1912</v>
      </c>
      <c r="C66" s="151" t="s">
        <v>1847</v>
      </c>
      <c r="D66" s="151" t="s">
        <v>1643</v>
      </c>
      <c r="E66" s="151" t="s">
        <v>3524</v>
      </c>
      <c r="F66" s="160" t="s">
        <v>1395</v>
      </c>
      <c r="G66" s="160" t="s">
        <v>1456</v>
      </c>
      <c r="H66" s="152">
        <v>0</v>
      </c>
      <c r="I66" s="152">
        <v>0</v>
      </c>
      <c r="J66" s="152">
        <v>0</v>
      </c>
    </row>
    <row r="67" spans="1:22">
      <c r="A67" s="151" t="s">
        <v>2133</v>
      </c>
      <c r="B67" s="151" t="s">
        <v>1912</v>
      </c>
      <c r="C67" s="151" t="s">
        <v>1915</v>
      </c>
      <c r="D67" s="151" t="s">
        <v>1650</v>
      </c>
      <c r="E67" s="151" t="s">
        <v>2290</v>
      </c>
      <c r="F67" s="160" t="s">
        <v>1395</v>
      </c>
      <c r="G67" s="160" t="s">
        <v>1456</v>
      </c>
      <c r="H67" s="152">
        <v>0</v>
      </c>
      <c r="I67" s="152">
        <v>0</v>
      </c>
      <c r="J67" s="152">
        <v>0</v>
      </c>
    </row>
    <row r="68" spans="1:22">
      <c r="A68" s="151" t="s">
        <v>2133</v>
      </c>
      <c r="B68" s="151" t="s">
        <v>1912</v>
      </c>
      <c r="C68" s="151" t="s">
        <v>1917</v>
      </c>
      <c r="D68" s="151" t="s">
        <v>1679</v>
      </c>
      <c r="E68" s="151" t="s">
        <v>1918</v>
      </c>
      <c r="F68" s="160" t="s">
        <v>1395</v>
      </c>
      <c r="G68" s="160" t="s">
        <v>1456</v>
      </c>
      <c r="H68" s="152">
        <v>0</v>
      </c>
      <c r="I68" s="152">
        <v>0</v>
      </c>
      <c r="J68" s="152">
        <v>0</v>
      </c>
    </row>
    <row r="69" spans="1:22">
      <c r="A69" s="151" t="s">
        <v>2133</v>
      </c>
      <c r="B69" s="151" t="s">
        <v>1912</v>
      </c>
      <c r="C69" s="151" t="s">
        <v>1842</v>
      </c>
      <c r="D69" s="151" t="s">
        <v>1630</v>
      </c>
      <c r="E69" s="151" t="s">
        <v>3525</v>
      </c>
      <c r="F69" s="160" t="s">
        <v>1395</v>
      </c>
      <c r="G69" s="160" t="s">
        <v>1456</v>
      </c>
      <c r="H69" s="152">
        <v>2</v>
      </c>
      <c r="I69" s="152">
        <v>3</v>
      </c>
      <c r="J69" s="152">
        <v>3</v>
      </c>
    </row>
    <row r="70" spans="1:22">
      <c r="A70" s="151" t="s">
        <v>2133</v>
      </c>
      <c r="B70" s="151" t="s">
        <v>1912</v>
      </c>
      <c r="C70" s="151" t="s">
        <v>1843</v>
      </c>
      <c r="D70" s="151" t="s">
        <v>1631</v>
      </c>
      <c r="E70" s="151" t="s">
        <v>2291</v>
      </c>
      <c r="F70" s="160" t="s">
        <v>1395</v>
      </c>
      <c r="G70" s="160" t="s">
        <v>1456</v>
      </c>
      <c r="H70" s="152">
        <v>0</v>
      </c>
      <c r="I70" s="152">
        <v>0</v>
      </c>
      <c r="J70" s="152">
        <v>0</v>
      </c>
    </row>
    <row r="71" spans="1:22">
      <c r="A71" s="151" t="s">
        <v>2133</v>
      </c>
      <c r="B71" s="151" t="s">
        <v>2134</v>
      </c>
      <c r="C71" s="151" t="s">
        <v>1852</v>
      </c>
      <c r="D71" s="151" t="s">
        <v>1656</v>
      </c>
      <c r="E71" s="151" t="s">
        <v>3526</v>
      </c>
      <c r="F71" s="160" t="s">
        <v>1395</v>
      </c>
      <c r="G71" s="160" t="s">
        <v>1456</v>
      </c>
      <c r="H71" s="152">
        <v>0</v>
      </c>
      <c r="I71" s="152">
        <v>0</v>
      </c>
      <c r="J71" s="152">
        <v>0</v>
      </c>
    </row>
    <row r="72" spans="1:22">
      <c r="A72" s="151" t="s">
        <v>2133</v>
      </c>
      <c r="B72" s="151" t="s">
        <v>2134</v>
      </c>
      <c r="C72" s="151" t="s">
        <v>1853</v>
      </c>
      <c r="D72" s="151" t="s">
        <v>1657</v>
      </c>
      <c r="E72" s="151" t="s">
        <v>2292</v>
      </c>
      <c r="F72" s="160" t="s">
        <v>1395</v>
      </c>
      <c r="G72" s="160" t="s">
        <v>1456</v>
      </c>
      <c r="H72" s="152">
        <v>0</v>
      </c>
      <c r="I72" s="152">
        <v>0</v>
      </c>
      <c r="J72" s="152">
        <v>0</v>
      </c>
    </row>
    <row r="73" spans="1:22">
      <c r="A73" s="151" t="s">
        <v>2133</v>
      </c>
      <c r="B73" s="151" t="s">
        <v>2134</v>
      </c>
      <c r="C73" s="151" t="s">
        <v>1825</v>
      </c>
      <c r="D73" s="151" t="s">
        <v>1654</v>
      </c>
      <c r="E73" s="151" t="s">
        <v>3527</v>
      </c>
      <c r="F73" s="160" t="s">
        <v>1395</v>
      </c>
      <c r="G73" s="160" t="s">
        <v>1456</v>
      </c>
      <c r="H73" s="152">
        <v>0</v>
      </c>
      <c r="I73" s="152">
        <v>0</v>
      </c>
      <c r="J73" s="152">
        <v>0</v>
      </c>
    </row>
    <row r="74" spans="1:22">
      <c r="A74" s="151" t="s">
        <v>2133</v>
      </c>
      <c r="B74" s="151" t="s">
        <v>2134</v>
      </c>
      <c r="C74" s="151" t="s">
        <v>2204</v>
      </c>
      <c r="D74" s="151" t="s">
        <v>1655</v>
      </c>
      <c r="E74" s="151" t="s">
        <v>2293</v>
      </c>
      <c r="F74" s="160" t="s">
        <v>2116</v>
      </c>
      <c r="G74" s="160" t="s">
        <v>2116</v>
      </c>
      <c r="H74" s="152">
        <v>0</v>
      </c>
      <c r="I74" s="152">
        <v>0</v>
      </c>
      <c r="J74" s="152">
        <v>0</v>
      </c>
    </row>
    <row r="75" spans="1:22">
      <c r="A75" s="151" t="s">
        <v>2133</v>
      </c>
      <c r="B75" s="151" t="s">
        <v>2134</v>
      </c>
      <c r="C75" s="151" t="s">
        <v>3475</v>
      </c>
      <c r="D75" s="151" t="s">
        <v>2257</v>
      </c>
      <c r="E75" s="151" t="s">
        <v>3528</v>
      </c>
      <c r="F75" s="160" t="s">
        <v>1456</v>
      </c>
      <c r="G75" s="160" t="s">
        <v>1395</v>
      </c>
      <c r="H75" s="152">
        <v>3</v>
      </c>
      <c r="I75" s="152">
        <v>4</v>
      </c>
      <c r="J75" s="152">
        <v>4</v>
      </c>
    </row>
    <row r="76" spans="1:22" s="125" customFormat="1">
      <c r="A76" s="151" t="s">
        <v>2133</v>
      </c>
      <c r="B76" s="151" t="s">
        <v>2134</v>
      </c>
      <c r="C76" s="151" t="s">
        <v>3476</v>
      </c>
      <c r="D76" s="151" t="s">
        <v>1658</v>
      </c>
      <c r="E76" s="151" t="s">
        <v>3529</v>
      </c>
      <c r="F76" s="160" t="s">
        <v>2116</v>
      </c>
      <c r="G76" s="160" t="s">
        <v>2116</v>
      </c>
      <c r="H76" s="152">
        <v>1</v>
      </c>
      <c r="I76" s="152">
        <v>0.5</v>
      </c>
      <c r="J76" s="152">
        <v>0.5</v>
      </c>
      <c r="K76"/>
      <c r="L76"/>
      <c r="M76"/>
      <c r="N76"/>
      <c r="O76"/>
      <c r="P76"/>
      <c r="Q76"/>
      <c r="R76"/>
      <c r="S76"/>
      <c r="T76"/>
      <c r="U76"/>
      <c r="V76"/>
    </row>
    <row r="77" spans="1:22">
      <c r="A77" s="151" t="s">
        <v>2133</v>
      </c>
      <c r="B77" s="151" t="s">
        <v>2134</v>
      </c>
      <c r="C77" s="151" t="s">
        <v>2173</v>
      </c>
      <c r="D77" s="151" t="s">
        <v>1659</v>
      </c>
      <c r="E77" s="151" t="s">
        <v>3530</v>
      </c>
      <c r="F77" s="160" t="s">
        <v>1456</v>
      </c>
      <c r="G77" s="160" t="s">
        <v>1395</v>
      </c>
      <c r="H77" s="152">
        <v>1</v>
      </c>
      <c r="I77" s="152">
        <v>1</v>
      </c>
      <c r="J77" s="152">
        <v>0</v>
      </c>
    </row>
    <row r="78" spans="1:22">
      <c r="A78" s="151" t="s">
        <v>2133</v>
      </c>
      <c r="B78" s="151" t="s">
        <v>3443</v>
      </c>
      <c r="C78" s="151" t="s">
        <v>3477</v>
      </c>
      <c r="D78" s="151" t="s">
        <v>1660</v>
      </c>
      <c r="E78" s="151" t="s">
        <v>2294</v>
      </c>
      <c r="F78" s="160" t="s">
        <v>1456</v>
      </c>
      <c r="G78" s="160" t="s">
        <v>1395</v>
      </c>
      <c r="H78" s="152">
        <v>1</v>
      </c>
      <c r="I78" s="152">
        <v>1.5</v>
      </c>
      <c r="J78" s="152">
        <v>1.5</v>
      </c>
    </row>
    <row r="79" spans="1:22">
      <c r="A79" s="151" t="s">
        <v>2133</v>
      </c>
      <c r="B79" s="151" t="s">
        <v>3443</v>
      </c>
      <c r="C79" s="151" t="s">
        <v>3531</v>
      </c>
      <c r="D79" s="151" t="s">
        <v>1661</v>
      </c>
      <c r="E79" s="151" t="s">
        <v>2295</v>
      </c>
      <c r="F79" s="160" t="s">
        <v>1456</v>
      </c>
      <c r="G79" s="160" t="s">
        <v>1395</v>
      </c>
      <c r="H79" s="152">
        <v>0</v>
      </c>
      <c r="I79" s="152">
        <v>0</v>
      </c>
      <c r="J79" s="152">
        <v>0</v>
      </c>
    </row>
    <row r="80" spans="1:22">
      <c r="A80" s="151" t="s">
        <v>2015</v>
      </c>
      <c r="B80" s="151" t="s">
        <v>2135</v>
      </c>
      <c r="C80" s="151" t="s">
        <v>2213</v>
      </c>
      <c r="D80" s="151" t="s">
        <v>2262</v>
      </c>
      <c r="E80" s="151" t="s">
        <v>4222</v>
      </c>
      <c r="F80" s="160" t="s">
        <v>1456</v>
      </c>
      <c r="G80" s="160" t="s">
        <v>1395</v>
      </c>
      <c r="H80" s="152">
        <v>1</v>
      </c>
      <c r="I80" s="152">
        <v>1</v>
      </c>
      <c r="J80" s="152">
        <v>1</v>
      </c>
    </row>
    <row r="81" spans="1:22" s="125" customFormat="1">
      <c r="A81" s="151" t="s">
        <v>2015</v>
      </c>
      <c r="B81" s="151" t="s">
        <v>2135</v>
      </c>
      <c r="C81" s="151" t="s">
        <v>4223</v>
      </c>
      <c r="D81" s="151" t="s">
        <v>4224</v>
      </c>
      <c r="E81" s="151" t="s">
        <v>4225</v>
      </c>
      <c r="F81" s="160" t="s">
        <v>1456</v>
      </c>
      <c r="G81" s="160" t="s">
        <v>2116</v>
      </c>
      <c r="H81" s="152">
        <v>1</v>
      </c>
      <c r="I81" s="152">
        <v>2</v>
      </c>
      <c r="J81" s="152">
        <v>2</v>
      </c>
      <c r="K81"/>
      <c r="L81"/>
      <c r="M81"/>
      <c r="N81"/>
      <c r="O81"/>
      <c r="P81"/>
      <c r="Q81"/>
      <c r="R81"/>
      <c r="S81"/>
      <c r="T81"/>
      <c r="U81"/>
      <c r="V81"/>
    </row>
    <row r="82" spans="1:22" s="125" customFormat="1" ht="48" customHeight="1">
      <c r="A82" s="151" t="s">
        <v>2015</v>
      </c>
      <c r="B82" s="151" t="s">
        <v>2135</v>
      </c>
      <c r="C82" s="151" t="s">
        <v>2205</v>
      </c>
      <c r="D82" s="151" t="s">
        <v>1665</v>
      </c>
      <c r="E82" s="151" t="s">
        <v>3532</v>
      </c>
      <c r="F82" s="160" t="s">
        <v>2116</v>
      </c>
      <c r="G82" s="160" t="s">
        <v>2116</v>
      </c>
      <c r="H82" s="152">
        <v>0</v>
      </c>
      <c r="I82" s="152">
        <v>0</v>
      </c>
      <c r="J82" s="152">
        <v>0</v>
      </c>
      <c r="K82"/>
      <c r="L82"/>
      <c r="M82"/>
      <c r="N82"/>
      <c r="O82"/>
      <c r="P82"/>
      <c r="Q82"/>
      <c r="R82"/>
      <c r="S82"/>
      <c r="T82"/>
      <c r="U82"/>
      <c r="V82"/>
    </row>
    <row r="83" spans="1:22">
      <c r="A83" s="151" t="s">
        <v>2015</v>
      </c>
      <c r="B83" s="151" t="s">
        <v>2135</v>
      </c>
      <c r="C83" s="151" t="s">
        <v>2163</v>
      </c>
      <c r="D83" s="151" t="s">
        <v>1670</v>
      </c>
      <c r="E83" s="151" t="s">
        <v>3533</v>
      </c>
      <c r="F83" s="160" t="s">
        <v>1456</v>
      </c>
      <c r="G83" s="160" t="s">
        <v>1395</v>
      </c>
      <c r="H83" s="152">
        <v>0</v>
      </c>
      <c r="I83" s="152">
        <v>0</v>
      </c>
      <c r="J83" s="152">
        <v>0</v>
      </c>
    </row>
    <row r="84" spans="1:22">
      <c r="A84" s="151" t="s">
        <v>2015</v>
      </c>
      <c r="B84" s="151" t="s">
        <v>2135</v>
      </c>
      <c r="C84" s="151" t="s">
        <v>1855</v>
      </c>
      <c r="D84" s="151" t="s">
        <v>1666</v>
      </c>
      <c r="E84" s="151" t="s">
        <v>2296</v>
      </c>
      <c r="F84" s="160" t="s">
        <v>1456</v>
      </c>
      <c r="G84" s="160" t="s">
        <v>1395</v>
      </c>
      <c r="H84" s="152">
        <v>0</v>
      </c>
      <c r="I84" s="152">
        <v>0</v>
      </c>
      <c r="J84" s="152">
        <v>0</v>
      </c>
    </row>
    <row r="85" spans="1:22">
      <c r="A85" s="151" t="s">
        <v>2015</v>
      </c>
      <c r="B85" s="151" t="s">
        <v>2136</v>
      </c>
      <c r="C85" s="151" t="s">
        <v>1824</v>
      </c>
      <c r="D85" s="151" t="s">
        <v>1662</v>
      </c>
      <c r="E85" s="151" t="s">
        <v>4192</v>
      </c>
      <c r="F85" s="160" t="s">
        <v>1456</v>
      </c>
      <c r="G85" s="160" t="s">
        <v>1395</v>
      </c>
      <c r="H85" s="152">
        <v>3</v>
      </c>
      <c r="I85" s="152">
        <v>7</v>
      </c>
      <c r="J85" s="152">
        <v>7</v>
      </c>
    </row>
    <row r="86" spans="1:22" s="125" customFormat="1">
      <c r="A86" s="151" t="s">
        <v>2015</v>
      </c>
      <c r="B86" s="151" t="s">
        <v>2136</v>
      </c>
      <c r="C86" s="151" t="s">
        <v>3478</v>
      </c>
      <c r="D86" s="151" t="s">
        <v>1663</v>
      </c>
      <c r="E86" s="151" t="s">
        <v>3534</v>
      </c>
      <c r="F86" s="160" t="s">
        <v>1456</v>
      </c>
      <c r="G86" s="160" t="s">
        <v>1395</v>
      </c>
      <c r="H86" s="152">
        <v>1</v>
      </c>
      <c r="I86" s="152">
        <v>2</v>
      </c>
      <c r="J86" s="152">
        <v>2</v>
      </c>
      <c r="K86"/>
      <c r="L86"/>
      <c r="M86"/>
      <c r="N86"/>
      <c r="O86"/>
      <c r="P86"/>
      <c r="Q86"/>
      <c r="R86"/>
      <c r="S86"/>
      <c r="T86"/>
      <c r="U86"/>
      <c r="V86"/>
    </row>
    <row r="87" spans="1:22">
      <c r="A87" s="151" t="s">
        <v>2015</v>
      </c>
      <c r="B87" s="151" t="s">
        <v>2136</v>
      </c>
      <c r="C87" s="151" t="s">
        <v>1854</v>
      </c>
      <c r="D87" s="151" t="s">
        <v>1664</v>
      </c>
      <c r="E87" s="151" t="s">
        <v>2297</v>
      </c>
      <c r="F87" s="160" t="s">
        <v>1456</v>
      </c>
      <c r="G87" s="160" t="s">
        <v>1395</v>
      </c>
      <c r="H87" s="152">
        <v>1</v>
      </c>
      <c r="I87" s="152">
        <v>1</v>
      </c>
      <c r="J87" s="152">
        <v>1</v>
      </c>
    </row>
    <row r="88" spans="1:22" s="125" customFormat="1">
      <c r="A88" s="151" t="s">
        <v>2138</v>
      </c>
      <c r="B88" s="151" t="s">
        <v>2137</v>
      </c>
      <c r="C88" s="151" t="s">
        <v>1850</v>
      </c>
      <c r="D88" s="151" t="s">
        <v>1649</v>
      </c>
      <c r="E88" s="151" t="s">
        <v>2298</v>
      </c>
      <c r="F88" s="160" t="s">
        <v>2116</v>
      </c>
      <c r="G88" s="160" t="s">
        <v>2116</v>
      </c>
      <c r="H88" s="152">
        <v>0</v>
      </c>
      <c r="I88" s="152">
        <v>0</v>
      </c>
      <c r="J88" s="152">
        <v>0</v>
      </c>
      <c r="K88"/>
      <c r="L88"/>
      <c r="M88"/>
      <c r="N88"/>
      <c r="O88"/>
      <c r="P88"/>
      <c r="Q88"/>
      <c r="R88"/>
      <c r="S88"/>
      <c r="T88"/>
      <c r="U88"/>
      <c r="V88"/>
    </row>
    <row r="89" spans="1:22">
      <c r="A89" s="151" t="s">
        <v>2138</v>
      </c>
      <c r="B89" s="151" t="s">
        <v>2137</v>
      </c>
      <c r="C89" s="151" t="s">
        <v>2191</v>
      </c>
      <c r="D89" s="151" t="s">
        <v>2245</v>
      </c>
      <c r="E89" s="151" t="s">
        <v>2299</v>
      </c>
      <c r="F89" s="160" t="s">
        <v>2116</v>
      </c>
      <c r="G89" s="160" t="s">
        <v>2116</v>
      </c>
      <c r="H89" s="152">
        <v>4</v>
      </c>
      <c r="I89" s="152">
        <v>5</v>
      </c>
      <c r="J89" s="152">
        <v>2</v>
      </c>
    </row>
    <row r="90" spans="1:22">
      <c r="A90" s="151" t="s">
        <v>2138</v>
      </c>
      <c r="B90" s="151" t="s">
        <v>2137</v>
      </c>
      <c r="C90" s="151" t="s">
        <v>1851</v>
      </c>
      <c r="D90" s="151" t="s">
        <v>1653</v>
      </c>
      <c r="E90" s="151" t="s">
        <v>2300</v>
      </c>
      <c r="F90" s="160" t="s">
        <v>1456</v>
      </c>
      <c r="G90" s="160" t="s">
        <v>1395</v>
      </c>
      <c r="H90" s="152">
        <v>0</v>
      </c>
      <c r="I90" s="152">
        <v>0</v>
      </c>
      <c r="J90" s="152">
        <v>0</v>
      </c>
    </row>
    <row r="91" spans="1:22">
      <c r="A91" s="151" t="s">
        <v>2138</v>
      </c>
      <c r="B91" s="151" t="s">
        <v>2137</v>
      </c>
      <c r="C91" s="151" t="s">
        <v>2217</v>
      </c>
      <c r="D91" s="151" t="s">
        <v>2266</v>
      </c>
      <c r="E91" s="151" t="s">
        <v>2301</v>
      </c>
      <c r="F91" s="160" t="s">
        <v>1456</v>
      </c>
      <c r="G91" s="160" t="s">
        <v>1395</v>
      </c>
      <c r="H91" s="152">
        <v>1</v>
      </c>
      <c r="I91" s="152">
        <v>1</v>
      </c>
      <c r="J91" s="152">
        <v>1</v>
      </c>
    </row>
    <row r="92" spans="1:22">
      <c r="A92" s="151" t="s">
        <v>2138</v>
      </c>
      <c r="B92" s="151" t="s">
        <v>2140</v>
      </c>
      <c r="C92" s="151" t="s">
        <v>1861</v>
      </c>
      <c r="D92" s="151" t="s">
        <v>1674</v>
      </c>
      <c r="E92" s="151" t="s">
        <v>3535</v>
      </c>
      <c r="F92" s="160" t="s">
        <v>1456</v>
      </c>
      <c r="G92" s="160" t="s">
        <v>1395</v>
      </c>
      <c r="H92" s="152">
        <v>2</v>
      </c>
      <c r="I92" s="152">
        <v>2.5</v>
      </c>
      <c r="J92" s="152">
        <v>2.5</v>
      </c>
    </row>
    <row r="93" spans="1:22">
      <c r="A93" s="151" t="s">
        <v>2138</v>
      </c>
      <c r="B93" s="151" t="s">
        <v>2140</v>
      </c>
      <c r="C93" s="151" t="s">
        <v>1862</v>
      </c>
      <c r="D93" s="151" t="s">
        <v>1676</v>
      </c>
      <c r="E93" s="151" t="s">
        <v>2302</v>
      </c>
      <c r="F93" s="160" t="s">
        <v>1456</v>
      </c>
      <c r="G93" s="160" t="s">
        <v>1395</v>
      </c>
      <c r="H93" s="152">
        <v>1</v>
      </c>
      <c r="I93" s="152">
        <v>0.5</v>
      </c>
      <c r="J93" s="152">
        <v>0.5</v>
      </c>
    </row>
    <row r="94" spans="1:22" s="125" customFormat="1">
      <c r="A94" s="151" t="s">
        <v>2138</v>
      </c>
      <c r="B94" s="151" t="s">
        <v>2140</v>
      </c>
      <c r="C94" s="151" t="s">
        <v>1863</v>
      </c>
      <c r="D94" s="151" t="s">
        <v>1678</v>
      </c>
      <c r="E94" s="151" t="s">
        <v>2303</v>
      </c>
      <c r="F94" s="160" t="s">
        <v>1456</v>
      </c>
      <c r="G94" s="160" t="s">
        <v>1395</v>
      </c>
      <c r="H94" s="152">
        <v>1</v>
      </c>
      <c r="I94" s="152">
        <v>0.5</v>
      </c>
      <c r="J94" s="152">
        <v>0.5</v>
      </c>
      <c r="K94"/>
      <c r="L94"/>
      <c r="M94"/>
      <c r="N94"/>
      <c r="O94"/>
      <c r="P94"/>
      <c r="Q94"/>
      <c r="R94"/>
      <c r="S94"/>
      <c r="T94"/>
      <c r="U94"/>
      <c r="V94"/>
    </row>
    <row r="95" spans="1:22">
      <c r="A95" s="151" t="s">
        <v>2138</v>
      </c>
      <c r="B95" s="151" t="s">
        <v>2142</v>
      </c>
      <c r="C95" s="151" t="s">
        <v>1860</v>
      </c>
      <c r="D95" s="151" t="s">
        <v>1673</v>
      </c>
      <c r="E95" s="151" t="s">
        <v>2304</v>
      </c>
      <c r="F95" s="160" t="s">
        <v>1456</v>
      </c>
      <c r="G95" s="160" t="s">
        <v>1395</v>
      </c>
      <c r="H95" s="152">
        <v>0</v>
      </c>
      <c r="I95" s="152">
        <v>0</v>
      </c>
      <c r="J95" s="152">
        <v>0</v>
      </c>
    </row>
    <row r="96" spans="1:22">
      <c r="A96" s="151" t="s">
        <v>2138</v>
      </c>
      <c r="B96" s="151" t="s">
        <v>2142</v>
      </c>
      <c r="C96" s="151" t="s">
        <v>1859</v>
      </c>
      <c r="D96" s="151" t="s">
        <v>1672</v>
      </c>
      <c r="E96" s="151" t="s">
        <v>4226</v>
      </c>
      <c r="F96" s="160" t="s">
        <v>1456</v>
      </c>
      <c r="G96" s="160" t="s">
        <v>1395</v>
      </c>
      <c r="H96" s="152">
        <v>0</v>
      </c>
      <c r="I96" s="152">
        <v>0</v>
      </c>
      <c r="J96" s="152">
        <v>0</v>
      </c>
    </row>
    <row r="97" spans="1:22">
      <c r="A97" s="151" t="s">
        <v>2138</v>
      </c>
      <c r="B97" s="151" t="s">
        <v>1916</v>
      </c>
      <c r="C97" s="151" t="s">
        <v>1856</v>
      </c>
      <c r="D97" s="151" t="s">
        <v>1667</v>
      </c>
      <c r="E97" s="151" t="s">
        <v>2305</v>
      </c>
      <c r="F97" s="160" t="s">
        <v>1456</v>
      </c>
      <c r="G97" s="160" t="s">
        <v>1395</v>
      </c>
      <c r="H97" s="152">
        <v>1</v>
      </c>
      <c r="I97" s="152">
        <v>1</v>
      </c>
      <c r="J97" s="152">
        <v>1</v>
      </c>
    </row>
    <row r="98" spans="1:22">
      <c r="A98" s="151" t="s">
        <v>2138</v>
      </c>
      <c r="B98" s="151" t="s">
        <v>1916</v>
      </c>
      <c r="C98" s="151" t="s">
        <v>2171</v>
      </c>
      <c r="D98" s="151" t="s">
        <v>1668</v>
      </c>
      <c r="E98" s="151" t="s">
        <v>3536</v>
      </c>
      <c r="F98" s="160" t="s">
        <v>1456</v>
      </c>
      <c r="G98" s="160" t="s">
        <v>1395</v>
      </c>
      <c r="H98" s="152">
        <v>0</v>
      </c>
      <c r="I98" s="152">
        <v>0</v>
      </c>
      <c r="J98" s="152">
        <v>0</v>
      </c>
    </row>
    <row r="99" spans="1:22" s="125" customFormat="1">
      <c r="A99" s="151" t="s">
        <v>2146</v>
      </c>
      <c r="B99" s="151" t="s">
        <v>2145</v>
      </c>
      <c r="C99" s="151" t="s">
        <v>2189</v>
      </c>
      <c r="D99" s="151" t="s">
        <v>2243</v>
      </c>
      <c r="E99" s="151" t="s">
        <v>2306</v>
      </c>
      <c r="F99" s="160" t="s">
        <v>1456</v>
      </c>
      <c r="G99" s="160" t="s">
        <v>1395</v>
      </c>
      <c r="H99" s="152">
        <v>1</v>
      </c>
      <c r="I99" s="152">
        <v>2</v>
      </c>
      <c r="J99" s="152">
        <v>2</v>
      </c>
      <c r="K99"/>
      <c r="L99"/>
      <c r="M99"/>
      <c r="N99"/>
      <c r="O99"/>
      <c r="P99"/>
      <c r="Q99"/>
      <c r="R99"/>
      <c r="S99"/>
      <c r="T99"/>
      <c r="U99"/>
      <c r="V99"/>
    </row>
    <row r="100" spans="1:22" s="125" customFormat="1" ht="48" customHeight="1">
      <c r="A100" s="151" t="s">
        <v>2146</v>
      </c>
      <c r="B100" s="151" t="s">
        <v>2145</v>
      </c>
      <c r="C100" s="151" t="s">
        <v>2166</v>
      </c>
      <c r="D100" s="151" t="s">
        <v>2224</v>
      </c>
      <c r="E100" s="151" t="s">
        <v>2307</v>
      </c>
      <c r="F100" s="160" t="s">
        <v>1456</v>
      </c>
      <c r="G100" s="160" t="s">
        <v>1395</v>
      </c>
      <c r="H100" s="152">
        <v>2</v>
      </c>
      <c r="I100" s="152">
        <v>4</v>
      </c>
      <c r="J100" s="152">
        <v>4</v>
      </c>
      <c r="K100"/>
      <c r="L100"/>
      <c r="M100"/>
      <c r="N100"/>
      <c r="O100"/>
      <c r="P100"/>
      <c r="Q100"/>
      <c r="R100"/>
      <c r="S100"/>
      <c r="T100"/>
      <c r="U100"/>
      <c r="V100"/>
    </row>
    <row r="101" spans="1:22">
      <c r="A101" s="151" t="s">
        <v>2146</v>
      </c>
      <c r="B101" s="151" t="s">
        <v>2145</v>
      </c>
      <c r="C101" s="151" t="s">
        <v>2167</v>
      </c>
      <c r="D101" s="151" t="s">
        <v>2225</v>
      </c>
      <c r="E101" s="151" t="s">
        <v>3537</v>
      </c>
      <c r="F101" s="160" t="s">
        <v>1456</v>
      </c>
      <c r="G101" s="160" t="s">
        <v>1395</v>
      </c>
      <c r="H101" s="152">
        <v>2</v>
      </c>
      <c r="I101" s="152">
        <v>2</v>
      </c>
      <c r="J101" s="152">
        <v>2</v>
      </c>
    </row>
    <row r="102" spans="1:22">
      <c r="A102" s="151" t="s">
        <v>2146</v>
      </c>
      <c r="B102" s="151" t="s">
        <v>2145</v>
      </c>
      <c r="C102" s="151" t="s">
        <v>2176</v>
      </c>
      <c r="D102" s="151" t="s">
        <v>2231</v>
      </c>
      <c r="E102" s="151" t="s">
        <v>3538</v>
      </c>
      <c r="F102" s="160" t="s">
        <v>1456</v>
      </c>
      <c r="G102" s="160" t="s">
        <v>1395</v>
      </c>
      <c r="H102" s="152">
        <v>1</v>
      </c>
      <c r="I102" s="152">
        <v>4</v>
      </c>
      <c r="J102" s="152">
        <v>4</v>
      </c>
    </row>
    <row r="103" spans="1:22">
      <c r="A103" s="151" t="s">
        <v>2146</v>
      </c>
      <c r="B103" s="151" t="s">
        <v>2145</v>
      </c>
      <c r="C103" s="151" t="s">
        <v>2211</v>
      </c>
      <c r="D103" s="151" t="s">
        <v>2260</v>
      </c>
      <c r="E103" s="151" t="s">
        <v>2308</v>
      </c>
      <c r="F103" s="160" t="s">
        <v>1456</v>
      </c>
      <c r="G103" s="160" t="s">
        <v>1395</v>
      </c>
      <c r="H103" s="152">
        <v>1</v>
      </c>
      <c r="I103" s="152">
        <v>1</v>
      </c>
      <c r="J103" s="152">
        <v>1</v>
      </c>
    </row>
    <row r="104" spans="1:22" s="125" customFormat="1">
      <c r="A104" s="151" t="s">
        <v>2146</v>
      </c>
      <c r="B104" s="151" t="s">
        <v>2145</v>
      </c>
      <c r="C104" s="151" t="s">
        <v>2170</v>
      </c>
      <c r="D104" s="151" t="s">
        <v>2228</v>
      </c>
      <c r="E104" s="151" t="s">
        <v>2309</v>
      </c>
      <c r="F104" s="160" t="s">
        <v>1456</v>
      </c>
      <c r="G104" s="160" t="s">
        <v>1395</v>
      </c>
      <c r="H104" s="152">
        <v>1</v>
      </c>
      <c r="I104" s="152">
        <v>1.5</v>
      </c>
      <c r="J104" s="152">
        <v>1.5</v>
      </c>
      <c r="K104"/>
      <c r="L104"/>
      <c r="M104"/>
      <c r="N104"/>
      <c r="O104"/>
      <c r="P104"/>
      <c r="Q104"/>
      <c r="R104"/>
      <c r="S104"/>
      <c r="T104"/>
      <c r="U104"/>
      <c r="V104"/>
    </row>
    <row r="105" spans="1:22" s="125" customFormat="1">
      <c r="A105" s="151" t="s">
        <v>2146</v>
      </c>
      <c r="B105" s="151" t="s">
        <v>2148</v>
      </c>
      <c r="C105" s="151" t="s">
        <v>2181</v>
      </c>
      <c r="D105" s="151" t="s">
        <v>2236</v>
      </c>
      <c r="E105" s="151" t="s">
        <v>2310</v>
      </c>
      <c r="F105" s="160" t="s">
        <v>1456</v>
      </c>
      <c r="G105" s="160" t="s">
        <v>1395</v>
      </c>
      <c r="H105" s="152">
        <v>1</v>
      </c>
      <c r="I105" s="152">
        <v>4</v>
      </c>
      <c r="J105" s="152">
        <v>4</v>
      </c>
      <c r="K105"/>
      <c r="L105"/>
      <c r="M105"/>
      <c r="N105"/>
      <c r="O105"/>
      <c r="P105"/>
      <c r="Q105"/>
      <c r="R105"/>
      <c r="S105"/>
      <c r="T105"/>
      <c r="U105"/>
      <c r="V105"/>
    </row>
    <row r="106" spans="1:22">
      <c r="A106" s="151" t="s">
        <v>2146</v>
      </c>
      <c r="B106" s="151" t="s">
        <v>2148</v>
      </c>
      <c r="C106" s="151" t="s">
        <v>2162</v>
      </c>
      <c r="D106" s="151" t="s">
        <v>2220</v>
      </c>
      <c r="E106" s="151" t="s">
        <v>2311</v>
      </c>
      <c r="F106" s="160" t="s">
        <v>1456</v>
      </c>
      <c r="G106" s="160" t="s">
        <v>1395</v>
      </c>
      <c r="H106" s="152">
        <v>3</v>
      </c>
      <c r="I106" s="152">
        <v>6.5</v>
      </c>
      <c r="J106" s="152">
        <v>6.5</v>
      </c>
    </row>
    <row r="107" spans="1:22">
      <c r="A107" s="151" t="s">
        <v>2146</v>
      </c>
      <c r="B107" s="151" t="s">
        <v>2148</v>
      </c>
      <c r="C107" s="151" t="s">
        <v>2172</v>
      </c>
      <c r="D107" s="151" t="s">
        <v>2229</v>
      </c>
      <c r="E107" s="151" t="s">
        <v>2312</v>
      </c>
      <c r="F107" s="160" t="s">
        <v>1456</v>
      </c>
      <c r="G107" s="160" t="s">
        <v>1395</v>
      </c>
      <c r="H107" s="152">
        <v>3</v>
      </c>
      <c r="I107" s="152">
        <v>3</v>
      </c>
      <c r="J107" s="152">
        <v>3</v>
      </c>
    </row>
    <row r="108" spans="1:22">
      <c r="A108" s="151" t="s">
        <v>2146</v>
      </c>
      <c r="B108" s="151" t="s">
        <v>2148</v>
      </c>
      <c r="C108" s="151" t="s">
        <v>2178</v>
      </c>
      <c r="D108" s="151" t="s">
        <v>2233</v>
      </c>
      <c r="E108" s="151" t="s">
        <v>2313</v>
      </c>
      <c r="F108" s="160" t="s">
        <v>1456</v>
      </c>
      <c r="G108" s="160" t="s">
        <v>1395</v>
      </c>
      <c r="H108" s="152">
        <v>1</v>
      </c>
      <c r="I108" s="152">
        <v>4</v>
      </c>
      <c r="J108" s="152">
        <v>4</v>
      </c>
    </row>
    <row r="109" spans="1:22">
      <c r="A109" s="151" t="s">
        <v>2146</v>
      </c>
      <c r="B109" s="151" t="s">
        <v>2150</v>
      </c>
      <c r="C109" s="151" t="s">
        <v>2169</v>
      </c>
      <c r="D109" s="151" t="s">
        <v>2227</v>
      </c>
      <c r="E109" s="151" t="s">
        <v>2314</v>
      </c>
      <c r="F109" s="160" t="s">
        <v>1456</v>
      </c>
      <c r="G109" s="160" t="s">
        <v>1395</v>
      </c>
      <c r="H109" s="152">
        <v>7</v>
      </c>
      <c r="I109" s="152">
        <v>11.5</v>
      </c>
      <c r="J109" s="152">
        <v>11.5</v>
      </c>
    </row>
    <row r="110" spans="1:22">
      <c r="A110" s="151" t="s">
        <v>2146</v>
      </c>
      <c r="B110" s="151" t="s">
        <v>2150</v>
      </c>
      <c r="C110" s="151" t="s">
        <v>2186</v>
      </c>
      <c r="D110" s="151" t="s">
        <v>2240</v>
      </c>
      <c r="E110" s="151" t="s">
        <v>2315</v>
      </c>
      <c r="F110" s="160" t="s">
        <v>1456</v>
      </c>
      <c r="G110" s="160" t="s">
        <v>1395</v>
      </c>
      <c r="H110" s="152">
        <v>1</v>
      </c>
      <c r="I110" s="152">
        <v>2</v>
      </c>
      <c r="J110" s="152">
        <v>2</v>
      </c>
    </row>
    <row r="111" spans="1:22" s="125" customFormat="1">
      <c r="A111" s="151" t="s">
        <v>2146</v>
      </c>
      <c r="B111" s="151" t="s">
        <v>2150</v>
      </c>
      <c r="C111" s="151" t="s">
        <v>2215</v>
      </c>
      <c r="D111" s="151" t="s">
        <v>2264</v>
      </c>
      <c r="E111" s="151" t="s">
        <v>2316</v>
      </c>
      <c r="F111" s="160" t="s">
        <v>1456</v>
      </c>
      <c r="G111" s="160" t="s">
        <v>1395</v>
      </c>
      <c r="H111" s="152">
        <v>1</v>
      </c>
      <c r="I111" s="152">
        <v>1</v>
      </c>
      <c r="J111" s="152">
        <v>1</v>
      </c>
      <c r="K111"/>
      <c r="L111"/>
      <c r="M111"/>
      <c r="N111"/>
      <c r="O111"/>
      <c r="P111"/>
      <c r="Q111"/>
      <c r="R111"/>
      <c r="S111"/>
      <c r="T111"/>
      <c r="U111"/>
      <c r="V111"/>
    </row>
    <row r="112" spans="1:22" s="125" customFormat="1">
      <c r="A112" s="151" t="s">
        <v>2146</v>
      </c>
      <c r="B112" s="151" t="s">
        <v>2152</v>
      </c>
      <c r="C112" s="151" t="s">
        <v>2165</v>
      </c>
      <c r="D112" s="151" t="s">
        <v>2222</v>
      </c>
      <c r="E112" s="151" t="s">
        <v>2317</v>
      </c>
      <c r="F112" s="160" t="s">
        <v>1456</v>
      </c>
      <c r="G112" s="160" t="s">
        <v>1395</v>
      </c>
      <c r="H112" s="152">
        <v>2</v>
      </c>
      <c r="I112" s="152">
        <v>4</v>
      </c>
      <c r="J112" s="152">
        <v>4</v>
      </c>
      <c r="K112"/>
      <c r="L112"/>
      <c r="M112"/>
      <c r="N112"/>
      <c r="O112"/>
      <c r="P112"/>
      <c r="Q112"/>
      <c r="R112"/>
      <c r="S112"/>
      <c r="T112"/>
      <c r="U112"/>
      <c r="V112"/>
    </row>
    <row r="113" spans="1:22" s="125" customFormat="1">
      <c r="A113" s="151" t="s">
        <v>2146</v>
      </c>
      <c r="B113" s="151" t="s">
        <v>2152</v>
      </c>
      <c r="C113" s="151" t="s">
        <v>2180</v>
      </c>
      <c r="D113" s="151" t="s">
        <v>2235</v>
      </c>
      <c r="E113" s="151" t="s">
        <v>2318</v>
      </c>
      <c r="F113" s="160" t="s">
        <v>1456</v>
      </c>
      <c r="G113" s="160" t="s">
        <v>1395</v>
      </c>
      <c r="H113" s="152">
        <v>3</v>
      </c>
      <c r="I113" s="152">
        <v>3</v>
      </c>
      <c r="J113" s="152">
        <v>3</v>
      </c>
      <c r="K113"/>
      <c r="L113"/>
      <c r="M113"/>
      <c r="N113"/>
      <c r="O113"/>
      <c r="P113"/>
      <c r="Q113"/>
      <c r="R113"/>
      <c r="S113"/>
      <c r="T113"/>
      <c r="U113"/>
      <c r="V113"/>
    </row>
    <row r="114" spans="1:22" s="125" customFormat="1" ht="51" customHeight="1">
      <c r="A114" s="151" t="s">
        <v>2146</v>
      </c>
      <c r="B114" s="151" t="s">
        <v>2152</v>
      </c>
      <c r="C114" s="151" t="s">
        <v>2192</v>
      </c>
      <c r="D114" s="151" t="s">
        <v>2246</v>
      </c>
      <c r="E114" s="151" t="s">
        <v>2319</v>
      </c>
      <c r="F114" s="160" t="s">
        <v>1456</v>
      </c>
      <c r="G114" s="160" t="s">
        <v>1395</v>
      </c>
      <c r="H114" s="152">
        <v>1</v>
      </c>
      <c r="I114" s="152">
        <v>3</v>
      </c>
      <c r="J114" s="152">
        <v>3</v>
      </c>
      <c r="K114"/>
      <c r="L114"/>
      <c r="M114"/>
      <c r="N114"/>
      <c r="O114"/>
      <c r="P114"/>
      <c r="Q114"/>
      <c r="R114"/>
      <c r="S114"/>
      <c r="T114"/>
      <c r="U114"/>
      <c r="V114"/>
    </row>
    <row r="115" spans="1:22">
      <c r="A115" s="151" t="s">
        <v>2146</v>
      </c>
      <c r="B115" s="151" t="s">
        <v>2154</v>
      </c>
      <c r="C115" s="151" t="s">
        <v>2210</v>
      </c>
      <c r="D115" s="151" t="s">
        <v>2259</v>
      </c>
      <c r="E115" s="151" t="s">
        <v>2320</v>
      </c>
      <c r="F115" s="160" t="s">
        <v>1456</v>
      </c>
      <c r="G115" s="160" t="s">
        <v>1395</v>
      </c>
      <c r="H115" s="152">
        <v>3</v>
      </c>
      <c r="I115" s="152">
        <v>3</v>
      </c>
      <c r="J115" s="152">
        <v>3</v>
      </c>
    </row>
    <row r="116" spans="1:22" s="125" customFormat="1">
      <c r="A116" s="151" t="s">
        <v>2146</v>
      </c>
      <c r="B116" s="151" t="s">
        <v>2154</v>
      </c>
      <c r="C116" s="151" t="s">
        <v>2187</v>
      </c>
      <c r="D116" s="151" t="s">
        <v>2241</v>
      </c>
      <c r="E116" s="151" t="s">
        <v>2321</v>
      </c>
      <c r="F116" s="160" t="s">
        <v>1456</v>
      </c>
      <c r="G116" s="160" t="s">
        <v>1395</v>
      </c>
      <c r="H116" s="152">
        <v>1</v>
      </c>
      <c r="I116" s="152">
        <v>1</v>
      </c>
      <c r="J116" s="152">
        <v>1</v>
      </c>
      <c r="K116"/>
      <c r="L116"/>
      <c r="M116"/>
      <c r="N116"/>
      <c r="O116"/>
      <c r="P116"/>
      <c r="Q116"/>
      <c r="R116"/>
      <c r="S116"/>
      <c r="T116"/>
      <c r="U116"/>
      <c r="V116"/>
    </row>
    <row r="117" spans="1:22" s="125" customFormat="1">
      <c r="A117" s="151" t="s">
        <v>2146</v>
      </c>
      <c r="B117" s="151" t="s">
        <v>2154</v>
      </c>
      <c r="C117" s="151" t="s">
        <v>2183</v>
      </c>
      <c r="D117" s="151" t="s">
        <v>2238</v>
      </c>
      <c r="E117" s="151" t="s">
        <v>2322</v>
      </c>
      <c r="F117" s="160" t="s">
        <v>1456</v>
      </c>
      <c r="G117" s="160" t="s">
        <v>1395</v>
      </c>
      <c r="H117" s="152">
        <v>2</v>
      </c>
      <c r="I117" s="152">
        <v>2</v>
      </c>
      <c r="J117" s="152">
        <v>2</v>
      </c>
      <c r="K117"/>
      <c r="L117"/>
      <c r="M117"/>
      <c r="N117"/>
      <c r="O117"/>
      <c r="P117"/>
      <c r="Q117"/>
      <c r="R117"/>
      <c r="S117"/>
      <c r="T117"/>
      <c r="U117"/>
      <c r="V117"/>
    </row>
    <row r="118" spans="1:22" s="125" customFormat="1">
      <c r="A118" s="151" t="s">
        <v>2146</v>
      </c>
      <c r="B118" s="151" t="s">
        <v>2154</v>
      </c>
      <c r="C118" s="151" t="s">
        <v>2184</v>
      </c>
      <c r="D118" s="151" t="s">
        <v>2239</v>
      </c>
      <c r="E118" s="151" t="s">
        <v>2323</v>
      </c>
      <c r="F118" s="160" t="s">
        <v>1456</v>
      </c>
      <c r="G118" s="160" t="s">
        <v>1395</v>
      </c>
      <c r="H118" s="152">
        <v>1</v>
      </c>
      <c r="I118" s="152">
        <v>0.5</v>
      </c>
      <c r="J118" s="152">
        <v>0.5</v>
      </c>
      <c r="K118"/>
      <c r="L118"/>
      <c r="M118"/>
      <c r="N118"/>
      <c r="O118"/>
      <c r="P118"/>
      <c r="Q118"/>
      <c r="R118"/>
      <c r="S118"/>
      <c r="T118"/>
      <c r="U118"/>
      <c r="V118"/>
    </row>
    <row r="119" spans="1:22" s="125" customFormat="1">
      <c r="A119" s="151" t="s">
        <v>2146</v>
      </c>
      <c r="B119" s="151" t="s">
        <v>2154</v>
      </c>
      <c r="C119" s="151" t="s">
        <v>4227</v>
      </c>
      <c r="D119" s="151" t="s">
        <v>4228</v>
      </c>
      <c r="E119" s="151" t="s">
        <v>4229</v>
      </c>
      <c r="F119" s="160" t="s">
        <v>1456</v>
      </c>
      <c r="G119" s="160" t="s">
        <v>1395</v>
      </c>
      <c r="H119" s="152">
        <v>1</v>
      </c>
      <c r="I119" s="152">
        <v>2</v>
      </c>
      <c r="J119" s="152">
        <v>2</v>
      </c>
      <c r="K119"/>
      <c r="L119"/>
      <c r="M119"/>
      <c r="N119"/>
      <c r="O119"/>
      <c r="P119"/>
      <c r="Q119"/>
      <c r="R119"/>
      <c r="S119"/>
      <c r="T119"/>
      <c r="U119"/>
      <c r="V119"/>
    </row>
    <row r="120" spans="1:22" s="125" customFormat="1">
      <c r="A120" s="151" t="s">
        <v>2146</v>
      </c>
      <c r="B120" s="151" t="s">
        <v>2154</v>
      </c>
      <c r="C120" s="151" t="s">
        <v>3480</v>
      </c>
      <c r="D120" s="151" t="s">
        <v>2223</v>
      </c>
      <c r="E120" s="151" t="s">
        <v>3539</v>
      </c>
      <c r="F120" s="160" t="s">
        <v>1456</v>
      </c>
      <c r="G120" s="160" t="s">
        <v>1395</v>
      </c>
      <c r="H120" s="152">
        <v>3</v>
      </c>
      <c r="I120" s="152">
        <v>6</v>
      </c>
      <c r="J120" s="152">
        <v>6</v>
      </c>
      <c r="K120"/>
      <c r="L120"/>
      <c r="M120"/>
      <c r="N120"/>
      <c r="O120"/>
      <c r="P120"/>
      <c r="Q120"/>
      <c r="R120"/>
      <c r="S120"/>
      <c r="T120"/>
      <c r="U120"/>
      <c r="V120"/>
    </row>
    <row r="121" spans="1:22" s="125" customFormat="1">
      <c r="A121" s="151" t="s">
        <v>2146</v>
      </c>
      <c r="B121" s="151" t="s">
        <v>2154</v>
      </c>
      <c r="C121" s="151" t="s">
        <v>2209</v>
      </c>
      <c r="D121" s="151" t="s">
        <v>2258</v>
      </c>
      <c r="E121" s="151" t="s">
        <v>2324</v>
      </c>
      <c r="F121" s="160" t="s">
        <v>1456</v>
      </c>
      <c r="G121" s="160" t="s">
        <v>1395</v>
      </c>
      <c r="H121" s="152">
        <v>0</v>
      </c>
      <c r="I121" s="152">
        <v>0</v>
      </c>
      <c r="J121" s="152">
        <v>0</v>
      </c>
      <c r="K121"/>
      <c r="L121"/>
      <c r="M121"/>
      <c r="N121"/>
      <c r="O121"/>
      <c r="P121"/>
      <c r="Q121"/>
      <c r="R121"/>
      <c r="S121"/>
      <c r="T121"/>
      <c r="U121"/>
      <c r="V121"/>
    </row>
    <row r="122" spans="1:22" s="125" customFormat="1">
      <c r="A122" s="151" t="s">
        <v>2146</v>
      </c>
      <c r="B122" s="151" t="s">
        <v>2154</v>
      </c>
      <c r="C122" s="151" t="s">
        <v>2179</v>
      </c>
      <c r="D122" s="151" t="s">
        <v>2234</v>
      </c>
      <c r="E122" s="151" t="s">
        <v>2325</v>
      </c>
      <c r="F122" s="160" t="s">
        <v>1456</v>
      </c>
      <c r="G122" s="160" t="s">
        <v>1395</v>
      </c>
      <c r="H122" s="152">
        <v>0</v>
      </c>
      <c r="I122" s="152">
        <v>0</v>
      </c>
      <c r="J122" s="152">
        <v>0</v>
      </c>
      <c r="K122"/>
      <c r="L122"/>
      <c r="M122"/>
      <c r="N122"/>
      <c r="O122"/>
      <c r="P122"/>
      <c r="Q122"/>
      <c r="R122"/>
      <c r="S122"/>
      <c r="T122"/>
      <c r="U122"/>
      <c r="V122"/>
    </row>
    <row r="123" spans="1:22" s="125" customFormat="1">
      <c r="A123" s="151" t="s">
        <v>2146</v>
      </c>
      <c r="B123" s="151" t="s">
        <v>2155</v>
      </c>
      <c r="C123" s="151" t="s">
        <v>2177</v>
      </c>
      <c r="D123" s="151" t="s">
        <v>2232</v>
      </c>
      <c r="E123" s="151" t="s">
        <v>2326</v>
      </c>
      <c r="F123" s="160" t="s">
        <v>1456</v>
      </c>
      <c r="G123" s="160" t="s">
        <v>1395</v>
      </c>
      <c r="H123" s="152">
        <v>3</v>
      </c>
      <c r="I123" s="152">
        <v>3</v>
      </c>
      <c r="J123" s="152">
        <v>1</v>
      </c>
      <c r="K123"/>
      <c r="L123"/>
      <c r="M123"/>
      <c r="N123"/>
      <c r="O123"/>
      <c r="P123"/>
      <c r="Q123"/>
      <c r="R123"/>
      <c r="S123"/>
      <c r="T123"/>
      <c r="U123"/>
      <c r="V123"/>
    </row>
    <row r="124" spans="1:22" s="125" customFormat="1">
      <c r="A124" s="151" t="s">
        <v>2146</v>
      </c>
      <c r="B124" s="151" t="s">
        <v>2155</v>
      </c>
      <c r="C124" s="151" t="s">
        <v>2174</v>
      </c>
      <c r="D124" s="151" t="s">
        <v>2230</v>
      </c>
      <c r="E124" s="151" t="s">
        <v>3540</v>
      </c>
      <c r="F124" s="160" t="s">
        <v>2116</v>
      </c>
      <c r="G124" s="160" t="s">
        <v>2116</v>
      </c>
      <c r="H124" s="152">
        <v>1</v>
      </c>
      <c r="I124" s="152">
        <v>1.5</v>
      </c>
      <c r="J124" s="152">
        <v>1.5</v>
      </c>
      <c r="K124"/>
      <c r="L124"/>
      <c r="M124"/>
      <c r="N124"/>
      <c r="O124"/>
      <c r="P124"/>
      <c r="Q124"/>
      <c r="R124"/>
      <c r="S124"/>
      <c r="T124"/>
      <c r="U124"/>
      <c r="V124"/>
    </row>
    <row r="125" spans="1:22" s="125" customFormat="1">
      <c r="A125" s="151" t="s">
        <v>2146</v>
      </c>
      <c r="B125" s="151" t="s">
        <v>2157</v>
      </c>
      <c r="C125" s="151" t="s">
        <v>2190</v>
      </c>
      <c r="D125" s="151" t="s">
        <v>2244</v>
      </c>
      <c r="E125" s="151" t="s">
        <v>2327</v>
      </c>
      <c r="F125" s="160" t="s">
        <v>2116</v>
      </c>
      <c r="G125" s="160" t="s">
        <v>2116</v>
      </c>
      <c r="H125" s="152">
        <v>2</v>
      </c>
      <c r="I125" s="152">
        <v>3.5</v>
      </c>
      <c r="J125" s="152">
        <v>3.5</v>
      </c>
      <c r="K125"/>
      <c r="L125"/>
      <c r="M125"/>
      <c r="N125"/>
      <c r="O125"/>
      <c r="P125"/>
      <c r="Q125"/>
      <c r="R125"/>
      <c r="S125"/>
      <c r="T125"/>
      <c r="U125"/>
      <c r="V125"/>
    </row>
    <row r="126" spans="1:22" s="125" customFormat="1">
      <c r="A126" s="151" t="s">
        <v>2146</v>
      </c>
      <c r="B126" s="151" t="s">
        <v>2157</v>
      </c>
      <c r="C126" s="151" t="s">
        <v>2194</v>
      </c>
      <c r="D126" s="151" t="s">
        <v>2248</v>
      </c>
      <c r="E126" s="151" t="s">
        <v>2328</v>
      </c>
      <c r="F126" s="160" t="s">
        <v>2116</v>
      </c>
      <c r="G126" s="160" t="s">
        <v>2116</v>
      </c>
      <c r="H126" s="152">
        <v>1</v>
      </c>
      <c r="I126" s="152">
        <v>2</v>
      </c>
      <c r="J126" s="152">
        <v>2</v>
      </c>
      <c r="K126"/>
      <c r="L126"/>
      <c r="M126"/>
      <c r="N126"/>
      <c r="O126"/>
      <c r="P126"/>
      <c r="Q126"/>
      <c r="R126"/>
      <c r="S126"/>
      <c r="T126"/>
      <c r="U126"/>
      <c r="V126"/>
    </row>
    <row r="127" spans="1:22" s="125" customFormat="1">
      <c r="A127" s="151" t="s">
        <v>2146</v>
      </c>
      <c r="B127" s="151" t="s">
        <v>2157</v>
      </c>
      <c r="C127" s="151" t="s">
        <v>1567</v>
      </c>
      <c r="D127" s="151" t="s">
        <v>2249</v>
      </c>
      <c r="E127" s="151" t="s">
        <v>2329</v>
      </c>
      <c r="F127" s="160" t="s">
        <v>2116</v>
      </c>
      <c r="G127" s="160" t="s">
        <v>2116</v>
      </c>
      <c r="H127" s="152">
        <v>0</v>
      </c>
      <c r="I127" s="152">
        <v>0</v>
      </c>
      <c r="J127" s="152">
        <v>0</v>
      </c>
      <c r="K127"/>
      <c r="L127"/>
      <c r="M127"/>
      <c r="N127"/>
      <c r="O127"/>
      <c r="P127"/>
      <c r="Q127"/>
      <c r="R127"/>
      <c r="S127"/>
      <c r="T127"/>
      <c r="U127"/>
      <c r="V127"/>
    </row>
    <row r="128" spans="1:22" s="125" customFormat="1">
      <c r="A128" s="151" t="s">
        <v>2146</v>
      </c>
      <c r="B128" s="151" t="s">
        <v>2157</v>
      </c>
      <c r="C128" s="151" t="s">
        <v>2193</v>
      </c>
      <c r="D128" s="151" t="s">
        <v>2247</v>
      </c>
      <c r="E128" s="151" t="s">
        <v>2330</v>
      </c>
      <c r="F128" s="160" t="s">
        <v>1456</v>
      </c>
      <c r="G128" s="160" t="s">
        <v>1395</v>
      </c>
      <c r="H128" s="152">
        <v>2</v>
      </c>
      <c r="I128" s="152">
        <v>1.5</v>
      </c>
      <c r="J128" s="152">
        <v>1.5</v>
      </c>
      <c r="K128"/>
      <c r="L128"/>
      <c r="M128"/>
      <c r="N128"/>
      <c r="O128"/>
      <c r="P128"/>
      <c r="Q128"/>
      <c r="R128"/>
      <c r="S128"/>
      <c r="T128"/>
      <c r="U128"/>
      <c r="V128"/>
    </row>
    <row r="129" spans="1:22" s="125" customFormat="1">
      <c r="A129" s="151" t="s">
        <v>2146</v>
      </c>
      <c r="B129" s="151" t="s">
        <v>2159</v>
      </c>
      <c r="C129" s="151" t="s">
        <v>2188</v>
      </c>
      <c r="D129" s="151" t="s">
        <v>2242</v>
      </c>
      <c r="E129" s="151" t="s">
        <v>2331</v>
      </c>
      <c r="F129" s="160" t="s">
        <v>1456</v>
      </c>
      <c r="G129" s="160" t="s">
        <v>1395</v>
      </c>
      <c r="H129" s="152">
        <v>3</v>
      </c>
      <c r="I129" s="152">
        <v>2.5</v>
      </c>
      <c r="J129" s="152">
        <v>2.5</v>
      </c>
      <c r="K129"/>
      <c r="L129"/>
      <c r="M129"/>
      <c r="N129"/>
      <c r="O129"/>
      <c r="P129"/>
      <c r="Q129"/>
      <c r="R129"/>
      <c r="S129"/>
      <c r="T129"/>
      <c r="U129"/>
      <c r="V129"/>
    </row>
    <row r="130" spans="1:22" s="125" customFormat="1">
      <c r="A130" s="151" t="s">
        <v>2146</v>
      </c>
      <c r="B130" s="151" t="s">
        <v>2159</v>
      </c>
      <c r="C130" s="151" t="s">
        <v>2196</v>
      </c>
      <c r="D130" s="151" t="s">
        <v>2251</v>
      </c>
      <c r="E130" s="151" t="s">
        <v>3541</v>
      </c>
      <c r="F130" s="160" t="s">
        <v>1456</v>
      </c>
      <c r="G130" s="160" t="s">
        <v>1395</v>
      </c>
      <c r="H130" s="152">
        <v>0</v>
      </c>
      <c r="I130" s="152">
        <v>0</v>
      </c>
      <c r="J130" s="152">
        <v>0</v>
      </c>
      <c r="K130"/>
      <c r="L130"/>
      <c r="M130"/>
      <c r="N130"/>
      <c r="O130"/>
      <c r="P130"/>
      <c r="Q130"/>
      <c r="R130"/>
      <c r="S130"/>
      <c r="T130"/>
      <c r="U130"/>
      <c r="V130"/>
    </row>
    <row r="131" spans="1:22" s="125" customFormat="1">
      <c r="A131" s="151" t="s">
        <v>2146</v>
      </c>
      <c r="B131" s="151" t="s">
        <v>2159</v>
      </c>
      <c r="C131" s="151" t="s">
        <v>2206</v>
      </c>
      <c r="D131" s="151" t="s">
        <v>2253</v>
      </c>
      <c r="E131" s="151" t="s">
        <v>2332</v>
      </c>
      <c r="F131" s="160" t="s">
        <v>2116</v>
      </c>
      <c r="G131" s="160" t="s">
        <v>2116</v>
      </c>
      <c r="H131" s="152">
        <v>0</v>
      </c>
      <c r="I131" s="152">
        <v>0</v>
      </c>
      <c r="J131" s="152">
        <v>0</v>
      </c>
      <c r="K131"/>
      <c r="L131"/>
      <c r="M131"/>
      <c r="N131"/>
      <c r="O131"/>
      <c r="P131"/>
      <c r="Q131"/>
      <c r="R131"/>
      <c r="S131"/>
      <c r="T131"/>
      <c r="U131"/>
      <c r="V131"/>
    </row>
    <row r="132" spans="1:22" s="125" customFormat="1">
      <c r="A132" s="151" t="s">
        <v>2146</v>
      </c>
      <c r="B132" s="151" t="s">
        <v>2159</v>
      </c>
      <c r="C132" s="151" t="s">
        <v>2208</v>
      </c>
      <c r="D132" s="151" t="s">
        <v>2256</v>
      </c>
      <c r="E132" s="151" t="s">
        <v>2333</v>
      </c>
      <c r="F132" s="160" t="s">
        <v>2116</v>
      </c>
      <c r="G132" s="160" t="s">
        <v>2116</v>
      </c>
      <c r="H132" s="152">
        <v>0</v>
      </c>
      <c r="I132" s="152">
        <v>0</v>
      </c>
      <c r="J132" s="152">
        <v>0</v>
      </c>
      <c r="K132"/>
      <c r="L132"/>
      <c r="M132"/>
      <c r="N132"/>
      <c r="O132"/>
      <c r="P132"/>
      <c r="Q132"/>
      <c r="R132"/>
      <c r="S132"/>
      <c r="T132"/>
      <c r="U132"/>
      <c r="V132"/>
    </row>
    <row r="133" spans="1:22" s="125" customFormat="1">
      <c r="A133" s="151" t="s">
        <v>2146</v>
      </c>
      <c r="B133" s="151" t="s">
        <v>2159</v>
      </c>
      <c r="C133" s="151" t="s">
        <v>2195</v>
      </c>
      <c r="D133" s="151" t="s">
        <v>2250</v>
      </c>
      <c r="E133" s="151" t="s">
        <v>2334</v>
      </c>
      <c r="F133" s="160" t="s">
        <v>1456</v>
      </c>
      <c r="G133" s="160" t="s">
        <v>1395</v>
      </c>
      <c r="H133" s="152">
        <v>2</v>
      </c>
      <c r="I133" s="152">
        <v>7</v>
      </c>
      <c r="J133" s="152">
        <v>7</v>
      </c>
      <c r="K133"/>
      <c r="L133"/>
      <c r="M133"/>
      <c r="N133"/>
      <c r="O133"/>
      <c r="P133"/>
      <c r="Q133"/>
      <c r="R133"/>
      <c r="S133"/>
      <c r="T133"/>
      <c r="U133"/>
      <c r="V133"/>
    </row>
    <row r="134" spans="1:22" s="125" customFormat="1">
      <c r="A134" s="151" t="s">
        <v>2146</v>
      </c>
      <c r="B134" s="151" t="s">
        <v>2159</v>
      </c>
      <c r="C134" s="151" t="s">
        <v>2212</v>
      </c>
      <c r="D134" s="151" t="s">
        <v>2261</v>
      </c>
      <c r="E134" s="151" t="s">
        <v>2335</v>
      </c>
      <c r="F134" s="160" t="s">
        <v>1456</v>
      </c>
      <c r="G134" s="160" t="s">
        <v>1395</v>
      </c>
      <c r="H134" s="152">
        <v>10</v>
      </c>
      <c r="I134" s="152">
        <v>15</v>
      </c>
      <c r="J134" s="152">
        <v>15</v>
      </c>
      <c r="K134"/>
      <c r="L134"/>
      <c r="M134"/>
      <c r="N134"/>
      <c r="O134"/>
      <c r="P134"/>
      <c r="Q134"/>
      <c r="R134"/>
      <c r="S134"/>
      <c r="T134"/>
      <c r="U134"/>
      <c r="V134"/>
    </row>
    <row r="135" spans="1:22" s="125" customFormat="1">
      <c r="A135" s="151" t="s">
        <v>2146</v>
      </c>
      <c r="B135" s="151" t="s">
        <v>2159</v>
      </c>
      <c r="C135" s="151" t="s">
        <v>2164</v>
      </c>
      <c r="D135" s="151" t="s">
        <v>2221</v>
      </c>
      <c r="E135" s="151" t="s">
        <v>2336</v>
      </c>
      <c r="F135" s="160" t="s">
        <v>1456</v>
      </c>
      <c r="G135" s="160" t="s">
        <v>1395</v>
      </c>
      <c r="H135" s="152">
        <v>0</v>
      </c>
      <c r="I135" s="152">
        <v>0</v>
      </c>
      <c r="J135" s="152">
        <v>0</v>
      </c>
      <c r="K135"/>
      <c r="L135"/>
      <c r="M135"/>
      <c r="N135"/>
      <c r="O135"/>
      <c r="P135"/>
      <c r="Q135"/>
      <c r="R135"/>
      <c r="S135"/>
      <c r="T135"/>
      <c r="U135"/>
      <c r="V135"/>
    </row>
    <row r="136" spans="1:22" s="125" customFormat="1">
      <c r="A136" s="102" t="s">
        <v>2146</v>
      </c>
      <c r="B136" s="102" t="s">
        <v>2160</v>
      </c>
      <c r="C136" s="102" t="s">
        <v>2216</v>
      </c>
      <c r="D136" s="102" t="s">
        <v>2265</v>
      </c>
      <c r="E136" s="102" t="s">
        <v>2337</v>
      </c>
      <c r="F136" s="102" t="s">
        <v>1456</v>
      </c>
      <c r="G136" s="102" t="s">
        <v>1395</v>
      </c>
      <c r="H136" s="152">
        <v>1</v>
      </c>
      <c r="I136" s="152">
        <v>1</v>
      </c>
      <c r="J136" s="152">
        <v>1</v>
      </c>
      <c r="K136"/>
      <c r="L136"/>
      <c r="M136"/>
      <c r="N136"/>
      <c r="O136"/>
      <c r="P136"/>
      <c r="Q136"/>
      <c r="R136"/>
      <c r="S136"/>
      <c r="T136"/>
      <c r="U136"/>
      <c r="V136"/>
    </row>
    <row r="137" spans="1:22" s="125" customFormat="1">
      <c r="A137" s="102" t="s">
        <v>2146</v>
      </c>
      <c r="B137" s="102" t="s">
        <v>2160</v>
      </c>
      <c r="C137" s="102" t="s">
        <v>2214</v>
      </c>
      <c r="D137" s="102" t="s">
        <v>2263</v>
      </c>
      <c r="E137" s="102" t="s">
        <v>2338</v>
      </c>
      <c r="F137" s="102" t="s">
        <v>1456</v>
      </c>
      <c r="G137" s="102" t="s">
        <v>1395</v>
      </c>
      <c r="H137" s="152">
        <v>2</v>
      </c>
      <c r="I137" s="152">
        <v>3</v>
      </c>
      <c r="J137" s="152">
        <v>3</v>
      </c>
      <c r="K137"/>
      <c r="L137"/>
      <c r="M137"/>
      <c r="N137"/>
      <c r="O137"/>
      <c r="P137"/>
      <c r="Q137"/>
      <c r="R137"/>
      <c r="S137"/>
      <c r="T137"/>
      <c r="U137"/>
      <c r="V137"/>
    </row>
    <row r="138" spans="1:22" s="125" customFormat="1">
      <c r="A138" s="102" t="s">
        <v>2146</v>
      </c>
      <c r="B138" s="102" t="s">
        <v>2145</v>
      </c>
      <c r="C138" s="102" t="s">
        <v>3479</v>
      </c>
      <c r="D138" s="102" t="s">
        <v>2413</v>
      </c>
      <c r="E138" s="102" t="s">
        <v>3542</v>
      </c>
      <c r="F138" s="102" t="s">
        <v>1456</v>
      </c>
      <c r="G138" s="102" t="s">
        <v>1395</v>
      </c>
      <c r="H138" s="152">
        <v>3</v>
      </c>
      <c r="I138" s="152">
        <v>3</v>
      </c>
      <c r="J138" s="152">
        <v>3</v>
      </c>
      <c r="K138"/>
      <c r="L138"/>
      <c r="M138"/>
      <c r="N138"/>
      <c r="O138"/>
      <c r="P138"/>
      <c r="Q138"/>
      <c r="R138"/>
      <c r="S138"/>
      <c r="T138"/>
      <c r="U138"/>
      <c r="V138"/>
    </row>
    <row r="139" spans="1:22" s="125" customFormat="1">
      <c r="A139" s="102" t="s">
        <v>2146</v>
      </c>
      <c r="B139" s="102" t="s">
        <v>2154</v>
      </c>
      <c r="C139" s="102" t="s">
        <v>3167</v>
      </c>
      <c r="D139" s="102" t="s">
        <v>3168</v>
      </c>
      <c r="E139" s="102" t="s">
        <v>3169</v>
      </c>
      <c r="F139" s="102" t="s">
        <v>1456</v>
      </c>
      <c r="G139" s="102" t="s">
        <v>1395</v>
      </c>
      <c r="H139" s="102">
        <v>4</v>
      </c>
      <c r="I139" s="102">
        <v>7</v>
      </c>
      <c r="J139" s="102">
        <v>7</v>
      </c>
      <c r="K139"/>
      <c r="L139"/>
      <c r="M139"/>
      <c r="N139"/>
      <c r="O139"/>
      <c r="P139"/>
      <c r="Q139"/>
      <c r="R139"/>
      <c r="S139"/>
      <c r="T139"/>
      <c r="U139"/>
      <c r="V139"/>
    </row>
    <row r="140" spans="1:22" s="125" customFormat="1">
      <c r="A140" s="102" t="s">
        <v>2146</v>
      </c>
      <c r="B140" s="102" t="s">
        <v>2154</v>
      </c>
      <c r="C140" s="102" t="s">
        <v>3170</v>
      </c>
      <c r="D140" s="102" t="s">
        <v>3171</v>
      </c>
      <c r="E140" s="102" t="s">
        <v>3172</v>
      </c>
      <c r="F140" s="102" t="s">
        <v>1456</v>
      </c>
      <c r="G140" s="102" t="s">
        <v>1395</v>
      </c>
      <c r="H140" s="102">
        <v>1</v>
      </c>
      <c r="I140" s="102">
        <v>2</v>
      </c>
      <c r="J140" s="102">
        <v>2</v>
      </c>
      <c r="K140"/>
      <c r="L140"/>
      <c r="M140"/>
      <c r="N140"/>
      <c r="O140"/>
      <c r="P140"/>
      <c r="Q140"/>
      <c r="R140"/>
      <c r="S140"/>
      <c r="T140"/>
      <c r="U140"/>
      <c r="V140"/>
    </row>
    <row r="141" spans="1:22">
      <c r="A141" s="102" t="s">
        <v>2146</v>
      </c>
      <c r="B141" s="102" t="s">
        <v>2154</v>
      </c>
      <c r="C141" s="102" t="s">
        <v>3173</v>
      </c>
      <c r="D141" s="102" t="s">
        <v>3174</v>
      </c>
      <c r="E141" s="102" t="s">
        <v>3175</v>
      </c>
      <c r="F141" s="102" t="s">
        <v>1456</v>
      </c>
      <c r="G141" s="102" t="s">
        <v>1395</v>
      </c>
      <c r="H141" s="102">
        <v>2</v>
      </c>
      <c r="I141" s="102">
        <v>3.5</v>
      </c>
      <c r="J141" s="102">
        <v>3.5</v>
      </c>
    </row>
    <row r="143" spans="1:22">
      <c r="C143" s="2" t="s">
        <v>4</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2" t="s">
        <v>1908</v>
      </c>
      <c r="B1" s="132" t="s">
        <v>1822</v>
      </c>
      <c r="C1" s="132" t="s">
        <v>3460</v>
      </c>
      <c r="D1" s="132" t="s">
        <v>1402</v>
      </c>
      <c r="E1" s="132" t="s">
        <v>3461</v>
      </c>
      <c r="F1" s="132" t="s">
        <v>1403</v>
      </c>
      <c r="G1" s="132" t="s">
        <v>1397</v>
      </c>
      <c r="H1" s="132" t="s">
        <v>3462</v>
      </c>
    </row>
    <row r="2" spans="1:8">
      <c r="A2" t="s">
        <v>2117</v>
      </c>
      <c r="B2" t="s">
        <v>3463</v>
      </c>
      <c r="C2" s="133">
        <v>3</v>
      </c>
      <c r="D2" s="133">
        <v>4</v>
      </c>
      <c r="E2" s="133">
        <v>7</v>
      </c>
      <c r="F2" s="133">
        <v>8</v>
      </c>
      <c r="G2" s="133">
        <v>22</v>
      </c>
      <c r="H2" s="136">
        <v>6</v>
      </c>
    </row>
    <row r="3" spans="1:8">
      <c r="A3" t="s">
        <v>2117</v>
      </c>
      <c r="B3" t="s">
        <v>1827</v>
      </c>
      <c r="C3" s="133">
        <v>0.5</v>
      </c>
      <c r="D3" s="133">
        <v>0</v>
      </c>
      <c r="E3" s="133">
        <v>1.5</v>
      </c>
      <c r="F3" s="133">
        <v>1</v>
      </c>
      <c r="G3" s="133">
        <v>3</v>
      </c>
      <c r="H3" s="136">
        <v>2</v>
      </c>
    </row>
    <row r="4" spans="1:8">
      <c r="A4" t="s">
        <v>2117</v>
      </c>
      <c r="B4" t="s">
        <v>3464</v>
      </c>
      <c r="C4" s="133">
        <v>0.5</v>
      </c>
      <c r="D4" s="133">
        <v>0</v>
      </c>
      <c r="E4" s="133">
        <v>1.5</v>
      </c>
      <c r="F4" s="133">
        <v>1</v>
      </c>
      <c r="G4" s="133">
        <v>3</v>
      </c>
      <c r="H4" s="136">
        <v>2</v>
      </c>
    </row>
    <row r="5" spans="1:8">
      <c r="A5" t="s">
        <v>2118</v>
      </c>
      <c r="B5" t="s">
        <v>3465</v>
      </c>
      <c r="C5" s="133">
        <v>13.5</v>
      </c>
      <c r="D5" s="133">
        <v>9</v>
      </c>
      <c r="E5" s="133">
        <v>12</v>
      </c>
      <c r="F5" s="133">
        <v>19</v>
      </c>
      <c r="G5" s="133">
        <v>53.5</v>
      </c>
      <c r="H5" s="136">
        <v>10</v>
      </c>
    </row>
    <row r="6" spans="1:8">
      <c r="A6" t="s">
        <v>2118</v>
      </c>
      <c r="B6" t="s">
        <v>3466</v>
      </c>
      <c r="C6" s="133">
        <v>4.5</v>
      </c>
      <c r="D6" s="133">
        <v>7.5</v>
      </c>
      <c r="E6" s="133">
        <v>6</v>
      </c>
      <c r="F6" s="133">
        <v>14</v>
      </c>
      <c r="G6" s="133">
        <v>32</v>
      </c>
      <c r="H6" s="136">
        <v>8</v>
      </c>
    </row>
    <row r="7" spans="1:8">
      <c r="A7" t="s">
        <v>2118</v>
      </c>
      <c r="B7" t="s">
        <v>2198</v>
      </c>
      <c r="C7" s="133">
        <v>1</v>
      </c>
      <c r="D7" s="133">
        <v>4</v>
      </c>
      <c r="E7" s="133">
        <v>5</v>
      </c>
      <c r="F7" s="133">
        <v>2</v>
      </c>
      <c r="G7" s="133">
        <v>12</v>
      </c>
      <c r="H7" s="136">
        <v>5</v>
      </c>
    </row>
    <row r="8" spans="1:8">
      <c r="A8" t="s">
        <v>2118</v>
      </c>
      <c r="B8" t="s">
        <v>1837</v>
      </c>
      <c r="C8" s="133">
        <v>0.5</v>
      </c>
      <c r="D8" s="133">
        <v>1.5</v>
      </c>
      <c r="E8" s="133">
        <v>2</v>
      </c>
      <c r="F8" s="133">
        <v>1</v>
      </c>
      <c r="G8" s="133">
        <v>5</v>
      </c>
      <c r="H8" s="136">
        <v>3</v>
      </c>
    </row>
    <row r="9" spans="1:8">
      <c r="A9" t="s">
        <v>2119</v>
      </c>
      <c r="B9" t="s">
        <v>2175</v>
      </c>
      <c r="C9" s="133">
        <v>2</v>
      </c>
      <c r="D9" s="133">
        <v>2</v>
      </c>
      <c r="E9" s="133">
        <v>8</v>
      </c>
      <c r="F9" s="133">
        <v>2</v>
      </c>
      <c r="G9" s="133">
        <v>14</v>
      </c>
      <c r="H9" s="136">
        <v>4</v>
      </c>
    </row>
    <row r="10" spans="1:8">
      <c r="A10" t="s">
        <v>1910</v>
      </c>
      <c r="B10" t="s">
        <v>3467</v>
      </c>
      <c r="C10" s="133">
        <v>1</v>
      </c>
      <c r="D10" s="133">
        <v>1.5</v>
      </c>
      <c r="E10" s="133">
        <v>3</v>
      </c>
      <c r="F10" s="133">
        <v>3</v>
      </c>
      <c r="G10" s="133">
        <v>8.5</v>
      </c>
      <c r="H10" s="136">
        <v>4</v>
      </c>
    </row>
    <row r="11" spans="1:8">
      <c r="A11" t="s">
        <v>2122</v>
      </c>
      <c r="B11" t="s">
        <v>2197</v>
      </c>
      <c r="C11" s="133">
        <v>5</v>
      </c>
      <c r="D11" s="133">
        <v>4</v>
      </c>
      <c r="E11" s="133">
        <v>3</v>
      </c>
      <c r="F11" s="133">
        <v>6</v>
      </c>
      <c r="G11" s="133">
        <v>18</v>
      </c>
      <c r="H11" s="136">
        <v>5</v>
      </c>
    </row>
    <row r="12" spans="1:8">
      <c r="A12" t="s">
        <v>2122</v>
      </c>
      <c r="B12" t="s">
        <v>2218</v>
      </c>
      <c r="C12" s="133">
        <v>4</v>
      </c>
      <c r="D12" s="133">
        <v>3</v>
      </c>
      <c r="E12" s="133">
        <v>3.5</v>
      </c>
      <c r="F12" s="133">
        <v>4</v>
      </c>
      <c r="G12" s="133">
        <v>14.5</v>
      </c>
      <c r="H12" s="136">
        <v>4</v>
      </c>
    </row>
    <row r="13" spans="1:8">
      <c r="A13" t="s">
        <v>2124</v>
      </c>
      <c r="B13" t="s">
        <v>2168</v>
      </c>
      <c r="C13" s="133">
        <v>1</v>
      </c>
      <c r="D13" s="133">
        <v>2</v>
      </c>
      <c r="E13" s="133">
        <v>4</v>
      </c>
      <c r="F13" s="133">
        <v>2</v>
      </c>
      <c r="G13" s="133">
        <v>9</v>
      </c>
      <c r="H13" s="136">
        <v>4</v>
      </c>
    </row>
    <row r="14" spans="1:8">
      <c r="A14" t="s">
        <v>2124</v>
      </c>
      <c r="B14" t="s">
        <v>3468</v>
      </c>
      <c r="C14" s="133">
        <v>1</v>
      </c>
      <c r="D14" s="133">
        <v>1</v>
      </c>
      <c r="E14" s="133">
        <v>2</v>
      </c>
      <c r="F14" s="133">
        <v>1.5</v>
      </c>
      <c r="G14" s="133">
        <v>5.5</v>
      </c>
      <c r="H14" s="136">
        <v>3</v>
      </c>
    </row>
    <row r="15" spans="1:8">
      <c r="A15" t="s">
        <v>2126</v>
      </c>
      <c r="B15" t="s">
        <v>3469</v>
      </c>
      <c r="C15" s="133">
        <v>4</v>
      </c>
      <c r="D15" s="133">
        <v>6</v>
      </c>
      <c r="E15" s="133">
        <v>11</v>
      </c>
      <c r="F15" s="133">
        <v>18</v>
      </c>
      <c r="G15" s="133">
        <v>39</v>
      </c>
      <c r="H15" s="136">
        <v>8</v>
      </c>
    </row>
    <row r="16" spans="1:8">
      <c r="A16" t="s">
        <v>2126</v>
      </c>
      <c r="B16" t="s">
        <v>3470</v>
      </c>
      <c r="C16" s="133">
        <v>0.75</v>
      </c>
      <c r="D16" s="133">
        <v>1</v>
      </c>
      <c r="E16" s="133">
        <v>0</v>
      </c>
      <c r="F16" s="133">
        <v>1</v>
      </c>
      <c r="G16" s="133">
        <v>2.75</v>
      </c>
      <c r="H16" s="136">
        <v>2</v>
      </c>
    </row>
    <row r="17" spans="1:8">
      <c r="A17" t="s">
        <v>2126</v>
      </c>
      <c r="B17" t="s">
        <v>2200</v>
      </c>
      <c r="C17" s="133">
        <v>1</v>
      </c>
      <c r="D17" s="133">
        <v>1</v>
      </c>
      <c r="E17" s="133">
        <v>1.5</v>
      </c>
      <c r="F17" s="133">
        <v>1.5</v>
      </c>
      <c r="G17" s="133">
        <v>5</v>
      </c>
      <c r="H17" s="136">
        <v>3</v>
      </c>
    </row>
    <row r="18" spans="1:8">
      <c r="A18" t="s">
        <v>2126</v>
      </c>
      <c r="B18" t="s">
        <v>3471</v>
      </c>
      <c r="C18" s="133">
        <v>0.5</v>
      </c>
      <c r="D18" s="133">
        <v>2</v>
      </c>
      <c r="E18" s="133">
        <v>0</v>
      </c>
      <c r="F18" s="133">
        <v>0.5</v>
      </c>
      <c r="G18" s="133">
        <v>3</v>
      </c>
      <c r="H18" s="136">
        <v>2</v>
      </c>
    </row>
    <row r="19" spans="1:8">
      <c r="A19" t="s">
        <v>2126</v>
      </c>
      <c r="B19" t="s">
        <v>2201</v>
      </c>
      <c r="C19" s="133">
        <v>0.5</v>
      </c>
      <c r="D19" s="133">
        <v>0</v>
      </c>
      <c r="E19" s="133">
        <v>0</v>
      </c>
      <c r="F19" s="133">
        <v>0</v>
      </c>
      <c r="G19" s="133">
        <v>0.5</v>
      </c>
      <c r="H19" s="136">
        <v>0</v>
      </c>
    </row>
    <row r="20" spans="1:8">
      <c r="A20" t="s">
        <v>2128</v>
      </c>
      <c r="B20" t="s">
        <v>1838</v>
      </c>
      <c r="C20" s="133">
        <v>3</v>
      </c>
      <c r="D20" s="133">
        <v>3</v>
      </c>
      <c r="E20" s="133">
        <v>3</v>
      </c>
      <c r="F20" s="133">
        <v>4</v>
      </c>
      <c r="G20" s="133">
        <v>13</v>
      </c>
      <c r="H20" s="136">
        <v>3</v>
      </c>
    </row>
    <row r="21" spans="1:8">
      <c r="A21" t="s">
        <v>2128</v>
      </c>
      <c r="B21" t="s">
        <v>1839</v>
      </c>
      <c r="C21" s="133">
        <v>0.75</v>
      </c>
      <c r="D21" s="133">
        <v>1.5</v>
      </c>
      <c r="E21" s="133">
        <v>1.5</v>
      </c>
      <c r="F21" s="133">
        <v>1</v>
      </c>
      <c r="G21" s="133">
        <v>4.75</v>
      </c>
      <c r="H21" s="136">
        <v>3</v>
      </c>
    </row>
    <row r="22" spans="1:8">
      <c r="A22" t="s">
        <v>2130</v>
      </c>
      <c r="B22" t="s">
        <v>3472</v>
      </c>
      <c r="C22" s="133">
        <v>0.75</v>
      </c>
      <c r="D22" s="133">
        <v>1.5</v>
      </c>
      <c r="E22" s="133">
        <v>2</v>
      </c>
      <c r="F22" s="133">
        <v>3</v>
      </c>
      <c r="G22" s="133">
        <v>7.25</v>
      </c>
      <c r="H22" s="136">
        <v>3</v>
      </c>
    </row>
    <row r="23" spans="1:8">
      <c r="A23" t="s">
        <v>2130</v>
      </c>
      <c r="B23" t="s">
        <v>3473</v>
      </c>
      <c r="C23" s="133">
        <v>0.75</v>
      </c>
      <c r="D23" s="133">
        <v>0.5</v>
      </c>
      <c r="E23" s="133">
        <v>1</v>
      </c>
      <c r="F23" s="133">
        <v>2</v>
      </c>
      <c r="G23" s="133">
        <v>4.25</v>
      </c>
      <c r="H23" s="136">
        <v>3</v>
      </c>
    </row>
    <row r="24" spans="1:8">
      <c r="A24" t="s">
        <v>2132</v>
      </c>
      <c r="B24" t="s">
        <v>1913</v>
      </c>
      <c r="C24" s="133">
        <v>1</v>
      </c>
      <c r="D24" s="133">
        <v>2</v>
      </c>
      <c r="E24" s="133">
        <v>2</v>
      </c>
      <c r="F24" s="133">
        <v>3</v>
      </c>
      <c r="G24" s="133">
        <v>8</v>
      </c>
      <c r="H24" s="136">
        <v>3</v>
      </c>
    </row>
    <row r="25" spans="1:8">
      <c r="A25" t="s">
        <v>2132</v>
      </c>
      <c r="B25" t="s">
        <v>2182</v>
      </c>
      <c r="C25" s="133">
        <v>1</v>
      </c>
      <c r="D25" s="133">
        <v>1.5</v>
      </c>
      <c r="E25" s="133">
        <v>1.5</v>
      </c>
      <c r="F25" s="133">
        <v>4</v>
      </c>
      <c r="G25" s="133">
        <v>8</v>
      </c>
      <c r="H25" s="136">
        <v>3</v>
      </c>
    </row>
    <row r="26" spans="1:8">
      <c r="A26" t="s">
        <v>3440</v>
      </c>
      <c r="B26" t="s">
        <v>3474</v>
      </c>
      <c r="C26" s="133">
        <v>2</v>
      </c>
      <c r="D26" s="133">
        <v>0</v>
      </c>
      <c r="E26" s="133">
        <v>3</v>
      </c>
      <c r="F26" s="133">
        <v>4</v>
      </c>
      <c r="G26" s="133">
        <v>9</v>
      </c>
      <c r="H26" s="136">
        <v>2</v>
      </c>
    </row>
    <row r="27" spans="1:8">
      <c r="A27" t="s">
        <v>3440</v>
      </c>
      <c r="B27" t="s">
        <v>1849</v>
      </c>
      <c r="C27" s="133">
        <v>3</v>
      </c>
      <c r="D27" s="133">
        <v>2</v>
      </c>
      <c r="E27" s="133">
        <v>3</v>
      </c>
      <c r="F27" s="133">
        <v>5</v>
      </c>
      <c r="G27" s="133">
        <v>13</v>
      </c>
      <c r="H27" s="136">
        <v>3</v>
      </c>
    </row>
    <row r="28" spans="1:8">
      <c r="A28" t="s">
        <v>3440</v>
      </c>
      <c r="B28" t="s">
        <v>1857</v>
      </c>
      <c r="C28" s="133">
        <v>1</v>
      </c>
      <c r="D28" s="133">
        <v>1.5</v>
      </c>
      <c r="E28" s="133">
        <v>2</v>
      </c>
      <c r="F28" s="133">
        <v>1.5</v>
      </c>
      <c r="G28" s="133">
        <v>6</v>
      </c>
      <c r="H28" s="136">
        <v>3</v>
      </c>
    </row>
    <row r="29" spans="1:8">
      <c r="A29" t="s">
        <v>1912</v>
      </c>
      <c r="B29" t="s">
        <v>1842</v>
      </c>
      <c r="C29" s="133">
        <v>3</v>
      </c>
      <c r="D29" s="133">
        <v>2</v>
      </c>
      <c r="E29" s="133">
        <v>2</v>
      </c>
      <c r="F29" s="133">
        <v>2</v>
      </c>
      <c r="G29" s="133">
        <v>9</v>
      </c>
      <c r="H29" s="136">
        <v>3</v>
      </c>
    </row>
    <row r="30" spans="1:8">
      <c r="A30" t="s">
        <v>2134</v>
      </c>
      <c r="B30" t="s">
        <v>3475</v>
      </c>
      <c r="C30" s="133">
        <v>4</v>
      </c>
      <c r="D30" s="133">
        <v>4</v>
      </c>
      <c r="E30" s="133">
        <v>4.5</v>
      </c>
      <c r="F30" s="133">
        <v>9</v>
      </c>
      <c r="G30" s="133">
        <v>21.5</v>
      </c>
      <c r="H30" s="136">
        <v>6</v>
      </c>
    </row>
    <row r="31" spans="1:8">
      <c r="A31" t="s">
        <v>2134</v>
      </c>
      <c r="B31" t="s">
        <v>3476</v>
      </c>
      <c r="C31" s="133">
        <v>0.5</v>
      </c>
      <c r="D31" s="133">
        <v>1.5</v>
      </c>
      <c r="E31" s="133">
        <v>2.5</v>
      </c>
      <c r="F31" s="133">
        <v>4</v>
      </c>
      <c r="G31" s="133">
        <v>8.5</v>
      </c>
      <c r="H31" s="136">
        <v>4</v>
      </c>
    </row>
    <row r="32" spans="1:8">
      <c r="A32" t="s">
        <v>3443</v>
      </c>
      <c r="B32" t="s">
        <v>3477</v>
      </c>
      <c r="C32" s="133">
        <v>1.5</v>
      </c>
      <c r="D32" s="133">
        <v>1.5</v>
      </c>
      <c r="E32" s="133">
        <v>3</v>
      </c>
      <c r="F32" s="133">
        <v>2</v>
      </c>
      <c r="G32" s="133">
        <v>8</v>
      </c>
      <c r="H32" s="136">
        <v>4</v>
      </c>
    </row>
    <row r="33" spans="1:8">
      <c r="A33" t="s">
        <v>2135</v>
      </c>
      <c r="B33" t="s">
        <v>2213</v>
      </c>
      <c r="C33" s="133">
        <v>1</v>
      </c>
      <c r="D33" s="133">
        <v>2</v>
      </c>
      <c r="E33" s="133">
        <v>4</v>
      </c>
      <c r="F33" s="133">
        <v>4</v>
      </c>
      <c r="G33" s="133">
        <v>11</v>
      </c>
      <c r="H33" s="136">
        <v>4</v>
      </c>
    </row>
    <row r="34" spans="1:8">
      <c r="A34" t="s">
        <v>2136</v>
      </c>
      <c r="B34" t="s">
        <v>1824</v>
      </c>
      <c r="C34" s="133">
        <v>7</v>
      </c>
      <c r="D34" s="133">
        <v>5</v>
      </c>
      <c r="E34" s="133">
        <v>6</v>
      </c>
      <c r="F34" s="133">
        <v>13</v>
      </c>
      <c r="G34" s="133">
        <v>31</v>
      </c>
      <c r="H34" s="136">
        <v>7</v>
      </c>
    </row>
    <row r="35" spans="1:8">
      <c r="A35" t="s">
        <v>2136</v>
      </c>
      <c r="B35" t="s">
        <v>3478</v>
      </c>
      <c r="C35" s="133">
        <v>2</v>
      </c>
      <c r="D35" s="133">
        <v>0</v>
      </c>
      <c r="E35" s="133">
        <v>2</v>
      </c>
      <c r="F35" s="133">
        <v>1</v>
      </c>
      <c r="G35" s="133">
        <v>5</v>
      </c>
      <c r="H35" s="136">
        <v>2</v>
      </c>
    </row>
    <row r="36" spans="1:8">
      <c r="A36" t="s">
        <v>2136</v>
      </c>
      <c r="B36" t="s">
        <v>1854</v>
      </c>
      <c r="C36" s="133">
        <v>1</v>
      </c>
      <c r="D36" s="133">
        <v>0</v>
      </c>
      <c r="E36" s="133">
        <v>1</v>
      </c>
      <c r="F36" s="133">
        <v>1</v>
      </c>
      <c r="G36" s="133">
        <v>3</v>
      </c>
      <c r="H36" s="136">
        <v>2</v>
      </c>
    </row>
    <row r="37" spans="1:8">
      <c r="A37" t="s">
        <v>2137</v>
      </c>
      <c r="B37" t="s">
        <v>2191</v>
      </c>
      <c r="C37" s="133">
        <v>2</v>
      </c>
      <c r="D37" s="133">
        <v>4</v>
      </c>
      <c r="E37" s="133">
        <v>4.5</v>
      </c>
      <c r="F37" s="133">
        <v>7</v>
      </c>
      <c r="G37" s="133">
        <v>17.5</v>
      </c>
      <c r="H37" s="136">
        <v>6</v>
      </c>
    </row>
    <row r="38" spans="1:8">
      <c r="A38" t="s">
        <v>2140</v>
      </c>
      <c r="B38" t="s">
        <v>1861</v>
      </c>
      <c r="C38" s="133">
        <v>2.5</v>
      </c>
      <c r="D38" s="133">
        <v>2</v>
      </c>
      <c r="E38" s="133">
        <v>3</v>
      </c>
      <c r="F38" s="133">
        <v>1.5</v>
      </c>
      <c r="G38" s="133">
        <v>9</v>
      </c>
      <c r="H38" s="136">
        <v>4</v>
      </c>
    </row>
    <row r="39" spans="1:8">
      <c r="A39" t="s">
        <v>2140</v>
      </c>
      <c r="B39" t="s">
        <v>1862</v>
      </c>
      <c r="C39" s="133">
        <v>0.5</v>
      </c>
      <c r="D39" s="133">
        <v>1.5</v>
      </c>
      <c r="E39" s="133">
        <v>2</v>
      </c>
      <c r="F39" s="133">
        <v>0.5</v>
      </c>
      <c r="G39" s="133">
        <v>4.5</v>
      </c>
      <c r="H39" s="136">
        <v>3</v>
      </c>
    </row>
    <row r="40" spans="1:8">
      <c r="A40" t="s">
        <v>2140</v>
      </c>
      <c r="B40" t="s">
        <v>1863</v>
      </c>
      <c r="C40" s="133">
        <v>0.5</v>
      </c>
      <c r="D40" s="133">
        <v>1.5</v>
      </c>
      <c r="E40" s="133">
        <v>2</v>
      </c>
      <c r="F40" s="133">
        <v>1</v>
      </c>
      <c r="G40" s="133">
        <v>5</v>
      </c>
      <c r="H40" s="136">
        <v>3</v>
      </c>
    </row>
    <row r="41" spans="1:8">
      <c r="A41" t="s">
        <v>2145</v>
      </c>
      <c r="B41" t="s">
        <v>2189</v>
      </c>
      <c r="C41" s="133">
        <v>2</v>
      </c>
      <c r="D41" s="133">
        <v>2</v>
      </c>
      <c r="E41" s="133">
        <v>2</v>
      </c>
      <c r="F41" s="133">
        <v>1.5</v>
      </c>
      <c r="G41" s="133">
        <v>7.5</v>
      </c>
      <c r="H41" s="136">
        <v>3</v>
      </c>
    </row>
    <row r="42" spans="1:8">
      <c r="A42" t="s">
        <v>2145</v>
      </c>
      <c r="B42" t="s">
        <v>2166</v>
      </c>
      <c r="C42" s="133">
        <v>4</v>
      </c>
      <c r="D42" s="133">
        <v>5</v>
      </c>
      <c r="E42" s="133">
        <v>12</v>
      </c>
      <c r="F42" s="133">
        <v>4</v>
      </c>
      <c r="G42" s="133">
        <v>25</v>
      </c>
      <c r="H42" s="136">
        <v>4</v>
      </c>
    </row>
    <row r="43" spans="1:8">
      <c r="A43" t="s">
        <v>2145</v>
      </c>
      <c r="B43" t="s">
        <v>2167</v>
      </c>
      <c r="C43" s="133">
        <v>2</v>
      </c>
      <c r="D43" s="133">
        <v>4</v>
      </c>
      <c r="E43" s="133">
        <v>15</v>
      </c>
      <c r="F43" s="133">
        <v>4</v>
      </c>
      <c r="G43" s="133">
        <v>25</v>
      </c>
      <c r="H43" s="136">
        <v>5</v>
      </c>
    </row>
    <row r="44" spans="1:8">
      <c r="A44" t="s">
        <v>2145</v>
      </c>
      <c r="B44" t="s">
        <v>2176</v>
      </c>
      <c r="C44" s="133">
        <v>4</v>
      </c>
      <c r="D44" s="133">
        <v>3</v>
      </c>
      <c r="E44" s="133">
        <v>4</v>
      </c>
      <c r="F44" s="133">
        <v>2</v>
      </c>
      <c r="G44" s="133">
        <v>13</v>
      </c>
      <c r="H44" s="136">
        <v>3</v>
      </c>
    </row>
    <row r="45" spans="1:8">
      <c r="A45" t="s">
        <v>2145</v>
      </c>
      <c r="B45" t="s">
        <v>2211</v>
      </c>
      <c r="C45" s="133">
        <v>1</v>
      </c>
      <c r="D45" s="133">
        <v>2</v>
      </c>
      <c r="E45" s="133">
        <v>10</v>
      </c>
      <c r="F45" s="133">
        <v>2</v>
      </c>
      <c r="G45" s="133">
        <v>15</v>
      </c>
      <c r="H45" s="136">
        <v>4</v>
      </c>
    </row>
    <row r="46" spans="1:8">
      <c r="A46" t="s">
        <v>2145</v>
      </c>
      <c r="B46" t="s">
        <v>3479</v>
      </c>
      <c r="C46" s="133">
        <v>3</v>
      </c>
      <c r="D46" s="133">
        <v>5</v>
      </c>
      <c r="E46" s="133">
        <v>0</v>
      </c>
      <c r="F46" s="133">
        <v>7</v>
      </c>
      <c r="G46" s="133">
        <v>15</v>
      </c>
      <c r="H46" s="136">
        <v>4</v>
      </c>
    </row>
    <row r="47" spans="1:8">
      <c r="A47" t="s">
        <v>2148</v>
      </c>
      <c r="B47" t="s">
        <v>2181</v>
      </c>
      <c r="C47" s="133">
        <v>4</v>
      </c>
      <c r="D47" s="133">
        <v>3</v>
      </c>
      <c r="E47" s="133">
        <v>3</v>
      </c>
      <c r="F47" s="133">
        <v>8</v>
      </c>
      <c r="G47" s="133">
        <v>18</v>
      </c>
      <c r="H47" s="136">
        <v>3</v>
      </c>
    </row>
    <row r="48" spans="1:8">
      <c r="A48" t="s">
        <v>2148</v>
      </c>
      <c r="B48" t="s">
        <v>2162</v>
      </c>
      <c r="C48" s="133">
        <v>6.5</v>
      </c>
      <c r="D48" s="133">
        <v>2</v>
      </c>
      <c r="E48" s="133">
        <v>1</v>
      </c>
      <c r="F48" s="133">
        <v>6</v>
      </c>
      <c r="G48" s="133">
        <v>15.5</v>
      </c>
      <c r="H48" s="136">
        <v>3</v>
      </c>
    </row>
    <row r="49" spans="1:8">
      <c r="A49" t="s">
        <v>2148</v>
      </c>
      <c r="B49" t="s">
        <v>2172</v>
      </c>
      <c r="C49" s="133">
        <v>3</v>
      </c>
      <c r="D49" s="133">
        <v>2</v>
      </c>
      <c r="E49" s="133">
        <v>2</v>
      </c>
      <c r="F49" s="133">
        <v>3</v>
      </c>
      <c r="G49" s="133">
        <v>10</v>
      </c>
      <c r="H49" s="136">
        <v>3</v>
      </c>
    </row>
    <row r="50" spans="1:8">
      <c r="A50" t="s">
        <v>2148</v>
      </c>
      <c r="B50" t="s">
        <v>2178</v>
      </c>
      <c r="C50" s="133">
        <v>4</v>
      </c>
      <c r="D50" s="133">
        <v>2</v>
      </c>
      <c r="E50" s="133">
        <v>2</v>
      </c>
      <c r="F50" s="133">
        <v>0</v>
      </c>
      <c r="G50" s="133">
        <v>8</v>
      </c>
      <c r="H50" s="136">
        <v>2</v>
      </c>
    </row>
    <row r="51" spans="1:8">
      <c r="A51" t="s">
        <v>2150</v>
      </c>
      <c r="B51" t="s">
        <v>2169</v>
      </c>
      <c r="C51" s="133">
        <v>11.5</v>
      </c>
      <c r="D51" s="133">
        <v>9</v>
      </c>
      <c r="E51" s="133">
        <v>22</v>
      </c>
      <c r="F51" s="133">
        <v>11</v>
      </c>
      <c r="G51" s="133">
        <v>53.5</v>
      </c>
      <c r="H51" s="136">
        <v>9</v>
      </c>
    </row>
    <row r="52" spans="1:8">
      <c r="A52" t="s">
        <v>2150</v>
      </c>
      <c r="B52" t="s">
        <v>2186</v>
      </c>
      <c r="C52" s="133">
        <v>2</v>
      </c>
      <c r="D52" s="133">
        <v>2</v>
      </c>
      <c r="E52" s="133">
        <v>4</v>
      </c>
      <c r="F52" s="133">
        <v>11</v>
      </c>
      <c r="G52" s="133">
        <v>19</v>
      </c>
      <c r="H52" s="136">
        <v>4</v>
      </c>
    </row>
    <row r="53" spans="1:8">
      <c r="A53" t="s">
        <v>2150</v>
      </c>
      <c r="B53" t="s">
        <v>2215</v>
      </c>
      <c r="C53" s="133">
        <v>1</v>
      </c>
      <c r="D53" s="133">
        <v>0</v>
      </c>
      <c r="E53" s="133">
        <v>0</v>
      </c>
      <c r="F53" s="133">
        <v>2</v>
      </c>
      <c r="G53" s="133">
        <v>3</v>
      </c>
      <c r="H53" s="136">
        <v>1</v>
      </c>
    </row>
    <row r="54" spans="1:8">
      <c r="A54" t="s">
        <v>2152</v>
      </c>
      <c r="B54" t="s">
        <v>2165</v>
      </c>
      <c r="C54" s="133">
        <v>4</v>
      </c>
      <c r="D54" s="133">
        <v>3</v>
      </c>
      <c r="E54" s="133">
        <v>6</v>
      </c>
      <c r="F54" s="133">
        <v>14</v>
      </c>
      <c r="G54" s="133">
        <v>27</v>
      </c>
      <c r="H54" s="136">
        <v>5</v>
      </c>
    </row>
    <row r="55" spans="1:8">
      <c r="A55" t="s">
        <v>2152</v>
      </c>
      <c r="B55" t="s">
        <v>2180</v>
      </c>
      <c r="C55" s="133">
        <v>3</v>
      </c>
      <c r="D55" s="133">
        <v>3</v>
      </c>
      <c r="E55" s="133">
        <v>4</v>
      </c>
      <c r="F55" s="133">
        <v>7</v>
      </c>
      <c r="G55" s="133">
        <v>17</v>
      </c>
      <c r="H55" s="136">
        <v>4</v>
      </c>
    </row>
    <row r="56" spans="1:8">
      <c r="A56" t="s">
        <v>2152</v>
      </c>
      <c r="B56" t="s">
        <v>2192</v>
      </c>
      <c r="C56" s="133">
        <v>3</v>
      </c>
      <c r="D56" s="133">
        <v>2</v>
      </c>
      <c r="E56" s="133">
        <v>3</v>
      </c>
      <c r="F56" s="133">
        <v>4</v>
      </c>
      <c r="G56" s="133">
        <v>12</v>
      </c>
      <c r="H56" s="136">
        <v>3</v>
      </c>
    </row>
    <row r="57" spans="1:8">
      <c r="A57" t="s">
        <v>2154</v>
      </c>
      <c r="B57" t="s">
        <v>2210</v>
      </c>
      <c r="C57" s="133">
        <v>3</v>
      </c>
      <c r="D57" s="133">
        <v>3</v>
      </c>
      <c r="E57" s="133">
        <v>8</v>
      </c>
      <c r="F57" s="133">
        <v>6</v>
      </c>
      <c r="G57" s="133">
        <v>20</v>
      </c>
      <c r="H57" s="136">
        <v>3</v>
      </c>
    </row>
    <row r="58" spans="1:8">
      <c r="A58" t="s">
        <v>2154</v>
      </c>
      <c r="B58" t="s">
        <v>2187</v>
      </c>
      <c r="C58" s="133">
        <v>1</v>
      </c>
      <c r="D58" s="133">
        <v>0</v>
      </c>
      <c r="E58" s="133">
        <v>1</v>
      </c>
      <c r="F58" s="133">
        <v>4</v>
      </c>
      <c r="G58" s="133">
        <v>6</v>
      </c>
      <c r="H58" s="136">
        <v>2</v>
      </c>
    </row>
    <row r="59" spans="1:8">
      <c r="A59" t="s">
        <v>2154</v>
      </c>
      <c r="B59" t="s">
        <v>2183</v>
      </c>
      <c r="C59" s="133">
        <v>2</v>
      </c>
      <c r="D59" s="133">
        <v>0</v>
      </c>
      <c r="E59" s="133">
        <v>1</v>
      </c>
      <c r="F59" s="133">
        <v>8</v>
      </c>
      <c r="G59" s="133">
        <v>11</v>
      </c>
      <c r="H59" s="136">
        <v>2</v>
      </c>
    </row>
    <row r="60" spans="1:8">
      <c r="A60" t="s">
        <v>2154</v>
      </c>
      <c r="B60" t="s">
        <v>2184</v>
      </c>
      <c r="C60" s="133">
        <v>0.5</v>
      </c>
      <c r="D60" s="133">
        <v>1.5</v>
      </c>
      <c r="E60" s="133">
        <v>2</v>
      </c>
      <c r="F60" s="133">
        <v>3</v>
      </c>
      <c r="G60" s="133">
        <v>7</v>
      </c>
      <c r="H60" s="136">
        <v>3</v>
      </c>
    </row>
    <row r="61" spans="1:8">
      <c r="A61" t="s">
        <v>2154</v>
      </c>
      <c r="B61" t="s">
        <v>3480</v>
      </c>
      <c r="C61" s="133">
        <v>5</v>
      </c>
      <c r="D61" s="133">
        <v>6</v>
      </c>
      <c r="E61" s="133">
        <v>7</v>
      </c>
      <c r="F61" s="133">
        <v>9</v>
      </c>
      <c r="G61" s="133">
        <v>27</v>
      </c>
      <c r="H61" s="136">
        <v>6</v>
      </c>
    </row>
    <row r="62" spans="1:8">
      <c r="A62" t="s">
        <v>2154</v>
      </c>
      <c r="B62" t="s">
        <v>3167</v>
      </c>
      <c r="C62" s="133">
        <v>7</v>
      </c>
      <c r="D62" s="133">
        <v>0</v>
      </c>
      <c r="E62" s="133">
        <v>0</v>
      </c>
      <c r="F62" s="133">
        <v>0</v>
      </c>
      <c r="G62" s="133">
        <v>7</v>
      </c>
      <c r="H62" s="136">
        <v>0</v>
      </c>
    </row>
    <row r="63" spans="1:8">
      <c r="A63" t="s">
        <v>2154</v>
      </c>
      <c r="B63" t="s">
        <v>3170</v>
      </c>
      <c r="C63" s="133">
        <v>2</v>
      </c>
      <c r="D63" s="133">
        <v>0</v>
      </c>
      <c r="E63" s="133">
        <v>0</v>
      </c>
      <c r="F63" s="133">
        <v>0</v>
      </c>
      <c r="G63" s="133">
        <v>2</v>
      </c>
      <c r="H63" s="136">
        <v>0</v>
      </c>
    </row>
    <row r="64" spans="1:8">
      <c r="A64" t="s">
        <v>2154</v>
      </c>
      <c r="B64" t="s">
        <v>3173</v>
      </c>
      <c r="C64" s="133">
        <v>3.5</v>
      </c>
      <c r="D64" s="133">
        <v>0</v>
      </c>
      <c r="E64" s="133">
        <v>0</v>
      </c>
      <c r="F64" s="133">
        <v>0</v>
      </c>
      <c r="G64" s="133">
        <v>3.5</v>
      </c>
      <c r="H64" s="136">
        <v>0</v>
      </c>
    </row>
    <row r="65" spans="1:8">
      <c r="A65" t="s">
        <v>2155</v>
      </c>
      <c r="B65" t="s">
        <v>2177</v>
      </c>
      <c r="C65" s="133">
        <v>1</v>
      </c>
      <c r="D65" s="133">
        <v>0</v>
      </c>
      <c r="E65" s="133">
        <v>0</v>
      </c>
      <c r="F65" s="133">
        <v>14</v>
      </c>
      <c r="G65" s="133">
        <v>15</v>
      </c>
      <c r="H65" s="136">
        <v>2</v>
      </c>
    </row>
    <row r="66" spans="1:8">
      <c r="A66" t="s">
        <v>2155</v>
      </c>
      <c r="B66" t="s">
        <v>2174</v>
      </c>
      <c r="C66" s="133">
        <v>1.5</v>
      </c>
      <c r="D66" s="133">
        <v>2</v>
      </c>
      <c r="E66" s="133">
        <v>2</v>
      </c>
      <c r="F66" s="133">
        <v>5</v>
      </c>
      <c r="G66" s="133">
        <v>10.5</v>
      </c>
      <c r="H66" s="136">
        <v>3</v>
      </c>
    </row>
    <row r="67" spans="1:8">
      <c r="A67" t="s">
        <v>2157</v>
      </c>
      <c r="B67" t="s">
        <v>2190</v>
      </c>
      <c r="C67" s="133">
        <v>3.5</v>
      </c>
      <c r="D67" s="133">
        <v>3</v>
      </c>
      <c r="E67" s="133">
        <v>2</v>
      </c>
      <c r="F67" s="133">
        <v>8</v>
      </c>
      <c r="G67" s="133">
        <v>16.5</v>
      </c>
      <c r="H67" s="136">
        <v>3</v>
      </c>
    </row>
    <row r="68" spans="1:8">
      <c r="A68" t="s">
        <v>2157</v>
      </c>
      <c r="B68" t="s">
        <v>2194</v>
      </c>
      <c r="C68" s="133">
        <v>2</v>
      </c>
      <c r="D68" s="133">
        <v>2</v>
      </c>
      <c r="E68" s="133">
        <v>0</v>
      </c>
      <c r="F68" s="133">
        <v>2</v>
      </c>
      <c r="G68" s="133">
        <v>6</v>
      </c>
      <c r="H68" s="136">
        <v>2</v>
      </c>
    </row>
    <row r="69" spans="1:8">
      <c r="A69" t="s">
        <v>2157</v>
      </c>
      <c r="B69" t="s">
        <v>2193</v>
      </c>
      <c r="C69" s="133">
        <v>1.5</v>
      </c>
      <c r="D69" s="133">
        <v>2</v>
      </c>
      <c r="E69" s="133">
        <v>4</v>
      </c>
      <c r="F69" s="133">
        <v>4</v>
      </c>
      <c r="G69" s="133">
        <v>11.5</v>
      </c>
      <c r="H69" s="136">
        <v>3</v>
      </c>
    </row>
    <row r="70" spans="1:8">
      <c r="A70" t="s">
        <v>2159</v>
      </c>
      <c r="B70" t="s">
        <v>2188</v>
      </c>
      <c r="C70" s="133">
        <v>2.5</v>
      </c>
      <c r="D70" s="133">
        <v>1.5</v>
      </c>
      <c r="E70" s="133">
        <v>0</v>
      </c>
      <c r="F70" s="133">
        <v>0</v>
      </c>
      <c r="G70" s="133">
        <v>4</v>
      </c>
      <c r="H70" s="136">
        <v>1</v>
      </c>
    </row>
    <row r="71" spans="1:8">
      <c r="A71" t="s">
        <v>2159</v>
      </c>
      <c r="B71" t="s">
        <v>2195</v>
      </c>
      <c r="C71" s="133">
        <v>7</v>
      </c>
      <c r="D71" s="133">
        <v>3</v>
      </c>
      <c r="E71" s="133">
        <v>2</v>
      </c>
      <c r="F71" s="133">
        <v>6</v>
      </c>
      <c r="G71" s="133">
        <v>18</v>
      </c>
      <c r="H71" s="136">
        <v>3</v>
      </c>
    </row>
    <row r="72" spans="1:8">
      <c r="A72" t="s">
        <v>2159</v>
      </c>
      <c r="B72" t="s">
        <v>2212</v>
      </c>
      <c r="C72" s="133">
        <v>15</v>
      </c>
      <c r="D72" s="133">
        <v>9</v>
      </c>
      <c r="E72" s="133">
        <v>6</v>
      </c>
      <c r="F72" s="133">
        <v>8</v>
      </c>
      <c r="G72" s="133">
        <v>38</v>
      </c>
      <c r="H72" s="136">
        <v>3</v>
      </c>
    </row>
    <row r="73" spans="1:8">
      <c r="A73" t="s">
        <v>2160</v>
      </c>
      <c r="B73" t="s">
        <v>2216</v>
      </c>
      <c r="C73" s="133">
        <v>1</v>
      </c>
      <c r="D73" s="133">
        <v>2</v>
      </c>
      <c r="E73" s="133">
        <v>4</v>
      </c>
      <c r="F73" s="133">
        <v>5</v>
      </c>
      <c r="G73" s="133">
        <v>12</v>
      </c>
      <c r="H73" s="136">
        <v>3</v>
      </c>
    </row>
    <row r="74" spans="1:8">
      <c r="A74" t="s">
        <v>2160</v>
      </c>
      <c r="B74" t="s">
        <v>2214</v>
      </c>
      <c r="C74" s="133">
        <v>3</v>
      </c>
      <c r="D74" s="133">
        <v>0</v>
      </c>
      <c r="E74" s="133">
        <v>0</v>
      </c>
      <c r="F74" s="133">
        <v>0</v>
      </c>
      <c r="G74" s="133">
        <v>3</v>
      </c>
      <c r="H74" s="136">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2026-09-07T03:06:58Z</dcterms:modified>
</cp:coreProperties>
</file>