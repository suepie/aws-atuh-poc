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09859543-0F5A-0A45-8676-7700895E2569}" xr6:coauthVersionLast="47" xr6:coauthVersionMax="47" xr10:uidLastSave="{00000000-0000-0000-0000-000000000000}"/>
  <bookViews>
    <workbookView xWindow="0" yWindow="0" windowWidth="38400" windowHeight="21600" firstSheet="8" activeTab="12"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Sheet1" sheetId="30" r:id="rId10"/>
    <sheet name="機能名一覧" sheetId="32" r:id="rId11"/>
    <sheet name="WBS(基本設計)" sheetId="9" r:id="rId12"/>
    <sheet name="WBS(詳細設計_製造)" sheetId="8" r:id="rId13"/>
    <sheet name="WBS(テスト)" sheetId="10" r:id="rId14"/>
    <sheet name="Git照合スクリプト" sheetId="13" r:id="rId15"/>
    <sheet name="DR案別コスト" sheetId="14" r:id="rId16"/>
    <sheet name="RH照会" sheetId="22" r:id="rId17"/>
    <sheet name="RH照会_メール添付用" sheetId="23" r:id="rId18"/>
    <sheet name="QA(方式検討)" sheetId="24" r:id="rId19"/>
    <sheet name="分岐プール" sheetId="25" r:id="rId20"/>
    <sheet name="機能一覧" sheetId="26" r:id="rId21"/>
    <sheet name="問い合わせQA" sheetId="27" r:id="rId22"/>
    <sheet name="サマリ(機能・担当)" sheetId="28" r:id="rId23"/>
    <sheet name="機能グループ一覧" sheetId="31" r:id="rId24"/>
  </sheets>
  <definedNames>
    <definedName name="_xlnm._FilterDatabase" localSheetId="8" hidden="1">ADR一覧!$A$5:$E$72</definedName>
    <definedName name="_xlnm._FilterDatabase" localSheetId="18" hidden="1">'QA(方式検討)'!$A$6:$M$13</definedName>
    <definedName name="_xlnm._FilterDatabase" localSheetId="16" hidden="1">RH照会!$A$5:$N$48</definedName>
    <definedName name="_xlnm._FilterDatabase" localSheetId="13" hidden="1">'WBS(テスト)'!$A$5:$N$59</definedName>
    <definedName name="_xlnm._FilterDatabase" localSheetId="11" hidden="1">'WBS(基本設計)'!$A$6:$T$106</definedName>
    <definedName name="_xlnm._FilterDatabase" localSheetId="12" hidden="1">'WBS(詳細設計_製造)'!$A$5:$U$222</definedName>
    <definedName name="_xlnm._FilterDatabase" localSheetId="1" hidden="1">コスト見積もり!$A$24:$M$59</definedName>
    <definedName name="_xlnm._FilterDatabase" localSheetId="20" hidden="1">機能一覧!$A$6:$H$97</definedName>
    <definedName name="_xlnm._FilterDatabase" localSheetId="10" hidden="1">機能名一覧!$A$1:$L$140</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9" hidden="1">分岐プール!$A$7:$F$44</definedName>
    <definedName name="_xlnm._FilterDatabase" localSheetId="6" hidden="1">要件→設計!$A$4:$H$183</definedName>
    <definedName name="_xlnm.Print_Area" localSheetId="18">'QA(方式検討)'!$A$1:$I$13</definedName>
    <definedName name="_xlnm.Print_Area" localSheetId="16">RH照会!$A$1:$J$48</definedName>
    <definedName name="_xlnm.Print_Area" localSheetId="17">RH照会_メール添付用!$A$1:$C$47</definedName>
    <definedName name="_xlnm.Print_Titles" localSheetId="18">'QA(方式検討)'!$6:$6</definedName>
    <definedName name="_xlnm.Print_Titles" localSheetId="16">RH照会!$5:$5</definedName>
    <definedName name="_xlnm.Print_Titles" localSheetId="17">RH照会_メール添付用!$4:$4</definedName>
  </definedNames>
  <calcPr calcId="191029"/>
  <pivotCaches>
    <pivotCache cacheId="10" r:id="rId2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32" l="1"/>
  <c r="L3" i="32"/>
  <c r="M3" i="32"/>
  <c r="K4" i="32"/>
  <c r="L4" i="32"/>
  <c r="M4" i="32"/>
  <c r="K5" i="32"/>
  <c r="L5" i="32"/>
  <c r="M5" i="32"/>
  <c r="K6" i="32"/>
  <c r="L6" i="32"/>
  <c r="M6" i="32"/>
  <c r="K7" i="32"/>
  <c r="L7" i="32"/>
  <c r="M7" i="32"/>
  <c r="K8" i="32"/>
  <c r="L8" i="32"/>
  <c r="M8" i="32"/>
  <c r="K9" i="32"/>
  <c r="L9" i="32"/>
  <c r="M9" i="32"/>
  <c r="K10" i="32"/>
  <c r="N10" i="32" s="1"/>
  <c r="L10" i="32"/>
  <c r="M10" i="32"/>
  <c r="K11" i="32"/>
  <c r="L11" i="32"/>
  <c r="M11" i="32"/>
  <c r="K12" i="32"/>
  <c r="L12" i="32"/>
  <c r="M12" i="32"/>
  <c r="K13" i="32"/>
  <c r="L13" i="32"/>
  <c r="M13" i="32"/>
  <c r="K14" i="32"/>
  <c r="L14" i="32"/>
  <c r="M14" i="32"/>
  <c r="K15" i="32"/>
  <c r="L15" i="32"/>
  <c r="M15" i="32"/>
  <c r="K16" i="32"/>
  <c r="L16" i="32"/>
  <c r="M16" i="32"/>
  <c r="K17" i="32"/>
  <c r="L17" i="32"/>
  <c r="M17" i="32"/>
  <c r="K18" i="32"/>
  <c r="N18" i="32" s="1"/>
  <c r="L18" i="32"/>
  <c r="M18" i="32"/>
  <c r="K19" i="32"/>
  <c r="L19" i="32"/>
  <c r="M19" i="32"/>
  <c r="K20" i="32"/>
  <c r="L20" i="32"/>
  <c r="M20" i="32"/>
  <c r="K21" i="32"/>
  <c r="L21" i="32"/>
  <c r="M21" i="32"/>
  <c r="K22" i="32"/>
  <c r="L22" i="32"/>
  <c r="M22" i="32"/>
  <c r="K23" i="32"/>
  <c r="L23" i="32"/>
  <c r="M23" i="32"/>
  <c r="K24" i="32"/>
  <c r="L24" i="32"/>
  <c r="M24" i="32"/>
  <c r="K25" i="32"/>
  <c r="L25" i="32"/>
  <c r="M25" i="32"/>
  <c r="K26" i="32"/>
  <c r="N26" i="32" s="1"/>
  <c r="L26" i="32"/>
  <c r="M26" i="32"/>
  <c r="K27" i="32"/>
  <c r="L27" i="32"/>
  <c r="M27" i="32"/>
  <c r="K28" i="32"/>
  <c r="L28" i="32"/>
  <c r="M28" i="32"/>
  <c r="K29" i="32"/>
  <c r="L29" i="32"/>
  <c r="M29" i="32"/>
  <c r="K30" i="32"/>
  <c r="L30" i="32"/>
  <c r="M30" i="32"/>
  <c r="K31" i="32"/>
  <c r="L31" i="32"/>
  <c r="M31" i="32"/>
  <c r="K32" i="32"/>
  <c r="L32" i="32"/>
  <c r="M32" i="32"/>
  <c r="K33" i="32"/>
  <c r="L33" i="32"/>
  <c r="M33" i="32"/>
  <c r="K34" i="32"/>
  <c r="N34" i="32" s="1"/>
  <c r="L34" i="32"/>
  <c r="M34" i="32"/>
  <c r="K35" i="32"/>
  <c r="L35" i="32"/>
  <c r="M35" i="32"/>
  <c r="K36" i="32"/>
  <c r="L36" i="32"/>
  <c r="M36" i="32"/>
  <c r="K37" i="32"/>
  <c r="L37" i="32"/>
  <c r="M37" i="32"/>
  <c r="K38" i="32"/>
  <c r="L38" i="32"/>
  <c r="M38" i="32"/>
  <c r="K39" i="32"/>
  <c r="L39" i="32"/>
  <c r="M39" i="32"/>
  <c r="K40" i="32"/>
  <c r="L40" i="32"/>
  <c r="M40" i="32"/>
  <c r="K41" i="32"/>
  <c r="L41" i="32"/>
  <c r="M41" i="32"/>
  <c r="K42" i="32"/>
  <c r="N42" i="32" s="1"/>
  <c r="L42" i="32"/>
  <c r="M42" i="32"/>
  <c r="K43" i="32"/>
  <c r="L43" i="32"/>
  <c r="M43" i="32"/>
  <c r="K44" i="32"/>
  <c r="L44" i="32"/>
  <c r="M44" i="32"/>
  <c r="K45" i="32"/>
  <c r="L45" i="32"/>
  <c r="M45" i="32"/>
  <c r="K46" i="32"/>
  <c r="L46" i="32"/>
  <c r="M46" i="32"/>
  <c r="K47" i="32"/>
  <c r="L47" i="32"/>
  <c r="M47" i="32"/>
  <c r="K48" i="32"/>
  <c r="L48" i="32"/>
  <c r="M48" i="32"/>
  <c r="K49" i="32"/>
  <c r="L49" i="32"/>
  <c r="M49" i="32"/>
  <c r="K50" i="32"/>
  <c r="N50" i="32" s="1"/>
  <c r="L50" i="32"/>
  <c r="M50" i="32"/>
  <c r="K51" i="32"/>
  <c r="L51" i="32"/>
  <c r="M51" i="32"/>
  <c r="K52" i="32"/>
  <c r="L52" i="32"/>
  <c r="M52" i="32"/>
  <c r="K53" i="32"/>
  <c r="L53" i="32"/>
  <c r="M53" i="32"/>
  <c r="K54" i="32"/>
  <c r="L54" i="32"/>
  <c r="M54" i="32"/>
  <c r="K55" i="32"/>
  <c r="L55" i="32"/>
  <c r="M55" i="32"/>
  <c r="K56" i="32"/>
  <c r="L56" i="32"/>
  <c r="M56" i="32"/>
  <c r="K57" i="32"/>
  <c r="N57" i="32" s="1"/>
  <c r="L57" i="32"/>
  <c r="M57" i="32"/>
  <c r="K58" i="32"/>
  <c r="N58" i="32" s="1"/>
  <c r="L58" i="32"/>
  <c r="M58" i="32"/>
  <c r="K59" i="32"/>
  <c r="L59" i="32"/>
  <c r="M59" i="32"/>
  <c r="K60" i="32"/>
  <c r="L60" i="32"/>
  <c r="M60" i="32"/>
  <c r="K61" i="32"/>
  <c r="L61" i="32"/>
  <c r="M61" i="32"/>
  <c r="K62" i="32"/>
  <c r="L62" i="32"/>
  <c r="M62" i="32"/>
  <c r="K63" i="32"/>
  <c r="L63" i="32"/>
  <c r="M63" i="32"/>
  <c r="K64" i="32"/>
  <c r="L64" i="32"/>
  <c r="M64" i="32"/>
  <c r="K65" i="32"/>
  <c r="L65" i="32"/>
  <c r="M65" i="32"/>
  <c r="K66" i="32"/>
  <c r="N66" i="32" s="1"/>
  <c r="L66" i="32"/>
  <c r="M66" i="32"/>
  <c r="K67" i="32"/>
  <c r="L67" i="32"/>
  <c r="M67" i="32"/>
  <c r="K68" i="32"/>
  <c r="L68" i="32"/>
  <c r="M68" i="32"/>
  <c r="K69" i="32"/>
  <c r="L69" i="32"/>
  <c r="M69" i="32"/>
  <c r="K70" i="32"/>
  <c r="L70" i="32"/>
  <c r="M70" i="32"/>
  <c r="K71" i="32"/>
  <c r="L71" i="32"/>
  <c r="M71" i="32"/>
  <c r="K72" i="32"/>
  <c r="L72" i="32"/>
  <c r="M72" i="32"/>
  <c r="K73" i="32"/>
  <c r="L73" i="32"/>
  <c r="M73" i="32"/>
  <c r="K74" i="32"/>
  <c r="N74" i="32" s="1"/>
  <c r="L74" i="32"/>
  <c r="M74" i="32"/>
  <c r="K75" i="32"/>
  <c r="L75" i="32"/>
  <c r="M75" i="32"/>
  <c r="K76" i="32"/>
  <c r="L76" i="32"/>
  <c r="M76" i="32"/>
  <c r="K77" i="32"/>
  <c r="L77" i="32"/>
  <c r="M77" i="32"/>
  <c r="K78" i="32"/>
  <c r="L78" i="32"/>
  <c r="M78" i="32"/>
  <c r="K79" i="32"/>
  <c r="L79" i="32"/>
  <c r="M79" i="32"/>
  <c r="K80" i="32"/>
  <c r="L80" i="32"/>
  <c r="M80" i="32"/>
  <c r="K81" i="32"/>
  <c r="L81" i="32"/>
  <c r="M81" i="32"/>
  <c r="K82" i="32"/>
  <c r="N82" i="32" s="1"/>
  <c r="L82" i="32"/>
  <c r="M82" i="32"/>
  <c r="K83" i="32"/>
  <c r="L83" i="32"/>
  <c r="M83" i="32"/>
  <c r="K84" i="32"/>
  <c r="L84" i="32"/>
  <c r="M84" i="32"/>
  <c r="K85" i="32"/>
  <c r="L85" i="32"/>
  <c r="M85" i="32"/>
  <c r="K86" i="32"/>
  <c r="L86" i="32"/>
  <c r="M86" i="32"/>
  <c r="K87" i="32"/>
  <c r="L87" i="32"/>
  <c r="M87" i="32"/>
  <c r="K88" i="32"/>
  <c r="L88" i="32"/>
  <c r="M88" i="32"/>
  <c r="K89" i="32"/>
  <c r="L89" i="32"/>
  <c r="M89" i="32"/>
  <c r="K90" i="32"/>
  <c r="N90" i="32" s="1"/>
  <c r="L90" i="32"/>
  <c r="M90" i="32"/>
  <c r="K91" i="32"/>
  <c r="L91" i="32"/>
  <c r="M91" i="32"/>
  <c r="K92" i="32"/>
  <c r="L92" i="32"/>
  <c r="M92" i="32"/>
  <c r="K93" i="32"/>
  <c r="L93" i="32"/>
  <c r="M93" i="32"/>
  <c r="K94" i="32"/>
  <c r="L94" i="32"/>
  <c r="M94" i="32"/>
  <c r="K95" i="32"/>
  <c r="L95" i="32"/>
  <c r="M95" i="32"/>
  <c r="K96" i="32"/>
  <c r="L96" i="32"/>
  <c r="M96" i="32"/>
  <c r="K97" i="32"/>
  <c r="L97" i="32"/>
  <c r="M97" i="32"/>
  <c r="K98" i="32"/>
  <c r="N98" i="32" s="1"/>
  <c r="L98" i="32"/>
  <c r="M98" i="32"/>
  <c r="K99" i="32"/>
  <c r="L99" i="32"/>
  <c r="M99" i="32"/>
  <c r="K100" i="32"/>
  <c r="L100" i="32"/>
  <c r="M100" i="32"/>
  <c r="K101" i="32"/>
  <c r="L101" i="32"/>
  <c r="M101" i="32"/>
  <c r="K102" i="32"/>
  <c r="L102" i="32"/>
  <c r="M102" i="32"/>
  <c r="K103" i="32"/>
  <c r="L103" i="32"/>
  <c r="M103" i="32"/>
  <c r="K104" i="32"/>
  <c r="L104" i="32"/>
  <c r="M104" i="32"/>
  <c r="K105" i="32"/>
  <c r="L105" i="32"/>
  <c r="M105" i="32"/>
  <c r="K106" i="32"/>
  <c r="N106" i="32" s="1"/>
  <c r="L106" i="32"/>
  <c r="M106" i="32"/>
  <c r="K107" i="32"/>
  <c r="L107" i="32"/>
  <c r="M107" i="32"/>
  <c r="K108" i="32"/>
  <c r="L108" i="32"/>
  <c r="M108" i="32"/>
  <c r="K109" i="32"/>
  <c r="L109" i="32"/>
  <c r="M109" i="32"/>
  <c r="K110" i="32"/>
  <c r="L110" i="32"/>
  <c r="M110" i="32"/>
  <c r="K111" i="32"/>
  <c r="L111" i="32"/>
  <c r="M111" i="32"/>
  <c r="K112" i="32"/>
  <c r="L112" i="32"/>
  <c r="M112" i="32"/>
  <c r="K113" i="32"/>
  <c r="L113" i="32"/>
  <c r="M113" i="32"/>
  <c r="K114" i="32"/>
  <c r="N114" i="32" s="1"/>
  <c r="L114" i="32"/>
  <c r="M114" i="32"/>
  <c r="K115" i="32"/>
  <c r="L115" i="32"/>
  <c r="M115" i="32"/>
  <c r="K116" i="32"/>
  <c r="L116" i="32"/>
  <c r="M116" i="32"/>
  <c r="K117" i="32"/>
  <c r="L117" i="32"/>
  <c r="M117" i="32"/>
  <c r="K118" i="32"/>
  <c r="L118" i="32"/>
  <c r="M118" i="32"/>
  <c r="K119" i="32"/>
  <c r="L119" i="32"/>
  <c r="M119" i="32"/>
  <c r="K120" i="32"/>
  <c r="L120" i="32"/>
  <c r="M120" i="32"/>
  <c r="K121" i="32"/>
  <c r="L121" i="32"/>
  <c r="M121" i="32"/>
  <c r="K122" i="32"/>
  <c r="N122" i="32" s="1"/>
  <c r="L122" i="32"/>
  <c r="M122" i="32"/>
  <c r="K123" i="32"/>
  <c r="L123" i="32"/>
  <c r="M123" i="32"/>
  <c r="K124" i="32"/>
  <c r="L124" i="32"/>
  <c r="M124" i="32"/>
  <c r="K125" i="32"/>
  <c r="L125" i="32"/>
  <c r="M125" i="32"/>
  <c r="K126" i="32"/>
  <c r="L126" i="32"/>
  <c r="M126" i="32"/>
  <c r="K127" i="32"/>
  <c r="L127" i="32"/>
  <c r="M127" i="32"/>
  <c r="K128" i="32"/>
  <c r="L128" i="32"/>
  <c r="M128" i="32"/>
  <c r="K129" i="32"/>
  <c r="L129" i="32"/>
  <c r="M129" i="32"/>
  <c r="K130" i="32"/>
  <c r="N130" i="32" s="1"/>
  <c r="L130" i="32"/>
  <c r="M130" i="32"/>
  <c r="K131" i="32"/>
  <c r="L131" i="32"/>
  <c r="M131" i="32"/>
  <c r="K132" i="32"/>
  <c r="L132" i="32"/>
  <c r="M132" i="32"/>
  <c r="K133" i="32"/>
  <c r="L133" i="32"/>
  <c r="M133" i="32"/>
  <c r="K134" i="32"/>
  <c r="L134" i="32"/>
  <c r="M134" i="32"/>
  <c r="K2" i="32"/>
  <c r="L2" i="32"/>
  <c r="M2" i="32"/>
  <c r="F3" i="31"/>
  <c r="G3" i="31"/>
  <c r="F4" i="31"/>
  <c r="G4" i="31"/>
  <c r="F5" i="31"/>
  <c r="H5" i="31" s="1"/>
  <c r="G5" i="31"/>
  <c r="F6" i="31"/>
  <c r="G6" i="31"/>
  <c r="F7" i="31"/>
  <c r="G7" i="31"/>
  <c r="F8" i="31"/>
  <c r="G8" i="31"/>
  <c r="F9" i="31"/>
  <c r="G9" i="31"/>
  <c r="F10" i="31"/>
  <c r="G10" i="31"/>
  <c r="F11" i="31"/>
  <c r="G11" i="31"/>
  <c r="F12" i="31"/>
  <c r="H12" i="31" s="1"/>
  <c r="G12" i="31"/>
  <c r="F13" i="31"/>
  <c r="G13" i="31"/>
  <c r="F14" i="31"/>
  <c r="H14" i="31" s="1"/>
  <c r="G14" i="31"/>
  <c r="F15" i="31"/>
  <c r="G15" i="31"/>
  <c r="F16" i="31"/>
  <c r="H16" i="31" s="1"/>
  <c r="G16" i="31"/>
  <c r="F17" i="31"/>
  <c r="G17" i="31"/>
  <c r="H17" i="31" s="1"/>
  <c r="F18" i="31"/>
  <c r="G18" i="31"/>
  <c r="F19" i="31"/>
  <c r="G19" i="31"/>
  <c r="F20" i="31"/>
  <c r="G20" i="31"/>
  <c r="F21" i="31"/>
  <c r="G21" i="31"/>
  <c r="F22" i="31"/>
  <c r="G22" i="31"/>
  <c r="H22" i="31"/>
  <c r="F23" i="31"/>
  <c r="G23" i="31"/>
  <c r="H23" i="31"/>
  <c r="F24" i="31"/>
  <c r="G24" i="31"/>
  <c r="F25" i="31"/>
  <c r="G25" i="31"/>
  <c r="F26" i="31"/>
  <c r="G26" i="31"/>
  <c r="F27" i="31"/>
  <c r="G27" i="31"/>
  <c r="F28" i="31"/>
  <c r="G28" i="31"/>
  <c r="F29" i="31"/>
  <c r="G29" i="31"/>
  <c r="F30" i="31"/>
  <c r="G30" i="31"/>
  <c r="F31" i="31"/>
  <c r="G31" i="31"/>
  <c r="H31" i="31" s="1"/>
  <c r="F32" i="31"/>
  <c r="G32" i="31"/>
  <c r="F33" i="31"/>
  <c r="G33" i="31"/>
  <c r="H33" i="31"/>
  <c r="F34" i="31"/>
  <c r="G34" i="31"/>
  <c r="F2" i="31"/>
  <c r="G2" i="31"/>
  <c r="E3" i="10"/>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L18" i="7" s="1"/>
  <c r="B18" i="7"/>
  <c r="C18" i="7"/>
  <c r="D18" i="7"/>
  <c r="E18" i="7"/>
  <c r="F18" i="7"/>
  <c r="G18" i="7"/>
  <c r="K18" i="7"/>
  <c r="N18" i="7" s="1"/>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H18" i="31" l="1"/>
  <c r="H10" i="31"/>
  <c r="H29" i="31"/>
  <c r="H21" i="31"/>
  <c r="H13" i="31"/>
  <c r="H9" i="31"/>
  <c r="N17" i="32"/>
  <c r="H30" i="31"/>
  <c r="H15" i="31"/>
  <c r="H7" i="31"/>
  <c r="N131" i="32"/>
  <c r="N123" i="32"/>
  <c r="N115" i="32"/>
  <c r="N107" i="32"/>
  <c r="N99" i="32"/>
  <c r="N91" i="32"/>
  <c r="N83" i="32"/>
  <c r="H27" i="31"/>
  <c r="H3" i="31"/>
  <c r="N128" i="32"/>
  <c r="N120" i="32"/>
  <c r="N112" i="32"/>
  <c r="N104" i="32"/>
  <c r="N96" i="32"/>
  <c r="N88" i="32"/>
  <c r="N80" i="32"/>
  <c r="N72" i="32"/>
  <c r="N64" i="32"/>
  <c r="N56" i="32"/>
  <c r="N48" i="32"/>
  <c r="N40" i="32"/>
  <c r="N32" i="32"/>
  <c r="N24" i="32"/>
  <c r="N16" i="32"/>
  <c r="N8" i="32"/>
  <c r="H34" i="31"/>
  <c r="H26" i="31"/>
  <c r="H20" i="31"/>
  <c r="H6" i="31"/>
  <c r="N133" i="32"/>
  <c r="N125" i="32"/>
  <c r="N117" i="32"/>
  <c r="N109" i="32"/>
  <c r="N101" i="32"/>
  <c r="N93" i="32"/>
  <c r="N85" i="32"/>
  <c r="N77" i="32"/>
  <c r="N69" i="32"/>
  <c r="N61" i="32"/>
  <c r="N53" i="32"/>
  <c r="N45" i="32"/>
  <c r="N37" i="32"/>
  <c r="N29" i="32"/>
  <c r="N21" i="32"/>
  <c r="N13" i="32"/>
  <c r="N5" i="32"/>
  <c r="H25" i="31"/>
  <c r="H19" i="31"/>
  <c r="N127" i="32"/>
  <c r="N119" i="32"/>
  <c r="N111" i="32"/>
  <c r="N103" i="32"/>
  <c r="N95" i="32"/>
  <c r="N87" i="32"/>
  <c r="N79" i="32"/>
  <c r="N71" i="32"/>
  <c r="N63" i="32"/>
  <c r="N55" i="32"/>
  <c r="N47" i="32"/>
  <c r="N39" i="32"/>
  <c r="N31" i="32"/>
  <c r="N23" i="32"/>
  <c r="N15" i="32"/>
  <c r="N7" i="32"/>
  <c r="N132" i="32"/>
  <c r="N124" i="32"/>
  <c r="N116" i="32"/>
  <c r="N108" i="32"/>
  <c r="N100" i="32"/>
  <c r="N92" i="32"/>
  <c r="N84" i="32"/>
  <c r="N76" i="32"/>
  <c r="N68" i="32"/>
  <c r="N60" i="32"/>
  <c r="N52" i="32"/>
  <c r="N44" i="32"/>
  <c r="N36" i="32"/>
  <c r="N28" i="32"/>
  <c r="N20" i="32"/>
  <c r="N12" i="32"/>
  <c r="N4" i="32"/>
  <c r="H8" i="31"/>
  <c r="N129" i="32"/>
  <c r="N121" i="32"/>
  <c r="N113" i="32"/>
  <c r="N105" i="32"/>
  <c r="N97" i="32"/>
  <c r="N89" i="32"/>
  <c r="N81" i="32"/>
  <c r="N73" i="32"/>
  <c r="N65" i="32"/>
  <c r="N49" i="32"/>
  <c r="N41" i="32"/>
  <c r="N33" i="32"/>
  <c r="N25" i="32"/>
  <c r="N9" i="32"/>
  <c r="H32" i="31"/>
  <c r="H28" i="31"/>
  <c r="H24" i="31"/>
  <c r="H11" i="31"/>
  <c r="H4" i="31"/>
  <c r="N134" i="32"/>
  <c r="N126" i="32"/>
  <c r="N118" i="32"/>
  <c r="N110" i="32"/>
  <c r="N102" i="32"/>
  <c r="N94" i="32"/>
  <c r="N86" i="32"/>
  <c r="N78" i="32"/>
  <c r="N70" i="32"/>
  <c r="N62" i="32"/>
  <c r="N54" i="32"/>
  <c r="N46" i="32"/>
  <c r="N38" i="32"/>
  <c r="N30" i="32"/>
  <c r="N22" i="32"/>
  <c r="N14" i="32"/>
  <c r="N6" i="32"/>
  <c r="N75" i="32"/>
  <c r="N67" i="32"/>
  <c r="N59" i="32"/>
  <c r="N51" i="32"/>
  <c r="N43" i="32"/>
  <c r="N35" i="32"/>
  <c r="N27" i="32"/>
  <c r="N19" i="32"/>
  <c r="N11" i="32"/>
  <c r="N3" i="32"/>
  <c r="N2" i="32"/>
  <c r="H2" i="31"/>
  <c r="D29" i="14"/>
  <c r="B35" i="14" s="1"/>
  <c r="E30" i="14"/>
  <c r="C36" i="14" s="1"/>
  <c r="E2" i="10"/>
  <c r="E4" i="10" s="1"/>
  <c r="F4" i="10" s="1"/>
  <c r="G4" i="10" s="1"/>
  <c r="B52" i="25"/>
  <c r="A85" i="12"/>
  <c r="E31" i="14"/>
  <c r="C37" i="14" s="1"/>
  <c r="F31" i="14"/>
  <c r="D37" i="14" s="1"/>
  <c r="B33" i="7"/>
  <c r="F33" i="7"/>
  <c r="E29" i="14"/>
  <c r="C35" i="14" s="1"/>
  <c r="F30" i="14"/>
  <c r="D36" i="14" s="1"/>
  <c r="C33" i="7"/>
  <c r="G33" i="7"/>
  <c r="E33" i="7"/>
  <c r="B13" i="2"/>
  <c r="H13" i="2" s="1"/>
  <c r="H2" i="8"/>
  <c r="H4" i="8" s="1"/>
  <c r="F13" i="2"/>
  <c r="D33" i="7"/>
  <c r="D31" i="14"/>
  <c r="B37" i="14"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<sst xmlns="http://schemas.openxmlformats.org/spreadsheetml/2006/main" count="18132" uniqueCount="7679">
  <si>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</si>
  <si>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</si>
  <si>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</si>
  <si>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</si>
  <si>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</si>
  <si>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</si>
  <si>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</si>
  <si>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</si>
  <si>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</si>
  <si>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</si>
  <si>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</si>
  <si>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</si>
  <si>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</si>
  <si>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</si>
  <si>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</si>
  <si>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</si>
  <si>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</si>
  <si>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</si>
  <si>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</si>
  <si>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</si>
  <si>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</si>
  <si>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</si>
  <si>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</si>
  <si>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</si>
  <si>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</si>
  <si>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</si>
  <si>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</si>
  <si>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</si>
  <si>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</si>
  <si>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</si>
  <si>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</si>
  <si>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</si>
  <si>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</si>
  <si>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</si>
  <si>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</si>
  <si>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</si>
  <si>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</si>
  <si>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</si>
  <si>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</si>
  <si>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</si>
  <si>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</si>
  <si>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</si>
  <si>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</si>
  <si>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</si>
  <si>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</si>
  <si>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</si>
  <si>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</si>
  <si>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</si>
  <si>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</si>
  <si>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</si>
  <si>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</si>
  <si>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</si>
  <si>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</si>
  <si>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</si>
  <si>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</si>
  <si>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</si>
  <si>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</si>
  <si>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</si>
  <si>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</si>
  <si>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</si>
  <si>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</si>
  <si>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</si>
  <si>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</si>
  <si>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</si>
  <si>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</si>
  <si>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</si>
  <si>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</si>
  <si>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</si>
  <si>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</si>
  <si>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</si>
  <si>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</si>
  <si>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</si>
  <si>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</si>
  <si>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</si>
  <si>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</si>
  <si>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</si>
  <si>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</si>
  <si>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</si>
  <si>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</si>
  <si>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</si>
  <si>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</si>
  <si>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</si>
  <si>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</si>
  <si>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</si>
  <si>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</si>
  <si>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</si>
  <si>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</si>
  <si>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</si>
  <si>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</si>
  <si>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</si>
  <si>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</si>
  <si>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</si>
  <si>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</si>
  <si>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</si>
  <si>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</si>
  <si>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</si>
  <si>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</si>
  <si>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</si>
  <si>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</si>
  <si>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</si>
  <si>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</si>
  <si>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</si>
  <si>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</si>
  <si>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</si>
  <si>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</si>
  <si>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</si>
  <si>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</si>
  <si>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</si>
  <si>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</si>
  <si>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</si>
  <si>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</si>
  <si>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</si>
  <si>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</si>
  <si>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</si>
  <si>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</si>
  <si>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</si>
  <si>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</si>
  <si>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</si>
  <si>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</si>
  <si>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</si>
  <si>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</si>
  <si>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</si>
  <si>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</si>
  <si>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</si>
  <si>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</si>
  <si>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</si>
  <si>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</si>
  <si>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</si>
  <si>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</si>
  <si>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</si>
  <si>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</si>
  <si>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</si>
  <si>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</si>
  <si>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</si>
  <si>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</si>
  <si>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</si>
  <si>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</si>
  <si>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</si>
  <si>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</si>
  <si>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</si>
  <si>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</si>
  <si>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</si>
  <si>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</si>
  <si>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</si>
  <si>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</si>
  <si>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</si>
  <si>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</si>
  <si>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</si>
  <si>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</si>
  <si>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</si>
  <si>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</si>
  <si>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</si>
  <si>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</si>
  <si>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</si>
  <si>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</si>
  <si>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</si>
  <si>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</si>
  <si>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</si>
  <si>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</si>
  <si>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</si>
  <si>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</si>
  <si>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</si>
  <si>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</si>
  <si>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</si>
  <si>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</si>
  <si>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</si>
  <si>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</si>
  <si>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</si>
  <si>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</si>
  <si>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</si>
  <si>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</si>
  <si>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</si>
  <si>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</si>
  <si>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</si>
  <si>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</si>
  <si>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</si>
  <si>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</si>
  <si>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</si>
  <si>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</si>
  <si>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</si>
  <si>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</si>
  <si>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</si>
  <si>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</si>
  <si>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</si>
  <si>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</si>
  <si>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</si>
  <si>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</si>
  <si>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</si>
  <si>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</si>
  <si>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</si>
  <si>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</si>
  <si>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</si>
  <si>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</si>
  <si>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</si>
  <si>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</si>
  <si>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</si>
  <si>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</si>
  <si>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</si>
  <si>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</si>
  <si>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</si>
  <si>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</si>
  <si>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</si>
  <si>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</si>
  <si>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</si>
  <si>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</si>
  <si>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</si>
  <si>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</si>
  <si>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</si>
  <si>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</si>
  <si>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</si>
  <si>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</si>
  <si>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</si>
  <si>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</si>
  <si>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</si>
  <si>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</si>
  <si>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</si>
  <si>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</si>
  <si>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</si>
  <si>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</si>
  <si>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</si>
  <si>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</si>
  <si>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</si>
  <si>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</si>
  <si>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</si>
  <si>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</si>
  <si>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</si>
  <si>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</si>
  <si>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</si>
  <si>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</si>
  <si>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</si>
  <si>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</si>
  <si>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</si>
  <si>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</si>
  <si>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</si>
  <si>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</si>
  <si>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</si>
  <si>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</si>
  <si>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</si>
  <si>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</si>
  <si>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</si>
  <si>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</si>
  <si>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</si>
  <si>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</si>
  <si>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</si>
  <si>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</si>
  <si>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</si>
  <si>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</si>
  <si>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</si>
  <si>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</si>
  <si>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</si>
  <si>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</si>
  <si>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</si>
  <si>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</si>
  <si>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</si>
  <si>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</si>
  <si>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</si>
  <si>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</si>
  <si>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</si>
  <si>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</si>
  <si>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</si>
  <si>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</si>
  <si>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</si>
  <si>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</si>
  <si>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</si>
  <si>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</si>
  <si>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</si>
  <si>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</si>
  <si>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</si>
  <si>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</si>
  <si>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</si>
  <si>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</si>
  <si>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</si>
  <si>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</si>
  <si>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</si>
  <si>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</si>
  <si>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</si>
  <si>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</si>
  <si>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</si>
  <si>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</si>
  <si>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</si>
  <si>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</si>
  <si>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</si>
  <si>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</si>
  <si>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</si>
  <si>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</si>
  <si>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</si>
  <si>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</si>
  <si>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</si>
  <si>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</si>
  <si>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</si>
  <si>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</si>
  <si>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</si>
  <si>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</si>
  <si>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</si>
  <si>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</si>
  <si>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</si>
  <si>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</si>
  <si>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</si>
  <si>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</si>
  <si>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</si>
  <si>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</si>
  <si>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</si>
  <si>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</si>
  <si>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</si>
  <si>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</si>
  <si>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</si>
  <si>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</si>
  <si>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</si>
  <si>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</si>
  <si>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</si>
  <si>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</si>
  <si>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</si>
  <si>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</si>
  <si>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</si>
  <si>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</si>
  <si>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</si>
  <si>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</si>
  <si>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</si>
  <si>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</si>
  <si>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</si>
  <si>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</si>
  <si>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</si>
  <si>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</si>
  <si>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</si>
  <si>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</si>
  <si>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</si>
  <si>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</si>
  <si>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</si>
  <si>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</si>
  <si>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</si>
  <si>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</si>
  <si>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</si>
  <si>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</si>
  <si>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</si>
  <si>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</si>
  <si>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</si>
  <si>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</si>
  <si>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</si>
  <si>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</si>
  <si>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</si>
  <si>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</si>
  <si>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</si>
  <si>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</si>
  <si>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</si>
  <si>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</si>
  <si>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</si>
  <si>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</si>
  <si>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</si>
  <si>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</si>
  <si>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</si>
  <si>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</si>
  <si>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</si>
  <si>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</si>
  <si>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</si>
  <si>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</si>
  <si>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</si>
  <si>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</si>
  <si>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</si>
  <si>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</si>
  <si>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</si>
  <si>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</si>
  <si>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</si>
  <si>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</si>
  <si>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</si>
  <si>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</si>
  <si>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</si>
  <si>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</si>
  <si>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</si>
  <si>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</si>
  <si>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</si>
  <si>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</si>
  <si>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</si>
  <si>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</si>
  <si>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</si>
  <si>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</si>
  <si>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</si>
  <si>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</si>
  <si>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</si>
  <si>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</si>
  <si>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</si>
  <si>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</si>
  <si>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</si>
  <si>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</si>
  <si>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</si>
  <si>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</si>
  <si>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</si>
  <si>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</si>
  <si>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</si>
  <si>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</si>
  <si>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</si>
  <si>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</si>
  <si>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</si>
  <si>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</si>
  <si>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</si>
  <si>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</si>
  <si>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</si>
  <si>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</si>
  <si>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</si>
  <si>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</si>
  <si>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</si>
  <si>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</si>
  <si>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</si>
  <si>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</si>
  <si>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</si>
  <si>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</si>
  <si>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</si>
  <si>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</si>
  <si>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</si>
  <si>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</si>
  <si>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</si>
  <si>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</si>
  <si>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</si>
  <si>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</si>
  <si>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</si>
  <si>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</si>
  <si>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</si>
  <si>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</si>
  <si>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</si>
  <si>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</si>
  <si>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</si>
  <si>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</si>
  <si>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</si>
  <si>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</si>
  <si>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</si>
  <si>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</si>
  <si>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</si>
  <si>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</si>
  <si>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</si>
  <si>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</si>
  <si>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</si>
  <si>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</si>
  <si>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</si>
  <si>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</si>
  <si>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</si>
  <si>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</si>
  <si>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</si>
  <si>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</si>
  <si>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</si>
  <si>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</si>
  <si>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</si>
  <si>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</si>
  <si>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</si>
  <si>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</si>
  <si>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</si>
  <si>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</si>
  <si>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</si>
  <si>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</si>
  <si>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</si>
  <si>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</si>
  <si>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</si>
  <si>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</si>
  <si>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</si>
  <si>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</si>
  <si>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</si>
  <si>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</si>
  <si>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</si>
  <si>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</si>
  <si>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</si>
  <si>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</si>
  <si>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</si>
  <si>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</si>
  <si>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</si>
  <si>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</si>
  <si>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</si>
  <si>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</si>
  <si>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</si>
  <si>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</si>
  <si>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</si>
  <si>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</si>
  <si>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</si>
  <si>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</si>
  <si>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</si>
  <si>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</si>
  <si>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</si>
  <si>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</si>
  <si>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</si>
  <si>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</si>
  <si>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</si>
  <si>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</si>
  <si>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</si>
  <si>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</si>
  <si>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</si>
  <si>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</si>
  <si>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</si>
  <si>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</si>
  <si>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</si>
  <si>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</si>
  <si>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</si>
  <si>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</si>
  <si>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</si>
  <si>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</si>
  <si>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</si>
  <si>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</si>
  <si>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</si>
  <si>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</si>
  <si>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</si>
  <si>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</si>
  <si>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</si>
  <si>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</si>
  <si>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</si>
  <si>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</si>
  <si>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</si>
  <si>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</si>
  <si>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</si>
  <si>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</si>
  <si>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</si>
  <si>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</si>
  <si>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</si>
  <si>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</si>
  <si>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</si>
  <si>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</si>
  <si>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</si>
  <si>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</si>
  <si>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</si>
  <si>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</si>
  <si>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</si>
  <si>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</si>
  <si>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</si>
  <si>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</si>
  <si>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</si>
  <si>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</si>
  <si>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</si>
  <si>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</si>
  <si>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</si>
  <si>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</si>
  <si>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</si>
  <si>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</si>
  <si>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</si>
  <si>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</si>
  <si>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</si>
  <si>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</si>
  <si>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</si>
  <si>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</si>
  <si>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</si>
  <si>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</si>
  <si>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</si>
  <si>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</si>
  <si>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</si>
  <si>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</si>
  <si>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</si>
  <si>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</si>
  <si>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</si>
  <si>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</si>
  <si>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</si>
  <si>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</si>
  <si>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</si>
  <si>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</si>
  <si>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</si>
  <si>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</si>
  <si>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</si>
  <si>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</si>
  <si>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</si>
  <si>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</si>
  <si>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</si>
  <si>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</si>
  <si>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</si>
  <si>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</si>
  <si>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</si>
  <si>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</si>
  <si>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</si>
  <si>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</si>
  <si>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</si>
  <si>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</si>
  <si>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</si>
  <si>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</si>
  <si>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</si>
  <si>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</si>
  <si>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</si>
  <si>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</si>
  <si>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</si>
  <si>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</si>
  <si>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</si>
  <si>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</si>
  <si>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</si>
  <si>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</si>
  <si>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</si>
  <si>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</si>
  <si>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</si>
  <si>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</si>
  <si>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</si>
  <si>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</si>
  <si>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</si>
  <si>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</si>
  <si>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</si>
  <si>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</si>
  <si>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</si>
  <si>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</si>
  <si>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</si>
  <si>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</si>
  <si>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</si>
  <si>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</si>
  <si>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</si>
  <si>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</si>
  <si>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</si>
  <si>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</si>
  <si>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</si>
  <si>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</si>
  <si>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</si>
  <si>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</si>
  <si>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</si>
  <si>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</si>
  <si>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</si>
  <si>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</si>
  <si>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</si>
  <si>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</si>
  <si>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</si>
  <si>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</si>
  <si>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</si>
  <si>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</si>
  <si>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</si>
  <si>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</si>
  <si>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</si>
  <si>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</si>
  <si>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</si>
  <si>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</si>
  <si>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</si>
  <si>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</si>
  <si>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</si>
  <si>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</si>
  <si>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</si>
  <si>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</si>
  <si>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</si>
  <si>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</si>
  <si>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</si>
  <si>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</si>
  <si>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</si>
  <si>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</si>
  <si>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</si>
  <si>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</si>
  <si>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</si>
  <si>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</si>
  <si>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</si>
  <si>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</si>
  <si>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</si>
  <si>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</si>
  <si>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</si>
  <si>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</si>
  <si>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</si>
  <si>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</si>
  <si>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</si>
  <si>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</si>
  <si>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</si>
  <si>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</si>
  <si>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</si>
  <si>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</si>
  <si>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</si>
  <si>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</si>
  <si>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</si>
  <si>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</si>
  <si>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</si>
  <si>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</si>
  <si>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</si>
  <si>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</si>
  <si>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</si>
  <si>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</si>
  <si>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</si>
  <si>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</si>
  <si>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</si>
  <si>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</si>
  <si>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</si>
  <si>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</si>
  <si>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</si>
  <si>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</si>
  <si>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</si>
  <si>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</si>
  <si>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</si>
  <si>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</si>
  <si>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</si>
  <si>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</si>
  <si>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</si>
  <si>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</si>
  <si>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</si>
  <si>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</si>
  <si>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</si>
  <si>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</si>
  <si>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</si>
  <si>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</si>
  <si>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</si>
  <si>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</si>
  <si>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</si>
  <si>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</si>
  <si>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</si>
  <si>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</si>
  <si>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</si>
  <si>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</si>
  <si>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</si>
  <si>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</si>
  <si>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</si>
  <si>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</si>
  <si>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</si>
  <si>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</si>
  <si>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</si>
  <si>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</si>
  <si>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</si>
  <si>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</si>
  <si>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</si>
  <si>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</si>
  <si>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</si>
  <si>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</si>
  <si>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</si>
  <si>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</si>
  <si>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</si>
  <si>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</si>
  <si>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</si>
  <si>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</si>
  <si>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</si>
  <si>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</si>
  <si>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</si>
  <si>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</si>
  <si>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</si>
  <si>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</si>
  <si>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</si>
  <si>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</si>
  <si>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</si>
  <si>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</si>
  <si>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</si>
  <si>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</si>
  <si>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</si>
  <si>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</si>
  <si>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</si>
  <si>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</si>
  <si>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</si>
  <si>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</si>
  <si>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</si>
  <si>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</si>
  <si>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</si>
  <si>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</si>
  <si>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</si>
  <si>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</si>
  <si>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</si>
  <si>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</si>
  <si>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</si>
  <si>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</si>
  <si>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</si>
  <si>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</si>
  <si>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</si>
  <si>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</si>
  <si>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</si>
  <si>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</si>
  <si>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</si>
  <si>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</si>
  <si>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</si>
  <si>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</si>
  <si>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</si>
  <si>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</si>
  <si>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</si>
  <si>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</si>
  <si>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</si>
  <si>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</si>
  <si>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</si>
  <si>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</si>
  <si>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</si>
  <si>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</si>
  <si>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</si>
  <si>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</si>
  <si>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</si>
  <si>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</si>
  <si>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</si>
  <si>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</si>
  <si>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</si>
  <si>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</si>
  <si>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</si>
  <si>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</si>
  <si>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</si>
  <si>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</si>
  <si>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</si>
  <si>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</si>
  <si>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</si>
  <si>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</si>
  <si>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</si>
  <si>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</si>
  <si>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</si>
  <si>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</si>
  <si>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</si>
  <si>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</si>
  <si>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</si>
  <si>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</si>
  <si>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</si>
  <si>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</si>
  <si>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</si>
  <si>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</si>
  <si>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</si>
  <si>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</si>
  <si>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</si>
  <si>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</si>
  <si>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</si>
  <si>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</si>
  <si>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</si>
  <si>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</si>
  <si>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</si>
  <si>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</si>
  <si>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</si>
  <si>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</si>
  <si>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</si>
  <si>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</si>
  <si>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</si>
  <si>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</si>
  <si>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</si>
  <si>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</si>
  <si>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</si>
  <si>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</si>
  <si>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</si>
  <si>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</si>
  <si>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</si>
  <si>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</si>
  <si>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</si>
  <si>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</si>
  <si>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</si>
  <si>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</si>
  <si>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</si>
  <si>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</si>
  <si>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</si>
  <si>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</si>
  <si>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</si>
  <si>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</si>
  <si>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</si>
  <si>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</si>
  <si>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</si>
  <si>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</si>
  <si>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</si>
  <si>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</si>
  <si>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</si>
  <si>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</si>
  <si>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</si>
  <si>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</si>
  <si>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</si>
  <si>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</si>
  <si>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</si>
  <si>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</si>
  <si>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</si>
  <si>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</si>
  <si>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</si>
  <si>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</si>
  <si>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</si>
  <si>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</si>
  <si>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</si>
  <si>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</si>
  <si>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</si>
  <si>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</si>
  <si>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</si>
  <si>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</si>
  <si>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</si>
  <si>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</si>
  <si>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</si>
  <si>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</si>
  <si>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</si>
  <si>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</si>
  <si>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</si>
  <si>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</si>
  <si>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</si>
  <si>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</si>
  <si>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</si>
  <si>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</si>
  <si>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</si>
  <si>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</si>
  <si>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</si>
  <si>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</si>
  <si>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</si>
  <si>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</si>
  <si>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</si>
  <si>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</si>
  <si>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</si>
  <si>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</si>
  <si>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</si>
  <si>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</si>
  <si>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</si>
  <si>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</si>
  <si>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</si>
  <si>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</si>
  <si>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</si>
  <si>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</si>
  <si>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</si>
  <si>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</si>
  <si>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</si>
  <si>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</si>
  <si>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</si>
  <si>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</si>
  <si>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</si>
  <si>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</si>
  <si>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</si>
  <si>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</si>
  <si>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</si>
  <si>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</si>
  <si>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</si>
  <si>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</si>
  <si>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</si>
  <si>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</si>
  <si>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</si>
  <si>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</si>
  <si>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</si>
  <si>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</si>
  <si>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</si>
  <si>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</si>
  <si>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</si>
  <si>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</si>
  <si>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</si>
  <si>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</si>
  <si>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</si>
  <si>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</si>
  <si>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</si>
  <si>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</si>
  <si>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</si>
  <si>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</si>
  <si>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</si>
  <si>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</si>
  <si>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</si>
  <si>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</si>
  <si>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</si>
  <si>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</si>
  <si>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</si>
  <si>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</si>
  <si>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</si>
  <si>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</si>
  <si>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</si>
  <si>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</si>
  <si>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</si>
  <si>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</si>
  <si>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</si>
  <si>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</si>
  <si>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</si>
  <si>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</si>
  <si>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</si>
  <si>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</si>
  <si>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</si>
  <si>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</si>
  <si>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</si>
  <si>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</si>
  <si>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</si>
  <si>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</si>
  <si>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</si>
  <si>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</si>
  <si>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</si>
  <si>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</si>
  <si>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</si>
  <si>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</si>
  <si>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</si>
  <si>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</si>
  <si>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</si>
  <si>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</si>
  <si>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</si>
  <si>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</si>
  <si>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</si>
  <si>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</si>
  <si>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</si>
  <si>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</si>
  <si>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</si>
  <si>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</si>
  <si>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</si>
  <si>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</si>
  <si>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</si>
  <si>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</si>
  <si>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</si>
  <si>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</si>
  <si>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</si>
  <si>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</si>
  <si>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</si>
  <si>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</si>
  <si>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</si>
  <si>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</si>
  <si>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</si>
  <si>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</si>
  <si>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</si>
  <si>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</si>
  <si>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</si>
  <si>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</si>
  <si>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</si>
  <si>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</si>
  <si>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</si>
  <si>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</si>
  <si>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</si>
  <si>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</si>
  <si>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</si>
  <si>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</si>
  <si>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</si>
  <si>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</si>
  <si>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</si>
  <si>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</si>
  <si>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</si>
  <si>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</si>
  <si>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</si>
  <si>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</si>
  <si>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</si>
  <si>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</si>
  <si>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</si>
  <si>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</si>
  <si>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</si>
  <si>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</si>
  <si>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</si>
  <si>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</si>
  <si>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</si>
  <si>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</si>
  <si>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</si>
  <si>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</si>
  <si>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</si>
  <si>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</si>
  <si>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</si>
  <si>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</si>
  <si>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</si>
  <si>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</si>
  <si>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</si>
  <si>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</si>
  <si>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</si>
  <si>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</si>
  <si>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</si>
  <si>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</si>
  <si>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</si>
  <si>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</si>
  <si>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</si>
  <si>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</si>
  <si>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</si>
  <si>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</si>
  <si>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</si>
  <si>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</si>
  <si>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</si>
  <si>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</si>
  <si>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</si>
  <si>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</si>
  <si>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</si>
  <si>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</si>
  <si>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</si>
  <si>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</si>
  <si>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</si>
  <si>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</si>
  <si>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</si>
  <si>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</si>
  <si>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</si>
  <si>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</si>
  <si>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</si>
  <si>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</si>
  <si>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</si>
  <si>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</si>
  <si>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</si>
  <si>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</si>
  <si>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</si>
  <si>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</si>
  <si>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</si>
  <si>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</si>
  <si>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</si>
  <si>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</si>
  <si>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</si>
  <si>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</si>
  <si>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</si>
  <si>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</si>
  <si>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</si>
  <si>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</si>
  <si>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</si>
  <si>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</si>
  <si>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</si>
  <si>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</si>
  <si>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</si>
  <si>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</si>
  <si>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</si>
  <si>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</si>
  <si>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</si>
  <si>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</si>
  <si>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</si>
  <si>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</si>
  <si>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</si>
  <si>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</si>
  <si>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</si>
  <si>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</si>
  <si>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</si>
  <si>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</si>
  <si>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</si>
  <si>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</si>
  <si>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</si>
  <si>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</si>
  <si>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</si>
  <si>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</si>
  <si>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</si>
  <si>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</si>
  <si>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</si>
  <si>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</si>
  <si>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</si>
  <si>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</si>
  <si>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</si>
  <si>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</si>
  <si>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</si>
  <si>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</si>
  <si>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</si>
  <si>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</si>
  <si>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</si>
  <si>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</si>
  <si>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</si>
  <si>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</si>
  <si>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</si>
  <si>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</si>
  <si>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</si>
  <si>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</si>
  <si>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</si>
  <si>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</si>
  <si>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</si>
  <si>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</si>
  <si>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</si>
  <si>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</si>
  <si>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</si>
  <si>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</si>
  <si>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</si>
  <si>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</si>
  <si>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</si>
  <si>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</si>
  <si>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</si>
  <si>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</si>
  <si>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</si>
  <si>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</si>
  <si>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</si>
  <si>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</si>
  <si>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</si>
  <si>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</si>
  <si>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</si>
  <si>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</si>
  <si>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</si>
  <si>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</si>
  <si>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</si>
  <si>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</si>
  <si>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</si>
  <si>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</si>
  <si>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</si>
  <si>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</si>
  <si>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</si>
  <si>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</si>
  <si>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</si>
  <si>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</si>
  <si>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</si>
  <si>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</si>
  <si>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</si>
  <si>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</si>
  <si>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</si>
  <si>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</si>
  <si>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</si>
  <si>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</si>
  <si>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</si>
  <si>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</si>
  <si>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</si>
  <si>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</si>
  <si>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</si>
  <si>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</si>
  <si>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</si>
  <si>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</si>
  <si>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</si>
  <si>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</si>
  <si>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</si>
  <si>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</si>
  <si>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</si>
  <si>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</si>
  <si>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</si>
  <si>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</si>
  <si>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</si>
  <si>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</si>
  <si>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</si>
  <si>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</si>
  <si>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</si>
  <si>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</si>
  <si>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</si>
  <si>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</si>
  <si>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</si>
  <si>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</si>
  <si>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</si>
  <si>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</si>
  <si>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</si>
  <si>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</si>
  <si>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</si>
  <si>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</si>
  <si>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</si>
  <si>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</si>
  <si>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</si>
  <si>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</si>
  <si>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</si>
  <si>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</si>
  <si>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</si>
  <si>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</si>
  <si>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</si>
  <si>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</si>
  <si>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</si>
  <si>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</si>
  <si>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</si>
  <si>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</si>
  <si>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</si>
  <si>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</si>
  <si>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</si>
  <si>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</si>
  <si>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</si>
  <si>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</si>
  <si>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</si>
  <si>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</si>
  <si>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</si>
  <si>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</si>
  <si>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</si>
  <si>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</si>
  <si>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</si>
  <si>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</si>
  <si>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</si>
  <si>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</si>
  <si>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</si>
  <si>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</si>
  <si>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</si>
  <si>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</si>
  <si>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</si>
  <si>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</si>
  <si>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</si>
  <si>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</si>
  <si>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</si>
  <si>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</si>
  <si>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</si>
  <si>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</si>
  <si>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</si>
  <si>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</si>
  <si>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</si>
  <si>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</si>
  <si>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</si>
  <si>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</si>
  <si>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</si>
  <si>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</si>
  <si>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</si>
  <si>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</si>
  <si>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</si>
  <si>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</si>
  <si>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</si>
  <si>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</si>
  <si>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</si>
  <si>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</si>
  <si>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</si>
  <si>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</si>
  <si>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</si>
  <si>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</si>
  <si>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</si>
  <si>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</si>
  <si>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</si>
  <si>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</si>
  <si>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</si>
  <si>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</si>
  <si>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</si>
  <si>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</si>
  <si>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</si>
  <si>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</si>
  <si>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</si>
  <si>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</si>
  <si>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</si>
  <si>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</si>
  <si>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</si>
  <si>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</si>
  <si>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</si>
  <si>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</si>
  <si>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</si>
  <si>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</si>
  <si>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</si>
  <si>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</si>
  <si>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</si>
  <si>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</si>
  <si>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</si>
  <si>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</si>
  <si>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</si>
  <si>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</si>
  <si>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</si>
  <si>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</si>
  <si>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</si>
  <si>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</si>
  <si>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</si>
  <si>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</si>
  <si>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</si>
  <si>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</si>
  <si>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</si>
  <si>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</si>
  <si>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</si>
  <si>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</si>
  <si>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</si>
  <si>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</si>
  <si>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</si>
  <si>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</si>
  <si>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</si>
  <si>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</si>
  <si>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</si>
  <si>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</si>
  <si>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</si>
  <si>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</si>
  <si>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</si>
  <si>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</si>
  <si>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</si>
  <si>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</si>
  <si>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</si>
  <si>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</si>
  <si>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</si>
  <si>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</si>
  <si>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</si>
  <si>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</si>
  <si>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</si>
  <si>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</si>
  <si>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</si>
  <si>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</si>
  <si>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</si>
  <si>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</si>
  <si>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</si>
  <si>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</si>
  <si>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</si>
  <si>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</si>
  <si>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</si>
  <si>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</si>
  <si>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</si>
  <si>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</si>
  <si>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</si>
  <si>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</si>
  <si>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</si>
  <si>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</si>
  <si>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</si>
  <si>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</si>
  <si>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</si>
  <si>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</si>
  <si>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</si>
  <si>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</si>
  <si>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</si>
  <si>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</si>
  <si>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</si>
  <si>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</si>
  <si>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</si>
  <si>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</si>
  <si>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</si>
  <si>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</si>
  <si>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</si>
  <si>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</si>
  <si>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</si>
  <si>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</si>
  <si>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</si>
  <si>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</si>
  <si>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</si>
  <si>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</si>
  <si>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</si>
  <si>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</si>
  <si>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</si>
  <si>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</si>
  <si>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</si>
  <si>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</si>
  <si>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</si>
  <si>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</si>
  <si>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</si>
  <si>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</si>
  <si>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</si>
  <si>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</si>
  <si>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</si>
  <si>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</si>
  <si>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</si>
  <si>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</si>
  <si>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</si>
  <si>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</si>
  <si>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</si>
  <si>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</si>
  <si>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</si>
  <si>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</si>
  <si>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</si>
  <si>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</si>
  <si>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</si>
  <si>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</si>
  <si>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</si>
  <si>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</si>
  <si>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</si>
  <si>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</si>
  <si>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</si>
  <si>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</si>
  <si>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</si>
  <si>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</si>
  <si>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</si>
  <si>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</si>
  <si>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</si>
  <si>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</si>
  <si>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</si>
  <si>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</si>
  <si>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</si>
  <si>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</si>
  <si>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</si>
  <si>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</si>
  <si>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</si>
  <si>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</si>
  <si>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</si>
  <si>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</si>
  <si>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</si>
  <si>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</si>
  <si>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</si>
  <si>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</si>
  <si>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</si>
  <si>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</si>
  <si>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</si>
  <si>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</si>
  <si>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</si>
  <si>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</si>
  <si>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</si>
  <si>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</si>
  <si>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</si>
  <si>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</si>
  <si>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</si>
  <si>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</si>
  <si>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</si>
  <si>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</si>
  <si>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</si>
  <si>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</si>
  <si>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</si>
  <si>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</si>
  <si>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</si>
  <si>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</si>
  <si>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</si>
  <si>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</si>
  <si>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</si>
  <si>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</si>
  <si>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</si>
  <si>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</si>
  <si>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</si>
  <si>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</si>
  <si>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</si>
  <si>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</si>
  <si>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</si>
  <si>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</si>
  <si>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</si>
  <si>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</si>
  <si>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</si>
  <si>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</si>
  <si>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</si>
  <si>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</si>
  <si>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</si>
  <si>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</si>
  <si>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</si>
  <si>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</si>
  <si>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</si>
  <si>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</si>
  <si>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</si>
  <si>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</si>
  <si>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</si>
  <si>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</si>
  <si>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</si>
  <si>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</si>
  <si>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</si>
  <si>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</si>
  <si>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</si>
  <si>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</si>
  <si>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</si>
  <si>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</si>
  <si>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</si>
  <si>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</si>
  <si>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</si>
  <si>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</si>
  <si>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</si>
  <si>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</si>
  <si>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</si>
  <si>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</si>
  <si>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</si>
  <si>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</si>
  <si>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</si>
  <si>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</si>
  <si>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</si>
  <si>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</si>
  <si>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</si>
  <si>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</si>
  <si>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</si>
  <si>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</si>
  <si>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</si>
  <si>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</si>
  <si>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</si>
  <si>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</si>
  <si>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</si>
  <si>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</si>
  <si>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</si>
  <si>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</si>
  <si>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</si>
  <si>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</si>
  <si>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</si>
  <si>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</si>
  <si>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</si>
  <si>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</si>
  <si>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</si>
  <si>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</si>
  <si>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</si>
  <si>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</si>
  <si>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</si>
  <si>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</si>
  <si>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</si>
  <si>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</si>
  <si>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</si>
  <si>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</si>
  <si>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</si>
  <si>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</si>
  <si>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</si>
  <si>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</si>
  <si>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</si>
  <si>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</si>
  <si>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</si>
  <si>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</si>
  <si>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</si>
  <si>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</si>
  <si>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</si>
  <si>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</si>
  <si>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</si>
  <si>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</si>
  <si>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</si>
  <si>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</si>
  <si>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</si>
  <si>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</si>
  <si>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</si>
  <si>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</si>
  <si>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</si>
  <si>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</si>
  <si>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</si>
  <si>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</si>
  <si>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</si>
  <si>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</si>
  <si>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</si>
  <si>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</si>
  <si>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</si>
  <si>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</si>
  <si>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</si>
  <si>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</si>
  <si>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</si>
  <si>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</si>
  <si>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</si>
  <si>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</si>
  <si>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</si>
  <si>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</si>
  <si>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</si>
  <si>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</si>
  <si>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</si>
  <si>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</si>
  <si>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</si>
  <si>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</si>
  <si>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</si>
  <si>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</si>
  <si>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</si>
  <si>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</si>
  <si>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</si>
  <si>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</si>
  <si>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</si>
  <si>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</si>
  <si>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</si>
  <si>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</si>
  <si>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</si>
  <si>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</si>
  <si>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</si>
  <si>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</si>
  <si>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</si>
  <si>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</si>
  <si>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</si>
  <si>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</si>
  <si>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</si>
  <si>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</si>
  <si>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</si>
  <si>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</si>
  <si>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</si>
  <si>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</si>
  <si>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</si>
  <si>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</si>
  <si>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</si>
  <si>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</si>
  <si>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</si>
  <si>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</si>
  <si>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</si>
  <si>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</si>
  <si>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</si>
  <si>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</si>
  <si>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</si>
  <si>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</si>
  <si>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</si>
  <si>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</si>
  <si>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</si>
  <si>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</si>
  <si>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</si>
  <si>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</si>
  <si>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</si>
  <si>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</si>
  <si>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</si>
  <si>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</si>
  <si>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</si>
  <si>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</si>
  <si>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</si>
  <si>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</si>
  <si>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</si>
  <si>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</si>
  <si>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</si>
  <si>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</si>
  <si>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</si>
  <si>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</si>
  <si>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</si>
  <si>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</si>
  <si>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</si>
  <si>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</si>
  <si>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</si>
  <si>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</si>
  <si>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</si>
  <si>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</si>
  <si>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</si>
  <si>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</si>
  <si>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</si>
  <si>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</si>
  <si>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</si>
  <si>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</si>
  <si>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</si>
  <si>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</si>
  <si>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</si>
  <si>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</si>
  <si>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</si>
  <si>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</si>
  <si>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</si>
  <si>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</si>
  <si>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</si>
  <si>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</si>
  <si>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</si>
  <si>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</si>
  <si>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</si>
  <si>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</si>
  <si>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</si>
  <si>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</si>
  <si>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</si>
  <si>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</si>
  <si>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</si>
  <si>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</si>
  <si>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</si>
  <si>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</si>
  <si>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</si>
  <si>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</si>
  <si>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</si>
  <si>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</si>
  <si>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</si>
  <si>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</si>
  <si>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</si>
  <si>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</si>
  <si>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</si>
  <si>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</si>
  <si>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</si>
  <si>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</si>
  <si>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</si>
  <si>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</si>
  <si>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</si>
  <si>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</si>
  <si>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</si>
  <si>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</si>
  <si>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</si>
  <si>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</si>
  <si>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</si>
  <si>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</si>
  <si>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</si>
  <si>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</si>
  <si>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</si>
  <si>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</si>
  <si>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</si>
  <si>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</si>
  <si>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</si>
  <si>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</si>
  <si>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</si>
  <si>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</si>
  <si>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</si>
  <si>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</si>
  <si>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</si>
  <si>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</si>
  <si>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</si>
  <si>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</si>
  <si>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</si>
  <si>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</si>
  <si>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</si>
  <si>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</si>
  <si>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</si>
  <si>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</si>
  <si>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</si>
  <si>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</si>
  <si>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</si>
  <si>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</si>
  <si>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</si>
  <si>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</si>
  <si>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</si>
  <si>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</si>
  <si>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</si>
  <si>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</si>
  <si>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</si>
  <si>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</si>
  <si>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</si>
  <si>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</si>
  <si>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</si>
  <si>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</si>
  <si>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</si>
  <si>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</si>
  <si>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</si>
  <si>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</si>
  <si>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</si>
  <si>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</si>
  <si>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</si>
  <si>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</si>
  <si>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</si>
  <si>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</si>
  <si>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</si>
  <si>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</si>
  <si>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</si>
  <si>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</si>
  <si>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</si>
  <si>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</si>
  <si>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</si>
  <si>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</si>
  <si>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</si>
  <si>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</si>
  <si>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</si>
  <si>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</si>
  <si>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</si>
  <si>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</si>
  <si>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</si>
  <si>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</si>
  <si>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</si>
  <si>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</si>
  <si>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</si>
  <si>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</si>
  <si>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</si>
  <si>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</si>
  <si>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</si>
  <si>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</si>
  <si>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</si>
  <si>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</si>
  <si>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</si>
  <si>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</si>
  <si>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</si>
  <si>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</si>
  <si>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</si>
  <si>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</si>
  <si>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</si>
  <si>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</si>
  <si>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</si>
  <si>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</si>
  <si>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</si>
  <si>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</si>
  <si>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</si>
  <si>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</si>
  <si>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</si>
  <si>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</si>
  <si>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</si>
  <si>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</si>
  <si>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</si>
  <si>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</si>
  <si>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</si>
  <si>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</si>
  <si>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</si>
  <si>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</si>
  <si>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</si>
  <si>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</si>
  <si>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</si>
  <si>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</si>
  <si>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</si>
  <si>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</si>
  <si>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</si>
  <si>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</si>
  <si>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</si>
  <si>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</si>
  <si>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</si>
  <si>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</si>
  <si>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</si>
  <si>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</si>
  <si>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</si>
  <si>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</si>
  <si>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</si>
  <si>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</si>
  <si>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</si>
  <si>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</si>
  <si>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</si>
  <si>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</si>
  <si>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</si>
  <si>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</si>
  <si>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</si>
  <si>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</si>
  <si>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</si>
  <si>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</si>
  <si>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</si>
  <si>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</si>
  <si>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</si>
  <si>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</si>
  <si>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</si>
  <si>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</si>
  <si>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</si>
  <si>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</si>
  <si>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</si>
  <si>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</si>
  <si>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</si>
  <si>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</si>
  <si>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</si>
  <si>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</si>
  <si>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</si>
  <si>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</si>
  <si>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</si>
  <si>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</si>
  <si>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</si>
  <si>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</si>
  <si>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</si>
  <si>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</si>
  <si>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</si>
  <si>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</si>
  <si>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</si>
  <si>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</si>
  <si>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</si>
  <si>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</si>
  <si>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</si>
  <si>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</si>
  <si>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</si>
  <si>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</si>
  <si>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</si>
  <si>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</si>
  <si>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</si>
  <si>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</si>
  <si>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</si>
  <si>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</si>
  <si>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</si>
  <si>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</si>
  <si>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</si>
  <si>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</si>
  <si>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</si>
  <si>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</si>
  <si>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</si>
  <si>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</si>
  <si>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</si>
  <si>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</si>
  <si>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</si>
  <si>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</si>
  <si>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</si>
  <si>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</si>
  <si>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</si>
  <si>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</si>
  <si>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</si>
  <si>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</si>
  <si>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</si>
  <si>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</si>
  <si>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</si>
  <si>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</si>
  <si>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</si>
  <si>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</si>
  <si>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</si>
  <si>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</si>
  <si>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</si>
  <si>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</si>
  <si>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</si>
  <si>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</si>
  <si>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</si>
  <si>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</si>
  <si>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</si>
  <si>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</si>
  <si>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</si>
  <si>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</si>
  <si>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</si>
  <si>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</si>
  <si>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</si>
  <si>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</si>
  <si>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</si>
  <si>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</si>
  <si>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</si>
  <si>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</si>
  <si>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</si>
  <si>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</si>
  <si>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</si>
  <si>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</si>
  <si>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</si>
  <si>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</si>
  <si>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</si>
  <si>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</si>
  <si>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</si>
  <si>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</si>
  <si>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</si>
  <si>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</si>
  <si>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</si>
  <si>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</si>
  <si>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</si>
  <si>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</si>
  <si>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</si>
  <si>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</si>
  <si>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</si>
  <si>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</si>
  <si>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</si>
  <si>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</si>
  <si>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</si>
  <si>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</si>
  <si>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</si>
  <si>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</si>
  <si>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</si>
  <si>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</si>
  <si>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</si>
  <si>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</si>
  <si>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</si>
  <si>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</si>
  <si>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</si>
  <si>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</si>
  <si>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</si>
  <si>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</si>
  <si>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</si>
  <si>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</si>
  <si>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</si>
  <si>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</si>
  <si>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</si>
  <si>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</si>
  <si>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</si>
  <si>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</si>
  <si>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</si>
  <si>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</si>
  <si>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</si>
  <si>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</si>
  <si>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</si>
  <si>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</si>
  <si>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</si>
  <si>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</si>
  <si>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</si>
  <si>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</si>
  <si>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</si>
  <si>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</si>
  <si>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</si>
  <si>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</si>
  <si>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</si>
  <si>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</si>
  <si>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</si>
  <si>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</si>
  <si>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</si>
  <si>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</si>
  <si>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</si>
  <si>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</si>
  <si>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</si>
  <si>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</si>
  <si>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</si>
  <si>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</si>
  <si>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</si>
  <si>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</si>
  <si>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</si>
  <si>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</si>
  <si>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</si>
  <si>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</si>
  <si>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</si>
  <si>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</si>
  <si>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</si>
  <si>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</si>
  <si>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</si>
  <si>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</si>
  <si>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</si>
  <si>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</si>
  <si>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</si>
  <si>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</si>
  <si>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</si>
  <si>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</si>
  <si>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</si>
  <si>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</si>
  <si>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</si>
  <si>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</si>
  <si>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</si>
  <si>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</si>
  <si>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</si>
  <si>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</si>
  <si>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</si>
  <si>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</si>
  <si>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</si>
  <si>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</si>
  <si>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</si>
  <si>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</si>
  <si>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</si>
  <si>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</si>
  <si>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</si>
  <si>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</si>
  <si>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</si>
  <si>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</si>
  <si>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</si>
  <si>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</si>
  <si>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</si>
  <si>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</si>
  <si>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</si>
  <si>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</si>
  <si>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</si>
  <si>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</si>
  <si>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</si>
  <si>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</si>
  <si>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</si>
  <si>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</si>
  <si>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</si>
  <si>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</si>
  <si>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</si>
  <si>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</si>
  <si>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</si>
  <si>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</si>
  <si>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</si>
  <si>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</si>
  <si>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</si>
  <si>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</si>
  <si>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</si>
  <si>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</si>
  <si>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</si>
  <si>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</si>
  <si>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</si>
  <si>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</si>
  <si>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</si>
  <si>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</si>
  <si>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</si>
  <si>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</si>
  <si>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</si>
  <si>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</si>
  <si>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</si>
  <si>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</si>
  <si>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</si>
  <si>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</si>
  <si>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</si>
  <si>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</si>
  <si>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</si>
  <si>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</si>
  <si>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</si>
  <si>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</si>
  <si>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</si>
  <si>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</si>
  <si>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</si>
  <si>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</si>
  <si>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</si>
  <si>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</si>
  <si>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</si>
  <si>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</si>
  <si>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</si>
  <si>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</si>
  <si>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</si>
  <si>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</si>
  <si>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</si>
  <si>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</si>
  <si>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</si>
  <si>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</si>
  <si>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</si>
  <si>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</si>
  <si>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</si>
  <si>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</si>
  <si>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</si>
  <si>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</si>
  <si>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</si>
  <si>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</si>
  <si>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</si>
  <si>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</si>
  <si>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</si>
  <si>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</si>
  <si>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</si>
  <si>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</si>
  <si>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</si>
  <si>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</si>
  <si>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</si>
  <si>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</si>
  <si>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</si>
  <si>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</si>
  <si>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</si>
  <si>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</si>
  <si>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</si>
  <si>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</si>
  <si>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</si>
  <si>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</si>
  <si>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</si>
  <si>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</si>
  <si>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</si>
  <si>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</si>
  <si>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</si>
  <si>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</si>
  <si>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</si>
  <si>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</si>
  <si>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</si>
  <si>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</si>
  <si>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</si>
  <si>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</si>
  <si>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</si>
  <si>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</si>
  <si>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</si>
  <si>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</si>
  <si>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</si>
  <si>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</si>
  <si>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</si>
  <si>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</si>
  <si>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</si>
  <si>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</si>
  <si>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</si>
  <si>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</si>
  <si>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</si>
  <si>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</si>
  <si>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</si>
  <si>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</si>
  <si>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</si>
  <si>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</si>
  <si>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</si>
  <si>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</si>
  <si>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</si>
  <si>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</si>
  <si>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</si>
  <si>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</si>
  <si>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</si>
  <si>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</si>
  <si>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</si>
  <si>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</si>
  <si>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</si>
  <si>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</si>
  <si>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</si>
  <si>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</si>
  <si>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</si>
  <si>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</si>
  <si>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</si>
  <si>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</si>
  <si>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</si>
  <si>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</si>
  <si>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</si>
  <si>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</si>
  <si>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</si>
  <si>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</si>
  <si>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</si>
  <si>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</si>
  <si>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</si>
  <si>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</si>
  <si>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</si>
  <si>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</si>
  <si>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</si>
  <si>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</si>
  <si>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</si>
  <si>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</si>
  <si>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</si>
  <si>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</si>
  <si>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</si>
  <si>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</si>
  <si>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</si>
  <si>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</si>
  <si>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</si>
  <si>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</si>
  <si>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</si>
  <si>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</si>
  <si>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</si>
  <si>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</si>
  <si>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</si>
  <si>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</si>
  <si>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</si>
  <si>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</si>
  <si>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</si>
  <si>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</si>
  <si>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</si>
  <si>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</si>
  <si>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</si>
  <si>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</si>
  <si>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</si>
  <si>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</si>
  <si>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</si>
  <si>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</si>
  <si>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</si>
  <si>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</si>
  <si>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</si>
  <si>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</si>
  <si>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</si>
  <si>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</si>
  <si>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</si>
  <si>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</si>
  <si>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</si>
  <si>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</si>
  <si>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</si>
  <si>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</si>
  <si>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</si>
  <si>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</si>
  <si>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</si>
  <si>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</si>
  <si>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</si>
  <si>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</si>
  <si>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</si>
  <si>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</si>
  <si>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</si>
  <si>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</si>
  <si>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</si>
  <si>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</si>
  <si>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</si>
  <si>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</si>
  <si>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</si>
  <si>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</si>
  <si>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</si>
  <si>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</si>
  <si>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</si>
  <si>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</si>
  <si>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</si>
  <si>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</si>
  <si>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</si>
  <si>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</si>
  <si>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</si>
  <si>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</si>
  <si>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</si>
  <si>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</si>
  <si>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</si>
  <si>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</si>
  <si>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</si>
  <si>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</si>
  <si>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</si>
  <si>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</si>
  <si>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</si>
  <si>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</si>
  <si>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</si>
  <si>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</si>
  <si>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</si>
  <si>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</si>
  <si>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</si>
  <si>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</si>
  <si>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</si>
  <si>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</si>
  <si>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</si>
  <si>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</si>
  <si>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</si>
  <si>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</si>
  <si>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</si>
  <si>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</si>
  <si>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</si>
  <si>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</si>
  <si>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</si>
  <si>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</si>
  <si>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</si>
  <si>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</si>
  <si>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</si>
  <si>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</si>
  <si>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</si>
  <si>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</si>
  <si>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</si>
  <si>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</si>
  <si>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</si>
  <si>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</si>
  <si>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</si>
  <si>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</si>
  <si>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</si>
  <si>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</si>
  <si>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</si>
  <si>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</si>
  <si>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</si>
  <si>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</si>
  <si>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</si>
  <si>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</si>
  <si>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</si>
  <si>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</si>
  <si>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</si>
  <si>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</si>
  <si>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</si>
  <si>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</si>
  <si>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</si>
  <si>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</si>
  <si>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</si>
  <si>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</si>
  <si>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</si>
  <si>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</si>
  <si>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</si>
  <si>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</si>
  <si>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</si>
  <si>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</si>
  <si>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</si>
  <si>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</si>
  <si>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</si>
  <si>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</si>
  <si>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</si>
  <si>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</si>
  <si>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</si>
  <si>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</si>
  <si>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</si>
  <si>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</si>
  <si>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</si>
  <si>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</si>
  <si>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</si>
  <si>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</si>
  <si>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</si>
  <si>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</si>
  <si>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</si>
  <si>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</si>
  <si>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</si>
  <si>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</si>
  <si>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</si>
  <si>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</si>
  <si>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</si>
  <si>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</si>
  <si>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</si>
  <si>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</si>
  <si>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</si>
  <si>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</si>
  <si>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</si>
  <si>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</si>
  <si>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</si>
  <si>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</si>
  <si>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</si>
  <si>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</si>
  <si>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</si>
  <si>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</si>
  <si>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</si>
  <si>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</si>
  <si>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</si>
  <si>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</si>
  <si>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</si>
  <si>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</si>
  <si>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</si>
  <si>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</si>
  <si>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</si>
  <si>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</si>
  <si>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</si>
  <si>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</si>
  <si>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</si>
  <si>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</si>
  <si>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</si>
  <si>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</si>
  <si>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</si>
  <si>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</si>
  <si>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</si>
  <si>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</si>
  <si>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</si>
  <si>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</si>
  <si>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</si>
  <si>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</si>
  <si>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</si>
  <si>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</si>
  <si>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</si>
  <si>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</si>
  <si>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</si>
  <si>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</si>
  <si>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</si>
  <si>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</si>
  <si>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</si>
  <si>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</si>
  <si>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</si>
  <si>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</si>
  <si>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</si>
  <si>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</si>
  <si>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</si>
  <si>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</si>
  <si>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</si>
  <si>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</si>
  <si>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</si>
  <si>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</si>
  <si>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</si>
  <si>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</si>
  <si>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</si>
  <si>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</si>
  <si>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</si>
  <si>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</si>
  <si>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</si>
  <si>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</si>
  <si>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</si>
  <si>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</si>
  <si>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</si>
  <si>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</si>
  <si>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</si>
  <si>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</si>
  <si>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</si>
  <si>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</si>
  <si>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</si>
  <si>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</si>
  <si>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</si>
  <si>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</si>
  <si>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</si>
  <si>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</si>
  <si>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</si>
  <si>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</si>
  <si>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</si>
  <si>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</si>
  <si>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</si>
  <si>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</si>
  <si>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</si>
  <si>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</si>
  <si>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</si>
  <si>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</si>
  <si>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</si>
  <si>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</si>
  <si>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</si>
  <si>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</si>
  <si>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</si>
  <si>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</si>
  <si>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</si>
  <si>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</si>
  <si>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</si>
  <si>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</si>
  <si>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</si>
  <si>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</si>
  <si>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</si>
  <si>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</si>
  <si>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</si>
  <si>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</si>
  <si>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</si>
  <si>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</si>
  <si>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</si>
  <si>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</si>
  <si>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</si>
  <si>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</si>
  <si>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</si>
  <si>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</si>
  <si>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</si>
  <si>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</si>
  <si>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</si>
  <si>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</si>
  <si>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</si>
  <si>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</si>
  <si>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</si>
  <si>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</si>
  <si>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</si>
  <si>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</si>
  <si>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</si>
  <si>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</si>
  <si>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</si>
  <si>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</si>
  <si>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</si>
  <si>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</si>
  <si>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</si>
  <si>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</si>
  <si>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</si>
  <si>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</si>
  <si>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</si>
  <si>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</si>
  <si>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</si>
  <si>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</si>
  <si>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</si>
  <si>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</si>
  <si>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</si>
  <si>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</si>
  <si>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</si>
  <si>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</si>
  <si>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</si>
  <si>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</si>
  <si>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</si>
  <si>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</si>
  <si>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</si>
  <si>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</si>
  <si>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</si>
  <si>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</si>
  <si>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</si>
  <si>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</si>
  <si>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</si>
  <si>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</si>
  <si>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</si>
  <si>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</si>
  <si>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</si>
  <si>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</si>
  <si>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</si>
  <si>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</si>
  <si>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</si>
  <si>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</si>
  <si>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</si>
  <si>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</si>
  <si>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</si>
  <si>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</si>
  <si>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</si>
  <si>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</si>
  <si>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</si>
  <si>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</si>
  <si>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</si>
  <si>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</si>
  <si>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</si>
  <si>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</si>
  <si>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</si>
  <si>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</si>
  <si>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</si>
  <si>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</si>
  <si>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</si>
  <si>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</si>
  <si>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</si>
  <si>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</si>
  <si>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</si>
  <si>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</si>
  <si>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</si>
  <si>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</si>
  <si>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</si>
  <si>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</si>
  <si>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</si>
  <si>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</si>
  <si>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</si>
  <si>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</si>
  <si>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</si>
  <si>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</si>
  <si>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</si>
  <si>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</si>
  <si>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</si>
  <si>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</si>
  <si>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</si>
  <si>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</si>
  <si>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</si>
  <si>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</si>
  <si>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</si>
  <si>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</si>
  <si>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</si>
  <si>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</si>
  <si>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</si>
  <si>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</si>
  <si>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</si>
  <si>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</si>
  <si>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</si>
  <si>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</si>
  <si>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</si>
  <si>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</si>
  <si>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</si>
  <si>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</si>
  <si>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</si>
  <si>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</si>
  <si>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</si>
  <si>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</si>
  <si>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</si>
  <si>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</si>
  <si>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</si>
  <si>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</si>
  <si>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</si>
  <si>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</si>
  <si>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</si>
  <si>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</si>
  <si>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</si>
  <si>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</si>
  <si>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</si>
  <si>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</si>
  <si>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</si>
  <si>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</si>
  <si>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</si>
  <si>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</si>
  <si>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</si>
  <si>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</si>
  <si>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</si>
  <si>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</si>
  <si>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</si>
  <si>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</si>
  <si>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</si>
  <si>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</si>
  <si>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</si>
  <si>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</si>
  <si>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</si>
  <si>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</si>
  <si>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</si>
  <si>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</si>
  <si>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</si>
  <si>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</si>
  <si>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</si>
  <si>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</si>
  <si>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</si>
  <si>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</si>
  <si>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</si>
  <si>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</si>
  <si>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</si>
  <si>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</si>
  <si>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</si>
  <si>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</si>
  <si>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</si>
  <si>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</si>
  <si>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</si>
  <si>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</si>
  <si>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</si>
  <si>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</si>
  <si>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</si>
  <si>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</si>
  <si>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</si>
  <si>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</si>
  <si>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</si>
  <si>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</si>
  <si>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</si>
  <si>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</si>
  <si>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</si>
  <si>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</si>
  <si>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</si>
  <si>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</si>
  <si>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</si>
  <si>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</si>
  <si>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</si>
  <si>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</si>
  <si>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</si>
  <si>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</si>
  <si>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</si>
  <si>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</si>
  <si>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</si>
  <si>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</si>
  <si>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</si>
  <si>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</si>
  <si>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</si>
  <si>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</si>
  <si>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</si>
  <si>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</si>
  <si>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</si>
  <si>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</si>
  <si>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</si>
  <si>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</si>
  <si>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</si>
  <si>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</si>
  <si>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</si>
  <si>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</si>
  <si>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</si>
  <si>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</si>
  <si>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</si>
  <si>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</si>
  <si>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</si>
  <si>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</si>
  <si>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</si>
  <si>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</si>
  <si>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</si>
  <si>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</si>
  <si>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</si>
  <si>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</si>
  <si>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</si>
  <si>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</si>
  <si>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</si>
  <si>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</si>
  <si>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</si>
  <si>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</si>
  <si>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</si>
  <si>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</si>
  <si>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</si>
  <si>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</si>
  <si>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</si>
  <si>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</si>
  <si>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</si>
  <si>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</si>
  <si>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</si>
  <si>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</si>
  <si>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</si>
  <si>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</si>
  <si>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</si>
  <si>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</si>
  <si>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</si>
  <si>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</si>
  <si>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</si>
  <si>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</si>
  <si>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</si>
  <si>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</si>
  <si>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</si>
  <si>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</si>
  <si>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</si>
  <si>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</si>
  <si>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</si>
  <si>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</si>
  <si>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</si>
  <si>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</si>
  <si>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</si>
  <si>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</si>
  <si>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</si>
  <si>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</si>
  <si>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</si>
  <si>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</si>
  <si>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</si>
  <si>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</si>
  <si>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</si>
  <si>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</si>
  <si>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</si>
  <si>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</si>
  <si>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</si>
  <si>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</si>
  <si>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</si>
  <si>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</si>
  <si>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</si>
  <si>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</si>
  <si>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</si>
  <si>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</si>
  <si>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</si>
  <si>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</si>
  <si>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</si>
  <si>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</si>
  <si>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</si>
  <si>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</si>
  <si>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</si>
  <si>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</si>
  <si>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</si>
  <si>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</si>
  <si>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</si>
  <si>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</si>
  <si>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</si>
  <si>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</si>
  <si>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</si>
  <si>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</si>
  <si>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</si>
  <si>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</si>
  <si>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</si>
  <si>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</si>
  <si>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</si>
  <si>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</si>
  <si>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</si>
  <si>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</si>
  <si>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</si>
  <si>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</si>
  <si>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</si>
  <si>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</si>
  <si>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</si>
  <si>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</si>
  <si>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</si>
  <si>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</si>
  <si>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</si>
  <si>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</si>
  <si>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</si>
  <si>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</si>
  <si>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</si>
  <si>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</si>
  <si>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</si>
  <si>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</si>
  <si>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</si>
  <si>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</si>
  <si>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</si>
  <si>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</si>
  <si>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</si>
  <si>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</si>
  <si>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</si>
  <si>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</si>
  <si>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</si>
  <si>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</si>
  <si>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</si>
  <si>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</si>
  <si>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</si>
  <si>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</si>
  <si>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</si>
  <si>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</si>
  <si>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</si>
  <si>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</si>
  <si>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</si>
  <si>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</si>
  <si>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</si>
  <si>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</si>
  <si>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</si>
  <si>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</si>
  <si>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</si>
  <si>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</si>
  <si>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</si>
  <si>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</si>
  <si>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</si>
  <si>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</si>
  <si>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</si>
  <si>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</si>
  <si>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</si>
  <si>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</si>
  <si>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</si>
  <si>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</si>
  <si>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</si>
  <si>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</si>
  <si>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</si>
  <si>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</si>
  <si>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</si>
  <si>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</si>
  <si>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</si>
  <si>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</si>
  <si>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</si>
  <si>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</si>
  <si>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</si>
  <si>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</si>
  <si>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</si>
  <si>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</si>
  <si>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</si>
  <si>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</si>
  <si>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</si>
  <si>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</si>
  <si>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</si>
  <si>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</si>
  <si>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</si>
  <si>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</si>
  <si>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</si>
  <si>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</si>
  <si>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</si>
  <si>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</si>
  <si>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</si>
  <si>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</si>
  <si>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</si>
  <si>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</si>
  <si>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</si>
  <si>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</si>
  <si>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</si>
  <si>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</si>
  <si>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</si>
  <si>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</si>
  <si>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</si>
  <si>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</si>
  <si>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</si>
  <si>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</si>
  <si>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</si>
  <si>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</si>
  <si>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</si>
  <si>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</si>
  <si>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</si>
  <si>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</si>
  <si>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</si>
  <si>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</si>
  <si>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</si>
  <si>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</si>
  <si>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</si>
  <si>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</si>
  <si>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</si>
  <si>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</si>
  <si>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</si>
  <si>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</si>
  <si>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</si>
  <si>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</si>
  <si>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</si>
  <si>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</si>
  <si>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</si>
  <si>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</si>
  <si>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</si>
  <si>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</si>
  <si>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</si>
  <si>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</si>
  <si>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</si>
  <si>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</si>
  <si>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</si>
  <si>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</si>
  <si>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</si>
  <si>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</si>
  <si>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</si>
  <si>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</si>
  <si>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</si>
  <si>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</si>
  <si>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</si>
  <si>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</si>
  <si>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</si>
  <si>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</si>
  <si>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</si>
  <si>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</si>
  <si>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</si>
  <si>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</si>
  <si>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</si>
  <si>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</si>
  <si>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</si>
  <si>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</si>
  <si>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</si>
  <si>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</si>
  <si>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</si>
  <si>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</si>
  <si>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</si>
  <si>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</si>
  <si>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</si>
  <si>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</si>
  <si>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</si>
  <si>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</si>
  <si>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</si>
  <si>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</si>
  <si>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</si>
  <si>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</si>
  <si>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</si>
  <si>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</si>
  <si>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</si>
  <si>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</si>
  <si>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</si>
  <si>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</si>
  <si>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</si>
  <si>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</si>
  <si>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</si>
  <si>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</si>
  <si>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</si>
  <si>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</si>
  <si>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</si>
  <si>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</si>
  <si>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</si>
  <si>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</si>
  <si>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</si>
  <si>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</si>
  <si>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</si>
  <si>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</si>
  <si>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</si>
  <si>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</si>
  <si>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</si>
  <si>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</si>
  <si>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</si>
  <si>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</si>
  <si>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</si>
  <si>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</si>
  <si>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</si>
  <si>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</si>
  <si>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</si>
  <si>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</si>
  <si>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</si>
  <si>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</si>
  <si>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</si>
  <si>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</si>
  <si>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</si>
  <si>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</si>
  <si>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</si>
  <si>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</si>
  <si>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</si>
  <si>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</si>
  <si>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</si>
  <si>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</si>
  <si>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</si>
  <si>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</si>
  <si>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</si>
  <si>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</si>
  <si>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</si>
  <si>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</si>
  <si>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</si>
  <si>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</si>
  <si>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</si>
  <si>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</si>
  <si>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</si>
  <si>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</si>
  <si>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</si>
  <si>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</si>
  <si>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</si>
  <si>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</si>
  <si>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</si>
  <si>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</si>
  <si>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</si>
  <si>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</si>
  <si>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</si>
  <si>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</si>
  <si>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</si>
  <si>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</si>
  <si>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</si>
  <si>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</si>
  <si>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</si>
  <si>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</si>
  <si>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</si>
  <si>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</si>
  <si>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</si>
  <si>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</si>
  <si>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</si>
  <si>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</si>
  <si>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</si>
  <si>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</si>
  <si>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</si>
  <si>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</si>
  <si>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</si>
  <si>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</si>
  <si>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</si>
  <si>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</si>
  <si>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</si>
  <si>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</si>
  <si>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</si>
  <si>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</si>
  <si>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</si>
  <si>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</si>
  <si>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</si>
  <si>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</si>
  <si>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</si>
  <si>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</si>
  <si>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</si>
  <si>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</si>
  <si>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</si>
  <si>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</si>
  <si>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</si>
  <si>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</si>
  <si>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</si>
  <si>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</si>
  <si>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</si>
  <si>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</si>
  <si>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</si>
  <si>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</si>
  <si>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</si>
  <si>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</si>
  <si>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</si>
  <si>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</si>
  <si>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</si>
  <si>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</si>
  <si>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</si>
  <si>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</si>
  <si>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</si>
  <si>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</si>
  <si>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</si>
  <si>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</si>
  <si>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</si>
  <si>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</si>
  <si>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</si>
  <si>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</si>
  <si>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</si>
  <si>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</si>
  <si>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</si>
  <si>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</si>
  <si>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</si>
  <si>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</si>
  <si>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</si>
  <si>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</si>
  <si>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</si>
  <si>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</si>
  <si>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</si>
  <si>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</si>
  <si>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</si>
  <si>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</si>
  <si>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</si>
  <si>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</si>
  <si>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</si>
  <si>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</si>
  <si>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</si>
  <si>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</si>
  <si>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</si>
  <si>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</si>
  <si>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</si>
  <si>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</si>
  <si>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</si>
  <si>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</si>
  <si>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</si>
  <si>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</si>
  <si>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</si>
  <si>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</si>
  <si>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</si>
  <si>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</si>
  <si>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</si>
  <si>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</si>
  <si>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</si>
  <si>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</si>
  <si>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</si>
  <si>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</si>
  <si>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</si>
  <si>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</si>
  <si>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</si>
  <si>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</si>
  <si>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</si>
  <si>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</si>
  <si>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</si>
  <si>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</si>
  <si>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</si>
  <si>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</si>
  <si>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</si>
  <si>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</si>
  <si>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</si>
  <si>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</si>
  <si>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</si>
  <si>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</si>
  <si>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</si>
  <si>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</si>
  <si>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</si>
  <si>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</si>
  <si>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</si>
  <si>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</si>
  <si>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</si>
  <si>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</si>
  <si>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</si>
  <si>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</si>
  <si>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</si>
  <si>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</si>
  <si>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</si>
  <si>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</si>
  <si>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</si>
  <si>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</si>
  <si>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</si>
  <si>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</si>
  <si>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</si>
  <si>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</si>
  <si>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</si>
  <si>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</si>
  <si>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</si>
  <si>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</si>
  <si>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</si>
  <si>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</si>
  <si>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</si>
  <si>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</si>
  <si>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</si>
  <si>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</si>
  <si>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</si>
  <si>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</si>
  <si>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</si>
  <si>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</si>
  <si>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</si>
  <si>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</si>
  <si>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</si>
  <si>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</si>
  <si>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</si>
  <si>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</si>
  <si>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</si>
  <si>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</si>
  <si>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</si>
  <si>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</si>
  <si>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</si>
  <si>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</si>
  <si>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</si>
  <si>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</si>
  <si>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</si>
  <si>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</si>
  <si>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</si>
  <si>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</si>
  <si>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</si>
  <si>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</si>
  <si>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</si>
  <si>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</si>
  <si>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</si>
  <si>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</si>
  <si>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</si>
  <si>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</si>
  <si>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</si>
  <si>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</si>
  <si>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</si>
  <si>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</si>
  <si>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</si>
  <si>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</si>
  <si>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</si>
  <si>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</si>
  <si>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</si>
  <si>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</si>
  <si>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</si>
  <si>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</si>
  <si>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</si>
  <si>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</si>
  <si>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</si>
  <si>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</si>
  <si>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</si>
  <si>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</si>
  <si>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</si>
  <si>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</si>
  <si>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</si>
  <si>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</si>
  <si>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</si>
  <si>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</si>
  <si>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</si>
  <si>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</si>
  <si>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</si>
  <si>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</si>
  <si>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</si>
  <si>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</si>
  <si>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</si>
  <si>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</si>
  <si>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</si>
  <si>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</si>
  <si>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</si>
  <si>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</si>
  <si>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</si>
  <si>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</si>
  <si>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</si>
  <si>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</si>
  <si>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</si>
  <si>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</si>
  <si>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</si>
  <si>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</si>
  <si>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</si>
  <si>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</si>
  <si>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</si>
  <si>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</si>
  <si>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</si>
  <si>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</si>
  <si>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</si>
  <si>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</si>
  <si>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</si>
  <si>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</si>
  <si>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</si>
  <si>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</si>
  <si>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</si>
  <si>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</si>
  <si>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</si>
  <si>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</si>
  <si>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</si>
  <si>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</si>
  <si>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</si>
  <si>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</si>
  <si>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</si>
  <si>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</si>
  <si>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</si>
  <si>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</si>
  <si>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</si>
  <si>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</si>
  <si>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</si>
  <si>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</si>
  <si>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</si>
  <si>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</si>
  <si>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</si>
  <si>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</si>
  <si>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</si>
  <si>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</si>
  <si>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</si>
  <si>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</si>
  <si>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</si>
  <si>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</si>
  <si>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</si>
  <si>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</si>
  <si>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</si>
  <si>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</si>
  <si>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</si>
  <si>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</si>
  <si>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</si>
  <si>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</si>
  <si>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</si>
  <si>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</si>
  <si>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</si>
  <si>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</si>
  <si>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</si>
  <si>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</si>
  <si>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</si>
  <si>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</si>
  <si>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</si>
  <si>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</si>
  <si>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</si>
  <si>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</si>
  <si>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</si>
  <si>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</si>
  <si>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</si>
  <si>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</si>
  <si>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</si>
  <si>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</si>
  <si>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</si>
  <si>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</si>
  <si>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</si>
  <si>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</si>
  <si>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</si>
  <si>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</si>
  <si>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</si>
  <si>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</si>
  <si>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</si>
  <si>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</si>
  <si>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</si>
  <si>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</si>
  <si>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</si>
  <si>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</si>
  <si>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</si>
  <si>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</si>
  <si>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</si>
  <si>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</si>
  <si>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</si>
  <si>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</si>
  <si>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</si>
  <si>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</si>
  <si>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</si>
  <si>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</si>
  <si>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</si>
  <si>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</si>
  <si>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</si>
  <si>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</si>
  <si>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</si>
  <si>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</si>
  <si>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</si>
  <si>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</si>
  <si>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</si>
  <si>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</si>
  <si>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</si>
  <si>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</si>
  <si>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</si>
  <si>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</si>
  <si>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</si>
  <si>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</si>
  <si>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</si>
  <si>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</si>
  <si>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</si>
  <si>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</si>
  <si>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</si>
  <si>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</si>
  <si>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</si>
  <si>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</si>
  <si>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</si>
  <si>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</si>
  <si>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</si>
  <si>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</si>
  <si>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</si>
  <si>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</si>
  <si>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</si>
  <si>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</si>
  <si>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</si>
  <si>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</si>
  <si>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</si>
  <si>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</si>
  <si>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</si>
  <si>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</si>
  <si>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</si>
  <si>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</si>
  <si>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</si>
  <si>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</si>
  <si>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</si>
  <si>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</si>
  <si>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</si>
  <si>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</si>
  <si>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</si>
  <si>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</si>
  <si>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</si>
  <si>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</si>
  <si>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</si>
  <si>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</si>
  <si>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</si>
  <si>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</si>
  <si>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</si>
  <si>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</si>
  <si>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</si>
  <si>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</si>
  <si>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</si>
  <si>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</si>
  <si>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</si>
  <si>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</si>
  <si>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</si>
  <si>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</si>
  <si>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</si>
  <si>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</si>
  <si>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</si>
  <si>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</si>
  <si>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</si>
  <si>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</si>
  <si>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</si>
  <si>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</si>
  <si>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</si>
  <si>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</si>
  <si>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</si>
  <si>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</si>
  <si>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</si>
  <si>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</si>
  <si>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</si>
  <si>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</si>
  <si>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</si>
  <si>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</si>
  <si>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</si>
  <si>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</si>
  <si>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</si>
  <si>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</si>
  <si>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</si>
  <si>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</si>
  <si>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</si>
  <si>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</si>
  <si>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</si>
  <si>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</si>
  <si>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</si>
  <si>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</si>
  <si>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</si>
  <si>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</si>
  <si>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</si>
  <si>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</si>
  <si>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</si>
  <si>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</si>
  <si>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</si>
  <si>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</si>
  <si>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</si>
  <si>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</si>
  <si>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</si>
  <si>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</si>
  <si>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</si>
  <si>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</si>
  <si>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</si>
  <si>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</si>
  <si>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</si>
  <si>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</si>
  <si>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</si>
  <si>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</si>
  <si>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</si>
  <si>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</si>
  <si>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</si>
  <si>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</si>
  <si>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</si>
  <si>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</si>
  <si>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</si>
  <si>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</si>
  <si>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</si>
  <si>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</si>
  <si>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</si>
  <si>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</si>
  <si>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</si>
  <si>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</si>
  <si>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</si>
  <si>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</si>
  <si>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</si>
  <si>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</si>
  <si>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</si>
  <si>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</si>
  <si>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</si>
  <si>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</si>
  <si>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</si>
  <si>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</si>
  <si>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</si>
  <si>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</si>
  <si>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</si>
  <si>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</si>
  <si>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</si>
  <si>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</si>
  <si>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</si>
  <si>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</si>
  <si>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</si>
  <si>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</si>
  <si>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</si>
  <si>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</si>
  <si>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</si>
  <si>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</si>
  <si>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</si>
  <si>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</si>
  <si>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</si>
  <si>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</si>
  <si>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</si>
  <si>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</si>
  <si>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</si>
  <si>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</si>
  <si>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</si>
  <si>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</si>
  <si>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</si>
  <si>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</si>
  <si>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</si>
  <si>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</si>
  <si>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</si>
  <si>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</si>
  <si>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</si>
  <si>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</si>
  <si>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</si>
  <si>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</si>
  <si>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</si>
  <si>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</si>
  <si>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</si>
  <si>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</si>
  <si>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</si>
  <si>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</si>
  <si>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</si>
  <si>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</si>
  <si>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</si>
  <si>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</si>
  <si>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</si>
  <si>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</si>
  <si>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</si>
  <si>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</si>
  <si>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</si>
  <si>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</si>
  <si>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</si>
  <si>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</si>
  <si>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</si>
  <si>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</si>
  <si>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</si>
  <si>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</si>
  <si>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</si>
  <si>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</si>
  <si>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</si>
  <si>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</si>
  <si>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</si>
  <si>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</si>
  <si>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</si>
  <si>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</si>
  <si>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</si>
  <si>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</si>
  <si>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</si>
  <si>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</si>
  <si>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</si>
  <si>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</si>
  <si>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</si>
  <si>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</si>
  <si>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</si>
  <si>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</si>
  <si>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</si>
  <si>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</si>
  <si>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</si>
  <si>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</si>
  <si>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</si>
  <si>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</si>
  <si>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</si>
  <si>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</si>
  <si>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</si>
  <si>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</si>
  <si>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</si>
  <si>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</si>
  <si>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</si>
  <si>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</si>
  <si>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</si>
  <si>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</si>
  <si>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</si>
  <si>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</si>
  <si>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</si>
  <si>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</si>
  <si>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</si>
  <si>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</si>
  <si>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</si>
  <si>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</si>
  <si>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</si>
  <si>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</si>
  <si>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</si>
  <si>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</si>
  <si>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</si>
  <si>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</si>
  <si>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</si>
  <si>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</si>
  <si>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</si>
  <si>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</si>
  <si>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</si>
  <si>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</si>
  <si>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</si>
  <si>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</si>
  <si>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</si>
  <si>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</si>
  <si>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</si>
  <si>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</si>
  <si>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</si>
  <si>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</si>
  <si>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</si>
  <si>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</si>
  <si>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</si>
  <si>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</si>
  <si>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</si>
  <si>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</si>
  <si>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</si>
  <si>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</si>
  <si>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</si>
  <si>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</si>
  <si>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</si>
  <si>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</si>
  <si>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</si>
  <si>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</si>
  <si>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</si>
  <si>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</si>
  <si>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</si>
  <si>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</si>
  <si>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</si>
  <si>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</si>
  <si>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</si>
  <si>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</si>
  <si>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</si>
  <si>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</si>
  <si>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</si>
  <si>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</si>
  <si>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</si>
  <si>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</si>
  <si>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</si>
  <si>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</si>
  <si>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</si>
  <si>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</si>
  <si>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</si>
  <si>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</si>
  <si>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</si>
  <si>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</si>
  <si>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</si>
  <si>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</si>
  <si>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</si>
  <si>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</si>
  <si>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</si>
  <si>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</si>
  <si>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</si>
  <si>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</si>
  <si>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</si>
  <si>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</si>
  <si>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</si>
  <si>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</si>
  <si>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</si>
  <si>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</si>
  <si>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</si>
  <si>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</si>
  <si>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</si>
  <si>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</si>
  <si>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</si>
  <si>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</si>
  <si>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</si>
  <si>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</si>
  <si>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</si>
  <si>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</si>
  <si>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</si>
  <si>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</si>
  <si>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</si>
  <si>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</si>
  <si>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</si>
  <si>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</si>
  <si>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</si>
  <si>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</si>
  <si>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</si>
  <si>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</si>
  <si>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</si>
  <si>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</si>
  <si>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</si>
  <si>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</si>
  <si>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</si>
  <si>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</si>
  <si>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</si>
  <si>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</si>
  <si>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</si>
  <si>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</si>
  <si>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</si>
  <si>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</si>
  <si>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</si>
  <si>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</si>
  <si>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</si>
  <si>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</si>
  <si>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</si>
  <si>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</si>
  <si>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</si>
  <si>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</si>
  <si>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</si>
  <si>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</si>
  <si>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</si>
  <si>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</si>
  <si>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</si>
  <si>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</si>
  <si>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</si>
  <si>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</si>
  <si>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</si>
  <si>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</si>
  <si>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</si>
  <si>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</si>
  <si>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</si>
  <si>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</si>
  <si>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</si>
  <si>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</si>
  <si>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</si>
  <si>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</si>
  <si>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</si>
  <si>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</si>
  <si>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</si>
  <si>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</si>
  <si>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</si>
  <si>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</si>
  <si>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</si>
  <si>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</si>
  <si>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</si>
  <si>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</si>
  <si>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</si>
  <si>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</si>
  <si>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</si>
  <si>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</si>
  <si>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</si>
  <si>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</si>
  <si>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</si>
  <si>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</si>
  <si>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</si>
  <si>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</si>
  <si>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</si>
  <si>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</si>
  <si>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</si>
  <si>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</si>
  <si>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</si>
  <si>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</si>
  <si>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</si>
  <si>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</si>
  <si>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</si>
  <si>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</si>
  <si>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</si>
  <si>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</si>
  <si>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</si>
  <si>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</si>
  <si>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</si>
  <si>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</si>
  <si>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</si>
  <si>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</si>
  <si>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</si>
  <si>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</si>
  <si>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</si>
  <si>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</si>
  <si>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</si>
  <si>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</si>
  <si>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</si>
  <si>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</si>
  <si>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</si>
  <si>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</si>
  <si>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</si>
  <si>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</si>
  <si>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</si>
  <si>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</si>
  <si>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</si>
  <si>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</si>
  <si>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</si>
  <si>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</si>
  <si>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</si>
  <si>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</si>
  <si>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</si>
  <si>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</si>
  <si>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</si>
  <si>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</si>
  <si>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</si>
  <si>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</si>
  <si>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</si>
  <si>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</si>
  <si>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</si>
  <si>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</si>
  <si>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</si>
  <si>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</si>
  <si>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</si>
  <si>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</si>
  <si>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</si>
  <si>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</si>
  <si>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</si>
  <si>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</si>
  <si>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</si>
  <si>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</si>
  <si>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</si>
  <si>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</si>
  <si>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</si>
  <si>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</si>
  <si>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</si>
  <si>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</si>
  <si>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</si>
  <si>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</si>
  <si>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</si>
  <si>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</si>
  <si>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</si>
  <si>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</si>
  <si>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</si>
  <si>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</si>
  <si>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</si>
  <si>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</si>
  <si>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</si>
  <si>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</si>
  <si>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</si>
  <si>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</si>
  <si>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</si>
  <si>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</si>
  <si>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</si>
  <si>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</si>
  <si>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</si>
  <si>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</si>
  <si>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</si>
  <si>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</si>
  <si>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</si>
  <si>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</si>
  <si>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</si>
  <si>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</si>
  <si>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</si>
  <si>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</si>
  <si>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</si>
  <si>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</si>
  <si>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</si>
  <si>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</si>
  <si>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</si>
  <si>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</si>
  <si>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</si>
  <si>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</si>
  <si>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</si>
  <si>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</si>
  <si>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</si>
  <si>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</si>
  <si>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</si>
  <si>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</si>
  <si>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</si>
  <si>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</si>
  <si>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</si>
  <si>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</si>
  <si>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</si>
  <si>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</si>
  <si>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</si>
  <si>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</si>
  <si>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</si>
  <si>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</si>
  <si>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</si>
  <si>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</si>
  <si>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</si>
  <si>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</si>
  <si>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</si>
  <si>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</si>
  <si>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</si>
  <si>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</si>
  <si>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</si>
  <si>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</si>
  <si>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</si>
  <si>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</si>
  <si>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</si>
  <si>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</si>
  <si>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</si>
  <si>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</si>
  <si>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</si>
  <si>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</si>
  <si>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</si>
  <si>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</si>
  <si>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</si>
  <si>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</si>
  <si>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</si>
  <si>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</si>
  <si>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</si>
  <si>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</si>
  <si>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</si>
  <si>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</si>
  <si>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</si>
  <si>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</si>
  <si>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</si>
  <si>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</si>
  <si>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</si>
  <si>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</si>
  <si>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</si>
  <si>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</si>
  <si>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</si>
  <si>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</si>
  <si>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</si>
  <si>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</si>
  <si>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</si>
  <si>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</si>
  <si>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</si>
  <si>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</si>
  <si>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</si>
  <si>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</si>
  <si>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</si>
  <si>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</si>
  <si>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</si>
  <si>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</si>
  <si>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</si>
  <si>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</si>
  <si>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</si>
  <si>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</si>
  <si>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</si>
  <si>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</si>
  <si>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</si>
  <si>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</si>
  <si>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</si>
  <si>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</si>
  <si>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</si>
  <si>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</si>
  <si>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</si>
  <si>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</si>
  <si>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</si>
  <si>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</si>
  <si>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</si>
  <si>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</si>
  <si>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</si>
  <si>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</si>
  <si>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</si>
  <si>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</si>
  <si>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</si>
  <si>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</si>
  <si>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</si>
  <si>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</si>
  <si>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</si>
  <si>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</si>
  <si>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</si>
  <si>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</si>
  <si>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</si>
  <si>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</si>
  <si>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</si>
  <si>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</si>
  <si>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</si>
  <si>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</si>
  <si>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</si>
  <si>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</si>
  <si>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</si>
  <si>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</si>
  <si>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</si>
  <si>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</si>
  <si>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</si>
  <si>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</si>
  <si>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</si>
  <si>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</si>
  <si>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</si>
  <si>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</si>
  <si>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</si>
  <si>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</si>
  <si>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</si>
  <si>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</si>
  <si>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</si>
  <si>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</si>
  <si>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</si>
  <si>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</si>
  <si>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</si>
  <si>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</si>
  <si>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</si>
  <si>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</si>
  <si>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</si>
  <si>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</si>
  <si>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</si>
  <si>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</si>
  <si>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</si>
  <si>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</si>
  <si>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</si>
  <si>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</si>
  <si>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</si>
  <si>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</si>
  <si>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</si>
  <si>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</si>
  <si>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</si>
  <si>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</si>
  <si>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</si>
  <si>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</si>
  <si>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</si>
  <si>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</si>
  <si>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</si>
  <si>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</si>
  <si>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</si>
  <si>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</si>
  <si>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</si>
  <si>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</si>
  <si>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</si>
  <si>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</si>
  <si>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</si>
  <si>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</si>
  <si>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</si>
  <si>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</si>
  <si>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</si>
  <si>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</si>
  <si>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</si>
  <si>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</si>
  <si>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</si>
  <si>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</si>
  <si>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</si>
  <si>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</si>
  <si>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</si>
  <si>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</si>
  <si>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</si>
  <si>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</si>
  <si>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</si>
  <si>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</si>
  <si>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</si>
  <si>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</si>
  <si>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</si>
  <si>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</si>
  <si>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</si>
  <si>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</si>
  <si>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</si>
  <si>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</si>
  <si>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</si>
  <si>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</si>
  <si>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</si>
  <si>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</si>
  <si>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</si>
  <si>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</si>
  <si>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</si>
  <si>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</si>
  <si>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</si>
  <si>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</si>
  <si>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</si>
  <si>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</si>
  <si>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</si>
  <si>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</si>
  <si>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</si>
  <si>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</si>
  <si>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</si>
  <si>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</si>
  <si>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</si>
  <si>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</si>
  <si>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</si>
  <si>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</si>
  <si>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</si>
  <si>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</si>
  <si>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</si>
  <si>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</si>
  <si>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</si>
  <si>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</si>
  <si>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</si>
  <si>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</si>
  <si>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</si>
  <si>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</si>
  <si>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</si>
  <si>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</si>
  <si>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</si>
  <si>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</si>
  <si>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</si>
  <si>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</si>
  <si>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</si>
  <si>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</si>
  <si>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</si>
  <si>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</si>
  <si>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</si>
  <si>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</si>
  <si>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</si>
  <si>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</si>
  <si>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</si>
  <si>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</si>
  <si>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</si>
  <si>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</si>
  <si>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</si>
  <si>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</si>
  <si>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</si>
  <si>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</si>
  <si>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</si>
  <si>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</si>
  <si>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</si>
  <si>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</si>
  <si>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</si>
  <si>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</si>
  <si>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</si>
  <si>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</si>
  <si>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</si>
  <si>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</si>
  <si>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</si>
  <si>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</si>
  <si>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</si>
  <si>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</si>
  <si>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</si>
  <si>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</si>
  <si>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</si>
  <si>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</si>
  <si>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</si>
  <si>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</si>
  <si>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</si>
  <si>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</si>
  <si>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</si>
  <si>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</si>
  <si>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</si>
  <si>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</si>
  <si>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</si>
  <si>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</si>
  <si>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</si>
  <si>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</si>
  <si>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</si>
  <si>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</si>
  <si>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</si>
  <si>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</si>
  <si>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</si>
  <si>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</si>
  <si>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</si>
  <si>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</si>
  <si>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</si>
  <si>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</si>
  <si>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</si>
  <si>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</si>
  <si>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</si>
  <si>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</si>
  <si>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</si>
  <si>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</si>
  <si>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</si>
  <si>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</si>
  <si>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</si>
  <si>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</si>
  <si>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</si>
  <si>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</si>
  <si>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</si>
  <si>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</si>
  <si>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</si>
  <si>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</si>
  <si>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</si>
  <si>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</si>
  <si>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</si>
  <si>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</si>
  <si>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</si>
  <si>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</si>
  <si>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</si>
  <si>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</si>
  <si>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</si>
  <si>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</si>
  <si>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</si>
  <si>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</si>
  <si>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</si>
  <si>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</si>
  <si>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</si>
  <si>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</si>
  <si>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</si>
  <si>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</si>
  <si>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</si>
  <si>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</si>
  <si>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</si>
  <si>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</si>
  <si>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</si>
  <si>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</si>
  <si>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</si>
  <si>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</si>
  <si>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</si>
  <si>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</si>
  <si>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</si>
  <si>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</si>
  <si>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</si>
  <si>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</si>
  <si>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</si>
  <si>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</si>
  <si>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</si>
  <si>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</si>
  <si>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</si>
  <si>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</si>
  <si>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</si>
  <si>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</si>
  <si>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</si>
  <si>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</si>
  <si>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</si>
  <si>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</si>
  <si>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</si>
  <si>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</si>
  <si>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</si>
  <si>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</si>
  <si>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</si>
  <si>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</si>
  <si>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</si>
  <si>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</si>
  <si>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</si>
  <si>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</si>
  <si>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</si>
  <si>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</si>
  <si>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</si>
  <si>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</si>
  <si>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</si>
  <si>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</si>
  <si>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</si>
  <si>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</si>
  <si>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</si>
  <si>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</si>
  <si>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</si>
  <si>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</si>
  <si>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</si>
  <si>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</si>
  <si>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</si>
  <si>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</si>
  <si>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</si>
  <si>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</si>
  <si>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</si>
  <si>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</si>
  <si>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</si>
  <si>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</si>
  <si>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</si>
  <si>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</si>
  <si>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</si>
  <si>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</si>
  <si>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</si>
  <si>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</si>
  <si>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</si>
  <si>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</si>
  <si>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</si>
  <si>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</si>
  <si>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</si>
  <si>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</si>
  <si>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</si>
  <si>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</si>
  <si>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</si>
  <si>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</si>
  <si>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</si>
  <si>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</si>
  <si>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</si>
  <si>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</si>
  <si>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</si>
  <si>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</si>
  <si>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</si>
  <si>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</si>
  <si>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</si>
  <si>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</si>
  <si>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</si>
  <si>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</si>
  <si>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</si>
  <si>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</si>
  <si>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</si>
  <si>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</si>
  <si>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</si>
  <si>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</si>
  <si>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</si>
  <si>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</si>
  <si>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</si>
  <si>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</si>
  <si>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</si>
  <si>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</si>
  <si>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</si>
  <si>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</si>
  <si>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</si>
  <si>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</si>
  <si>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</si>
  <si>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</si>
  <si>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</si>
  <si>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</si>
  <si>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</si>
  <si>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</si>
  <si>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</si>
  <si>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</si>
  <si>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</si>
  <si>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</si>
  <si>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</si>
  <si>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</si>
  <si>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</si>
  <si>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</si>
  <si>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</si>
  <si>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</si>
  <si>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</si>
  <si>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</si>
  <si>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</si>
  <si>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</si>
  <si>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</si>
  <si>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</si>
  <si>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</si>
  <si>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</si>
  <si>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</si>
  <si>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</si>
  <si>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</si>
  <si>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</si>
  <si>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</si>
  <si>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</si>
  <si>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</si>
  <si>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</si>
  <si>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</si>
  <si>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</si>
  <si>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</si>
  <si>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</si>
  <si>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</si>
  <si>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</si>
  <si>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</si>
  <si>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</si>
  <si>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</si>
  <si>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</si>
  <si>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</si>
  <si>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</si>
  <si>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</si>
  <si>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</si>
  <si>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</si>
  <si>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</si>
  <si>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</si>
  <si>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</si>
  <si>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</si>
  <si>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</si>
  <si>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</si>
  <si>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</si>
  <si>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</si>
  <si>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</si>
  <si>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</si>
  <si>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</si>
  <si>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</si>
  <si>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</si>
  <si>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</si>
  <si>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</si>
  <si>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</si>
  <si>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</si>
  <si>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</si>
  <si>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</si>
  <si>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</si>
  <si>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</si>
  <si>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</si>
  <si>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</si>
  <si>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</si>
  <si>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</si>
  <si>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</si>
  <si>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</si>
  <si>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</si>
  <si>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</si>
  <si>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</si>
  <si>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</si>
  <si>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</si>
  <si>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</si>
  <si>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</si>
  <si>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</si>
  <si>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</si>
  <si>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</si>
  <si>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</si>
  <si>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</si>
  <si>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</si>
  <si>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</si>
  <si>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</si>
  <si>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</si>
  <si>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</si>
  <si>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</si>
  <si>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</si>
  <si>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</si>
  <si>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</si>
  <si>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</si>
  <si>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</si>
  <si>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</si>
  <si>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</si>
  <si>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</si>
  <si>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</si>
  <si>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</si>
  <si>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</si>
  <si>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</si>
  <si>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</si>
  <si>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</si>
  <si>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</si>
  <si>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</si>
  <si>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</si>
  <si>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</si>
  <si>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</si>
  <si>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</si>
  <si>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</si>
  <si>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</si>
  <si>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</si>
  <si>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</si>
  <si>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</si>
  <si>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</si>
  <si>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</si>
  <si>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</si>
  <si>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</si>
  <si>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</si>
  <si>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</si>
  <si>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</si>
  <si>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</si>
  <si>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</si>
  <si>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</si>
  <si>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</si>
  <si>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</si>
  <si>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</si>
  <si>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</si>
  <si>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</si>
  <si>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</si>
  <si>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</si>
  <si>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</si>
  <si>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</si>
  <si>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</si>
  <si>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</si>
  <si>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</si>
  <si>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</si>
  <si>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</si>
  <si>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</si>
  <si>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</si>
  <si>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</si>
  <si>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</si>
  <si>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</si>
  <si>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</si>
  <si>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</si>
  <si>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</si>
  <si>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</si>
  <si>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</si>
  <si>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</si>
  <si>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</si>
  <si>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</si>
  <si>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</si>
  <si>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</si>
  <si>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</si>
  <si>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</si>
  <si>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</si>
  <si>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</si>
  <si>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</si>
  <si>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</si>
  <si>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</si>
  <si>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</si>
  <si>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</si>
  <si>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</si>
  <si>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</si>
  <si>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</si>
  <si>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</si>
  <si>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</si>
  <si>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</si>
  <si>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</si>
  <si>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</si>
  <si>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</si>
  <si>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</si>
  <si>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</si>
  <si>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</si>
  <si>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</si>
  <si>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</si>
  <si>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</si>
  <si>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</si>
  <si>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</si>
  <si>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</si>
  <si>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</si>
  <si>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</si>
  <si>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</si>
  <si>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</si>
  <si>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</si>
  <si>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</si>
  <si>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</si>
  <si>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</si>
  <si>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</si>
  <si>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</si>
  <si>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</si>
  <si>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</si>
  <si>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</si>
  <si>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</si>
  <si>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</si>
  <si>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</si>
  <si>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</si>
  <si>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</si>
  <si>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</si>
  <si>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</si>
  <si>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</si>
  <si>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</si>
  <si>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</si>
  <si>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</si>
  <si>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</si>
  <si>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</si>
  <si>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</si>
  <si>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</si>
  <si>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</si>
  <si>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</si>
  <si>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</si>
  <si>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</si>
  <si>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</si>
  <si>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</si>
  <si>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</si>
  <si>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</si>
  <si>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</si>
  <si>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</si>
  <si>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</si>
  <si>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</si>
  <si>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</si>
  <si>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</si>
  <si>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</si>
  <si>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</si>
  <si>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</si>
  <si>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</si>
  <si>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</si>
  <si>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</si>
  <si>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</si>
  <si>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</si>
  <si>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</si>
  <si>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</si>
  <si>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</si>
  <si>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</si>
  <si>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</si>
  <si>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</si>
  <si>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</si>
  <si>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</si>
  <si>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</si>
  <si>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</si>
  <si>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</si>
  <si>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</si>
  <si>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</si>
  <si>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</si>
  <si>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</si>
  <si>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</si>
  <si>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</si>
  <si>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</si>
  <si>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</si>
  <si>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</si>
  <si>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</si>
  <si>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</si>
  <si>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</si>
  <si>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</si>
  <si>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</si>
  <si>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</si>
  <si>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</si>
  <si>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</si>
  <si>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</si>
  <si>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</si>
  <si>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</si>
  <si>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</si>
  <si>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</si>
  <si>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</si>
  <si>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</si>
  <si>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</si>
  <si>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</si>
  <si>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</si>
  <si>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</si>
  <si>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</si>
  <si>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</si>
  <si>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</si>
  <si>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</si>
  <si>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</si>
  <si>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</si>
  <si>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</si>
  <si>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</si>
  <si>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</si>
  <si>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</si>
  <si>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</si>
  <si>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</si>
  <si>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</si>
  <si>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</si>
  <si>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</si>
  <si>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</si>
  <si>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</si>
  <si>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</si>
  <si>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</si>
  <si>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</si>
  <si>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</si>
  <si>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</si>
  <si>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</si>
  <si>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</si>
  <si>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</si>
  <si>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</si>
  <si>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</si>
  <si>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</si>
  <si>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</si>
  <si>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</si>
  <si>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</si>
  <si>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</si>
  <si>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</si>
  <si>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</si>
  <si>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</si>
  <si>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</si>
  <si>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</si>
  <si>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</si>
  <si>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</si>
  <si>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</si>
  <si>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</si>
  <si>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</si>
  <si>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</si>
  <si>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</si>
  <si>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</si>
  <si>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</si>
  <si>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</si>
  <si>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</si>
  <si>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</si>
  <si>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</si>
  <si>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</si>
  <si>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</si>
  <si>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</si>
  <si>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</si>
  <si>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</si>
  <si>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</si>
  <si>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</si>
  <si>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</si>
  <si>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</si>
  <si>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</si>
  <si>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</si>
  <si>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</si>
  <si>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</si>
  <si>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</si>
  <si>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</si>
  <si>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</si>
  <si>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</si>
  <si>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</si>
  <si>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</si>
  <si>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</si>
  <si>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</si>
  <si>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</si>
  <si>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</si>
  <si>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</si>
  <si>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</si>
  <si>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</si>
  <si>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</si>
  <si>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</si>
  <si>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</si>
  <si>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</si>
  <si>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</si>
  <si>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</si>
  <si>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</si>
  <si>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</si>
  <si>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</si>
  <si>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</si>
  <si>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</si>
  <si>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</si>
  <si>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</si>
  <si>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</si>
  <si>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</si>
  <si>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</si>
  <si>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</si>
  <si>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</si>
  <si>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</si>
  <si>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</si>
  <si>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</si>
  <si>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</si>
  <si>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</si>
  <si>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</si>
  <si>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</si>
  <si>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</si>
  <si>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</si>
  <si>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</si>
  <si>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</si>
  <si>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</si>
  <si>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</si>
  <si>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</si>
  <si>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</si>
  <si>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</si>
  <si>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</si>
  <si>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</si>
  <si>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</si>
  <si>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</si>
  <si>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</si>
  <si>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</si>
  <si>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</si>
  <si>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</si>
  <si>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</si>
  <si>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</si>
  <si>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</si>
  <si>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</si>
  <si>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</si>
  <si>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</si>
  <si>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</si>
  <si>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</si>
  <si>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</si>
  <si>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</si>
  <si>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</si>
  <si>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</si>
  <si>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</si>
  <si>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</si>
  <si>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</si>
  <si>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</si>
  <si>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</si>
  <si>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</si>
  <si>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</si>
  <si>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</si>
  <si>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</si>
  <si>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</si>
  <si>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</si>
  <si>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</si>
  <si>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</si>
  <si>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</si>
  <si>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</si>
  <si>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</si>
  <si>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</si>
  <si>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</si>
  <si>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</si>
  <si>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</si>
  <si>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</si>
  <si>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</si>
  <si>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</si>
  <si>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</si>
  <si>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</si>
  <si>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</si>
  <si>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</si>
  <si>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</si>
  <si>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</si>
  <si>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</si>
  <si>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</si>
  <si>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</si>
  <si>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</si>
  <si>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</si>
  <si>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</si>
  <si>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</si>
  <si>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</si>
  <si>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</si>
  <si>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</si>
  <si>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</si>
  <si>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</si>
  <si>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</si>
  <si>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</si>
  <si>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</si>
  <si>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</si>
  <si>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</si>
  <si>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</si>
  <si>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</si>
  <si>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</si>
  <si>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</si>
  <si>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</si>
  <si>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</si>
  <si>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</si>
  <si>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</si>
  <si>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</si>
  <si>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</si>
  <si>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</si>
  <si>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</si>
  <si>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</si>
  <si>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</si>
  <si>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</si>
  <si>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</si>
  <si>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</si>
  <si>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</si>
  <si>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</si>
  <si>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</si>
  <si>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</si>
  <si>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</si>
  <si>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</si>
  <si>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</si>
  <si>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</si>
  <si>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</si>
  <si>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</si>
  <si>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</si>
  <si>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</si>
  <si>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</si>
  <si>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</si>
  <si>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</si>
  <si>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</si>
  <si>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</si>
  <si>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</si>
  <si>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</si>
  <si>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</si>
  <si>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</si>
  <si>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</si>
  <si>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</si>
  <si>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</si>
  <si>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</si>
  <si>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</si>
  <si>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</si>
  <si>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</si>
  <si>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</si>
  <si>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</si>
  <si>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</si>
  <si>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</si>
  <si>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</si>
  <si>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</si>
  <si>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</si>
  <si>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</si>
  <si>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</si>
  <si>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</si>
  <si>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</si>
  <si>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</si>
  <si>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</si>
  <si>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</si>
  <si>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</si>
  <si>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</si>
  <si>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</si>
  <si>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</si>
  <si>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</si>
  <si>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</si>
  <si>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</si>
  <si>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</si>
  <si>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</si>
  <si>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</si>
  <si>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</si>
  <si>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</si>
  <si>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</si>
  <si>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</si>
  <si>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</si>
  <si>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</si>
  <si>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</si>
  <si>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</si>
  <si>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</si>
  <si>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</si>
  <si>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</si>
  <si>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</si>
  <si>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</si>
  <si>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</si>
  <si>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</si>
  <si>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</si>
  <si>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</si>
  <si>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</si>
  <si>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</si>
  <si>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</si>
  <si>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</si>
  <si>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</si>
  <si>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</si>
  <si>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</si>
  <si>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</si>
  <si>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</si>
  <si>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</si>
  <si>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</si>
  <si>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</si>
  <si>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</si>
  <si>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</si>
  <si>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</si>
  <si>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</si>
  <si>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</si>
  <si>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</si>
  <si>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</si>
  <si>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</si>
  <si>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</si>
  <si>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</si>
  <si>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</si>
  <si>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</si>
  <si>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</si>
  <si>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</si>
  <si>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</si>
  <si>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</si>
  <si>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</si>
  <si>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</si>
  <si>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</si>
  <si>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</si>
  <si>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</si>
  <si>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</si>
  <si>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</si>
  <si>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</si>
  <si>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</si>
  <si>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</si>
  <si>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</si>
  <si>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</si>
  <si>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</si>
  <si>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</si>
  <si>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</si>
  <si>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</si>
  <si>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</si>
  <si>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</si>
  <si>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</si>
  <si>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</si>
  <si>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</si>
  <si>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</si>
  <si>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</si>
  <si>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</si>
  <si>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</si>
  <si>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</si>
  <si>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</si>
  <si>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</si>
  <si>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</si>
  <si>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</si>
  <si>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</si>
  <si>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</si>
  <si>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</si>
  <si>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</si>
  <si>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</si>
  <si>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</si>
  <si>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</si>
  <si>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</si>
  <si>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</si>
  <si>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</si>
  <si>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</si>
  <si>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</si>
  <si>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</si>
  <si>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</si>
  <si>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</si>
  <si>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</si>
  <si>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</si>
  <si>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</si>
  <si>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</si>
  <si>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</si>
  <si>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</si>
  <si>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</si>
  <si>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</si>
  <si>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</si>
  <si>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</si>
  <si>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</si>
  <si>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</si>
  <si>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</si>
  <si>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</si>
  <si>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</si>
  <si>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</si>
  <si>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</si>
  <si>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</si>
  <si>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</si>
  <si>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</si>
  <si>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</si>
  <si>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</si>
  <si>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</si>
  <si>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</si>
  <si>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</si>
  <si>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</si>
  <si>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</si>
  <si>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</si>
  <si>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</si>
  <si>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</si>
  <si>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</si>
  <si>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</si>
  <si>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</si>
  <si>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</si>
  <si>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</si>
  <si>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</si>
  <si>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</si>
  <si>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</si>
  <si>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</si>
  <si>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</si>
  <si>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</si>
  <si>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</si>
  <si>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</si>
  <si>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</si>
  <si>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</si>
  <si>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</si>
  <si>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</si>
  <si>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</si>
  <si>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</si>
  <si>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</si>
  <si>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</si>
  <si>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</si>
  <si>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</si>
  <si>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</si>
  <si>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</si>
  <si>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</si>
  <si>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</si>
  <si>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</si>
  <si>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</si>
  <si>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</si>
  <si>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</si>
  <si>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</si>
  <si>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</si>
  <si>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</si>
  <si>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</si>
  <si>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</si>
  <si>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</si>
  <si>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</si>
  <si>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</si>
  <si>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</si>
  <si>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</si>
  <si>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</si>
  <si>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</si>
  <si>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</si>
  <si>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</si>
  <si>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</si>
  <si>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</si>
  <si>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</si>
  <si>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</si>
  <si>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</si>
  <si>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</si>
  <si>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</si>
  <si>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</si>
  <si>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</si>
  <si>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</si>
  <si>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</si>
  <si>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</si>
  <si>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</si>
  <si>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</si>
  <si>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</si>
  <si>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</si>
  <si>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</si>
  <si>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</si>
  <si>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</si>
  <si>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</si>
  <si>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</si>
  <si>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</si>
  <si>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</si>
  <si>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</si>
  <si>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</si>
  <si>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</si>
  <si>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</si>
  <si>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</si>
  <si>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</si>
  <si>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</si>
  <si>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</si>
  <si>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</si>
  <si>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</si>
  <si>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</si>
  <si>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</si>
  <si>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</si>
  <si>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</si>
  <si>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</si>
  <si>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</si>
  <si>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</si>
  <si>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</si>
  <si>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</si>
  <si>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</si>
  <si>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</si>
  <si>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</si>
  <si>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</si>
  <si>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</si>
  <si>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</si>
  <si>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</si>
  <si>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</si>
  <si>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</si>
  <si>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</si>
  <si>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</si>
  <si>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</si>
  <si>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</si>
  <si>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</si>
  <si>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</si>
  <si>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</si>
  <si>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</si>
  <si>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</si>
  <si>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</si>
  <si>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</si>
  <si>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</si>
  <si>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</si>
  <si>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</si>
  <si>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</si>
  <si>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</si>
  <si>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</si>
  <si>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</si>
  <si>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</si>
  <si>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</si>
  <si>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</si>
  <si>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</si>
  <si>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</si>
  <si>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</si>
  <si>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</si>
  <si>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</si>
  <si>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</si>
  <si>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</si>
  <si>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</si>
  <si>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</si>
  <si>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</si>
  <si>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</si>
  <si>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</si>
  <si>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</si>
  <si>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</si>
  <si>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</si>
  <si>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</si>
  <si>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</si>
  <si>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</si>
  <si>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</si>
  <si>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</si>
  <si>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</si>
  <si>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</si>
  <si>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</si>
  <si>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</si>
  <si>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</si>
  <si>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</si>
  <si>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</si>
  <si>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</si>
  <si>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</si>
  <si>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</si>
  <si>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</si>
  <si>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</si>
  <si>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</si>
  <si>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</si>
  <si>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</si>
  <si>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</si>
  <si>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</si>
  <si>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</si>
  <si>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</si>
  <si>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</si>
  <si>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</si>
  <si>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</si>
  <si>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</si>
  <si>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</si>
  <si>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</si>
  <si>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</si>
  <si>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</si>
  <si>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</si>
  <si>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</si>
  <si>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</si>
  <si>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</si>
  <si>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</si>
  <si>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</si>
  <si>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</si>
  <si>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</si>
  <si>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</si>
  <si>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</si>
  <si>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</si>
  <si>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</si>
  <si>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</si>
  <si>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</si>
  <si>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</si>
  <si>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</si>
  <si>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</si>
  <si>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</si>
  <si>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</si>
  <si>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</si>
  <si>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</si>
  <si>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</si>
  <si>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</si>
  <si>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</si>
  <si>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</si>
  <si>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</si>
  <si>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</si>
  <si>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</si>
  <si>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</si>
  <si>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</si>
  <si>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</si>
  <si>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</si>
  <si>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</si>
  <si>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</si>
  <si>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</si>
  <si>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</si>
  <si>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</si>
  <si>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</si>
  <si>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</si>
  <si>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</si>
  <si>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</si>
  <si>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</si>
  <si>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</si>
  <si>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</si>
  <si>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</si>
  <si>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</si>
  <si>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</si>
  <si>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</si>
  <si>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</si>
  <si>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</si>
  <si>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</si>
  <si>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</si>
  <si>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</si>
  <si>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</si>
  <si>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</si>
  <si>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</si>
  <si>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</si>
  <si>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</si>
  <si>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</si>
  <si>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</si>
  <si>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</si>
  <si>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</si>
  <si>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</si>
  <si>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</si>
  <si>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</si>
  <si>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</si>
  <si>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</si>
  <si>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</si>
  <si>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</si>
  <si>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</si>
  <si>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</si>
  <si>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</si>
  <si>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</si>
  <si>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</si>
  <si>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</si>
  <si>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</si>
  <si>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</si>
  <si>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</si>
  <si>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</si>
  <si>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</si>
  <si>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</si>
  <si>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</si>
  <si>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</si>
  <si>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</si>
  <si>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</si>
  <si>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</si>
  <si>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</si>
  <si>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</si>
  <si>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</si>
  <si>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</si>
  <si>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</si>
  <si>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</si>
  <si>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</si>
  <si>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</si>
  <si>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</si>
  <si>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</si>
  <si>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</si>
  <si>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</si>
  <si>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</si>
  <si>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</si>
  <si>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</si>
  <si>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</si>
  <si>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</si>
  <si>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</si>
  <si>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</si>
  <si>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</si>
  <si>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</si>
  <si>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</si>
  <si>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</si>
  <si>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</si>
  <si>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</si>
  <si>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</si>
  <si>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</si>
  <si>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</si>
  <si>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</si>
  <si>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</si>
  <si>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</si>
  <si>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</si>
  <si>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</si>
  <si>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</si>
  <si>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</si>
  <si>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</si>
  <si>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</si>
  <si>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</si>
  <si>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</si>
  <si>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</si>
  <si>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</si>
  <si>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</si>
  <si>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</si>
  <si>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</si>
  <si>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</si>
  <si>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</si>
  <si>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</si>
  <si>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</si>
  <si>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</si>
  <si>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</si>
  <si>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</si>
  <si>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</si>
  <si>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</si>
  <si>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</si>
  <si>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</si>
  <si>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</si>
  <si>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</si>
  <si>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</si>
  <si>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</si>
  <si>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</si>
  <si>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</si>
  <si>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</si>
  <si>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</si>
  <si>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</si>
  <si>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</si>
  <si>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</si>
  <si>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</si>
  <si>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</si>
  <si>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</si>
  <si>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</si>
  <si>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</si>
  <si>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</si>
  <si>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</si>
  <si>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</si>
  <si>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</si>
  <si>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</si>
  <si>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</si>
  <si>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</si>
  <si>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</si>
  <si>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</si>
  <si>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</si>
  <si>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</si>
  <si>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</si>
  <si>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</si>
  <si>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</si>
  <si>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</si>
  <si>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</si>
  <si>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</si>
  <si>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</si>
  <si>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</si>
  <si>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</si>
  <si>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</si>
  <si>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</si>
  <si>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</si>
  <si>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</si>
  <si>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</si>
  <si>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</si>
  <si>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</si>
  <si>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</si>
  <si>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</si>
  <si>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</si>
  <si>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</si>
  <si>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</si>
  <si>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</si>
  <si>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</si>
  <si>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</si>
  <si>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</si>
  <si>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</si>
  <si>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</si>
  <si>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</si>
  <si>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</si>
  <si>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</si>
  <si>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</si>
  <si>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</si>
  <si>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</si>
  <si>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</si>
  <si>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</si>
  <si>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</si>
  <si>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</si>
  <si>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</si>
  <si>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</si>
  <si>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</si>
  <si>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</si>
  <si>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</si>
  <si>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</si>
  <si>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</si>
  <si>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</si>
  <si>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</si>
  <si>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</si>
  <si>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</si>
  <si>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</si>
  <si>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</si>
  <si>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</si>
  <si>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</si>
  <si>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</si>
  <si>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</si>
  <si>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</si>
  <si>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</si>
  <si>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</si>
  <si>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</si>
  <si>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</si>
  <si>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</si>
  <si>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</si>
  <si>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</si>
  <si>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</si>
  <si>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</si>
  <si>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</si>
  <si>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</si>
  <si>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</si>
  <si>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</si>
  <si>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</si>
  <si>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</si>
  <si>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</si>
  <si>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</si>
  <si>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</si>
  <si>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</si>
  <si>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</si>
  <si>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</si>
  <si>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</si>
  <si>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</si>
  <si>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</si>
  <si>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</si>
  <si>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</si>
  <si>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</si>
  <si>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</si>
  <si>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</si>
  <si>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</si>
  <si>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</si>
  <si>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</si>
  <si>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</si>
  <si>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</si>
  <si>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</si>
  <si>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</si>
  <si>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</si>
  <si>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</si>
  <si>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</si>
  <si>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</si>
  <si>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</si>
  <si>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</si>
  <si>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</si>
  <si>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</si>
  <si>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</si>
  <si>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</si>
  <si>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</si>
  <si>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</si>
  <si>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</si>
  <si>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</si>
  <si>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</si>
  <si>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</si>
  <si>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</si>
  <si>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</si>
  <si>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</si>
  <si>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</si>
  <si>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</si>
  <si>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</si>
  <si>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</si>
  <si>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</si>
  <si>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</si>
  <si>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</si>
  <si>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</si>
  <si>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</si>
  <si>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</si>
  <si>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</si>
  <si>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</si>
  <si>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</si>
  <si>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</si>
  <si>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</si>
  <si>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</si>
  <si>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</si>
  <si>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</si>
  <si>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</si>
  <si>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</si>
  <si>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</si>
  <si>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</si>
  <si>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</si>
  <si>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</si>
  <si>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</si>
  <si>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</si>
  <si>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</si>
  <si>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</si>
  <si>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</si>
  <si>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</si>
  <si>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</si>
  <si>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</si>
  <si>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</si>
  <si>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</si>
  <si>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</si>
  <si>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</si>
  <si>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</si>
  <si>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</si>
  <si>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</si>
  <si>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</si>
  <si>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</si>
  <si>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</si>
  <si>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</si>
  <si>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</si>
  <si>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</si>
  <si>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</si>
  <si>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</si>
  <si>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</si>
  <si>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</si>
  <si>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</si>
  <si>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</si>
  <si>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</si>
  <si>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</si>
  <si>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</si>
  <si>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</si>
  <si>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</si>
  <si>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</si>
  <si>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</si>
  <si>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</si>
  <si>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</si>
  <si>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</si>
  <si>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</si>
  <si>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</si>
  <si>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</si>
  <si>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</si>
  <si>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</si>
  <si>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</si>
  <si>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</si>
  <si>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</si>
  <si>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</si>
  <si>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</si>
  <si>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</si>
  <si>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</si>
  <si>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</si>
  <si>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</si>
  <si>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</si>
  <si>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</si>
  <si>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</si>
  <si>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</si>
  <si>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</si>
  <si>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</si>
  <si>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</si>
  <si>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</si>
  <si>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</si>
  <si>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</si>
  <si>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</si>
  <si>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</si>
  <si>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</si>
  <si>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</si>
  <si>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</si>
  <si>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</si>
  <si>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</si>
  <si>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</si>
  <si>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</si>
  <si>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</si>
  <si>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</si>
  <si>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</si>
  <si>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</si>
  <si>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</si>
  <si>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</si>
  <si>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</si>
  <si>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</si>
  <si>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</si>
  <si>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</si>
  <si>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</si>
  <si>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</si>
  <si>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</si>
  <si>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</si>
  <si>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</si>
  <si>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</si>
  <si>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</si>
  <si>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</si>
  <si>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</si>
  <si>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</si>
  <si>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</si>
  <si>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</si>
  <si>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</si>
  <si>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</si>
  <si>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</si>
  <si>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</si>
  <si>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</si>
  <si>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</si>
  <si>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</si>
  <si>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</si>
  <si>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</si>
  <si>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</si>
  <si>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</si>
  <si>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</si>
  <si>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</si>
  <si>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</si>
  <si>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</si>
  <si>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</si>
  <si>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</si>
  <si>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</si>
  <si>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</si>
  <si>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</si>
  <si>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</si>
  <si>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</si>
  <si>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</si>
  <si>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</si>
  <si>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</si>
  <si>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</si>
  <si>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</si>
  <si>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</si>
  <si>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</si>
  <si>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</si>
  <si>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</si>
  <si>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</si>
  <si>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</si>
  <si>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</si>
  <si>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</si>
  <si>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</si>
  <si>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</si>
  <si>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</si>
  <si>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</si>
  <si>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</si>
  <si>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</si>
  <si>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</si>
  <si>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廃止</t>
  </si>
  <si>
    <t>D-18.2</t>
  </si>
  <si>
    <t>D-19</t>
  </si>
  <si>
    <t>C-10</t>
  </si>
  <si>
    <t>D-9.2</t>
  </si>
  <si>
    <t>D-18.1</t>
  </si>
  <si>
    <t>D-18.3</t>
  </si>
  <si>
    <t>D-18.4</t>
  </si>
  <si>
    <t>D-20</t>
  </si>
  <si>
    <t>E-1.1</t>
  </si>
  <si>
    <t>E-1.2</t>
  </si>
  <si>
    <t>E-1.3</t>
  </si>
  <si>
    <t>G-1.2</t>
  </si>
  <si>
    <t>G-1.4</t>
  </si>
  <si>
    <t>G-1.6</t>
  </si>
  <si>
    <t>G-1.8</t>
  </si>
  <si>
    <t>G-1.9</t>
  </si>
  <si>
    <t>G-1.10</t>
  </si>
  <si>
    <t>G-1.11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</si>
  <si>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</si>
  <si>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</si>
  <si>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</si>
  <si>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</si>
  <si>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</si>
  <si>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</si>
  <si>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</si>
  <si>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</si>
  <si>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</si>
  <si>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</si>
  <si>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</si>
  <si>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</si>
  <si>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</si>
  <si>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</si>
  <si>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</si>
  <si>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</si>
  <si>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</si>
  <si>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</si>
  <si>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</si>
  <si>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</si>
  <si>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</si>
  <si>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</si>
  <si>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</si>
  <si>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</si>
  <si>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</si>
  <si>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</si>
  <si>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</si>
  <si>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</si>
  <si>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</si>
  <si>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</si>
  <si>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</si>
  <si>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</si>
  <si>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</si>
  <si>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H-D データ設計</t>
  </si>
  <si>
    <t>H-E IF設計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</si>
  <si>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</si>
  <si>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</si>
  <si>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</si>
  <si>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</si>
  <si>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</si>
  <si>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</si>
  <si>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</si>
  <si>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</si>
  <si>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</si>
  <si>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</si>
  <si>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</si>
  <si>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</si>
  <si>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</si>
  <si>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</si>
  <si>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</si>
  <si>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</si>
  <si>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</si>
  <si>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</si>
  <si>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</si>
  <si>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</si>
  <si>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</si>
  <si>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</si>
  <si>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</si>
  <si>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</si>
  <si>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</si>
  <si>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</si>
  <si>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</si>
  <si>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</si>
  <si>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</si>
  <si>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</si>
  <si>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</si>
  <si>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</si>
  <si>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</si>
  <si>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</si>
  <si>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</si>
  <si>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</si>
  <si>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</si>
  <si>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</si>
  <si>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</si>
  <si>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</si>
  <si>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</si>
  <si>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</si>
  <si>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</si>
  <si>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</si>
  <si>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</si>
  <si>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</si>
  <si>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</si>
  <si>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</si>
  <si>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</si>
  <si>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</si>
  <si>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</si>
  <si>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</si>
  <si>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</si>
  <si>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</si>
  <si>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</si>
  <si>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</si>
  <si>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</si>
  <si>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</si>
  <si>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</si>
  <si>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</si>
  <si>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</si>
  <si>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</si>
  <si>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</si>
  <si>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</si>
  <si>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</si>
  <si>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</si>
  <si>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</si>
  <si>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</si>
  <si>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</si>
  <si>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</si>
  <si>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</si>
  <si>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</si>
  <si>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</si>
  <si>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</si>
  <si>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</si>
  <si>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</si>
  <si>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</si>
  <si>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</si>
  <si>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</si>
  <si>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</si>
  <si>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</si>
  <si>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</si>
  <si>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</si>
  <si>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</si>
  <si>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</si>
  <si>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</si>
  <si>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</si>
  <si>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</si>
  <si>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</si>
  <si>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</si>
  <si>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</si>
  <si>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</si>
  <si>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</si>
  <si>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</si>
  <si>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</si>
  <si>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</si>
  <si>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</si>
  <si>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</si>
  <si>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</si>
  <si>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</si>
  <si>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</si>
  <si>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</si>
  <si>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</si>
  <si>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</si>
  <si>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</si>
  <si>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</si>
  <si>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</si>
  <si>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</si>
  <si>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</si>
  <si>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</si>
  <si>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</si>
  <si>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</si>
  <si>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</si>
  <si>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</si>
  <si>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</si>
  <si>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</si>
  <si>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</si>
  <si>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</si>
  <si>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</si>
  <si>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</si>
  <si>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</si>
  <si>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</si>
  <si>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</si>
  <si>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</si>
  <si>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</si>
  <si>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</si>
  <si>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</si>
  <si>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</si>
  <si>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</si>
  <si>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</si>
  <si>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</si>
  <si>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</si>
  <si>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</si>
  <si>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</si>
  <si>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</si>
  <si>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</si>
  <si>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</si>
  <si>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</si>
  <si>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</si>
  <si>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</si>
  <si>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</si>
  <si>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</si>
  <si>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</si>
  <si>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</si>
  <si>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</si>
  <si>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</si>
  <si>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</si>
  <si>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</si>
  <si>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</si>
  <si>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</si>
  <si>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</si>
  <si>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</si>
  <si>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</si>
  <si>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</si>
  <si>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</si>
  <si>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</si>
  <si>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</si>
  <si>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</si>
  <si>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</si>
  <si>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</si>
  <si>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</si>
  <si>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</si>
  <si>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</si>
  <si>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</si>
  <si>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</si>
  <si>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</si>
  <si>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</si>
  <si>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</si>
  <si>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</si>
  <si>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</si>
  <si>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</si>
  <si>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</si>
  <si>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</si>
  <si>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</si>
  <si>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</si>
  <si>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</si>
  <si>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</si>
  <si>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</si>
  <si>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</si>
  <si>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</si>
  <si>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</si>
  <si>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</si>
  <si>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</si>
  <si>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</si>
  <si>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</si>
  <si>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</si>
  <si>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</si>
  <si>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</si>
  <si>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</si>
  <si>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</si>
  <si>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</si>
  <si>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</si>
  <si>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</si>
  <si>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</si>
  <si>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</si>
  <si>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</si>
  <si>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</si>
  <si>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</si>
  <si>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</si>
  <si>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</si>
  <si>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</si>
  <si>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</si>
  <si>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</si>
  <si>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</si>
  <si>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</si>
  <si>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</si>
  <si>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</si>
  <si>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</si>
  <si>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</si>
  <si>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</si>
  <si>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</si>
  <si>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</si>
  <si>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</si>
  <si>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</si>
  <si>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</si>
  <si>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</si>
  <si>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</si>
  <si>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</si>
  <si>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</si>
  <si>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</si>
  <si>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</si>
  <si>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</si>
  <si>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</si>
  <si>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</si>
  <si>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</si>
  <si>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</si>
  <si>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</si>
  <si>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</si>
  <si>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</si>
  <si>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</si>
  <si>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</si>
  <si>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</si>
  <si>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</si>
  <si>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</si>
  <si>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</si>
  <si>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</si>
  <si>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</si>
  <si>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</si>
  <si>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</si>
  <si>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HA-10</t>
  </si>
  <si>
    <t>HA-11</t>
  </si>
  <si>
    <t>HA-13</t>
  </si>
  <si>
    <t>HA-14</t>
  </si>
  <si>
    <t>HA-16</t>
  </si>
  <si>
    <t>HA-17</t>
  </si>
  <si>
    <t>HA-20</t>
  </si>
  <si>
    <t>HA-21</t>
  </si>
  <si>
    <t>HA-22</t>
  </si>
  <si>
    <t>HA-24</t>
  </si>
  <si>
    <t>HA-26</t>
  </si>
  <si>
    <t>HD-14</t>
  </si>
  <si>
    <t>HE-14</t>
  </si>
  <si>
    <t>HE-15</t>
  </si>
  <si>
    <t>HE-17</t>
  </si>
  <si>
    <t>HG-04</t>
  </si>
  <si>
    <t>HG-05</t>
  </si>
  <si>
    <t>HG-08</t>
  </si>
  <si>
    <t>HH-01</t>
  </si>
  <si>
    <t>HH-02</t>
  </si>
  <si>
    <t>HH-03</t>
  </si>
  <si>
    <t>HH-01/02</t>
  </si>
  <si>
    <t>HH-05</t>
  </si>
  <si>
    <t>HI-01</t>
  </si>
  <si>
    <t>HA〜HK</t>
  </si>
  <si>
    <t>HI-02</t>
  </si>
  <si>
    <t>HI-03</t>
  </si>
  <si>
    <t>HI-04</t>
  </si>
  <si>
    <t>HJ-06</t>
  </si>
  <si>
    <t>HJ-03〜05</t>
  </si>
  <si>
    <t>HJ-07</t>
  </si>
  <si>
    <t>HJ-09</t>
  </si>
  <si>
    <t>HJ-17</t>
  </si>
  <si>
    <t>HJ-19</t>
  </si>
  <si>
    <t>A-15 / F-3</t>
  </si>
  <si>
    <t>HK-01</t>
  </si>
  <si>
    <t>HK-02</t>
  </si>
  <si>
    <t>HK-03</t>
  </si>
  <si>
    <t>HE-04〜08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</si>
  <si>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</si>
  <si>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</si>
  <si>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</si>
  <si>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</si>
  <si>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</si>
  <si>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</si>
  <si>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</si>
  <si>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</si>
  <si>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</si>
  <si>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</si>
  <si>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</si>
  <si>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</si>
  <si>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</si>
  <si>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</si>
  <si>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</si>
  <si>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</si>
  <si>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</si>
  <si>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</si>
  <si>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</si>
  <si>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</si>
  <si>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</si>
  <si>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</si>
  <si>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</si>
  <si>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</si>
  <si>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</si>
  <si>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</si>
  <si>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</si>
  <si>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</si>
  <si>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</si>
  <si>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</si>
  <si>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</si>
  <si>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</si>
  <si>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</si>
  <si>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</si>
  <si>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</si>
  <si>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</si>
  <si>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</si>
  <si>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</si>
  <si>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</si>
  <si>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</si>
  <si>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</si>
  <si>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</si>
  <si>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</si>
  <si>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</si>
  <si>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</si>
  <si>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</si>
  <si>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</si>
  <si>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</si>
  <si>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</si>
  <si>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</si>
  <si>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</si>
  <si>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</si>
  <si>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</si>
  <si>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</si>
  <si>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</si>
  <si>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</si>
  <si>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</si>
  <si>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</si>
  <si>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</si>
  <si>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</si>
  <si>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</si>
  <si>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</si>
  <si>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</si>
  <si>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</si>
  <si>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</si>
  <si>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</si>
  <si>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</si>
  <si>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</si>
  <si>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</si>
  <si>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</si>
  <si>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</si>
  <si>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</si>
  <si>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</si>
  <si>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</si>
  <si>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</si>
  <si>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</si>
  <si>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</si>
  <si>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</si>
  <si>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</si>
  <si>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</si>
  <si>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</si>
  <si>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</si>
  <si>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</si>
  <si>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</si>
  <si>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</si>
  <si>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</si>
  <si>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</si>
  <si>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</si>
  <si>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</si>
  <si>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</si>
  <si>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</si>
  <si>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</si>
  <si>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</si>
  <si>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</si>
  <si>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</si>
  <si>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</si>
  <si>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</si>
  <si>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</si>
  <si>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</si>
  <si>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</si>
  <si>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</si>
  <si>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</si>
  <si>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</si>
  <si>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</si>
  <si>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</si>
  <si>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</si>
  <si>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</si>
  <si>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</si>
  <si>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</si>
  <si>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</si>
  <si>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</si>
  <si>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</si>
  <si>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</si>
  <si>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</si>
  <si>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</si>
  <si>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</si>
  <si>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</si>
  <si>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</si>
  <si>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</si>
  <si>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</si>
  <si>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</si>
  <si>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</si>
  <si>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</si>
  <si>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</si>
  <si>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</si>
  <si>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</si>
  <si>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</si>
  <si>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</si>
  <si>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</si>
  <si>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</si>
  <si>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</si>
  <si>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</si>
  <si>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</si>
  <si>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</si>
  <si>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</si>
  <si>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</si>
  <si>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</si>
  <si>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</si>
  <si>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</si>
  <si>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</si>
  <si>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</si>
  <si>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</si>
  <si>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</si>
  <si>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</si>
  <si>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</si>
  <si>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</si>
  <si>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</si>
  <si>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</si>
  <si>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</si>
  <si>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</si>
  <si>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</si>
  <si>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</si>
  <si>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</si>
  <si>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</si>
  <si>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</si>
  <si>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</si>
  <si>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</si>
  <si>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</si>
  <si>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</si>
  <si>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</si>
  <si>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</si>
  <si>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</si>
  <si>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</si>
  <si>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</si>
  <si>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</si>
  <si>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</si>
  <si>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</si>
  <si>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</si>
  <si>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</si>
  <si>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</si>
  <si>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</si>
  <si>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</si>
  <si>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</si>
  <si>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</si>
  <si>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</si>
  <si>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</si>
  <si>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</si>
  <si>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</si>
  <si>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</si>
  <si>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</si>
  <si>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</si>
  <si>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</si>
  <si>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</si>
  <si>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</si>
  <si>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</si>
  <si>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</si>
  <si>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</si>
  <si>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</si>
  <si>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</si>
  <si>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</si>
  <si>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</si>
  <si>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</si>
  <si>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</si>
  <si>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</si>
  <si>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</si>
  <si>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</si>
  <si>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</si>
  <si>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</si>
  <si>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</si>
  <si>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</si>
  <si>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</si>
  <si>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</si>
  <si>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</si>
  <si>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</si>
  <si>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</si>
  <si>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</si>
  <si>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</si>
  <si>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</si>
  <si>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</si>
  <si>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</si>
  <si>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</si>
  <si>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</si>
  <si>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</si>
  <si>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</si>
  <si>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</si>
  <si>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</si>
  <si>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</si>
  <si>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</si>
  <si>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</si>
  <si>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</si>
  <si>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</si>
  <si>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</si>
  <si>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</si>
  <si>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</si>
  <si>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</si>
  <si>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</si>
  <si>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</si>
  <si>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</si>
  <si>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</si>
  <si>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</si>
  <si>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</si>
  <si>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</si>
  <si>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</si>
  <si>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</si>
  <si>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</si>
  <si>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</si>
  <si>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</si>
  <si>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</si>
  <si>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</si>
  <si>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</si>
  <si>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</si>
  <si>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</si>
  <si>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</si>
  <si>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</si>
  <si>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</si>
  <si>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</si>
  <si>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</si>
  <si>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</si>
  <si>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</si>
  <si>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</si>
  <si>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</si>
  <si>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</si>
  <si>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</si>
  <si>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</si>
  <si>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</si>
  <si>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</si>
  <si>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</si>
  <si>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</si>
  <si>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</si>
  <si>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</si>
  <si>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</si>
  <si>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</si>
  <si>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</si>
  <si>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</si>
  <si>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</si>
  <si>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</si>
  <si>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</si>
  <si>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</si>
  <si>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</si>
  <si>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</si>
  <si>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</si>
  <si>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</si>
  <si>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</si>
  <si>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</si>
  <si>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</si>
  <si>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</si>
  <si>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</si>
  <si>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</si>
  <si>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</si>
  <si>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</si>
  <si>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</si>
  <si>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</si>
  <si>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</si>
  <si>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</si>
  <si>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</si>
  <si>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</si>
  <si>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</si>
  <si>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</si>
  <si>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</si>
  <si>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</si>
  <si>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</si>
  <si>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</si>
  <si>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</si>
  <si>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</si>
  <si>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</si>
  <si>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</si>
  <si>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</si>
  <si>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</si>
  <si>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</si>
  <si>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</si>
  <si>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</si>
  <si>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</si>
  <si>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</si>
  <si>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</si>
  <si>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</si>
  <si>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</si>
  <si>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</si>
  <si>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</si>
  <si>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</si>
  <si>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</si>
  <si>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</si>
  <si>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</si>
  <si>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</si>
  <si>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</si>
  <si>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P1</t>
  </si>
  <si>
    <t>GD-09</t>
  </si>
  <si>
    <t>GD-10</t>
  </si>
  <si>
    <t>P2</t>
  </si>
  <si>
    <t>GD-14</t>
  </si>
  <si>
    <t>GD-15</t>
  </si>
  <si>
    <t>GD-16</t>
  </si>
  <si>
    <t>GD-17</t>
  </si>
  <si>
    <t>GD-18</t>
  </si>
  <si>
    <t>GD-21</t>
  </si>
  <si>
    <t>GD-22</t>
  </si>
  <si>
    <t>GD-23</t>
  </si>
  <si>
    <t>GD-24</t>
  </si>
  <si>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</si>
  <si>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</si>
  <si>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</si>
  <si>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</si>
  <si>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</si>
  <si>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</si>
  <si>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</si>
  <si>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</si>
  <si>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</si>
  <si>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</si>
  <si>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</si>
  <si>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</si>
  <si>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</si>
  <si>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</si>
  <si>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</si>
  <si>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</si>
  <si>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</si>
  <si>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</si>
  <si>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</si>
  <si>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</si>
  <si>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</si>
  <si>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</si>
  <si>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</si>
  <si>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</si>
  <si>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</si>
  <si>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</si>
  <si>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</si>
  <si>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</si>
  <si>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</si>
  <si>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</si>
  <si>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</si>
  <si>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</si>
  <si>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</si>
  <si>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</si>
  <si>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</si>
  <si>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</si>
  <si>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</si>
  <si>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</si>
  <si>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</si>
  <si>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</si>
  <si>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</si>
  <si>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</si>
  <si>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</si>
  <si>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</si>
  <si>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</si>
  <si>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</si>
  <si>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</si>
  <si>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</si>
  <si>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</si>
  <si>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</si>
  <si>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</si>
  <si>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</si>
  <si>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</si>
  <si>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</si>
  <si>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</si>
  <si>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</si>
  <si>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</si>
  <si>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</si>
  <si>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</si>
  <si>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</si>
  <si>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</si>
  <si>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</si>
  <si>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</si>
  <si>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</si>
  <si>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</si>
  <si>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</si>
  <si>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</si>
  <si>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</si>
  <si>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</si>
  <si>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</si>
  <si>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</si>
  <si>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</si>
  <si>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</si>
  <si>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</si>
  <si>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</si>
  <si>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</si>
  <si>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</si>
  <si>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</si>
  <si>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</si>
  <si>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</si>
  <si>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</si>
  <si>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</si>
  <si>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</si>
  <si>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</si>
  <si>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</si>
  <si>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</si>
  <si>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</si>
  <si>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</si>
  <si>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</si>
  <si>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</si>
  <si>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</si>
  <si>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</si>
  <si>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</si>
  <si>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</si>
  <si>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</si>
  <si>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</si>
  <si>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</si>
  <si>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</si>
  <si>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</si>
  <si>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</si>
  <si>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</si>
  <si>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</si>
  <si>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</si>
  <si>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</si>
  <si>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</si>
  <si>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</si>
  <si>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</si>
  <si>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</si>
  <si>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</si>
  <si>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</si>
  <si>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</si>
  <si>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</si>
  <si>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</si>
  <si>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</si>
  <si>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</si>
  <si>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</si>
  <si>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</si>
  <si>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</si>
  <si>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</si>
  <si>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</si>
  <si>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</si>
  <si>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</si>
  <si>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</si>
  <si>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</si>
  <si>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</si>
  <si>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</si>
  <si>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</si>
  <si>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</si>
  <si>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</si>
  <si>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</si>
  <si>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</si>
  <si>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</si>
  <si>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</si>
  <si>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</si>
  <si>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</si>
  <si>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</si>
  <si>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</si>
  <si>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</si>
  <si>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</si>
  <si>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</si>
  <si>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</si>
  <si>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</si>
  <si>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</si>
  <si>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</si>
  <si>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</si>
  <si>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</si>
  <si>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</si>
  <si>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</si>
  <si>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</si>
  <si>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</si>
  <si>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</si>
  <si>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</si>
  <si>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</si>
  <si>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</si>
  <si>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</si>
  <si>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</si>
  <si>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</si>
  <si>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</si>
  <si>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</si>
  <si>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</si>
  <si>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</si>
  <si>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</si>
  <si>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</si>
  <si>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</si>
  <si>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</si>
  <si>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</si>
  <si>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</si>
  <si>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</si>
  <si>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</si>
  <si>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</si>
  <si>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</si>
  <si>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</si>
  <si>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</si>
  <si>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</si>
  <si>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</si>
  <si>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</si>
  <si>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</si>
  <si>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</si>
  <si>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</si>
  <si>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</si>
  <si>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</si>
  <si>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</si>
  <si>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</si>
  <si>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</si>
  <si>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</si>
  <si>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</si>
  <si>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</si>
  <si>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</si>
  <si>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</si>
  <si>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</si>
  <si>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</si>
  <si>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</si>
  <si>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</si>
  <si>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</si>
  <si>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</si>
  <si>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</si>
  <si>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</si>
  <si>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</si>
  <si>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</si>
  <si>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</si>
  <si>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</si>
  <si>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</si>
  <si>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</si>
  <si>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</si>
  <si>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</si>
  <si>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</si>
  <si>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</si>
  <si>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</si>
  <si>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</si>
  <si>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</si>
  <si>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</si>
  <si>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</si>
  <si>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</si>
  <si>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</si>
  <si>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</si>
  <si>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</si>
  <si>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</si>
  <si>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</si>
  <si>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</si>
  <si>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</si>
  <si>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</si>
  <si>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</si>
  <si>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</si>
  <si>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</si>
  <si>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</si>
  <si>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</si>
  <si>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</si>
  <si>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</si>
  <si>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</si>
  <si>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</si>
  <si>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</si>
  <si>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</si>
  <si>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</si>
  <si>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</si>
  <si>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</si>
  <si>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</si>
  <si>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</si>
  <si>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</si>
  <si>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</si>
  <si>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</si>
  <si>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</si>
  <si>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</si>
  <si>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</si>
  <si>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</si>
  <si>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</si>
  <si>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</si>
  <si>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</si>
  <si>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</si>
  <si>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</si>
  <si>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</si>
  <si>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</si>
  <si>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</si>
  <si>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</si>
  <si>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</si>
  <si>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</si>
  <si>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</si>
  <si>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</si>
  <si>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</si>
  <si>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</si>
  <si>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</si>
  <si>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</si>
  <si>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</si>
  <si>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</si>
  <si>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</si>
  <si>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</si>
  <si>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</si>
  <si>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</si>
  <si>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</si>
  <si>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</si>
  <si>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</si>
  <si>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</si>
  <si>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</si>
  <si>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</si>
  <si>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</si>
  <si>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</si>
  <si>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</si>
  <si>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HB-F-AUTH-01</t>
  </si>
  <si>
    <t>HB-F-AUTH-05</t>
  </si>
  <si>
    <t>HB-F-AUTH-06</t>
  </si>
  <si>
    <t>HB-F-AUTH-10</t>
  </si>
  <si>
    <t>HB-F-AUTH-12</t>
  </si>
  <si>
    <t>HB-F-BAT-04</t>
  </si>
  <si>
    <t>HB-F-BAT-05</t>
  </si>
  <si>
    <t>HB-F-BAT-07</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</si>
  <si>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</si>
  <si>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</si>
  <si>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</si>
  <si>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</si>
  <si>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</si>
  <si>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</si>
  <si>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</si>
  <si>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</si>
  <si>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</si>
  <si>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3"/>
  </si>
  <si>
    <t>機能名</t>
    <phoneticPr fontId="3"/>
  </si>
  <si>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</si>
  <si>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</si>
  <si>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</si>
  <si>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</si>
  <si>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</si>
  <si>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</si>
  <si>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</si>
  <si>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</si>
  <si>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</si>
  <si>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アプリへの変更通知</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</si>
  <si>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</si>
  <si>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</si>
  <si>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</si>
  <si>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</si>
  <si>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</si>
  <si>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</si>
  <si>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</si>
  <si>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</si>
  <si>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</si>
  <si>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</si>
  <si>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</si>
  <si>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</si>
  <si>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</si>
  <si>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</si>
  <si>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</si>
  <si>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</si>
  <si>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</si>
  <si>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</si>
  <si>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</si>
  <si>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</si>
  <si>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</si>
  <si>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</si>
  <si>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</si>
  <si>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</si>
  <si>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</si>
  <si>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</si>
  <si>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</si>
  <si>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</si>
  <si>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</si>
  <si>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</si>
  <si>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</si>
  <si>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</si>
  <si>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</si>
  <si>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</si>
  <si>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</si>
  <si>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</si>
  <si>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</si>
  <si>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</si>
  <si>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</si>
  <si>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</si>
  <si>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</si>
  <si>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</si>
  <si>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</si>
  <si>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</si>
  <si>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</si>
  <si>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</si>
  <si>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</si>
  <si>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</si>
  <si>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</si>
  <si>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</si>
  <si>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横断（定期処理共通）</t>
  </si>
  <si>
    <t>業務システムへの認証提供／業務システム側の利用者自動作成</t>
  </si>
  <si>
    <t>接続情報の自動追随／証明書期限の監視</t>
  </si>
  <si>
    <t>概要</t>
    <phoneticPr fontId="3"/>
  </si>
  <si>
    <t>成果物と完了条件</t>
    <phoneticPr fontId="3"/>
  </si>
  <si>
    <t>依存</t>
    <phoneticPr fontId="3"/>
  </si>
  <si>
    <t>横断（ログイン処理全般）</t>
  </si>
  <si>
    <t>項目名の変換・統一／登録経路の区分判定</t>
  </si>
  <si>
    <t>横断（同意管理）</t>
  </si>
  <si>
    <t>HJ-01a</t>
  </si>
  <si>
    <t>HJ-02a</t>
  </si>
  <si>
    <t>HJ-10a</t>
  </si>
  <si>
    <t>HJ-10b</t>
  </si>
  <si>
    <t>H. 設計成果物の執筆（検討560人日／306行）</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</si>
  <si>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</si>
  <si>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</si>
  <si>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</si>
  <si>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</si>
  <si>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</si>
  <si>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</si>
  <si>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</si>
  <si>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</si>
  <si>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</si>
  <si>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</si>
  <si>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</si>
  <si>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</si>
  <si>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</si>
  <si>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</si>
  <si>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</si>
  <si>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</si>
  <si>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</si>
  <si>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</si>
  <si>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</si>
  <si>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</si>
  <si>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</si>
  <si>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</si>
  <si>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</si>
  <si>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</si>
  <si>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</si>
  <si>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</si>
  <si>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</si>
  <si>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</si>
  <si>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</si>
  <si>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</si>
  <si>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</si>
  <si>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</si>
  <si>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</si>
  <si>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</si>
  <si>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</si>
  <si>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</si>
  <si>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</si>
  <si>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</si>
  <si>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</si>
  <si>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</si>
  <si>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</si>
  <si>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</si>
  <si>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</si>
  <si>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</si>
  <si>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</si>
  <si>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</si>
  <si>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</si>
  <si>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</si>
  <si>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</si>
  <si>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</si>
  <si>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</si>
  <si>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</si>
  <si>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</si>
  <si>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</si>
  <si>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</si>
  <si>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</si>
  <si>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</si>
  <si>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</si>
  <si>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</si>
  <si>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</si>
  <si>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</si>
  <si>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</si>
  <si>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横断（自社拡張全般）</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</si>
  <si>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</si>
  <si>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</si>
  <si>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</si>
  <si>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</si>
  <si>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</si>
  <si>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</si>
  <si>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</si>
  <si>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</si>
  <si>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</si>
  <si>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</si>
  <si>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</si>
  <si>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</si>
  <si>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</si>
  <si>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</si>
  <si>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</si>
  <si>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</si>
  <si>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</si>
  <si>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</si>
  <si>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</si>
  <si>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</si>
  <si>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</si>
  <si>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</si>
  <si>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</si>
  <si>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</si>
  <si>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</si>
  <si>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</si>
  <si>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</si>
  <si>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</si>
  <si>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</si>
  <si>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</si>
  <si>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</si>
  <si>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</si>
  <si>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</si>
  <si>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</si>
  <si>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</si>
  <si>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</si>
  <si>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</si>
  <si>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</si>
  <si>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</si>
  <si>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</si>
  <si>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流出パスワードの使用拒否</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</si>
  <si>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</si>
  <si>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</si>
  <si>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</si>
  <si>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</si>
  <si>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</si>
  <si>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</si>
  <si>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</si>
  <si>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利用者支援操作</t>
  </si>
  <si>
    <t>権限管理</t>
  </si>
  <si>
    <t>組織・顧客管理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</si>
  <si>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</si>
  <si>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</si>
  <si>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</si>
  <si>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</si>
  <si>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</si>
  <si>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</si>
  <si>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</si>
  <si>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</si>
  <si>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</si>
  <si>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</si>
  <si>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</si>
  <si>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認可の記録</t>
  </si>
  <si>
    <t>業務システム連携（ServiceNow 等へのログイン提供）</t>
  </si>
  <si>
    <t>アプリへの通知</t>
  </si>
  <si>
    <t>アカウント間連携</t>
  </si>
  <si>
    <t>停止イベントのアカウント間配送</t>
  </si>
  <si>
    <t>監視・検知</t>
  </si>
  <si>
    <t>接続情報の追随</t>
  </si>
  <si>
    <t>利用者の整理</t>
  </si>
  <si>
    <t>データの突合と再送（伝えそこないの回収）</t>
  </si>
  <si>
    <t>鍵・証明書の維持</t>
  </si>
  <si>
    <t>アカウント・権限の点検</t>
  </si>
  <si>
    <t>権限棚卸しの定期起動</t>
  </si>
  <si>
    <t>権限の棚卸しを定期的に開始する処理</t>
  </si>
  <si>
    <t>監視・検知</t>
    <phoneticPr fontId="3"/>
  </si>
  <si>
    <t>監査・一括処理</t>
    <phoneticPr fontId="3"/>
  </si>
  <si>
    <t>不正アクセス対策</t>
    <phoneticPr fontId="3"/>
  </si>
  <si>
    <t>接続先管理</t>
    <phoneticPr fontId="3"/>
  </si>
  <si>
    <t>利用者支援操作</t>
    <phoneticPr fontId="3"/>
  </si>
  <si>
    <t>接続先の振り分け／自動登録／停止と再開／フェデレーション</t>
  </si>
  <si>
    <t>顧客システムからの利用者受信（人事システム等からの登録・更新・削除）</t>
    <phoneticPr fontId="3"/>
  </si>
  <si>
    <t>退職者の遮断と復職対応（停止・再開の伝播）</t>
    <phoneticPr fontId="3"/>
  </si>
  <si>
    <t>フェデレーション</t>
    <phoneticPr fontId="3"/>
  </si>
  <si>
    <t>アカウント復旧・パスワード</t>
    <phoneticPr fontId="3"/>
  </si>
  <si>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</si>
  <si>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</si>
  <si>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</si>
  <si>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</si>
  <si>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</si>
  <si>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</si>
  <si>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</si>
  <si>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</si>
  <si>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</si>
  <si>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</si>
  <si>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</si>
  <si>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</si>
  <si>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</si>
  <si>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</si>
  <si>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</si>
  <si>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</si>
  <si>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</si>
  <si>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</si>
  <si>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</si>
  <si>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</si>
  <si>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</si>
  <si>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自動登録／停止と再開</t>
  </si>
  <si>
    <t>初回ログイン時の自動登録／停止済み利用者の再開</t>
  </si>
  <si>
    <t>自動登録／アカウント復旧・パスワード</t>
  </si>
  <si>
    <t>組織・顧客管理</t>
    <phoneticPr fontId="3"/>
  </si>
  <si>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</si>
  <si>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</si>
  <si>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</si>
  <si>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</si>
  <si>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</si>
  <si>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</si>
  <si>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</si>
  <si>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</si>
  <si>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</si>
  <si>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</si>
  <si>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</si>
  <si>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</si>
  <si>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</si>
  <si>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</si>
  <si>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</si>
  <si>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</si>
  <si>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</si>
  <si>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</si>
  <si>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</si>
  <si>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</si>
  <si>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</si>
  <si>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</si>
  <si>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</si>
  <si>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</si>
  <si>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</si>
  <si>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</si>
  <si>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</si>
  <si>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</si>
  <si>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</si>
  <si>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</si>
  <si>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</si>
  <si>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</si>
  <si>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</si>
  <si>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</si>
  <si>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</si>
  <si>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</si>
  <si>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</si>
  <si>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</si>
  <si>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</si>
  <si>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</si>
  <si>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</si>
  <si>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</si>
  <si>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</si>
  <si>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</si>
  <si>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</si>
  <si>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</si>
  <si>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</si>
  <si>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</si>
  <si>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</si>
  <si>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</si>
  <si>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</si>
  <si>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</si>
  <si>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</si>
  <si>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</si>
  <si>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</si>
  <si>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</si>
  <si>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</si>
  <si>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</si>
  <si>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</si>
  <si>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</si>
  <si>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</si>
  <si>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</si>
  <si>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</si>
  <si>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</si>
  <si>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</si>
  <si>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</si>
  <si>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</si>
  <si>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</si>
  <si>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</si>
  <si>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</si>
  <si>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</si>
  <si>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</si>
  <si>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</si>
  <si>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</si>
  <si>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</si>
  <si>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</si>
  <si>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</si>
  <si>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</si>
  <si>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</si>
  <si>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</si>
  <si>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</si>
  <si>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</si>
  <si>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</si>
  <si>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</si>
  <si>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</si>
  <si>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</si>
  <si>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</si>
  <si>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</si>
  <si>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</si>
  <si>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</si>
  <si>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</si>
  <si>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</si>
  <si>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</si>
  <si>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</si>
  <si>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</si>
  <si>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</si>
  <si>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</si>
  <si>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</si>
  <si>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</si>
  <si>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</si>
  <si>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</si>
  <si>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</si>
  <si>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</si>
  <si>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</si>
  <si>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</si>
  <si>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</si>
  <si>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</si>
  <si>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</si>
  <si>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</si>
  <si>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</si>
  <si>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</si>
  <si>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</si>
  <si>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</si>
  <si>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</si>
  <si>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</si>
  <si>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</si>
  <si>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</si>
  <si>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</si>
  <si>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</si>
  <si>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</si>
  <si>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</si>
  <si>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</si>
  <si>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</si>
  <si>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</si>
  <si>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</si>
  <si>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</si>
  <si>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</si>
  <si>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</si>
  <si>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</si>
  <si>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</si>
  <si>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</si>
  <si>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</si>
  <si>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</si>
  <si>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</si>
  <si>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</si>
  <si>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</si>
  <si>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</si>
  <si>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</si>
  <si>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</si>
  <si>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</si>
  <si>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</si>
  <si>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</si>
  <si>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</si>
  <si>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</si>
  <si>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</si>
  <si>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</si>
  <si>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</si>
  <si>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</si>
  <si>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</si>
  <si>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</si>
  <si>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</si>
  <si>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</si>
  <si>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</si>
  <si>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</si>
  <si>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</si>
  <si>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</si>
  <si>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</si>
  <si>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</si>
  <si>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</si>
  <si>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</si>
  <si>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</si>
  <si>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</si>
  <si>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</si>
  <si>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</si>
  <si>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</si>
  <si>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</si>
  <si>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</si>
  <si>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</si>
  <si>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</si>
  <si>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</si>
  <si>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</si>
  <si>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</si>
  <si>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</si>
  <si>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</si>
  <si>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</si>
  <si>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</si>
  <si>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</si>
  <si>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</si>
  <si>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</si>
  <si>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</si>
  <si>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</si>
  <si>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</si>
  <si>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</si>
  <si>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</si>
  <si>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</si>
  <si>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</si>
  <si>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</si>
  <si>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</si>
  <si>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</si>
  <si>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</si>
  <si>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</si>
  <si>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</si>
  <si>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</si>
  <si>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</si>
  <si>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</si>
  <si>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</si>
  <si>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</si>
  <si>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</si>
  <si>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</si>
  <si>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</si>
  <si>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</si>
  <si>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</si>
  <si>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</si>
  <si>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</si>
  <si>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</si>
  <si>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</si>
  <si>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</si>
  <si>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</si>
  <si>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</si>
  <si>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</si>
  <si>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</si>
  <si>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</si>
  <si>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</si>
  <si>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</si>
  <si>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</si>
  <si>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</si>
  <si>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</si>
  <si>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</si>
  <si>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</si>
  <si>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</si>
  <si>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</si>
  <si>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</si>
  <si>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</si>
  <si>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</si>
  <si>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</si>
  <si>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</si>
  <si>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</si>
  <si>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</si>
  <si>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</si>
  <si>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</si>
  <si>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</si>
  <si>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</si>
  <si>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</si>
  <si>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</si>
  <si>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</si>
  <si>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</si>
  <si>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</si>
  <si>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</si>
  <si>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</si>
  <si>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</si>
  <si>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</si>
  <si>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</si>
  <si>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</si>
  <si>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</si>
  <si>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</si>
  <si>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</si>
  <si>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</si>
  <si>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</si>
  <si>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</si>
  <si>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</si>
  <si>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</si>
  <si>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</si>
  <si>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</si>
  <si>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</si>
  <si>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</si>
  <si>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</si>
  <si>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</si>
  <si>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</si>
  <si>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</si>
  <si>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</si>
  <si>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</si>
  <si>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</si>
  <si>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</si>
  <si>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</si>
  <si>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</si>
  <si>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</si>
  <si>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</si>
  <si>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</si>
  <si>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</si>
  <si>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</si>
  <si>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</si>
  <si>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</si>
  <si>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</si>
  <si>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</si>
  <si>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</si>
  <si>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</si>
  <si>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</si>
  <si>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</si>
  <si>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</si>
  <si>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</si>
  <si>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</si>
  <si>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</si>
  <si>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</si>
  <si>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</si>
  <si>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HE-19a</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</si>
  <si>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</si>
  <si>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 つなぎ目設計</t>
  </si>
  <si>
    <t>Phase 1 スコープ</t>
  </si>
  <si>
    <t>対象</t>
  </si>
  <si>
    <t>対象外（災害対策）</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</si>
  <si>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</si>
  <si>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</si>
  <si>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</si>
  <si>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</si>
  <si>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利用者が 1 箇所になり不要</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</si>
  <si>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</si>
  <si>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</si>
  <si>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</si>
  <si>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</si>
  <si>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</si>
  <si>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</si>
  <si>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</si>
  <si>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</si>
  <si>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</si>
  <si>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</si>
  <si>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</si>
  <si>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</si>
  <si>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</si>
  <si>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メモ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</si>
  <si>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</si>
  <si>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</si>
  <si>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</si>
  <si>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</si>
  <si>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</si>
  <si>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</si>
  <si>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</si>
  <si>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</si>
  <si>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</si>
  <si>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</si>
  <si>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</si>
  <si>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</si>
  <si>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</si>
  <si>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</si>
  <si>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</si>
  <si>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</si>
  <si>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</si>
  <si>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</si>
  <si>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</si>
  <si>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</si>
  <si>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</si>
  <si>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</si>
  <si>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</si>
  <si>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</si>
  <si>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</si>
  <si>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</si>
  <si>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</si>
  <si>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</si>
  <si>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</si>
  <si>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</si>
  <si>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</si>
  <si>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</si>
  <si>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</si>
  <si>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</si>
  <si>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</si>
  <si>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</si>
  <si>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</si>
  <si>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</si>
  <si>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</si>
  <si>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要判断</t>
  </si>
  <si>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</si>
  <si>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</si>
  <si>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</si>
  <si>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</si>
  <si>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</si>
  <si>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</si>
  <si>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</si>
  <si>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</si>
  <si>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</si>
  <si>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</si>
  <si>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</si>
  <si>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</si>
  <si>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</si>
  <si>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</si>
  <si>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</si>
  <si>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</si>
  <si>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</si>
  <si>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</si>
  <si>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</si>
  <si>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</si>
  <si>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</si>
  <si>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</si>
  <si>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</si>
  <si>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</si>
  <si>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</si>
  <si>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</si>
  <si>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</si>
  <si>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ステップアップ認証は不要と決定</t>
    <rPh sb="0" eb="4">
      <t>ステップアップニンショウ</t>
    </rPh>
    <rPh sb="13" eb="15">
      <t>ケッテイ</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</si>
  <si>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</si>
  <si>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</si>
  <si>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</si>
  <si>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</si>
  <si>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</si>
  <si>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</si>
  <si>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</si>
  <si>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</si>
  <si>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</si>
  <si>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</si>
  <si>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</si>
  <si>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</si>
  <si>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</si>
  <si>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</si>
  <si>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</si>
  <si>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詳細設計か？</t>
    <rPh sb="0" eb="1">
      <t>ショウサイ</t>
    </rPh>
    <phoneticPr fontId="3"/>
  </si>
  <si>
    <t>OK。ただ、まだブレイクダウンできそうか？</t>
    <phoneticPr fontId="3"/>
  </si>
  <si>
    <t>鍵や証明書は一覧を作ってその下に合わせてほしい</t>
    <rPh sb="0" eb="1">
      <t>カギヤ</t>
    </rPh>
    <rPh sb="6" eb="8">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</si>
  <si>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</si>
  <si>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</si>
  <si>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</si>
  <si>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</si>
  <si>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</si>
  <si>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</si>
  <si>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HE-22a</t>
  </si>
  <si>
    <t>E-4a</t>
  </si>
  <si>
    <t>E-4b</t>
  </si>
  <si>
    <t>E-4c</t>
  </si>
  <si>
    <t>E-4d</t>
  </si>
  <si>
    <t>E-4e</t>
  </si>
  <si>
    <t>実機検証・照会</t>
    <phoneticPr fontId="3"/>
  </si>
  <si>
    <t>調査・計画</t>
    <phoneticPr fontId="3"/>
  </si>
  <si>
    <t>レビュー・合意</t>
    <phoneticPr fontId="3"/>
  </si>
  <si>
    <t>ガイド・手順書の執筆</t>
    <phoneticPr fontId="3"/>
  </si>
  <si>
    <t>設計書の執筆</t>
    <phoneticPr fontId="3"/>
  </si>
  <si>
    <t>調査計画：仮定値の根拠整理</t>
    <phoneticPr fontId="3"/>
  </si>
  <si>
    <t>管理操作の記録の置き場所と保存年数</t>
    <phoneticPr fontId="3"/>
  </si>
  <si>
    <t>旧方式の接続先を登録するひな形</t>
    <phoneticPr fontId="3"/>
  </si>
  <si>
    <t>証明書（顧客 IdP の SAML 署名・本基盤の SAML 署名・TLS）を止めずに入れ替える運用手順</t>
    <phoneticPr fontId="3"/>
  </si>
  <si>
    <t>権限を一時的に上げる仕組みの置き場所</t>
    <phoneticPr fontId="3"/>
  </si>
  <si>
    <t>希望する復旧時間と実現できる時間の差の分析</t>
    <phoneticPr fontId="3"/>
  </si>
  <si>
    <t>復旧方式の決定</t>
    <phoneticPr fontId="3"/>
  </si>
  <si>
    <t>決めた復旧方式の設計書への反映</t>
    <phoneticPr fontId="3"/>
  </si>
  <si>
    <t>復旧作業の手順書の骨子</t>
    <phoneticPr fontId="3"/>
  </si>
  <si>
    <t>運用設計：運用委託先から個人情報を見せない記録方式</t>
    <phoneticPr fontId="3"/>
  </si>
  <si>
    <t>開発・検証環境: 費用と共用方式の調査</t>
    <phoneticPr fontId="3"/>
  </si>
  <si>
    <t>開発・検証環境: 構成と共用方針の決定</t>
    <phoneticPr fontId="3"/>
  </si>
  <si>
    <t>開発・検証環境: 試験用データの作り方と費用見積</t>
    <phoneticPr fontId="3"/>
  </si>
  <si>
    <t>性能試験の全体計画書</t>
    <phoneticPr fontId="3"/>
  </si>
  <si>
    <t>本番設定: 同時受付数の上限</t>
    <phoneticPr fontId="3"/>
  </si>
  <si>
    <t>本番設定: 外部に出さないパスの遮断表</t>
    <phoneticPr fontId="3"/>
  </si>
  <si>
    <t>本番設定: クラスタ内通信の暗号化と 30 日入替</t>
    <phoneticPr fontId="3"/>
  </si>
  <si>
    <t>本番設定: クラスタ内のノード発見方式</t>
    <phoneticPr fontId="3"/>
  </si>
  <si>
    <t>本番設定: ログイン状態の永続化の確認</t>
    <phoneticPr fontId="3"/>
  </si>
  <si>
    <t>製品更新の運用手順の精密化</t>
    <phoneticPr fontId="3"/>
  </si>
  <si>
    <t>手順書: 顧客の解約</t>
    <phoneticPr fontId="3"/>
  </si>
  <si>
    <t>手順書: 情報漏えい時の報告</t>
    <phoneticPr fontId="3"/>
  </si>
  <si>
    <t>手順書: 緊急時の管理者アクセス</t>
    <phoneticPr fontId="3"/>
  </si>
  <si>
    <t>手順書: 災害時の切替判断</t>
    <phoneticPr fontId="3"/>
  </si>
  <si>
    <t>手順書: 切替先での再構築</t>
    <phoneticPr fontId="3"/>
  </si>
  <si>
    <t>手順書: データの復元</t>
    <phoneticPr fontId="3"/>
  </si>
  <si>
    <t>手順書: 元の地域への復帰</t>
    <phoneticPr fontId="3"/>
  </si>
  <si>
    <t>運用設計：当番体制と通知先の割り当て</t>
    <phoneticPr fontId="3"/>
  </si>
  <si>
    <t>構成図：ネットワーク詳細図</t>
    <phoneticPr fontId="3"/>
  </si>
  <si>
    <t>前提：設計書 総則（目的・範囲・読み方）</t>
    <phoneticPr fontId="3"/>
  </si>
  <si>
    <t>前提：前提条件一覧</t>
    <phoneticPr fontId="3"/>
  </si>
  <si>
    <t>前提：用語集・略語集</t>
    <phoneticPr fontId="3"/>
  </si>
  <si>
    <t>構成図：全体構成図（論理・清書を含む）</t>
    <phoneticPr fontId="3"/>
  </si>
  <si>
    <t>構成図：全体構成図（物理・清書を含む）</t>
    <phoneticPr fontId="3"/>
  </si>
  <si>
    <t>認証：セッション管理方式設計（ログイン状態の保持・タイムアウト・ログアウト）</t>
    <phoneticPr fontId="3"/>
  </si>
  <si>
    <t>共通：文字コード・日時・タイムゾーン方式</t>
    <phoneticPr fontId="3"/>
  </si>
  <si>
    <t>共通：キャッシュ方式設計</t>
    <phoneticPr fontId="3"/>
  </si>
  <si>
    <t>共通：採番設計（ID 採番方式・重複回避）</t>
    <phoneticPr fontId="3"/>
  </si>
  <si>
    <t>共通：命名規約（リソース/API/DB）</t>
    <phoneticPr fontId="3"/>
  </si>
  <si>
    <t>共通：Terraform 設計規約</t>
    <phoneticPr fontId="3"/>
  </si>
  <si>
    <t>非機能要件→設計対応表</t>
    <phoneticPr fontId="3"/>
  </si>
  <si>
    <t>共通：性能設計書（目標値・処理方式・チューニング方針）</t>
    <phoneticPr fontId="3"/>
  </si>
  <si>
    <t>共通：キャパシティ・データ量見積（テーブル別・増加率・5 年後）</t>
    <phoneticPr fontId="3"/>
  </si>
  <si>
    <t>トレーサビリティマトリクス（要件→機能→設計→テスト）</t>
    <phoneticPr fontId="3"/>
  </si>
  <si>
    <t>共通：鍵管理設計書（3 階層の鍵と暗号化の境界）</t>
    <phoneticPr fontId="3"/>
  </si>
  <si>
    <t>機能仕様書: ローカルログイン（ID/PW）</t>
    <phoneticPr fontId="3"/>
  </si>
  <si>
    <t>機能仕様書: フェデレーションログイン（OIDC）</t>
    <phoneticPr fontId="3"/>
  </si>
  <si>
    <t>機能仕様書: フェデレーションログイン（SAML）</t>
    <phoneticPr fontId="3"/>
  </si>
  <si>
    <t>機能仕様書: MFA認証（TOTP）</t>
    <phoneticPr fontId="3"/>
  </si>
  <si>
    <t>機能仕様書: MFAエンロール（TOTP）</t>
    <phoneticPr fontId="3"/>
  </si>
  <si>
    <t>機能仕様書: JWT署名鍵ローテ</t>
    <phoneticPr fontId="3"/>
  </si>
  <si>
    <t>機能仕様書: client_secretローテ</t>
    <phoneticPr fontId="3"/>
  </si>
  <si>
    <t>機能仕様書: 証明書期限監視・通知</t>
    <phoneticPr fontId="3"/>
  </si>
  <si>
    <t>API エラーコード体系（認証製品の標準エラー）</t>
    <phoneticPr fontId="3"/>
  </si>
  <si>
    <t>管理操作の記録テーブル定義（ブランド単位）</t>
    <phoneticPr fontId="3"/>
  </si>
  <si>
    <t>認証プロトコルIF（OIDCエンドポイント・クレーム）</t>
    <phoneticPr fontId="3"/>
  </si>
  <si>
    <t>認証プロトコルIF（SAMLメタデータ・Assertion）</t>
    <phoneticPr fontId="3"/>
  </si>
  <si>
    <t>外部IF 顧客IdP（SAML/OIDC差分）</t>
    <phoneticPr fontId="3"/>
  </si>
  <si>
    <t>鍵・証明書一覧：署名に使う鍵</t>
    <phoneticPr fontId="3"/>
  </si>
  <si>
    <t>運用設計：監査ログ イベント一覧</t>
    <phoneticPr fontId="3"/>
  </si>
  <si>
    <t>運用設計：監査ログ 取得項目・保持年数・置き場所</t>
    <phoneticPr fontId="3"/>
  </si>
  <si>
    <t>セキュリティ：攻撃経路対応表（33 経路×対策）</t>
    <phoneticPr fontId="3"/>
  </si>
  <si>
    <t>運用設計：監視項目一覧（メトリクス）</t>
    <phoneticPr fontId="3"/>
  </si>
  <si>
    <t>運用設計：監視項目一覧（ログ・合成監視）</t>
    <phoneticPr fontId="3"/>
  </si>
  <si>
    <t>運用設計：閾値・通知先設計</t>
    <phoneticPr fontId="3"/>
  </si>
  <si>
    <t>運用設計：環境設計書（本番 / stg / dev の構成差分）</t>
    <phoneticPr fontId="3"/>
  </si>
  <si>
    <t>単元間 整合性レビュー（第1回）</t>
    <phoneticPr fontId="3"/>
  </si>
  <si>
    <t>指摘対応・改訂（第1回）</t>
    <phoneticPr fontId="3"/>
  </si>
  <si>
    <t>単元間 整合性レビュー（第2回）</t>
    <phoneticPr fontId="3"/>
  </si>
  <si>
    <t>指摘対応・改訂（第2回）</t>
    <phoneticPr fontId="3"/>
  </si>
  <si>
    <t>Realm / Organizations 構成設計書</t>
    <phoneticPr fontId="3"/>
  </si>
  <si>
    <t>認証フローの組み立て順序（3 系統）</t>
    <phoneticPr fontId="3"/>
  </si>
  <si>
    <t>自社拡張の配置・ビルド・版数管理の設計</t>
    <phoneticPr fontId="3"/>
  </si>
  <si>
    <t>JWT（通行証）に載せる項目と要求範囲の定義書</t>
    <phoneticPr fontId="3"/>
  </si>
  <si>
    <t>Client 登録テンプレート（アプリオンボーディング標準）</t>
    <phoneticPr fontId="3"/>
  </si>
  <si>
    <t>認証製品の設定値一覧</t>
    <phoneticPr fontId="3"/>
  </si>
  <si>
    <t>認証製品の設定値一覧（利用者を直接収容する側）</t>
    <phoneticPr fontId="3"/>
  </si>
  <si>
    <t>構成：クラスタ構成設計書（ノード群・配置制約・自動増減）</t>
    <phoneticPr fontId="3"/>
  </si>
  <si>
    <t>構成：クラスタ運用の境界と責任分界（ベンダー保守との分担）</t>
    <phoneticPr fontId="3"/>
  </si>
  <si>
    <t>責任分界表／渡す相手: 全顧客（契約添付）</t>
    <phoneticPr fontId="3"/>
  </si>
  <si>
    <t>SLA / SLO 定義書（顧客向け）／渡す相手: 全顧客（契約添付）</t>
    <phoneticPr fontId="3"/>
  </si>
  <si>
    <t>アプリ側の実装ガイド（アプリ開発者向け）／渡す相手: 接続アプリ開発者</t>
    <phoneticPr fontId="3"/>
  </si>
  <si>
    <t>サービス仕様書・制約事項一覧（ゾンビ窓/ログアウト限界/再認証の明示）／渡す相手: 全顧客</t>
    <phoneticPr fontId="3"/>
  </si>
  <si>
    <t>第3部 Webアプリ（BFF / SSR）</t>
    <phoneticPr fontId="3"/>
  </si>
  <si>
    <t>第3部 SPA（ブラウザ）</t>
    <phoneticPr fontId="3"/>
  </si>
  <si>
    <t>第4部 認可リクエスト</t>
    <phoneticPr fontId="3"/>
  </si>
  <si>
    <t>第4部 トークン取得・保存</t>
    <phoneticPr fontId="3"/>
  </si>
  <si>
    <t>第4部 アクセストークン検証（RS必須7点）</t>
    <phoneticPr fontId="3"/>
  </si>
  <si>
    <t>第4部 ID Token検証</t>
    <phoneticPr fontId="3"/>
  </si>
  <si>
    <t>第4部 JWKS取得・鍵ローテ追随</t>
    <phoneticPr fontId="3"/>
  </si>
  <si>
    <t>第4部 セッション管理</t>
    <phoneticPr fontId="3"/>
  </si>
  <si>
    <t>第4部 ログアウト3方式の使い分け</t>
    <phoneticPr fontId="3"/>
  </si>
  <si>
    <t>第4部 Back-Channel Logout受信実装</t>
    <phoneticPr fontId="3"/>
  </si>
  <si>
    <t>第4部 リフレッシュトークン</t>
    <phoneticPr fontId="3"/>
  </si>
  <si>
    <t>接続先の数を実測せず仮定値のまま設計を進めるため、その根拠と、あとで見直す条件を文書に残す</t>
    <phoneticPr fontId="3"/>
  </si>
  <si>
    <t>誰が何をしたかの記録を、ブランドごとに分けて持つか中央に集めるかを決める</t>
    <phoneticPr fontId="3"/>
  </si>
  <si>
    <t>旧方式の接続先を登録するときのひな形を作る</t>
    <phoneticPr fontId="3"/>
  </si>
  <si>
    <t>接続先の証明書を止めずに入れ替えるための運用手順を決める</t>
    <phoneticPr fontId="3"/>
  </si>
  <si>
    <t>一時的に強い権限を出す機能をどこに置くかを決める</t>
    <phoneticPr fontId="3"/>
  </si>
  <si>
    <t>顧客の希望する復旧時間と、現在の方式で実現できる時間の差を数値で明らかにする</t>
    <phoneticPr fontId="3"/>
  </si>
  <si>
    <t>分析を踏まえ、復旧方式をどうするかを決める</t>
    <phoneticPr fontId="3"/>
  </si>
  <si>
    <t>決めた復旧方式を関連する設計書に反映する</t>
    <phoneticPr fontId="3"/>
  </si>
  <si>
    <t>復旧作業の手順書の骨子を作る</t>
    <phoneticPr fontId="3"/>
  </si>
  <si>
    <t>運用委託先から個人情報が見えないよう、記録の出し方の方式を決める</t>
    <phoneticPr fontId="3"/>
  </si>
  <si>
    <t>開発・検証用の環境について、費用と共用のしかたを調査する</t>
    <phoneticPr fontId="3"/>
  </si>
  <si>
    <t>開発・検証環境をいくつ、どう分けて持つかを決める</t>
    <phoneticPr fontId="3"/>
  </si>
  <si>
    <t>試験に使うデータの作り方と、環境にかかる費用を見積もる</t>
    <phoneticPr fontId="3"/>
  </si>
  <si>
    <t>性能試験の全体計画を 1 本にまとめる</t>
    <phoneticPr fontId="3"/>
  </si>
  <si>
    <t>認証製品の本番向け設定のうち、詰め残していた 5 項目を確定する</t>
    <phoneticPr fontId="3"/>
  </si>
  <si>
    <t>製品を新しい版へ上げる際の運用手順を精密化する</t>
    <phoneticPr fontId="3"/>
  </si>
  <si>
    <t>顧客が解約するときの段階的な削除手順を手順書にする</t>
    <phoneticPr fontId="3"/>
  </si>
  <si>
    <t>情報漏えいが起きたときの報告手順を手順書にする</t>
    <phoneticPr fontId="3"/>
  </si>
  <si>
    <t>通常経路が使えないときに管理者が入る手順を手順書にする</t>
    <phoneticPr fontId="3"/>
  </si>
  <si>
    <t>災害時に切り替えるかどうかの判断手順を手順書にする</t>
    <phoneticPr fontId="3"/>
  </si>
  <si>
    <t>切替先の地域で環境を作り直す手順を手順書にする</t>
    <phoneticPr fontId="3"/>
  </si>
  <si>
    <t>保存してあるデータから復元する手順を手順書にする</t>
    <phoneticPr fontId="3"/>
  </si>
  <si>
    <t>元の地域へ戻す手順を手順書にする</t>
    <phoneticPr fontId="3"/>
  </si>
  <si>
    <t>当番体制を組み、警報の通知先を割り当てる</t>
    <phoneticPr fontId="3"/>
  </si>
  <si>
    <t>ネットワーク詳細図を清書する</t>
    <phoneticPr fontId="3"/>
  </si>
  <si>
    <t>設計書全体の入口となる章。目的・扱う範囲・読み方をまとめる</t>
    <phoneticPr fontId="3"/>
  </si>
  <si>
    <t>設計の土台となる前提条件を一覧にし、変わった場合にどこへ影響するかを示す</t>
    <phoneticPr fontId="3"/>
  </si>
  <si>
    <t>設計書で使う言葉の意味を統一する</t>
    <phoneticPr fontId="3"/>
  </si>
  <si>
    <t>システム全体の構成を、機能のまとまりで表した図。清書（旧 G-4.1）を含む</t>
    <phoneticPr fontId="3"/>
  </si>
  <si>
    <t>システム全体の構成を、実際の設備配置で表した図。清書（旧 G-4.1）を含む</t>
    <phoneticPr fontId="3"/>
  </si>
  <si>
    <t>ログイン状態をどう保持するかの全体方針</t>
    <phoneticPr fontId="3"/>
  </si>
  <si>
    <t>文字の扱い・日時の扱い・時差の扱いを統一する方針</t>
    <phoneticPr fontId="3"/>
  </si>
  <si>
    <t>よく使うデータを一時的に手元に置く仕組みの方針</t>
    <phoneticPr fontId="3"/>
  </si>
  <si>
    <t>各種の識別番号を誰がどう採番するかの方針</t>
    <phoneticPr fontId="3"/>
  </si>
  <si>
    <t>設備・接続先・データの名前の付け方の決まり</t>
    <phoneticPr fontId="3"/>
  </si>
  <si>
    <t>設備を設定ファイルで管理する際の書き方の決まり</t>
    <phoneticPr fontId="3"/>
  </si>
  <si>
    <t>性能や可用性などの目標値が、設計のどこで実現されるかを対応づけた表</t>
    <phoneticPr fontId="3"/>
  </si>
  <si>
    <t>性能の目標値と、それを達成するための考え方をまとめた設計書</t>
    <phoneticPr fontId="3"/>
  </si>
  <si>
    <t>要件・機能・設計・試験の対応関係を一覧にした表</t>
    <phoneticPr fontId="3"/>
  </si>
  <si>
    <t>暗号化に使う鍵を、種類ごとにどう管理するかの設計</t>
    <phoneticPr fontId="3"/>
  </si>
  <si>
    <t>利用者 ID とパスワードで直接ログインする機能。顧客側に認証システムがないテナントの利用者と、基盤の運用担当者が使う</t>
    <phoneticPr fontId="3"/>
  </si>
  <si>
    <t>顧客が持っている認証システムに認証を委ね、その結果を受け取ってログインさせる機能（標準的な連携方式）</t>
    <phoneticPr fontId="3"/>
  </si>
  <si>
    <t>顧客が持っている認証システムのうち、旧来の方式で連携する場合のログイン機能</t>
    <phoneticPr fontId="3"/>
  </si>
  <si>
    <t>スマートフォンアプリで生成する 6 桁の数字による追加認証</t>
    <phoneticPr fontId="3"/>
  </si>
  <si>
    <t>スマートフォンアプリの追加認証を初めて登録する画面の流れ</t>
    <phoneticPr fontId="3"/>
  </si>
  <si>
    <t>通行証の署名に使う鍵を定期的に入れ替える処理。切り替え中も止めないための並走期間を含む</t>
    <phoneticPr fontId="3"/>
  </si>
  <si>
    <t>アプリごとの接続用パスワードを定期的に入れ替える処理</t>
    <phoneticPr fontId="3"/>
  </si>
  <si>
    <t>証明書の期限切れが近いものを検出して通知する処理</t>
    <phoneticPr fontId="3"/>
  </si>
  <si>
    <t>接続仕様が返すエラーの種類と番号の体系（アプリが判定に使う）</t>
    <phoneticPr fontId="3"/>
  </si>
  <si>
    <t>誰が何をしたかの記録を保持する表の定義。顧客のまとまりごとに分けて持つ</t>
    <phoneticPr fontId="3"/>
  </si>
  <si>
    <t>標準方式の認証連携で、やり取りする情報の仕様。内訳: 認可エンドポイント / トークンエンドポイント / クレーム / ログアウト</t>
    <phoneticPr fontId="3"/>
  </si>
  <si>
    <t>旧方式の認証連携で、やり取りする情報の仕様。内訳: メタデータ / Assertion / シングルログアウト</t>
    <phoneticPr fontId="3"/>
  </si>
  <si>
    <t>顧客の認証システムごとの接続仕様の差分整理</t>
    <phoneticPr fontId="3"/>
  </si>
  <si>
    <t>トークンに署名する鍵の一覧と、入れ替えの手順を整理する</t>
    <phoneticPr fontId="3"/>
  </si>
  <si>
    <t>あとから追跡できるよう記録に残しておく操作を洗い出して一覧にする</t>
    <phoneticPr fontId="3"/>
  </si>
  <si>
    <t>記録に残す項目と、何年保つかの表</t>
    <phoneticPr fontId="3"/>
  </si>
  <si>
    <t>想定される攻撃の経路と、それぞれへの対策の対応表</t>
    <phoneticPr fontId="3"/>
  </si>
  <si>
    <t>システムが正常に動いているか判断するために監視する数値を洗い出して一覧にする</t>
    <phoneticPr fontId="3"/>
  </si>
  <si>
    <t>監視する記録と、外形からの確認項目の一覧</t>
    <phoneticPr fontId="3"/>
  </si>
  <si>
    <t>異常と判断する基準値と、誰に知らせるかの設計</t>
    <phoneticPr fontId="3"/>
  </si>
  <si>
    <t>本番・検証・開発の各環境の違いをまとめた設計書</t>
    <phoneticPr fontId="3"/>
  </si>
  <si>
    <t>設計書間で矛盾がないかを通しで確認する（1 回目）</t>
    <phoneticPr fontId="3"/>
  </si>
  <si>
    <t>1 回目の指摘に対応して設計書を直す</t>
    <phoneticPr fontId="3"/>
  </si>
  <si>
    <t>設計書間で矛盾がないかを通しで確認する（2 回目）</t>
    <phoneticPr fontId="3"/>
  </si>
  <si>
    <t>2 回目の指摘に対応して設計書を直す</t>
    <phoneticPr fontId="3"/>
  </si>
  <si>
    <t>顧客をまとめる単位と区画の構成を決める（外部連携を受ける側）</t>
    <phoneticPr fontId="3"/>
  </si>
  <si>
    <t>ログイン処理の組み立て順序を決める（外部連携を受ける側の 3 系統）</t>
    <phoneticPr fontId="3"/>
  </si>
  <si>
    <t>拡張機能をどこに配置し、どう版を管理するかの設計</t>
    <phoneticPr fontId="3"/>
  </si>
  <si>
    <t>通行証に載せる情報の生成規則の定義</t>
    <phoneticPr fontId="3"/>
  </si>
  <si>
    <t>新しいアプリを接続するときの登録内容のひな形</t>
    <phoneticPr fontId="3"/>
  </si>
  <si>
    <t>認証製品の設定値を決める（外部連携を受ける側）</t>
    <phoneticPr fontId="3"/>
  </si>
  <si>
    <t>認証製品の設定値を決める（利用者を直接収容する側）</t>
    <phoneticPr fontId="3"/>
  </si>
  <si>
    <t>実行基盤の構成設計。サーバーの種類・台数・役割分担</t>
    <phoneticPr fontId="3"/>
  </si>
  <si>
    <t>実行基盤の運用について、委託先と自社の分担を整理する</t>
    <phoneticPr fontId="3"/>
  </si>
  <si>
    <t>顧客と本基盤のどちらが何に責任を持つかを示す表</t>
    <phoneticPr fontId="3"/>
  </si>
  <si>
    <t>顧客に約束する稼働率と復旧目標をまとめた文書</t>
    <phoneticPr fontId="3"/>
  </si>
  <si>
    <t>（廃止）アプリ開発者向けの実装ガイド。章ごとに分割したため、この行では作業しない</t>
    <phoneticPr fontId="3"/>
  </si>
  <si>
    <t>サービスの仕様と、利用上の制約をまとめた文書</t>
    <phoneticPr fontId="3"/>
  </si>
  <si>
    <t>サーバー側で処理を受け持つ形式のアプリ向けの実装手順。本基盤の推奨形式</t>
    <phoneticPr fontId="3"/>
  </si>
  <si>
    <t>ブラウザだけで動く形式のアプリ向けの実装手順と、認める条件</t>
    <phoneticPr fontId="3"/>
  </si>
  <si>
    <t>ログインを開始するときにアプリが必ず付ける情報と、やってはいけない古い方式</t>
    <phoneticPr fontId="3"/>
  </si>
  <si>
    <t>受け取った通行証をどこに保存してよいか・いけないかの方針</t>
    <phoneticPr fontId="3"/>
  </si>
  <si>
    <t>アプリが受け取った通行証を検証するときの必須チェック項目。設定を誤ると検証が素通りする落とし穴の警告を含む</t>
    <phoneticPr fontId="3"/>
  </si>
  <si>
    <t>ログインした本人を表す情報を検証する手順</t>
    <phoneticPr fontId="3"/>
  </si>
  <si>
    <t>署名の検証に使う鍵の取得方法と、鍵が入れ替わっても止まらないための保持方法。鍵をアプリ内に直接書くことは禁止</t>
    <phoneticPr fontId="3"/>
  </si>
  <si>
    <t>ログイン状態がどれくらい続くのか、いつ切れるのかの説明</t>
    <phoneticPr fontId="3"/>
  </si>
  <si>
    <t>ログアウトの 3 つの方式の違いと、どれをいつ使うかの整理。1 つ実装すれば全アプリで切れる、という誤解を正す</t>
    <phoneticPr fontId="3"/>
  </si>
  <si>
    <t>他のアプリでのログアウトを受け取って自分のセッションも切る実装。受け取った通知の検証項目を含む</t>
    <phoneticPr fontId="3"/>
  </si>
  <si>
    <t>通行証を延長するための仕組みと、不正利用が疑われた場合の挙動</t>
    <phoneticPr fontId="3"/>
  </si>
  <si>
    <t>根拠の整理メモ。仮定値の出どころと見直しの判断基準が明記されている</t>
    <phoneticPr fontId="3"/>
  </si>
  <si>
    <t>判断記録。保存年数との整合を含め、置き場所が定まっている</t>
    <phoneticPr fontId="3"/>
  </si>
  <si>
    <t>ひな形定義。項目の対応づけが定まっている</t>
    <phoneticPr fontId="3"/>
  </si>
  <si>
    <t>→ 収載先: 鍵・証明書管理設計書。決定記録。自動追随が使えない場合の手動手順も含む</t>
    <phoneticPr fontId="3"/>
  </si>
  <si>
    <t>決定記録</t>
    <phoneticPr fontId="3"/>
  </si>
  <si>
    <t>分析結果。差分と、その原因となる制約が数値で示されている</t>
    <phoneticPr fontId="3"/>
  </si>
  <si>
    <t>決定記録。方式が 1 つに確定している</t>
    <phoneticPr fontId="3"/>
  </si>
  <si>
    <t>改訂済みの設計記述 3 冊</t>
    <phoneticPr fontId="3"/>
  </si>
  <si>
    <t>手順書の骨子。実際の作業順序が追える</t>
    <phoneticPr fontId="3"/>
  </si>
  <si>
    <t>→ 収載先: ログ設計書。決定記録。出力内容の伏せ方と、設定を固定する方法が定まっている</t>
    <phoneticPr fontId="3"/>
  </si>
  <si>
    <t>調査結果。費用の見込みと共用可能な範囲が整理されている</t>
    <phoneticPr fontId="3"/>
  </si>
  <si>
    <t>方針書。環境の数と分け方、共用範囲が定まっている</t>
    <phoneticPr fontId="3"/>
  </si>
  <si>
    <t>方針と見積。本物の個人情報を使わない作り方が定まっている</t>
    <phoneticPr fontId="3"/>
  </si>
  <si>
    <t>計画書。試験の道具・データ・合格基準が定まっている</t>
    <phoneticPr fontId="3"/>
  </si>
  <si>
    <t>設定値。5 項目それぞれの値と根拠が定まっている</t>
    <phoneticPr fontId="3"/>
  </si>
  <si>
    <t>手順設計。事前確認の方法と、停止を伴う場合の作業時間帯が定まっている</t>
    <phoneticPr fontId="3"/>
  </si>
  <si>
    <t>手順書。猶予期間・データの引き渡し・完了の証明までが書かれている</t>
    <phoneticPr fontId="3"/>
  </si>
  <si>
    <t>手順書。法令が求める期限と報告先が書かれている</t>
    <phoneticPr fontId="3"/>
  </si>
  <si>
    <t>手順書。発動条件・承認者・事後の監査までが書かれている</t>
    <phoneticPr fontId="3"/>
  </si>
  <si>
    <t>手順書。判断基準と判断者が明確になっている</t>
    <phoneticPr fontId="3"/>
  </si>
  <si>
    <t>手順書。所要時間の見込みつきで作業が順に書かれている</t>
    <phoneticPr fontId="3"/>
  </si>
  <si>
    <t>手順書。時点を指定した復元の方法まで書かれている</t>
    <phoneticPr fontId="3"/>
  </si>
  <si>
    <t>手順書。戻した後の整合確認まで書かれている</t>
    <phoneticPr fontId="3"/>
  </si>
  <si>
    <t>当番表と通知設定。夜間・休日の連絡経路が定まっている</t>
    <phoneticPr fontId="3"/>
  </si>
  <si>
    <t>構成図。閉域接続とイベント経路が反映されている</t>
    <phoneticPr fontId="3"/>
  </si>
  <si>
    <t>総則の章。範囲外の事項も明示されている</t>
    <phoneticPr fontId="3"/>
  </si>
  <si>
    <t>前提一覧。各前提に影響範囲が紐づいている</t>
    <phoneticPr fontId="3"/>
  </si>
  <si>
    <t>用語集。本文で使う用語が漏れなく定義されている</t>
    <phoneticPr fontId="3"/>
  </si>
  <si>
    <t>論理構成図。主要な構成要素と関係が 1 枚で分かる</t>
    <phoneticPr fontId="3"/>
  </si>
  <si>
    <t>物理構成図。設備の配置と接続経路が示されている</t>
    <phoneticPr fontId="3"/>
  </si>
  <si>
    <t>方式設計。保持する場所と有効期間の考え方が定まっている</t>
    <phoneticPr fontId="3"/>
  </si>
  <si>
    <t>方式設計。保存時と表示時の扱いが定まっている</t>
    <phoneticPr fontId="3"/>
  </si>
  <si>
    <t>方式設計。置く対象・保持時間・古くなった際の捨て方が定まっている</t>
    <phoneticPr fontId="3"/>
  </si>
  <si>
    <t>方式設計。重複しない仕組みと、採番の責任者が定まっている</t>
    <phoneticPr fontId="3"/>
  </si>
  <si>
    <t>命名規約。名前から用途と所属が分かる形になっている</t>
    <phoneticPr fontId="3"/>
  </si>
  <si>
    <t>規約。書き方の統一と、レビュー観点が定まっている</t>
    <phoneticPr fontId="3"/>
  </si>
  <si>
    <t>対応表。すべての目標値に実現手段が紐づいている</t>
    <phoneticPr fontId="3"/>
  </si>
  <si>
    <t>性能設計書。目標値・処理方式・調整の余地が示されている</t>
    <phoneticPr fontId="3"/>
  </si>
  <si>
    <t>見積書。表ごとの件数と増加率、必要な容量が数値で示されている</t>
    <phoneticPr fontId="3"/>
  </si>
  <si>
    <t>対応表。要件から試験まで追跡でき、抜けが検出できる</t>
    <phoneticPr fontId="3"/>
  </si>
  <si>
    <t>→ 収載先: 鍵・証明書管理設計書。鍵管理設計書。鍵の種類・保管場所・入れ替え周期が定まっている</t>
    <phoneticPr fontId="3"/>
  </si>
  <si>
    <t>機能仕様書 1 本。パスワード桁数・履歴・初回変更の扱いと、失敗時に利用者へ返す内容が定義されレビュー承認済み</t>
    <phoneticPr fontId="3"/>
  </si>
  <si>
    <t>機能仕様書 1 本。委譲時に渡す情報・受け取る情報と、拒否された場合の扱いが定義されレビュー承認済み</t>
    <phoneticPr fontId="3"/>
  </si>
  <si>
    <t>機能仕様書 1 本。旧方式特有の識別子の扱いと、標準方式との差分が定義されレビュー承認済み</t>
    <phoneticPr fontId="3"/>
  </si>
  <si>
    <t>→ 収載先: 多要素認証設計書。機能仕様書 1 本。桁ずれの許容範囲と、連続失敗時の扱いが定義されレビュー承認済み</t>
    <phoneticPr fontId="3"/>
  </si>
  <si>
    <t>→ 収載先: 多要素認証設計書。機能仕様書 1 本。QR と手入力の両方を用意し、登録完了を確認してから有効化する手順が定義されレビュー承認済み</t>
    <phoneticPr fontId="3"/>
  </si>
  <si>
    <t>→ 収載先: 鍵・証明書管理設計書。機能仕様書 1 本。入れ替え周期・並走期間と、失敗時の手動手順が定義されレビュー承認済み</t>
    <phoneticPr fontId="3"/>
  </si>
  <si>
    <t>→ 収載先: 鍵・証明書管理設計書。機能仕様書 1 本。入れ替え周期と、切り替え中に接続が切れないための扱いが定義されレビュー承認済み</t>
    <phoneticPr fontId="3"/>
  </si>
  <si>
    <t>→ 収載先: 鍵・証明書管理設計書。機能仕様書 1 本。通知するタイミングと、通知先が定義されレビュー承認済み</t>
    <phoneticPr fontId="3"/>
  </si>
  <si>
    <t>エラーコード体系。番号の付け方と、意味の一覧が定まっている</t>
    <phoneticPr fontId="3"/>
  </si>
  <si>
    <t>表定義。記録する項目と、他テナントの記録が混ざらない仕組みが定まっている</t>
    <phoneticPr fontId="3"/>
  </si>
  <si>
    <t>仕様書。接続先の情報と、渡す項目が定まっている</t>
    <phoneticPr fontId="3"/>
  </si>
  <si>
    <t>仕様書。接続情報の受け渡し方と項目が定まっている</t>
    <phoneticPr fontId="3"/>
  </si>
  <si>
    <t>差分表。製品ごとの違いが一覧化されている</t>
    <phoneticPr fontId="3"/>
  </si>
  <si>
    <t>→ 収載先: 鍵・証明書管理設計書。一覧と手順。鍵の種類・保管場所・入れ替え周期が定まっている</t>
    <phoneticPr fontId="3"/>
  </si>
  <si>
    <t>→ 収載先: ログ設計書。イベント一覧。監査で必要な操作が漏れなく含まれている</t>
    <phoneticPr fontId="3"/>
  </si>
  <si>
    <t>→ 収載先: ログ設計書。項目表。すべての記録に保存年数が紐づいている</t>
    <phoneticPr fontId="3"/>
  </si>
  <si>
    <t>対応表。すべての経路に対策が紐づいている</t>
    <phoneticPr fontId="3"/>
  </si>
  <si>
    <t>項目一覧。取得元と用途が整理されている</t>
    <phoneticPr fontId="3"/>
  </si>
  <si>
    <t>項目一覧。確認の頻度が定まっている</t>
    <phoneticPr fontId="3"/>
  </si>
  <si>
    <t>閾値設計。すべての監視項目に基準値と通知先が紐づいている</t>
    <phoneticPr fontId="3"/>
  </si>
  <si>
    <t>環境設計書。環境ごとの差分が一覧化されている</t>
    <phoneticPr fontId="3"/>
  </si>
  <si>
    <t>レビュー記録。指摘が一覧化されている</t>
    <phoneticPr fontId="3"/>
  </si>
  <si>
    <t>改訂済みの設計書。指摘がすべて処理されている</t>
    <phoneticPr fontId="3"/>
  </si>
  <si>
    <t>レビュー記録。1 回目の指摘が解消されている</t>
    <phoneticPr fontId="3"/>
  </si>
  <si>
    <t>改訂済みの設計書。残課題が明示されている</t>
    <phoneticPr fontId="3"/>
  </si>
  <si>
    <t>構成設計書。顧客の収容方法と区画の分け方が定まっている</t>
    <phoneticPr fontId="3"/>
  </si>
  <si>
    <t>処理順序の設計書。3 系統それぞれの分岐が図で示されている</t>
    <phoneticPr fontId="3"/>
  </si>
  <si>
    <t>配置設計。組み込み方法と版の管理方法が定まっている</t>
    <phoneticPr fontId="3"/>
  </si>
  <si>
    <t>定義書。載せる項目と、載せない項目の区別が明確</t>
    <phoneticPr fontId="3"/>
  </si>
  <si>
    <t>ひな形。必要な設定が漏れなく含まれ、宛先の設定漏れを防ぐ仕組みがある</t>
    <phoneticPr fontId="3"/>
  </si>
  <si>
    <t>設定値一覧。有効期間・回数制限などが数値で定まっている</t>
    <phoneticPr fontId="3"/>
  </si>
  <si>
    <t>設定値一覧。パスワード条件を含め数値で定まっている</t>
    <phoneticPr fontId="3"/>
  </si>
  <si>
    <t>構成設計書。役割ごとの分離と増減の考え方が定まっている</t>
    <phoneticPr fontId="3"/>
  </si>
  <si>
    <t>分担表。どちらが何をするかが明確になっている</t>
    <phoneticPr fontId="3"/>
  </si>
  <si>
    <t>責任分界表。契約に添付できる粒度で整理されている</t>
    <phoneticPr fontId="3"/>
  </si>
  <si>
    <t>定義書。数値と、達成できなかった場合の扱いが定まっている</t>
    <phoneticPr fontId="3"/>
  </si>
  <si>
    <t>作業なし。分割先の各章で実施する</t>
    <phoneticPr fontId="3"/>
  </si>
  <si>
    <t>仕様書。止めてから完全に切れるまでの時間差など、注意すべき制約が明記されている</t>
    <phoneticPr fontId="3"/>
  </si>
  <si>
    <t>ガイド 1 章。推奨する理由と、この形式でしか使えない機能が明示されている</t>
    <phoneticPr fontId="3"/>
  </si>
  <si>
    <t>ガイド 1 章。通行証をブラウザに保存してはいけない範囲と、使えない機能の制約が明示されている</t>
    <phoneticPr fontId="3"/>
  </si>
  <si>
    <t>ガイド 1 章。必須パラメータと禁止事項が判定可能な形で列挙されている</t>
    <phoneticPr fontId="3"/>
  </si>
  <si>
    <t>ガイド 1 章。保存場所ごとの可否と理由が示されている</t>
    <phoneticPr fontId="3"/>
  </si>
  <si>
    <t>ガイド 1 章。7 つの検証項目と、宛先の設定漏れで検証が無効化される罠の警告が示されている</t>
    <phoneticPr fontId="3"/>
  </si>
  <si>
    <t>ガイド 1 章。必須の検証項目と、追加情報を問い合わせた場合の突き合わせ要件が示されている</t>
    <phoneticPr fontId="3"/>
  </si>
  <si>
    <t>ガイド 1 章。取得の頻度・保持期間・未知の鍵が来た場合の動き・取得できないときの継続方法が数値で示されている</t>
    <phoneticPr fontId="3"/>
  </si>
  <si>
    <t>ガイド 1 章。有効期間の一覧と、切れたときのアプリ側の動きが示されている</t>
    <phoneticPr fontId="3"/>
  </si>
  <si>
    <t>ガイド 1 章。3 方式の関係と責任分界が図で示されている</t>
    <phoneticPr fontId="3"/>
  </si>
  <si>
    <t>ガイド 1 章。8 つの検証項目が列挙され、検証を省くと強制ログアウトの悪用が可能になる旨が警告されている</t>
    <phoneticPr fontId="3"/>
  </si>
  <si>
    <t>ガイド 1 章。延長時の入れ替え要件と、失効したときのアプリ側の動きが示されている</t>
    <phoneticPr fontId="3"/>
  </si>
  <si>
    <t>構成の前提</t>
    <phoneticPr fontId="3"/>
  </si>
  <si>
    <t>代替手段あり</t>
    <phoneticPr fontId="3"/>
  </si>
  <si>
    <t>事故防止</t>
    <phoneticPr fontId="3"/>
  </si>
  <si>
    <t>認証の中核</t>
    <phoneticPr fontId="3"/>
  </si>
  <si>
    <t>製品機能</t>
    <phoneticPr fontId="3"/>
  </si>
  <si>
    <t>画面のみ</t>
    <phoneticPr fontId="3"/>
  </si>
  <si>
    <t>法令・契約</t>
    <phoneticPr fontId="3"/>
  </si>
  <si>
    <t>運用に必須</t>
    <phoneticPr fontId="3"/>
  </si>
  <si>
    <t>横断（対象縮小）</t>
    <phoneticPr fontId="3"/>
  </si>
  <si>
    <t>業務データ</t>
    <phoneticPr fontId="3"/>
  </si>
  <si>
    <t>利用者が 1 箇所になり不要</t>
    <phoneticPr fontId="3"/>
  </si>
  <si>
    <t>改ざん防止</t>
    <phoneticPr fontId="3"/>
  </si>
  <si>
    <t>構成が成立するかの確認で、機能を減らしても確かめる必要は残る</t>
    <phoneticPr fontId="3"/>
  </si>
  <si>
    <t>顧客の認証システムへ委ねる中核で、これが無いと基盤の存在理由が無い</t>
    <phoneticPr fontId="3"/>
  </si>
  <si>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3"/>
  </si>
  <si>
    <t>通常のシステム監視と手動更新で代替でき、無くても認証は止まらない</t>
    <phoneticPr fontId="3"/>
  </si>
  <si>
    <t>構成の前提を決める判断で、先送りすると後続が全て止まる</t>
    <phoneticPr fontId="3"/>
  </si>
  <si>
    <t>【省略・吸収】ステップアップ認証は不要と決定。人日は復活時のために残す</t>
    <phoneticPr fontId="3"/>
  </si>
  <si>
    <t>【省略・吸収】HG-05 に吸収（監査ログの置き場所・保持年数）。人日は復活時のために残す</t>
    <phoneticPr fontId="3"/>
  </si>
  <si>
    <t>【省略・吸収】HJ-14 IdP 接続仕様テンプレート（SAML/OIDC 別）に吸収。人日は復活時のために残す</t>
    <phoneticPr fontId="3"/>
  </si>
  <si>
    <t>【省略・吸収】E-1.2 に吸収（費用比較は構成決定と一体）。人日は復活時のために残す</t>
    <phoneticPr fontId="3"/>
  </si>
  <si>
    <t>環境や製品設定は、機能を減らしても同じだけ必要になる</t>
    <phoneticPr fontId="3"/>
  </si>
  <si>
    <t>【省略・吸収】④ テストで計上（試験用データの作り方）。人日は復活時のために残す</t>
    <phoneticPr fontId="3"/>
  </si>
  <si>
    <t>見る画面はアプリでよいが、記録そのものは改ざん防止のため基盤が持つ</t>
    <phoneticPr fontId="3"/>
  </si>
  <si>
    <t>手順書が無いと運用が回らず、作っただけで終わる</t>
    <phoneticPr fontId="3"/>
  </si>
  <si>
    <t>入れ替えを止めると、漏れた鍵がいつまでも有効なままになる</t>
    <phoneticPr fontId="3"/>
  </si>
  <si>
    <t>方式は 1 機能でも 91 機能でも決める必要があり、対象が減っても消えない</t>
    <phoneticPr fontId="3"/>
  </si>
  <si>
    <t>ログイン状態は認証製品が持つため全アプリ共通。アプリ内の保持方法はアプリが決めるが、全体の有効期間は 1 つの設定で全アプリに効くため共同で決める</t>
    <phoneticPr fontId="3"/>
  </si>
  <si>
    <t>認証製品が持つ一時保持は全アプリ共通。アプリ内の一時保持はアプリが決めるが、製品側の設定は共同で決める</t>
    <phoneticPr fontId="3"/>
  </si>
  <si>
    <t>識別番号のうち利用者を指すものは認証製品が発行するため共通。アプリ内の番号はアプリが決める</t>
    <phoneticPr fontId="3"/>
  </si>
  <si>
    <t>応答時間の目標は、アプリの作り方と基盤の設備の両方で決まるため共同で決める</t>
    <phoneticPr fontId="3"/>
  </si>
  <si>
    <t>同上。達成手段が基盤側とアプリ側にまたがる</t>
    <phoneticPr fontId="3"/>
  </si>
  <si>
    <t>顧客側に認証の仕組みが無い場合の受け皿で、IdP として成立させる前提</t>
    <phoneticPr fontId="3"/>
  </si>
  <si>
    <t>認証製品の機能として提供されるため、切り離して他所に持たせられない</t>
    <phoneticPr fontId="3"/>
  </si>
  <si>
    <t>切れると全顧客のログインが黙って止まるため、期限の監視は外せない</t>
    <phoneticPr fontId="3"/>
  </si>
  <si>
    <t>対象の画面が減るぶん縮むが、画面設計という作業自体は残る</t>
    <phoneticPr fontId="3"/>
  </si>
  <si>
    <t>【省略・吸収】② 詳細設計 DDD-07 で計上。人日は復活時のために残す</t>
    <phoneticPr fontId="3"/>
  </si>
  <si>
    <t>【省略・吸収】HJ-14 に吸収。人日は復活時のために残す</t>
    <phoneticPr fontId="3"/>
  </si>
  <si>
    <t>記録する側と操作する側を分けないと、監査の意味が無くなる</t>
    <phoneticPr fontId="3"/>
  </si>
  <si>
    <t>運用の手順が無いと、作っても回せない</t>
    <phoneticPr fontId="3"/>
  </si>
  <si>
    <t>対象が減るぶん縮むが、突き合わせと合意の場は必ず要る</t>
    <phoneticPr fontId="3"/>
  </si>
  <si>
    <t>認証製品をどう組むかは、利用者管理を誰が作るかとは無関係に決まる</t>
    <phoneticPr fontId="3"/>
  </si>
  <si>
    <t>収容側の設定値一覧。受付側（HJ-10a）に統合される</t>
    <phoneticPr fontId="3"/>
  </si>
  <si>
    <t>顧客への約束は機能の数では変わらない</t>
    <phoneticPr fontId="3"/>
  </si>
  <si>
    <t>対象外：省略・吸収</t>
    <phoneticPr fontId="3"/>
  </si>
  <si>
    <t>新規: 自社構築</t>
    <phoneticPr fontId="3"/>
  </si>
  <si>
    <t>当初あり</t>
    <phoneticPr fontId="3"/>
  </si>
  <si>
    <t>新規: 機能追加</t>
    <phoneticPr fontId="3"/>
  </si>
  <si>
    <t>新規: 規模</t>
    <phoneticPr fontId="3"/>
  </si>
  <si>
    <t>新規: 非機能・運用</t>
    <phoneticPr fontId="3"/>
  </si>
  <si>
    <t>着手</t>
    <phoneticPr fontId="3"/>
  </si>
  <si>
    <t>廃止（→ H-Lへ全面展開）</t>
    <phoneticPr fontId="3"/>
  </si>
  <si>
    <t>行ラベル</t>
  </si>
  <si>
    <t>総計</t>
  </si>
  <si>
    <t>追加認証（数字コード）</t>
    <phoneticPr fontId="3"/>
  </si>
  <si>
    <t>追加認証の登録（数字コード）</t>
    <phoneticPr fontId="3"/>
  </si>
  <si>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</si>
  <si>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</si>
  <si>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</si>
  <si>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</si>
  <si>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WBS行数(検算)</t>
  </si>
  <si>
    <t>WBS人日(検算)</t>
  </si>
  <si>
    <t>差異</t>
  </si>
  <si>
    <t>アプリ</t>
  </si>
  <si>
    <t>△</t>
  </si>
  <si>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</si>
  <si>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</si>
  <si>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</si>
  <si>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</si>
  <si>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</si>
  <si>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</si>
  <si>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</si>
  <si>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</si>
  <si>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</si>
  <si>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</si>
  <si>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</si>
  <si>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</si>
  <si>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</si>
  <si>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</si>
  <si>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</si>
  <si>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</si>
  <si>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</si>
  <si>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</si>
  <si>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</si>
  <si>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</si>
  <si>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</si>
  <si>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</si>
  <si>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</si>
  <si>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</si>
  <si>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</si>
  <si>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</si>
  <si>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</si>
  <si>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</si>
  <si>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</si>
  <si>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</si>
  <si>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</si>
  <si>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</si>
  <si>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</si>
  <si>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</si>
  <si>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</si>
  <si>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</si>
  <si>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</si>
  <si>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</si>
  <si>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</si>
  <si>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</si>
  <si>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</si>
  <si>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</si>
  <si>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</si>
  <si>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</si>
  <si>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</si>
  <si>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</si>
  <si>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</si>
  <si>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</si>
  <si>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</si>
  <si>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</si>
  <si>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</si>
  <si>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</si>
  <si>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</si>
  <si>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</si>
  <si>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</si>
  <si>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</si>
  <si>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</si>
  <si>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</si>
  <si>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</si>
  <si>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</si>
  <si>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</si>
  <si>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</si>
  <si>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</si>
  <si>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3"/>
  </si>
  <si>
    <t>フェデレーションログイン</t>
    <phoneticPr fontId="3"/>
  </si>
  <si>
    <t>アプリ・外部連携</t>
    <phoneticPr fontId="3"/>
  </si>
  <si>
    <t>非機能: 設計管理</t>
    <phoneticPr fontId="3"/>
  </si>
  <si>
    <t>非機能: セキュリティ</t>
    <phoneticPr fontId="3"/>
  </si>
  <si>
    <t>非機能: 運用・監視</t>
    <phoneticPr fontId="3"/>
  </si>
  <si>
    <t>非機能: システム構成</t>
    <phoneticPr fontId="3"/>
  </si>
  <si>
    <t>接続先（顧客 IdP）管理</t>
    <phoneticPr fontId="3"/>
  </si>
  <si>
    <t>非機能: 可用性・災害対策</t>
    <phoneticPr fontId="3"/>
  </si>
  <si>
    <t>認可・権限判定</t>
    <phoneticPr fontId="3"/>
  </si>
  <si>
    <t>非機能: 移行・環境</t>
    <phoneticPr fontId="3"/>
  </si>
  <si>
    <t>ローカルログイン（Keycloak-IdP 収容）</t>
    <phoneticPr fontId="3"/>
  </si>
  <si>
    <t>顧客・組織管理</t>
    <phoneticPr fontId="3"/>
  </si>
  <si>
    <t>セッション・ログアウト</t>
    <phoneticPr fontId="3"/>
  </si>
  <si>
    <t>非機能: 設計標準・規約</t>
    <phoneticPr fontId="3"/>
  </si>
  <si>
    <t>監査・記録</t>
    <phoneticPr fontId="3"/>
  </si>
  <si>
    <t>鍵・証明書管理</t>
    <phoneticPr fontId="3"/>
  </si>
  <si>
    <t>非機能: 提供ドキュメント</t>
    <phoneticPr fontId="3"/>
  </si>
  <si>
    <t>キャパシティ・データ量見積</t>
  </si>
  <si>
    <t>キャパシティ・データ量見積</t>
    <phoneticPr fontId="3"/>
  </si>
  <si>
    <t>SCIM 受信: 利用者の登録</t>
  </si>
  <si>
    <t>顧客認証システムへのログイン委譲（OIDC）</t>
  </si>
  <si>
    <t>顧客認証システムへのログイン委譲（OIDC）</t>
    <phoneticPr fontId="3"/>
  </si>
  <si>
    <t>顧客認証システムへのログイン委譲（SAML）</t>
  </si>
  <si>
    <t>顧客認証システムへのログイン委譲（SAML）</t>
    <phoneticPr fontId="3"/>
  </si>
  <si>
    <t>状態変化の即時通知（CAEP）</t>
  </si>
  <si>
    <t>顧客・ベンダーへの照会</t>
  </si>
  <si>
    <t>攻撃経路と対策</t>
  </si>
  <si>
    <t>攻撃経路と対策</t>
    <phoneticPr fontId="3"/>
  </si>
  <si>
    <t>製品更新・保守</t>
  </si>
  <si>
    <t>製品更新・保守</t>
    <phoneticPr fontId="3"/>
  </si>
  <si>
    <t>ネットワーク構成</t>
  </si>
  <si>
    <t>ネットワーク構成</t>
    <phoneticPr fontId="3"/>
  </si>
  <si>
    <t>クラスタ構成</t>
  </si>
  <si>
    <t>クラスタ構成</t>
    <phoneticPr fontId="3"/>
  </si>
  <si>
    <t>ログイン画面の表示（ブランド・並び順）</t>
  </si>
  <si>
    <t>災害対策（別地域への切替）</t>
  </si>
  <si>
    <t>災害対策（別地域への切替）</t>
    <phoneticPr fontId="3"/>
  </si>
  <si>
    <t>他組織との構成調整</t>
  </si>
  <si>
    <t>擬似ログインによる障害検知</t>
  </si>
  <si>
    <t>同時実行・上限値の設定</t>
  </si>
  <si>
    <t>同時実行・上限値の設定</t>
    <phoneticPr fontId="3"/>
  </si>
  <si>
    <t>管理操作の 3 段階権限確認</t>
  </si>
  <si>
    <t>管理操作の 3 段階権限確認</t>
    <phoneticPr fontId="3"/>
  </si>
  <si>
    <t>既存からの移行</t>
  </si>
  <si>
    <t>Keycloak-IdP 収容ユーザのログイン</t>
  </si>
  <si>
    <t>Keycloak-IdP 収容ユーザのログイン</t>
    <phoneticPr fontId="3"/>
  </si>
  <si>
    <t>Realm・ブランド区画構成</t>
  </si>
  <si>
    <t>Realm・ブランド区画構成</t>
    <phoneticPr fontId="3"/>
  </si>
  <si>
    <t>開発・検証環境</t>
  </si>
  <si>
    <t>開発・検証環境</t>
    <phoneticPr fontId="3"/>
  </si>
  <si>
    <t>性能試験の計画</t>
  </si>
  <si>
    <t>性能試験の計画</t>
    <phoneticPr fontId="3"/>
  </si>
  <si>
    <t>運用コストの管理</t>
  </si>
  <si>
    <t>鍵・暗号化の管理方式</t>
  </si>
  <si>
    <t>鍵・暗号化の管理方式</t>
    <phoneticPr fontId="3"/>
  </si>
  <si>
    <t>性能目標・チューニング方針</t>
  </si>
  <si>
    <t>性能目標・チューニング方針</t>
    <phoneticPr fontId="3"/>
  </si>
  <si>
    <t>顧客の解約</t>
  </si>
  <si>
    <t>運用手順書</t>
  </si>
  <si>
    <t>緊急時の管理者アクセス</t>
  </si>
  <si>
    <t>緊急時の管理者アクセス</t>
    <phoneticPr fontId="3"/>
  </si>
  <si>
    <t>強制ログアウト（管理者）</t>
  </si>
  <si>
    <t>バックアップ・復元</t>
  </si>
  <si>
    <t>バックアップ・復元</t>
    <phoneticPr fontId="3"/>
  </si>
  <si>
    <t>運用体制・当番</t>
  </si>
  <si>
    <t>運用体制・当番</t>
    <phoneticPr fontId="3"/>
  </si>
  <si>
    <t>設計書の総則・前提・用語</t>
  </si>
  <si>
    <t>設計書の総則・前提・用語</t>
    <phoneticPr fontId="3"/>
  </si>
  <si>
    <t>全体構成（論理・物理）</t>
  </si>
  <si>
    <t>全体構成（論理・物理）</t>
    <phoneticPr fontId="3"/>
  </si>
  <si>
    <t>共通方式（エラー・ログ・整合・排他ほか）</t>
  </si>
  <si>
    <t>共通方式（エラー・ログ・整合・排他ほか）</t>
    <phoneticPr fontId="3"/>
  </si>
  <si>
    <t>監査ログの取得・保管方式</t>
  </si>
  <si>
    <t>監査ログの取得・保管方式</t>
    <phoneticPr fontId="3"/>
  </si>
  <si>
    <t>個人情報の取り扱い</t>
  </si>
  <si>
    <t>個人情報の取り扱い</t>
    <phoneticPr fontId="3"/>
  </si>
  <si>
    <t>顧客番号と基盤識別子の対応づけ</t>
    <phoneticPr fontId="3"/>
  </si>
  <si>
    <t>命名・構成管理規約</t>
  </si>
  <si>
    <t>命名・構成管理規約</t>
    <phoneticPr fontId="3"/>
  </si>
  <si>
    <t>API 設計規約</t>
  </si>
  <si>
    <t>API 設計規約</t>
    <phoneticPr fontId="3"/>
  </si>
  <si>
    <t>トレーサビリティ</t>
  </si>
  <si>
    <t>トレーサビリティ</t>
    <phoneticPr fontId="3"/>
  </si>
  <si>
    <t>機能一覧・業務フロー</t>
  </si>
  <si>
    <t>ログイン状態の保持とタイムアウト</t>
  </si>
  <si>
    <t>ログイン状態の保持とタイムアウト</t>
    <phoneticPr fontId="3"/>
  </si>
  <si>
    <t>初回ログイン時のユーザ自動作成（JIT）</t>
  </si>
  <si>
    <t>Broker-Keycloak と IdP-Keycloak の連携</t>
  </si>
  <si>
    <t>2 台目の認証器登録時の本人再確認</t>
  </si>
  <si>
    <t>SCIM 受信: 利用者の更新</t>
  </si>
  <si>
    <t>SCIM 受信: 削除通知（無効化へ読み替え）</t>
  </si>
  <si>
    <t>SCIM 受信: 利用者の検索</t>
  </si>
  <si>
    <t>SCIM 受信: グループ連携</t>
  </si>
  <si>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</si>
  <si>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</si>
  <si>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</si>
  <si>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</si>
  <si>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3"/>
  </si>
  <si>
    <t>アプリへの変更通知（Webhook）</t>
  </si>
  <si>
    <t>画面一覧・画面遷移</t>
  </si>
  <si>
    <t>接続先の選択（1 テナントに複数 IdP）</t>
  </si>
  <si>
    <t>エラー・案内画面（ブローカー）</t>
  </si>
  <si>
    <t>利用規約への同意取得と記録</t>
  </si>
  <si>
    <t>IF 一覧・データ全体構成</t>
  </si>
  <si>
    <t>通行証（JWT）に載せる項目の定義</t>
  </si>
  <si>
    <t>通行証（JWT）に載せる項目の定義</t>
    <phoneticPr fontId="3"/>
  </si>
  <si>
    <t>署名鍵の定期入れ替え</t>
    <phoneticPr fontId="3"/>
  </si>
  <si>
    <t>接続用パスワードの定期入れ替え</t>
    <phoneticPr fontId="3"/>
  </si>
  <si>
    <t>証明書期限の監視</t>
    <phoneticPr fontId="3"/>
  </si>
  <si>
    <t>定期処理の実行基盤</t>
  </si>
  <si>
    <t>監視項目・閾値・通知</t>
  </si>
  <si>
    <t>監視項目・閾値・通知</t>
    <phoneticPr fontId="3"/>
  </si>
  <si>
    <t>環境構成（本番 / stg / dev）</t>
  </si>
  <si>
    <t>環境構成（本番 / stg / dev）</t>
    <phoneticPr fontId="3"/>
  </si>
  <si>
    <t>設計レビュー・説明会</t>
  </si>
  <si>
    <t>設計レビュー・説明会</t>
    <phoneticPr fontId="3"/>
  </si>
  <si>
    <t>アプリの接続登録（クライアント登録）</t>
  </si>
  <si>
    <t>アプリの接続登録（クライアント登録）</t>
    <phoneticPr fontId="3"/>
  </si>
  <si>
    <t>顧客向け説明資料</t>
  </si>
  <si>
    <t>顧客向け説明資料</t>
    <phoneticPr fontId="3"/>
  </si>
  <si>
    <t>稼働率・復旧目標（SLA / SLO）</t>
  </si>
  <si>
    <t>稼働率・復旧目標（SLA / SLO）</t>
    <phoneticPr fontId="3"/>
  </si>
  <si>
    <t>アプリ開発者向けガイド（共通部）</t>
  </si>
  <si>
    <t>アプリ開発者向けガイド（共通部）</t>
    <phoneticPr fontId="3"/>
  </si>
  <si>
    <t>本人からの開示・削除請求への対応</t>
  </si>
  <si>
    <t>アプリへのログアウト連携</t>
  </si>
  <si>
    <t>アプリへのログアウト連携</t>
    <phoneticPr fontId="3"/>
  </si>
  <si>
    <t>エラー・案内画面（アプリ）</t>
  </si>
  <si>
    <t>NF-PRF-02</t>
  </si>
  <si>
    <t>NF-PRF-02</t>
    <phoneticPr fontId="3"/>
  </si>
  <si>
    <t>F-AUTH-05</t>
    <phoneticPr fontId="3"/>
  </si>
  <si>
    <t>F-AUTH-06</t>
    <phoneticPr fontId="3"/>
  </si>
  <si>
    <t>NF-MGT-07</t>
  </si>
  <si>
    <t>NF-SEC-01</t>
  </si>
  <si>
    <t>NF-SEC-01</t>
    <phoneticPr fontId="3"/>
  </si>
  <si>
    <t>NF-OPS-05</t>
  </si>
  <si>
    <t>NF-OPS-05</t>
    <phoneticPr fontId="3"/>
  </si>
  <si>
    <t>NF-ARC-02</t>
  </si>
  <si>
    <t>NF-ARC-02</t>
    <phoneticPr fontId="3"/>
  </si>
  <si>
    <t>NF-ARC-03</t>
  </si>
  <si>
    <t>NF-ARC-03</t>
    <phoneticPr fontId="3"/>
  </si>
  <si>
    <t>F-AUTH-25</t>
  </si>
  <si>
    <t>NF-AVL-01</t>
  </si>
  <si>
    <t>NF-AVL-01</t>
    <phoneticPr fontId="3"/>
  </si>
  <si>
    <t>NF-ARC-06</t>
  </si>
  <si>
    <t>NF-PRF-03</t>
  </si>
  <si>
    <t>NF-PRF-03</t>
    <phoneticPr fontId="3"/>
  </si>
  <si>
    <t>F-AZ-06</t>
    <phoneticPr fontId="3"/>
  </si>
  <si>
    <t>NF-MIG-02</t>
  </si>
  <si>
    <t>F-AUTH-01</t>
    <phoneticPr fontId="3"/>
  </si>
  <si>
    <t>NF-ARC-04</t>
  </si>
  <si>
    <t>NF-ARC-04</t>
    <phoneticPr fontId="3"/>
  </si>
  <si>
    <t>NF-MIG-01</t>
  </si>
  <si>
    <t>NF-MIG-01</t>
    <phoneticPr fontId="3"/>
  </si>
  <si>
    <t>NF-PRF-04</t>
  </si>
  <si>
    <t>NF-PRF-04</t>
    <phoneticPr fontId="3"/>
  </si>
  <si>
    <t>NF-OPS-07</t>
  </si>
  <si>
    <t>NF-SEC-02</t>
  </si>
  <si>
    <t>NF-SEC-02</t>
    <phoneticPr fontId="3"/>
  </si>
  <si>
    <t>NF-PRF-01</t>
  </si>
  <si>
    <t>NF-PRF-01</t>
    <phoneticPr fontId="3"/>
  </si>
  <si>
    <t>F-ADM-23</t>
  </si>
  <si>
    <t>F-ADM-23</t>
    <phoneticPr fontId="3"/>
  </si>
  <si>
    <t>NF-OPS-03</t>
  </si>
  <si>
    <t>NF-OPS-03</t>
    <phoneticPr fontId="3"/>
  </si>
  <si>
    <t>NF-OPS-04</t>
  </si>
  <si>
    <t>NF-OPS-04</t>
    <phoneticPr fontId="3"/>
  </si>
  <si>
    <t>NF-AVL-02</t>
  </si>
  <si>
    <t>NF-AVL-02</t>
    <phoneticPr fontId="3"/>
  </si>
  <si>
    <t>NF-OPS-02</t>
  </si>
  <si>
    <t>NF-OPS-02</t>
    <phoneticPr fontId="3"/>
  </si>
  <si>
    <t>NF-MGT-01</t>
  </si>
  <si>
    <t>NF-MGT-01</t>
    <phoneticPr fontId="3"/>
  </si>
  <si>
    <t>NF-ARC-01</t>
  </si>
  <si>
    <t>NF-ARC-01</t>
    <phoneticPr fontId="3"/>
  </si>
  <si>
    <t>NF-STD-01</t>
  </si>
  <si>
    <t>NF-STD-01</t>
    <phoneticPr fontId="3"/>
  </si>
  <si>
    <t>F-ADM-25</t>
  </si>
  <si>
    <t>F-ADM-25</t>
    <phoneticPr fontId="3"/>
  </si>
  <si>
    <t>NF-SEC-03</t>
  </si>
  <si>
    <t>NF-SEC-03</t>
    <phoneticPr fontId="3"/>
  </si>
  <si>
    <t>F-PROV-16</t>
    <phoneticPr fontId="3"/>
  </si>
  <si>
    <t>NF-STD-04</t>
  </si>
  <si>
    <t>NF-STD-04</t>
    <phoneticPr fontId="3"/>
  </si>
  <si>
    <t>NF-STD-02</t>
  </si>
  <si>
    <t>NF-STD-02</t>
    <phoneticPr fontId="3"/>
  </si>
  <si>
    <t>NF-STD-03</t>
  </si>
  <si>
    <t>NF-MGT-05</t>
  </si>
  <si>
    <t>NF-MGT-05</t>
    <phoneticPr fontId="3"/>
  </si>
  <si>
    <t>NF-MGT-02</t>
  </si>
  <si>
    <t>F-AUTH-23</t>
  </si>
  <si>
    <t>F-AUTH-23</t>
    <phoneticPr fontId="3"/>
  </si>
  <si>
    <t>F-AUTH-10</t>
    <phoneticPr fontId="3"/>
  </si>
  <si>
    <t>F-AUTH-12</t>
    <phoneticPr fontId="3"/>
  </si>
  <si>
    <t>F-ADM-17</t>
    <phoneticPr fontId="3"/>
  </si>
  <si>
    <t>NF-MGT-03</t>
  </si>
  <si>
    <t>F-AUTH-26</t>
  </si>
  <si>
    <t>F-AUTH-28</t>
  </si>
  <si>
    <t>NF-MGT-04</t>
  </si>
  <si>
    <t>F-AZ-10</t>
  </si>
  <si>
    <t>F-AZ-10</t>
    <phoneticPr fontId="3"/>
  </si>
  <si>
    <t>F-BAT-04</t>
    <phoneticPr fontId="3"/>
  </si>
  <si>
    <t>F-BAT-05</t>
    <phoneticPr fontId="3"/>
  </si>
  <si>
    <t>F-BAT-07</t>
    <phoneticPr fontId="3"/>
  </si>
  <si>
    <t>NF-OPS-06</t>
  </si>
  <si>
    <t>NF-OPS-01</t>
  </si>
  <si>
    <t>NF-OPS-01</t>
    <phoneticPr fontId="3"/>
  </si>
  <si>
    <t>NF-ARC-05</t>
  </si>
  <si>
    <t>NF-ARC-05</t>
    <phoneticPr fontId="3"/>
  </si>
  <si>
    <t>NF-MGT-06</t>
  </si>
  <si>
    <t>NF-MGT-06</t>
    <phoneticPr fontId="3"/>
  </si>
  <si>
    <t>F-INT-13</t>
  </si>
  <si>
    <t>F-INT-13</t>
    <phoneticPr fontId="3"/>
  </si>
  <si>
    <t>NF-DOC-02</t>
  </si>
  <si>
    <t>NF-DOC-02</t>
    <phoneticPr fontId="3"/>
  </si>
  <si>
    <t>NF-AVL-03</t>
  </si>
  <si>
    <t>NF-AVL-03</t>
    <phoneticPr fontId="3"/>
  </si>
  <si>
    <t>NF-DOC-01</t>
  </si>
  <si>
    <t>NF-DOC-01</t>
    <phoneticPr fontId="3"/>
  </si>
  <si>
    <t>F-ADM-24</t>
  </si>
  <si>
    <t>F-AUTH-24</t>
  </si>
  <si>
    <t>F-AUTH-24</t>
    <phoneticPr fontId="3"/>
  </si>
  <si>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</si>
  <si>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</si>
  <si>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</si>
  <si>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</si>
  <si>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</si>
  <si>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</si>
  <si>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</si>
  <si>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</si>
  <si>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</si>
  <si>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</si>
  <si>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</si>
  <si>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</si>
  <si>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</si>
  <si>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</si>
  <si>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</si>
  <si>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</si>
  <si>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</si>
  <si>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</si>
  <si>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</si>
  <si>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</si>
  <si>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</si>
  <si>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</si>
  <si>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</si>
  <si>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</si>
  <si>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</si>
  <si>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</si>
  <si>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</si>
  <si>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</si>
  <si>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</si>
  <si>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</si>
  <si>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</si>
  <si>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</si>
  <si>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</si>
  <si>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</si>
  <si>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</si>
  <si>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</si>
  <si>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</si>
  <si>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</si>
  <si>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</si>
  <si>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</si>
  <si>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</si>
  <si>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</si>
  <si>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</si>
  <si>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</si>
  <si>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</si>
  <si>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</si>
  <si>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</si>
  <si>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</si>
  <si>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</si>
  <si>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</si>
  <si>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</si>
  <si>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</si>
  <si>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</si>
  <si>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</si>
  <si>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</si>
  <si>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</si>
  <si>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</si>
  <si>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</si>
  <si>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</si>
  <si>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</si>
  <si>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</si>
  <si>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</si>
  <si>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</si>
  <si>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</si>
  <si>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</si>
  <si>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</si>
  <si>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</si>
  <si>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</si>
  <si>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利用者が自分のテナント以外のデータに触れないよう強制する</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</si>
  <si>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</si>
  <si>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</si>
  <si>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</si>
  <si>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</si>
  <si>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</si>
  <si>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</si>
  <si>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</si>
  <si>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</si>
  <si>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</si>
  <si>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</si>
  <si>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</si>
  <si>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</si>
  <si>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</si>
  <si>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</si>
  <si>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</si>
  <si>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</si>
  <si>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</si>
  <si>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</si>
  <si>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</si>
  <si>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</si>
  <si>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</si>
  <si>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</si>
  <si>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</si>
  <si>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</si>
  <si>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</si>
  <si>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</si>
  <si>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</si>
  <si>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</si>
  <si>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</si>
  <si>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</si>
  <si>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</si>
  <si>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</si>
  <si>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</si>
  <si>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</si>
  <si>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</si>
  <si>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</si>
  <si>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</si>
  <si>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</si>
  <si>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</si>
  <si>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</si>
  <si>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</si>
  <si>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</si>
  <si>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</si>
  <si>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</si>
  <si>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</si>
  <si>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</si>
  <si>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</si>
  <si>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</si>
  <si>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</si>
  <si>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</si>
  <si>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</si>
  <si>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</si>
  <si>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</si>
  <si>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</si>
  <si>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</si>
  <si>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</si>
  <si>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</si>
  <si>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</si>
  <si>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WBS対象人日(検算)</t>
  </si>
  <si>
    <t>顧客解約</t>
    <rPh sb="2" eb="4">
      <t>カイヤク</t>
    </rPh>
    <phoneticPr fontId="3"/>
  </si>
  <si>
    <t>情報漏洩時対応</t>
    <rPh sb="0" eb="5">
      <t>ジョウホウ</t>
    </rPh>
    <rPh sb="5" eb="7">
      <t>タイオウ</t>
    </rPh>
    <phoneticPr fontId="3"/>
  </si>
  <si>
    <t>被ってる気がする</t>
    <rPh sb="0" eb="1">
      <t>カブッテ</t>
    </rPh>
    <phoneticPr fontId="3"/>
  </si>
  <si>
    <t>単元間 整合性レビュー（第3回）</t>
    <phoneticPr fontId="3"/>
  </si>
  <si>
    <t>指摘対応・改訂（第3回）</t>
    <phoneticPr fontId="3"/>
  </si>
  <si>
    <t>単元間 整合性レビュー（第4回）</t>
    <phoneticPr fontId="3"/>
  </si>
  <si>
    <t>指摘対応・改訂（第5回）</t>
    <phoneticPr fontId="3"/>
  </si>
  <si>
    <t>単元間 整合性レビュー（第5回）</t>
    <phoneticPr fontId="3"/>
  </si>
  <si>
    <t>指摘対応・改訂（第4回）</t>
    <phoneticPr fontId="3"/>
  </si>
  <si>
    <t>設計書間で矛盾がないかを通しで確認する（3 回目）</t>
    <phoneticPr fontId="3"/>
  </si>
  <si>
    <t>3 回目の指摘に対応して設計書を直す</t>
    <phoneticPr fontId="3"/>
  </si>
  <si>
    <t>設計書間で矛盾がないかを通しで確認する（4 回目）</t>
    <phoneticPr fontId="3"/>
  </si>
  <si>
    <t>4 回目の指摘に対応して設計書を直す</t>
    <phoneticPr fontId="3"/>
  </si>
  <si>
    <t>設計書間で矛盾がないかを通しで確認する（5 回目）</t>
    <phoneticPr fontId="3"/>
  </si>
  <si>
    <t>5 回目の指摘に対応して設計書を直す</t>
    <phoneticPr fontId="3"/>
  </si>
  <si>
    <t>顧客が行う</t>
    <rPh sb="0" eb="2">
      <t>コキャク</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</si>
</sst>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 numFmtId="194" formatCode="#,##0.##"/>
  </numFmts>
  <fonts count="82">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s>
  <fills count="2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
      <patternFill patternType="solid">
        <fgColor rgb="FFD9E1F2"/>
        <bgColor indexed="64"/>
      </patternFill>
    </fill>
    <fill>
      <patternFill patternType="solid">
        <fgColor theme="0" tint="-0.14999847407452621"/>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14">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0" xfId="0"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xf numFmtId="0" fontId="76" fillId="0" borderId="17" xfId="0" applyFont="1" applyBorder="1" applyAlignment="1">
      <alignment horizontal="center" vertical="center"/>
    </xf>
    <xf numFmtId="184" fontId="76" fillId="0" borderId="17" xfId="0" applyNumberFormat="1" applyFont="1" applyBorder="1" applyAlignment="1">
      <alignment horizontal="center" vertical="center"/>
    </xf>
    <xf numFmtId="0" fontId="28" fillId="2" borderId="17" xfId="0" applyFont="1" applyFill="1" applyBorder="1" applyAlignment="1">
      <alignment vertical="center"/>
    </xf>
    <xf numFmtId="0" fontId="0" fillId="0" borderId="0" xfId="0" pivotButton="1">
      <alignment vertical="center"/>
    </xf>
    <xf numFmtId="0" fontId="0" fillId="0" borderId="0" xfId="0" applyAlignment="1">
      <alignment horizontal="left" vertical="center"/>
    </xf>
    <xf numFmtId="0" fontId="0" fillId="0" borderId="0" xfId="0" applyAlignment="1">
      <alignment horizontal="left" vertical="center" indent="1"/>
    </xf>
    <xf numFmtId="0" fontId="2" fillId="5" borderId="0" xfId="0" applyFont="1" applyFill="1">
      <alignment vertical="center"/>
    </xf>
    <xf numFmtId="0" fontId="2" fillId="19" borderId="0" xfId="0" applyFont="1" applyFill="1">
      <alignment vertical="center"/>
    </xf>
    <xf numFmtId="0" fontId="0" fillId="20" borderId="0" xfId="0" applyFill="1">
      <alignment vertical="center"/>
    </xf>
    <xf numFmtId="194" fontId="0" fillId="0" borderId="0" xfId="0" applyNumberFormat="1">
      <alignment vertical="center"/>
    </xf>
    <xf numFmtId="0" fontId="0" fillId="0" borderId="0" xfId="0" applyAlignment="1">
      <alignment horizontal="center" vertical="center"/>
    </xf>
    <xf numFmtId="0" fontId="12" fillId="0" borderId="0" xfId="0" applyFont="1" applyAlignment="1">
      <alignment horizontal="center" vertical="center"/>
    </xf>
  </cellXfs>
  <cellStyles count="1">
    <cellStyle name="標準" xfId="0" builtinId="0"/>
  </cellStyles>
  <dxfs count="107">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enaga.shohei" refreshedDate="46271.654087152776" createdVersion="8" refreshedVersion="8" minRefreshableVersion="3" recordCount="463" xr:uid="{25616025-BBB7-B645-AFCD-CBB524A9593B}">
  <cacheSource type="worksheet">
    <worksheetSource ref="A6:T106" sheet="WBS(基本設計)"/>
  </cacheSource>
  <cacheFields count="20">
    <cacheField name="ID" numFmtId="0">
      <sharedItems/>
    </cacheField>
    <cacheField name="分類" numFmtId="0">
      <sharedItems/>
    </cacheField>
    <cacheField name="作業種別" numFmtId="0">
      <sharedItems/>
    </cacheField>
    <cacheField name="メモ" numFmtId="0">
      <sharedItems containsBlank="1"/>
    </cacheField>
    <cacheField name="機能グループ" numFmtId="0">
      <sharedItems count="72">
        <s v="非機能: 性能・拡張性"/>
        <s v="ユーザ登録（顧客システム連携・SCIM）"/>
        <s v="ユーザの停止・再開・消去"/>
        <s v="フェデレーションログイン"/>
        <s v="パスワード・アカウント復旧"/>
        <s v="ログイン振り分け（HRD）"/>
        <s v="アプリ・外部連携"/>
        <s v="非機能: 設計管理"/>
        <s v="非機能: セキュリティ"/>
        <s v="非機能: 運用・監視"/>
        <s v="非機能: システム構成"/>
        <s v="接続先（顧客 IdP）管理"/>
        <s v="ログイン画面・エラー画面"/>
        <s v="非機能: 可用性・災害対策"/>
        <s v="監視・検知"/>
        <s v="多要素認証"/>
        <s v="権限管理"/>
        <s v="認可・権限判定"/>
        <s v="非機能: 移行・環境"/>
        <s v="業務システム連携（ServiceNow）"/>
        <s v="ローカルログイン（Keycloak-IdP 収容）"/>
        <s v="ユーザ属性の統一"/>
        <s v="不正アクセス対策"/>
        <s v="顧客・組織管理"/>
        <s v="セッション・ログアウト"/>
        <s v="非機能: 設計標準・規約"/>
        <s v="監査・記録"/>
        <s v="ユーザ管理（管理画面・API）"/>
        <s v="トークン発行・交換"/>
        <s v="同意管理"/>
        <s v="データ整合・突合"/>
        <s v="鍵・証明書管理"/>
        <s v="非機能: 提供ドキュメント"/>
        <s v="横断" u="1"/>
        <s v="顧客システムからの利用者受信（人事システム等からの登録・更新・削除）" u="1"/>
        <s v="退職者の遮断と復職対応（停止・再開の伝播）" u="1"/>
        <s v="フェデレーション" u="1"/>
        <s v="アカウント復旧・パスワード" u="1"/>
        <s v="接続先の振り分け" u="1"/>
        <s v="アプリへの通知" u="1"/>
        <s v="接続先の振り分け／自動登録／停止と再開／フェデレーション" u="1"/>
        <s v="接続先管理" u="1"/>
        <s v="認可の記録" u="1"/>
        <s v="業務システム連携（ServiceNow 等へのログイン提供）" u="1"/>
        <s v="ローカル認証／自動登録" u="1"/>
        <s v="受け取ったデータの整形（項目名・区分の統一）" u="1"/>
        <s v="利用者支援操作" u="1"/>
        <s v="監査・一括処理" u="1"/>
        <s v="—" u="1"/>
        <s v="権限管理側への引き渡し（識別子の紐付け・参照用データの更新）" u="1"/>
        <s v="アクセス制御" u="1"/>
        <s v="利用者管理" u="1"/>
        <s v="ローカル認証" u="1"/>
        <s v="自動登録" u="1"/>
        <s v="利用者の整理" u="1"/>
        <s v="自動登録／停止と再開" u="1"/>
        <s v="権限情報の提供" u="1"/>
        <s v="権限判定" u="1"/>
        <s v="組織・顧客管理" u="1"/>
        <s v="アカウント・権限の点検" u="1"/>
        <s v="トークン管理" u="1"/>
        <s v="アカウント間連携" u="1"/>
        <s v="接続情報の追随" u="1"/>
        <s v="利用者支援操作／アカウント復旧・パスワード／アプリへの通知" u="1"/>
        <s v="データの突合と再送（伝えそこないの回収）" u="1"/>
        <s v="権限管理／権限判定" u="1"/>
        <s v="権限情報の提供／識別子と権限の連携" u="1"/>
        <s v="アプリへの通知／不正アクセス対策" u="1"/>
        <s v="鍵・証明書の維持" u="1"/>
        <s v="横断（全機能共通）" u="1"/>
        <s v="接続情報の追随／鍵・証明書の維持" u="1"/>
        <s v="自動登録／アカウント復旧・パスワード" u="1"/>
      </sharedItems>
    </cacheField>
    <cacheField name="機能名" numFmtId="0">
      <sharedItems count="207">
        <s v="キャパシティ・データ量見積"/>
        <s v="SCIM 受信: 利用者の登録"/>
        <s v="利用者の停止（消さずに無効化）"/>
        <s v="顧客認証システムへのログイン委譲（OIDC）"/>
        <s v="顧客認証システムへのログイン委譲（SAML）"/>
        <s v="メールを持たない人の復旧"/>
        <s v="接続先の自動振り分け"/>
        <s v="状態変化の即時通知（CAEP）"/>
        <s v="顧客・ベンダーへの照会"/>
        <s v="攻撃経路と対策"/>
        <s v="製品更新・保守"/>
        <s v="ネットワーク構成"/>
        <s v="クラスタ構成"/>
        <s v="顧客認証システムの接続登録"/>
        <s v="ログイン画面の表示（ブランド・並び順）"/>
        <s v="災害対策（別地域への切替）"/>
        <s v="他組織との構成調整"/>
        <s v="擬似ログインによる障害検知"/>
        <s v="重要操作時の追加認証"/>
        <s v="通知メールの送信"/>
        <s v="使えるアプリの設定"/>
        <s v="不正兆候の検知"/>
        <s v="同時実行・上限値の設定"/>
        <s v="管理操作の 3 段階権限確認"/>
        <s v="既存からの移行"/>
        <s v="業務システムへの認証提供"/>
        <s v="Keycloak-IdP 収容ユーザのログイン"/>
        <s v="登録経路の区分判定"/>
        <s v="追加認証（生体・セキュリティキー）"/>
        <s v="Realm・ブランド区画構成"/>
        <s v="開発・検証環境"/>
        <s v="性能試験の計画"/>
        <s v="運用コストの管理"/>
        <s v="鍵・暗号化の管理方式"/>
        <s v="性能目標・チューニング方針"/>
        <s v="連続失敗時の一時締め出し"/>
        <s v="顧客の解約"/>
        <s v="運用手順書"/>
        <s v="緊急時の管理者アクセス"/>
        <s v="強制ログアウト（管理者）"/>
        <s v="バックアップ・復元"/>
        <s v="運用体制・当番"/>
        <s v="設計書の総則・前提・用語"/>
        <s v="全体構成（論理・物理）"/>
        <s v="共通方式（エラー・ログ・整合・排他ほか）"/>
        <s v="監査ログの取得・保管方式"/>
        <s v="操作記録の照会"/>
        <s v="個人情報の取り扱い"/>
        <s v="顧客番号と基盤識別子の対応づけ"/>
        <s v="命名・構成管理規約"/>
        <s v="API 設計規約"/>
        <s v="画面設計規約"/>
        <s v="トレーサビリティ"/>
        <s v="システム用アカウントの台帳管理"/>
        <s v="機能一覧・業務フロー"/>
        <s v="ログイン状態の保持とタイムアウト"/>
        <s v="利用者の検索・一覧"/>
        <s v="利用者の一括登録"/>
        <s v="一覧・記録のファイル出力"/>
        <s v="振り分け失敗時のパスワード入力への切替"/>
        <s v="初回ログイン時のユーザ自動作成（JIT）"/>
        <s v="ログイン時の属性更新"/>
        <s v="Broker-Keycloak と IdP-Keycloak の連携"/>
        <s v="追加認証（数字コード）"/>
        <s v="追加認証の登録（数字コード）"/>
        <s v="追加認証の登録（生体・セキュリティキー）"/>
        <s v="2 台目の認証器登録時の本人再確認"/>
        <s v="復旧用コードの発行・利用"/>
        <s v="追加認証の解除（管理者）"/>
        <s v="パスワードの自己再設定"/>
        <s v="パスワード変更・初回強制変更"/>
        <s v="利用者の存在推測の防止"/>
        <s v="流出パスワードの使用拒否"/>
        <s v="SCIM 受信: 利用者の更新"/>
        <s v="SCIM 受信: 削除通知（無効化へ読み替え）"/>
        <s v="SCIM 受信: 利用者の検索"/>
        <s v="SCIM 受信: グループ連携"/>
        <s v="項目名の変換・統一"/>
        <s v="停止済み利用者の再開"/>
        <s v="長期未使用者の自動停止"/>
        <s v="保存期限切れデータの消去"/>
        <s v="停止の確実な伝播"/>
        <s v="再開の確実な伝播"/>
        <s v="初回ログイン時の権限側への識別子連携"/>
        <s v="初回ログイン時の権限側の受け皿作成"/>
        <s v="参照用データの更新"/>
        <s v="権限情報の一括取得"/>
        <s v="使えるアプリ一覧の取得（ログイン後の着地）"/>
        <s v="利用者の詳細参照"/>
        <s v="利用者の登録"/>
        <s v="利用者の変更"/>
        <s v="利用者の利用可否の切替"/>
        <s v="利用者の削除"/>
        <s v="パスワード初期化（管理者）"/>
        <s v="利用者の招待"/>
        <s v="アプリ利用可否の判定"/>
        <s v="アプリ内の役割の設定"/>
        <s v="アプリ内の役割の解決"/>
        <s v="組織情報の編集"/>
        <s v="顧客の作成"/>
        <s v="顧客設定の編集"/>
        <s v="接続設定の変更・証明書更新"/>
        <s v="権限の棚卸し"/>
        <s v="権限棚卸しの定期起動"/>
        <s v="テナント越境の防止"/>
        <s v="システム間トークンの発行"/>
        <s v="トークンの交換"/>
        <s v="業務システム側の利用者自動作成"/>
        <s v="業務システムから他アプリへの連携"/>
        <s v="アプリへの変更通知（Webhook）"/>
        <s v="接続情報の自動追随"/>
        <s v="画面一覧・画面遷移"/>
        <s v="接続先の選択（1 テナントに複数 IdP）"/>
        <s v="エラー・案内画面（ブローカー）"/>
        <s v="利用規約への同意取得と記録"/>
        <s v="IF 一覧・データ全体構成"/>
        <s v="日次の整合突合"/>
        <s v="停止伝播の突合（短間隔）"/>
        <s v="通行証（JWT）に載せる項目の定義"/>
        <s v="署名鍵の定期入れ替え"/>
        <s v="接続用パスワードの定期入れ替え"/>
        <s v="証明書期限の監視"/>
        <s v="定期処理の実行基盤"/>
        <s v="監視項目・閾値・通知"/>
        <s v="環境構成（本番 / stg / dev）"/>
        <s v="設計レビュー・説明会"/>
        <s v="アプリの接続登録（クライアント登録）"/>
        <s v="顧客向け説明資料"/>
        <s v="稼働率・復旧目標（SLA / SLO）"/>
        <s v="アプリ開発者向けガイド（共通部）"/>
        <s v="本人からの開示・削除請求への対応"/>
        <s v="アプリへのログアウト連携"/>
        <s v="エラー・案内画面（アプリ）"/>
        <s v="横断（全機能共通）" u="1"/>
        <s v="顧客システムからの利用者登録" u="1"/>
        <s v="顧客認証システムへのログイン委譲" u="1"/>
        <s v="顧客認証システムへのログイン委譲／ログイン後の属性取り込み" u="1"/>
        <s v="状態変化の即時通知" u="1"/>
        <s v="横断（自社拡張全般）" u="1"/>
        <s v="接続先の自動振り分け／初回ログイン時の自動登録／停止済み利用者の再開／ログイン後の属性取り込み" u="1"/>
        <s v="横断（自社拡張全般)" u="1"/>
        <s v="横断（ログイン画面のブランド別表示 ※機能一覧に未登録）" u="1"/>
        <s v="定期的な擬似ログインによる障害検知" u="1"/>
        <s v="横断（ログイン画面）" u="1"/>
        <s v="権限判定の記録" u="1"/>
        <s v="横断（緊急時の運用）" u="1"/>
        <s v="横断（管理 API）" u="1"/>
        <s v="該当なし" u="1"/>
        <s v="業務システムへの認証提供／業務システム側の利用者自動作成" u="1"/>
        <s v="ローカルログイン／初回ログイン時の自動登録" u="1"/>
        <s v="横断（ログイン処理全般）" u="1"/>
        <s v="連続失敗時の一時締め出し／利用者の存在推測の防止" u="1"/>
        <s v="横断（顧客の解約運用）" u="1"/>
        <s v="横断（法令対応）" u="1"/>
        <s v="強制ログアウト" u="1"/>
        <s v="横断（災害対策）" u="1"/>
        <s v="利用者の変更／定期実行処理全般" u="1"/>
        <s v="横断（代表シナリオ）" u="1"/>
        <s v="利用者の停止（消さずに無効化）／停止済み利用者の再開" u="1"/>
        <s v="ローカルログイン" u="1"/>
        <s v="接続先の選択画面" u="1"/>
        <s v="顧客認証システムへのログイン委譲（旧方式）" u="1"/>
        <s v="初回ログイン時の利用者控え作成" u="1"/>
        <s v="初回ログイン時の自動登録" u="1"/>
        <s v="ログイン後の属性取り込み" u="1"/>
        <s v="内部2段構えの認証連携" u="1"/>
        <s v="2台目登録時の再認証" u="1"/>
        <s v="接続先の自動振り分け／振り分け失敗時のパスワード入力への切替" u="1"/>
        <s v="顧客システムからの利用者更新" u="1"/>
        <s v="顧客システムからの削除通知" u="1"/>
        <s v="顧客システムからの利用者検索" u="1"/>
        <s v="顧客システムからのグループ連携" u="1"/>
        <s v="項目名の変換・統一／登録経路の区分判定" u="1"/>
        <s v="初回ログイン時の自動登録／停止済み利用者の再開" u="1"/>
        <s v="初回ログイン者の識別子通知" u="1"/>
        <s v="権限管理側の受け皿作成" u="1"/>
        <s v="使えるアプリ一覧の取得" u="1"/>
        <s v="利用者の利用可否の切替（管理者操作）" u="1"/>
        <s v="管理操作の3段階権限確認" u="1"/>
        <s v="アプリへの変更通知" u="1"/>
        <s v="停止イベントのアカウント間配送" u="1"/>
        <s v="識別子のアカウント間伝達" u="1"/>
        <s v="アプリ設置状況の巡回確認" u="1"/>
        <s v="管理者不在アカウントの検出" u="1"/>
        <s v="追加認証（数字コード）／追加認証（生体・セキュリティキー）" u="1"/>
        <s v="追加認証の登録（数字コード）／追加認証の登録（生体・セキュリティキー）" u="1"/>
        <s v="利用者の検索・一覧／利用者の登録" u="1"/>
        <s v="使えるアプリの設定／アプリ内の役割の設定" u="1"/>
        <s v="利用者の招待／パスワードの自己再設定／通知メールの送信" u="1"/>
        <s v="使えるアプリの設定／アプリ内の役割の設定／アプリ利用可否の判定" u="1"/>
        <s v="権限情報の一括取得／参照用データの更新" u="1"/>
        <s v="横断（同意管理）" u="1"/>
        <s v="顧客システムからの利用者情報受け取り" u="1"/>
        <s v="停止イベントのアカウント間配送／識別子のアカウント間伝達" u="1"/>
        <s v="通知メールの送信／流出パスワードの使用拒否" u="1"/>
        <s v="接続情報の自動追随／証明書期限の監視" u="1"/>
        <s v="署名鍵の定期入れ替え／接続用パスワードの定期入れ替え" u="1"/>
        <s v="鍵・証明書・権限見直しの定期処理" u="1"/>
        <s v="定期実行処理全般" u="1"/>
        <s v="横断（定期処理共通）" u="1"/>
        <s v="長期未使用者の自動停止／保存期限切れデータの消去" u="1"/>
        <s v="停止伝播の突合（短間隔）／日次の整合突合" u="1"/>
        <s v="テナント越境の防止／管理操作の3段階権限確認" u="1"/>
        <s v="初回ログイン時の自動登録／メールを持たない人の復旧" u="1"/>
        <s v="該当なし（章ごとに分割済み）" u="1"/>
        <s v="管理画面の機能全般" u="1"/>
        <s v="該当なし（対象外）" u="1"/>
      </sharedItems>
    </cacheField>
    <cacheField name="項目" numFmtId="0">
      <sharedItems/>
    </cacheField>
    <cacheField name="概要" numFmtId="0">
      <sharedItems/>
    </cacheField>
    <cacheField name="成果物と完了条件" numFmtId="0">
      <sharedItems/>
    </cacheField>
    <cacheField name="人日" numFmtId="184">
      <sharedItems containsSemiMixedTypes="0" containsString="0" containsNumber="1" minValue="0" maxValue="8"/>
    </cacheField>
    <cacheField name="担当（案②: 一部移管）" numFmtId="0">
      <sharedItems/>
    </cacheField>
    <cacheField name="担当（案③: アプリ構築）" numFmtId="0">
      <sharedItems/>
    </cacheField>
    <cacheField name="判断根拠" numFmtId="0">
      <sharedItems/>
    </cacheField>
    <cacheField name="根拠の補足" numFmtId="0">
      <sharedItems/>
    </cacheField>
    <cacheField name="スコープ" numFmtId="0">
      <sharedItems/>
    </cacheField>
    <cacheField name="当初想定" numFmtId="0">
      <sharedItems/>
    </cacheField>
    <cacheField name="依存" numFmtId="0">
      <sharedItems containsBlank="1"/>
    </cacheField>
    <cacheField name="状態" numFmtId="0">
      <sharedItems/>
    </cacheField>
    <cacheField name="出典" numFmtId="0">
      <sharedItems containsBlank="1"/>
    </cacheField>
    <cacheField name="機能I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
  <r>
    <s v="A-1.7"/>
    <s v="A-1 仮定値の扱い"/>
    <s v="実機検証・照会"/>
    <s v="調査計画に"/>
    <x v="0"/>
    <x v="0"/>
    <s v="調査計画：仮定値の根拠整理"/>
    <s v="接続先の数を実測せず仮定値のまま設計を進めるため、その根拠と、あとで見直す条件を文書に残す"/>
    <s v="根拠の整理メモ。仮定値の出どころと見直しの判断基準が明記されている"/>
    <n v="0.5"/>
    <s v="基盤チーム"/>
    <s v="基盤チーム"/>
    <s v="構成の前提"/>
    <s v="構成が成立するかの確認で、機能を減らしても確かめる必要は残る"/>
    <s v="対象"/>
    <s v="新規: 自社構築"/>
    <s v="—"/>
    <s v="未着手"/>
    <m/>
    <s v="NF-PRF-02"/>
  </r>
  <r>
    <s v="A-3.1"/>
    <s v="A-3 受け取り窓口"/>
    <s v="実機検証・照会"/>
    <s v="これフェデレーションのSCIMのこと？調査計画に"/>
    <x v="1"/>
    <x v="1"/>
    <s v="調査計画：SCIM 受信窓口の試作"/>
    <s v="顧客の認証システムから利用者情報を受け取る窓口を、最小限の形で試作する"/>
    <s v="試作品。受信・認証・顧客の振り分けが動作する"/>
    <n v="5"/>
    <s v="基盤チーム"/>
    <s v="アプリチーム"/>
    <s v="後から追加可能"/>
    <s v="初回ログイン時の自動登録だけで運用でき、一括受信は後から足せる"/>
    <s v="対象"/>
    <s v="新規: 機能追加"/>
    <s v="—"/>
    <s v="未着手"/>
    <m/>
    <s v="F-PROV-03"/>
  </r>
  <r>
    <s v="A-3.2"/>
    <s v="A-3 受け取り窓口"/>
    <s v="実機検証・照会"/>
    <s v="これフェデレーションのSCIMのこと？調査計画に"/>
    <x v="1"/>
    <x v="1"/>
    <s v="調査計画：SCIM 適合検査に通るか"/>
    <s v="大手 2 社が提供する適合検査ツールに、試作した窓口が合格するかを確かめる"/>
    <s v="合格記録。不合格項目がある場合は原因と対処方針が整理されている"/>
    <n v="3"/>
    <s v="基盤チーム"/>
    <s v="アプリチーム"/>
    <s v="後から追加可能"/>
    <s v="初回ログイン時の自動登録だけで運用でき、一括受信は後から足せる"/>
    <s v="対象"/>
    <s v="新規: 機能追加"/>
    <s v="—"/>
    <s v="未着手"/>
    <m/>
    <s v="F-PROV-03"/>
  </r>
  <r>
    <s v="A-3.3"/>
    <s v="A-3 受け取り窓口"/>
    <s v="実機検証・照会"/>
    <s v="調査計画に"/>
    <x v="2"/>
    <x v="2"/>
    <s v="調査計画：SCIM の作成・更新・削除の写像"/>
    <s v="顧客側からの削除通知を「消さずに無効化」へ読み替える設計を詰める"/>
    <s v="写像設計。削除通知を受けたときの状態変化が定義されている"/>
    <n v="1"/>
    <s v="基盤チーム"/>
    <s v="アプリチーム"/>
    <s v="事故防止"/>
    <s v="止め忘れが退職者の不正アクセスに直結するため、基盤側で確実に止める必要がある"/>
    <s v="対象"/>
    <s v="新規: 機能追加"/>
    <s v="—"/>
    <s v="未着手"/>
    <m/>
    <s v="F-PROV-10"/>
  </r>
  <r>
    <s v="A-6.1"/>
    <s v="A-6 相手方実機との差"/>
    <s v="実機検証・照会"/>
    <s v="仮のIdPを用意するとして調査計画に"/>
    <x v="3"/>
    <x v="3"/>
    <s v="調査計画：顧客 IdP 実機①（仮の IdP）との差"/>
    <s v="実際の顧客認証システム 1 社と接続し、受け取る情報が想定どおりかを確かめる。仮の IdP を用意して実施"/>
    <s v="確認結果。項目名・形式の差が一覧化され、設計に反映できる"/>
    <n v="3"/>
    <s v="基盤チーム"/>
    <s v="基盤チーム"/>
    <s v="認証の中核"/>
    <s v="顧客の認証システムへ委ねる中核で、これが無いと基盤の存在理由が無い"/>
    <s v="対象"/>
    <s v="当初あり"/>
    <s v="A-6 試用環境の入手（律速）"/>
    <s v="未着手"/>
    <s v="🔴 A-6（計 8 人日）は相手方の試用環境の入手が律速。申込を最初に出し、待ち時間で A-2 / A-3 を進めること。模擬環境（旧 A-5.x）を廃止したためここが最大の残リスク"/>
    <s v="F-AUTH-05"/>
  </r>
  <r>
    <s v="A-6.2"/>
    <s v="A-6 相手方実機との差"/>
    <s v="実機検証・照会"/>
    <s v="仮のIdPを用意するとして調査計画に"/>
    <x v="3"/>
    <x v="4"/>
    <s v="調査計画：顧客 IdP 実機②（仮の IdP・SAML）との差"/>
    <s v="もう 1 社と接続し、差分を確かめる。旧方式での接続もあわせて確認する。仮の IdP を用意して実施"/>
    <s v="確認結果。2 社の差と旧方式の差が一覧化されている"/>
    <n v="2"/>
    <s v="基盤チーム"/>
    <s v="基盤チーム"/>
    <s v="認証の中核"/>
    <s v="顧客の認証システムへ委ねる中核で、これが無いと基盤の存在理由が無い"/>
    <s v="対象"/>
    <s v="当初あり"/>
    <s v="A-6 試用環境の入手（律速）"/>
    <s v="未着手"/>
    <m/>
    <s v="F-AUTH-06"/>
  </r>
  <r>
    <s v="A-6.3"/>
    <s v="A-6 相手方実機との差"/>
    <s v="実機検証・照会"/>
    <s v="仮のIdPを用意するとして調査計画に"/>
    <x v="3"/>
    <x v="3"/>
    <s v="調査計画：実機での拡張の発火と記録"/>
    <s v="実際の顧客認証システム経由で拡張機能が動き、多要素認証の実施記録が正しく載るかを確かめる。仮の IdP を用意して実施"/>
    <s v="確認結果。記録が載ることが確認され、載らない場合の対処が判断できる"/>
    <n v="2"/>
    <s v="基盤チーム"/>
    <s v="基盤チーム"/>
    <s v="認証の中核"/>
    <s v="顧客の認証システムへ委ねる中核で、これが無いと基盤の存在理由が無い"/>
    <s v="対象"/>
    <s v="当初あり"/>
    <s v="A-6 試用環境の入手（律速）"/>
    <s v="未着手"/>
    <m/>
    <s v="F-AUTH-05"/>
  </r>
  <r>
    <s v="A-6.4"/>
    <s v="A-6 相手方実機との差"/>
    <s v="実機検証・照会"/>
    <s v="仮のIdPを用意するとして調査計画に"/>
    <x v="3"/>
    <x v="3"/>
    <s v="調査計画：実機差の設計反映"/>
    <s v="確認で見つかった差を、属性の対応づけと振り分けの設計へ反映する。仮の IdP を用意して実施"/>
    <s v="反映済みの設計。差分がすべて設計に取り込まれている"/>
    <n v="1"/>
    <s v="基盤チーム"/>
    <s v="基盤チーム"/>
    <s v="認証の中核"/>
    <s v="顧客の認証システムへ委ねる中核で、これが無いと基盤の存在理由が無い"/>
    <s v="対象"/>
    <s v="当初あり"/>
    <s v="A-6 試用環境の入手（律速）"/>
    <s v="未着手"/>
    <m/>
    <s v="F-AUTH-05"/>
  </r>
  <r>
    <s v="A-13"/>
    <s v="A-13 メール非保有"/>
    <s v="実機検証・照会"/>
    <s v="調査計画に"/>
    <x v="4"/>
    <x v="5"/>
    <s v="調査計画：メール非保有者の 3 経路完走"/>
    <s v="メールアドレスを持たない利用者について、3 つの登録経路が最後まで通るかを確かめる"/>
    <s v="確認結果。3 経路すべてが完走し、既知の不具合を回避できることが確認されている"/>
    <n v="3"/>
    <s v="基盤チーム"/>
    <s v="アプリチーム"/>
    <s v="代替手段あり"/>
    <s v="件数が少ない前提なら管理者が代行でき、自己解決の仕組みは後回しにできる"/>
    <s v="対象"/>
    <s v="新規: 機能追加"/>
    <s v="—"/>
    <s v="未着手"/>
    <m/>
    <s v="F-AUTH-16"/>
  </r>
  <r>
    <s v="A-11"/>
    <s v="A-11 テナント推測防止"/>
    <s v="実機検証・照会"/>
    <s v="調査計画に"/>
    <x v="5"/>
    <x v="6"/>
    <s v="調査計画：テナントの存在を推測されないか"/>
    <s v="振り分けのヒントから、存在する顧客名を外部に推測されないかを確かめる"/>
    <s v="確認結果。推測できてしまう場合の対処方針が決まっている"/>
    <n v="0.5"/>
    <s v="基盤チーム"/>
    <s v="アプリチーム"/>
    <s v="代替手段あり"/>
    <s v="顧客ごとに入口の URL を分ければ、判定しなくても正しい接続先に着く"/>
    <s v="対象"/>
    <s v="新規: 規模"/>
    <s v="—"/>
    <s v="未着手"/>
    <m/>
    <s v="F-AUTH-02"/>
  </r>
  <r>
    <s v="A-14"/>
    <s v="A-14 状態変化の即時通知"/>
    <s v="実機検証・照会"/>
    <s v="調査計画に。状態変化というかROSAのリリースの検知とかフローにまとまるか？"/>
    <x v="6"/>
    <x v="7"/>
    <s v="状態変化の即時通知（机上比較）"/>
    <s v="製品側の通知機能は試験的な位置づけのため採用せず、自作方式との比較を机上で行う"/>
    <s v="比較記録。自作方式で進める判断とその根拠が記録されている"/>
    <n v="1"/>
    <s v="基盤チーム"/>
    <s v="アプリチーム"/>
    <s v="後から追加可能"/>
    <s v="【省略・吸収】INT-12（CAEP）と同じく初期リリース対象外。人日は復活時のために残す"/>
    <s v="対象外：省略・吸収"/>
    <s v="新規: 機能追加"/>
    <s v="—"/>
    <s v="未着手"/>
    <m/>
    <s v="F-INT-12"/>
  </r>
  <r>
    <s v="A-15"/>
    <s v="A-15 記録の可視性"/>
    <s v="実機検証・照会"/>
    <s v="調査計画に"/>
    <x v="7"/>
    <x v="8"/>
    <s v="調査計画：記録の可視性（承認ゲートの照会）"/>
    <s v="基盤の運用元による閲覧に承認を必須とする設定が有効化できるかを問い合わせる"/>
    <s v="回答記録。有効化の可否と手順が確認されている"/>
    <n v="1"/>
    <s v="基盤チーム"/>
    <s v="基盤チーム"/>
    <s v="構成の前提"/>
    <s v="構成が成立するかの確認で、機能を減らしても確かめる必要は残る"/>
    <s v="対象"/>
    <s v="新規: 自社構築"/>
    <s v="—"/>
    <s v="未着手"/>
    <m/>
    <s v="NF-MGT-07"/>
  </r>
  <r>
    <s v="A-20"/>
    <s v="A-18 サポート範囲照会"/>
    <s v="実機検証・照会"/>
    <s v="自明として省略"/>
    <x v="8"/>
    <x v="9"/>
    <s v="調査計画：管理用の口からパスワードのハッシュが読めないことの実機確認"/>
    <s v="管理用の口を通してパスワードのハッシュが取得できないことを実機で確認する"/>
    <s v="確認記録。取得できないことが実機で確認され、取得できる場合の追加対策が判断できる"/>
    <n v="0.5"/>
    <s v="基盤チーム"/>
    <s v="基盤チーム"/>
    <s v="事故防止"/>
    <s v="ネットワークを分ける根拠が「管理用の口はパスワードのハッシュを返さない」という前提に立っている。前提が崩れると分離の意味づけが変わるため、実機で確かめる"/>
    <s v="対象"/>
    <s v="新規: 自社構築"/>
    <s v="—"/>
    <s v="未着手"/>
    <m/>
    <s v="NF-SEC-01"/>
  </r>
  <r>
    <s v="A-2.1"/>
    <s v="A-2 自社拡張の製品版互換"/>
    <s v="実機検証・照会"/>
    <s v="開発環境をそのまま使う"/>
    <x v="9"/>
    <x v="10"/>
    <s v="自社拡張の検証環境"/>
    <s v="自社で作る拡張機能を、製品版の認証製品に載せて動かすための検証環境を用意する"/>
    <s v="検証環境。独自イメージを作って配る手順が一通り通っている"/>
    <n v="2"/>
    <s v="基盤チーム"/>
    <s v="基盤チーム"/>
    <s v="構成の前提"/>
    <s v="構成が成立するかの確認で、機能を減らしても確かめる必要は残る"/>
    <s v="対象外：認証製品を 1 つに統合"/>
    <s v="新規: 自社構築"/>
    <s v="—"/>
    <s v="未着手"/>
    <m/>
    <s v="NF-OPS-05"/>
  </r>
  <r>
    <s v="A-2.2"/>
    <s v="A-2 自社拡張の製品版互換"/>
    <s v="実機検証・照会"/>
    <s v="自明として省略"/>
    <x v="9"/>
    <x v="10"/>
    <s v="自社拡張 4 種の個別互換"/>
    <s v="自社で作る 4 つの拡張機能が、製品版の認証製品でそれぞれ正しく動くかを確かめる"/>
    <s v="確認結果。4 機能すべてが動作し、動かない場合の代替方針が判断できる状態"/>
    <n v="3"/>
    <s v="基盤チーム"/>
    <s v="アプリチーム"/>
    <s v="代替手段あり"/>
    <s v="【省略・吸収】自明として省略。人日は復活時のために残す"/>
    <s v="対象外：省略・吸収"/>
    <s v="当初あり"/>
    <s v="—"/>
    <s v="未着手"/>
    <m/>
    <s v="NF-OPS-05"/>
  </r>
  <r>
    <s v="A-2.3"/>
    <s v="A-2 自社拡張の製品版互換"/>
    <s v="実機検証・照会"/>
    <s v="自明として省略"/>
    <x v="9"/>
    <x v="10"/>
    <s v="拡張が全経路で発火するか"/>
    <s v="拡張機能を置く場所を変えながら、すべてのログイン経路で確実に呼び出されるかを確かめる"/>
    <s v="確認結果。3 種類の経路すべてで呼び出されることが確認されている"/>
    <n v="2"/>
    <s v="基盤チーム"/>
    <s v="基盤チーム"/>
    <s v="構成の前提"/>
    <s v="【省略・吸収】自明として省略。人日は復活時のために残す"/>
    <s v="対象外：省略・吸収"/>
    <s v="新規: 自社構築"/>
    <s v="—"/>
    <s v="未着手"/>
    <m/>
    <s v="NF-OPS-05"/>
  </r>
  <r>
    <s v="A-2.4"/>
    <s v="A-2 自社拡張の製品版互換"/>
    <s v="実機検証・照会"/>
    <s v="自明として省略"/>
    <x v="9"/>
    <x v="10"/>
    <s v="周辺の互換"/>
    <s v="認証情報を保持しない設定にしたときの挙動と、属性の入力規則が期待どおりかを確かめる"/>
    <s v="確認結果。設定ごとの挙動が記録され、設計に反映できる"/>
    <n v="1"/>
    <s v="基盤チーム"/>
    <s v="基盤チーム"/>
    <s v="構成の前提"/>
    <s v="【省略・吸収】自明として省略。人日は復活時のために残す"/>
    <s v="対象外：省略・吸収"/>
    <s v="新規: 自社構築"/>
    <s v="—"/>
    <s v="未着手"/>
    <m/>
    <s v="NF-OPS-05"/>
  </r>
  <r>
    <s v="A-17"/>
    <s v="A-17 閉域接続"/>
    <s v="実機検証・照会"/>
    <s v="自明として省略"/>
    <x v="10"/>
    <x v="11"/>
    <s v="分離した 2 つのネットワーク間の閉域接続が通るか"/>
    <s v="分けた 2 つのネットワークの間が、閉じた経路で正しく繋がるかを確かめる。逆向きに繋がらないことも確認する"/>
    <s v="疎通確認記録。到達可否・逆向き不可・名前解決の切り分けが確認されている"/>
    <n v="3"/>
    <s v="基盤チーム"/>
    <s v="基盤チーム"/>
    <s v="構成の前提"/>
    <s v="【省略・吸収】自明として省略。人日は復活時のために残す"/>
    <s v="対象外：省略・吸収"/>
    <s v="新規: 自社構築"/>
    <s v="—"/>
    <s v="未着手"/>
    <m/>
    <s v="NF-ARC-02"/>
  </r>
  <r>
    <s v="A-18"/>
    <s v="A-18 サポート範囲照会"/>
    <s v="実機検証・照会"/>
    <s v="自明として省略"/>
    <x v="9"/>
    <x v="10"/>
    <s v="製品ベンダーのサポート範囲の照会"/>
    <s v="自社で作った拡張を載せた状態が製品ベンダーのサポート対象かを問い合わせる"/>
    <s v="回答記録。サポート範囲が文書で確認され、対象外の場合の影響が整理されている"/>
    <n v="1"/>
    <s v="基盤チーム"/>
    <s v="基盤チーム"/>
    <s v="構成の前提"/>
    <s v="【省略・吸収】自明として省略。人日は復活時のために残す"/>
    <s v="対象外：省略・吸収"/>
    <s v="新規: 自社構築"/>
    <s v="—"/>
    <s v="未着手"/>
    <m/>
    <s v="NF-OPS-05"/>
  </r>
  <r>
    <s v="A-19"/>
    <s v="A-18 サポート範囲照会"/>
    <s v="実機検証・照会"/>
    <s v="自明として省略"/>
    <x v="10"/>
    <x v="12"/>
    <s v="処理の重さが違うものを同居させて成立するかの実測"/>
    <s v="認証製品を 1 つにまとめた場合に、処理の重さが違うものが同居しても性能が成立するかを実機で確かめる"/>
    <s v="実測レポート。パスワードの計算が集中したときの他経路への影響が数値で示され、同居可否が判断できる"/>
    <n v="3"/>
    <s v="基盤チーム"/>
    <s v="アプリチーム"/>
    <s v="事故防止"/>
    <s v="【省略・吸収】自明として省略。人日は復活時のために残す"/>
    <s v="対象外：省略・吸収"/>
    <s v="当初あり"/>
    <s v="—"/>
    <s v="未着手"/>
    <m/>
    <s v="NF-ARC-03"/>
  </r>
  <r>
    <s v="A-9"/>
    <s v="A-9 接続情報の自動追随"/>
    <s v="実機検証・照会"/>
    <s v="自明として省略"/>
    <x v="11"/>
    <x v="13"/>
    <s v="接続情報の自動追随"/>
    <s v="接続情報を自動で最新に保つ機能が実在し、動作するかを確かめる"/>
    <s v="確認結果。機能の有無が確定し、無い場合の代替手順が決まっている"/>
    <n v="0.5"/>
    <s v="基盤チーム"/>
    <s v="アプリチーム"/>
    <s v="認証の中核"/>
    <s v="【省略・吸収】自明として省略。人日は復活時のために残す"/>
    <s v="対象外：省略・吸収"/>
    <s v="新規: 機能追加"/>
    <s v="—"/>
    <s v="未着手"/>
    <m/>
    <s v="F-ADM-16"/>
  </r>
  <r>
    <s v="A-16"/>
    <s v="A-16 ブランド別画面"/>
    <s v="実機検証・照会"/>
    <s v="1ブランドのみとして対象外に"/>
    <x v="12"/>
    <x v="14"/>
    <s v="ブランドごとの画面切替が 1 つの基盤で成立するか"/>
    <s v="1 つの基盤でブランドごとに違う画面を出せるかを確かめる。出せない場合の代替も確認する"/>
    <s v="確認結果。出し分けの可否と、できない場合の代替手段が判断できる状態"/>
    <n v="3"/>
    <s v="基盤チーム"/>
    <s v="基盤チーム"/>
    <s v="構成の前提"/>
    <s v="【省略・吸収】1 ブランドのみの前提で不要。人日は復活時のために残す"/>
    <s v="対象外：省略・吸収"/>
    <s v="新規: 自社構築"/>
    <s v="—"/>
    <s v="未着手"/>
    <m/>
    <s v="F-AUTH-25"/>
  </r>
  <r>
    <s v="A-7"/>
    <s v="A-7 切替先の機材確保"/>
    <s v="実機検証・照会"/>
    <s v="自明として省略"/>
    <x v="13"/>
    <x v="15"/>
    <s v="切替先の機材確保（照会）"/>
    <s v="切替先の地域で必要な機材が確保できるか、上限に余裕があるかを問い合わせる"/>
    <s v="回答記録。確保可否と上限値が確認されている"/>
    <n v="1"/>
    <s v="基盤チーム"/>
    <s v="基盤チーム"/>
    <s v="構成の前提"/>
    <s v="構成が成立するかの確認で、機能を減らしても確かめる必要は残る"/>
    <s v="対象外：災害対策をやらない"/>
    <s v="新規: 自社構築"/>
    <s v="—"/>
    <s v="未着手"/>
    <m/>
    <s v="NF-AVL-01"/>
  </r>
  <r>
    <s v="B-1.1"/>
    <s v="B-1"/>
    <s v="外部調整"/>
    <s v="工数減らした"/>
    <x v="10"/>
    <x v="16"/>
    <s v="他組織への要求事項の文書化と提出"/>
    <s v="インターネットとの境界を管理する他組織に対し、こちらが必要とする設定内容を文書にまとめて提出する"/>
    <s v="要求事項の文書。24 件すべてが記載され、先方へ提出済み"/>
    <n v="1"/>
    <s v="基盤チーム"/>
    <s v="基盤チーム"/>
    <s v="他組織との調整"/>
    <s v="ネットワークや入口の要求は、機能の数と無関係に発生する"/>
    <s v="対象"/>
    <s v="新規: 自社構築"/>
    <s v="DR系のみ D-18.2"/>
    <s v="未着手"/>
    <m/>
    <s v="NF-ARC-06"/>
  </r>
  <r>
    <s v="B-1.2"/>
    <s v="B-1"/>
    <s v="外部調整"/>
    <s v="工数減らした"/>
    <x v="10"/>
    <x v="16"/>
    <s v="先方からの質問への回答対応"/>
    <s v="提出した内容について先方から出た質問に回答し、論点を整理する"/>
    <s v="質疑の記録。2 往復を想定し、未解決の論点が一覧化されている"/>
    <n v="1"/>
    <s v="基盤チーム"/>
    <s v="基盤チーム"/>
    <s v="他組織との調整"/>
    <s v="ネットワークや入口の要求は、機能の数と無関係に発生する"/>
    <s v="対象"/>
    <s v="新規: 自社構築"/>
    <s v="B-1.1"/>
    <s v="未着手"/>
    <m/>
    <s v="NF-ARC-06"/>
  </r>
  <r>
    <s v="B-2.1"/>
    <s v="B-2"/>
    <s v="外部調整"/>
    <s v="配信先というのは顧客か？わかりにくい"/>
    <x v="10"/>
    <x v="11"/>
    <s v="配信基盤（CloudFront）から境界管理組織の入口までの繋ぎ方の技術検討"/>
    <s v="配信の仕組みから先方の入口装置まで、どう繋ぐかの方式を技術的に詰める"/>
    <s v="方式比較。採用案と、採れない場合の代替が示されている"/>
    <n v="2"/>
    <s v="基盤チーム"/>
    <s v="基盤チーム"/>
    <s v="他組織との調整"/>
    <s v="ネットワークや入口の要求は、機能の数と無関係に発生する"/>
    <s v="対象"/>
    <s v="新規: 自社構築"/>
    <s v="—"/>
    <s v="未着手"/>
    <m/>
    <s v="NF-ARC-02"/>
  </r>
  <r>
    <s v="B-2.2"/>
    <s v="B-2"/>
    <s v="外部調整"/>
    <s v="先方というのはどこか？わかりにくい"/>
    <x v="10"/>
    <x v="16"/>
    <s v="境界管理組織との協議用の比較資料の作成"/>
    <s v="先方と協議するための比較資料を作る"/>
    <s v="協議資料。方式ごとの利点と制約が先方にも分かる形で整理されている"/>
    <n v="0.5"/>
    <s v="基盤チーム"/>
    <s v="基盤チーム"/>
    <s v="他組織との調整"/>
    <s v="ネットワークや入口の要求は、機能の数と無関係に発生する"/>
    <s v="対象"/>
    <s v="新規: 自社構築"/>
    <s v="B-2.1"/>
    <s v="未着手"/>
    <m/>
    <s v="NF-ARC-06"/>
  </r>
  <r>
    <s v="B-3"/>
    <s v="B-3"/>
    <s v="外部調整"/>
    <s v="ネットワーク番号とはIPか？"/>
    <x v="10"/>
    <x v="11"/>
    <s v="使用する IP アドレス範囲の確定と重複確認"/>
    <s v="使用するネットワーク番号を確定し、社内・他組織・顧客側と重複しないことを確認する"/>
    <s v="確定した番号の台帳。重複がないことが確認済み。構築開始前に必須"/>
    <n v="0.5"/>
    <s v="基盤チーム"/>
    <s v="基盤チーム"/>
    <s v="他組織との調整"/>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社内NW"/>
    <s v="未着手"/>
    <m/>
    <s v="NF-ARC-02"/>
  </r>
  <r>
    <s v="B-4.1"/>
    <s v="B-4"/>
    <s v="外部調整"/>
    <s v="先方というのはどこか？わかりにくい"/>
    <x v="10"/>
    <x v="16"/>
    <s v="外向き通信の許可運用に関する境界管理組織との合意資料"/>
    <s v="外向き通信の許可をどう運用するかについて、先方と合意するための資料を作る"/>
    <s v="合意資料。許可の申請方法と所要時間が明記されている"/>
    <n v="0.5"/>
    <s v="基盤チーム"/>
    <s v="基盤チーム"/>
    <s v="他組織との調整"/>
    <s v="ネットワークや入口の要求は、機能の数と無関係に発生する"/>
    <s v="対象"/>
    <s v="新規: 自社構築"/>
    <s v="B-1.1"/>
    <s v="未着手"/>
    <m/>
    <s v="NF-ARC-06"/>
  </r>
  <r>
    <s v="B-4.2"/>
    <s v="B-4"/>
    <s v="外部調整"/>
    <s v="先方というのはどこか？わかりにくい"/>
    <x v="10"/>
    <x v="16"/>
    <s v="災害時の入口切替に関する合意資料"/>
    <s v="災害時に入口を切り替える方式について、先方と合意するための資料を作る"/>
    <s v="合意資料。切替の手順と役割分担が明記されている"/>
    <n v="0.5"/>
    <s v="基盤チーム"/>
    <s v="基盤チーム"/>
    <s v="他組織との調整"/>
    <s v="ネットワークや入口の要求は、機能の数と無関係に発生する"/>
    <s v="対象外：災害対策をやらない"/>
    <s v="新規: 自社構築"/>
    <s v="D-18.2"/>
    <s v="未着手"/>
    <m/>
    <s v="NF-ARC-06"/>
  </r>
  <r>
    <s v="B-5"/>
    <s v="B-5"/>
    <s v="外部調整"/>
    <s v="先方というのはどこか？わかりにくい"/>
    <x v="14"/>
    <x v="17"/>
    <s v="死活監視を攻撃と誤検知させないための境界管理組織との合意"/>
    <s v="死活監視の通信を攻撃と誤検知させないための扱いを、先方と合意する"/>
    <s v="合意内容。除外の対象と方法が定まっている"/>
    <n v="0.5"/>
    <s v="基盤チーム"/>
    <s v="アプリチーム"/>
    <s v="代替手段あり"/>
    <s v="通常のシステム監視と手動更新で代替でき、無くても認証は止まらない"/>
    <s v="対象"/>
    <s v="新規: 非機能・運用"/>
    <s v="B-1.1"/>
    <s v="未着手"/>
    <m/>
    <s v="F-INT-09"/>
  </r>
  <r>
    <s v="D-1"/>
    <s v="D-1"/>
    <s v="調査・計画"/>
    <s v="1顧客に複数のIDPがあるという想定か。その想定なのであればそういう顧客もいるのでこれでいい"/>
    <x v="12"/>
    <x v="14"/>
    <s v="接続先の優先順位と選択画面の並び順"/>
    <s v="1 つの組織に複数の接続先がある場合の優先順位と、選択画面での並び順をどう決めるかを確定する"/>
    <s v="決定記録。順位の決め方と並び順の規則が定まり、画面設計に反映できる"/>
    <n v="2"/>
    <s v="基盤チーム"/>
    <s v="基盤チーム"/>
    <s v="構成の前提"/>
    <s v="構成の前提を決める判断で、先送りすると後続が全て止まる"/>
    <s v="対象"/>
    <s v="新規: 機能追加"/>
    <s v="—"/>
    <s v="未着手"/>
    <m/>
    <s v="F-AUTH-25"/>
  </r>
  <r>
    <s v="D-2"/>
    <s v="D-2"/>
    <s v="レビュー・合意"/>
    <s v="ステップアップ認証不要なので不要"/>
    <x v="15"/>
    <x v="18"/>
    <s v="強い本人確認を求める操作の一覧"/>
    <s v="どの操作のときに追加の本人確認を求めるかの一覧を、アプリ側との取り決めとして先に確定する"/>
    <s v="操作一覧。対象操作と要求水準が定まり、アプリへ提示できる"/>
    <n v="3"/>
    <s v="基盤チーム"/>
    <s v="アプリチーム"/>
    <s v="代替手段あり"/>
    <s v="【省略・吸収】ステップアップ認証は不要と決定。人日は復活時のために残す"/>
    <s v="対象外：省略・吸収"/>
    <s v="当初あり"/>
    <s v="B-APP-STEPUP-1暫定可"/>
    <s v="未着手"/>
    <m/>
    <s v="F-AUTH-17"/>
  </r>
  <r>
    <s v="D-6"/>
    <s v="D-6"/>
    <s v="調査・計画"/>
    <s v="そもそもパスワード再設定やMFA再設定について要件定義でもっと詰めるべきだが、この項目は必要。"/>
    <x v="6"/>
    <x v="19"/>
    <s v="通知メールの送信設定と なりすまし防止"/>
    <s v="送信サービスの制限解除、なりすまし防止の DNS 設定、ブランドごとの送信設定をコードで管理する方式を決める"/>
    <s v="設計書。制限解除の申請内容と DNS 設定値、設定の管理方法が定まっている"/>
    <n v="3"/>
    <s v="基盤チーム"/>
    <s v="基盤チーム"/>
    <s v="製品機能"/>
    <s v="パスワード再設定などの定型メールは認証製品が送るため、基盤側に残る"/>
    <s v="対象"/>
    <s v="新規: 非機能・運用"/>
    <s v="—"/>
    <s v="要件確認"/>
    <m/>
    <s v="F-INT-07"/>
  </r>
  <r>
    <s v="D-7a"/>
    <s v="D-7"/>
    <s v="調査・計画"/>
    <s v="切り替え先の地域というのが不明。アクターの名称がよくわからない。顧客なのかAWSなのか現行システムなのか？"/>
    <x v="13"/>
    <x v="15"/>
    <s v="不審な挙動の検知データを切替先にも置くか"/>
    <s v="検知の判定材料となる履歴データを、切替先の地域にも持つかどうかを決める"/>
    <s v="判断記録。持たない場合に切替直後へ与える影響が評価されている"/>
    <n v="1.5"/>
    <s v="基盤チーム"/>
    <s v="基盤チーム"/>
    <s v="後から追加可能"/>
    <s v="必要になってから足せる仕組みで、初期に無くても困らない"/>
    <s v="対象外：災害対策をやらない"/>
    <s v="新規: 非機能・運用"/>
    <s v="D-18.2"/>
    <s v="未着手"/>
    <m/>
    <s v="NF-AVL-01"/>
  </r>
  <r>
    <s v="D-7b"/>
    <s v="D-7"/>
    <s v="調査・計画"/>
    <s v="踏み台しかそもそもない"/>
    <x v="13"/>
    <x v="15"/>
    <s v="緊急時の入り口を切替先にどう用意するか"/>
    <s v="通常経路が使えないときに管理者が入る仕組みを、切替先にどう用意するかを決める"/>
    <s v="方式設計。平時にクラスタが無い状態でも成立する手段が定まっている"/>
    <n v="1.5"/>
    <s v="基盤チーム"/>
    <s v="基盤チーム"/>
    <s v="構成の前提"/>
    <s v="構成の前提を決める判断で、先送りすると後続が全て止まる"/>
    <s v="対象外：災害対策をやらない"/>
    <s v="新規: 機能追加"/>
    <s v="D-18.2"/>
    <s v="未着手"/>
    <m/>
    <s v="NF-AVL-01"/>
  </r>
  <r>
    <s v="D-9.1"/>
    <s v="D-9"/>
    <s v="調査・計画"/>
    <s v="アプリでいい"/>
    <x v="16"/>
    <x v="20"/>
    <s v="権限テーブルとアプリ台帳のスキーマ統合"/>
    <s v="「誰がどのアプリを使えるか」の表と「どんなアプリがあるか」の台帳を、同じ場所・同じ ID 体系で持つ設計"/>
    <s v="統合設計。両者の対応関係と ID の付け方が定まっている"/>
    <n v="1.5"/>
    <s v="アプリチーム"/>
    <s v="アプリチーム"/>
    <s v="業務ルール依存"/>
    <s v="誰にどの権限を与えるかは業務ごとに違い、基盤が共通の仕様を決められない"/>
    <s v="対象"/>
    <s v="新規: 機能追加"/>
    <s v="—"/>
    <s v="未着手"/>
    <m/>
    <s v="F-ADM-11"/>
  </r>
  <r>
    <s v="D-9.3a"/>
    <s v="D-9"/>
    <s v="調査・計画"/>
    <s v="Keycloak-IdP側のユーザ追加や編集に関する機能は一部移管でもアプリに寄せていい"/>
    <x v="11"/>
    <x v="13"/>
    <s v="承認画面を他機能と共用するか"/>
    <s v="顧客追加の承認を行う画面を、既存の管理画面と共用するか独立させるかを決める"/>
    <s v="判断記録。共用する場合の権限の分け方が定まっている"/>
    <n v="0.5"/>
    <s v="アプリチーム"/>
    <s v="アプリチーム"/>
    <s v="認証の中核"/>
    <s v="顧客と接続先を登録できないとサービスを開始できない"/>
    <s v="対象"/>
    <s v="新規: 機能追加"/>
    <s v="—"/>
    <s v="未着手"/>
    <m/>
    <s v="F-ADM-16"/>
  </r>
  <r>
    <s v="D-9.3b"/>
    <s v="D-9"/>
    <s v="調査・計画"/>
    <s v="OK"/>
    <x v="14"/>
    <x v="21"/>
    <s v="監視用の読み取り専用資格の権限範囲"/>
    <s v="死活監視が使う資格に、どこまで読める権限を与えるかの規約を決める"/>
    <s v="権限規約。読み取り範囲が最小限に定まっている"/>
    <n v="0.5"/>
    <s v="基盤チーム"/>
    <s v="アプリチーム"/>
    <s v="事故防止"/>
    <s v="検知の仕組みが使う資格の権限範囲。検知を Phase 1 に戻したため必要になる"/>
    <s v="対象"/>
    <s v="新規: 非機能・運用"/>
    <s v="—"/>
    <s v="未着手"/>
    <m/>
    <s v="F-INT-08"/>
  </r>
  <r>
    <s v="D-9.3c"/>
    <s v="D-9"/>
    <s v="調査・計画"/>
    <s v="OK"/>
    <x v="0"/>
    <x v="22"/>
    <s v="管理APIの応答目標をどこまで含めるか"/>
    <s v="管理 API の応答時間の目標値を、どの区間で測るかの境界を決める"/>
    <s v="測定境界の定義。目標値と測定点が定まっている"/>
    <n v="0.5"/>
    <s v="基盤チーム"/>
    <s v="基盤チーム"/>
    <s v="構成の前提"/>
    <s v="構成の前提を決める判断で、先送りすると後続が全て止まる"/>
    <s v="対象"/>
    <s v="新規: 機能追加"/>
    <s v="—"/>
    <s v="未着手"/>
    <m/>
    <s v="NF-PRF-03"/>
  </r>
  <r>
    <s v="D-15"/>
    <s v="D-15"/>
    <s v="調査・計画"/>
    <s v="ステップアップ認証は不要と決定"/>
    <x v="17"/>
    <x v="23"/>
    <s v="権限を一時的に上げる仕組みの置き場所"/>
    <s v="一時的に強い権限を出す機能をどこに置くかを決める"/>
    <s v="決定記録"/>
    <n v="2"/>
    <s v="基盤チーム"/>
    <s v="基盤チーム"/>
    <s v="構成の前提"/>
    <s v="【省略・吸収】ステップアップ認証は不要と決定。人日は復活時のために残す"/>
    <s v="対象外：省略・吸収"/>
    <s v="新規: 機能追加"/>
    <s v="F-4"/>
    <s v="未着手"/>
    <m/>
    <s v="F-AZ-06"/>
  </r>
  <r>
    <s v="D-16.1"/>
    <s v="D-16 SN移行"/>
    <s v="レビュー・合意"/>
    <s v="移行とかは運用設計のところでまとめたいし、これはアプリを想定"/>
    <x v="18"/>
    <x v="24"/>
    <s v="運用設計：業務システム（ServiceNow）への移行を 4 段階で進める手順"/>
    <s v="業務システムへの移行を 4 段階で進める詳細手順を決める"/>
    <s v="段階別の手順書。各段階で元に戻せることが示されている"/>
    <n v="2"/>
    <s v="アプリチーム"/>
    <s v="アプリチーム"/>
    <s v="後から追加可能"/>
    <s v="連携先は 1 つで、無くても認証基盤としては成立する"/>
    <s v="対象"/>
    <s v="新規: 機能追加"/>
    <s v="B-SN暫定可"/>
    <s v="未着手"/>
    <m/>
    <s v="NF-MIG-02"/>
  </r>
  <r>
    <s v="D-16.2"/>
    <s v="D-16 SN移行"/>
    <s v="レビュー・合意"/>
    <s v="要件定義で詰められてない。項目としては検討が必要と思うがアプリかどうかはちょっと迷う"/>
    <x v="19"/>
    <x v="25"/>
    <s v="利用者を止めたときの業務システム側の連鎖"/>
    <s v="利用者を止めたときに業務システム側でも使えなくなる連鎖の仕組みを決める。ADR-023 では「ServiceNow 側の利用者は残したまま認証で遮断」と決めているが、顧客要件としては未確認"/>
    <s v="決定記録。業務履歴を残しつつ利用を止められる方式が定まっている"/>
    <n v="1"/>
    <s v="基盤チーム"/>
    <s v="アプリチーム"/>
    <s v="後から追加可能"/>
    <s v="連携先は 1 つで、無くても認証基盤としては成立する"/>
    <s v="対象"/>
    <s v="新規: 機能追加"/>
    <s v="—"/>
    <s v="要件確認"/>
    <m/>
    <s v="F-INT-01"/>
  </r>
  <r>
    <s v="D-16.3"/>
    <s v="D-16 SN移行"/>
    <s v="レビュー・合意"/>
    <s v="移行とかは運用設計のところでまとめたいし、これはアプリを想定"/>
    <x v="18"/>
    <x v="24"/>
    <s v="運用設計：業務システムにしかいない利用者の移行方針"/>
    <s v="業務システムにしかいない利用者の移行方針を決める"/>
    <s v="決定記録。対象者の扱いが定まっている"/>
    <n v="1"/>
    <s v="アプリチーム"/>
    <s v="アプリチーム"/>
    <s v="後から追加可能"/>
    <s v="連携先は 1 つで、無くても認証基盤としては成立する"/>
    <s v="対象"/>
    <s v="新規: 機能追加"/>
    <s v="—"/>
    <s v="未着手"/>
    <m/>
    <s v="NF-MIG-02"/>
  </r>
  <r>
    <s v="D-17.1"/>
    <s v="D-17 identity改訂"/>
    <s v="調査・計画"/>
    <s v="全利用者が外部連携というのはどういうことか。フェデレーションなどちょっと不明。何をどう改定するのか？"/>
    <x v="20"/>
    <x v="26"/>
    <s v="全員が外部連携になる前提への改訂: ログイン処理の順序"/>
    <s v="全利用者を顧客の認証システム経由に統一する方針に合わせ、ログイン処理の流れを書き直す"/>
    <s v="改訂済みの設計記述"/>
    <n v="1"/>
    <s v="基盤チーム"/>
    <s v="基盤チーム"/>
    <s v="認証の中核"/>
    <s v="【省略・吸収】設計書はまだ無い前提のため改訂作業は不要。内容は HJ-02a に吸収。人日は復活時のために残す"/>
    <s v="対象外：省略・吸収"/>
    <s v="当初あり"/>
    <s v="—"/>
    <s v="未着手"/>
    <m/>
    <s v="F-AUTH-01"/>
  </r>
  <r>
    <s v="D-17.2"/>
    <s v="D-17 identity改訂"/>
    <s v="調査・計画"/>
    <s v="全利用者が外部連携というのはどういうことか。フェデレーションなどちょっと不明。何をどう改定するのか？"/>
    <x v="21"/>
    <x v="27"/>
    <s v="全員が外部連携になる前提への改訂: 登録経路の区分"/>
    <s v="利用者がどの経路で登録されたかの区分を、新方針に合わせて整理し直す"/>
    <s v="改訂済みの経路表。区分が重複しない"/>
    <n v="1.5"/>
    <s v="基盤チーム"/>
    <s v="アプリチーム"/>
    <s v="認証の中核"/>
    <s v="【省略・吸収】同上。内容は HB-F-PROV-09 に吸収。人日は復活時のために残す"/>
    <s v="対象外：省略・吸収"/>
    <s v="新規: 機能追加"/>
    <s v="—"/>
    <s v="未着手"/>
    <m/>
    <s v="F-PROV-09"/>
  </r>
  <r>
    <s v="D-17.3"/>
    <s v="D-17 identity改訂"/>
    <s v="調査・計画"/>
    <s v="全利用者が外部連携というのはどういうことか。フェデレーションなどちょっと不明。何をどう改定するのか？"/>
    <x v="15"/>
    <x v="28"/>
    <s v="全員が外部連携になる前提への改訂: 追加認証の画面の流れ"/>
    <s v="追加認証の画面の流れを、新方針での利用者区分に合わせて見直す"/>
    <s v="改訂済みの設計記述"/>
    <n v="1"/>
    <s v="基盤チーム"/>
    <s v="基盤チーム"/>
    <s v="製品機能"/>
    <s v="【省略・吸収】同上。内容は HB-F-AUTH-10〜13 に吸収。人日は復活時のために残す"/>
    <s v="対象外：省略・吸収"/>
    <s v="当初あり"/>
    <s v="—"/>
    <s v="未着手"/>
    <m/>
    <s v="F-AUTH-11"/>
  </r>
  <r>
    <s v="D-17.4"/>
    <s v="D-17 identity改訂"/>
    <s v="調査・計画"/>
    <s v="全利用者が外部連携というのはどういうことか。フェデレーションなどちょっと不明。何をどう改定するのか？"/>
    <x v="15"/>
    <x v="28"/>
    <s v="全員が外部連携になる前提への改訂: 追加認証の責任分担"/>
    <s v="追加認証の実施責任が顧客側に移る部分を、設計書に明記する"/>
    <s v="改訂済みの設計記述。責任の所在が明確になっている"/>
    <n v="1"/>
    <s v="基盤チーム"/>
    <s v="基盤チーム"/>
    <s v="製品機能"/>
    <s v="【省略・吸収】同上。内容は HB-F-AUTH-10〜13 に吸収。人日は復活時のために残す"/>
    <s v="対象外：省略・吸収"/>
    <s v="当初あり"/>
    <s v="—"/>
    <s v="未着手"/>
    <m/>
    <s v="F-AUTH-11"/>
  </r>
  <r>
    <s v="D-17.5"/>
    <s v="D-17 identity改訂"/>
    <s v="調査・計画"/>
    <s v="全利用者が外部連携というのはどういうことか。フェデレーションなどちょっと不明。何をどう改定するのか？"/>
    <x v="20"/>
    <x v="26"/>
    <s v="全員が外部連携になる前提への改訂: 4冊の突合"/>
    <s v="書き直した 4 つの設計書の間で矛盾がないかを突き合わせる"/>
    <s v="突合結果。矛盾がないことが確認されている"/>
    <n v="0.5"/>
    <s v="基盤チーム"/>
    <s v="基盤チーム"/>
    <s v="認証の中核"/>
    <s v="【省略・吸収】同上（突合の対象となる改訂が無い）。人日は復活時のために残す"/>
    <s v="対象外：省略・吸収"/>
    <s v="当初あり"/>
    <s v="D-17.1〜4"/>
    <s v="未着手"/>
    <m/>
    <s v="F-AUTH-01"/>
  </r>
  <r>
    <s v="D-18.1"/>
    <s v="D-18 DR再判断"/>
    <s v="調査・計画"/>
    <s v="再判断というか検討？"/>
    <x v="13"/>
    <x v="15"/>
    <s v="希望する復旧時間と実現できる時間の差の分析"/>
    <s v="顧客の希望する復旧時間と、現在の方式で実現できる時間の差を数値で明らかにする"/>
    <s v="分析結果。差分と、その原因となる制約が数値で示されている"/>
    <n v="2"/>
    <s v="基盤チーム"/>
    <s v="基盤チーム"/>
    <s v="構成の前提"/>
    <s v="構成の前提を決める判断で、先送りすると後続が全て止まる"/>
    <s v="対象外：災害対策をやらない"/>
    <s v="新規: 機能追加"/>
    <s v="—"/>
    <s v="未着手"/>
    <m/>
    <s v="NF-AVL-01"/>
  </r>
  <r>
    <s v="D-18.2"/>
    <s v="D-18 DR再判断"/>
    <s v="調査・計画"/>
    <s v="再判断というか検討？"/>
    <x v="13"/>
    <x v="15"/>
    <s v="復旧方式の決定"/>
    <s v="分析を踏まえ、復旧方式をどうするかを決める"/>
    <s v="決定記録。方式が 1 つに確定している"/>
    <n v="3"/>
    <s v="基盤チーム"/>
    <s v="基盤チーム"/>
    <s v="構成の前提"/>
    <s v="構成の前提を決める判断で、先送りすると後続が全て止まる"/>
    <s v="対象外：災害対策をやらない"/>
    <s v="新規: 機能追加"/>
    <s v="D-18.1"/>
    <s v="未着手"/>
    <m/>
    <s v="NF-AVL-01"/>
  </r>
  <r>
    <s v="D-18.3"/>
    <s v="D-18 DR改訂"/>
    <s v="調査・計画"/>
    <s v="改定というか検討？設計書はまだない想定で進める"/>
    <x v="13"/>
    <x v="15"/>
    <s v="決めた復旧方式の設計書への反映"/>
    <s v="決めた復旧方式を関連する設計書に反映する"/>
    <s v="改訂済みの設計記述 3 冊"/>
    <n v="4"/>
    <s v="基盤チーム"/>
    <s v="基盤チーム"/>
    <s v="構成の前提"/>
    <s v="構成の前提を決める判断で、先送りすると後続が全て止まる"/>
    <s v="対象外：災害対策をやらない"/>
    <s v="新規: 機能追加"/>
    <s v="D-18.2"/>
    <s v="未着手"/>
    <m/>
    <s v="NF-AVL-01"/>
  </r>
  <r>
    <s v="D-18.4"/>
    <s v="D-18 DR改訂"/>
    <s v="調査・計画"/>
    <s v="改定というか検討？設計書はまだない想定で進める"/>
    <x v="13"/>
    <x v="15"/>
    <s v="復旧作業の手順書の骨子"/>
    <s v="復旧作業の手順書の骨子を作る"/>
    <s v="手順書の骨子。実際の作業順序が追える"/>
    <n v="2"/>
    <s v="基盤チーム"/>
    <s v="基盤チーム"/>
    <s v="構成の前提"/>
    <s v="構成の前提を決める判断で、先送りすると後続が全て止まる"/>
    <s v="対象外：災害対策をやらない"/>
    <s v="新規: 機能追加"/>
    <s v="D-18.3"/>
    <s v="未着手"/>
    <m/>
    <s v="NF-AVL-01"/>
  </r>
  <r>
    <s v="D-18.5"/>
    <s v="D-18 DR改訂"/>
    <s v="レビュー・合意"/>
    <s v="改定というか検討？設計書はまだない想定で進める"/>
    <x v="13"/>
    <x v="15"/>
    <s v="災害対策をスコープ外とする判断の記録と顧客への説明資料"/>
    <s v="「別地域への切替は行わない」判断の根拠・リスク・契約文言案・将来復活する場合の追加見積をまとめる"/>
    <s v="判断記録と説明資料。根拠・残るリスク・契約文言案・復活時の追加見積が示され、顧客提示できる状態"/>
    <n v="2"/>
    <s v="基盤チーム"/>
    <s v="基盤チーム"/>
    <s v="法令・契約"/>
    <s v="顧客希望は「1 日で復旧」で、対象外はその正反対。差は「復旧が遅い」ではなく「復旧するかしないか」なので、書面で合意しないと後で紛争になる"/>
    <s v="対象"/>
    <s v="新規: 機能追加"/>
    <s v="—"/>
    <s v="未着手"/>
    <m/>
    <s v="NF-AVL-01"/>
  </r>
  <r>
    <s v="D-21"/>
    <s v="D-18 DR改訂"/>
    <s v="調査・計画"/>
    <s v="改定というか検討？設計書はまだない想定で進める"/>
    <x v="13"/>
    <x v="15"/>
    <s v="将来の切替先のための番号予約"/>
    <s v="別地域に切り替える構成を将来足せるよう、ネットワークの番号だけ確保しておく。作成後に変更できないため、今やらないと将来やりたくなっても入り口で詰まる（構成前提: 切替先を持つ（災害対策））"/>
    <s v="予約済みの番号帯。切替先で使う範囲が確保され、既存と重複しないことが確認されている"/>
    <n v="0.5"/>
    <s v="基盤チーム"/>
    <s v="基盤チーム"/>
    <s v="構成の前提"/>
    <s v="ネットワークの区画は作成後に変更できない。今예約しておかないと、将来やりたくなったときに全体の作り直しになる"/>
    <s v="対象"/>
    <s v="新規: 機能追加"/>
    <s v="—"/>
    <s v="未着手"/>
    <m/>
    <s v="NF-AVL-01"/>
  </r>
  <r>
    <s v="D-19"/>
    <s v="D-19"/>
    <s v="調査・計画"/>
    <s v="改定というか検討？設計書はまだない想定で進める"/>
    <x v="10"/>
    <x v="29"/>
    <s v="認証システムのまとまり数の決定記録（Realm 統合）"/>
    <s v="認証システムをいくつのまとまりで構成するかを再検討して決める"/>
    <s v="決定記録。構成が確定し、ネットワーク設計の前提が定まる"/>
    <n v="1"/>
    <s v="基盤チーム"/>
    <s v="基盤チーム"/>
    <s v="構成の前提"/>
    <s v="2026-09-02 に Realm 統合として決定済み。決定記録のみ残す"/>
    <s v="対象"/>
    <s v="新規: 規模"/>
    <s v="—"/>
    <s v="未着手"/>
    <m/>
    <s v="NF-ARC-04"/>
  </r>
  <r>
    <s v="E-1.1"/>
    <s v="E-1 dev/stg"/>
    <s v="調査・計画"/>
    <s v="費用と共用方式とは？検証と開発のそもそも構成がないはず"/>
    <x v="18"/>
    <x v="30"/>
    <s v="開発・検証環境: 費用と共用方式の調査"/>
    <s v="開発・検証用の環境について、費用と共用のしかたを調査する"/>
    <s v="調査結果。費用の見込みと共用可能な範囲が整理されている"/>
    <n v="2"/>
    <s v="基盤チーム"/>
    <s v="基盤チーム"/>
    <s v="構成の前提"/>
    <s v="【省略・吸収】E-1.2 に吸収（費用比較は構成決定と一体）。人日は復活時のために残す"/>
    <s v="対象外：省略・吸収"/>
    <s v="新規: 自社構築"/>
    <s v="—"/>
    <s v="未着手"/>
    <m/>
    <s v="NF-MIG-01"/>
  </r>
  <r>
    <s v="E-1.2"/>
    <s v="E-1 dev/stg"/>
    <s v="調査・計画"/>
    <s v="検討は必要"/>
    <x v="18"/>
    <x v="30"/>
    <s v="開発・検証環境: 構成と共用方針の決定"/>
    <s v="開発・検証環境をいくつ、どう分けて持つかを決める"/>
    <s v="方針書。環境の数と分け方、共用範囲が定まっている"/>
    <n v="3"/>
    <s v="基盤チーム"/>
    <s v="基盤チーム"/>
    <s v="構成の前提"/>
    <s v="環境や製品設定は、機能を減らしても同じだけ必要になる"/>
    <s v="対象"/>
    <s v="新規: 自社構築"/>
    <s v="E-1.1"/>
    <s v="未着手"/>
    <m/>
    <s v="NF-MIG-01"/>
  </r>
  <r>
    <s v="E-1.3"/>
    <s v="E-1 dev/stg"/>
    <s v="調査・計画"/>
    <s v="テストにまとめて良い"/>
    <x v="18"/>
    <x v="30"/>
    <s v="開発・検証環境: 試験用データの作り方と費用見積"/>
    <s v="試験に使うデータの作り方と、環境にかかる費用を見積もる"/>
    <s v="方針と見積。本物の個人情報を使わない作り方が定まっている"/>
    <n v="3"/>
    <s v="基盤チーム"/>
    <s v="基盤チーム"/>
    <s v="構成の前提"/>
    <s v="【省略・吸収】④ テストで計上（試験用データの作り方）。人日は復活時のために残す"/>
    <s v="対象外：省略・吸収"/>
    <s v="新規: 自社構築"/>
    <s v="E-1.1"/>
    <s v="未着手"/>
    <m/>
    <s v="NF-MIG-01"/>
  </r>
  <r>
    <s v="E-2"/>
    <s v="E-2"/>
    <s v="調査・計画"/>
    <s v="OK"/>
    <x v="0"/>
    <x v="31"/>
    <s v="性能試験の全体計画書"/>
    <s v="性能試験の全体計画を 1 本にまとめる"/>
    <s v="計画書。試験の道具・データ・合格基準が定まっている"/>
    <n v="4"/>
    <s v="基盤チーム"/>
    <s v="基盤チーム"/>
    <s v="構成の前提"/>
    <s v="環境や製品設定は、機能を減らしても同じだけ必要になる"/>
    <s v="対象"/>
    <s v="新規: 規模"/>
    <s v="—"/>
    <s v="未着手"/>
    <m/>
    <s v="NF-PRF-04"/>
  </r>
  <r>
    <s v="E-3"/>
    <s v="E-3"/>
    <s v="調査・計画"/>
    <s v="工数は減らす。AWS基盤チームというのがいるのでそれに倣う"/>
    <x v="9"/>
    <x v="32"/>
    <s v="継続的な費用管理（AWS 基盤チームの仕組みに倣い、本基盤固有の項目のみ）"/>
    <s v="運用開始後に費用を継続的に把握・管理する仕組みを決める"/>
    <s v="管理方式。費用の分類方法と、超過時に気付く仕組みが定まっている"/>
    <n v="1"/>
    <s v="基盤チーム"/>
    <s v="基盤チーム"/>
    <s v="構成の前提"/>
    <s v="環境や製品設定は、機能を減らしても同じだけ必要になる"/>
    <s v="対象"/>
    <s v="新規: 自社構築"/>
    <s v="—"/>
    <s v="未着手"/>
    <m/>
    <s v="NF-OPS-07"/>
  </r>
  <r>
    <s v="E-4a"/>
    <s v="E-4"/>
    <s v="調査・計画"/>
    <m/>
    <x v="0"/>
    <x v="22"/>
    <s v="本番設定: 同時受付数の上限"/>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4b"/>
    <s v="E-4"/>
    <s v="調査・計画"/>
    <m/>
    <x v="8"/>
    <x v="9"/>
    <s v="本番設定: 外部に出さないパスの遮断表"/>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SEC-01"/>
  </r>
  <r>
    <s v="E-4c"/>
    <s v="E-4"/>
    <s v="調査・計画"/>
    <m/>
    <x v="8"/>
    <x v="33"/>
    <s v="本番設定: クラスタ内通信の暗号化と 30 日入替"/>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SEC-02"/>
  </r>
  <r>
    <s v="E-4d"/>
    <s v="E-4"/>
    <s v="調査・計画"/>
    <m/>
    <x v="0"/>
    <x v="22"/>
    <s v="本番設定: クラスタ内のノード発見方式"/>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4e"/>
    <s v="E-4"/>
    <s v="調査・計画"/>
    <m/>
    <x v="0"/>
    <x v="22"/>
    <s v="本番設定: ログイン状態の永続化の確認"/>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5"/>
    <s v="E-5"/>
    <s v="調査・計画"/>
    <s v="OK"/>
    <x v="9"/>
    <x v="10"/>
    <s v="製品更新の運用手順の精密化"/>
    <s v="製品を新しい版へ上げる際の運用手順を精密化する"/>
    <s v="手順設計。事前確認の方法と、停止を伴う場合の作業時間帯が定まっている"/>
    <n v="5"/>
    <s v="基盤チーム"/>
    <s v="基盤チーム"/>
    <s v="構成の前提"/>
    <s v="環境や製品設定は、機能を減らしても同じだけ必要になる"/>
    <s v="対象"/>
    <s v="新規: 自社構築"/>
    <s v="A-11"/>
    <s v="未着手"/>
    <m/>
    <s v="NF-OPS-05"/>
  </r>
  <r>
    <s v="E-6"/>
    <s v="E-6"/>
    <s v="調査・計画"/>
    <s v="3人日分の迷うことがあるのか"/>
    <x v="0"/>
    <x v="34"/>
    <s v="DB 接続に公式部品を使うかの判断"/>
    <s v="DB への接続に公式提供の部品を使うかどうかを判断する"/>
    <s v="判断記録。採否と、採らない場合の代替が定まっている"/>
    <n v="1"/>
    <s v="基盤チーム"/>
    <s v="基盤チーム"/>
    <s v="構成の前提"/>
    <s v="公式 JDBC か接続プール（RDS Proxy）かの判断。1 人日で足りる"/>
    <s v="対象"/>
    <s v="新規: 自社構築"/>
    <s v="—"/>
    <s v="未着手"/>
    <m/>
    <s v="NF-PRF-01"/>
  </r>
  <r>
    <s v="E-8"/>
    <s v="E-8"/>
    <s v="調査・計画"/>
    <s v="要件ももう少し細かくしたい"/>
    <x v="22"/>
    <x v="35"/>
    <s v="総当たり攻撃と利用者名の推測への対策"/>
    <s v="総当たり攻撃への対処方針と、利用者名を推測されないための対策を選定する"/>
    <s v="方針書。採用する方式と設定値が定まっている"/>
    <n v="1"/>
    <s v="基盤チーム"/>
    <s v="基盤チーム"/>
    <s v="事故防止"/>
    <s v="総当たりと利用者名の割り出しは、基盤側で塞がないとアプリでは防げない"/>
    <s v="対象"/>
    <s v="新規: 規模"/>
    <s v="—"/>
    <s v="要件確認"/>
    <m/>
    <s v="F-AUTH-20"/>
  </r>
  <r>
    <s v="F-1"/>
    <s v="F-1"/>
    <s v="外部調整"/>
    <s v="各タスクの工数で対応"/>
    <x v="7"/>
    <x v="8"/>
    <s v="顧客向け質問状の整理と提出形式化"/>
    <s v="顧客への質問状を優先度で絞り込み、提出できる形に整える"/>
    <s v="質問状。優先度順に整理され、そのまま提出できる状態"/>
    <n v="2"/>
    <s v="基盤チーム"/>
    <s v="基盤チーム"/>
    <s v="法令・契約"/>
    <s v="【省略・吸収】各タスクの工数で対応。人日は復活時のために残す"/>
    <s v="対象外：省略・吸収"/>
    <s v="新規: 非機能・運用"/>
    <s v="—"/>
    <s v="未着手"/>
    <m/>
    <s v="NF-MGT-07"/>
  </r>
  <r>
    <s v="F-2"/>
    <s v="F-2"/>
    <s v="外部調整"/>
    <s v="各タスクの工数で対応"/>
    <x v="7"/>
    <x v="8"/>
    <s v="顧客回答の設計への反映"/>
    <s v="顧客の回答を前提条件の表と各設計書へ反映する"/>
    <s v="反映済みの設計書。前提条件が確定値に置き換わっている"/>
    <n v="8"/>
    <s v="基盤チーム"/>
    <s v="基盤チーム"/>
    <s v="法令・契約"/>
    <s v="【省略・吸収】各タスクの工数で対応。人日は復活時のために残す"/>
    <s v="対象外：省略・吸収"/>
    <s v="新規: 非機能・運用"/>
    <s v="F-1"/>
    <s v="未着手"/>
    <m/>
    <s v="NF-MGT-07"/>
  </r>
  <r>
    <s v="F-3"/>
    <s v="F-3"/>
    <s v="外部調整"/>
    <s v="各タスクの工数で対応"/>
    <x v="7"/>
    <x v="8"/>
    <s v="法務およびベンダーへの照会と回収"/>
    <s v="法務および製品ベンダーへの照会を起票し、回答を回収する"/>
    <s v="回答記録。照会事項すべてに回答が得られている"/>
    <n v="3"/>
    <s v="基盤チーム"/>
    <s v="基盤チーム"/>
    <s v="法令・契約"/>
    <s v="【省略・吸収】各タスクの工数で対応。人日は復活時のために残す"/>
    <s v="対象外：省略・吸収"/>
    <s v="新規: 非機能・運用"/>
    <s v="—"/>
    <s v="未着手"/>
    <m/>
    <s v="NF-MGT-07"/>
  </r>
  <r>
    <s v="F-4"/>
    <s v="F-4"/>
    <s v="外部調整"/>
    <s v="これ具体的にどういうことかよくわからない"/>
    <x v="7"/>
    <x v="8"/>
    <s v="並行検討していた運用要件の本体への統合"/>
    <s v="並行して検討していた運用面の要件を、本体の設計へ統合する"/>
    <s v="統合済みの設計。参照の食い違いが解消されている"/>
    <n v="2"/>
    <s v="基盤チーム"/>
    <s v="基盤チーム"/>
    <s v="法令・契約"/>
    <s v="【省略・吸収】設計書はまだ無い前提のため統合作業は不要。人日は復活時のために残す"/>
    <s v="対象外：省略・吸収"/>
    <s v="新規: 非機能・運用"/>
    <s v="—"/>
    <s v="未着手"/>
    <m/>
    <s v="NF-MGT-07"/>
  </r>
  <r>
    <s v="G-1.1"/>
    <s v="G-1 Runbook"/>
    <s v="ガイド・手順書の執筆"/>
    <s v="OK"/>
    <x v="11"/>
    <x v="13"/>
    <s v="手順書: 顧客の追加"/>
    <s v="顧客を新しく追加するときの作業手順を手順書にする"/>
    <s v="手順書。6 段階の作業が順に書かれ、担当者が単独で実施できる"/>
    <n v="1.5"/>
    <s v="基盤チーム"/>
    <s v="アプリチーム"/>
    <s v="認証の中核"/>
    <s v="顧客と接続先を登録できないとサービスを開始できない"/>
    <s v="対象"/>
    <s v="新規: 機能追加"/>
    <s v="—"/>
    <s v="未着手"/>
    <m/>
    <s v="F-ADM-16"/>
  </r>
  <r>
    <s v="G-1.2"/>
    <s v="G-1 Runbook"/>
    <s v="ガイド・手順書の執筆"/>
    <s v="OK"/>
    <x v="23"/>
    <x v="36"/>
    <s v="手順書: 顧客の解約"/>
    <s v="顧客が解約するときの段階的な削除手順を手順書にする"/>
    <s v="手順書。猶予期間・データの引き渡し・完了の証明までが書かれている"/>
    <n v="1.5"/>
    <s v="基盤チーム"/>
    <s v="基盤チーム"/>
    <s v="運用に必須"/>
    <s v="手順書が無いと運用が回らず、作っただけで終わる"/>
    <s v="対象"/>
    <s v="新規: 非機能・運用"/>
    <s v="—"/>
    <s v="未着手"/>
    <m/>
    <s v="F-ADM-23"/>
  </r>
  <r>
    <s v="G-1.3"/>
    <s v="G-1 Runbook"/>
    <s v="ガイド・手順書の執筆"/>
    <s v="OK"/>
    <x v="14"/>
    <x v="21"/>
    <s v="手順書: 事故発生時の初動"/>
    <s v="事故が起きたときの初動の手順を手順書にする"/>
    <s v="手順書。検知から関係者への連絡までの時間目標が書かれている"/>
    <n v="1.5"/>
    <s v="基盤チーム"/>
    <s v="アプリチーム"/>
    <s v="事故防止"/>
    <s v="検知した後に誰が何をするかが決まっていないと、検知しても止められない"/>
    <s v="対象"/>
    <s v="新規: 非機能・運用"/>
    <s v="—"/>
    <s v="未着手"/>
    <m/>
    <s v="F-INT-08"/>
  </r>
  <r>
    <s v="G-1.4"/>
    <s v="G-1 Runbook"/>
    <s v="ガイド・手順書の執筆"/>
    <s v="OK"/>
    <x v="9"/>
    <x v="37"/>
    <s v="手順書: 情報漏えい時の報告"/>
    <s v="情報漏えいが起きたときの報告手順を手順書にする"/>
    <s v="手順書。法令が求める期限と報告先が書かれている"/>
    <n v="1.5"/>
    <s v="基盤チーム"/>
    <s v="基盤チーム"/>
    <s v="運用に必須"/>
    <s v="手順書が無いと運用が回らず、作っただけで終わる"/>
    <s v="対象"/>
    <s v="新規: 非機能・運用"/>
    <s v="—"/>
    <s v="未着手"/>
    <m/>
    <s v="NF-OPS-03"/>
  </r>
  <r>
    <s v="G-1.6"/>
    <s v="G-1 Runbook"/>
    <s v="ガイド・手順書の執筆"/>
    <s v="OK"/>
    <x v="9"/>
    <x v="38"/>
    <s v="手順書: 緊急時の管理者アクセス"/>
    <s v="通常経路が使えないときに管理者が入る手順を手順書にする"/>
    <s v="手順書。発動条件・承認者・事後の監査までが書かれている"/>
    <n v="1.5"/>
    <s v="基盤チーム"/>
    <s v="基盤チーム"/>
    <s v="運用に必須"/>
    <s v="手順書が無いと運用が回らず、作っただけで終わる"/>
    <s v="対象"/>
    <s v="新規: 非機能・運用"/>
    <s v="—"/>
    <s v="未着手"/>
    <m/>
    <s v="NF-OPS-04"/>
  </r>
  <r>
    <s v="G-1.7"/>
    <s v="G-1 Runbook"/>
    <s v="ガイド・手順書の執筆"/>
    <s v="OK"/>
    <x v="24"/>
    <x v="39"/>
    <s v="手順書: 強制ログアウト（3 つの範囲別）"/>
    <s v="利用者を強制的にログアウトさせる手順を、3 つの範囲別に手順書にする"/>
    <s v="手順書。1 人・1 顧客・全体の 3 段階が書き分けられている"/>
    <n v="1"/>
    <s v="基盤チーム"/>
    <s v="アプリチーム"/>
    <s v="認証の中核"/>
    <s v="手順書が無いと運用が回らず、作っただけで終わる"/>
    <s v="対象"/>
    <s v="新規: 非機能・運用"/>
    <s v="—"/>
    <s v="未着手"/>
    <m/>
    <s v="F-ADM-10"/>
  </r>
  <r>
    <s v="G-1.8"/>
    <s v="G-1 Runbook"/>
    <s v="ガイド・手順書の執筆"/>
    <s v="OK"/>
    <x v="13"/>
    <x v="15"/>
    <s v="手順書: 災害時の切替判断"/>
    <s v="災害時に切り替えるかどうかの判断手順を手順書にする"/>
    <s v="手順書。判断基準と判断者が明確になっている"/>
    <n v="1"/>
    <s v="基盤チーム"/>
    <s v="基盤チーム"/>
    <s v="運用に必須"/>
    <s v="手順書が無いと運用が回らず、作っただけで終わる"/>
    <s v="対象外：災害対策をやらない"/>
    <s v="新規: 非機能・運用"/>
    <s v="—"/>
    <s v="未着手"/>
    <m/>
    <s v="NF-AVL-01"/>
  </r>
  <r>
    <s v="G-1.9"/>
    <s v="G-1 Runbook"/>
    <s v="ガイド・手順書の執筆"/>
    <s v="OK"/>
    <x v="13"/>
    <x v="15"/>
    <s v="手順書: 切替先での再構築"/>
    <s v="切替先の地域で環境を作り直す手順を手順書にする"/>
    <s v="手順書。所要時間の見込みつきで作業が順に書かれている"/>
    <n v="2.5"/>
    <s v="基盤チーム"/>
    <s v="基盤チーム"/>
    <s v="運用に必須"/>
    <s v="手順書が無いと運用が回らず、作っただけで終わる"/>
    <s v="対象外：災害対策をやらない"/>
    <s v="新規: 非機能・運用"/>
    <s v="D-18.2"/>
    <s v="未着手"/>
    <m/>
    <s v="NF-AVL-01"/>
  </r>
  <r>
    <s v="G-1.10"/>
    <s v="G-1 Runbook"/>
    <s v="ガイド・手順書の執筆"/>
    <s v="OK"/>
    <x v="13"/>
    <x v="40"/>
    <s v="手順書: データの復元"/>
    <s v="保存してあるデータから復元する手順を手順書にする"/>
    <s v="手順書。時点を指定した復元の方法まで書かれている"/>
    <n v="2"/>
    <s v="基盤チーム"/>
    <s v="基盤チーム"/>
    <s v="運用に必須"/>
    <s v="手順書が無いと運用が回らず、作っただけで終わる"/>
    <s v="対象"/>
    <s v="新規: 非機能・運用"/>
    <s v="D-18.3"/>
    <s v="未着手"/>
    <m/>
    <s v="NF-AVL-02"/>
  </r>
  <r>
    <s v="G-1.11"/>
    <s v="G-1 Runbook"/>
    <s v="ガイド・手順書の執筆"/>
    <s v="OK"/>
    <x v="13"/>
    <x v="15"/>
    <s v="手順書: 元の地域への復帰"/>
    <s v="元の地域へ戻す手順を手順書にする"/>
    <s v="手順書。戻した後の整合確認まで書かれている"/>
    <n v="1"/>
    <s v="基盤チーム"/>
    <s v="基盤チーム"/>
    <s v="運用に必須"/>
    <s v="手順書が無いと運用が回らず、作っただけで終わる"/>
    <s v="対象外：災害対策をやらない"/>
    <s v="新規: 非機能・運用"/>
    <s v="—"/>
    <s v="未着手"/>
    <m/>
    <s v="NF-AVL-01"/>
  </r>
  <r>
    <s v="G-3"/>
    <s v="G-3"/>
    <s v="設計書の執筆"/>
    <s v="運用設計書：としたい"/>
    <x v="9"/>
    <x v="41"/>
    <s v="運用設計：当番体制と通知先の割り当て"/>
    <s v="当番体制を組み、警報の通知先を割り当てる"/>
    <s v="当番表と通知設定。夜間・休日の連絡経路が定まっている"/>
    <n v="2"/>
    <s v="基盤チーム"/>
    <s v="基盤チーム"/>
    <s v="運用に必須"/>
    <s v="手順書が無いと運用が回らず、作っただけで終わる"/>
    <s v="対象"/>
    <s v="新規: 非機能・運用"/>
    <s v="—"/>
    <s v="未着手"/>
    <m/>
    <s v="NF-OPS-02"/>
  </r>
  <r>
    <s v="HA-01"/>
    <s v="H-A 全体・方式設計"/>
    <s v="設計書の執筆"/>
    <s v="前提：としたい"/>
    <x v="7"/>
    <x v="42"/>
    <s v="前提：設計書 総則（目的・範囲・読み方）"/>
    <s v="設計書全体の入口となる章。目的・扱う範囲・読み方をまとめる"/>
    <s v="総則の章。範囲外の事項も明示されている"/>
    <n v="1.5"/>
    <s v="基盤チーム"/>
    <s v="基盤チーム"/>
    <s v="横断（対象縮小）"/>
    <s v="方式は 1 機能でも 91 機能でも決める必要があり、対象が減っても消えない"/>
    <s v="対象"/>
    <s v="当初あり"/>
    <s v="—"/>
    <s v="未着手"/>
    <m/>
    <s v="NF-MGT-01"/>
  </r>
  <r>
    <s v="HA-02"/>
    <s v="H-A 全体・方式設計"/>
    <s v="設計書の執筆"/>
    <s v="前提：としたい"/>
    <x v="7"/>
    <x v="42"/>
    <s v="前提：前提条件一覧"/>
    <s v="設計の土台となる前提条件を一覧にし、変わった場合にどこへ影響するかを示す"/>
    <s v="前提一覧。各前提に影響範囲が紐づいている"/>
    <n v="1.5"/>
    <s v="基盤チーム"/>
    <s v="基盤チーム"/>
    <s v="横断（対象縮小）"/>
    <s v="方式は 1 機能でも 91 機能でも決める必要があり、対象が減っても消えない"/>
    <s v="対象"/>
    <s v="当初あり"/>
    <s v="—"/>
    <s v="未着手"/>
    <m/>
    <s v="NF-MGT-01"/>
  </r>
  <r>
    <s v="HA-03"/>
    <s v="H-A 全体・方式設計"/>
    <s v="設計書の執筆"/>
    <s v="前提：としたい"/>
    <x v="7"/>
    <x v="42"/>
    <s v="前提：用語集・略語集"/>
    <s v="設計書で使う言葉の意味を統一する"/>
    <s v="用語集。本文で使う用語が漏れなく定義されている"/>
    <n v="1"/>
    <s v="基盤チーム"/>
    <s v="基盤チーム"/>
    <s v="横断（対象縮小）"/>
    <s v="方式は 1 機能でも 91 機能でも決める必要があり、対象が減っても消えない"/>
    <s v="対象"/>
    <s v="当初あり"/>
    <s v="—"/>
    <s v="未着手"/>
    <m/>
    <s v="NF-MGT-01"/>
  </r>
  <r>
    <s v="HA-04"/>
    <s v="H-A 全体・方式設計"/>
    <s v="設計書の執筆"/>
    <s v="OK"/>
    <x v="10"/>
    <x v="43"/>
    <s v="構成図：全体構成図（論理・清書を含む）"/>
    <s v="システム全体の構成を、機能のまとまりで表した図。清書（旧 G-4.1）を含む"/>
    <s v="論理構成図。主要な構成要素と関係が 1 枚で分かる"/>
    <n v="1.5"/>
    <s v="基盤チーム"/>
    <s v="基盤チーム"/>
    <s v="横断（対象縮小）"/>
    <s v="方式は 1 機能でも 91 機能でも決める必要があり、対象が減っても消えない"/>
    <s v="対象"/>
    <s v="当初あり"/>
    <s v="—"/>
    <s v="未着手"/>
    <m/>
    <s v="NF-ARC-01"/>
  </r>
  <r>
    <s v="HA-05"/>
    <s v="H-A 全体・方式設計"/>
    <s v="設計書の執筆"/>
    <s v="OK"/>
    <x v="10"/>
    <x v="43"/>
    <s v="構成図：全体構成図（物理・清書を含む）"/>
    <s v="システム全体の構成を、実際の設備配置で表した図。清書（旧 G-4.1）を含む"/>
    <s v="物理構成図。設備の配置と接続経路が示されている"/>
    <n v="1.5"/>
    <s v="基盤チーム"/>
    <s v="基盤チーム"/>
    <s v="横断（対象縮小）"/>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当初あり"/>
    <s v="—"/>
    <s v="未着手"/>
    <m/>
    <s v="NF-ARC-01"/>
  </r>
  <r>
    <s v="G-4.1"/>
    <s v="G-4 drawio清書"/>
    <s v="設計書の執筆"/>
    <s v="構成図：としたい"/>
    <x v="10"/>
    <x v="43"/>
    <s v="構成図の清書: 全体図"/>
    <s v="全体構成図を清書する"/>
    <s v="構成図。2 ネットワーク分離とブランド単位の構成が反映されている"/>
    <n v="2"/>
    <s v="基盤チーム"/>
    <s v="基盤チーム"/>
    <s v="運用に必須"/>
    <s v="【省略・吸収】HA-04 / HA-05 に吸収（清書を含める）。人日は復活時のために残す"/>
    <s v="対象外：省略・吸収"/>
    <s v="新規: 非機能・運用"/>
    <s v="C-9"/>
    <s v="未着手"/>
    <m/>
    <s v="NF-ARC-01"/>
  </r>
  <r>
    <s v="G-4.2"/>
    <s v="G-4 drawio清書"/>
    <s v="設計書の執筆"/>
    <s v="構成図：としたい"/>
    <x v="10"/>
    <x v="11"/>
    <s v="構成図：ネットワーク詳細図"/>
    <s v="ネットワーク詳細図を清書する"/>
    <s v="構成図。閉域接続とイベント経路が反映されている"/>
    <n v="2"/>
    <s v="基盤チーム"/>
    <s v="基盤チーム"/>
    <s v="運用に必須"/>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非機能・運用"/>
    <s v="C-10"/>
    <s v="未着手"/>
    <m/>
    <s v="NF-ARC-02"/>
  </r>
  <r>
    <s v="HJ-17"/>
    <s v="H-J プロダクト固有設計"/>
    <s v="設計書の執筆"/>
    <s v="被ってる？"/>
    <x v="10"/>
    <x v="12"/>
    <s v="構成：クラスタ構成設計書（ノード群・配置制約・自動増減）"/>
    <s v="実行基盤の構成設計。サーバーの種類・台数・役割分担"/>
    <s v="構成設計書。役割ごとの分離と増減の考え方が定まっている"/>
    <n v="4"/>
    <s v="基盤チーム"/>
    <s v="基盤チーム"/>
    <s v="製品機能"/>
    <s v="認証製品をどう組むかは、利用者管理を誰が作るかとは無関係に決まる"/>
    <s v="対象"/>
    <s v="新規: 自社構築"/>
    <s v="D-19"/>
    <s v="未着手"/>
    <m/>
    <s v="NF-ARC-03"/>
  </r>
  <r>
    <s v="HJ-18"/>
    <s v="H-J プロダクト固有設計"/>
    <s v="設計書の執筆"/>
    <s v="被ってる？"/>
    <x v="10"/>
    <x v="12"/>
    <s v="構成：認証製品の導入部品・設定定義の設計（版数・更新戦略）"/>
    <s v="製品の管理部品の版と更新方針の設計"/>
    <s v="設計書。版の固定方法と更新の承認手順が定まっている"/>
    <n v="3"/>
    <s v="基盤チーム"/>
    <s v="基盤チーム"/>
    <s v="製品機能"/>
    <s v="認証製品をどう組むかは、利用者管理を誰が作るかとは無関係に決まる"/>
    <s v="対象"/>
    <s v="新規: 自社構築"/>
    <s v="A-2"/>
    <s v="未着手"/>
    <m/>
    <s v="NF-ARC-03"/>
  </r>
  <r>
    <s v="HJ-19"/>
    <s v="H-J プロダクト固有設計"/>
    <s v="設計書の執筆"/>
    <s v="被ってる？"/>
    <x v="10"/>
    <x v="12"/>
    <s v="構成：クラスタ運用の境界と責任分界（ベンダー保守との分担）"/>
    <s v="実行基盤の運用について、委託先と自社の分担を整理する"/>
    <s v="分担表。どちらが何をするかが明確になっている"/>
    <n v="2"/>
    <s v="基盤チーム"/>
    <s v="基盤チーム"/>
    <s v="製品機能"/>
    <s v="認証製品をどう組むかは、利用者管理を誰が作るかとは無関係に決まる"/>
    <s v="対象"/>
    <s v="新規: 自社構築"/>
    <s v="A-15 / F-3"/>
    <s v="未着手"/>
    <m/>
    <s v="NF-ARC-03"/>
  </r>
  <r>
    <s v="HA-06"/>
    <s v="H-A 全体・方式設計"/>
    <s v="設計書の執筆"/>
    <s v="これは各項目に分けるか共通として設計すべきか検討してほしい"/>
    <x v="25"/>
    <x v="44"/>
    <s v="共通：エラー処理方式設計（方針は 1 冊、個別のエラーは各 API 仕様書）"/>
    <s v="異常が起きたときの扱い方を全体で統一する方式"/>
    <s v="方式設計。異常の分類と、それぞれの扱いが定まっている"/>
    <n v="2"/>
    <s v="基盤チーム"/>
    <s v="アプリチーム"/>
    <s v="横断（対象縮小）"/>
    <s v="方式は 1 機能でも 91 機能でも決める必要があり、対象が減っても消えない"/>
    <s v="対象"/>
    <s v="当初あり"/>
    <s v="—"/>
    <s v="未着手"/>
    <m/>
    <s v="NF-STD-01"/>
  </r>
  <r>
    <s v="HA-07"/>
    <s v="H-A 全体・方式設計"/>
    <s v="設計書の執筆"/>
    <s v="共通：としたい"/>
    <x v="25"/>
    <x v="44"/>
    <s v="共通：ログ出力方式設計（レベル/フォーマット/ローテーション）"/>
    <s v="記録の出し方を全体で統一する方式"/>
    <s v="→ 収載先: ログ設計書。方式設計。出力の粒度・形式・保存期間が定まっている"/>
    <n v="2"/>
    <s v="基盤チーム"/>
    <s v="アプリチーム"/>
    <s v="横断（対象縮小）"/>
    <s v="方式は 1 機能でも 91 機能でも決める必要があり、対象が減っても消えない"/>
    <s v="対象"/>
    <s v="当初あり"/>
    <s v="—"/>
    <s v="未着手"/>
    <m/>
    <s v="NF-STD-01"/>
  </r>
  <r>
    <s v="HG-04"/>
    <s v="H-G 権限・監査"/>
    <s v="設計書の執筆"/>
    <s v="運用設計: としてほしい"/>
    <x v="26"/>
    <x v="45"/>
    <s v="運用設計：監査ログ イベント一覧"/>
    <s v="あとから追跡できるよう記録に残しておく操作を洗い出して一覧にする"/>
    <s v="→ 収載先: ログ設計書。イベント一覧。監査で必要な操作が漏れなく含まれている"/>
    <n v="3"/>
    <s v="要判断"/>
    <s v="基盤チーム"/>
    <s v="画面のみ"/>
    <s v="見る画面はアプリでよいが、記録そのものは改ざん防止のため基盤が持つ"/>
    <s v="対象"/>
    <s v="新規: 非機能・運用"/>
    <s v="—"/>
    <s v="未着手"/>
    <m/>
    <s v="F-ADM-25"/>
  </r>
  <r>
    <s v="HG-05"/>
    <s v="H-G 権限・監査"/>
    <s v="設計書の執筆"/>
    <s v="運用設計: としてほしい"/>
    <x v="26"/>
    <x v="45"/>
    <s v="運用設計：監査ログ 取得項目・保持年数・置き場所"/>
    <s v="記録に残す項目と、何年保つかの表"/>
    <s v="→ 収載先: ログ設計書。項目表。すべての記録に保存年数が紐づいている"/>
    <n v="2"/>
    <s v="要判断"/>
    <s v="基盤チーム"/>
    <s v="画面のみ"/>
    <s v="見る画面はアプリでよいが、記録そのものは改ざん防止のため基盤が持つ"/>
    <s v="対象"/>
    <s v="新規: 非機能・運用"/>
    <s v="HG-04"/>
    <s v="未着手"/>
    <m/>
    <s v="F-ADM-25"/>
  </r>
  <r>
    <s v="D-9.2"/>
    <s v="D-9"/>
    <s v="調査・計画"/>
    <s v="ログ調査みたいなことか。他の行と纏まるかもと思ったが検討して"/>
    <x v="26"/>
    <x v="45"/>
    <s v="管理操作の記録の置き場所と保存年数"/>
    <s v="誰が何をしたかの記録を、ブランドごとに分けて持つか中央に集めるかを決める"/>
    <s v="判断記録。保存年数との整合を含め、置き場所が定まっている"/>
    <n v="1.5"/>
    <s v="要判断"/>
    <s v="基盤チーム"/>
    <s v="画面のみ"/>
    <s v="【省略・吸収】HG-05 に吸収（監査ログの置き場所・保持年数）。人日は復活時のために残す"/>
    <s v="対象外：省略・吸収"/>
    <s v="新規: 非機能・運用"/>
    <s v="—"/>
    <s v="未着手"/>
    <m/>
    <s v="F-ADM-25"/>
  </r>
  <r>
    <s v="HG-06"/>
    <s v="H-G 権限・監査"/>
    <s v="設計書の執筆"/>
    <s v="運用設計: としてほしい"/>
    <x v="26"/>
    <x v="46"/>
    <s v="運用設計：認可判定の記録の統合"/>
    <s v="権限の判定結果をどこまで記録するかの設計"/>
    <s v="→ 収載先: ログ設計書。記録設計。記録する範囲と量を抑える方法が定まっている"/>
    <n v="2"/>
    <s v="基盤チーム"/>
    <s v="基盤チーム"/>
    <s v="後から追加可能"/>
    <s v="必要になってから足せる仕組みで、初期に無くても困らない"/>
    <s v="対象"/>
    <s v="新規: 非機能・運用"/>
    <s v="HG-04"/>
    <s v="未着手"/>
    <m/>
    <s v="F-ADM-18"/>
  </r>
  <r>
    <s v="HC-10"/>
    <s v="H-C 画面設計"/>
    <s v="設計書の執筆"/>
    <s v="画面を分担するのであれば協議？ちょっとこれは要件で「画面分担するのであれば細かいデザインなどの協議か合わせるのが大変という」リスクで整理が必要ただ、アプリに決めさせたい"/>
    <x v="25"/>
    <x v="44"/>
    <s v="ログメッセージ一覧"/>
    <s v="記録に出力するメッセージの一覧"/>
    <s v="→ 収載先: ログ設計書。メッセージ一覧。調査時に検索できる形になっている"/>
    <n v="2"/>
    <s v="アプリチーム"/>
    <s v="アプリチーム"/>
    <s v="画面のみ"/>
    <s v="対象の画面が減るぶん縮むが、画面設計という作業自体は残る"/>
    <s v="対象"/>
    <s v="当初あり"/>
    <s v="—"/>
    <s v="未着手"/>
    <m/>
    <s v="NF-STD-01"/>
  </r>
  <r>
    <s v="E-7"/>
    <s v="E-7"/>
    <s v="調査・計画"/>
    <s v="何を集めるかというのはログの検討のシリーズとして立て付けたい。そもそもここではどのようなログを想定している？業務ログなのか監査ログなのか？"/>
    <x v="26"/>
    <x v="45"/>
    <s v="ログの中央集約（他組織の監査アカウント）の制約確認"/>
    <s v="基盤側が出す記録を中央に集める際の制約を確認する"/>
    <s v="→ 収載先: ログ設計書。確認結果。集約できる範囲と、できない場合の回避策が定まっている"/>
    <n v="3"/>
    <s v="要判断"/>
    <s v="基盤チーム"/>
    <s v="画面のみ"/>
    <s v="見る画面はアプリでよいが、記録そのものは改ざん防止のため基盤が持つ"/>
    <s v="対象"/>
    <s v="新規: 非機能・運用"/>
    <s v="—"/>
    <s v="未着手"/>
    <m/>
    <s v="F-ADM-25"/>
  </r>
  <r>
    <s v="D-20"/>
    <s v="D-20"/>
    <s v="調査・計画"/>
    <s v="改定というか検討？設計書はまだない想定で進める"/>
    <x v="8"/>
    <x v="47"/>
    <s v="運用設計：運用委託先から個人情報を見せない記録方式"/>
    <s v="運用委託先から個人情報が見えないよう、記録の出し方の方式を決める"/>
    <s v="→ 収載先: ログ設計書。決定記録。出力内容の伏せ方と、設定を固定する方法が定まっている"/>
    <n v="2"/>
    <s v="基盤チーム"/>
    <s v="基盤チーム"/>
    <s v="構成の前提"/>
    <s v="構成の前提を決める判断で、先送りすると後続が全て止まる"/>
    <s v="対象"/>
    <s v="新規: 機能追加"/>
    <s v="—"/>
    <s v="未着手"/>
    <m/>
    <s v="NF-SEC-03"/>
  </r>
  <r>
    <s v="HD-15"/>
    <s v="H-D データ設計"/>
    <s v="設計書の執筆"/>
    <s v="OK"/>
    <x v="26"/>
    <x v="45"/>
    <s v="記録の長期保管領域の構造設計（7年保存）"/>
    <s v="記録を長期間（7 年）保存する領域の構造設計"/>
    <s v="→ 収載先: ログ設計書。構造設計。保存形式・分割方法と、消せないようにする仕組みが定まっている"/>
    <n v="2"/>
    <s v="基盤チーム"/>
    <s v="基盤チーム"/>
    <s v="改ざん防止"/>
    <s v="消せない設定で 7 年保管する責任は基盤側にあり、他所に渡せない"/>
    <s v="対象"/>
    <s v="新規: 非機能・運用"/>
    <m/>
    <s v="未着手"/>
    <m/>
    <s v="F-ADM-25"/>
  </r>
  <r>
    <s v="HA-09"/>
    <s v="H-A 全体・方式設計"/>
    <s v="設計書の執筆"/>
    <s v="これは各項目に分けるか共通として設計すべきか検討してほしい"/>
    <x v="0"/>
    <x v="22"/>
    <s v="共通：排他制御・同時実行設計"/>
    <s v="同じデータを同時に触ったときの競合の防ぎ方"/>
    <s v="方式設計。競合の検出方法と、後勝ち／先勝ちの決めが定まっている"/>
    <n v="2"/>
    <s v="基盤チーム"/>
    <s v="アプリチーム"/>
    <s v="画面のみ"/>
    <s v="操作の入口はアプリが作れるが、認証製品を触る API は基盤に残さざるを得ない"/>
    <s v="対象"/>
    <s v="当初あり"/>
    <s v="—"/>
    <s v="未着手"/>
    <m/>
    <s v="NF-PRF-03"/>
  </r>
  <r>
    <s v="HA-11"/>
    <s v="H-A 全体・方式設計"/>
    <s v="設計書の執筆"/>
    <s v="共通：としたい"/>
    <x v="25"/>
    <x v="44"/>
    <s v="共通：文字コード・日時・タイムゾーン方式"/>
    <s v="文字の扱い・日時の扱い・時差の扱いを統一する方針"/>
    <s v="方式設計。保存時と表示時の扱いが定まっている"/>
    <n v="1.5"/>
    <s v="基盤チーム"/>
    <s v="基盤チーム"/>
    <s v="横断（対象縮小）"/>
    <s v="方式は 1 機能でも 91 機能でも決める必要があり、対象が減っても消えない"/>
    <s v="対象"/>
    <s v="当初あり"/>
    <s v="—"/>
    <s v="未着手"/>
    <m/>
    <s v="NF-STD-01"/>
  </r>
  <r>
    <s v="HA-12"/>
    <s v="H-A 全体・方式設計"/>
    <s v="設計書の執筆"/>
    <s v="これは各項目に分けるか共通として設計すべきか検討してほしい"/>
    <x v="25"/>
    <x v="44"/>
    <s v="共通：多言語・i18n 方式設計（認証製品のテーマ言語設定を含む）"/>
    <s v="画面や通知を複数の言語で出せるようにするための作り方の方針。初期リリースでどこまで対応するかを含む"/>
    <s v="方式設計。初期リリースの対応言語と、将来増やす際の作りが定まっている"/>
    <n v="1.5"/>
    <s v="基盤チーム"/>
    <s v="アプリチーム"/>
    <s v="横断（対象縮小）"/>
    <s v="方式は 1 機能でも 91 機能でも決める必要があり、対象が減っても消えない"/>
    <s v="対象"/>
    <s v="当初あり"/>
    <s v="—"/>
    <s v="未着手"/>
    <m/>
    <s v="NF-STD-01"/>
  </r>
  <r>
    <s v="HA-13"/>
    <s v="H-A 全体・方式設計"/>
    <s v="設計書の執筆"/>
    <s v="共通：としたい"/>
    <x v="25"/>
    <x v="44"/>
    <s v="共通：キャッシュ方式設計"/>
    <s v="よく使うデータを一時的に手元に置く仕組みの方針"/>
    <s v="方式設計。置く対象・保持時間・古くなった際の捨て方が定まっている"/>
    <n v="2"/>
    <s v="基盤チーム"/>
    <s v="共同"/>
    <s v="代替手段あり"/>
    <s v="認証製品が持つ一時保持は全アプリ共通。アプリ内の一時保持はアプリが決めるが、製品側の設定は共同で決める"/>
    <s v="対象"/>
    <s v="新規: 規模"/>
    <s v="—"/>
    <s v="未着手"/>
    <m/>
    <s v="NF-STD-01"/>
  </r>
  <r>
    <s v="HA-14"/>
    <s v="H-A 全体・方式設計"/>
    <s v="設計書の執筆"/>
    <s v="共通：としたい"/>
    <x v="16"/>
    <x v="48"/>
    <s v="共通：採番設計（ID 採番方式・重複回避）"/>
    <s v="各種の識別番号を誰がどう採番するかの方針"/>
    <s v="方式設計。重複しない仕組みと、採番の責任者が定まっている"/>
    <n v="2"/>
    <s v="アプリチーム"/>
    <s v="共同"/>
    <s v="業務データ"/>
    <s v="識別番号のうち利用者を指すものは認証製品が発行するため共通。アプリ内の番号はアプリが決める"/>
    <s v="対象"/>
    <s v="新規: 機能追加"/>
    <s v="—"/>
    <s v="未着手"/>
    <m/>
    <s v="F-PROV-16"/>
  </r>
  <r>
    <s v="HA-16"/>
    <s v="H-A 全体・方式設計"/>
    <s v="設計書の執筆"/>
    <s v="共通：としたい"/>
    <x v="25"/>
    <x v="49"/>
    <s v="共通：命名規約（リソース/API/DB）"/>
    <s v="設備・接続先・データの名前の付け方の決まり"/>
    <s v="命名規約。名前から用途と所属が分かる形になっている"/>
    <n v="2"/>
    <s v="基盤チーム"/>
    <s v="基盤チーム"/>
    <s v="横断（対象縮小）"/>
    <s v="方式は 1 機能でも 91 機能でも決める必要があり、対象が減っても消えない"/>
    <s v="対象"/>
    <s v="当初あり"/>
    <s v="—"/>
    <s v="未着手"/>
    <m/>
    <s v="NF-STD-04"/>
  </r>
  <r>
    <s v="HA-17"/>
    <s v="H-A 全体・方式設計"/>
    <s v="設計書の執筆"/>
    <s v="共通：Terraform設計規約"/>
    <x v="25"/>
    <x v="49"/>
    <s v="共通：Terraform 設計規約"/>
    <s v="設備を設定ファイルで管理する際の書き方の決まり"/>
    <s v="規約。書き方の統一と、レビュー観点が定まっている"/>
    <n v="2"/>
    <s v="基盤チーム"/>
    <s v="基盤チーム"/>
    <s v="横断（対象縮小）"/>
    <s v="方式は 1 機能でも 91 機能でも決める必要があり、対象が減っても消えない"/>
    <s v="対象"/>
    <s v="新規: 自社構築"/>
    <s v="—"/>
    <s v="未着手"/>
    <m/>
    <s v="NF-STD-04"/>
  </r>
  <r>
    <s v="HA-18"/>
    <s v="H-A 全体・方式設計"/>
    <s v="設計書の執筆"/>
    <s v="共通：としたい"/>
    <x v="25"/>
    <x v="50"/>
    <s v="共通：API 設計規約（命名・エラー・ページング・冪等・版管理と廃止方針）"/>
    <s v="接続仕様（API）を設計するときに全体で守る決まり。名前の付け方・エラーの返し方・件数の区切り方など。エラー・ページング・冪等（旧 HE-08）と版管理・廃止方針（旧 HA-15）を含む"/>
    <s v="規約。作り方の統一と、守るべき最低条件が定まっている"/>
    <n v="2"/>
    <s v="基盤チーム"/>
    <s v="アプリチーム"/>
    <s v="横断（対象縮小）"/>
    <s v="方式は 1 機能でも 91 機能でも決める必要があり、対象が減っても消えない"/>
    <s v="対象"/>
    <s v="当初あり"/>
    <s v="—"/>
    <s v="未着手"/>
    <m/>
    <s v="NF-STD-02"/>
  </r>
  <r>
    <s v="HA-15"/>
    <s v="H-A 全体・方式設計"/>
    <s v="設計書の執筆"/>
    <s v="これは各項目に分けるか共通として設計すべきか検討してほしい"/>
    <x v="25"/>
    <x v="50"/>
    <s v="APIバージョニング・廃止ポリシー（新規）"/>
    <s v="接続仕様を変えるときの版の付け方と、古い版をいつまで残すかの方針"/>
    <s v="方式設計。事前通知期間と移行猶予が定まっている"/>
    <n v="1.5"/>
    <s v="基盤チーム"/>
    <s v="アプリチーム"/>
    <s v="横断（対象縮小）"/>
    <s v="【省略・吸収】HA-18 API 設計規約に吸収（版管理と廃止方針）。人日は復活時のために残す"/>
    <s v="対象外：省略・吸収"/>
    <s v="当初あり"/>
    <s v="—"/>
    <s v="未着手"/>
    <m/>
    <s v="NF-STD-02"/>
  </r>
  <r>
    <s v="HE-08"/>
    <s v="H-E IF設計"/>
    <s v="設計書の執筆"/>
    <s v="OK"/>
    <x v="25"/>
    <x v="50"/>
    <s v="API共通規約（エラー/ページング/冪等）"/>
    <s v="接続仕様に共通する決まり（エラーの返し方・件数の区切り方など）"/>
    <s v="共通規約。全接続で統一された扱いが定まっている"/>
    <n v="2"/>
    <s v="基盤チーム"/>
    <s v="アプリチーム"/>
    <s v="認証の中核"/>
    <s v="【省略・吸収】HA-18 API 設計規約に吸収。人日は復活時のために残す"/>
    <s v="対象外：省略・吸収"/>
    <s v="新規: 機能追加"/>
    <s v="—"/>
    <s v="未着手"/>
    <m/>
    <s v="NF-STD-02"/>
  </r>
  <r>
    <s v="HA-19"/>
    <s v="H-A 全体・方式設計"/>
    <s v="設計書の執筆"/>
    <s v="共通：としたい"/>
    <x v="25"/>
    <x v="51"/>
    <s v="共通：画面設計規約"/>
    <s v="画面を設計するときに全体で守る決まり。共通部品の使い方・入力チェックの書き方・権限による出し分けの表現など"/>
    <s v="規約。共通部品の使い方と守るべき条件が定まっている"/>
    <n v="1"/>
    <s v="基盤チーム"/>
    <s v="アプリチーム"/>
    <s v="横断（対象縮小）"/>
    <s v="方式は 1 機能でも 91 機能でも決める必要があり、対象が減っても消えない"/>
    <s v="対象"/>
    <s v="当初あり"/>
    <s v="—"/>
    <s v="未着手"/>
    <m/>
    <s v="NF-STD-03"/>
  </r>
  <r>
    <s v="HA-20"/>
    <s v="H-A 全体・方式設計"/>
    <s v="設計書の執筆"/>
    <s v="これは今やりたい"/>
    <x v="7"/>
    <x v="52"/>
    <s v="非機能要件→設計対応表"/>
    <s v="性能や可用性などの目標値が、設計のどこで実現されるかを対応づけた表"/>
    <s v="対応表。すべての目標値に実現手段が紐づいている"/>
    <n v="3"/>
    <s v="基盤チーム"/>
    <s v="共同"/>
    <s v="横断（対象縮小）"/>
    <s v="応答時間の目標は、アプリの作り方と基盤の設備の両方で決まるため共同で決める"/>
    <s v="対象"/>
    <s v="新規: 規模"/>
    <s v="—"/>
    <s v="着手"/>
    <m/>
    <s v="NF-MGT-05"/>
  </r>
  <r>
    <s v="HA-21"/>
    <s v="H-A 全体・方式設計"/>
    <s v="設計書の執筆"/>
    <s v="共通：としたい"/>
    <x v="0"/>
    <x v="34"/>
    <s v="共通：性能設計書（目標値・処理方式・チューニング方針）"/>
    <s v="性能の目標値と、それを達成するための考え方をまとめた設計書"/>
    <s v="性能設計書。目標値・処理方式・調整の余地が示されている"/>
    <n v="4"/>
    <s v="基盤チーム"/>
    <s v="共同"/>
    <s v="横断（対象縮小）"/>
    <s v="同上。達成手段が基盤側とアプリ側にまたがる"/>
    <s v="対象"/>
    <s v="新規: 規模"/>
    <s v="—"/>
    <s v="未着手"/>
    <m/>
    <s v="NF-PRF-01"/>
  </r>
  <r>
    <s v="HA-22"/>
    <s v="H-A 全体・方式設計"/>
    <s v="設計書の執筆"/>
    <s v="共通：としたい"/>
    <x v="0"/>
    <x v="0"/>
    <s v="共通：キャパシティ・データ量見積（テーブル別・増加率・5 年後）"/>
    <s v="保管するデータがどれくらいの量になり、5 年後どこまで増えるかの見積もり"/>
    <s v="見積書。表ごとの件数と増加率、必要な容量が数値で示されている"/>
    <n v="4"/>
    <s v="基盤チーム"/>
    <s v="基盤チーム"/>
    <s v="横断（対象縮小）"/>
    <s v="方式は 1 機能でも 91 機能でも決める必要があり、対象が減っても消えない"/>
    <s v="対象"/>
    <s v="新規: 規模"/>
    <s v="—"/>
    <s v="未着手"/>
    <m/>
    <s v="NF-PRF-02"/>
  </r>
  <r>
    <s v="HA-23"/>
    <s v="H-A 全体・方式設計"/>
    <s v="設計書の執筆"/>
    <s v="これは今やりたい"/>
    <x v="25"/>
    <x v="51"/>
    <s v="サポートブラウザ・デバイス対応方針（新規）"/>
    <s v="対応するブラウザや端末の範囲を決める"/>
    <s v="方針書。対応範囲と、対象外の環境での挙動が定まっている"/>
    <n v="1.5"/>
    <s v="基盤チーム"/>
    <s v="アプリチーム"/>
    <s v="横断（対象縮小）"/>
    <s v="方式は 1 機能でも 91 機能でも決める必要があり、対象が減っても消えない"/>
    <s v="対象"/>
    <s v="当初あり"/>
    <s v="—"/>
    <s v="着手"/>
    <m/>
    <s v="NF-STD-03"/>
  </r>
  <r>
    <s v="HA-24"/>
    <s v="H-A 全体・方式設計"/>
    <s v="設計書の執筆"/>
    <s v="これは今やりたい"/>
    <x v="7"/>
    <x v="52"/>
    <s v="トレーサビリティマトリクス（要件→機能→設計→テスト）"/>
    <s v="要件・機能・設計・試験の対応関係を一覧にした表"/>
    <s v="対応表。要件から試験まで追跡でき、抜けが検出できる"/>
    <n v="5"/>
    <s v="基盤チーム"/>
    <s v="基盤チーム"/>
    <s v="横断（対象縮小）"/>
    <s v="方式は 1 機能でも 91 機能でも決める必要があり、対象が減っても消えない"/>
    <s v="対象"/>
    <s v="当初あり"/>
    <s v="—"/>
    <s v="着手"/>
    <m/>
    <s v="NF-MGT-05"/>
  </r>
  <r>
    <s v="HA-25"/>
    <s v="H-A 全体・方式設計"/>
    <s v="設計書の執筆"/>
    <s v="共通：としたい"/>
    <x v="7"/>
    <x v="52"/>
    <s v="共通：トレーサビリティ維持運用ルール"/>
    <s v="上記の対応表を、変更が入っても維持し続けるための運用ルール"/>
    <s v="運用ルール。更新の責任者とタイミングが定まっている"/>
    <n v="2"/>
    <s v="基盤チーム"/>
    <s v="基盤チーム"/>
    <s v="横断（対象縮小）"/>
    <s v="方式は 1 機能でも 91 機能でも決める必要があり、対象が減っても消えない"/>
    <s v="対象"/>
    <s v="当初あり"/>
    <s v="—"/>
    <s v="未着手"/>
    <m/>
    <s v="NF-MGT-05"/>
  </r>
  <r>
    <s v="HA-27"/>
    <s v="H-A 全体・方式設計"/>
    <s v="設計書の執筆"/>
    <s v="共通：としたい"/>
    <x v="26"/>
    <x v="53"/>
    <s v="共通：システム用アカウント台帳の設計"/>
    <s v="人ではないシステム用アカウントを台帳で管理する設計"/>
    <s v="台帳設計。登録必須項目と、放置されたものの検出方法が定まっている"/>
    <n v="2"/>
    <s v="基盤チーム"/>
    <s v="基盤チーム"/>
    <s v="後から追加可能"/>
    <s v="必要になってから足せる仕組みで、初期に無くても困らない"/>
    <s v="対象"/>
    <s v="新規: 機能追加"/>
    <s v="—"/>
    <s v="未着手"/>
    <m/>
    <s v="F-ADM-22"/>
  </r>
  <r>
    <s v="HB-01"/>
    <s v="H-B 機能設計"/>
    <s v="設計書の執筆"/>
    <s v="共通：としたい"/>
    <x v="7"/>
    <x v="54"/>
    <s v="共通：機能一覧の成果物化"/>
    <s v="すでに洗い出し済みの機能一覧（91 機能・6 系統・31 グループ）を、正式な成果物として体裁化する"/>
    <s v="機能一覧 1 本。番号体系・系統・グループ・中核判定が揃い、レビュー承認済み"/>
    <n v="2"/>
    <s v="基盤チーム"/>
    <s v="アプリチーム"/>
    <s v="横断（対象縮小）"/>
    <s v="機能の数が減れば分量は減るが、体系そのものは残る"/>
    <s v="対象"/>
    <s v="当初あり"/>
    <s v="—"/>
    <s v="未着手"/>
    <m/>
    <s v="NF-MGT-02"/>
  </r>
  <r>
    <s v="HB-08"/>
    <s v="H-B 機能設計"/>
    <s v="レビュー・合意"/>
    <s v="設計書の執筆ではない"/>
    <x v="7"/>
    <x v="54"/>
    <s v="作る範囲の確定後の最終突合と承認"/>
    <s v="作る範囲が確定した時点で、機能一覧に抜けがないかをこれまでの決定と最終突合し、承認を得る"/>
    <s v="突合結果と承認記録。決定事項がすべて機能に紐づき、未登録のものが無いことが確認されている"/>
    <n v="2"/>
    <s v="基盤チーム"/>
    <s v="アプリチーム"/>
    <s v="横断（対象縮小）"/>
    <s v="機能の数が減れば分量は減るが、体系そのものは残る"/>
    <s v="対象"/>
    <s v="当初あり"/>
    <s v="作る範囲の確定後"/>
    <s v="未着手"/>
    <m/>
    <s v="NF-MGT-02"/>
  </r>
  <r>
    <s v="HB-15"/>
    <s v="H-B 機能設計"/>
    <s v="設計書の執筆"/>
    <s v="ブレイクダウンして削除かグレーアウトしたい"/>
    <x v="7"/>
    <x v="54"/>
    <s v="業務フロー（エンドユーザー系6シナリオ）"/>
    <s v="利用者から見た業務の流れを、代表的な 6 場面について図にする"/>
    <s v="業務フロー 6 本。利用者とシステムのやり取りが追える"/>
    <n v="4"/>
    <s v="基盤チーム"/>
    <s v="アプリチーム"/>
    <s v="横断（対象縮小）"/>
    <s v="【省略・吸収】各機能仕様書の「主要な流れ」に吸収。人日は復活時のために残す"/>
    <s v="対象外：省略・吸収"/>
    <s v="当初あり"/>
    <s v="—"/>
    <s v="未着手"/>
    <m/>
    <s v="NF-MGT-02"/>
  </r>
  <r>
    <s v="HB-16"/>
    <s v="H-B 機能設計"/>
    <s v="設計書の執筆"/>
    <s v="ブレイクダウンして削除かグレーアウトしたい"/>
    <x v="7"/>
    <x v="54"/>
    <s v="業務フロー（管理者系5シナリオ）"/>
    <s v="管理者から見た業務の流れを、代表的な 5 場面について図にする"/>
    <s v="業務フロー 5 本"/>
    <n v="3.5"/>
    <s v="基盤チーム"/>
    <s v="アプリチーム"/>
    <s v="横断（対象縮小）"/>
    <s v="【省略・吸収】各機能仕様書の「主要な流れ」に吸収。人日は復活時のために残す"/>
    <s v="対象外：省略・吸収"/>
    <s v="当初あり"/>
    <s v="—"/>
    <s v="未着手"/>
    <m/>
    <s v="NF-MGT-02"/>
  </r>
  <r>
    <s v="HB-17"/>
    <s v="H-B 機能設計"/>
    <s v="設計書の執筆"/>
    <s v="ブレイクダウンして削除かグレーアウトしたい"/>
    <x v="7"/>
    <x v="54"/>
    <s v="業務フロー（連携系4シナリオ）"/>
    <s v="外部システムとの連携の流れを、代表的な 4 場面について図にする"/>
    <s v="業務フロー 4 本"/>
    <n v="2.5"/>
    <s v="基盤チーム"/>
    <s v="アプリチーム"/>
    <s v="横断（対象縮小）"/>
    <s v="【省略・吸収】各機能仕様書の「主要な流れ」に吸収。人日は復活時のために残す"/>
    <s v="対象外：省略・吸収"/>
    <s v="当初あり"/>
    <s v="—"/>
    <s v="未着手"/>
    <m/>
    <s v="NF-MGT-02"/>
  </r>
  <r>
    <s v="HB-18"/>
    <s v="H-B 機能設計"/>
    <s v="設計書の執筆"/>
    <s v="ステートマシンは省略可能"/>
    <x v="2"/>
    <x v="2"/>
    <s v="状態遷移設計（ユーザーライフサイクル S1-S10）"/>
    <s v="利用者が登録されてから使えなくなるまでの状態の移り変わりを図にする"/>
    <s v="状態遷移図。すべての状態と移り変わりの条件が定まっている"/>
    <n v="3"/>
    <s v="基盤チーム"/>
    <s v="アプリチーム"/>
    <s v="事故防止"/>
    <s v="【省略・吸収】状態は HD-21 値の一覧と PROV-09/10/11 で表現するため省略。人日は復活時のために残す"/>
    <s v="対象外：省略・吸収"/>
    <s v="新規: 機能追加"/>
    <s v="—"/>
    <s v="未着手"/>
    <m/>
    <s v="F-PROV-10"/>
  </r>
  <r>
    <s v="HB-19"/>
    <s v="H-B 機能設計"/>
    <s v="設計書の執筆"/>
    <s v="ステートマシンは省略可能"/>
    <x v="24"/>
    <x v="55"/>
    <s v="状態遷移設計（トークン/セッション状態）"/>
    <s v="通行証とログイン状態の移り変わりを図にする"/>
    <s v="状態遷移図。有効期限切れや強制終了の扱いが示されている"/>
    <n v="3"/>
    <s v="基盤チーム"/>
    <s v="アプリチーム"/>
    <s v="事故防止"/>
    <s v="【省略・吸収】同上（トークン・セッションは HA-10 で表現）。人日は復活時のために残す"/>
    <s v="対象外：省略・吸収"/>
    <s v="新規: 機能追加"/>
    <s v="—"/>
    <s v="未着手"/>
    <m/>
    <s v="F-AUTH-23"/>
  </r>
  <r>
    <s v="HB-20"/>
    <s v="H-B 機能設計"/>
    <s v="設計書の執筆"/>
    <s v="一部移管でもアプリに寄せる"/>
    <x v="27"/>
    <x v="56"/>
    <s v="検索・一覧表示設計（検索条件/ページング/ソート）（新規）"/>
    <s v="一覧画面での検索条件・並び順・件数の区切り方を決める"/>
    <s v="設計。大量データでも実用的な速さで返る条件が定まっている"/>
    <n v="2"/>
    <s v="アプリチーム"/>
    <s v="アプリチーム"/>
    <s v="画面のみ"/>
    <s v="画面そのものなので、作る主体がアプリなら成果物ごとアプリ側へ移る"/>
    <s v="対象"/>
    <s v="当初あり"/>
    <s v="—"/>
    <s v="未着手"/>
    <m/>
    <s v="F-ADM-01"/>
  </r>
  <r>
    <s v="HB-21"/>
    <s v="H-B 機能設計"/>
    <s v="設計書の執筆"/>
    <s v="一部移管でもアプリに寄せる"/>
    <x v="27"/>
    <x v="57"/>
    <s v="ファイル入出力設計（CSV一括登録/エクスポート）（新規）"/>
    <s v="まとめて登録するためのファイルの形式と取り込み方を決める"/>
    <s v="設計。形式・上限件数・一部が失敗した場合の扱いが定まっている"/>
    <n v="3"/>
    <s v="アプリチーム"/>
    <s v="アプリチーム"/>
    <s v="認証の中核"/>
    <s v="画面はアプリが作るが、業務ルールの正は基盤が決めるため仕様書は基盤が書く"/>
    <s v="対象"/>
    <s v="新規: 機能追加"/>
    <s v="—"/>
    <s v="未着手"/>
    <m/>
    <s v="F-ADM-20"/>
  </r>
  <r>
    <s v="HB-22"/>
    <s v="H-B 機能設計"/>
    <s v="設計書の執筆"/>
    <s v="一部移管でもアプリに寄せる"/>
    <x v="27"/>
    <x v="58"/>
    <s v="レポート/エクスポート設計（監査レポート・利用統計）（新規）"/>
    <s v="一覧や記録をファイルとして出力する機能の設計"/>
    <s v="設計。出力項目と、個人情報の扱いの注意が定まっている"/>
    <n v="3"/>
    <s v="アプリチーム"/>
    <s v="アプリチーム"/>
    <s v="認証の中核"/>
    <s v="画面はアプリが作るが、業務ルールの正は基盤が決めるため仕様書は基盤が書く"/>
    <s v="対象"/>
    <s v="新規: 機能追加"/>
    <s v="—"/>
    <s v="未着手"/>
    <m/>
    <s v="F-ADM-21"/>
  </r>
  <r>
    <s v="HB-F-AUTH-01"/>
    <s v="H-B 機能設計"/>
    <s v="設計書の執筆"/>
    <s v="顧客がIdPを持たない場合は新規構築のKeycloak-IdPになるので直接のものはない。Keycloak-IdPの話であれば理解"/>
    <x v="20"/>
    <x v="26"/>
    <s v="機能仕様書: ローカルログイン（ID/PW）"/>
    <s v="利用者 ID とパスワードで直接ログインする機能。顧客側に認証システムがないテナントの利用者と、基盤の運用担当者が使う"/>
    <s v="機能仕様書 1 本。パスワード桁数・履歴・初回変更の扱いと、失敗時に利用者へ返す内容が定義されレビュー承認済み"/>
    <n v="0.75"/>
    <s v="基盤チーム"/>
    <s v="基盤チーム"/>
    <s v="認証の中核"/>
    <s v="顧客側に認証の仕組みが無い場合の受け皿で、IdP として成立させる前提"/>
    <s v="対象"/>
    <s v="当初あり"/>
    <s v="HB-01 / HB-08"/>
    <s v="未着手"/>
    <s v="U2 §2.3、P-07"/>
    <s v="F-AUTH-01"/>
  </r>
  <r>
    <s v="HB-F-AUTH-02"/>
    <s v="H-B 機能設計"/>
    <s v="設計書の執筆"/>
    <s v="OK"/>
    <x v="5"/>
    <x v="6"/>
    <s v="機能仕様書: HRD（識別子先行による IdP 解決。判定できないときのパスワード入力への切替を含む）"/>
    <s v="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
    <s v="機能仕様書 1 本。ID の書式から接続先を決める判定ルールと、判定できなかった場合の扱いが定義されレビュー承認済み"/>
    <n v="1"/>
    <s v="基盤チーム"/>
    <s v="アプリチーム"/>
    <s v="代替手段あり"/>
    <s v="顧客ごとに入口の URL を分ければ、判定しなくても正しい接続先に着く"/>
    <s v="対象"/>
    <s v="新規: 規模"/>
    <s v="HB-01 / HB-08"/>
    <s v="未着手"/>
    <s v="ADR-055、U4 §4.1"/>
    <s v="F-AUTH-02"/>
  </r>
  <r>
    <s v="HB-F-AUTH-03"/>
    <s v="H-B 機能設計"/>
    <s v="設計書の執筆"/>
    <s v="HRDに混ぜる？"/>
    <x v="5"/>
    <x v="59"/>
    <s v="機能仕様書: HRDフォールバック（降格→PWフォーム）"/>
    <s v="接続先を判定できなかったときに、パスワード入力欄に切り替えて処理を続ける動き。どのテナントか分からない状態でも利用者を止めないための逃げ道"/>
    <s v="機能仕様書 1 本。切り替わる条件と、利用者に見せる案内文の方針が定義されレビュー承認済み"/>
    <n v="0.5"/>
    <s v="基盤チーム"/>
    <s v="アプリチーム"/>
    <s v="代替手段あり"/>
    <s v="【省略・吸収】HB-F-AUTH-02 に吸収（HRD の一部）。人日は復活時のために残す"/>
    <s v="対象外：省略・吸収"/>
    <s v="新規: 規模"/>
    <s v="HB-01 / HB-08"/>
    <s v="未着手"/>
    <s v="U4 §4.1.3"/>
    <s v="F-AUTH-03"/>
  </r>
  <r>
    <s v="HB-F-AUTH-04"/>
    <s v="H-B 機能設計"/>
    <s v="設計書の執筆"/>
    <s v="OK"/>
    <x v="5"/>
    <x v="6"/>
    <s v="機能仕様書: Organizationセレクター"/>
    <s v="1 つのテナントに接続先が複数ある場合に、利用者にどれを使うか選ばせる画面の動き"/>
    <s v="機能仕様書 1 本。選択肢の並び順の決め方と、そのテナント以外の接続先を見せない条件が定義されレビュー承認済み"/>
    <n v="0.5"/>
    <s v="基盤チーム"/>
    <s v="アプリチーム"/>
    <s v="代替手段あり"/>
    <s v="顧客ごとに入口の URL を分ければ、判定しなくても正しい接続先に着く"/>
    <s v="対象"/>
    <s v="新規: 規模"/>
    <s v="HB-01 / HB-08"/>
    <s v="未着手"/>
    <s v="U2 §2.3、U4"/>
    <s v="F-AUTH-02"/>
  </r>
  <r>
    <s v="HB-F-AUTH-05"/>
    <s v="H-B 機能設計"/>
    <s v="設計書の執筆"/>
    <s v="OK"/>
    <x v="3"/>
    <x v="3"/>
    <s v="機能仕様書: フェデレーションログイン（OIDC）"/>
    <s v="顧客が持っている認証システムに認証を委ね、その結果を受け取ってログインさせる機能（標準的な連携方式）"/>
    <s v="機能仕様書 1 本。委譲時に渡す情報・受け取る情報と、拒否された場合の扱いが定義されレビュー承認済み"/>
    <n v="0.75"/>
    <s v="基盤チーム"/>
    <s v="基盤チーム"/>
    <s v="認証の中核"/>
    <s v="顧客の認証システムへ委ねる中核で、これが無いと基盤の存在理由が無い"/>
    <s v="対象"/>
    <s v="当初あり"/>
    <s v="HB-01 / HB-08"/>
    <s v="未着手"/>
    <s v="ADR-033、U2 §2.2"/>
    <s v="F-AUTH-05"/>
  </r>
  <r>
    <s v="HB-F-AUTH-06"/>
    <s v="H-B 機能設計"/>
    <s v="設計書の執筆"/>
    <s v="OK"/>
    <x v="3"/>
    <x v="4"/>
    <s v="機能仕様書: フェデレーションログイン（SAML）"/>
    <s v="顧客が持っている認証システムのうち、旧来の方式で連携する場合のログイン機能"/>
    <s v="機能仕様書 1 本。旧方式特有の識別子の扱いと、標準方式との差分が定義されレビュー承認済み"/>
    <n v="0.75"/>
    <s v="基盤チーム"/>
    <s v="基盤チーム"/>
    <s v="認証の中核"/>
    <s v="顧客の認証システムへ委ねる中核で、これが無いと基盤の存在理由が無い"/>
    <s v="対象"/>
    <s v="当初あり"/>
    <s v="HB-01 / HB-08"/>
    <s v="未着手"/>
    <s v="ADR-031、U2 §2.7"/>
    <s v="F-AUTH-06"/>
  </r>
  <r>
    <s v="HB-F-AUTH-07"/>
    <s v="H-B 機能設計"/>
    <s v="設計書の執筆"/>
    <s v="OK"/>
    <x v="3"/>
    <x v="60"/>
    <s v="機能仕様書: 初回フェデレーションログイン時の利用者自動登録（JIT）"/>
    <s v="顧客の認証システムで認証された人が初めてログインしたとき、基盤側に利用者の控えを自動で作る機能。認証製品の初回ログイン処理と、その結果として利用者を作るポリシー（属性・重複時の扱い）を 1 冊で書く"/>
    <s v="機能仕様書 1 本。控えを作る条件・作らない条件と、既存の人と重なった場合の扱いが定義されレビュー承認済み"/>
    <n v="1"/>
    <s v="基盤チーム"/>
    <s v="アプリチーム"/>
    <s v="認証の中核"/>
    <s v="委譲した相手から来た人を受け入れる入口で、フェデレーションと不可分"/>
    <s v="対象"/>
    <s v="当初あり"/>
    <s v="HB-01 / HB-08"/>
    <s v="未着手"/>
    <s v="ADR-064、U3 D3-04"/>
    <s v="F-PROV-01"/>
  </r>
  <r>
    <s v="HB-F-PROV-01"/>
    <s v="H-B 機能設計"/>
    <s v="設計書の執筆"/>
    <s v="FirstBrokerLoginとは別？"/>
    <x v="3"/>
    <x v="60"/>
    <s v="機能仕様書: JITユーザ作成（フェデ初回）"/>
    <s v="顧客の認証システム経由で初めてログインした人を、その場で利用者として登録する機能"/>
    <s v="機能仕様書 1 本。登録時に設定する項目と、登録しない条件が定義されレビュー承認済み"/>
    <n v="0.75"/>
    <s v="基盤チーム"/>
    <s v="アプリチーム"/>
    <s v="認証の中核"/>
    <s v="【省略・吸収】HB-F-AUTH-07 に吸収（同じ出来事の 2 面）。人日は復活時のために残す"/>
    <s v="対象外：省略・吸収"/>
    <s v="新規: 機能追加"/>
    <s v="HB-01 / HB-08"/>
    <s v="未着手"/>
    <s v="U3 D3-04 ①、PoC V3''"/>
    <s v="F-PROV-01"/>
  </r>
  <r>
    <s v="HB-F-AUTH-08"/>
    <s v="H-B 機能設計"/>
    <s v="設計書の執筆"/>
    <s v="OK"/>
    <x v="3"/>
    <x v="61"/>
    <s v="機能仕様書: Post Broker Login"/>
    <s v="初回登録の後に毎回通る処理。属性の取り込みや必須項目の確認を行う"/>
    <s v="機能仕様書 1 本。毎回上書きする項目と保護する項目の区別が定義されレビュー承認済み"/>
    <n v="0.5"/>
    <s v="基盤チーム"/>
    <s v="アプリチーム"/>
    <s v="認証の中核"/>
    <s v="委譲した相手から来た人を受け入れる入口で、フェデレーションと不可分"/>
    <s v="対象"/>
    <s v="当初あり"/>
    <s v="HB-01 / HB-08"/>
    <s v="未着手"/>
    <s v="U2 §2.3"/>
    <s v="F-PROV-02"/>
  </r>
  <r>
    <s v="HB-F-AUTH-09"/>
    <s v="H-B 機能設計"/>
    <s v="設計書の執筆"/>
    <s v="顧客IdPとKeycloak-Idpで違うということか？それとおも一緒であればフェデレーションログインに混ぜられたりしないか＞"/>
    <x v="3"/>
    <x v="62"/>
    <s v="機能仕様書: 2-tierフェデ（Broker→IdP-KC）"/>
    <s v="基盤内部で 2 段構えになっている認証システム同士の連携。利用者から見えない内部のログイン委譲"/>
    <s v="機能仕様書 1 本。内部連携で渡す情報と、片方が停止した場合の見え方が定義されレビュー承認済み"/>
    <n v="0.75"/>
    <s v="基盤チーム"/>
    <s v="アプリチーム"/>
    <s v="利用者が 1 箇所になり不要"/>
    <s v="受付用と収容用が別の空間だったため、内部でもう一度ログインを委ねる必要があった。1 つに統合すると委ねる先が自分自身になり、この連携そのものが消える"/>
    <s v="対象外：認証製品を 1 つに統合"/>
    <s v="新規: 規模"/>
    <s v="HB-01 / HB-08"/>
    <s v="未着手"/>
    <s v="ADR-033、02a"/>
    <s v="F-AUTH-09"/>
  </r>
  <r>
    <s v="HB-F-AUTH-10"/>
    <s v="H-B 機能設計"/>
    <s v="設計書の執筆"/>
    <s v="OK"/>
    <x v="15"/>
    <x v="63"/>
    <s v="機能仕様書: MFA認証（TOTP）"/>
    <s v="スマートフォンアプリで生成する 6 桁の数字による追加認証"/>
    <s v="→ 収載先: 多要素認証設計書。機能仕様書 1 本。桁ずれの許容範囲と、連続失敗時の扱いが定義されレビュー承認済み"/>
    <n v="0.5"/>
    <s v="基盤チーム"/>
    <s v="基盤チーム"/>
    <s v="製品機能"/>
    <s v="認証製品の機能として提供されるため、切り離して他所に持たせられない"/>
    <s v="対象"/>
    <s v="当初あり"/>
    <s v="HB-01 / HB-08"/>
    <s v="未着手"/>
    <s v="U7 D-U7-14"/>
    <s v="F-AUTH-10"/>
  </r>
  <r>
    <s v="HB-F-AUTH-11"/>
    <s v="H-B 機能設計"/>
    <s v="設計書の執筆"/>
    <s v="OK(webauthnとパスキーはまだ要件で聞けてない"/>
    <x v="15"/>
    <x v="28"/>
    <s v="機能仕様書: MFA認証（WebAuthn/パスキー）"/>
    <s v="端末の生体認証やセキュリティキーを使った追加認証。本基盤の推奨方式"/>
    <s v="→ 収載先: 多要素認証設計書。機能仕様書 1 本。利用できる認証器の条件と、登録済み端末が使えない場合の代替経路が定義されレビュー承認済み"/>
    <n v="0.75"/>
    <s v="基盤チーム"/>
    <s v="基盤チーム"/>
    <s v="製品機能"/>
    <s v="認証製品の機能として提供されるため、切り離して他所に持たせられない"/>
    <s v="対象"/>
    <s v="当初あり"/>
    <s v="HB-01 / HB-08"/>
    <s v="要件確認"/>
    <s v="U7 D-U7-14"/>
    <s v="F-AUTH-11"/>
  </r>
  <r>
    <s v="HB-F-AUTH-12"/>
    <s v="H-B 機能設計"/>
    <s v="設計書の執筆"/>
    <s v="OK"/>
    <x v="15"/>
    <x v="64"/>
    <s v="機能仕様書: MFAエンロール（TOTP）"/>
    <s v="スマートフォンアプリの追加認証を初めて登録する画面の流れ"/>
    <s v="→ 収載先: 多要素認証設計書。機能仕様書 1 本。QR と手入力の両方を用意し、登録完了を確認してから有効化する手順が定義されレビュー承認済み"/>
    <n v="0.5"/>
    <s v="基盤チーム"/>
    <s v="基盤チーム"/>
    <s v="製品機能"/>
    <s v="認証製品の機能として提供されるため、切り離して他所に持たせられない"/>
    <s v="対象"/>
    <s v="当初あり"/>
    <s v="HB-01 / HB-08"/>
    <s v="未着手"/>
    <s v="U4 §4.4.2"/>
    <s v="F-AUTH-12"/>
  </r>
  <r>
    <s v="HB-F-AUTH-13"/>
    <s v="H-B 機能設計"/>
    <s v="設計書の執筆"/>
    <s v="OK(webauthnとパスキーはまだ要件で聞けてない"/>
    <x v="15"/>
    <x v="65"/>
    <s v="機能仕様書: MFAエンロール（WebAuthn）"/>
    <s v="生体認証やセキュリティキーを初めて登録する画面の流れ"/>
    <s v="→ 収載先: 多要素認証設計書。機能仕様書 1 本。登録時に確認する条件と、登録失敗時の案内が定義されレビュー承認済み"/>
    <n v="0.5"/>
    <s v="基盤チーム"/>
    <s v="基盤チーム"/>
    <s v="製品機能"/>
    <s v="認証製品の機能として提供されるため、切り離して他所に持たせられない"/>
    <s v="対象"/>
    <s v="当初あり"/>
    <s v="HB-01 / HB-08"/>
    <s v="要件確認"/>
    <s v="U4 §4.4.2"/>
    <s v="F-AUTH-13"/>
  </r>
  <r>
    <s v="HB-F-AUTH-14"/>
    <s v="H-B 機能設計"/>
    <s v="設計書の執筆"/>
    <s v="ステップアップ認証は不要となっているが、ステップアップ認証とは違うのか"/>
    <x v="15"/>
    <x v="66"/>
    <s v="機能仕様書: 2 台目の認証器登録時の本人再確認"/>
    <s v="2 台目以降の認証器を登録するときに、追加認証をもう一度求める仕組み。乗っ取られた状態で勝手に端末を増やされるのを防ぐ"/>
    <s v="→ 収載先: 多要素認証設計書。機能仕様書 1 本。追加認証を必須とする操作の一覧が定義されレビュー承認済み"/>
    <n v="0.5"/>
    <s v="基盤チーム"/>
    <s v="アプリチーム"/>
    <s v="後から追加可能"/>
    <s v="必要になってから足せる仕組みで、初期に無くても困らない"/>
    <s v="対象"/>
    <s v="新規: 機能追加"/>
    <s v="HB-01 / HB-08"/>
    <s v="未着手"/>
    <s v="D-U4-10"/>
    <s v="F-AUTH-14"/>
  </r>
  <r>
    <s v="HB-F-AUTH-15"/>
    <s v="H-B 機能設計"/>
    <s v="設計書の執筆"/>
    <s v="OK"/>
    <x v="4"/>
    <x v="67"/>
    <s v="機能仕様書: Recovery Code発行・利用"/>
    <s v="端末を失くしたときに使う一度きりのコードを発行し、利用させる機能"/>
    <s v="→ 収載先: 多要素認証設計書。機能仕様書 1 本。発行枚数・再発行条件・使用後の無効化が定義されレビュー承認済み"/>
    <n v="0.5"/>
    <s v="基盤チーム"/>
    <s v="基盤チーム"/>
    <s v="製品機能"/>
    <s v="認証製品の機能として提供されるため、切り離して他所に持たせられない"/>
    <s v="対象"/>
    <s v="当初あり"/>
    <s v="HB-01 / HB-08"/>
    <s v="未着手"/>
    <s v="D-U4-11"/>
    <s v="F-AUTH-15"/>
  </r>
  <r>
    <s v="HB-F-AUTH-16"/>
    <s v="H-B 機能設計"/>
    <s v="設計書の執筆"/>
    <s v="OK"/>
    <x v="4"/>
    <x v="5"/>
    <s v="機能仕様書: email非保有リカバリ"/>
    <s v="メールアドレスを持たない利用者が端末を失くした場合の復旧手段。管理者の承認を経て復旧する"/>
    <s v="→ 収載先: 多要素認証設計書。機能仕様書 1 本。メールに依存しない復旧経路と、承認者の条件が定義されレビュー承認済み"/>
    <n v="0.5"/>
    <s v="基盤チーム"/>
    <s v="アプリチーム"/>
    <s v="代替手段あり"/>
    <s v="件数が少ない前提なら管理者が代行でき、自己解決の仕組みは後回しにできる"/>
    <s v="対象"/>
    <s v="新規: 機能追加"/>
    <s v="HB-01 / HB-08"/>
    <s v="未着手"/>
    <s v="D-U4-11"/>
    <s v="F-AUTH-16"/>
  </r>
  <r>
    <s v="HB-F-ADM-09"/>
    <s v="H-B 機能設計"/>
    <s v="設計書の執筆"/>
    <s v="IdP-keycloakの話であってるか。一部移管の方もアプリ担当で良いと思うが、MFAはMFAで並び替えたい"/>
    <x v="15"/>
    <x v="68"/>
    <s v="機能仕様書: MFAリセット（管理者）"/>
    <s v="管理者が利用者の追加認証の登録を解除する機能。端末紛失時の復旧に使う"/>
    <s v="→ 収載先: 多要素認証設計書。機能仕様書 1 本。解除できる条件と、承認・記録の要否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9"/>
  </r>
  <r>
    <s v="HB-F-AUTH-17"/>
    <s v="H-B 機能設計"/>
    <s v="設計書の執筆"/>
    <s v="ステップアップ認証は不要となっているが、ステップアップ認証とは違うのか"/>
    <x v="15"/>
    <x v="18"/>
    <s v="機能仕様書: ステップアップ認証"/>
    <s v="重要な操作をするときだけ、その場で追加の認証を求める仕組み"/>
    <s v="機能仕様書 1 本。追加認証を求める操作の一覧と、断られた場合の扱いが定義されレビュー承認済み"/>
    <n v="0.75"/>
    <s v="基盤チーム"/>
    <s v="アプリチーム"/>
    <s v="代替手段あり"/>
    <s v="【省略・吸収】ステップアップ認証は不要と決定。人日は復活時のために残す"/>
    <s v="対象外：省略・吸収"/>
    <s v="当初あり"/>
    <s v="HB-01 / HB-08"/>
    <s v="未着手"/>
    <s v="ADR-026、U5 §5.10"/>
    <s v="F-AUTH-17"/>
  </r>
  <r>
    <s v="HB-F-AUTH-18"/>
    <s v="H-B 機能設計"/>
    <s v="設計書の執筆"/>
    <s v="OK"/>
    <x v="4"/>
    <x v="69"/>
    <s v="機能仕様書: セルフサービスPWリセット"/>
    <s v="利用者が自分でパスワードを再設定する機能"/>
    <s v="機能仕様書 1 本。本人確認の方法と、メールを持たない利用者の扱いが定義されレビュー承認済み"/>
    <n v="0.5"/>
    <s v="基盤チーム"/>
    <s v="アプリチーム"/>
    <s v="代替手段あり"/>
    <s v="件数が少ない前提なら管理者が代行でき、自己解決の仕組みは後回しにできる"/>
    <s v="対象"/>
    <s v="当初あり"/>
    <s v="HB-01 / HB-08"/>
    <s v="要件確認"/>
    <s v="FR-AUTH-013"/>
    <s v="F-AUTH-18"/>
  </r>
  <r>
    <s v="HB-F-AUTH-19"/>
    <s v="H-B 機能設計"/>
    <s v="設計書の執筆"/>
    <s v="OK"/>
    <x v="4"/>
    <x v="70"/>
    <s v="機能仕様書: PW変更/初回強制変更"/>
    <s v="パスワードの変更と、初回ログイン時に変更を強制する動き"/>
    <s v="機能仕様書 1 本。強制する条件と、変更するまで他の操作をさせない範囲が定義されレビュー承認済み"/>
    <n v="0.5"/>
    <s v="基盤チーム"/>
    <s v="基盤チーム"/>
    <s v="製品機能"/>
    <s v="認証製品の機能として提供されるため、切り離して他所に持たせられない"/>
    <s v="対象"/>
    <s v="当初あり"/>
    <s v="HB-01 / HB-08"/>
    <s v="未着手"/>
    <s v="U7 D-U7-14"/>
    <s v="F-AUTH-19"/>
  </r>
  <r>
    <s v="HB-F-AUTH-20"/>
    <s v="H-B 機能設計"/>
    <s v="設計書の執筆"/>
    <s v="OK"/>
    <x v="22"/>
    <x v="35"/>
    <s v="機能仕様書: Brute Force検知・ロックアウト"/>
    <s v="パスワードの連続失敗を検知して一時的に受け付けなくする機能"/>
    <s v="機能仕様書 1 本。失敗回数・待ち時間・解除条件が定義されレビュー承認済み"/>
    <n v="0.5"/>
    <s v="基盤チーム"/>
    <s v="基盤チーム"/>
    <s v="事故防止"/>
    <s v="総当たりと利用者名の割り出しは、基盤側で塞がないとアプリでは防げない"/>
    <s v="対象"/>
    <s v="新規: 規模"/>
    <s v="HB-01 / HB-08"/>
    <s v="未着手"/>
    <s v="U7 §7.2"/>
    <s v="F-AUTH-20"/>
  </r>
  <r>
    <s v="D-13"/>
    <s v="D-13"/>
    <s v="調査・計画"/>
    <s v="OK"/>
    <x v="22"/>
    <x v="35"/>
    <s v="連続失敗の締め出しと危険度判定の組み合わせ"/>
    <s v="連続失敗による締め出しと、危険度の判定をどう組み合わせるかを決める"/>
    <s v="決定記録。二重に締め出さない条件が定まっている"/>
    <n v="2"/>
    <s v="基盤チーム"/>
    <s v="基盤チーム"/>
    <s v="事故防止"/>
    <s v="総当たりと利用者名の割り出しは、基盤側で塞がないとアプリでは防げない"/>
    <s v="対象"/>
    <s v="新規: 規模"/>
    <s v="—"/>
    <s v="未着手"/>
    <m/>
    <s v="F-AUTH-20"/>
  </r>
  <r>
    <s v="HB-F-AUTH-21"/>
    <s v="H-B 機能設計"/>
    <s v="設計書の執筆"/>
    <s v="OK"/>
    <x v="22"/>
    <x v="71"/>
    <s v="機能仕様書: アカウント列挙対策（応答同一化・画面文言）"/>
    <s v="その ID が実在するかどうかが応答の違いから分かってしまわないようにする対策。1 件ずつ試して実在する利用者を割り出されるのを防ぐ"/>
    <s v="機能仕様書 1 本。存在有無で応答・時間差が変わらないことの確認方法が定義されレビュー承認済み"/>
    <n v="0.5"/>
    <s v="基盤チーム"/>
    <s v="アプリチーム"/>
    <s v="事故防止"/>
    <s v="総当たりと利用者名の割り出しは、基盤側で塞がないとアプリでは防げない"/>
    <s v="対象"/>
    <s v="新規: 規模"/>
    <s v="HB-01 / HB-08"/>
    <s v="未着手"/>
    <s v="U4 §4.1.3、U7"/>
    <s v="F-AUTH-21"/>
  </r>
  <r>
    <s v="D-14"/>
    <s v="D-14"/>
    <s v="調査・計画"/>
    <s v="どの画面か。HRD、ログイン画面、ユーザ向けの属性や権限編集画面の3つがあると思っているがどうか.他にはあるか"/>
    <x v="5"/>
    <x v="6"/>
    <s v="攻撃対策の画面側対応と文言の最終化"/>
    <s v="入口の防御に必要な情報の受け渡しと、判定できないときの案内文を確定する"/>
    <s v="決定記録と文言案"/>
    <n v="1"/>
    <s v="基盤チーム"/>
    <s v="アプリチーム"/>
    <s v="代替手段あり"/>
    <s v="【省略・吸収】HB-F-AUTH-21 アカウント列挙対策に吸収（画面文言）。人日は復活時のために残す"/>
    <s v="対象外：省略・吸収"/>
    <s v="新規: 規模"/>
    <s v="—"/>
    <s v="未着手"/>
    <m/>
    <s v="F-AUTH-02"/>
  </r>
  <r>
    <s v="HB-F-AUTH-22"/>
    <s v="H-B 機能設計"/>
    <s v="設計書の執筆"/>
    <s v="要件確認"/>
    <x v="22"/>
    <x v="72"/>
    <s v="機能仕様書: 漏洩PW検知（HIBP）"/>
    <s v="入力されたパスワードが過去に流出したものでないかを確認し、該当する場合は使わせない機能"/>
    <s v="機能仕様書 1 本。照会のタイミングと、一致した場合の利用者への扱いが定義されレビュー承認済み"/>
    <n v="0.5"/>
    <s v="基盤チーム"/>
    <s v="アプリチーム"/>
    <s v="代替手段あり"/>
    <s v="既定の対策で最低限は守れるため、上乗せ分は後から足せる"/>
    <s v="対象"/>
    <s v="新規: 規模"/>
    <s v="HB-01 / HB-08"/>
    <s v="要件確認"/>
    <s v="ADR-035"/>
    <s v="F-AUTH-22"/>
  </r>
  <r>
    <s v="HA-10"/>
    <s v="H-A 全体・方式設計"/>
    <s v="設計書の執筆"/>
    <s v="これは各項目に分けるか共通として設計すべきか検討してほしい"/>
    <x v="24"/>
    <x v="55"/>
    <s v="認証：セッション管理方式設計（ログイン状態の保持・タイムアウト・ログアウト）"/>
    <s v="ログイン状態をどう保持するかの全体方針"/>
    <s v="方式設計。保持する場所と有効期間の考え方が定まっている"/>
    <n v="2"/>
    <s v="基盤チーム"/>
    <s v="共同"/>
    <s v="横断（対象縮小）"/>
    <s v="ログイン状態は認証製品が持つため全アプリ共通。アプリ内の保持方法はアプリが決めるが、全体の有効期間は 1 つの設定で全アプリに効くため共同で決める"/>
    <s v="対象"/>
    <s v="当初あり"/>
    <s v="—"/>
    <s v="未着手"/>
    <m/>
    <s v="F-AUTH-23"/>
  </r>
  <r>
    <s v="HB-F-PROV-02"/>
    <s v="H-B 機能設計"/>
    <s v="設計書の執筆"/>
    <s v="OK"/>
    <x v="3"/>
    <x v="61"/>
    <s v="機能仕様書: JIT属性更新（syncMode）"/>
    <s v="2 回目以降のログイン時に、顧客側の最新情報で属性を更新する機能"/>
    <s v="機能仕様書 1 本。上書きする項目と、基盤側で保護して上書きさせない項目の区別が定義されレビュー承認済み"/>
    <n v="0.5"/>
    <s v="基盤チーム"/>
    <s v="アプリチーム"/>
    <s v="認証の中核"/>
    <s v="委譲した相手から来た人を受け入れる入口で、フェデレーションと不可分"/>
    <s v="対象"/>
    <s v="新規: 機能追加"/>
    <s v="HB-01 / HB-08"/>
    <s v="未着手"/>
    <s v="U3 §3.3"/>
    <s v="F-PROV-02"/>
  </r>
  <r>
    <s v="HB-F-PROV-03"/>
    <s v="H-B 機能設計"/>
    <s v="設計書の執筆"/>
    <s v="SCIMのこと？であればそう記載"/>
    <x v="1"/>
    <x v="1"/>
    <s v="機能仕様書: SCIM 受信 利用者作成"/>
    <s v="顧客の人事システムなどから利用者の新規登録を受け取る機能。受信窓口は自作またはプラグインの方針（認証製品の標準 SCIM 受信は使わない）"/>
    <s v="機能仕様書 1 本。受け取る項目・必須条件と、重複時の扱いが定義されレビュー承認済み"/>
    <n v="1"/>
    <s v="基盤チーム"/>
    <s v="アプリチーム"/>
    <s v="後から追加可能"/>
    <s v="初回ログイン時の自動登録だけで運用でき、一括受信は後から足せる"/>
    <s v="対象"/>
    <s v="新規: 機能追加"/>
    <s v="HB-01 / HB-08"/>
    <s v="未着手"/>
    <s v="ADR-025、U3 §3.5"/>
    <s v="F-PROV-03"/>
  </r>
  <r>
    <s v="HB-F-PROV-04"/>
    <s v="H-B 機能設計"/>
    <s v="設計書の執筆"/>
    <s v="SCIMのこと？であればそう記載"/>
    <x v="1"/>
    <x v="73"/>
    <s v="機能仕様書: SCIM 受信 利用者更新"/>
    <s v="顧客側からの利用者情報の変更を受け取って反映する機能"/>
    <s v="機能仕様書 1 本。反映対象の項目と、反映しない項目が定義されレビュー承認済み"/>
    <n v="0.75"/>
    <s v="基盤チーム"/>
    <s v="アプリチーム"/>
    <s v="後から追加可能"/>
    <s v="初回ログイン時の自動登録だけで運用でき、一括受信は後から足せる"/>
    <s v="対象"/>
    <s v="新規: 機能追加"/>
    <s v="HB-01 / HB-08"/>
    <s v="未着手"/>
    <s v="U3 §3.5"/>
    <s v="F-PROV-04"/>
  </r>
  <r>
    <s v="HB-F-PROV-05"/>
    <s v="H-B 機能設計"/>
    <s v="設計書の執筆"/>
    <s v="SCIMのこと？であればそう記載"/>
    <x v="1"/>
    <x v="74"/>
    <s v="機能仕様書: SCIM 受信 利用者削除（消さずに無効化へ読み替え）"/>
    <s v="顧客側からの削除通知を受け取り、基盤側では消さずに使えない状態にする機能"/>
    <s v="機能仕様書 1 本。削除通知を無効化に読み替える規則と、記録に残す項目が定義されレビュー承認済み"/>
    <n v="1"/>
    <s v="基盤チーム"/>
    <s v="アプリチーム"/>
    <s v="後から追加可能"/>
    <s v="初回ログイン時の自動登録だけで運用でき、一括受信は後から足せる"/>
    <s v="対象"/>
    <s v="新規: 機能追加"/>
    <s v="HB-01 / HB-08"/>
    <s v="未着手"/>
    <s v="U3 §3.5、G-SCIM"/>
    <s v="F-PROV-05"/>
  </r>
  <r>
    <s v="HB-F-PROV-06"/>
    <s v="H-B 機能設計"/>
    <s v="設計書の執筆"/>
    <s v="SCIMのこと？であればそう記載"/>
    <x v="1"/>
    <x v="75"/>
    <s v="機能仕様書: SCIM 受信 利用者検索・絞り込み"/>
    <s v="顧客側から利用者を検索・絞り込みで問い合わせられるようにする機能"/>
    <s v="機能仕様書 1 本。検索できる項目と、他テナントの情報が出ないことの担保が定義されレビュー承認済み"/>
    <n v="0.5"/>
    <s v="基盤チーム"/>
    <s v="アプリチーム"/>
    <s v="後から追加可能"/>
    <s v="初回ログイン時の自動登録だけで運用でき、一括受信は後から足せる"/>
    <s v="対象"/>
    <s v="新規: 機能追加"/>
    <s v="HB-01 / HB-08"/>
    <s v="未着手"/>
    <s v="G-SCIM"/>
    <s v="F-PROV-06"/>
  </r>
  <r>
    <s v="HB-F-PROV-07"/>
    <s v="H-B 機能設計"/>
    <s v="設計書の執筆"/>
    <s v="SCIMのこと？であればそう記載"/>
    <x v="1"/>
    <x v="76"/>
    <s v="機能仕様書: SCIM 受信 グループ連携"/>
    <s v="顧客側のグループ情報を受け取る機能。"/>
    <s v="機能仕様書 1 本（対象外の宣言を含む）。将来対応する場合の前提と、当面受け取らない旨が明記されレビュー承認済み"/>
    <n v="0.5"/>
    <s v="基盤チーム"/>
    <s v="アプリチーム"/>
    <s v="後から追加可能"/>
    <s v="初回ログイン時の自動登録だけで運用でき、一括受信は後から足せる"/>
    <s v="対象"/>
    <s v="新規: 機能追加"/>
    <s v="HB-01 / HB-08"/>
    <s v="未着手"/>
    <s v="ADR-025"/>
    <s v="F-PROV-07"/>
  </r>
  <r>
    <s v="HB-F-PROV-08"/>
    <s v="H-B 機能設計"/>
    <s v="設計書の執筆"/>
    <s v="JWT統一の設計？であればそう記載"/>
    <x v="21"/>
    <x v="77"/>
    <s v="機能仕様書: 項目名の変換・統一（顧客ごとの項目名 → 基盤の統一名。統一名の辞書を含む）"/>
    <s v="顧客ごとにバラバラな項目名を、基盤内の共通の呼び方に変換して取り込む仕組み"/>
    <s v="→ 収載先: 項目名の変換・統一設計書。機能仕様書 1 本。変換の対応表をどこで管理するかと、対応がない項目の扱いが定義されレビュー承認済み"/>
    <n v="1"/>
    <s v="基盤チーム"/>
    <s v="アプリチーム"/>
    <s v="認証の中核"/>
    <s v="顧客ごとにバラバラな項目名を揃えないと、複数の顧客を同時に扱えない"/>
    <s v="対象"/>
    <s v="新規: 機能追加"/>
    <s v="HB-01 / HB-08"/>
    <s v="未着手"/>
    <s v="D3-15"/>
    <s v="F-PROV-08"/>
  </r>
  <r>
    <s v="HD-05"/>
    <s v="H-D データ設計"/>
    <s v="設計書の執筆"/>
    <s v="JWT統一の設計？であればそう記載。かぶってる？"/>
    <x v="21"/>
    <x v="77"/>
    <s v="利用者属性に載せる項目の宣言設計（メール非保有対応を含む）"/>
    <s v="認証製品側の利用者情報に、独自に持たせる項目を宣言する設計"/>
    <s v="→ 収載先: 項目名の変換・統一設計書。宣言設計。持たせる項目とその用途、必須かどうかが定まっている"/>
    <n v="3"/>
    <s v="基盤チーム"/>
    <s v="アプリチーム"/>
    <s v="認証の中核"/>
    <s v="顧客ごとにバラバラな項目名を揃えないと、複数の顧客を同時に扱えない"/>
    <s v="対象"/>
    <s v="新規: 機能追加"/>
    <m/>
    <s v="未着手"/>
    <m/>
    <s v="F-PROV-08"/>
  </r>
  <r>
    <s v="HD-18"/>
    <s v="H-D データ設計"/>
    <s v="設計書の執筆"/>
    <s v="IDPごとの変換方針として立て付けたい。被っているか他を統合してできないかみてほしい"/>
    <x v="21"/>
    <x v="77"/>
    <s v="IdP ごとの項目名変換方針（変換表の置き場所と変換規則）"/>
    <s v="顧客ごとにバラバラな項目名の変換表を、どこで一元管理するかを決める"/>
    <s v="→ 収載先: 項目名の変換・統一設計書。管理方式の設計。変換表の置き場所と更新方法が定まっている"/>
    <n v="3"/>
    <s v="基盤チーム"/>
    <s v="アプリチーム"/>
    <s v="認証の中核"/>
    <s v="顧客ごとにバラバラな項目名を揃えないと、複数の顧客を同時に扱えない"/>
    <s v="対象"/>
    <s v="新規: 機能追加"/>
    <m/>
    <s v="未着手"/>
    <m/>
    <s v="F-PROV-08"/>
  </r>
  <r>
    <s v="HJ-15"/>
    <s v="H-J プロダクト固有設計"/>
    <s v="設計書の執筆"/>
    <s v="被ってる？"/>
    <x v="21"/>
    <x v="77"/>
    <s v="IdP属性マッピング設計（IdP Mapper写像規則）"/>
    <s v="顧客側の項目名を基盤側の呼び方へ変換する規則の設計"/>
    <s v="変換規則の設計。対応がない場合の扱いも定まっている"/>
    <n v="3"/>
    <s v="基盤チーム"/>
    <s v="アプリチーム"/>
    <s v="認証の中核"/>
    <s v="【省略・吸収】HD-18 に吸収。人日は復活時のために残す"/>
    <s v="対象外：省略・吸収"/>
    <s v="新規: 機能追加"/>
    <s v="A-6"/>
    <s v="未着手"/>
    <m/>
    <s v="F-PROV-08"/>
  </r>
  <r>
    <s v="HD-17"/>
    <s v="H-D データ設計"/>
    <s v="設計書の執筆"/>
    <s v="被っている？JWTの話？"/>
    <x v="21"/>
    <x v="77"/>
    <s v="属性辞書（利用者項目の意味の統一）"/>
    <s v="利用者の属性項目の意味を統一する辞書を作る"/>
    <s v="属性辞書。各項目の意味・型・必須かどうかが定まっている"/>
    <n v="3"/>
    <s v="基盤チーム"/>
    <s v="アプリチーム"/>
    <s v="認証の中核"/>
    <s v="【省略・吸収】HB-F-PROV-08 に吸収（統一名の辞書）。人日は復活時のために残す"/>
    <s v="対象外：省略・吸収"/>
    <s v="新規: 機能追加"/>
    <m/>
    <s v="未着手"/>
    <m/>
    <s v="F-PROV-08"/>
  </r>
  <r>
    <s v="D-8b"/>
    <s v="D-8"/>
    <s v="調査・計画"/>
    <s v="独自の項目というがこれは何か。これはJWTの話なのか不明。"/>
    <x v="21"/>
    <x v="77"/>
    <s v="顧客ごとの追加項目（社員番号・部署など）の受入上限と形式"/>
    <s v="顧客ごとに異なる追加項目を、どこまで受け入れるかの枠を決める"/>
    <s v="→ 収載先: 項目名の変換・統一設計書。受入規約。受け入れる項目名の形式と個数の上限が定まっている"/>
    <n v="0.5"/>
    <s v="基盤チーム"/>
    <s v="アプリチーム"/>
    <s v="認証の中核"/>
    <s v="顧客ごとにバラバラな項目名を揃えないと、複数の顧客を同時に扱えない"/>
    <s v="対象"/>
    <s v="新規: 機能追加"/>
    <s v="—"/>
    <s v="未着手"/>
    <m/>
    <s v="F-PROV-08"/>
  </r>
  <r>
    <s v="HB-F-PROV-09"/>
    <s v="H-B 機能設計"/>
    <s v="設計書の執筆"/>
    <s v="どの経路で登録されたかというのはJITとSCIMの経路の区別をつけるという意味？それともOIDCとSAMLのみわけ？両方必要？"/>
    <x v="21"/>
    <x v="27"/>
    <s v="機能仕様書: provisioned_by判別（6値・Case1-6）"/>
    <s v="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
    <s v="→ 収載先: 利用者ライフサイクル設計書。機能仕様書 1 本。区分の一覧と、経路が重なった場合にどれを優先するかが定義されレビュー承認済み"/>
    <n v="0.75"/>
    <s v="基盤チーム"/>
    <s v="アプリチーム"/>
    <s v="認証の中核"/>
    <s v="どの経路で入った人かで扱いを変えるため、これが無いと後続が全て破綻する"/>
    <s v="対象"/>
    <s v="新規: 機能追加"/>
    <s v="HB-01 / HB-08"/>
    <s v="未着手"/>
    <s v="D3-07"/>
    <s v="F-PROV-09"/>
  </r>
  <r>
    <s v="HB-F-PROV-10"/>
    <s v="H-B 機能設計"/>
    <s v="設計書の執筆"/>
    <s v="無効化の話？"/>
    <x v="2"/>
    <x v="2"/>
    <s v="機能仕様書: 利用者の停止（消さずに無効化・停止日時の記録）"/>
    <s v="利用者を削除せず使えない状態にし、いつ止めたかを記録する機能"/>
    <s v="→ 収載先: 利用者ライフサイクル設計書。機能仕様書 1 本。止める操作の入口と、記録する日時項目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D3-09、jit-scim §10.4.K"/>
    <s v="F-PROV-10"/>
  </r>
  <r>
    <s v="HB-F-PROV-11"/>
    <s v="H-B 機能設計"/>
    <s v="設計書の執筆"/>
    <s v="ユーザライフサイクルとかでまとまる？"/>
    <x v="2"/>
    <x v="78"/>
    <s v="機能仕様書: Re-Activation（再有効化）"/>
    <s v="一度止めた利用者を再び使えるようにする機能。誤って復活させない条件を含む"/>
    <s v="→ 収載先: 利用者ライフサイクル設計書。機能仕様書 1 本。復活させてよい条件・させてはいけない条件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ADR-064、U3 D3-12"/>
    <s v="F-PROV-11"/>
  </r>
  <r>
    <s v="HD-24"/>
    <s v="H-D データ設計"/>
    <s v="設計書の執筆"/>
    <s v="90日休眠とかと被っているかその拍子として機能するのであれば並び替えたい"/>
    <x v="2"/>
    <x v="2"/>
    <s v="利用者と記録の保持・停止・消去の全体方針"/>
    <s v="データを何年保ち、いつ消すかの設計。ライフサイクル設計書の表紙。保持年数・停止・消去の全体方針を示し、各機能仕様書がこれに従う"/>
    <s v="→ 収載先: 利用者ライフサイクル設計書。保持設計。保存年数・消去の起算日・消去方法が定まっている"/>
    <n v="3"/>
    <s v="基盤チーム"/>
    <s v="アプリチーム"/>
    <s v="事故防止"/>
    <s v="止め忘れが退職者の不正アクセスに直結するため、基盤側で確実に止める必要がある"/>
    <s v="対象"/>
    <s v="新規: 機能追加"/>
    <m/>
    <s v="未着手"/>
    <m/>
    <s v="F-PROV-10"/>
  </r>
  <r>
    <s v="HB-F-BAT-01"/>
    <s v="H-B 機能設計"/>
    <s v="設計書の執筆"/>
    <s v="休眠パッチはSCIMとJITで違うのであれば行を分けたいので検討したい。また、そもそも長期間ないとか監視とかそういうのでまとめたい。行はこのままでいいが並び順や成果物、グループなどでわかるようにしたい"/>
    <x v="2"/>
    <x v="79"/>
    <s v="機能仕様書: 90 日休眠バッチ（JIT・直接収容の利用者が対象、SCIM 利用者は除外）"/>
    <s v="長期間ログインのない利用者を自動で使えない状態にする定期処理。1 本のバッチで、SCIM 管理下の利用者は除外条件で外す（顧客 IdP が正なので基盤側で勝手に止めない）"/>
    <s v="→ 収載先: 利用者ライフサイクル設計書。機能仕様書 1 本。対象とする利用者の条件・除外条件と、実行頻度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D3-09、DU-U3-08"/>
    <s v="F-BAT-01"/>
  </r>
  <r>
    <s v="HB-F-BAT-09"/>
    <s v="H-B 機能設計"/>
    <s v="設計書の執筆"/>
    <s v="90日休眠とおなじように分類したい"/>
    <x v="2"/>
    <x v="80"/>
    <s v="機能仕様書: 物理削除バッチ"/>
    <s v="保存期限を過ぎたデータを実際に消去する処理。初期リリースでは準備のみ"/>
    <s v="→ 収載先: 利用者ライフサイクル設計書。機能仕様書 1 本（準備範囲の宣言を含む）。起算日の考え方と、初期リリースでは実行しない旨が明記されレビュー承認済み"/>
    <n v="0.5"/>
    <s v="基盤チーム"/>
    <s v="アプリチーム"/>
    <s v="後から追加可能"/>
    <s v="必要になってから足せる仕組みで、初期に無くても困らない"/>
    <s v="対象"/>
    <s v="新規: 機能追加"/>
    <s v="HB-01 / HB-08"/>
    <s v="未着手"/>
    <s v="jit-scim §10.4.K.6"/>
    <s v="F-BAT-09"/>
  </r>
  <r>
    <s v="HJ-04"/>
    <s v="H-J プロダクト固有設計"/>
    <s v="設計書の執筆"/>
    <s v="HRDのことか、画面など別のところであればHRDとしてラベリングしてわかるようにしてほしい、そもそも被ってる？"/>
    <x v="3"/>
    <x v="60"/>
    <s v="自社拡張の仕様書（初回登録の制御・停止済み利用者の再開）"/>
    <s v="初回登録と再有効化を制御する拡張機能の仕様"/>
    <s v="→ 収載先: 利用者ライフサイクル設計書。仕様書。動作条件と、誤って動かさないための条件が定まっている"/>
    <n v="3"/>
    <s v="基盤チーム"/>
    <s v="アプリチーム"/>
    <s v="認証の中核"/>
    <s v="委譲した相手から来た人を受け入れる入口で、フェデレーションと不可分"/>
    <s v="対象"/>
    <s v="新規: 機能追加"/>
    <s v="A-2"/>
    <s v="未着手"/>
    <m/>
    <s v="F-PROV-01"/>
  </r>
  <r>
    <s v="D-8a"/>
    <s v="D-8"/>
    <s v="調査・計画"/>
    <s v="要件で確認が必要な気がするが基本アプリでいいのでは。顧客向けの管理画面でいじれるユーザーの話か？"/>
    <x v="21"/>
    <x v="27"/>
    <s v="管理画面・アプリ経由で作った利用者の区分と自動停止の扱い"/>
    <s v="管理画面から作られた利用者に、運用者が作った場合と別の区分値を与えるかを決める"/>
    <s v="→ 収載先: 利用者ライフサイクル設計書。判断記録。区分値の新設要否と、影響する処理の一覧が整理されている"/>
    <n v="1"/>
    <s v="アプリチーム"/>
    <s v="アプリチーム"/>
    <s v="認証の中核"/>
    <s v="どの経路で入った人かで扱いを変えるため、これが無いと後続が全て破綻する"/>
    <s v="対象"/>
    <s v="新規: 機能追加"/>
    <s v="—"/>
    <s v="要件確認"/>
    <m/>
    <s v="F-PROV-09"/>
  </r>
  <r>
    <s v="D-8c"/>
    <s v="D-8"/>
    <s v="調査・計画"/>
    <s v="D-8aと被っているように見えるがどうか"/>
    <x v="2"/>
    <x v="79"/>
    <s v="アプリが作った利用者の扱いを選べるようにするか"/>
    <s v="アプリ経由で作られた利用者を自動整理の対象にするかを、テナントが選べるようにするかを決める"/>
    <s v="判断記録。選べる場合の既定値と切替方法が定まっている"/>
    <n v="0.5"/>
    <s v="基盤チーム"/>
    <s v="アプリチーム"/>
    <s v="事故防止"/>
    <s v="【省略・吸収】D-8a に吸収（区分と自動停止の扱いを 1 行で決める）。人日は復活時のために残す"/>
    <s v="対象外：省略・吸収"/>
    <s v="新規: 機能追加"/>
    <s v="—"/>
    <s v="未着手"/>
    <m/>
    <s v="F-BAT-01"/>
  </r>
  <r>
    <s v="HB-F-PROV-12"/>
    <s v="H-B 機能設計"/>
    <s v="設計書の執筆"/>
    <s v="SCIMのこと？Outboxは何を想定？"/>
    <x v="2"/>
    <x v="81"/>
    <s v="機能仕様書: 削除伝播（outbox→shadow制御）"/>
    <s v="片方のシステムで利用者を止めたとき、その事実をもう一方にも必ず伝えて確実に遮断する仕組み"/>
    <s v="機能仕様書 1 本。伝わらなかった場合の再送と、遅れた場合の最大の待ち時間が定義されレビュー承認済み"/>
    <n v="1"/>
    <s v="基盤チーム"/>
    <s v="アプリチーム"/>
    <s v="利用者が 1 箇所になり不要"/>
    <s v="利用者が受付側の控えと収容側の実体の 2 箇所にいたため、片方で止めたらもう片方も止める仕組みが要った。1 箇所になれば止めた時点で完了し、伝える相手がいなくなる"/>
    <s v="対象外：認証製品を 1 つに統合"/>
    <s v="新規: 機能追加"/>
    <s v="HB-01 / HB-08"/>
    <s v="未着手"/>
    <s v="ADR-064"/>
    <s v="F-PROV-12"/>
  </r>
  <r>
    <s v="HB-F-PROV-13"/>
    <s v="H-B 機能設計"/>
    <s v="設計書の執筆"/>
    <s v="なんの再有効化をどこに伝播させるのかわからない"/>
    <x v="2"/>
    <x v="82"/>
    <s v="機能仕様書: 再有効化の対称伝播"/>
    <s v="再び使えるようにした場合も、止めたときと同じ経路でもう一方に伝える仕組み"/>
    <s v="機能仕様書 1 本。止める側と戻す側で扱いが対称であることが定義されレビュー承認済み"/>
    <n v="0.5"/>
    <s v="基盤チーム"/>
    <s v="アプリチーム"/>
    <s v="利用者が 1 箇所になり不要"/>
    <s v="停止と同じ理由。再開も 1 箇所で完結するため、もう片方へ伝える処理が不要になる"/>
    <s v="対象外：認証製品を 1 つに統合"/>
    <s v="新規: 機能追加"/>
    <s v="HB-01 / HB-08"/>
    <s v="未着手"/>
    <s v="DU-U3-09"/>
    <s v="F-PROV-13"/>
  </r>
  <r>
    <s v="HB-F-PROV-14"/>
    <s v="H-B 機能設計"/>
    <s v="設計書の執筆"/>
    <s v="設計書としては機能とかフローのどこかにまとまる？他もまとめて良さそうなのはまとめてもいい"/>
    <x v="3"/>
    <x v="83"/>
    <s v="機能仕様書: 初回sub通知（Broker→ブランド）"/>
    <s v="初めてログインした人の識別子を、権限を管理する側へ知らせる仕組み"/>
    <s v="機能仕様書 1 本。通知する内容と、二重に届いた場合の扱いが定義されレビュー承認済み"/>
    <n v="0.5"/>
    <s v="アプリチーム"/>
    <s v="アプリチーム"/>
    <s v="利用者が 1 箇所になり不要"/>
    <s v="受付側で発行した識別子を収容側へ知らせる必要があったが、同じ空間なら発行と同時に共有される"/>
    <s v="対象外：認証製品を 1 つに統合"/>
    <s v="新規: 機能追加"/>
    <s v="HB-01 / HB-08"/>
    <s v="未着手"/>
    <s v="ADR-063、D3-16"/>
    <s v="F-PROV-14"/>
  </r>
  <r>
    <s v="HB-F-PROV-15"/>
    <s v="H-B 機能設計"/>
    <s v="設計書の執筆"/>
    <s v="設計書としては機能とかフローのどこかにまとまる？他もまとめて良さそうなのはまとめてもいい"/>
    <x v="3"/>
    <x v="84"/>
    <s v="機能仕様書: authzスタブ行生成"/>
    <s v="権限管理側で、まだ権限が設定されていない利用者の受け皿となる行を作る機能"/>
    <s v="→ 収載先: 権限データ更新設計書（アプリ）。機能仕様書 1 本。作成する条件と、テナントをまたいで混ざらない担保が定義されレビュー承認済み"/>
    <n v="0.5"/>
    <s v="アプリチーム"/>
    <s v="アプリチーム"/>
    <s v="権限移管に伴い不要"/>
    <s v="権限を基盤が持たなくなるため、その受け皿を作る処理ごと不要になる"/>
    <s v="対象"/>
    <s v="新規: 機能追加"/>
    <s v="HB-01 / HB-08"/>
    <s v="未着手"/>
    <s v="ADR-063"/>
    <s v="F-PROV-15"/>
  </r>
  <r>
    <s v="HB-F-PROV-16"/>
    <s v="H-B 機能設計"/>
    <s v="設計書の執筆"/>
    <s v="設計書としては機能とかフローのどこかにまとまる？他もまとめて良さそうなのはまとめてもいい"/>
    <x v="16"/>
    <x v="48"/>
    <s v="機能仕様書: idmap登録・更新"/>
    <s v="顧客側の利用者番号と基盤側の識別子を対応づけて管理する機能"/>
    <s v="→ 収載先: 権限データ更新設計書（アプリ）。機能仕様書 1 本。対応づけの登録・更新の経路と、番号が変わった場合の扱いが定義されレビュー承認済み"/>
    <n v="0.5"/>
    <s v="アプリチーム"/>
    <s v="アプリチーム"/>
    <s v="業務データ"/>
    <s v="対応づけの中身は顧客の社員番号体系そのもので、業務データにあたる"/>
    <s v="対象"/>
    <s v="新規: 機能追加"/>
    <s v="HB-01 / HB-08"/>
    <s v="未着手"/>
    <s v="ADR-054、U3 §3.2"/>
    <s v="F-PROV-16"/>
  </r>
  <r>
    <s v="HB-F-PROV-17"/>
    <s v="H-B 機能設計"/>
    <s v="設計書の執筆"/>
    <s v="設計書としては機能とかフローのどこかにまとまる？他もまとめて良さそうなのはまとめてもいい"/>
    <x v="16"/>
    <x v="85"/>
    <s v="機能仕様書: 統合射影の更新（3書込）"/>
    <s v="アプリが 1 回の問い合わせで必要な情報を得られるよう、複数の情報源をまとめた参照用データを最新に保つ仕組み"/>
    <s v="→ 収載先: 権限データ更新設計書（アプリ）。機能仕様書 1 本。更新の入力元と、同じ更新が二重に来た場合の扱いが定義されレビュー承認済み"/>
    <n v="1"/>
    <s v="アプリチーム"/>
    <s v="アプリチーム"/>
    <s v="権限移管に伴い不要"/>
    <s v="権限を基盤が持たなくなるため、その受け皿を作る処理ごと不要になる"/>
    <s v="対象"/>
    <s v="新規: 機能追加"/>
    <s v="HB-01 / HB-08"/>
    <s v="未着手"/>
    <s v="D3-14、DU-U3-04"/>
    <s v="F-PROV-17"/>
  </r>
  <r>
    <s v="HB-F-AZ-01"/>
    <s v="H-B 機能設計"/>
    <s v="設計書の執筆"/>
    <s v="ブローカーが提供するapi的なものであれば基盤なのでは？"/>
    <x v="17"/>
    <x v="86"/>
    <s v="機能仕様書: /api/me/context 提供"/>
    <s v="アプリが「この利用者は何ができるか」を 1 回の問い合わせで取得できるようにする機能"/>
    <s v="→ 収載先: 権限データ更新設計書（アプリ）。機能仕様書 1 本。返す情報の構成と、アプリ側で結果を保持してよい時間の考え方が定義されレビュー承認済み"/>
    <n v="1"/>
    <s v="アプリチーム"/>
    <s v="アプリチーム"/>
    <s v="業務ルール依存"/>
    <s v="返す中身が権限データなので、権限をアプリが持てば同時に不要になる"/>
    <s v="対象"/>
    <s v="新規: 機能追加"/>
    <s v="HB-01 / HB-08"/>
    <s v="未着手"/>
    <s v="ADR-063、D3-14"/>
    <s v="F-AZ-01"/>
  </r>
  <r>
    <s v="HB-F-AZ-02"/>
    <s v="H-B 機能設計"/>
    <s v="設計書の執筆"/>
    <s v="ブローカーが提供するapi的なものであれば基盤なのでは？"/>
    <x v="17"/>
    <x v="87"/>
    <s v="機能仕様書: /api/me/apps 提供"/>
    <s v="ログイン後の入口画面に表示する「使えるアプリの一覧」を返す機能"/>
    <s v="→ 収載先: 権限データ更新設計書（アプリ）。機能仕様書 1 本。一覧に出す条件と、権限がないアプリを出さない扱いが定義されレビュー承認済み"/>
    <n v="0.5"/>
    <s v="アプリチーム"/>
    <s v="アプリチーム"/>
    <s v="業務ルール依存"/>
    <s v="返す中身が権限データなので、権限をアプリが持てば同時に不要になる"/>
    <s v="対象"/>
    <s v="新規: 機能追加"/>
    <s v="HB-01 / HB-08"/>
    <s v="未着手"/>
    <s v="D-U4-06"/>
    <s v="F-AZ-02"/>
  </r>
  <r>
    <s v="HD-16"/>
    <s v="H-D データ設計"/>
    <s v="設計書の執筆"/>
    <s v="もう少し詳しく。判断できない"/>
    <x v="17"/>
    <x v="86"/>
    <s v="テナント開示用 参照データの要否判断と構造"/>
    <s v="顧客へ開示する読み取り専用データを別に持つかどうかを判断し、持つ場合の構造を決める"/>
    <s v="判断記録と構造設計。持たない場合はその理由が記録されている"/>
    <n v="2"/>
    <s v="アプリチーム"/>
    <s v="アプリチーム"/>
    <s v="業務ルール依存"/>
    <s v="【省略・吸収】HB-F-PROV-17 統合射影に吸収。人日は復活時のために残す"/>
    <s v="対象外：省略・吸収"/>
    <s v="新規: 機能追加"/>
    <m/>
    <s v="未着手"/>
    <m/>
    <s v="F-AZ-01"/>
  </r>
  <r>
    <s v="HB-F-ADM-01"/>
    <s v="H-B 機能設計"/>
    <s v="設計書の執筆"/>
    <s v="IdP-keycloakの話であってるか。一部移管の方もアプリ担当で良いと思う"/>
    <x v="27"/>
    <x v="56"/>
    <s v="機能仕様書: ユーザ検索・一覧"/>
    <s v="管理者が自分のテナントの利用者を検索・一覧表示する機能"/>
    <s v="機能仕様書 1 本。検索条件・並び順・件数の上限と、他テナントが出ないことの担保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1"/>
  </r>
  <r>
    <s v="HB-F-ADM-02"/>
    <s v="H-B 機能設計"/>
    <s v="設計書の執筆"/>
    <s v="IdP-keycloakの話であってるか。一部移管の方もアプリ担当で良いと思う"/>
    <x v="27"/>
    <x v="88"/>
    <s v="機能仕様書: ユーザ詳細参照"/>
    <s v="利用者 1 人の詳細情報を表示する機能"/>
    <s v="機能仕様書 1 本。表示する項目と、権限によって見せない項目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2"/>
  </r>
  <r>
    <s v="HB-F-ADM-03"/>
    <s v="H-B 機能設計"/>
    <s v="設計書の執筆"/>
    <s v="IdP-keycloakの話であってるか。一部移管の方もアプリ担当で良いと思う"/>
    <x v="27"/>
    <x v="89"/>
    <s v="機能仕様書: ユーザ作成"/>
    <s v="管理者が利用者を新規に登録する機能"/>
    <s v="機能仕様書 1 本。入力必須項目と、登録できない条件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U3 D3-17"/>
    <s v="F-ADM-03"/>
  </r>
  <r>
    <s v="HB-F-ADM-04"/>
    <s v="H-B 機能設計"/>
    <s v="設計書の執筆"/>
    <s v="IdP-keycloakの話であってるか。一部移管の方もアプリ担当で良いと思う"/>
    <x v="27"/>
    <x v="90"/>
    <s v="機能仕様書: ユーザ更新"/>
    <s v="管理者が利用者の情報を変更する機能"/>
    <s v="機能仕様書 1 本。変更できる項目と、顧客側から同期される項目の扱いの違い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4"/>
  </r>
  <r>
    <s v="HB-F-ADM-05"/>
    <s v="H-B 機能設計"/>
    <s v="設計書の執筆"/>
    <s v="IdP-keycloakの話であってるか。一部移管の方もアプリ担当で良いと思う"/>
    <x v="27"/>
    <x v="91"/>
    <s v="機能仕様書: ユーザ無効化/有効化"/>
    <s v="管理者が利用者を一時的に使えなくする／戻す機能"/>
    <s v="機能仕様書 1 本。操作の即時性と、利用中のログイン状態への影響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5"/>
  </r>
  <r>
    <s v="HB-F-ADM-06"/>
    <s v="H-B 機能設計"/>
    <s v="設計書の執筆"/>
    <s v="IdP-keycloakの話であってるか。一部移管の方もアプリ担当で良いと思う"/>
    <x v="27"/>
    <x v="92"/>
    <s v="機能仕様書: ユーザ削除（Soft Delete）"/>
    <s v="管理者が利用者を削除する機能。実際には消さずに使えない状態にする"/>
    <s v="機能仕様書 1 本。削除操作の入口と、取り消せない旨の確認方法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64"/>
    <s v="F-ADM-06"/>
  </r>
  <r>
    <s v="HB-F-ADM-07"/>
    <s v="H-B 機能設計"/>
    <s v="設計書の執筆"/>
    <s v="IdP-keycloakの話であってるか。一部移管の方もアプリ担当で良いと思う"/>
    <x v="4"/>
    <x v="93"/>
    <s v="機能仕様書: PWリセット（管理者）"/>
    <s v="管理者が利用者のパスワードを初期化する機能"/>
    <s v="機能仕様書 1 本。初期化後の受け渡し方法と、次回ログイン時の強制変更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7"/>
  </r>
  <r>
    <s v="HB-F-ADM-08"/>
    <s v="H-B 機能設計"/>
    <s v="設計書の執筆"/>
    <s v="IdP-keycloakの話であってるか。一部移管の方もアプリ担当で良いと思う"/>
    <x v="27"/>
    <x v="94"/>
    <s v="機能仕様書: ユーザ招待"/>
    <s v="新しい利用者に招待を送り、本人に初期設定させる機能"/>
    <s v="機能仕様書 1 本。招待の有効期限・再送・失効の扱い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機能追加"/>
    <s v="HB-01 / HB-08"/>
    <s v="未着手"/>
    <s v="ADR-038 §C"/>
    <s v="F-ADM-08"/>
  </r>
  <r>
    <s v="HB-F-ADM-10"/>
    <s v="H-B 機能設計"/>
    <s v="設計書の執筆"/>
    <s v="IdP-keycloakの話であってるか。一部移管の方もアプリ担当で良いと思う"/>
    <x v="24"/>
    <x v="39"/>
    <s v="機能仕様書: セッション強制ログアウト（3粒度）"/>
    <s v="管理者が利用者のログイン状態を強制的に終了させる機能。個別・テナント単位・全体の 3 段階"/>
    <s v="機能仕様書 1 本。3 つの範囲それぞれの適用条件と、影響範囲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U5 §5.4"/>
    <s v="F-ADM-10"/>
  </r>
  <r>
    <s v="HB-F-ADM-11"/>
    <s v="H-B 機能設計"/>
    <s v="設計書の執筆"/>
    <s v="OK"/>
    <x v="16"/>
    <x v="20"/>
    <s v="機能仕様書: 使えるアプリの設定"/>
    <s v="どの利用者にどのアプリを使わせるかを設定する機能"/>
    <s v="機能仕様書 1 本。設定の単位と、設定変更がアプリ側に反映されるまでの考え方が定義されレビュー承認済み"/>
    <n v="1"/>
    <s v="アプリチーム"/>
    <s v="アプリチーム"/>
    <s v="業務ルール依存"/>
    <s v="誰にどの権限を与えるかは業務ごとに違い、基盤が共通の仕様を決められない"/>
    <s v="対象"/>
    <s v="新規: 機能追加"/>
    <s v="HB-01 / HB-08"/>
    <s v="未着手"/>
    <s v="ADR-038、D3-14"/>
    <s v="F-ADM-11"/>
  </r>
  <r>
    <s v="HB-F-AZ-03"/>
    <s v="H-B 機能設計"/>
    <s v="設計書の執筆"/>
    <s v="HB-F-ADM-11と被ってる？"/>
    <x v="17"/>
    <x v="95"/>
    <s v="機能仕様書: アプリ利用可否の判定"/>
    <s v="利用者がそのアプリを使ってよいかを判定する処理"/>
    <s v="→ 収載先: 権限データ更新設計書（アプリ）。機能仕様書 1 本。判定の入力と結果の種類、判定できない場合の扱いが定義されレビュー承認済み"/>
    <n v="0.75"/>
    <s v="アプリチーム"/>
    <s v="アプリチーム"/>
    <s v="業務ルール依存"/>
    <s v="判定に使うルールが業務そのもので、基盤には正解が分からない"/>
    <s v="対象"/>
    <s v="新規: 機能追加"/>
    <s v="HB-01 / HB-08"/>
    <s v="未着手"/>
    <s v="D3-14"/>
    <s v="F-AZ-03"/>
  </r>
  <r>
    <s v="HB-F-ADM-12"/>
    <s v="H-B 機能設計"/>
    <s v="設計書の執筆"/>
    <s v="OK"/>
    <x v="16"/>
    <x v="96"/>
    <s v="機能仕様書: 機能ロール割当編集"/>
    <s v="アプリごとの役割（ロール）を利用者に割り当てる機能"/>
    <s v="機能仕様書 1 本。役割の値をアプリ側が自由に決められる範囲が定義されレビュー承認済み"/>
    <n v="0.75"/>
    <s v="アプリチーム"/>
    <s v="アプリチーム"/>
    <s v="業務ルール依存"/>
    <s v="誰にどの権限を与えるかは業務ごとに違い、基盤が共通の仕様を決められない"/>
    <s v="対象"/>
    <s v="新規: 機能追加"/>
    <s v="HB-01 / HB-08"/>
    <s v="未着手"/>
    <s v="ADR-038 AZB-3"/>
    <s v="F-ADM-12"/>
  </r>
  <r>
    <s v="HB-F-AZ-04"/>
    <s v="H-B 機能設計"/>
    <s v="設計書の執筆"/>
    <s v="HB-F-ADM-12と被ってる？"/>
    <x v="17"/>
    <x v="97"/>
    <s v="機能仕様書: 機能ロール解決"/>
    <s v="アプリごとの役割の値を解決して返す処理"/>
    <s v="→ 収載先: 権限データ更新設計書（アプリ）。機能仕様書 1 本。値の受け渡し方式と、アプリ側の解釈に委ねる範囲が定義されレビュー承認済み"/>
    <n v="0.5"/>
    <s v="アプリチーム"/>
    <s v="アプリチーム"/>
    <s v="業務ルール依存"/>
    <s v="判定に使うルールが業務そのもので、基盤には正解が分からない"/>
    <s v="対象"/>
    <s v="新規: 機能追加"/>
    <s v="HB-01 / HB-08"/>
    <s v="未着手"/>
    <s v="AZB-3"/>
    <s v="F-AZ-04"/>
  </r>
  <r>
    <s v="HB-F-ADM-13"/>
    <s v="H-B 機能設計"/>
    <s v="設計書の執筆"/>
    <s v="OK"/>
    <x v="23"/>
    <x v="98"/>
    <s v="機能仕様書: 組織属性編集"/>
    <s v="利用者が所属する組織の情報を編集する機能"/>
    <s v="機能仕様書 1 本。編集できる属性と、アプリ側へ渡る範囲が定義されレビュー承認済み"/>
    <n v="0.5"/>
    <s v="基盤チーム"/>
    <s v="アプリチーム"/>
    <s v="代替手段あり"/>
    <s v="設定の変更頻度が低く、当面は依頼を受けて基盤側で行える"/>
    <s v="対象"/>
    <s v="新規: 機能追加"/>
    <s v="HB-01 / HB-08"/>
    <s v="未着手"/>
    <s v="ADR-038"/>
    <s v="F-ADM-13"/>
  </r>
  <r>
    <s v="HB-F-ADM-14"/>
    <s v="H-B 機能設計"/>
    <s v="設計書の執筆"/>
    <s v="運用設計: としてほしい"/>
    <x v="23"/>
    <x v="99"/>
    <s v="運用設計：テナント（Organization）作成"/>
    <s v="新しい顧客を作成する機能"/>
    <s v="機能仕様書 1 本。作成時に必要な情報と、初期状態の設定が定義されレビュー承認済み"/>
    <n v="0.5"/>
    <s v="基盤チーム"/>
    <s v="アプリチーム"/>
    <s v="認証の中核"/>
    <s v="顧客と接続先を登録できないとサービスを開始できない"/>
    <s v="対象"/>
    <s v="新規: 機能追加"/>
    <s v="HB-01 / HB-08"/>
    <s v="未着手"/>
    <s v="U2 §2.1.2"/>
    <s v="F-ADM-14"/>
  </r>
  <r>
    <s v="HB-F-ADM-15"/>
    <s v="H-B 機能設計"/>
    <s v="設計書の執筆"/>
    <s v="運用設計: としてほしい"/>
    <x v="23"/>
    <x v="100"/>
    <s v="運用設計：テナント設定編集"/>
    <s v="顧客ごとの設定（ログイン方式の切り替えなど）を編集する機能"/>
    <s v="機能仕様書 1 本。設定できる項目と、変更が利用者に及ぼす影響が定義されレビュー承認済み"/>
    <n v="0.5"/>
    <s v="要判断"/>
    <s v="アプリチーム"/>
    <s v="画面のみ"/>
    <s v="操作の入口はアプリが作れるが、認証製品を触る API は基盤に残さざるを得ない"/>
    <s v="対象"/>
    <s v="新規: 機能追加"/>
    <s v="HB-01 / HB-08"/>
    <s v="未着手"/>
    <s v="U2 §2.1.2"/>
    <s v="F-ADM-15"/>
  </r>
  <r>
    <s v="HB-F-ADM-16"/>
    <s v="H-B 機能設計"/>
    <s v="設計書の執筆"/>
    <s v="運用設計: としてほしい"/>
    <x v="11"/>
    <x v="13"/>
    <s v="運用設計：IdP 接続 登録（6 ステップ）"/>
    <s v="顧客の認証システムを基盤に接続する登録作業を行う機能"/>
    <s v="機能仕様書 1 本。登録に必要な情報と、接続確認が取れるまでの手順が定義されレビュー承認済み"/>
    <n v="0.75"/>
    <s v="基盤チーム"/>
    <s v="アプリチーム"/>
    <s v="認証の中核"/>
    <s v="顧客と接続先を登録できないとサービスを開始できない"/>
    <s v="対象"/>
    <s v="新規: 機能追加"/>
    <s v="HB-01 / HB-08"/>
    <s v="未着手"/>
    <s v="D-U9-15"/>
    <s v="F-ADM-16"/>
  </r>
  <r>
    <s v="HB-F-ADM-17"/>
    <s v="H-B 機能設計"/>
    <s v="設計書の執筆"/>
    <s v="運用設計: としてほしい"/>
    <x v="11"/>
    <x v="101"/>
    <s v="運用設計：IdP 接続 編集・証明書更新"/>
    <s v="接続済みの認証システムの設定変更と、期限が来る証明書の入れ替えを行う機能"/>
    <s v="機能仕様書 1 本。無停止で入れ替える手順と、期限切れ前の通知が定義されレビュー承認済み"/>
    <n v="0.5"/>
    <s v="基盤チーム"/>
    <s v="アプリチーム"/>
    <s v="認証の中核"/>
    <s v="顧客と接続先を登録できないとサービスを開始できない"/>
    <s v="対象"/>
    <s v="新規: 機能追加"/>
    <s v="HB-01 / HB-08"/>
    <s v="未着手"/>
    <s v="D-12、A-9"/>
    <s v="F-ADM-17"/>
  </r>
  <r>
    <s v="HB-F-ADM-18"/>
    <s v="H-B 機能設計"/>
    <s v="設計書の執筆"/>
    <s v="運用設計: としてほしい"/>
    <x v="26"/>
    <x v="46"/>
    <s v="運用設計：監査ログ照会"/>
    <s v="管理操作やログインの記録を、管理者が検索・閲覧する機能"/>
    <s v="機能仕様書 1 本。閲覧できる範囲・期間と、他テナントが見えないことの担保が定義されレビュー承認済み"/>
    <n v="0.5"/>
    <s v="要判断"/>
    <s v="基盤チーム"/>
    <s v="画面のみ"/>
    <s v="見る画面はアプリでよいが、記録そのものは改ざん防止のため基盤が持つ"/>
    <s v="対象"/>
    <s v="新規: 非機能・運用"/>
    <s v="HB-01 / HB-08"/>
    <s v="未着手"/>
    <s v="ADR-036、D-U9-06"/>
    <s v="F-ADM-18"/>
  </r>
  <r>
    <s v="HB-F-ADM-19"/>
    <s v="H-B 機能設計"/>
    <s v="設計書の執筆"/>
    <s v="運用設計: としてほしい"/>
    <x v="16"/>
    <x v="102"/>
    <s v="運用設計：権限棚卸しキャンペーン（定期起動を含む）"/>
    <s v="付与済みの権限が今も妥当かを定期的に確認させる機能。定期起動（旧 BAT-08）を含む"/>
    <s v="機能仕様書 1 本。見直しの周期・対象・未対応時の扱いが定義されレビュー承認済み"/>
    <n v="0.5"/>
    <s v="アプリチーム"/>
    <s v="アプリチーム"/>
    <s v="業務ルール依存"/>
    <s v="見直しの周期も承認者も業務ごとに違うため、基盤で一律に決められない"/>
    <s v="対象"/>
    <s v="新規: 機能追加"/>
    <s v="HB-01 / HB-08"/>
    <s v="未着手"/>
    <s v="ADR-067"/>
    <s v="F-ADM-19"/>
  </r>
  <r>
    <s v="HB-F-BAT-08"/>
    <s v="H-B 機能設計"/>
    <s v="設計書の執筆"/>
    <s v="被ってないか？"/>
    <x v="16"/>
    <x v="103"/>
    <s v="機能仕様書: recertキャンペーン起動"/>
    <s v="権限の棚卸しを定期的に開始する処理"/>
    <s v="機能仕様書 1 本。開始の周期・対象範囲と、未対応時の扱いが定義されレビュー承認済み"/>
    <n v="0.5"/>
    <s v="アプリチーム"/>
    <s v="アプリチーム"/>
    <s v="業務ルール依存"/>
    <s v="【省略・吸収】HB-F-ADM-19 に吸収（定期起動部分）。人日は復活時のために残す"/>
    <s v="対象外：省略・吸収"/>
    <s v="新規: 非機能・運用"/>
    <s v="HB-01 / HB-08"/>
    <s v="未着手"/>
    <s v="ADR-067"/>
    <s v="F-BAT-08"/>
  </r>
  <r>
    <s v="HB-F-ADM-20"/>
    <s v="H-B 機能設計"/>
    <s v="設計書の執筆"/>
    <s v="一旦判断保留"/>
    <x v="27"/>
    <x v="57"/>
    <s v="機能仕様書: CSV一括登録"/>
    <s v="利用者をまとめて登録するためのファイル取り込み機能"/>
    <s v="機能仕様書 1 本。ファイル形式・件数上限・一部が失敗した場合の扱いが定義されレビュー承認済み"/>
    <n v="0.5"/>
    <s v="基盤チーム"/>
    <s v="アプリチーム"/>
    <s v="認証の中核"/>
    <s v="画面はアプリが作るが、業務ルールの正は基盤が決めるため仕様書は基盤が書く"/>
    <s v="対象"/>
    <s v="新規: 機能追加"/>
    <s v="HB-01 / HB-08"/>
    <s v="保留"/>
    <s v="HB-21（新規）"/>
    <s v="F-ADM-20"/>
  </r>
  <r>
    <s v="HB-F-ADM-21"/>
    <s v="H-B 機能設計"/>
    <s v="設計書の執筆"/>
    <s v="一旦判断保留"/>
    <x v="27"/>
    <x v="58"/>
    <s v="機能仕様書: CSV/監査ログ エクスポート"/>
    <s v="利用者一覧や操作記録をファイルとして出力する機能"/>
    <s v="機能仕様書 1 本。出力できる項目・件数上限と、個人情報の取り扱い注意が定義されレビュー承認済み"/>
    <n v="0.5"/>
    <s v="基盤チーム"/>
    <s v="アプリチーム"/>
    <s v="認証の中核"/>
    <s v="画面はアプリが作るが、業務ルールの正は基盤が決めるため仕様書は基盤が書く"/>
    <s v="対象"/>
    <s v="新規: 機能追加"/>
    <s v="HB-01 / HB-08"/>
    <s v="保留"/>
    <s v="HB-22、ADR-036"/>
    <s v="F-ADM-21"/>
  </r>
  <r>
    <s v="HB-F-ADM-22"/>
    <s v="H-B 機能設計"/>
    <s v="設計書の執筆"/>
    <s v="アプリに寄せた"/>
    <x v="26"/>
    <x v="53"/>
    <s v="機能仕様書: NHI台帳管理"/>
    <s v="人ではないシステム用のアカウントを台帳で管理する機能"/>
    <s v="機能仕様書 1 本。登録必須項目（管理責任者など）と、使われていないものの検出方針が定義されレビュー承認済み"/>
    <n v="0.5"/>
    <s v="基盤チーム"/>
    <s v="アプリチーム"/>
    <s v="後から追加可能"/>
    <s v="必要になってから足せる仕組みで、初期に無くても困らない"/>
    <s v="対象"/>
    <s v="新規: 機能追加"/>
    <s v="HB-01 / HB-08"/>
    <s v="未着手"/>
    <s v="ADR-066"/>
    <s v="F-ADM-22"/>
  </r>
  <r>
    <s v="HB-F-AZ-05a"/>
    <s v="H-B 機能設計"/>
    <s v="設計書の執筆"/>
    <m/>
    <x v="17"/>
    <x v="104"/>
    <s v="機能仕様書: テナント越境の防止（認証製品側：他テナントの IdP で入れない）"/>
    <s v="利用者が自分のテナント以外のデータに触れないよう強制する仕組み"/>
    <s v="機能仕様書 1 本。要求内容よりログイン情報を優先する原則と、違反時の応答が定義されレビュー承認済み"/>
    <n v="0.25"/>
    <s v="基盤チーム"/>
    <s v="アプリチーム"/>
    <s v="事故防止"/>
    <s v="他の顧客のデータに手が届くと一度で信用を失うため、基盤で強制するしかない"/>
    <s v="対象"/>
    <s v="新規: 機能追加"/>
    <s v="—"/>
    <s v="未着手"/>
    <m/>
    <s v="F-AZ-05"/>
  </r>
  <r>
    <s v="HB-F-AZ-05b"/>
    <s v="H-B 機能設計"/>
    <s v="設計書の執筆"/>
    <m/>
    <x v="17"/>
    <x v="104"/>
    <s v="機能仕様書: テナント越境の防止（権限データ側：他テナントのデータに触れない）"/>
    <s v="利用者が自分のテナント以外のデータに触れないよう強制する仕組み"/>
    <s v="機能仕様書 1 本。要求内容よりログイン情報を優先する原則と、違反時の応答が定義されレビュー承認済み"/>
    <n v="0.5"/>
    <s v="アプリチーム"/>
    <s v="アプリチーム"/>
    <s v="事故防止"/>
    <s v="他の顧客のデータに手が届くと一度で信用を失うため、基盤で強制するしかない"/>
    <s v="対象"/>
    <s v="新規: 機能追加"/>
    <s v="—"/>
    <s v="未着手"/>
    <m/>
    <s v="F-AZ-05"/>
  </r>
  <r>
    <s v="HB-F-AZ-06"/>
    <s v="H-B 機能設計"/>
    <s v="設計書の執筆"/>
    <s v="管理画面の操作であればアプリに寄せる"/>
    <x v="17"/>
    <x v="23"/>
    <s v="機能仕様書: 3層スコープ検証（管理API）"/>
    <s v="管理画面の操作について、テナント・役割・対象の 3 つの観点で権限を確認する仕組み"/>
    <s v="機能仕様書 1 本。3 段階それぞれの確認内容と、いずれか失敗時の応答が定義されレビュー承認済み"/>
    <n v="0.75"/>
    <s v="基盤チーム"/>
    <s v="アプリチーム"/>
    <s v="事故防止"/>
    <s v="他の顧客のデータに手が届くと一度で信用を失うため、基盤で強制するしかない"/>
    <s v="対象"/>
    <s v="新規: 機能追加"/>
    <s v="HB-01 / HB-08"/>
    <s v="未着手"/>
    <s v="ADR-038"/>
    <s v="F-AZ-06"/>
  </r>
  <r>
    <s v="HB-F-AZ-07"/>
    <s v="H-B 機能設計"/>
    <s v="設計書の執筆"/>
    <s v="アプリに寄せてもいい気がするが検討したい"/>
    <x v="28"/>
    <x v="105"/>
    <s v="機能仕様書: CCトークン発行（idm:*）"/>
    <s v="アプリやバッチがシステムとして API を呼ぶための資格を発行する機能"/>
    <s v="機能仕様書 1 本。発行できる権限の種類と、最小限に絞る原則が定義されレビュー承認済み"/>
    <n v="0.5"/>
    <s v="基盤チーム"/>
    <s v="アプリチーム"/>
    <s v="事故防止"/>
    <s v="認証製品の標準機能で、基盤側は設定のみ（0.5）。使う側の手引きは GD-34 で扱う"/>
    <s v="対象"/>
    <s v="新規: 非機能・運用"/>
    <s v="HB-01 / HB-08"/>
    <s v="未着手"/>
    <s v="U5 §5.8"/>
    <s v="F-AZ-07"/>
  </r>
  <r>
    <s v="HB-F-AZ-08"/>
    <s v="H-B 機能設計"/>
    <s v="設計書の執筆"/>
    <s v="アプリに寄せてもいい気がするが検討したい"/>
    <x v="28"/>
    <x v="106"/>
    <s v="機能仕様書: Token Exchange（Pattern 2/3）"/>
    <s v="あるアプリ向けの資格を、別のアプリ向けに交換する機能"/>
    <s v="機能仕様書 1 本。交換を許す組み合わせと、権限を広げない原則が定義されレビュー承認済み"/>
    <n v="0.5"/>
    <s v="基盤チーム"/>
    <s v="アプリチーム"/>
    <s v="後から追加可能"/>
    <s v="認証製品の標準機能で、基盤側は設定のみ（0.5）。使う側の手引きは GD-34 で扱う"/>
    <s v="対象"/>
    <s v="新規: 機能追加"/>
    <s v="HB-01 / HB-08"/>
    <s v="未着手"/>
    <s v="U5 §5.3"/>
    <s v="F-AZ-08"/>
  </r>
  <r>
    <s v="D-5"/>
    <s v="D-5"/>
    <s v="調査・計画"/>
    <s v="ユースケースが想像できない。もう少し具体的にアクターとユースケースを整理してほしい"/>
    <x v="28"/>
    <x v="105"/>
    <s v="システム同士が API を呼ぶときに持たせる権限の範囲（呼び出し元ごと）"/>
    <s v="アカウントをまたぐイベントの受け渡しで、呼び出す側にどの権限を持たせるかを決める。例: 管理 API（Lambda）→ 認証製品の管理用の口、バッチ → 管理 API。アカウント越境の配送が対象外になったので範囲は縮小"/>
    <s v="権限設計。呼び出しごとに必要な権限が定まっている"/>
    <n v="1"/>
    <s v="基盤チーム"/>
    <s v="アプリチーム"/>
    <s v="事故防止"/>
    <s v="この資格が漏れると全顧客を操作できてしまうため、発行を基盤が握る必要がある"/>
    <s v="対象"/>
    <s v="新規: 非機能・運用"/>
    <s v="—"/>
    <s v="未着手"/>
    <m/>
    <s v="F-AZ-07"/>
  </r>
  <r>
    <s v="HB-F-AZ-09"/>
    <s v="H-B 機能設計"/>
    <s v="設計書の執筆"/>
    <s v="Keycloakの認可の話であれば基盤だが、それ以外であればアプリ。どちらなのか"/>
    <x v="26"/>
    <x v="46"/>
    <s v="機能仕様書: 認可判定ログ記録"/>
    <s v="誰が何を許可・拒否されたかを記録する機能"/>
    <s v="機能仕様書 1 本。記録する項目と、量を抑えるための記録対象の絞り方が定義されレビュー承認済み"/>
    <n v="0.5"/>
    <s v="アプリチーム"/>
    <s v="アプリチーム"/>
    <s v="後から追加可能"/>
    <s v="権限データ側の判定記録。認証製品のログイン記録は HG-04 で基盤が持つ"/>
    <s v="対象"/>
    <s v="新規: 非機能・運用"/>
    <s v="HB-01 / HB-08"/>
    <s v="未着手"/>
    <s v="ADR-067"/>
    <s v="F-ADM-18"/>
  </r>
  <r>
    <s v="HB-F-INT-01"/>
    <s v="H-B 機能設計"/>
    <s v="設計書の執筆"/>
    <s v="Servicenow連携は要検討"/>
    <x v="19"/>
    <x v="25"/>
    <s v="機能仕様書: ServiceNow SAML SSO"/>
    <s v="業務システムに対して、本基盤が認証の提供元として振る舞う連携機能"/>
    <s v="機能仕様書 1 本。連携で渡す識別子と、受け側の設定要件が定義されレビュー承認済み"/>
    <n v="2"/>
    <s v="基盤チーム"/>
    <s v="アプリチーム"/>
    <s v="後から追加可能"/>
    <s v="連携先は 1 つで、無くても認証基盤としては成立する"/>
    <s v="対象"/>
    <s v="新規: 機能追加"/>
    <s v="HB-01 / HB-08"/>
    <s v="要件確認"/>
    <s v="ADR-023"/>
    <s v="F-INT-01"/>
  </r>
  <r>
    <s v="HB-F-INT-02"/>
    <s v="H-B 機能設計"/>
    <s v="設計書の執筆"/>
    <s v="Servicenow連携は要検討"/>
    <x v="19"/>
    <x v="107"/>
    <s v="機能仕様書: ServiceNow L2 SAML JIT"/>
    <s v="業務システム側で、初回ログイン時に利用者を自動作成させる連携"/>
    <s v="機能仕様書 1 本。突合に使う項目と、既存利用者と重なった場合の扱いが定義されレビュー承認済み"/>
    <n v="2"/>
    <s v="基盤チーム"/>
    <s v="アプリチーム"/>
    <s v="後から追加可能"/>
    <s v="連携先は 1 つで、無くても認証基盤としては成立する"/>
    <s v="対象"/>
    <s v="新規: 機能追加"/>
    <s v="HB-01 / HB-08"/>
    <s v="要件確認"/>
    <s v="ADR-023 §L"/>
    <s v="F-INT-02"/>
  </r>
  <r>
    <s v="HB-F-INT-03"/>
    <s v="H-B 機能設計"/>
    <s v="設計書の執筆"/>
    <s v="Servicenow連携は要検討"/>
    <x v="19"/>
    <x v="108"/>
    <s v="機能仕様書: SN→他アプリOIDC貫通"/>
    <s v="業務システムにログインした状態から、他のアプリの API を呼べるようにする連携"/>
    <s v="機能仕様書 1 本。通行証の受け渡し経路と、対象アプリの条件が定義されレビュー承認済み"/>
    <n v="1"/>
    <s v="基盤チーム"/>
    <s v="アプリチーム"/>
    <s v="後から追加可能"/>
    <s v="連携先は 1 つで、無くても認証基盤としては成立する"/>
    <s v="対象"/>
    <s v="新規: 機能追加"/>
    <s v="HB-01 / HB-08"/>
    <s v="要件確認"/>
    <s v="§10.1.7"/>
    <s v="F-INT-03"/>
  </r>
  <r>
    <s v="HB-F-INT-04"/>
    <s v="H-B 機能設計"/>
    <s v="設計書の執筆"/>
    <s v="Webhookの送信仕様は協議、送信はきばん、受信はアプリを想定。ただ、両方やらせることもかんがえる"/>
    <x v="6"/>
    <x v="109"/>
    <s v="機能仕様書: Webhook配信（7種・HMAC）"/>
    <s v="利用者の変更をアプリ側へ通知する仕組み。届かなかった場合の再送を含む"/>
    <s v="機能仕様書 1 本。通知の種類・再送回数・受信側の実装要件が定義されレビュー承認済み"/>
    <n v="1"/>
    <s v="要判断"/>
    <s v="アプリチーム"/>
    <s v="代替手段あり"/>
    <s v="Webhook の送信は基盤・受信はアプリを想定。送信も含めて両方アプリに任せる案もあり協議"/>
    <s v="対象"/>
    <s v="新規: 機能追加"/>
    <s v="HB-01 / HB-08"/>
    <s v="未着手"/>
    <s v="D-U10-11"/>
    <s v="F-INT-04"/>
  </r>
  <r>
    <s v="HB-F-INT-05"/>
    <s v="H-B 機能設計"/>
    <s v="設計書の執筆"/>
    <s v="Webhookの送信仕様は協議、送信はきばん、受信はアプリを想定。ただ、両方やらせることもかんがえる"/>
    <x v="2"/>
    <x v="81"/>
    <s v="機能仕様書: EventBridge越境: 削除"/>
    <s v="利用者を止めた事実を、アカウントをまたいで別システムへ届ける経路の機能"/>
    <s v="機能仕様書 1 本。伝える内容と、二重に届いた場合の扱いが定義されレビュー承認済み"/>
    <n v="1"/>
    <s v="基盤チーム"/>
    <s v="アプリチーム"/>
    <s v="利用者が 1 箇所になり不要"/>
    <s v="停止の事実を別アカウントへ運ぶ経路だったが、運ぶ相手がいなくなる"/>
    <s v="対象外：認証製品を 1 つに統合"/>
    <s v="新規: 機能追加"/>
    <s v="HB-01 / HB-08"/>
    <s v="未着手"/>
    <s v="ADR-064"/>
    <s v="F-PROV-12"/>
  </r>
  <r>
    <s v="HB-F-INT-06"/>
    <s v="H-B 機能設計"/>
    <s v="設計書の執筆"/>
    <s v="Webhookの送信仕様は協議、送信はきばん、受信はアプリを想定。ただ、両方やらせることもかんがえる"/>
    <x v="3"/>
    <x v="83"/>
    <s v="機能仕様書: EventBridge越境: 初回sub通知"/>
    <s v="初回ログインした人の識別子を、アカウントをまたいで権限管理側へ伝える連携"/>
    <s v="機能仕様書 1 本。伝える内容と、順序が入れ替わった場合の扱いが定義されレビュー承認済み"/>
    <n v="1"/>
    <s v="アプリチーム"/>
    <s v="アプリチーム"/>
    <s v="利用者が 1 箇所になり不要"/>
    <s v="識別子を別アカウントへ運ぶ経路だったが、同様に相手がいなくなる"/>
    <s v="対象外：認証製品を 1 つに統合"/>
    <s v="新規: 機能追加"/>
    <s v="HB-01 / HB-08"/>
    <s v="未着手"/>
    <s v="ADR-063"/>
    <s v="F-PROV-14"/>
  </r>
  <r>
    <s v="HB-F-INT-07"/>
    <s v="H-B 機能設計"/>
    <s v="設計書の執筆"/>
    <s v="そもそもこれは要件定義が必要"/>
    <x v="6"/>
    <x v="19"/>
    <s v="機能仕様書: SESメール送信"/>
    <s v="招待・パスワード再設定・注意喚起などのメールを送る機能"/>
    <s v="機能仕様書 1 本。送信する種類と、届かなかった場合の扱いが定義されレビュー承認済み"/>
    <n v="0.5"/>
    <s v="基盤チーム"/>
    <s v="基盤チーム"/>
    <s v="製品機能"/>
    <s v="パスワード再設定などの定型メールは認証製品が送るため、基盤側に残る"/>
    <s v="対象"/>
    <s v="新規: 非機能・運用"/>
    <s v="HB-01 / HB-08"/>
    <s v="要件確認"/>
    <s v="A6a-1、DU-U6-12"/>
    <s v="F-INT-07"/>
  </r>
  <r>
    <s v="HB-F-INT-08"/>
    <s v="H-B 機能設計"/>
    <s v="設計書の執筆"/>
    <s v="そもそもこれは要件定義が必要"/>
    <x v="14"/>
    <x v="21"/>
    <s v="機能仕様書: 不審な挙動の検知"/>
    <s v="不正なログインの兆候を検知して通知する機能"/>
    <s v="機能仕様書 1 本。検知する事象の種類と、検知後に何をするかが定義されレビュー承認済み"/>
    <n v="1"/>
    <s v="基盤チーム"/>
    <s v="アプリチーム"/>
    <s v="事故防止"/>
    <s v="ネットワーク分離は「持ち出し」を防ぐが「悪用」は防がないため、異常な操作の検知とセットで初めて成立する。分離を維持する判断（2026-09-02）に伴い Phase 1 必須へ戻した"/>
    <s v="対象"/>
    <s v="新規: 非機能・運用"/>
    <s v="HB-01 / HB-08"/>
    <s v="要件確認"/>
    <s v="ADR-035/060"/>
    <s v="F-INT-08"/>
  </r>
  <r>
    <s v="HB-F-INT-09"/>
    <s v="H-B 機能設計"/>
    <s v="設計書の執筆"/>
    <s v="アプリの外形監視でやってもらうのもありかも"/>
    <x v="14"/>
    <x v="17"/>
    <s v="機能仕様書: 外部からの死活監視"/>
    <s v="本物の利用者を模した定期的なログイン試行で、障害を利用者より先に見つける機能"/>
    <s v="機能仕様書 1 本。試行の頻度・対象と、失敗時の通知先が定義されレビュー承認済み"/>
    <n v="0.5"/>
    <s v="基盤チーム"/>
    <s v="アプリチーム"/>
    <s v="代替手段あり"/>
    <s v="通常のシステム監視と手動更新で代替でき、無くても認証は止まらない"/>
    <s v="対象"/>
    <s v="新規: 非機能・運用"/>
    <s v="HB-01 / HB-08"/>
    <s v="未着手"/>
    <s v="ADR-059"/>
    <s v="F-INT-09"/>
  </r>
  <r>
    <s v="HB-F-INT-10"/>
    <s v="H-B 機能設計"/>
    <s v="設計書の執筆"/>
    <s v="ちょっとよくわからないので詳しく教えて"/>
    <x v="14"/>
    <x v="17"/>
    <s v="機能仕様書: デプロイ検知（pull型）"/>
    <s v="アプリ側の設置状況を基盤側から定期的に見に行き、設定漏れを見つける機能"/>
    <s v="機能仕様書 1 本。巡回の対象と、差分が見つかった場合の扱いが定義されレビュー承認済み"/>
    <n v="0.5"/>
    <s v="基盤チーム"/>
    <s v="アプリチーム"/>
    <s v="代替手段あり"/>
    <s v="【省略・吸収】価値が薄く、API プラットフォーム側の外形監視と重なるため省略。人日は復活時のために残す"/>
    <s v="対象外：省略・吸収"/>
    <s v="新規: 機能追加"/>
    <s v="HB-01 / HB-08"/>
    <s v="未着手"/>
    <s v="ADR-061"/>
    <s v="F-INT-09"/>
  </r>
  <r>
    <s v="HB-F-INT-11"/>
    <s v="H-B 機能設計"/>
    <s v="設計書の執筆"/>
    <s v="顧客IDPの正常性監視のようなことか。運用設計: としてほしい"/>
    <x v="11"/>
    <x v="110"/>
    <s v="運用設計：顧客 IdP 接続情報の自動追随（証明書入替への追随）"/>
    <s v="顧客の認証システムの接続情報を定期的に取り直し、証明書の入れ替えに自動追随する機能"/>
    <s v="機能仕様書 1 本。取得の頻度と、取得できなかった場合の代替手順が定義されレビュー承認済み"/>
    <n v="0.5"/>
    <s v="基盤チーム"/>
    <s v="アプリチーム"/>
    <s v="代替手段あり"/>
    <s v="通常のシステム監視と手動更新で代替でき、無くても認証は止まらない"/>
    <s v="対象"/>
    <s v="新規: 機能追加"/>
    <s v="HB-01 / HB-08"/>
    <s v="未着手"/>
    <s v="A-9、D-12"/>
    <s v="F-INT-11"/>
  </r>
  <r>
    <s v="HB-F-INT-12"/>
    <s v="H-B 機能設計"/>
    <s v="設計書の執筆"/>
    <s v="これ不明。要件からだがユースケースは何を想定しているか"/>
    <x v="6"/>
    <x v="109"/>
    <s v="機能仕様書: CAEP/SSF送信"/>
    <s v="利用者の状態変化をアプリ側へ即時に伝える新方式。初期リリースでは対象外"/>
    <s v="機能仕様書 1 本（対象外の宣言を含む）。将来導入する場合の前提と、当面は代替手段で運用する旨が明記されレビュー承認済み"/>
    <n v="0.5"/>
    <s v="基盤チーム"/>
    <s v="アプリチーム"/>
    <s v="後から追加可能"/>
    <s v="【省略・吸収】初期リリース対象外（概要に明記済み）。人日は復活時のために残す"/>
    <s v="対象外：省略・吸収"/>
    <s v="新規: 機能追加"/>
    <s v="HB-01 / HB-08"/>
    <s v="未着手"/>
    <s v="ADR-065、G-SSF"/>
    <s v="F-INT-04"/>
  </r>
  <r>
    <s v="HB-F-BAT-06"/>
    <s v="H-B 機能設計"/>
    <s v="設計書の執筆"/>
    <s v="要件から必要。認証基盤側でなくアプリで設計させる想定ではある"/>
    <x v="26"/>
    <x v="53"/>
    <s v="機能仕様書: NHI孤立検知"/>
    <s v="管理する責任者がいなくなったシステム用アカウントを検出して通知する処理"/>
    <s v="機能仕様書 1 本。未使用と判断する条件と、通知先・対応期限が定義されレビュー承認済み"/>
    <n v="0.5"/>
    <s v="基盤チーム"/>
    <s v="アプリチーム"/>
    <s v="後から追加可能"/>
    <s v="必要になってから足せる仕組みで、初期に無くても困らない"/>
    <s v="対象"/>
    <s v="新規: 機能追加"/>
    <s v="HB-01 / HB-08"/>
    <s v="未着手"/>
    <s v="ADR-066"/>
    <s v="F-ADM-22"/>
  </r>
  <r>
    <s v="HC-01a"/>
    <s v="H-C 画面設計"/>
    <s v="設計書の執筆"/>
    <m/>
    <x v="7"/>
    <x v="111"/>
    <s v="画面（認証製品内）：画面一覧・画面 ID 体系（12 画面）"/>
    <s v="システム全体でどんな画面があるかを一覧にし、番号を付ける"/>
    <s v="画面一覧。約 32 画面に番号が付き、重複や抜けがない"/>
    <n v="1"/>
    <s v="基盤チーム"/>
    <s v="基盤チーム"/>
    <s v="画面のみ"/>
    <s v="対象の画面が減るぶん縮むが、画面設計という作業自体は残る"/>
    <s v="対象"/>
    <s v="当初あり"/>
    <s v="—"/>
    <s v="未着手"/>
    <m/>
    <s v="NF-MGT-03"/>
  </r>
  <r>
    <s v="HC-01b"/>
    <s v="H-C 画面設計"/>
    <s v="設計書の執筆"/>
    <m/>
    <x v="7"/>
    <x v="111"/>
    <s v="画面（管理画面）：画面一覧・画面 ID 体系（20 画面）"/>
    <s v="システム全体でどんな画面があるかを一覧にし、番号を付ける"/>
    <s v="画面一覧。約 32 画面に番号が付き、重複や抜けがない"/>
    <n v="1"/>
    <s v="基盤チーム"/>
    <s v="アプリチーム"/>
    <s v="画面のみ"/>
    <s v="対象の画面が減るぶん縮むが、画面設計という作業自体は残る"/>
    <s v="対象"/>
    <s v="当初あり"/>
    <s v="—"/>
    <s v="未着手"/>
    <m/>
    <s v="NF-MGT-03"/>
  </r>
  <r>
    <s v="HC-02"/>
    <s v="H-C 画面設計"/>
    <s v="設計書の執筆"/>
    <s v="OK"/>
    <x v="7"/>
    <x v="111"/>
    <s v="画面遷移図（エンドユーザー向け）"/>
    <s v="利用者が使う画面の遷移関係を図にする"/>
    <s v="遷移図。ログインから各機能までの経路が追える"/>
    <n v="2"/>
    <s v="基盤チーム"/>
    <s v="アプリチーム"/>
    <s v="画面のみ"/>
    <s v="対象の画面が減るぶん縮むが、画面設計という作業自体は残る"/>
    <s v="対象"/>
    <s v="当初あり"/>
    <s v="—"/>
    <s v="未着手"/>
    <m/>
    <s v="NF-MGT-03"/>
  </r>
  <r>
    <s v="HC-03a"/>
    <s v="H-C 画面設計"/>
    <s v="設計書の執筆"/>
    <s v="OK"/>
    <x v="7"/>
    <x v="111"/>
    <s v="画面遷移図（内部向け）"/>
    <s v="こちらが作る管理画面（接続先・顧客の管理）の遷移関係を図にする"/>
    <s v="遷移図 1 枚。こちらが作る画面の行き来が示されている"/>
    <n v="1"/>
    <s v="基盤チーム"/>
    <s v="アプリチーム"/>
    <s v="画面のみ"/>
    <s v="対象の画面が減るぶん縮むが、遷移の整理自体は残る"/>
    <s v="対象"/>
    <s v="当初あり"/>
    <s v="—"/>
    <s v="未着手"/>
    <m/>
    <s v="NF-MGT-03"/>
  </r>
  <r>
    <s v="HC-03b"/>
    <s v="H-C 画面設計"/>
    <s v="設計書の執筆"/>
    <s v="これは何？被っているのであれば不要"/>
    <x v="7"/>
    <x v="111"/>
    <s v="画面遷移図（管理画面・テナント管理者向け）"/>
    <s v="アプリ側が作る管理画面の遷移関係を、参考として整理する"/>
    <s v="遷移図 1 枚。アプリに渡す前提の参考資料として整理されている"/>
    <n v="1"/>
    <s v="アプリチーム"/>
    <s v="アプリチーム"/>
    <s v="画面のみ"/>
    <s v="画面そのものなので、作る主体がアプリなら成果物ごとアプリ側へ移る"/>
    <s v="対象"/>
    <s v="当初あり"/>
    <s v="—"/>
    <s v="未着手"/>
    <m/>
    <s v="NF-MGT-03"/>
  </r>
  <r>
    <s v="HC-04a"/>
    <s v="H-C 画面設計"/>
    <s v="設計書の執筆"/>
    <s v="Keycloak内部なのかそれとも別で作るのかで分けたい"/>
    <x v="5"/>
    <x v="6"/>
    <s v="画面（認証製品内）：識別子の入力画面（HRD）"/>
    <s v="利用者が使う「識別子の入力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新規: 規模"/>
    <s v="—"/>
    <s v="未着手"/>
    <m/>
    <s v="F-AUTH-02"/>
  </r>
  <r>
    <s v="HC-04b"/>
    <s v="H-C 画面設計"/>
    <s v="設計書の執筆"/>
    <s v="Keycloak内部なのかそれとも別で作るのかで分けたい"/>
    <x v="20"/>
    <x v="26"/>
    <s v="画面（認証製品内）：パスワードの入力画面"/>
    <s v="利用者が使う「パスワードの入力画面」の項目・入力チェック・動作を決める"/>
    <s v="画面仕様書 1 本。項目定義・入力チェック・エラー時の見せ方が定義されレビュー承認済み"/>
    <n v="0.5"/>
    <s v="基盤チーム"/>
    <s v="基盤チーム"/>
    <s v="製品機能"/>
    <s v="ログイン画面は認証製品のテーマ機能で作るため、切り離せない"/>
    <s v="対象"/>
    <s v="当初あり"/>
    <s v="—"/>
    <s v="未着手"/>
    <m/>
    <s v="F-AUTH-01"/>
  </r>
  <r>
    <s v="HC-04c"/>
    <s v="H-C 画面設計"/>
    <s v="設計書の執筆"/>
    <s v="Keycloak内部なのかそれとも別で作るのかで分けたい"/>
    <x v="5"/>
    <x v="112"/>
    <s v="画面（認証製品内）：接続先の選択画面"/>
    <s v="利用者が使う「接続先の選択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新規: 規模"/>
    <s v="—"/>
    <s v="未着手"/>
    <m/>
    <s v="F-AUTH-04"/>
  </r>
  <r>
    <s v="HC-04d"/>
    <s v="H-C 画面設計"/>
    <s v="設計書の執筆"/>
    <s v="Keycloak内部なのかそれとも別で作るのかで分けたい"/>
    <x v="15"/>
    <x v="63"/>
    <s v="画面（認証製品内）：追加認証の入力画面"/>
    <s v="利用者が使う「追加認証の入力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0"/>
  </r>
  <r>
    <s v="HC-04e"/>
    <s v="H-C 画面設計"/>
    <s v="設計書の執筆"/>
    <s v="Keycloak内部なのかそれとも別で作るのかで分けたい"/>
    <x v="15"/>
    <x v="64"/>
    <s v="画面（認証製品内）：追加認証の登録画面"/>
    <s v="利用者が使う「追加認証の登録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2"/>
  </r>
  <r>
    <s v="HC-04f"/>
    <s v="H-C 画面設計"/>
    <s v="設計書の執筆"/>
    <s v="Keycloak内部なのかそれとも別で作るのかで分けたい"/>
    <x v="4"/>
    <x v="67"/>
    <s v="画面（認証製品内）：復旧コードの入力画面"/>
    <s v="利用者が使う「復旧コードの入力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5"/>
  </r>
  <r>
    <s v="HC-04g"/>
    <s v="H-C 画面設計"/>
    <s v="設計書の執筆"/>
    <s v="Keycloak内部なのかそれとも別で作るのかで分けたい"/>
    <x v="4"/>
    <x v="67"/>
    <s v="画面（認証製品内）：復旧コードの表示画面"/>
    <s v="利用者が使う「復旧コードの表示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5"/>
  </r>
  <r>
    <s v="HC-04h"/>
    <s v="H-C 画面設計"/>
    <s v="設計書の執筆"/>
    <s v="Keycloak内部なのかそれとも別で作るのかで分けたい"/>
    <x v="4"/>
    <x v="70"/>
    <s v="画面（認証製品内）：パスワードの変更画面"/>
    <s v="利用者が使う「パスワードの変更画面」の項目・入力チェック・動作を決める"/>
    <s v="画面仕様書 1 本。項目定義・入力チェック・エラー時の見せ方が定義されレビュー承認済み"/>
    <n v="0.5"/>
    <s v="基盤チーム"/>
    <s v="基盤チーム"/>
    <s v="製品機能"/>
    <s v="ログイン画面は認証製品のテーマ機能で作るため、切り離せない"/>
    <s v="対象"/>
    <s v="当初あり"/>
    <s v="—"/>
    <s v="未着手"/>
    <m/>
    <s v="F-AUTH-19"/>
  </r>
  <r>
    <s v="HC-04i"/>
    <s v="H-C 画面設計"/>
    <s v="設計書の執筆"/>
    <s v="Keycloak内部なのかそれとも別で作るのかで分けたい"/>
    <x v="4"/>
    <x v="69"/>
    <s v="画面（認証製品内）：パスワードの再設定画面"/>
    <s v="利用者が使う「パスワードの再設定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18"/>
  </r>
  <r>
    <s v="HC-04j"/>
    <s v="H-C 画面設計"/>
    <s v="設計書の執筆"/>
    <s v="Keycloak内部なのかそれとも別で作るのかで分けたい"/>
    <x v="12"/>
    <x v="113"/>
    <s v="画面（認証製品内）：エラー・案内の表示画面"/>
    <s v="利用者が使う「エラー・案内の表示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26"/>
  </r>
  <r>
    <s v="HC-04k"/>
    <s v="H-C 画面設計"/>
    <s v="設計書の執筆"/>
    <s v="Keycloak内部なのかそれとも別で作るのかで分けたい"/>
    <x v="17"/>
    <x v="87"/>
    <s v="画面（認証製品内）：ログイン後の遷移先画面（認証製品の外の着地ページになり得る）"/>
    <s v="利用者が使う「ログイン後の遷移先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Z-02"/>
  </r>
  <r>
    <s v="HC-04l"/>
    <s v="H-C 画面設計"/>
    <s v="設計書の執筆"/>
    <s v="Keycloak内部なのかそれとも別で作るのかで分けたい"/>
    <x v="29"/>
    <x v="114"/>
    <s v="画面（認証製品内）：同意の確認画面"/>
    <s v="利用者が使う「同意の確認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28"/>
  </r>
  <r>
    <s v="HC-05a-1"/>
    <s v="H-C 画面設計"/>
    <s v="設計書の執筆"/>
    <m/>
    <x v="11"/>
    <x v="13"/>
    <s v="画面（管理画面）：顧客一覧"/>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2"/>
    <s v="H-C 画面設計"/>
    <s v="設計書の執筆"/>
    <m/>
    <x v="11"/>
    <x v="13"/>
    <s v="画面（管理画面）：顧客の登録・設定"/>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3"/>
    <s v="H-C 画面設計"/>
    <s v="設計書の執筆"/>
    <m/>
    <x v="11"/>
    <x v="13"/>
    <s v="画面（管理画面）：接続先一覧"/>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4"/>
    <s v="H-C 画面設計"/>
    <s v="設計書の執筆"/>
    <m/>
    <x v="11"/>
    <x v="13"/>
    <s v="画面（管理画面）：接続先の登録"/>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5"/>
    <s v="H-C 画面設計"/>
    <s v="設計書の執筆"/>
    <m/>
    <x v="11"/>
    <x v="101"/>
    <s v="画面（管理画面）：接続先の設定・証明書更新"/>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7"/>
  </r>
  <r>
    <s v="HC-05a-6"/>
    <s v="H-C 画面設計"/>
    <s v="設計書の執筆"/>
    <m/>
    <x v="11"/>
    <x v="13"/>
    <s v="画面（管理画面）：顧客追加の承認"/>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b-1"/>
    <s v="H-C 画面設計"/>
    <s v="設計書の執筆"/>
    <m/>
    <x v="27"/>
    <x v="56"/>
    <s v="画面（管理画面）：利用者一覧・検索"/>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1"/>
  </r>
  <r>
    <s v="HC-05b-2"/>
    <s v="H-C 画面設計"/>
    <s v="設計書の執筆"/>
    <m/>
    <x v="27"/>
    <x v="88"/>
    <s v="画面（管理画面）：利用者詳細"/>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2"/>
  </r>
  <r>
    <s v="HC-05b-3"/>
    <s v="H-C 画面設計"/>
    <s v="設計書の執筆"/>
    <m/>
    <x v="27"/>
    <x v="89"/>
    <s v="画面（管理画面）：利用者の登録"/>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3"/>
  </r>
  <r>
    <s v="HC-05b-4"/>
    <s v="H-C 画面設計"/>
    <s v="設計書の執筆"/>
    <m/>
    <x v="27"/>
    <x v="90"/>
    <s v="画面（管理画面）：利用者の変更"/>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4"/>
  </r>
  <r>
    <s v="HC-05b-5"/>
    <s v="H-C 画面設計"/>
    <s v="設計書の執筆"/>
    <m/>
    <x v="27"/>
    <x v="91"/>
    <s v="画面（管理画面）：利用者の停止・再開"/>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5"/>
  </r>
  <r>
    <s v="HC-05b-6"/>
    <s v="H-C 画面設計"/>
    <s v="設計書の執筆"/>
    <m/>
    <x v="4"/>
    <x v="93"/>
    <s v="画面（管理画面）：パスワード初期化・追加認証の解除"/>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7"/>
  </r>
  <r>
    <s v="HC-05b-7"/>
    <s v="H-C 画面設計"/>
    <s v="設計書の執筆"/>
    <m/>
    <x v="27"/>
    <x v="94"/>
    <s v="画面（管理画面）：利用者の招待"/>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8"/>
  </r>
  <r>
    <s v="HC-05b-8"/>
    <s v="H-C 画面設計"/>
    <s v="設計書の執筆"/>
    <m/>
    <x v="27"/>
    <x v="57"/>
    <s v="画面（管理画面）：一括登録・ファイル出力"/>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20"/>
  </r>
  <r>
    <s v="HC-05c-1"/>
    <s v="H-C 画面設計"/>
    <s v="設計書の執筆"/>
    <m/>
    <x v="16"/>
    <x v="20"/>
    <s v="画面（管理画面）：使えるアプリの割当"/>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1"/>
  </r>
  <r>
    <s v="HC-05c-2"/>
    <s v="H-C 画面設計"/>
    <s v="設計書の執筆"/>
    <m/>
    <x v="16"/>
    <x v="96"/>
    <s v="画面（管理画面）：アプリ内の役割の割当"/>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2"/>
  </r>
  <r>
    <s v="HC-05c-3"/>
    <s v="H-C 画面設計"/>
    <s v="設計書の執筆"/>
    <m/>
    <x v="23"/>
    <x v="98"/>
    <s v="画面（管理画面）：組織属性の設定"/>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3"/>
  </r>
  <r>
    <s v="HC-05c-4"/>
    <s v="H-C 画面設計"/>
    <s v="設計書の執筆"/>
    <m/>
    <x v="16"/>
    <x v="102"/>
    <s v="画面（管理画面）：権限のひな形・棚卸し"/>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9"/>
  </r>
  <r>
    <s v="HC-05d-1"/>
    <s v="H-C 画面設計"/>
    <s v="設計書の執筆"/>
    <m/>
    <x v="26"/>
    <x v="46"/>
    <s v="画面（管理画面）：操作記録の照会"/>
    <s v="記録を照会する 2 画面の仕様（アプリが作る想定）"/>
    <s v="画面仕様書 2 本、または API 提供のみとする判断記録"/>
    <n v="0.5"/>
    <s v="アプリチーム"/>
    <s v="アプリチーム"/>
    <s v="画面のみ"/>
    <s v="画面そのものなので、作る主体がアプリなら成果物ごとアプリ側へ移る"/>
    <s v="対象"/>
    <s v="新規: 非機能・運用"/>
    <s v="—"/>
    <s v="未着手"/>
    <m/>
    <s v="F-ADM-18"/>
  </r>
  <r>
    <s v="HC-05d-2"/>
    <s v="H-C 画面設計"/>
    <s v="設計書の執筆"/>
    <m/>
    <x v="26"/>
    <x v="46"/>
    <s v="画面（管理画面）：権限判定の記録の照会"/>
    <s v="記録を照会する 2 画面の仕様（アプリが作る想定）"/>
    <s v="画面仕様書 2 本、または API 提供のみとする判断記録"/>
    <n v="0.5"/>
    <s v="アプリチーム"/>
    <s v="アプリチーム"/>
    <s v="画面のみ"/>
    <s v="画面そのものなので、作る主体がアプリなら成果物ごとアプリ側へ移る"/>
    <s v="対象"/>
    <s v="新規: 非機能・運用"/>
    <s v="—"/>
    <s v="未着手"/>
    <m/>
    <s v="F-ADM-18"/>
  </r>
  <r>
    <s v="HC-06"/>
    <s v="H-C 画面設計"/>
    <s v="設計書の執筆"/>
    <s v="画面を分担するのであれば協議。"/>
    <x v="25"/>
    <x v="51"/>
    <s v="共通レイアウト・部品設計"/>
    <s v="全画面で共通に使うレイアウトと部品を決める"/>
    <s v="共通設計。部品の一覧と使い方が定まっている"/>
    <n v="3"/>
    <s v="要判断"/>
    <s v="アプリチーム"/>
    <s v="画面のみ"/>
    <s v="画面を分担する場合はデザイン統一の協議が必要（合わせるのが大変というリスク）"/>
    <s v="対象"/>
    <s v="当初あり"/>
    <s v="—"/>
    <s v="未着手"/>
    <m/>
    <s v="NF-STD-03"/>
  </r>
  <r>
    <s v="HC-07"/>
    <s v="H-C 画面設計"/>
    <s v="設計書の執筆"/>
    <s v="細かいので不要？アプリ。"/>
    <x v="25"/>
    <x v="51"/>
    <s v="A11y設計基準（WCAG 2.2 AAの設計反映）"/>
    <s v="身体的な制約がある人でも使えるようにするための設計基準。認証製品内の 12 画面分は基盤が対応する"/>
    <s v="設計基準。守るべき項目と確認方法が定まっている"/>
    <n v="3"/>
    <s v="アプリチーム"/>
    <s v="アプリチーム"/>
    <s v="画面のみ"/>
    <s v="細部はアプリに委ねる。ただし認証製品内の 12 画面分は基盤が対応する"/>
    <s v="対象"/>
    <s v="当初あり"/>
    <s v="—"/>
    <s v="未着手"/>
    <m/>
    <s v="NF-STD-03"/>
  </r>
  <r>
    <s v="HC-08"/>
    <s v="H-C 画面設計"/>
    <s v="設計書の執筆"/>
    <s v="画面を分担するのであれば協議？ちょっとこれは要件で「画面分担するのであれば細かいデザインなどの協議か合わせるのが大変という」リスクで整理が必要"/>
    <x v="25"/>
    <x v="51"/>
    <s v="画面メッセージ一覧"/>
    <s v="画面に表示する案内文・警告文を一覧にする"/>
    <s v="メッセージ一覧。文言が統一され、画面仕様から参照できる"/>
    <n v="3"/>
    <s v="要判断"/>
    <s v="アプリチーム"/>
    <s v="画面のみ"/>
    <s v="画面を分担する場合はデザイン統一の協議が必要（合わせるのが大変というリスク）"/>
    <s v="対象"/>
    <s v="当初あり"/>
    <s v="—"/>
    <s v="未着手"/>
    <m/>
    <s v="NF-STD-03"/>
  </r>
  <r>
    <s v="HE-22a"/>
    <s v="H-E つなぎ目設計"/>
    <s v="設計書の執筆"/>
    <m/>
    <x v="25"/>
    <x v="50"/>
    <s v="API エラーコード体系（認証製品の標準エラー）"/>
    <s v="接続仕様が返すエラーの種類と番号の体系（アプリが判定に使う）"/>
    <s v="エラーコード体系。番号の付け方と、意味の一覧が定まっている"/>
    <n v="1"/>
    <s v="基盤チーム"/>
    <s v="基盤チーム"/>
    <s v="画面のみ"/>
    <s v="対象の画面が減るぶん縮むが、画面設計という作業自体は残る"/>
    <s v="対象"/>
    <s v="新規: 機能追加"/>
    <s v="—"/>
    <s v="未着手"/>
    <m/>
    <s v="NF-STD-02"/>
  </r>
  <r>
    <s v="HE-22b"/>
    <s v="H-E つなぎ目設計"/>
    <s v="設計書の執筆"/>
    <m/>
    <x v="25"/>
    <x v="50"/>
    <s v="API エラーコード体系（管理 API）"/>
    <s v="接続仕様が返すエラーの種類と番号の体系（アプリが判定に使う）"/>
    <s v="エラーコード体系。番号の付け方と、意味の一覧が定まっている"/>
    <n v="2"/>
    <s v="アプリチーム"/>
    <s v="アプリチーム"/>
    <s v="画面のみ"/>
    <s v="対象の画面が減るぶん縮むが、画面設計という作業自体は残る"/>
    <s v="対象"/>
    <s v="新規: 機能追加"/>
    <s v="—"/>
    <s v="未着手"/>
    <m/>
    <s v="NF-STD-02"/>
  </r>
  <r>
    <s v="HC-11"/>
    <s v="H-C 画面設計"/>
    <s v="設計書の執筆"/>
    <s v="詳細設計で良いかも"/>
    <x v="6"/>
    <x v="19"/>
    <s v="メール・通知テンプレート一覧（招待/PW/MFA/侵害通知）（新規）"/>
    <s v="送信するメールの種類ごとの文面のひな形"/>
    <s v="テンプレート一覧。種類ごとの文面と差し込み項目が定まっている"/>
    <n v="3"/>
    <s v="基盤チーム"/>
    <s v="基盤チーム"/>
    <s v="画面のみ"/>
    <s v="【省略・吸収】② 詳細設計で計上。人日は復活時のために残す"/>
    <s v="対象外：省略・吸収"/>
    <s v="当初あり"/>
    <s v="—"/>
    <s v="未着手"/>
    <m/>
    <s v="F-INT-07"/>
  </r>
  <r>
    <s v="HD-01"/>
    <s v="H-D データ設計"/>
    <s v="設計書の執筆"/>
    <s v="OK"/>
    <x v="7"/>
    <x v="115"/>
    <s v="データストア全体構成図（どのデータがどこにあるか）"/>
    <s v="棚卸し済みのデータストア 10 種を、どのデータがどこに保管されているかの図として清書する"/>
    <s v="構成図 1 枚。全データストアと保管内容が対応づいている"/>
    <n v="2"/>
    <s v="基盤チーム"/>
    <s v="アプリチーム"/>
    <s v="認証の中核"/>
    <s v="どのデータをどこに置くかの整理は、ストアが減っても必要"/>
    <s v="対象"/>
    <s v="新規: 機能追加"/>
    <m/>
    <s v="未着手"/>
    <m/>
    <s v="NF-MGT-04"/>
  </r>
  <r>
    <s v="HD-02"/>
    <s v="H-D データ設計"/>
    <s v="設計書の執筆"/>
    <s v="OK"/>
    <x v="25"/>
    <x v="44"/>
    <s v="ストア間の整合方針（どこが正で、どう同期するか）"/>
    <s v="同じ情報が複数の場所にある場合に、どれを正とし、どう揃えるかの方針を決める"/>
    <s v="→ 収載先: 同期・整合突合設計書。整合方針。正となる場所と、ずれた場合の直し方が定まっている"/>
    <n v="2"/>
    <s v="基盤チーム"/>
    <s v="アプリチーム"/>
    <s v="認証の中核"/>
    <s v="どのデータをどこに置くかの整理は、ストアが減っても必要"/>
    <s v="対象"/>
    <s v="新規: 機能追加"/>
    <m/>
    <s v="未着手"/>
    <m/>
    <s v="NF-STD-01"/>
  </r>
  <r>
    <s v="HB-F-BAT-03"/>
    <s v="H-B 機能設計"/>
    <s v="設計書の執筆"/>
    <s v="要件から必要。どこのシステムと何を同期するかまとめて設計するような項目に仕立てたい。JWTや休眠パッチなどの領域をまとめる表紙みたいに立て付けたい"/>
    <x v="30"/>
    <x v="116"/>
    <s v="機能仕様書: システム間の整合突合（どのシステム間で何を合わせるかの一覧を含む）"/>
    <s v="システム間の情報のずれを 1 日 1 回突き合わせる処理。同期・整合突合設計書の表紙。顧客 IdP / SCIM ↔ 認証製品 ↔ 権限 DB の間で何を合わせるかの一覧を含む"/>
    <s v="→ 収載先: 同期・整合突合設計書。機能仕様書 1 本。突き合わせる対象と、差分の報告先が定義されレビュー承認済み"/>
    <n v="0.5"/>
    <s v="基盤チーム"/>
    <s v="アプリチーム"/>
    <s v="事故防止"/>
    <s v="伝えそこないを拾い直す仕組みが無いと、止めたつもりが止まっていない状態になる"/>
    <s v="対象"/>
    <s v="新規: 非機能・運用"/>
    <s v="HB-01 / HB-08"/>
    <s v="未着手"/>
    <s v="RB-USR-06"/>
    <s v="F-BAT-03"/>
  </r>
  <r>
    <s v="HB-F-BAT-02"/>
    <s v="H-B 機能設計"/>
    <s v="設計書の執筆"/>
    <s v="何を削除した時のどこからどこまでの伝播なのか"/>
    <x v="30"/>
    <x v="117"/>
    <s v="機能仕様書: 削除伝播リコンサイル（数分）"/>
    <s v="止めた事実が確実に伝わったかを短い間隔で突き合わせ、漏れを直す処理"/>
    <s v="機能仕様書 1 本。突き合わせの間隔と、ずれを見つけた場合の直し方が定義されレビュー承認済み"/>
    <n v="0.75"/>
    <s v="基盤チーム"/>
    <s v="アプリチーム"/>
    <s v="利用者が 1 箇所になり不要"/>
    <s v="伝えそこないを拾い直す仕組みだが、そもそも伝える処理が無くなるため拾い直す対象も無い"/>
    <s v="対象外：認証製品を 1 つに統合"/>
    <s v="新規: 非機能・運用"/>
    <s v="HB-01 / HB-08"/>
    <s v="未着手"/>
    <s v="ADR-064"/>
    <s v="F-BAT-02"/>
  </r>
  <r>
    <s v="HA-08"/>
    <s v="H-A 全体・方式設計"/>
    <s v="設計書の執筆"/>
    <s v="これは各項目に分けるか共通として設計すべきか検討してほしい"/>
    <x v="25"/>
    <x v="44"/>
    <s v="トランザクション・整合性方式設計"/>
    <s v="複数の処理をまとめて確定させる／取り消す仕組みの方針"/>
    <s v="方式設計。まとめる単位と、失敗時の戻し方が定まっている"/>
    <n v="2"/>
    <s v="基盤チーム"/>
    <s v="アプリチーム"/>
    <s v="横断（対象縮小）"/>
    <s v="【省略・吸収】HD-02 ストア間の整合方針に吸収。人日は復活時のために残す"/>
    <s v="対象外：省略・吸収"/>
    <s v="当初あり"/>
    <s v="—"/>
    <s v="未着手"/>
    <m/>
    <s v="NF-STD-01"/>
  </r>
  <r>
    <s v="HD-03"/>
    <s v="H-D データ設計"/>
    <s v="設計書の執筆"/>
    <s v="OK"/>
    <x v="20"/>
    <x v="26"/>
    <s v="Broker側スキーマの利用範囲整理（触らない範囲の明示）"/>
    <s v="認証製品が持つデータ構造のうち、利用する範囲と手を加えない範囲を整理する（Broker 側）"/>
    <s v="整理表。使う範囲と触らない範囲が明確で、独自変更をしない方針が示されている"/>
    <n v="2"/>
    <s v="基盤チーム"/>
    <s v="アプリチーム"/>
    <s v="製品機能"/>
    <s v="認証製品が持つ構造なので、我々は使う範囲を決めるだけでよい"/>
    <s v="対象"/>
    <s v="新規: 自社構築"/>
    <m/>
    <s v="未着手"/>
    <m/>
    <s v="F-AUTH-01"/>
  </r>
  <r>
    <s v="HD-04"/>
    <s v="H-D データ設計"/>
    <s v="設計書の執筆"/>
    <s v="OK"/>
    <x v="20"/>
    <x v="26"/>
    <s v="IdP-KC側スキーマの利用範囲整理"/>
    <s v="認証製品が持つデータ構造のうち、利用する範囲と手を加えない範囲を整理する（利用者収容側）"/>
    <s v="整理表。パスワードの保管場所を含め、触らない範囲が明確になっている"/>
    <n v="2"/>
    <s v="基盤チーム"/>
    <s v="基盤チーム"/>
    <s v="利用者が 1 箇所になり不要"/>
    <s v="収容側の製品スキーマの利用範囲整理。認証製品が 1 つになるため受付側（HD-03）に統合される"/>
    <s v="対象外：認証製品を 1 つに統合"/>
    <s v="当初あり"/>
    <m/>
    <s v="未着手"/>
    <m/>
    <s v="F-AUTH-01"/>
  </r>
  <r>
    <s v="HD-06"/>
    <s v="H-D データ設計"/>
    <s v="設計書の執筆"/>
    <s v="OK"/>
    <x v="17"/>
    <x v="86"/>
    <s v="authz系 論理ER図"/>
    <s v="自前で持つ権限データの構造を、業務の意味に沿って図にする"/>
    <s v="論理データ構造図。権限・組織・利用者の関係が示されている"/>
    <n v="3"/>
    <s v="アプリチーム"/>
    <s v="アプリチーム"/>
    <s v="業務ルール依存"/>
    <s v="権限の構造は業務ごとに違い、アプリが持てば基盤で描く必要が無くなる"/>
    <s v="対象"/>
    <s v="新規: 機能追加"/>
    <m/>
    <s v="未着手"/>
    <m/>
    <s v="F-AZ-01"/>
  </r>
  <r>
    <s v="HD-07"/>
    <s v="H-D データ設計"/>
    <s v="設計書の執筆"/>
    <s v="OK"/>
    <x v="17"/>
    <x v="86"/>
    <s v="authz系 物理ER図"/>
    <s v="自前で持つ権限データの構造を、実際の保管形に落とした図"/>
    <s v="物理データ構造図。テーブルと項目の対応が示されている"/>
    <n v="2"/>
    <s v="アプリチーム"/>
    <s v="アプリチーム"/>
    <s v="業務ルール依存"/>
    <s v="同上。権限をアプリが持てば図そのものが不要になる"/>
    <s v="対象"/>
    <s v="新規: 機能追加"/>
    <m/>
    <s v="未着手"/>
    <m/>
    <s v="F-AZ-01"/>
  </r>
  <r>
    <s v="HD-08"/>
    <s v="H-D データ設計"/>
    <s v="設計書の執筆"/>
    <s v="詳細設計か？"/>
    <x v="16"/>
    <x v="20"/>
    <s v="権限テーブル定義（使えるアプリ・役割・組織属性）"/>
    <s v="誰がどのアプリを使えるか、アプリ内でどんな役割かを保持する表の定義"/>
    <s v="表定義。項目・型・制約と、テナントをまたげない仕組みが定まっている"/>
    <n v="3"/>
    <s v="アプリチーム"/>
    <s v="アプリチーム"/>
    <s v="業務ルール依存"/>
    <s v="【省略・吸収】② 詳細設計 DDD-01 で計上（基本設計は ER 図まで）。人日は復活時のために残す"/>
    <s v="対象外：省略・吸収"/>
    <s v="新規: 機能追加"/>
    <m/>
    <s v="未着手"/>
    <m/>
    <s v="F-ADM-11"/>
  </r>
  <r>
    <s v="HD-09"/>
    <s v="H-D データ設計"/>
    <s v="設計書の執筆"/>
    <s v="詳細設計か？"/>
    <x v="16"/>
    <x v="48"/>
    <s v="idmapテーブル定義"/>
    <s v="顧客側の利用者番号と基盤側の識別子を対応づける表の定義"/>
    <s v="表定義。番号が変わった場合の履歴の持ち方も定まっている"/>
    <n v="2"/>
    <s v="アプリチーム"/>
    <s v="アプリチーム"/>
    <s v="業務データ"/>
    <s v="【省略・吸収】② 詳細設計 DDD-02 で計上。人日は復活時のために残す"/>
    <s v="対象外：省略・吸収"/>
    <s v="新規: 機能追加"/>
    <m/>
    <s v="未着手"/>
    <m/>
    <s v="F-PROV-16"/>
  </r>
  <r>
    <s v="HD-10"/>
    <s v="H-D データ設計"/>
    <s v="設計書の執筆"/>
    <s v="詳細設計か？"/>
    <x v="17"/>
    <x v="86"/>
    <s v="projectionテーブル定義"/>
    <s v="アプリが 1 回の問い合わせで読む参照用データの表の定義"/>
    <s v="表定義。更新の入力元と、古い情報を返さないための仕組みが定まっている"/>
    <n v="3"/>
    <s v="アプリチーム"/>
    <s v="アプリチーム"/>
    <s v="業務ルール依存"/>
    <s v="【省略・吸収】② 詳細設計 DDD-03 で計上。人日は復活時のために残す"/>
    <s v="対象外：省略・吸収"/>
    <s v="新規: 機能追加"/>
    <m/>
    <s v="未着手"/>
    <m/>
    <s v="F-AZ-01"/>
  </r>
  <r>
    <s v="HD-11"/>
    <s v="H-D データ設計"/>
    <s v="設計書の執筆"/>
    <s v="詳細設計か？"/>
    <x v="2"/>
    <x v="81"/>
    <s v="outboxテーブル定義"/>
    <s v="送信予定のイベントを記録しておく表の定義"/>
    <s v="表定義。送信済みの判定方法と、再送の管理方法が定まっている"/>
    <n v="2"/>
    <s v="基盤チーム"/>
    <s v="アプリチーム"/>
    <s v="利用者が 1 箇所になり不要"/>
    <s v="送信予定のイベントを記録する表。伝える処理が無くなるため、記録する必要も無い"/>
    <s v="対象外：認証製品を 1 つに統合"/>
    <s v="新規: 機能追加"/>
    <m/>
    <s v="未着手"/>
    <m/>
    <s v="F-PROV-12"/>
  </r>
  <r>
    <s v="HD-12"/>
    <s v="H-D データ設計"/>
    <s v="設計書の執筆"/>
    <s v="詳細設計か？"/>
    <x v="26"/>
    <x v="53"/>
    <s v="NHI台帳テーブル定義"/>
    <s v="人ではないシステム用アカウントを管理する台帳の表の定義"/>
    <s v="表定義。管理責任者と用途を必須とする仕組みが定まっている"/>
    <n v="2"/>
    <s v="基盤チーム"/>
    <s v="基盤チーム"/>
    <s v="法令・契約"/>
    <s v="【省略・吸収】② 詳細設計 DDD-05 で計上。人日は復活時のために残す"/>
    <s v="対象外：省略・吸収"/>
    <s v="新規: 機能追加"/>
    <m/>
    <s v="未着手"/>
    <m/>
    <s v="F-ADM-22"/>
  </r>
  <r>
    <s v="HD-13"/>
    <s v="H-D データ設計"/>
    <s v="設計書の執筆"/>
    <s v="詳細設計か？"/>
    <x v="29"/>
    <x v="114"/>
    <s v="同意記録テーブル定義"/>
    <s v="利用者から同意を得た記録と、撤回の記録を保持する表の定義"/>
    <s v="表定義。いつ何に同意したかを後から示せる項目が定まっている"/>
    <n v="2"/>
    <s v="要判断"/>
    <s v="アプリチーム"/>
    <s v="業務データ"/>
    <s v="【省略・吸収】② 詳細設計 DDD-06 で計上。人日は復活時のために残す"/>
    <s v="対象外：省略・吸収"/>
    <s v="新規: 機能追加"/>
    <m/>
    <s v="未着手"/>
    <m/>
    <s v="F-AUTH-28"/>
  </r>
  <r>
    <s v="HD-14"/>
    <s v="H-D データ設計"/>
    <s v="設計書の執筆"/>
    <s v="詳細設計か？"/>
    <x v="26"/>
    <x v="45"/>
    <s v="管理操作の記録テーブル定義（ブランド単位）"/>
    <s v="誰が何をしたかの記録を保持する表の定義。顧客のまとまりごとに分けて持つ"/>
    <s v="表定義。記録する項目と、他テナントの記録が混ざらない仕組みが定まっている"/>
    <n v="2"/>
    <s v="基盤チーム"/>
    <s v="基盤チーム"/>
    <s v="改ざん防止"/>
    <s v="【省略・吸収】② 詳細設計 DDD-07 で計上。人日は復活時のために残す"/>
    <s v="対象外：省略・吸収"/>
    <s v="新規: 非機能・運用"/>
    <m/>
    <s v="未着手"/>
    <m/>
    <s v="F-ADM-25"/>
  </r>
  <r>
    <s v="HD-19"/>
    <s v="H-D データ設計"/>
    <s v="設計書の執筆"/>
    <s v="OK"/>
    <x v="16"/>
    <x v="48"/>
    <s v="番号体系（利用者を識別する3段階）"/>
    <s v="利用者を識別する 3 段階の番号体系を決める"/>
    <s v="体系設計。3 段階それぞれの用途と作り方が定まっている"/>
    <n v="2"/>
    <s v="アプリチーム"/>
    <s v="アプリチーム"/>
    <s v="業務データ"/>
    <s v="対応づけの中身は顧客の社員番号体系そのもので、業務データにあたる"/>
    <s v="対象"/>
    <s v="新規: 機能追加"/>
    <m/>
    <s v="未着手"/>
    <m/>
    <s v="F-PROV-16"/>
  </r>
  <r>
    <s v="HD-20"/>
    <s v="H-D データ設計"/>
    <s v="設計書の執筆"/>
    <s v="OK"/>
    <x v="17"/>
    <x v="104"/>
    <s v="番号体系（テナント・ブランド）"/>
    <s v="顧客のまとまりとブランドを識別する番号体系を決める"/>
    <s v="体系設計。付け方と、重複しない仕組みが定まっている"/>
    <n v="1"/>
    <s v="基盤チーム"/>
    <s v="アプリチーム"/>
    <s v="事故防止"/>
    <s v="他の顧客のデータに手が届くと一度で信用を失うため、基盤で強制するしかない"/>
    <s v="対象"/>
    <s v="新規: 機能追加"/>
    <m/>
    <s v="未着手"/>
    <m/>
    <s v="F-AZ-05"/>
  </r>
  <r>
    <s v="HD-21"/>
    <s v="H-D データ設計"/>
    <s v="設計書の執筆"/>
    <s v="OK"/>
    <x v="21"/>
    <x v="27"/>
    <s v="値の一覧（登録経路の区分・状態）"/>
    <s v="登録経路の区分と、利用者の状態を表す値の一覧を決める"/>
    <s v="値の一覧。取りうる値がすべて列挙されている"/>
    <n v="2"/>
    <s v="基盤チーム"/>
    <s v="アプリチーム"/>
    <s v="認証の中核"/>
    <s v="どの経路で入った人かで扱いを変えるため、これが無いと後続が全て破綻する"/>
    <s v="対象"/>
    <s v="新規: 機能追加"/>
    <m/>
    <s v="未着手"/>
    <m/>
    <s v="F-PROV-09"/>
  </r>
  <r>
    <s v="HD-22"/>
    <s v="H-D データ設計"/>
    <s v="設計書の執筆"/>
    <s v="CRUD表ということか。KeycloakとそこからのCRUDなのか、権限やIdPも含むのかもう少し詳しく"/>
    <x v="7"/>
    <x v="115"/>
    <s v="機能とテーブルの CRUD 対応表（権限設計との突合を含む）"/>
    <s v="どの機能がどの表を作成・参照・更新・削除するかの対応表を作る。対象は権限 DB と認証製品の利用者属性（認証製品の標準表は触らない）"/>
    <s v="対応表。すべての表に少なくとも 1 つの機能が紐づいている"/>
    <n v="3"/>
    <s v="基盤チーム"/>
    <s v="アプリチーム"/>
    <s v="認証の中核"/>
    <s v="どのデータをどこに置くかの整理は、ストアが減っても必要"/>
    <s v="対象"/>
    <s v="新規: 機能追加"/>
    <m/>
    <s v="未着手"/>
    <m/>
    <s v="NF-MGT-04"/>
  </r>
  <r>
    <s v="HD-23"/>
    <s v="H-D データ設計"/>
    <s v="設計書の執筆"/>
    <s v="上記と同じにしていい"/>
    <x v="7"/>
    <x v="115"/>
    <s v="上記対応表と権限設計の突合"/>
    <s v="上記の対応表と権限の設計に食い違いがないかを突き合わせる"/>
    <s v="突合結果。権限がないのに更新できる組み合わせがないことが確認されている"/>
    <n v="2"/>
    <s v="アプリチーム"/>
    <s v="アプリチーム"/>
    <s v="事故防止"/>
    <s v="【省略・吸収】HD-22 に吸収。人日は復活時のために残す"/>
    <s v="対象外：省略・吸収"/>
    <s v="新規: 機能追加"/>
    <m/>
    <s v="未着手"/>
    <m/>
    <s v="NF-MGT-04"/>
  </r>
  <r>
    <s v="HD-25"/>
    <s v="H-D データ設計"/>
    <s v="設計書の執筆"/>
    <s v="authz系以外のインデックス設計などは不要か？Auroraのチューニングや設計方針が抜けてる"/>
    <x v="0"/>
    <x v="34"/>
    <s v="索引・分割・DB チューニング方針（権限 DB ＋ 認証製品 DB）"/>
    <s v="検索を速くするための索引と、大きな表の分割方法を決める。Aurora のパラメータ・接続プール方針・認証製品の標準表の索引方針を含む"/>
    <s v="索引・分割設計。想定する検索が目標時間内に収まる根拠がある"/>
    <n v="3"/>
    <s v="基盤チーム"/>
    <s v="アプリチーム"/>
    <s v="業務ルール依存"/>
    <s v="権限以外の自前データにも索引は要るため、対象が減るだけで消えはしない"/>
    <s v="対象"/>
    <s v="新規: 機能追加"/>
    <m/>
    <s v="未着手"/>
    <m/>
    <s v="NF-PRF-01"/>
  </r>
  <r>
    <s v="HE-01"/>
    <s v="H-E IF設計"/>
    <s v="設計書の執筆"/>
    <s v="構成図で整理するか別の方がいいか？"/>
    <x v="7"/>
    <x v="115"/>
    <s v="共通：IF 一覧（内部・同期／非同期）"/>
    <s v="システム内部で即時に呼び合う接続の一覧。内部の同期 IF と非同期 IF を 1 冊にまとめる"/>
    <s v="接続一覧。呼び出し元・先・目的が整理されている"/>
    <n v="2"/>
    <s v="基盤チーム"/>
    <s v="アプリチーム"/>
    <s v="認証の中核"/>
    <s v="つなぎ目の定義はアプリに渡すほど厳密さが要求され、むしろ重くなる"/>
    <s v="対象"/>
    <s v="新規: 機能追加"/>
    <s v="—"/>
    <s v="未着手"/>
    <m/>
    <s v="NF-MGT-04"/>
  </r>
  <r>
    <s v="HE-02"/>
    <s v="H-E IF設計"/>
    <s v="設計書の執筆"/>
    <s v="構成図で整理するか別の方がいいか？"/>
    <x v="7"/>
    <x v="115"/>
    <s v="IF一覧（内部・非同期）"/>
    <s v="システム内部で時間差を許して伝える接続の一覧"/>
    <s v="接続一覧。伝達経路と遅れの許容範囲が整理されている"/>
    <n v="2"/>
    <s v="基盤チーム"/>
    <s v="アプリチーム"/>
    <s v="認証の中核"/>
    <s v="【省略・吸収】HE-01 に吸収（内部 IF 一覧を 1 冊に）。人日は復活時のために残す"/>
    <s v="対象外：省略・吸収"/>
    <s v="新規: 機能追加"/>
    <s v="—"/>
    <s v="未着手"/>
    <m/>
    <s v="NF-MGT-04"/>
  </r>
  <r>
    <s v="HE-03"/>
    <s v="H-E IF設計"/>
    <s v="設計書の執筆"/>
    <s v="構成図で整理するか別の方がいいか？"/>
    <x v="7"/>
    <x v="115"/>
    <s v="共通：IF 一覧（外部）"/>
    <s v="外部システムとの接続の一覧"/>
    <s v="接続一覧。相手先・方式・データの向きが整理されている"/>
    <n v="2"/>
    <s v="基盤チーム"/>
    <s v="アプリチーム"/>
    <s v="認証の中核"/>
    <s v="つなぎ目の定義はアプリに渡すほど厳密さが要求され、むしろ重くなる"/>
    <s v="対象"/>
    <s v="新規: 機能追加"/>
    <s v="—"/>
    <s v="未着手"/>
    <m/>
    <s v="NF-MGT-04"/>
  </r>
  <r>
    <s v="HE-04a"/>
    <s v="H-E IF設計"/>
    <s v="設計書の執筆"/>
    <s v="OK"/>
    <x v="27"/>
    <x v="89"/>
    <s v="API 仕様書: 利用者の登録"/>
    <s v="管理画面から「利用者の登録」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3"/>
  </r>
  <r>
    <s v="HE-04b"/>
    <s v="H-E IF設計"/>
    <s v="設計書の執筆"/>
    <s v="OK"/>
    <x v="27"/>
    <x v="56"/>
    <s v="API 仕様書: 利用者の検索・一覧"/>
    <s v="管理画面から「利用者の検索・一覧」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1"/>
  </r>
  <r>
    <s v="HE-04c"/>
    <s v="H-E IF設計"/>
    <s v="設計書の執筆"/>
    <s v="OK"/>
    <x v="27"/>
    <x v="88"/>
    <s v="API 仕様書: 利用者の詳細参照"/>
    <s v="管理画面から「利用者の詳細参照」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2"/>
  </r>
  <r>
    <s v="HE-04d"/>
    <s v="H-E IF設計"/>
    <s v="設計書の執筆"/>
    <s v="OK"/>
    <x v="27"/>
    <x v="90"/>
    <s v="API 仕様書: 利用者の変更"/>
    <s v="管理画面から「利用者の変更」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4"/>
  </r>
  <r>
    <s v="HE-04e"/>
    <s v="H-E IF設計"/>
    <s v="設計書の執筆"/>
    <s v="OK"/>
    <x v="27"/>
    <x v="91"/>
    <s v="API 仕様書: 利用可否の切替"/>
    <s v="管理画面から「利用可否の切替」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非機能・運用"/>
    <s v="—"/>
    <s v="未着手"/>
    <m/>
    <s v="F-ADM-05"/>
  </r>
  <r>
    <s v="HE-04f"/>
    <s v="H-E IF設計"/>
    <s v="設計書の執筆"/>
    <s v="OK"/>
    <x v="27"/>
    <x v="92"/>
    <s v="API 仕様書: 利用者の削除"/>
    <s v="管理画面から「利用者の削除」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6"/>
  </r>
  <r>
    <s v="HE-04g"/>
    <s v="H-E IF設計"/>
    <s v="設計書の執筆"/>
    <s v="OK"/>
    <x v="4"/>
    <x v="93"/>
    <s v="API 仕様書: パスワード初期化"/>
    <s v="管理画面から「パスワード初期化」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7"/>
  </r>
  <r>
    <s v="HE-04h"/>
    <s v="H-E IF設計"/>
    <s v="設計書の執筆"/>
    <s v="OK"/>
    <x v="15"/>
    <x v="68"/>
    <s v="API 仕様書: 追加認証の解除"/>
    <s v="管理画面から「追加認証の解除」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非機能・運用"/>
    <s v="—"/>
    <s v="未着手"/>
    <m/>
    <s v="F-ADM-09"/>
  </r>
  <r>
    <s v="HE-04i"/>
    <s v="H-E IF設計"/>
    <s v="設計書の執筆"/>
    <s v="OK"/>
    <x v="24"/>
    <x v="39"/>
    <s v="API 仕様書: 強制ログアウト"/>
    <s v="管理画面から「強制ログアウト」を行うための接続仕様（入力・出力・エラー時の返し方）を決める"/>
    <s v="仕様 1 本。入力項目・応答・エラー時の返し方が定義されレビュー承認済み"/>
    <n v="0.5"/>
    <s v="基盤チーム"/>
    <s v="アプリチーム"/>
    <s v="事故防止"/>
    <s v="乗っ取り時に即座に切れないと被害が広がるため、基盤が確実に握る"/>
    <s v="対象"/>
    <s v="新規: 非機能・運用"/>
    <s v="—"/>
    <s v="未着手"/>
    <m/>
    <s v="F-ADM-10"/>
  </r>
  <r>
    <s v="HE-04j"/>
    <s v="H-E IF設計"/>
    <s v="設計書の執筆"/>
    <s v="OK"/>
    <x v="27"/>
    <x v="94"/>
    <s v="API 仕様書: 利用者の招待"/>
    <s v="管理画面から「利用者の招待」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4k"/>
    <s v="H-E IF設計"/>
    <s v="設計書の執筆"/>
    <s v="OK"/>
    <x v="27"/>
    <x v="57"/>
    <s v="API 仕様書: 一括登録"/>
    <s v="管理画面から「一括登録」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20"/>
  </r>
  <r>
    <s v="HE-04l"/>
    <s v="H-E IF設計"/>
    <s v="設計書の執筆"/>
    <s v="OK"/>
    <x v="27"/>
    <x v="58"/>
    <s v="API 仕様書: ファイル出力"/>
    <s v="管理画面から「ファイル出力」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21"/>
  </r>
  <r>
    <s v="HE-05a"/>
    <s v="H-E IF設計"/>
    <s v="設計書の執筆"/>
    <s v="OK"/>
    <x v="16"/>
    <x v="20"/>
    <s v="API 仕様書: 使えるアプリの割当"/>
    <s v="「使えるアプリの割当」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b"/>
    <s v="H-E IF設計"/>
    <s v="設計書の執筆"/>
    <s v="OK"/>
    <x v="16"/>
    <x v="20"/>
    <s v="API 仕様書: 使えるアプリの割当解除"/>
    <s v="「使えるアプリの割当解除」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c"/>
    <s v="H-E IF設計"/>
    <s v="設計書の執筆"/>
    <s v="OK"/>
    <x v="16"/>
    <x v="96"/>
    <s v="API 仕様書: アプリ内の役割の割当"/>
    <s v="「アプリ内の役割の割当」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5d"/>
    <s v="H-E IF設計"/>
    <s v="設計書の執筆"/>
    <s v="OK"/>
    <x v="16"/>
    <x v="96"/>
    <s v="API 仕様書: アプリ内の役割の解除"/>
    <s v="「アプリ内の役割の解除」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5e"/>
    <s v="H-E IF設計"/>
    <s v="設計書の執筆"/>
    <s v="OK"/>
    <x v="16"/>
    <x v="20"/>
    <s v="API 仕様書: 権限のまとめ設定"/>
    <s v="「権限のまとめ設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f"/>
    <s v="H-E IF設計"/>
    <s v="設計書の執筆"/>
    <s v="OK"/>
    <x v="16"/>
    <x v="102"/>
    <s v="API 仕様書: 権限の棚卸しの開始"/>
    <s v="「権限の棚卸しの開始」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9"/>
  </r>
  <r>
    <s v="HE-05g"/>
    <s v="H-E IF設計"/>
    <s v="設計書の執筆"/>
    <s v="OK"/>
    <x v="23"/>
    <x v="98"/>
    <s v="API 仕様書: 組織属性の設定"/>
    <s v="「組織属性の設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3"/>
  </r>
  <r>
    <s v="HE-05h"/>
    <s v="H-E IF設計"/>
    <s v="設計書の執筆"/>
    <s v="OK"/>
    <x v="16"/>
    <x v="20"/>
    <s v="API 仕様書: 権限のひな形の適用"/>
    <s v="「権限のひな形の適用」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i"/>
    <s v="H-E IF設計"/>
    <s v="設計書の執筆"/>
    <s v="OK"/>
    <x v="16"/>
    <x v="102"/>
    <s v="API 仕様書: 権限の付与履歴の照会"/>
    <s v="「権限の付与履歴の照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9"/>
  </r>
  <r>
    <s v="HE-05j"/>
    <s v="H-E IF設計"/>
    <s v="設計書の執筆"/>
    <s v="OK"/>
    <x v="16"/>
    <x v="20"/>
    <s v="API 仕様書: 権限設定の一括取り込み"/>
    <s v="「権限設定の一括取り込み」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6a"/>
    <s v="H-E IF設計"/>
    <s v="設計書の執筆"/>
    <s v="OK"/>
    <x v="17"/>
    <x v="86"/>
    <s v="API 仕様書: 権限情報の一括取得"/>
    <s v="「権限情報の一括取得」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Z-01"/>
  </r>
  <r>
    <s v="HE-06b"/>
    <s v="H-E IF設計"/>
    <s v="設計書の執筆"/>
    <s v="OK"/>
    <x v="17"/>
    <x v="87"/>
    <s v="API 仕様書: 使えるアプリ一覧の取得"/>
    <s v="「使えるアプリ一覧の取得」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Z-02"/>
  </r>
  <r>
    <s v="HE-06c"/>
    <s v="H-E IF設計"/>
    <s v="設計書の執筆"/>
    <s v="OK"/>
    <x v="27"/>
    <x v="88"/>
    <s v="API 仕様書: 利用者の詳細参照"/>
    <s v="「利用者の詳細参照」を行うための接続仕様（入力・出力・エラー時の返し方）を決める"/>
    <s v="仕様 1 本。取得できる情報・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2"/>
  </r>
  <r>
    <s v="HE-06d"/>
    <s v="H-E IF設計"/>
    <s v="設計書の執筆"/>
    <s v="OK"/>
    <x v="16"/>
    <x v="20"/>
    <s v="API 仕様書: 権限の割当の照会"/>
    <s v="「権限の割当の照会」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6e"/>
    <s v="H-E IF設計"/>
    <s v="設計書の執筆"/>
    <s v="OK"/>
    <x v="16"/>
    <x v="96"/>
    <s v="API 仕様書: アプリ内の役割の照会"/>
    <s v="「アプリ内の役割の照会」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6f"/>
    <s v="H-E IF設計"/>
    <s v="設計書の執筆"/>
    <s v="OK"/>
    <x v="16"/>
    <x v="48"/>
    <s v="API 仕様書: 顧客番号の対応づけの照会"/>
    <s v="「顧客番号の対応づけの照会」を行うための接続仕様（入力・出力・エラー時の返し方）を決める"/>
    <s v="仕様 1 本。取得できる情報・応答・エラー時の返し方が定義されレビュー承認済み"/>
    <n v="0.5"/>
    <s v="アプリチーム"/>
    <s v="アプリチーム"/>
    <s v="業務データ"/>
    <s v="対応づけの中身は顧客の社員番号体系そのもので、業務データにあたる"/>
    <s v="対象"/>
    <s v="新規: 機能追加"/>
    <s v="—"/>
    <s v="未着手"/>
    <m/>
    <s v="F-PROV-16"/>
  </r>
  <r>
    <s v="HE-06g"/>
    <s v="H-E IF設計"/>
    <s v="設計書の執筆"/>
    <s v="OK"/>
    <x v="27"/>
    <x v="94"/>
    <s v="API 仕様書: 招待の状況の照会"/>
    <s v="「招待の状況の照会」を行うための接続仕様（入力・出力・エラー時の返し方）を決める"/>
    <s v="仕様 1 本。取得できる情報・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6h"/>
    <s v="H-E IF設計"/>
    <s v="設計書の執筆"/>
    <s v="OK"/>
    <x v="26"/>
    <x v="46"/>
    <s v="API 仕様書: 記録の照会"/>
    <s v="「記録の照会」を行うための接続仕様（入力・出力・エラー時の返し方）を決める"/>
    <s v="仕様 1 本。取得できる情報・応答・エラー時の返し方が定義されレビュー承認済み"/>
    <n v="0.5"/>
    <s v="基盤チーム"/>
    <s v="基盤チーム"/>
    <s v="改ざん防止"/>
    <s v="記録する側と操作する側を分けないと、記録の意味が無くなる"/>
    <s v="対象"/>
    <s v="新規: 非機能・運用"/>
    <s v="—"/>
    <s v="未着手"/>
    <m/>
    <s v="F-ADM-18"/>
  </r>
  <r>
    <s v="HE-07"/>
    <s v="H-E IF設計"/>
    <s v="設計書の執筆"/>
    <s v="OK"/>
    <x v="17"/>
    <x v="118"/>
    <s v="API認可スコープ対応表（idm:*）"/>
    <s v="接続ごとに必要な権限の対応表"/>
    <s v="対応表。すべての接続に必要権限が紐づいている"/>
    <n v="3"/>
    <s v="基盤チーム"/>
    <s v="アプリチーム"/>
    <s v="認証の中核"/>
    <s v="つなぎ目の定義はアプリに渡すほど厳密さが要求され、むしろ重くなる"/>
    <s v="対象"/>
    <s v="新規: 機能追加"/>
    <s v="—"/>
    <s v="未着手"/>
    <m/>
    <s v="F-AZ-10"/>
  </r>
  <r>
    <s v="HE-21a"/>
    <s v="H-E IF設計"/>
    <s v="設計書の執筆"/>
    <s v="OK"/>
    <x v="23"/>
    <x v="99"/>
    <s v="API 仕様書: 顧客を新規に作る"/>
    <s v="「顧客を新規に作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4"/>
  </r>
  <r>
    <s v="HE-21b"/>
    <s v="H-E IF設計"/>
    <s v="設計書の執筆"/>
    <s v="OK"/>
    <x v="23"/>
    <x v="100"/>
    <s v="API 仕様書: 顧客ごとの設定を変える"/>
    <s v="「顧客ごとの設定を変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5"/>
  </r>
  <r>
    <s v="HE-21c"/>
    <s v="H-E IF設計"/>
    <s v="設計書の執筆"/>
    <s v="OK"/>
    <x v="23"/>
    <x v="100"/>
    <s v="API 仕様書: 顧客の一覧・詳細を取る"/>
    <s v="「顧客の一覧・詳細を取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5"/>
  </r>
  <r>
    <s v="HE-21d"/>
    <s v="H-E IF設計"/>
    <s v="設計書の執筆"/>
    <s v="OK"/>
    <x v="11"/>
    <x v="13"/>
    <s v="API 仕様書: 接続先を新規に登録する"/>
    <s v="「接続先を新規に登録する」を行うための接続仕様（入力・出力・エラー時の返し方）を決める。運用側の登録の仕組み（オンボーディングの仕掛け）との役割分担を仕様に含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6"/>
  </r>
  <r>
    <s v="HE-21e"/>
    <s v="H-E IF設計"/>
    <s v="設計書の執筆"/>
    <s v="OK"/>
    <x v="11"/>
    <x v="101"/>
    <s v="API 仕様書: 接続先の設定を変える"/>
    <s v="「接続先の設定を変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7"/>
  </r>
  <r>
    <s v="HE-21f"/>
    <s v="H-E IF設計"/>
    <s v="設計書の執筆"/>
    <s v="OK"/>
    <x v="11"/>
    <x v="101"/>
    <s v="API 仕様書: 接続先の証明書を入れ替える"/>
    <s v="「接続先の証明書を入れ替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7"/>
  </r>
  <r>
    <s v="HE-09"/>
    <s v="H-E IF設計"/>
    <s v="設計書の執筆"/>
    <s v="どこからどこへ、どのような利用者情報なのかわからない"/>
    <x v="1"/>
    <x v="1"/>
    <s v="SCIM 受信仕様（顧客の人事システム・IdP → 本基盤：窓口・項目の対応づけ・絞り込み・削除の無効化読み替え）"/>
    <s v="顧客システムから利用者情報を受け取る接続の仕様。認証製品の標準 SCIM 受信は使わず（成熟度不足）、受信窓口は自作またはプラグインの方針"/>
    <s v="仕様書。受け取れる項目と検索の方法が定まっている"/>
    <n v="4"/>
    <s v="基盤チーム"/>
    <s v="アプリチーム"/>
    <s v="認証の中核"/>
    <s v="つなぎ目の定義はアプリに渡すほど厳密さが要求され、むしろ重くなる"/>
    <s v="対象"/>
    <s v="新規: 機能追加"/>
    <s v="—"/>
    <s v="未着手"/>
    <m/>
    <s v="F-PROV-03"/>
  </r>
  <r>
    <s v="HE-10"/>
    <s v="H-E IF設計"/>
    <s v="設計書の執筆"/>
    <s v="これは最初からその想定で設計すれば不要なのでは"/>
    <x v="1"/>
    <x v="74"/>
    <s v="削除通知を「消さずに無効化」へ読み替える仕様"/>
    <s v="削除通知を「消さずに止める」に読み替える仕様"/>
    <s v="仕様書。読み替えの規則が明記されている"/>
    <n v="2"/>
    <s v="基盤チーム"/>
    <s v="アプリチーム"/>
    <s v="後から追加可能"/>
    <s v="【省略・吸収】HE-09 に吸収（最初から仕様に含める）。人日は復活時のために残す"/>
    <s v="対象外：省略・吸収"/>
    <s v="新規: 機能追加"/>
    <s v="—"/>
    <s v="未着手"/>
    <m/>
    <s v="F-PROV-05"/>
  </r>
  <r>
    <s v="HE-11"/>
    <s v="H-E IF設計"/>
    <s v="設計書の執筆"/>
    <s v="OK"/>
    <x v="2"/>
    <x v="81"/>
    <s v="イベントIF（EventBridgeスキーマ2本）"/>
    <s v="アカウントをまたいで伝えるイベントの中身の定義"/>
    <s v="イベント定義。2 種類それぞれの項目が定まっている"/>
    <n v="3"/>
    <s v="基盤チーム"/>
    <s v="アプリチーム"/>
    <s v="利用者が 1 箇所になり不要"/>
    <s v="アカウントをまたいで受け渡すイベントの形式定義。またぐ経路が無くなる"/>
    <s v="対象外：認証製品を 1 つに統合"/>
    <s v="新規: 機能追加"/>
    <s v="—"/>
    <s v="未着手"/>
    <m/>
    <s v="F-PROV-12"/>
  </r>
  <r>
    <s v="HE-12"/>
    <s v="H-E IF設計"/>
    <s v="設計書の執筆"/>
    <s v="outboxとは具体的に何か"/>
    <x v="2"/>
    <x v="81"/>
    <s v="イベントIF（outbox仕様）"/>
    <s v="送信予定を記録しておく仕組みのデータ仕様"/>
    <s v="仕様書。記録する項目と送信済みの判定方法が定まっている"/>
    <n v="2"/>
    <s v="基盤チーム"/>
    <s v="アプリチーム"/>
    <s v="利用者が 1 箇所になり不要"/>
    <s v="送信予定を記録しておく仕組みの仕様。同上"/>
    <s v="対象外：認証製品を 1 つに統合"/>
    <s v="新規: 機能追加"/>
    <s v="—"/>
    <s v="未着手"/>
    <m/>
    <s v="F-PROV-12"/>
  </r>
  <r>
    <s v="HE-13"/>
    <s v="H-E IF設計"/>
    <s v="設計書の執筆"/>
    <s v="まだブレイクダウンが足りていないか"/>
    <x v="6"/>
    <x v="109"/>
    <s v="Webhook仕様（7種・署名・再送）"/>
    <s v="アプリへ変更を通知する仕組みの仕様。内訳: イベント 7 種と本文 / 署名（HMAC）/ 再送と順序"/>
    <s v="仕様書。7 種類の通知内容・署名・再送条件が定まっている"/>
    <n v="3"/>
    <s v="要判断"/>
    <s v="アプリチーム"/>
    <s v="代替手段あり"/>
    <s v="Webhook の送信は基盤・受信はアプリを想定。送信も含めて両方アプリに任せる案もあり協議"/>
    <s v="対象"/>
    <s v="新規: 機能追加"/>
    <s v="—"/>
    <s v="未着手"/>
    <m/>
    <s v="F-INT-04"/>
  </r>
  <r>
    <s v="HE-14"/>
    <s v="H-E IF設計"/>
    <s v="設計書の執筆"/>
    <s v="OK。ただ、まだブレイクダウンできそうか？"/>
    <x v="3"/>
    <x v="3"/>
    <s v="認証プロトコルIF（OIDCエンドポイント・クレーム）"/>
    <s v="標準方式の認証連携で、やり取りする情報の仕様。内訳: 認可エンドポイント / トークンエンドポイント / クレーム / ログアウト"/>
    <s v="仕様書。接続先の情報と、渡す項目が定まっている"/>
    <n v="4"/>
    <s v="基盤チーム"/>
    <s v="基盤チーム"/>
    <s v="認証の中核"/>
    <s v="顧客の認証システムへ委ねる中核で、これが無いと基盤の存在理由が無い"/>
    <s v="対象"/>
    <s v="当初あり"/>
    <s v="—"/>
    <s v="未着手"/>
    <m/>
    <s v="F-AUTH-05"/>
  </r>
  <r>
    <s v="HE-15"/>
    <s v="H-E IF設計"/>
    <s v="設計書の執筆"/>
    <s v="OK。ただ、まだブレイクダウンできそうか？"/>
    <x v="3"/>
    <x v="4"/>
    <s v="認証プロトコルIF（SAMLメタデータ・Assertion）"/>
    <s v="旧方式の認証連携で、やり取りする情報の仕様。内訳: メタデータ / Assertion / シングルログアウト"/>
    <s v="仕様書。接続情報の受け渡し方と項目が定まっている"/>
    <n v="4"/>
    <s v="基盤チーム"/>
    <s v="基盤チーム"/>
    <s v="認証の中核"/>
    <s v="顧客の認証システムへ委ねる中核で、これが無いと基盤の存在理由が無い"/>
    <s v="対象"/>
    <s v="当初あり"/>
    <s v="—"/>
    <s v="未着手"/>
    <m/>
    <s v="F-AUTH-06"/>
  </r>
  <r>
    <s v="HE-16"/>
    <s v="H-E IF設計"/>
    <s v="設計書の執筆"/>
    <s v="OK。ただ、まだブレイクダウンできそうか？"/>
    <x v="19"/>
    <x v="25"/>
    <s v="外部IF ServiceNow"/>
    <s v="業務システムとの接続仕様。内訳: SSO / JIT 属性 / ログアウト"/>
    <s v="仕様書。相手側の設定要件が明記されている"/>
    <n v="4"/>
    <s v="基盤チーム"/>
    <s v="アプリチーム"/>
    <s v="後から追加可能"/>
    <s v="連携先は 1 つで、無くても認証基盤としては成立する"/>
    <s v="対象"/>
    <s v="新規: 機能追加"/>
    <s v="—"/>
    <s v="要件確認"/>
    <m/>
    <s v="F-INT-01"/>
  </r>
  <r>
    <s v="HE-18a"/>
    <s v="H-E IF設計"/>
    <s v="設計書の執筆"/>
    <m/>
    <x v="22"/>
    <x v="72"/>
    <s v="外部 IF 漏えいパスワード検知（HIBP）"/>
    <s v="外部サービス（メール送信・流出確認）との接続仕様"/>
    <s v="仕様書。呼び出し条件と失敗時の扱いが定まっている"/>
    <n v="1"/>
    <s v="基盤チーム"/>
    <s v="基盤チーム"/>
    <s v="製品機能"/>
    <s v="パスワード再設定などの定型メールは認証製品が送るため、基盤側に残る"/>
    <s v="対象"/>
    <s v="新規: 規模"/>
    <s v="—"/>
    <s v="要件確認"/>
    <m/>
    <s v="F-AUTH-22"/>
  </r>
  <r>
    <s v="HE-18b"/>
    <s v="H-E IF設計"/>
    <s v="設計書の執筆"/>
    <m/>
    <x v="6"/>
    <x v="19"/>
    <s v="外部 IF メール送信（SES）"/>
    <s v="外部サービス（メール送信・流出確認）との接続仕様"/>
    <s v="仕様書。呼び出し条件と失敗時の扱いが定まっている"/>
    <n v="1"/>
    <s v="基盤チーム"/>
    <s v="基盤チーム"/>
    <s v="製品機能"/>
    <s v="パスワード再設定などの定型メールは認証製品が送るため、基盤側に残る"/>
    <s v="対象"/>
    <s v="新規: 規模"/>
    <s v="—"/>
    <s v="要件確認"/>
    <m/>
    <s v="F-INT-07"/>
  </r>
  <r>
    <s v="HE-19a"/>
    <s v="H-E IF設計"/>
    <s v="設計書の執筆"/>
    <s v="鍵や証明書は一覧を作ってその下に合わせてほしい"/>
    <x v="8"/>
    <x v="33"/>
    <s v="鍵・証明書一覧：署名に使う鍵"/>
    <s v="トークンに署名する鍵の一覧と、入れ替えの手順を整理する"/>
    <s v="→ 収載先: 鍵・証明書管理設計書。一覧と手順。鍵の種類・保管場所・入れ替え周期が定まっている"/>
    <n v="1"/>
    <s v="基盤チーム"/>
    <s v="基盤チーム"/>
    <s v="事故防止"/>
    <s v="入れ替えを止めると、漏れた鍵がいつまでも有効なままになる"/>
    <s v="対象"/>
    <s v="新規: 非機能・運用"/>
    <s v="—"/>
    <s v="未着手"/>
    <m/>
    <s v="NF-SEC-02"/>
  </r>
  <r>
    <s v="HE-19b"/>
    <s v="H-E IF設計"/>
    <s v="設計書の執筆"/>
    <s v="鍵や証明書は一覧を作ってその下に合わせてほしい"/>
    <x v="8"/>
    <x v="33"/>
    <s v="鍵・証明書一覧：通信を暗号化する証明書"/>
    <s v="通信を暗号化するための証明書の一覧と、更新の手順を整理する"/>
    <s v="→ 収載先: 鍵・証明書管理設計書。一覧と手順。対象・発行元・期限が定まっている"/>
    <n v="1"/>
    <s v="基盤チーム"/>
    <s v="アプリチーム"/>
    <s v="事故防止"/>
    <s v="切れると通信そのものが成立しなくなるため、期限の管理は外せない"/>
    <s v="対象"/>
    <s v="新規: 機能追加"/>
    <s v="—"/>
    <s v="未着手"/>
    <m/>
    <s v="NF-SEC-02"/>
  </r>
  <r>
    <s v="HE-19c"/>
    <s v="H-E IF設計"/>
    <s v="設計書の執筆"/>
    <s v="鍵や証明書は一覧を作ってその下に合わせてほしい"/>
    <x v="8"/>
    <x v="33"/>
    <s v="鍵・証明書一覧：システム同士が相互に確認する証明書"/>
    <s v="システム同士が相互に確認し合うための証明書の一覧を整理する"/>
    <s v="→ 収載先: 鍵・証明書管理設計書。一覧。対象の経路と入れ替え手順が定まっている"/>
    <n v="1"/>
    <s v="基盤チーム"/>
    <s v="アプリチーム"/>
    <s v="事故防止"/>
    <s v="相互に確認し合う経路が切れると、内部の連携が止まる"/>
    <s v="対象"/>
    <s v="新規: 機能追加"/>
    <s v="—"/>
    <s v="未着手"/>
    <m/>
    <s v="NF-SEC-02"/>
  </r>
  <r>
    <s v="HE-19d"/>
    <s v="H-E IF設計"/>
    <s v="設計書の執筆"/>
    <s v="鍵や証明書は一覧を作ってその下に合わせてほしい"/>
    <x v="8"/>
    <x v="33"/>
    <s v="鍵・証明書一覧：顧客から受け取る証明書"/>
    <s v="顧客の認証システムから受け取る証明書の一覧と、更新の受付手順を整理する"/>
    <s v="→ 収載先: 鍵・証明書管理設計書。一覧と手順。顧客ごとの期限と、更新依頼の受け方が定まっている"/>
    <n v="1"/>
    <s v="基盤チーム"/>
    <s v="アプリチーム"/>
    <s v="事故防止"/>
    <s v="切れると全顧客のログインが黙って止まるため、期限の監視は外せない"/>
    <s v="対象"/>
    <s v="新規: 機能追加"/>
    <s v="—"/>
    <s v="未着手"/>
    <m/>
    <s v="NF-SEC-02"/>
  </r>
  <r>
    <s v="HA-26"/>
    <s v="H-A 全体・方式設計"/>
    <s v="設計書の執筆"/>
    <s v="共通：としたい"/>
    <x v="8"/>
    <x v="33"/>
    <s v="共通：鍵管理設計書（3 階層の鍵と暗号化の境界）"/>
    <s v="暗号化に使う鍵を、種類ごとにどう管理するかの設計"/>
    <s v="→ 収載先: 鍵・証明書管理設計書。鍵管理設計書。鍵の種類・保管場所・入れ替え周期が定まっている"/>
    <n v="3"/>
    <s v="基盤チーム"/>
    <s v="基盤チーム"/>
    <s v="事故防止"/>
    <s v="入れ替えを止めると、漏れた鍵がいつまでも有効なままになる"/>
    <s v="対象"/>
    <s v="新規: 非機能・運用"/>
    <s v="—"/>
    <s v="未着手"/>
    <m/>
    <s v="NF-SEC-02"/>
  </r>
  <r>
    <s v="HB-F-BAT-04"/>
    <s v="H-B 機能設計"/>
    <s v="設計書の執筆"/>
    <s v="ローテが必要な情報をまとめてそのなかで設計したい.行はこれでいいがソートや成果物でまとめたい"/>
    <x v="31"/>
    <x v="119"/>
    <s v="機能仕様書: JWT署名鍵ローテ"/>
    <s v="通行証の署名に使う鍵を定期的に入れ替える処理。切り替え中も止めないための並走期間を含む"/>
    <s v="→ 収載先: 鍵・証明書管理設計書。機能仕様書 1 本。入れ替え周期・並走期間と、失敗時の手動手順が定義されレビュー承認済み"/>
    <n v="0.5"/>
    <s v="基盤チーム"/>
    <s v="基盤チーム"/>
    <s v="事故防止"/>
    <s v="入れ替えを止めると、漏れた鍵がいつまでも有効なままになる"/>
    <s v="対象"/>
    <s v="新規: 非機能・運用"/>
    <s v="HB-01 / HB-08"/>
    <s v="未着手"/>
    <s v="ADR-045、DU-U7-02"/>
    <s v="F-BAT-04"/>
  </r>
  <r>
    <s v="HB-F-BAT-05"/>
    <s v="H-B 機能設計"/>
    <s v="設計書の執筆"/>
    <s v="ローテが必要な情報をまとめてそのなかで設計したい.行はこれでいいがソートや成果物でまとめたい"/>
    <x v="31"/>
    <x v="120"/>
    <s v="機能仕様書: client_secretローテ"/>
    <s v="アプリごとの接続用パスワードを定期的に入れ替える処理"/>
    <s v="→ 収載先: 鍵・証明書管理設計書。機能仕様書 1 本。入れ替え周期と、切り替え中に接続が切れないための扱いが定義されレビュー承認済み"/>
    <n v="0.5"/>
    <s v="基盤チーム"/>
    <s v="基盤チーム"/>
    <s v="事故防止"/>
    <s v="入れ替えを止めると、漏れた鍵がいつまでも有効なままになる"/>
    <s v="対象"/>
    <s v="新規: 非機能・運用"/>
    <s v="HB-01 / HB-08"/>
    <s v="未着手"/>
    <s v="D-U7-10b、DU-U7-12"/>
    <s v="F-BAT-05"/>
  </r>
  <r>
    <s v="HB-F-BAT-07"/>
    <s v="H-B 機能設計"/>
    <s v="設計書の執筆"/>
    <s v="管理すべき証明書もローテが必要な情報としてまとめてほしい。行はこれでいいが設計書はまとめたい"/>
    <x v="31"/>
    <x v="121"/>
    <s v="機能仕様書: 証明書期限監視・通知"/>
    <s v="証明書の期限切れが近いものを検出して通知する処理"/>
    <s v="→ 収載先: 鍵・証明書管理設計書。機能仕様書 1 本。通知するタイミングと、通知先が定義されレビュー承認済み"/>
    <n v="0.5"/>
    <s v="基盤チーム"/>
    <s v="基盤チーム"/>
    <s v="事故防止"/>
    <s v="切れると全顧客のログインが黙って止まるため、期限の監視は外せない"/>
    <s v="対象"/>
    <s v="新規: 非機能・運用"/>
    <s v="HB-01 / HB-08"/>
    <s v="未着手"/>
    <s v="D-12"/>
    <s v="F-BAT-07"/>
  </r>
  <r>
    <s v="D-12"/>
    <s v="D-12"/>
    <s v="調査・計画"/>
    <s v="どこの証明書を入れるかも明らかにしておきたい"/>
    <x v="11"/>
    <x v="101"/>
    <s v="証明書（顧客 IdP の SAML 署名・本基盤の SAML 署名・TLS）を止めずに入れ替える運用手順"/>
    <s v="接続先の証明書を止めずに入れ替えるための運用手順を決める"/>
    <s v="→ 収載先: 鍵・証明書管理設計書。決定記録。自動追随が使えない場合の手動手順も含む"/>
    <n v="3"/>
    <s v="基盤チーム"/>
    <s v="基盤チーム"/>
    <s v="代替手段あり"/>
    <s v="通常のシステム監視と手動更新で代替でき、無くても認証は止まらない"/>
    <s v="対象"/>
    <s v="新規: 機能追加"/>
    <s v="A-9"/>
    <s v="未着手"/>
    <m/>
    <s v="F-ADM-17"/>
  </r>
  <r>
    <s v="G-1.5"/>
    <s v="G-1 Runbook"/>
    <s v="ガイド・手順書の執筆"/>
    <s v="OK"/>
    <x v="31"/>
    <x v="119"/>
    <s v="手順書: 鍵の緊急入れ替え"/>
    <s v="鍵を緊急で入れ替えるときの手順を手順書にする"/>
    <s v="→ 収載先: 鍵・証明書管理設計書。手順書。入れ替え中の影響と復旧確認まで書かれている"/>
    <n v="1"/>
    <s v="基盤チーム"/>
    <s v="基盤チーム"/>
    <s v="事故防止"/>
    <s v="入れ替えを止めると、漏れた鍵がいつまでも有効なままになる"/>
    <s v="対象"/>
    <s v="新規: 非機能・運用"/>
    <s v="—"/>
    <s v="未着手"/>
    <m/>
    <s v="F-BAT-04"/>
  </r>
  <r>
    <s v="HF-05"/>
    <s v="H-F バッチ設計"/>
    <s v="設計書の執筆"/>
    <s v="OK"/>
    <x v="9"/>
    <x v="122"/>
    <s v="バッチ仕様書（証明書ローテ・NHI孤立・recert）"/>
    <s v="鍵・証明書・権限見直しに関する定期処理の仕様"/>
    <s v="仕様書 5 本。実行周期と通知先が定まっている"/>
    <n v="2.5"/>
    <s v="基盤チーム"/>
    <s v="アプリチーム"/>
    <s v="認証の中核"/>
    <s v="【省略・吸収】HB-F-BAT-04 / 05 / 07 の機能仕様書に吸収。人日は復活時のために残す"/>
    <s v="対象外：省略・吸収"/>
    <s v="新規: 機能追加"/>
    <s v="HF-01"/>
    <s v="未着手"/>
    <m/>
    <s v="NF-OPS-06"/>
  </r>
  <r>
    <s v="HE-20"/>
    <s v="H-E IF設計"/>
    <s v="設計書の執筆"/>
    <s v="OK"/>
    <x v="10"/>
    <x v="11"/>
    <s v="FQDN・DNS一覧（公開 + 内部PHZ）（新規）"/>
    <s v="使用するアドレス名の一覧と、内外での解決方法の違い"/>
    <s v="一覧。用途ごとに整理され、内部と外部での違いが示されている"/>
    <n v="1"/>
    <s v="基盤チーム"/>
    <s v="アプリチーム"/>
    <s v="認証の中核"/>
    <s v="つなぎ目の定義はアプリに渡すほど厳密さが要求され、むしろ重くなる"/>
    <s v="対象"/>
    <s v="新規: 機能追加"/>
    <s v="—"/>
    <s v="未着手"/>
    <m/>
    <s v="NF-ARC-02"/>
  </r>
  <r>
    <s v="HF-01"/>
    <s v="H-F バッチ設計"/>
    <s v="設計書の執筆"/>
    <s v="そもそもいくつあるかの整理をしないといけない。今は8本もないのでブレイクダウンしてこの行は一覧とかにしてほしい"/>
    <x v="9"/>
    <x v="122"/>
    <s v="バッチ一覧"/>
    <s v="定期的に自動実行する処理が全部でいくつあり、それぞれ何のために動くのかを一覧にする。基盤が持つバッチは 6 本（90 日休眠 / 整合突合 / JWT 署名鍵ローテ / client_secret ローテ / 証明書期限監視 / 物理削除）"/>
    <s v="一覧。8 本それぞれの目的と実行タイミングが整理されている"/>
    <n v="2.5"/>
    <s v="基盤チーム"/>
    <s v="アプリチーム"/>
    <s v="認証の中核"/>
    <s v="定期処理を止めると気付かないうちに不整合が溜まる"/>
    <s v="対象"/>
    <s v="新規: 機能追加"/>
    <s v="—"/>
    <s v="未着手"/>
    <m/>
    <s v="NF-OPS-06"/>
  </r>
  <r>
    <s v="HF-02"/>
    <s v="H-F バッチ設計"/>
    <s v="設計書の執筆"/>
    <s v="OK"/>
    <x v="9"/>
    <x v="122"/>
    <s v="バッチ実行基盤整理（CronJob / EventBridge Scheduler）"/>
    <s v="定期処理をどの仕組みで動かすかの整理"/>
    <s v="方式整理。処理ごとの実行基盤が定まっている"/>
    <n v="1.5"/>
    <s v="基盤チーム"/>
    <s v="アプリチーム"/>
    <s v="事故防止"/>
    <s v="定期処理を止めると気付かないうちに不整合が溜まる"/>
    <s v="対象"/>
    <s v="新規: 機能追加"/>
    <s v="—"/>
    <s v="未着手"/>
    <m/>
    <s v="NF-OPS-06"/>
  </r>
  <r>
    <s v="HF-03"/>
    <s v="H-F バッチ設計"/>
    <s v="設計書の執筆"/>
    <s v="OK"/>
    <x v="2"/>
    <x v="2"/>
    <s v="バッチ仕様書（90日休眠・物理削除準備）"/>
    <s v="利用者の整理に関する定期処理の仕様"/>
    <s v="仕様書 2 本。対象条件と除外条件が定まっている"/>
    <n v="1.5"/>
    <s v="基盤チーム"/>
    <s v="アプリチーム"/>
    <s v="事故防止"/>
    <s v="【省略・吸収】HB-F-BAT-01 / BAT-09 の機能仕様書に吸収（同じバッチを 2 冊で書かない）。人日は復活時のために残す"/>
    <s v="対象外：省略・吸収"/>
    <s v="新規: 機能追加"/>
    <s v="HF-01"/>
    <s v="未着手"/>
    <m/>
    <s v="F-PROV-10"/>
  </r>
  <r>
    <s v="HF-04"/>
    <s v="H-F バッチ設計"/>
    <s v="設計書の執筆"/>
    <s v="OK"/>
    <x v="30"/>
    <x v="116"/>
    <s v="バッチ仕様書（リコンサイル3種）"/>
    <s v="システム間のずれを直す定期処理の仕様"/>
    <s v="仕様書 3 本。突き合わせる対象と直し方が定まっている"/>
    <n v="2"/>
    <s v="基盤チーム"/>
    <s v="アプリチーム"/>
    <s v="利用者が 1 箇所になり不要"/>
    <s v="止めたつもりが止まっていない状態を拾う定期処理。1 箇所で完結するため、ずれが生じない"/>
    <s v="対象外：認証製品を 1 つに統合"/>
    <s v="新規: 非機能・運用"/>
    <s v="HF-01"/>
    <s v="未着手"/>
    <m/>
    <s v="F-BAT-03"/>
  </r>
  <r>
    <s v="HF-06"/>
    <s v="H-F バッチ設計"/>
    <s v="設計書の執筆"/>
    <s v="OK"/>
    <x v="9"/>
    <x v="122"/>
    <s v="ジョブスケジュール・依存関係設計"/>
    <s v="定期処理の実行時刻と、前後関係の設計"/>
    <s v="スケジュール設計。処理の順序と重なりが整理されている"/>
    <n v="2"/>
    <s v="基盤チーム"/>
    <s v="アプリチーム"/>
    <s v="認証の中核"/>
    <s v="定期処理を止めると気付かないうちに不整合が溜まる"/>
    <s v="対象"/>
    <s v="新規: 機能追加"/>
    <s v="HF-01"/>
    <s v="未着手"/>
    <m/>
    <s v="NF-OPS-06"/>
  </r>
  <r>
    <s v="HF-07"/>
    <s v="H-F バッチ設計"/>
    <s v="設計書の執筆"/>
    <s v="OK"/>
    <x v="9"/>
    <x v="122"/>
    <s v="多重起動制御・リラン設計"/>
    <s v="定期処理が二重に動かないようにする方法と、失敗時のやり直し方"/>
    <s v="設計。重複起動の防止方法と再実行の手順が定まっている"/>
    <n v="1.5"/>
    <s v="基盤チーム"/>
    <s v="アプリチーム"/>
    <s v="認証の中核"/>
    <s v="定期処理を止めると気付かないうちに不整合が溜まる"/>
    <s v="対象"/>
    <s v="新規: 機能追加"/>
    <s v="HF-06"/>
    <s v="未着手"/>
    <m/>
    <s v="NF-OPS-06"/>
  </r>
  <r>
    <s v="HG-01"/>
    <s v="H-G 権限・監査"/>
    <s v="設計書の執筆"/>
    <s v="OK"/>
    <x v="17"/>
    <x v="23"/>
    <s v="ロール定義（3層スコープ）"/>
    <s v="管理操作を行う人の役割を定義する。どの範囲まで操作できるかを 3 段階で分ける"/>
    <s v="役割定義。3 段階の権限範囲が定まっている"/>
    <n v="2"/>
    <s v="基盤チーム"/>
    <s v="アプリチーム"/>
    <s v="事故防止"/>
    <s v="他の顧客のデータに手が届くと一度で信用を失うため、基盤で強制するしかない"/>
    <s v="対象"/>
    <s v="新規: 機能追加"/>
    <s v="—"/>
    <s v="未着手"/>
    <m/>
    <s v="F-AZ-06"/>
  </r>
  <r>
    <s v="HG-02"/>
    <s v="H-G 権限・監査"/>
    <s v="設計書の執筆"/>
    <s v="OK"/>
    <x v="17"/>
    <x v="23"/>
    <s v="権限マトリクス（ロール×機能）"/>
    <s v="役割ごとにどの機能を使えるかの対応表"/>
    <s v="権限表。すべての機能に使える役割が紐づいている"/>
    <n v="3"/>
    <s v="基盤チーム"/>
    <s v="アプリチーム"/>
    <s v="事故防止"/>
    <s v="他の顧客のデータに手が届くと一度で信用を失うため、基盤で強制するしかない"/>
    <s v="対象"/>
    <s v="新規: 機能追加"/>
    <s v="HB-01"/>
    <s v="未着手"/>
    <m/>
    <s v="F-AZ-06"/>
  </r>
  <r>
    <s v="HG-03"/>
    <s v="H-G 権限・監査"/>
    <s v="設計書の執筆"/>
    <s v="OK"/>
    <x v="17"/>
    <x v="23"/>
    <s v="権限マトリクス（ロール×データ×テナントスコープ）"/>
    <s v="役割ごとにどのデータを見られるかの対応表"/>
    <s v="権限表。テナントをまたいだ参照ができないことが示されている"/>
    <n v="3"/>
    <s v="基盤チーム"/>
    <s v="アプリチーム"/>
    <s v="事故防止"/>
    <s v="他の顧客のデータに手が届くと一度で信用を失うため、基盤で強制するしかない"/>
    <s v="対象"/>
    <s v="新規: 機能追加"/>
    <s v="HG-01"/>
    <s v="未着手"/>
    <m/>
    <s v="F-AZ-06"/>
  </r>
  <r>
    <s v="HG-07"/>
    <s v="H-G 権限・監査"/>
    <s v="設計書の執筆"/>
    <s v="セキュリティ: としてほしい"/>
    <x v="14"/>
    <x v="21"/>
    <s v="セキュリティ：不審な挙動を判定する条件と主要指標の定義"/>
    <s v="不正の兆候を判定する条件の一覧"/>
    <s v="条件一覧。検知する事象と閾値が定まっている"/>
    <n v="3"/>
    <s v="基盤チーム"/>
    <s v="アプリチーム"/>
    <s v="事故防止"/>
    <s v="分離しても管理用の口の悪用は防げない。大量削除・大量パスワード変更などの異常を検知できないと、侵害に気づけないまま被害が広がる"/>
    <s v="対象"/>
    <s v="新規: 非機能・運用"/>
    <s v="—"/>
    <s v="未着手"/>
    <m/>
    <s v="F-INT-08"/>
  </r>
  <r>
    <s v="HG-08"/>
    <s v="H-G 権限・監査"/>
    <s v="設計書の執筆"/>
    <s v="セキュリティ: としてほしい"/>
    <x v="8"/>
    <x v="9"/>
    <s v="セキュリティ：攻撃経路対応表（33 経路×対策）"/>
    <s v="想定される攻撃の経路と、それぞれへの対策の対応表"/>
    <s v="対応表。すべての経路に対策が紐づいている"/>
    <n v="3"/>
    <s v="基盤チーム"/>
    <s v="基盤チーム"/>
    <s v="改ざん防止"/>
    <s v="記録する側と操作する側を分けないと、監査の意味が無くなる"/>
    <s v="対象"/>
    <s v="新規: 非機能・運用"/>
    <s v="—"/>
    <s v="未着手"/>
    <m/>
    <s v="NF-SEC-01"/>
  </r>
  <r>
    <s v="HH-01"/>
    <s v="H-H 運用補完"/>
    <s v="設計書の執筆"/>
    <s v="運用設計: としてほしい"/>
    <x v="9"/>
    <x v="123"/>
    <s v="運用設計：監視項目一覧（メトリクス）"/>
    <s v="システムが正常に動いているか判断するために監視する数値を洗い出して一覧にする"/>
    <s v="項目一覧。取得元と用途が整理されている"/>
    <n v="2"/>
    <s v="基盤チーム"/>
    <s v="基盤チーム"/>
    <s v="運用に必須"/>
    <s v="運用の手順が無いと、作っても回せない"/>
    <s v="対象"/>
    <s v="新規: 非機能・運用"/>
    <s v="D-U9-21/22/23"/>
    <s v="未着手"/>
    <m/>
    <s v="NF-OPS-01"/>
  </r>
  <r>
    <s v="HH-02"/>
    <s v="H-H 運用補完"/>
    <s v="設計書の執筆"/>
    <s v="運用設計: としてほしい"/>
    <x v="9"/>
    <x v="123"/>
    <s v="運用設計：監視項目一覧（ログ・合成監視）"/>
    <s v="監視する記録と、外形からの確認項目の一覧"/>
    <s v="項目一覧。確認の頻度が定まっている"/>
    <n v="2"/>
    <s v="基盤チーム"/>
    <s v="基盤チーム"/>
    <s v="運用に必須"/>
    <s v="運用の手順が無いと、作っても回せない"/>
    <s v="対象"/>
    <s v="新規: 非機能・運用"/>
    <s v="D-U9-21"/>
    <s v="未着手"/>
    <m/>
    <s v="NF-OPS-01"/>
  </r>
  <r>
    <s v="HH-03"/>
    <s v="H-H 運用補完"/>
    <s v="設計書の執筆"/>
    <s v="運用設計: としてほしい"/>
    <x v="9"/>
    <x v="123"/>
    <s v="運用設計：閾値・通知先設計"/>
    <s v="異常と判断する基準値と、誰に知らせるかの設計"/>
    <s v="閾値設計。すべての監視項目に基準値と通知先が紐づいている"/>
    <n v="2"/>
    <s v="基盤チーム"/>
    <s v="基盤チーム"/>
    <s v="運用に必須"/>
    <s v="運用の手順が無いと、作っても回せない"/>
    <s v="対象"/>
    <s v="新規: 非機能・運用"/>
    <s v="HH-01/02"/>
    <s v="未着手"/>
    <m/>
    <s v="NF-OPS-01"/>
  </r>
  <r>
    <s v="HH-04"/>
    <s v="H-H 運用補完"/>
    <s v="設計書の執筆"/>
    <s v="運用設計: としてほしい"/>
    <x v="9"/>
    <x v="37"/>
    <s v="運用設計：顧客の受け入れ設計（設計面。手順書とは別）"/>
    <s v="新しい顧客を受け入れる際の設計面の整理"/>
    <s v="設計。受け入れに必要な設定項目と順序が定まっている"/>
    <n v="3"/>
    <s v="基盤チーム"/>
    <s v="アプリチーム"/>
    <s v="認証の中核"/>
    <s v="顧客と接続先を登録できないとサービスを開始できない"/>
    <s v="対象"/>
    <s v="新規: 機能追加"/>
    <s v="—"/>
    <s v="未着手"/>
    <m/>
    <s v="NF-OPS-03"/>
  </r>
  <r>
    <s v="HH-05"/>
    <s v="H-H 運用補完"/>
    <s v="設計書の執筆"/>
    <s v="運用設計: としてほしい"/>
    <x v="10"/>
    <x v="124"/>
    <s v="運用設計：環境設計書（本番 / stg / dev の構成差分）"/>
    <s v="本番・検証・開発の各環境の違いをまとめた設計書"/>
    <s v="環境設計書。環境ごとの差分が一覧化されている"/>
    <n v="3"/>
    <s v="基盤チーム"/>
    <s v="基盤チーム"/>
    <s v="運用に必須"/>
    <s v="運用の手順が無いと、作っても回せない"/>
    <s v="対象"/>
    <s v="新規: 非機能・運用"/>
    <s v="E-1"/>
    <s v="未着手"/>
    <m/>
    <s v="NF-ARC-05"/>
  </r>
  <r>
    <s v="HI-01"/>
    <s v="H-I レビュー・合意"/>
    <s v="レビュー・合意"/>
    <s v="OK"/>
    <x v="7"/>
    <x v="125"/>
    <s v="単元間 整合性レビュー（第1回）"/>
    <s v="設計書間で矛盾がないかを通しで確認する（1 回目）"/>
    <s v="レビュー記録。指摘が一覧化されている"/>
    <n v="3"/>
    <s v="基盤チーム"/>
    <s v="基盤チーム"/>
    <s v="横断（対象縮小）"/>
    <s v="対象が減るぶん縮むが、突き合わせと合意の場は必ず要る"/>
    <s v="対象"/>
    <s v="当初あり"/>
    <s v="HA〜HK"/>
    <s v="未着手"/>
    <m/>
    <s v="NF-MGT-06"/>
  </r>
  <r>
    <s v="HI-02"/>
    <s v="H-I レビュー・合意"/>
    <s v="レビュー・合意"/>
    <s v="OK"/>
    <x v="7"/>
    <x v="125"/>
    <s v="指摘対応・改訂（第1回）"/>
    <s v="1 回目の指摘に対応して設計書を直す"/>
    <s v="改訂済みの設計書。指摘がすべて処理されている"/>
    <n v="3"/>
    <s v="基盤チーム"/>
    <s v="基盤チーム"/>
    <s v="横断（対象縮小）"/>
    <s v="対象が減るぶん縮むが、突き合わせと合意の場は必ず要る"/>
    <s v="対象"/>
    <s v="当初あり"/>
    <s v="HI-01"/>
    <s v="未着手"/>
    <m/>
    <s v="NF-MGT-06"/>
  </r>
  <r>
    <s v="HI-03"/>
    <s v="H-I レビュー・合意"/>
    <s v="レビュー・合意"/>
    <s v="OK"/>
    <x v="7"/>
    <x v="125"/>
    <s v="単元間 整合性レビュー（第2回）"/>
    <s v="設計書間で矛盾がないかを通しで確認する（2 回目）"/>
    <s v="レビュー記録。1 回目の指摘が解消されている"/>
    <n v="3"/>
    <s v="基盤チーム"/>
    <s v="基盤チーム"/>
    <s v="横断（対象縮小）"/>
    <s v="対象が減るぶん縮むが、突き合わせと合意の場は必ず要る"/>
    <s v="対象"/>
    <s v="当初あり"/>
    <s v="HI-02"/>
    <s v="未着手"/>
    <m/>
    <s v="NF-MGT-06"/>
  </r>
  <r>
    <s v="HI-04"/>
    <s v="H-I レビュー・合意"/>
    <s v="レビュー・合意"/>
    <s v="OK"/>
    <x v="7"/>
    <x v="125"/>
    <s v="指摘対応・改訂（第2回）"/>
    <s v="2 回目の指摘に対応して設計書を直す"/>
    <s v="改訂済みの設計書。残課題が明示されている"/>
    <n v="3"/>
    <s v="基盤チーム"/>
    <s v="基盤チーム"/>
    <s v="横断（対象縮小）"/>
    <s v="対象が減るぶん縮むが、突き合わせと合意の場は必ず要る"/>
    <s v="対象"/>
    <s v="当初あり"/>
    <s v="HI-03"/>
    <s v="未着手"/>
    <m/>
    <s v="NF-MGT-06"/>
  </r>
  <r>
    <s v="HI-05"/>
    <s v="H-I レビュー・合意"/>
    <s v="レビュー・合意"/>
    <s v="OK"/>
    <x v="7"/>
    <x v="125"/>
    <s v="ステークホルダー説明資料 作成"/>
    <s v="関係者へ説明するための資料を作る"/>
    <s v="説明資料。専門用語を使わずに全体像が伝わる"/>
    <n v="5"/>
    <s v="基盤チーム"/>
    <s v="基盤チーム"/>
    <s v="横断（対象縮小）"/>
    <s v="対象が減るぶん縮むが、突き合わせと合意の場は必ず要る"/>
    <s v="対象"/>
    <s v="当初あり"/>
    <s v="HI-04"/>
    <s v="未着手"/>
    <m/>
    <s v="NF-MGT-06"/>
  </r>
  <r>
    <s v="HI-06"/>
    <s v="H-I レビュー・合意"/>
    <s v="レビュー・合意"/>
    <s v="OK"/>
    <x v="7"/>
    <x v="125"/>
    <s v="説明会 実施・指摘対応"/>
    <s v="説明会を開き、出た指摘を反映する"/>
    <s v="実施記録と改訂版。指摘の処理状況が追える"/>
    <n v="5"/>
    <s v="基盤チーム"/>
    <s v="基盤チーム"/>
    <s v="横断（対象縮小）"/>
    <s v="対象が減るぶん縮むが、突き合わせと合意の場は必ず要る"/>
    <s v="対象"/>
    <s v="当初あり"/>
    <s v="HI-05"/>
    <s v="未着手"/>
    <m/>
    <s v="NF-MGT-06"/>
  </r>
  <r>
    <s v="HJ-01a"/>
    <s v="H-J プロダクト固有設計"/>
    <s v="設計書の執筆"/>
    <s v="OK"/>
    <x v="10"/>
    <x v="29"/>
    <s v="Realm / Organizations 構成設計書"/>
    <s v="顧客をまとめる単位と区画の構成を決める（外部連携を受ける側）"/>
    <s v="構成設計書。顧客の収容方法と区画の分け方が定まっている"/>
    <n v="2"/>
    <s v="基盤チーム"/>
    <s v="基盤チーム"/>
    <s v="認証の中核"/>
    <s v="顧客の認証システムへ委ねる中核で、これが無いと基盤の存在理由が無い"/>
    <s v="対象"/>
    <s v="当初あり"/>
    <s v="D-19"/>
    <s v="未着手"/>
    <m/>
    <s v="NF-ARC-04"/>
  </r>
  <r>
    <s v="HJ-01b"/>
    <s v="H-J プロダクト固有設計"/>
    <s v="設計書の執筆"/>
    <s v="OK"/>
    <x v="10"/>
    <x v="29"/>
    <s v="Realm / Organizations 構成設計書（IdP-KC側）"/>
    <s v="顧客をまとめる単位と区画の構成を決める（利用者を直接収容する側）"/>
    <s v="構成設計書。収容方法と区画の分け方が定まっている"/>
    <n v="2"/>
    <s v="基盤チーム"/>
    <s v="基盤チーム"/>
    <s v="利用者が 1 箇所になり不要"/>
    <s v="収容側の構成設計。受付側（HJ-01a）に統合されるため単独では不要"/>
    <s v="対象外：認証製品を 1 つに統合"/>
    <s v="当初あり"/>
    <s v="D-19"/>
    <s v="未着手"/>
    <m/>
    <s v="NF-ARC-04"/>
  </r>
  <r>
    <s v="HJ-02a"/>
    <s v="H-J プロダクト固有設計"/>
    <s v="設計書の執筆"/>
    <s v="被っていないか"/>
    <x v="3"/>
    <x v="3"/>
    <s v="認証フローの組み立て順序（3 系統）"/>
    <s v="ログイン処理の組み立て順序を決める（外部連携を受ける側の 3 系統）"/>
    <s v="処理順序の設計書。3 系統それぞれの分岐が図で示されている"/>
    <n v="3"/>
    <s v="基盤チーム"/>
    <s v="基盤チーム"/>
    <s v="認証の中核"/>
    <s v="顧客の認証システムへ委ねる中核で、これが無いと基盤の存在理由が無い"/>
    <s v="対象"/>
    <s v="当初あり"/>
    <s v="A-2"/>
    <s v="未着手"/>
    <m/>
    <s v="F-AUTH-05"/>
  </r>
  <r>
    <s v="HJ-02b"/>
    <s v="H-J プロダクト固有設計"/>
    <s v="設計書の執筆"/>
    <s v="被っていないか"/>
    <x v="20"/>
    <x v="26"/>
    <s v="ログイン処理の順序設計（IdP-KC側 2系統）"/>
    <s v="ログイン処理の組み立て順序を決める（利用者を直接収容する側の 2 系統）"/>
    <s v="処理順序の設計書。2 系統それぞれの分岐が図で示されている"/>
    <n v="2"/>
    <s v="基盤チーム"/>
    <s v="基盤チーム"/>
    <s v="利用者が 1 箇所になり不要"/>
    <s v="収容側のログイン処理の順序設計。受付側（HJ-02a）に統合される"/>
    <s v="対象外：認証製品を 1 つに統合"/>
    <s v="当初あり"/>
    <s v="A-2"/>
    <s v="未着手"/>
    <m/>
    <s v="F-AUTH-01"/>
  </r>
  <r>
    <s v="HJ-03"/>
    <s v="H-J プロダクト固有設計"/>
    <s v="設計書の執筆"/>
    <s v="HRDのことか、画面など別のところであればHRDとしてラベリングしてわかるようにしてほしい、そもそも被ってる？"/>
    <x v="5"/>
    <x v="6"/>
    <s v="HRD：自社拡張の仕様書（接続先の自動振り分け・判定ロジック）"/>
    <s v="接続先を判定する拡張機能の入出力と動作条件の仕様"/>
    <s v="仕様書。入力・出力・判定できない場合の動きが定まっている"/>
    <n v="3"/>
    <s v="基盤チーム"/>
    <s v="アプリチーム"/>
    <s v="代替手段あり"/>
    <s v="顧客ごとに入口の URL を分ければ、判定しなくても正しい接続先に着く"/>
    <s v="対象"/>
    <s v="新規: 規模"/>
    <s v="A-2"/>
    <s v="未着手"/>
    <m/>
    <s v="F-AUTH-02"/>
  </r>
  <r>
    <s v="HJ-16"/>
    <s v="H-J プロダクト固有設計"/>
    <s v="設計書の執筆"/>
    <s v="被ってる？"/>
    <x v="5"/>
    <x v="6"/>
    <s v="振り分け判定ロジックの設計書（識別子先行の判定・切替）"/>
    <s v="入力された ID から接続先を判定するロジックの設計"/>
    <s v="ロジック設計。判定の順序と、判定できない場合の動きが定まっている"/>
    <n v="3"/>
    <s v="基盤チーム"/>
    <s v="アプリチーム"/>
    <s v="代替手段あり"/>
    <s v="【省略・吸収】HJ-03 に吸収（同一内容）。人日は復活時のために残す"/>
    <s v="対象外：省略・吸収"/>
    <s v="新規: 規模"/>
    <s v="—"/>
    <s v="未着手"/>
    <m/>
    <s v="F-AUTH-02"/>
  </r>
  <r>
    <s v="HJ-05"/>
    <s v="H-J プロダクト固有設計"/>
    <s v="設計書の執筆"/>
    <s v="HRDのことか、画面など別のところであればHRDとしてラベリングしてわかるようにしてほしい、そもそも被ってる？"/>
    <x v="14"/>
    <x v="21"/>
    <s v="自社拡張の仕様書（イベント受信・多要素実施の記録）"/>
    <s v="利用状況を外部へ知らせる拡張機能の仕様"/>
    <s v="仕様書。送る内容と送信頻度が定まっている"/>
    <n v="2"/>
    <s v="基盤チーム"/>
    <s v="アプリチーム"/>
    <s v="事故防止"/>
    <s v="検知に必要な情報を外部へ出す仕組み。検知そのものを Phase 1 に戻したため、その入力側も必須になる"/>
    <s v="対象"/>
    <s v="新規: 非機能・運用"/>
    <s v="A-2"/>
    <s v="未着手"/>
    <m/>
    <s v="F-INT-08"/>
  </r>
  <r>
    <s v="HJ-06"/>
    <s v="H-J プロダクト固有設計"/>
    <s v="設計書の執筆"/>
    <s v="HRDのことか、画面など別のところであればHRDとしてラベリングしてわかるようにしてほしい、そもそも被ってる？"/>
    <x v="9"/>
    <x v="10"/>
    <s v="自社拡張の配置・ビルド・版数管理の設計"/>
    <s v="拡張機能をどこに配置し、どう版を管理するかの設計"/>
    <s v="配置設計。組み込み方法と版の管理方法が定まっている"/>
    <n v="2"/>
    <s v="基盤チーム"/>
    <s v="基盤チーム"/>
    <s v="製品機能"/>
    <s v="認証製品をどう組むかは、利用者管理を誰が作るかとは無関係に決まる"/>
    <s v="対象"/>
    <s v="新規: 自社構築"/>
    <s v="HJ-03〜05"/>
    <s v="未着手"/>
    <m/>
    <s v="NF-OPS-05"/>
  </r>
  <r>
    <s v="HJ-07"/>
    <s v="H-J プロダクト固有設計"/>
    <s v="設計書の執筆"/>
    <s v="JWTのことか？被ってる？"/>
    <x v="17"/>
    <x v="118"/>
    <s v="JWT（通行証）に載せる項目と要求範囲の定義書"/>
    <s v="通行証に載せる情報の生成規則の定義"/>
    <s v="定義書。載せる項目と、載せない項目の区別が明確"/>
    <n v="3"/>
    <s v="基盤チーム"/>
    <s v="基盤チーム"/>
    <s v="製品機能"/>
    <s v="認証製品をどう組むかは、利用者管理を誰が作るかとは無関係に決まる"/>
    <s v="対象"/>
    <s v="新規: 自社構築"/>
    <s v="—"/>
    <s v="未着手"/>
    <m/>
    <s v="F-AZ-10"/>
  </r>
  <r>
    <s v="HJ-08"/>
    <s v="H-J プロダクト固有設計"/>
    <s v="設計書の執筆"/>
    <s v="被ってる？"/>
    <x v="3"/>
    <x v="60"/>
    <s v="User Profile 宣言設計（email非保有対応）"/>
    <s v="利用者の属性項目をどう宣言するかの設計。メールを持たない人への対応を含む"/>
    <s v="宣言設計。必須と任意の区別が定まっている"/>
    <n v="2"/>
    <s v="基盤チーム"/>
    <s v="アプリチーム"/>
    <s v="認証の中核"/>
    <s v="【省略・吸収】HD-05 に吸収（同一内容）。人日は復活時のために残す"/>
    <s v="対象外：省略・吸収"/>
    <s v="新規: 機能追加"/>
    <s v="A-13"/>
    <s v="未着手"/>
    <m/>
    <s v="F-PROV-01"/>
  </r>
  <r>
    <s v="HJ-09"/>
    <s v="H-J プロダクト固有設計"/>
    <s v="設計書の執筆"/>
    <s v="被ってる？"/>
    <x v="6"/>
    <x v="126"/>
    <s v="Client 登録テンプレート（アプリオンボーディング標準）"/>
    <s v="新しいアプリを接続するときの登録内容のひな形"/>
    <s v="ひな形。必要な設定が漏れなく含まれ、宛先の設定漏れを防ぐ仕組みがある"/>
    <n v="3"/>
    <s v="基盤チーム"/>
    <s v="基盤チーム"/>
    <s v="製品機能"/>
    <s v="認証製品をどう組むかは、利用者管理を誰が作るかとは無関係に決まる"/>
    <s v="対象"/>
    <s v="新規: 自社構築"/>
    <s v="—"/>
    <s v="未着手"/>
    <m/>
    <s v="F-INT-13"/>
  </r>
  <r>
    <s v="HJ-10a"/>
    <s v="H-J プロダクト固有設計"/>
    <s v="設計書の執筆"/>
    <s v="被ってる？"/>
    <x v="3"/>
    <x v="3"/>
    <s v="認証製品の設定値一覧"/>
    <s v="認証製品の設定値を決める（外部連携を受ける側）"/>
    <s v="設定値一覧。有効期間・回数制限などが数値で定まっている"/>
    <n v="2"/>
    <s v="基盤チーム"/>
    <s v="基盤チーム"/>
    <s v="認証の中核"/>
    <s v="顧客の認証システムへ委ねる中核で、これが無いと基盤の存在理由が無い"/>
    <s v="対象"/>
    <s v="当初あり"/>
    <s v="A-1"/>
    <s v="未着手"/>
    <m/>
    <s v="F-AUTH-05"/>
  </r>
  <r>
    <s v="HJ-10b"/>
    <s v="H-J プロダクト固有設計"/>
    <s v="設計書の執筆"/>
    <s v="被ってる？"/>
    <x v="20"/>
    <x v="26"/>
    <s v="認証製品の設定値一覧（利用者を直接収容する側）"/>
    <s v="認証製品の設定値を決める（利用者を直接収容する側）"/>
    <s v="設定値一覧。パスワード条件を含め数値で定まっている"/>
    <n v="2"/>
    <s v="基盤チーム"/>
    <s v="基盤チーム"/>
    <s v="利用者が 1 箇所になり不要"/>
    <s v="収容側の設定値一覧。受付側（HJ-10a）に統合される"/>
    <s v="対象外：認証製品を 1 つに統合"/>
    <s v="当初あり"/>
    <s v="A-1"/>
    <s v="未着手"/>
    <m/>
    <s v="F-AUTH-01"/>
  </r>
  <r>
    <s v="HJ-11"/>
    <s v="H-J プロダクト固有設計"/>
    <s v="設計書の執筆"/>
    <s v="被ってる？"/>
    <x v="3"/>
    <x v="62"/>
    <s v="認証製品2段構えの連携設計書"/>
    <s v="内部で 2 段構えになっている認証システム同士の連携設計"/>
    <s v="連携設計書。やり取りする情報と経路が定まっている"/>
    <n v="3"/>
    <s v="基盤チーム"/>
    <s v="アプリチーム"/>
    <s v="利用者が 1 箇所になり不要"/>
    <s v="内部で 2 段構えになっている連携の設計。統合により不要"/>
    <s v="対象外：認証製品を 1 つに統合"/>
    <s v="新規: 規模"/>
    <s v="D-19"/>
    <s v="未着手"/>
    <m/>
    <s v="F-AUTH-09"/>
  </r>
  <r>
    <s v="HJ-12"/>
    <s v="H-J プロダクト固有設計"/>
    <s v="設計書の執筆"/>
    <s v="被ってる？"/>
    <x v="10"/>
    <x v="29"/>
    <s v="ブランド単位の区画設計書（区画の分け方と発行元の規律）"/>
    <s v="将来ブランドを増やす場合の区画の分け方の設計"/>
    <s v="設計書。増やすときの手順と、今のうちに守る決まりが定まっている"/>
    <n v="3"/>
    <s v="基盤チーム"/>
    <s v="基盤チーム"/>
    <s v="製品機能"/>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
    <s v="未着手"/>
    <m/>
    <s v="NF-ARC-04"/>
  </r>
  <r>
    <s v="HJ-13"/>
    <s v="H-J プロダクト固有設計"/>
    <s v="設計書の執筆"/>
    <s v="被ってる？"/>
    <x v="2"/>
    <x v="81"/>
    <s v="外部連携側に作られる利用者の控えのライフサイクル設計"/>
    <s v="利用者の控えが作られてから消えるまでの一生の設計"/>
    <s v="ライフサイクル設計。作成・停止・再開の条件が定まっている"/>
    <n v="2"/>
    <s v="基盤チーム"/>
    <s v="アプリチーム"/>
    <s v="利用者が 1 箇所になり不要"/>
    <s v="利用者の控えが作られてから消えるまでの管理設計。控えという概念自体が無くなる"/>
    <s v="対象外：認証製品を 1 つに統合"/>
    <s v="新規: 機能追加"/>
    <s v="—"/>
    <s v="未着手"/>
    <m/>
    <s v="F-PROV-12"/>
  </r>
  <r>
    <s v="HJ-14"/>
    <s v="H-J プロダクト固有設計"/>
    <s v="設計書の執筆"/>
    <s v="被ってる？"/>
    <x v="11"/>
    <x v="13"/>
    <s v="IdP接続仕様テンプレート（SAML / OIDC別）（1000+ IdPの標準化）"/>
    <s v="顧客の認証システムを接続するときの設定項目のひな形"/>
    <s v="ひな形。方式ごとに必要な項目が整理されている"/>
    <n v="4"/>
    <s v="基盤チーム"/>
    <s v="アプリチーム"/>
    <s v="認証の中核"/>
    <s v="顧客と接続先を登録できないとサービスを開始できない"/>
    <s v="対象"/>
    <s v="新規: 機能追加"/>
    <s v="A-5 / A-6"/>
    <s v="未着手"/>
    <m/>
    <s v="F-ADM-16"/>
  </r>
  <r>
    <s v="D-11"/>
    <s v="D-11"/>
    <s v="調査・計画"/>
    <s v="旧方式とは何かSAMLか、あまり具体的ではなくわからない"/>
    <x v="3"/>
    <x v="4"/>
    <s v="旧方式の接続先を登録するひな形"/>
    <s v="旧方式の接続先を登録するときのひな形を作る"/>
    <s v="ひな形定義。項目の対応づけが定まっている"/>
    <n v="2"/>
    <s v="基盤チーム"/>
    <s v="基盤チーム"/>
    <s v="認証の中核"/>
    <s v="【省略・吸収】HJ-14 IdP 接続仕様テンプレート（SAML/OIDC 別）に吸収。人日は復活時のために残す"/>
    <s v="対象外：省略・吸収"/>
    <s v="当初あり"/>
    <s v="A-5"/>
    <s v="未着手"/>
    <m/>
    <s v="F-AUTH-06"/>
  </r>
  <r>
    <s v="HE-17"/>
    <s v="H-E IF設計"/>
    <s v="設計書の執筆"/>
    <s v="OK。ただ、まだブレイクダウンできそうか？"/>
    <x v="3"/>
    <x v="3"/>
    <s v="外部IF 顧客IdP（SAML/OIDC差分）"/>
    <s v="顧客の認証システムごとの接続仕様の差分整理"/>
    <s v="差分表。製品ごとの違いが一覧化されている"/>
    <n v="2"/>
    <s v="基盤チーム"/>
    <s v="基盤チーム"/>
    <s v="認証の中核"/>
    <s v="【省略・吸収】HJ-14 に吸収。人日は復活時のために残す"/>
    <s v="対象外：省略・吸収"/>
    <s v="当初あり"/>
    <s v="—"/>
    <s v="未着手"/>
    <m/>
    <s v="F-AUTH-05"/>
  </r>
  <r>
    <s v="HK-01"/>
    <s v="H-K 契約・顧客提供成果物"/>
    <s v="レビュー・合意"/>
    <s v="OK"/>
    <x v="32"/>
    <x v="127"/>
    <s v="責任分界表／渡す相手: 全顧客（契約添付）"/>
    <s v="顧客と本基盤のどちらが何に責任を持つかを示す表"/>
    <s v="責任分界表。契約に添付できる粒度で整理されている"/>
    <n v="4"/>
    <s v="基盤チーム"/>
    <s v="基盤チーム"/>
    <s v="法令・契約"/>
    <s v="顧客への約束は機能の数では変わらない"/>
    <s v="対象"/>
    <s v="新規: 非機能・運用"/>
    <s v="—"/>
    <s v="未着手"/>
    <m/>
    <s v="NF-DOC-02"/>
  </r>
  <r>
    <s v="HK-02"/>
    <s v="H-K 契約・顧客提供成果物"/>
    <s v="レビュー・合意"/>
    <s v="OK"/>
    <x v="13"/>
    <x v="128"/>
    <s v="SLA / SLO 定義書（顧客向け）／渡す相手: 全顧客（契約添付）"/>
    <s v="顧客に約束する稼働率と復旧目標をまとめた文書"/>
    <s v="定義書。数値と、達成できなかった場合の扱いが定まっている"/>
    <n v="3"/>
    <s v="基盤チーム"/>
    <s v="基盤チーム"/>
    <s v="法令・契約"/>
    <s v="顧客への約束は機能の数では変わらない"/>
    <s v="対象"/>
    <s v="新規: 非機能・運用"/>
    <s v="D-18.2"/>
    <s v="未着手"/>
    <m/>
    <s v="NF-AVL-03"/>
  </r>
  <r>
    <s v="HK-03"/>
    <s v="H-K 契約・顧客提供成果物"/>
    <s v="ガイド・手順書の執筆"/>
    <s v="OK"/>
    <x v="32"/>
    <x v="129"/>
    <s v="アプリ側の実装ガイド（アプリ開発者向け）／渡す相手: 接続アプリ開発者"/>
    <s v="（廃止）アプリ開発者向けの実装ガイド。章ごとに分割したため、この行では作業しない"/>
    <s v="作業なし。分割先の各章で実施する"/>
    <n v="0"/>
    <s v="基盤チーム"/>
    <s v="基盤チーム"/>
    <s v="法令・契約"/>
    <s v="顧客への約束は機能の数では変わらない"/>
    <s v="対象"/>
    <s v="新規: 非機能・運用"/>
    <s v="HE-04〜08"/>
    <s v="廃止（→ H-Lへ全面展開）"/>
    <m/>
    <s v="NF-DOC-01"/>
  </r>
  <r>
    <s v="HK-04"/>
    <s v="H-K 契約・顧客提供成果物"/>
    <s v="ガイド・手順書の執筆"/>
    <s v="OK"/>
    <x v="32"/>
    <x v="127"/>
    <s v="テナント管理者ガイド／渡す相手: テナント管理者"/>
    <s v="テナント管理者向けの操作説明書"/>
    <s v="操作ガイド。管理画面の全機能が手順つきで説明されている"/>
    <n v="4"/>
    <s v="基盤チーム"/>
    <s v="アプリチーム"/>
    <s v="法令・契約"/>
    <s v="顧客への約束は機能の数では変わらない"/>
    <s v="対象"/>
    <s v="新規: 非機能・運用"/>
    <s v="HC-05"/>
    <s v="未着手"/>
    <m/>
    <s v="NF-DOC-02"/>
  </r>
  <r>
    <s v="HK-05"/>
    <s v="H-K 契約・顧客提供成果物"/>
    <s v="ガイド・手順書の執筆"/>
    <s v="OK"/>
    <x v="11"/>
    <x v="13"/>
    <s v="顧客IdP接続ガイド（顧客IT部門向け）／渡す相手: 顧客IT部門"/>
    <s v="顧客の情報システム部門向けの接続手順書"/>
    <s v="接続ガイド。準備するものと手順、確認方法が示されている"/>
    <n v="4"/>
    <s v="基盤チーム"/>
    <s v="アプリチーム"/>
    <s v="認証の中核"/>
    <s v="顧客と接続先を登録できないとサービスを開始できない"/>
    <s v="対象"/>
    <s v="新規: 機能追加"/>
    <s v="HJ-14"/>
    <s v="未着手"/>
    <m/>
    <s v="F-ADM-16"/>
  </r>
  <r>
    <s v="HK-06"/>
    <s v="H-K 契約・顧客提供成果物"/>
    <s v="ガイド・手順書の執筆"/>
    <s v="OK"/>
    <x v="26"/>
    <x v="46"/>
    <s v="顧客監査への対応資料／渡す相手: 監査要求のある顧客"/>
    <s v="顧客の監査対応に使う説明資料"/>
    <s v="説明資料。よく聞かれる質問に答えられる内容になっている"/>
    <n v="3"/>
    <s v="要判断"/>
    <s v="基盤チーム"/>
    <s v="画面のみ"/>
    <s v="見る画面はアプリでよいが、記録そのものは改ざん防止のため基盤が持つ"/>
    <s v="対象"/>
    <s v="新規: 非機能・運用"/>
    <s v="—"/>
    <s v="未着手"/>
    <m/>
    <s v="F-ADM-18"/>
  </r>
  <r>
    <s v="HK-07"/>
    <s v="H-K 契約・顧客提供成果物"/>
    <s v="ガイド・手順書の執筆"/>
    <s v="OK"/>
    <x v="26"/>
    <x v="130"/>
    <s v="本人からのデータ開示・削除請求への対応手順（顧客向け）／渡す相手: 全顧客"/>
    <s v="利用者本人からのデータ開示・削除依頼への対応手順"/>
    <s v="対応手順書。受付から回答までの流れと期限が定まっている"/>
    <n v="2"/>
    <s v="基盤チーム"/>
    <s v="アプリチーム"/>
    <s v="事故防止"/>
    <s v="止め忘れが退職者の不正アクセスに直結するため、基盤側で確実に止める必要がある"/>
    <s v="対象"/>
    <s v="新規: 機能追加"/>
    <s v="—"/>
    <s v="未着手"/>
    <m/>
    <s v="F-ADM-24"/>
  </r>
  <r>
    <s v="HK-08"/>
    <s v="H-K 契約・顧客提供成果物"/>
    <s v="ガイド・手順書の執筆"/>
    <s v="OK"/>
    <x v="23"/>
    <x v="99"/>
    <s v="テナントオンボーディング案内テンプレート／渡す相手: 新規テナント"/>
    <s v="新しい顧客を迎えるときの案内文のひな形"/>
    <s v="案内テンプレート。必要な連絡事項が漏れなく含まれている"/>
    <n v="2"/>
    <s v="基盤チーム"/>
    <s v="アプリチーム"/>
    <s v="認証の中核"/>
    <s v="顧客と接続先を登録できないとサービスを開始できない"/>
    <s v="対象"/>
    <s v="新規: 機能追加"/>
    <s v="HH-04"/>
    <s v="未着手"/>
    <m/>
    <s v="F-ADM-14"/>
  </r>
  <r>
    <s v="HK-09"/>
    <s v="H-K 契約・顧客提供成果物"/>
    <s v="ガイド・手順書の執筆"/>
    <s v="OK"/>
    <x v="32"/>
    <x v="127"/>
    <s v="サービス仕様書・制約事項一覧（ゾンビ窓/ログアウト限界/再認証の明示）／渡す相手: 全顧客"/>
    <s v="サービスの仕様と、利用上の制約をまとめた文書"/>
    <s v="仕様書。止めてから完全に切れるまでの時間差など、注意すべき制約が明記されている"/>
    <n v="3"/>
    <s v="基盤チーム"/>
    <s v="基盤チーム"/>
    <s v="法令・契約"/>
    <s v="顧客への約束は機能の数では変わらない"/>
    <s v="対象"/>
    <s v="新規: 非機能・運用"/>
    <s v="—"/>
    <s v="未着手"/>
    <m/>
    <s v="NF-DOC-02"/>
  </r>
  <r>
    <s v="GD-01"/>
    <s v="H-L 認証実装ガイド"/>
    <s v="ガイド・手順書の執筆"/>
    <s v="OK"/>
    <x v="7"/>
    <x v="42"/>
    <s v="第1部 本ガイドについて"/>
    <s v="このガイドの目的・想定読者・読み進め方をまとめた導入。改訂の方針もここに書く"/>
    <s v="ガイド 1 章。対象読者と前提知識が明示され、どの章から読めばよいかの案内がある"/>
    <n v="1"/>
    <s v="基盤チーム"/>
    <s v="アプリチーム"/>
    <s v="認証の中核"/>
    <s v="対象が減るぶん規模は縮むが、作業自体は残る"/>
    <s v="対象"/>
    <s v="新規: 機能追加"/>
    <s v="—"/>
    <s v="未着手"/>
    <m/>
    <s v="NF-MGT-01"/>
  </r>
  <r>
    <s v="GD-02"/>
    <s v="H-L 認証実装ガイド"/>
    <s v="ガイド・手順書の執筆"/>
    <s v="OK"/>
    <x v="7"/>
    <x v="42"/>
    <s v="第1部 本基盤の全体像"/>
    <s v="本基盤がどんな仕組みで、どこまでを引き受け、どこからがアプリ側の責任かを示す全体像"/>
    <s v="ガイド 1 章。提供する範囲と提供しない範囲が対比で示されている"/>
    <n v="2"/>
    <s v="基盤チーム"/>
    <s v="アプリチーム"/>
    <s v="認証の中核"/>
    <s v="対象が減るぶん規模は縮むが、作業自体は残る"/>
    <s v="対象"/>
    <s v="新規: 機能追加"/>
    <s v="—"/>
    <s v="未着手"/>
    <m/>
    <s v="NF-MGT-01"/>
  </r>
  <r>
    <s v="GD-03"/>
    <s v="H-L 認証実装ガイド"/>
    <s v="ガイド・手順書の執筆"/>
    <s v="OK"/>
    <x v="7"/>
    <x v="42"/>
    <s v="第1部 用語集"/>
    <s v="このガイドで使う言葉の意味を揃える用語集"/>
    <s v="ガイド 1 章。本文で使う用語が漏れなく定義され、本文からリンクされている"/>
    <n v="1"/>
    <s v="基盤チーム"/>
    <s v="アプリチーム"/>
    <s v="認証の中核"/>
    <s v="対象が減るぶん規模は縮むが、作業自体は残る"/>
    <s v="対象"/>
    <s v="新規: 機能追加"/>
    <s v="—"/>
    <s v="未着手"/>
    <m/>
    <s v="NF-MGT-01"/>
  </r>
  <r>
    <s v="GD-04"/>
    <s v="H-L 認証実装ガイド"/>
    <s v="ガイド・手順書の執筆"/>
    <s v="OK"/>
    <x v="32"/>
    <x v="129"/>
    <s v="第1部 統合前に決めること"/>
    <s v="接続作業を始める前にアプリ側で決めておくべきことを一覧にした章。アプリの種類・認証の強さ・情報の保持方法など"/>
    <s v="ガイド 1 章。決定事項が選択肢つきで列挙され、決めないと先に進めない項目が明示されている"/>
    <n v="3"/>
    <s v="基盤チーム"/>
    <s v="アプリチーム"/>
    <s v="認証の中核"/>
    <s v="対象が減るぶん規模は縮むが、作業自体は残る"/>
    <s v="対象"/>
    <s v="新規: 機能追加"/>
    <s v="—"/>
    <s v="未着手"/>
    <m/>
    <s v="NF-DOC-01"/>
  </r>
  <r>
    <s v="GD-05"/>
    <s v="H-L 認証実装ガイド"/>
    <s v="ガイド・手順書の執筆"/>
    <s v="OK"/>
    <x v="6"/>
    <x v="126"/>
    <s v="第2部 クライアント登録の申請プロセス"/>
    <s v="接続の申請手続きと、申請から利用開始までにかかる期間の案内"/>
    <s v="ガイド 1 章。申請様式・審査観点・標準的な所要日数が示されている"/>
    <n v="2"/>
    <s v="基盤チーム"/>
    <s v="アプリチーム"/>
    <s v="認証の中核"/>
    <s v="対象が減るぶん規模は縮むが、作業自体は残る"/>
    <s v="対象"/>
    <s v="新規: 機能追加"/>
    <s v="—"/>
    <s v="未着手"/>
    <m/>
    <s v="F-INT-13"/>
  </r>
  <r>
    <s v="GD-06"/>
    <s v="H-L 認証実装ガイド"/>
    <s v="ガイド・手順書の執筆"/>
    <s v="OK"/>
    <x v="6"/>
    <x v="126"/>
    <s v="第2部 環境と接続情報"/>
    <s v="開発・検証・本番それぞれの接続先情報の受け取り方と、環境ごとの違い"/>
    <s v="ガイド 1 章。接続先はアプリ内に直接書かず設定から読む方式であることが明記されている"/>
    <n v="2"/>
    <s v="基盤チーム"/>
    <s v="アプリチーム"/>
    <s v="認証の中核"/>
    <s v="対象が減るぶん規模は縮むが、作業自体は残る"/>
    <s v="対象"/>
    <s v="新規: 機能追加"/>
    <s v="—"/>
    <s v="未着手"/>
    <m/>
    <s v="F-INT-13"/>
  </r>
  <r>
    <s v="GD-07"/>
    <s v="H-L 認証実装ガイド"/>
    <s v="ガイド・手順書の執筆"/>
    <s v="OK"/>
    <x v="6"/>
    <x v="126"/>
    <s v="第2部 Discovery / エンドポイント案内"/>
    <s v="接続に必要な情報を自動取得する仕組みと、その入口となるアドレスの案内"/>
    <s v="ガイド 1 章。取得すべき入口が 1 つに定まり、個別のアドレスを直接書かない原則が明記されている"/>
    <n v="2"/>
    <s v="基盤チーム"/>
    <s v="アプリチーム"/>
    <s v="認証の中核"/>
    <s v="対象が減るぶん規模は縮むが、作業自体は残る"/>
    <s v="対象"/>
    <s v="新規: 機能追加"/>
    <s v="—"/>
    <s v="未着手"/>
    <m/>
    <s v="F-INT-13"/>
  </r>
  <r>
    <s v="GD-08"/>
    <s v="H-L 認証実装ガイド"/>
    <s v="ガイド・手順書の執筆"/>
    <s v="OK"/>
    <x v="6"/>
    <x v="126"/>
    <s v="第2部 クレデンシャル管理"/>
    <s v="アプリに配る接続用パスワードの管理方法と、定期的な入れ替えへの追随方法"/>
    <s v="ガイド 1 章。入れ替え時に接続が切れないための実装要件が示されている"/>
    <n v="2"/>
    <s v="基盤チーム"/>
    <s v="アプリチーム"/>
    <s v="認証の中核"/>
    <s v="対象が減るぶん規模は縮むが、作業自体は残る"/>
    <s v="対象"/>
    <s v="新規: 機能追加"/>
    <s v="—"/>
    <s v="未着手"/>
    <m/>
    <s v="F-INT-13"/>
  </r>
  <r>
    <s v="GD-09"/>
    <s v="H-L 認証実装ガイド"/>
    <s v="ガイド・手順書の執筆"/>
    <s v="OK"/>
    <x v="3"/>
    <x v="3"/>
    <s v="第3部 Webアプリ（BFF / SSR）"/>
    <s v="サーバー側で処理を受け持つ形式のアプリ向けの実装手順。本基盤の推奨形式"/>
    <s v="ガイド 1 章。推奨する理由と、この形式でしか使えない機能が明示されている"/>
    <n v="3"/>
    <s v="基盤チーム"/>
    <s v="基盤チーム"/>
    <s v="認証の中核"/>
    <s v="顧客の認証システムへ委ねる中核で、これが無いと基盤の存在理由が無い"/>
    <s v="対象"/>
    <s v="当初あり"/>
    <s v="—"/>
    <s v="未着手"/>
    <m/>
    <s v="F-AUTH-05"/>
  </r>
  <r>
    <s v="GD-10"/>
    <s v="H-L 認証実装ガイド"/>
    <s v="ガイド・手順書の執筆"/>
    <s v="OK"/>
    <x v="3"/>
    <x v="3"/>
    <s v="第3部 SPA（ブラウザ）"/>
    <s v="ブラウザだけで動く形式のアプリ向けの実装手順と、認める条件"/>
    <s v="ガイド 1 章。通行証をブラウザに保存してはいけない範囲と、使えない機能の制約が明示されている"/>
    <n v="3"/>
    <s v="基盤チーム"/>
    <s v="基盤チーム"/>
    <s v="認証の中核"/>
    <s v="顧客の認証システムへ委ねる中核で、これが無いと基盤の存在理由が無い"/>
    <s v="対象"/>
    <s v="当初あり"/>
    <s v="—"/>
    <s v="未着手"/>
    <m/>
    <s v="F-AUTH-05"/>
  </r>
  <r>
    <s v="GD-11"/>
    <s v="H-L 認証実装ガイド"/>
    <s v="ガイド・手順書の執筆"/>
    <s v="OK"/>
    <x v="32"/>
    <x v="129"/>
    <s v="第3部 ネイティブ / モバイル"/>
    <s v="スマートフォンアプリ向けの実装方針。初期リリースでは対象外"/>
    <s v="ガイド 1 章。対象外である旨と、将来対応時の前提が示されている"/>
    <n v="2"/>
    <s v="基盤チーム"/>
    <s v="アプリチーム"/>
    <s v="認証の中核"/>
    <s v="対象が減るぶん規模は縮むが、作業自体は残る"/>
    <s v="対象"/>
    <s v="新規: 機能追加"/>
    <s v="—"/>
    <s v="未着手"/>
    <m/>
    <s v="NF-DOC-01"/>
  </r>
  <r>
    <s v="GD-12"/>
    <s v="H-L 認証実装ガイド"/>
    <s v="ガイド・手順書の執筆"/>
    <s v="OK"/>
    <x v="28"/>
    <x v="105"/>
    <s v="第3部 サーバ間（M2M）"/>
    <s v="画面を持たないシステム同士の連携で通行証を得る方法"/>
    <s v="ガイド 1 章。必要最小限の権限だけを申請する原則が示されている"/>
    <n v="2"/>
    <s v="基盤チーム"/>
    <s v="アプリチーム"/>
    <s v="事故防止"/>
    <s v="この資格が漏れると全顧客を操作できてしまうため、発行を基盤が握る必要がある"/>
    <s v="対象"/>
    <s v="新規: 非機能・運用"/>
    <s v="—"/>
    <s v="未着手"/>
    <m/>
    <s v="F-AZ-07"/>
  </r>
  <r>
    <s v="GD-13"/>
    <s v="H-L 認証実装ガイド"/>
    <s v="ガイド・手順書の執筆"/>
    <s v="OK"/>
    <x v="19"/>
    <x v="25"/>
    <s v="第3部 既存 SAML SP 向け"/>
    <s v="旧来の方式で接続している既存システム向けの実装要件"/>
    <s v="ガイド 1 章。検証必須項目と、証明書入れ替え時の対応手順が示されている"/>
    <n v="3"/>
    <s v="基盤チーム"/>
    <s v="アプリチーム"/>
    <s v="後から追加可能"/>
    <s v="連携先は 1 つで、無くても認証基盤としては成立する"/>
    <s v="対象"/>
    <s v="新規: 機能追加"/>
    <s v="—"/>
    <s v="未着手"/>
    <m/>
    <s v="F-INT-01"/>
  </r>
  <r>
    <s v="GD-14"/>
    <s v="H-L 認証実装ガイド"/>
    <s v="ガイド・手順書の執筆"/>
    <s v="OK"/>
    <x v="3"/>
    <x v="3"/>
    <s v="第4部 認可リクエスト"/>
    <s v="ログインを開始するときにアプリが必ず付ける情報と、やってはいけない古い方式"/>
    <s v="ガイド 1 章。必須パラメータと禁止事項が判定可能な形で列挙されている"/>
    <n v="2"/>
    <s v="基盤チーム"/>
    <s v="基盤チーム"/>
    <s v="認証の中核"/>
    <s v="顧客の認証システムへ委ねる中核で、これが無いと基盤の存在理由が無い"/>
    <s v="対象"/>
    <s v="当初あり"/>
    <s v="—"/>
    <s v="未着手"/>
    <m/>
    <s v="F-AUTH-05"/>
  </r>
  <r>
    <s v="GD-15"/>
    <s v="H-L 認証実装ガイド"/>
    <s v="ガイド・手順書の執筆"/>
    <s v="OK"/>
    <x v="3"/>
    <x v="3"/>
    <s v="第4部 トークン取得・保存"/>
    <s v="受け取った通行証をどこに保存してよいか・いけないかの方針"/>
    <s v="ガイド 1 章。保存場所ごとの可否と理由が示されている"/>
    <n v="2"/>
    <s v="基盤チーム"/>
    <s v="基盤チーム"/>
    <s v="認証の中核"/>
    <s v="顧客の認証システムへ委ねる中核で、これが無いと基盤の存在理由が無い"/>
    <s v="対象"/>
    <s v="当初あり"/>
    <s v="—"/>
    <s v="未着手"/>
    <m/>
    <s v="F-AUTH-05"/>
  </r>
  <r>
    <s v="GD-16"/>
    <s v="H-L 認証実装ガイド"/>
    <s v="ガイド・手順書の執筆"/>
    <s v="OK"/>
    <x v="17"/>
    <x v="118"/>
    <s v="第4部 アクセストークン検証（RS必須7点）"/>
    <s v="アプリが受け取った通行証を検証するときの必須チェック項目。設定を誤ると検証が素通りする落とし穴の警告を含む"/>
    <s v="ガイド 1 章。7 つの検証項目と、宛先の設定漏れで検証が無効化される罠の警告が示されている"/>
    <n v="4"/>
    <s v="基盤チーム"/>
    <s v="基盤チーム"/>
    <s v="認証の中核"/>
    <s v="顧客の認証システムへ委ねる中核で、これが無いと基盤の存在理由が無い"/>
    <s v="対象"/>
    <s v="当初あり"/>
    <s v="—"/>
    <s v="未着手"/>
    <m/>
    <s v="F-AZ-10"/>
  </r>
  <r>
    <s v="GD-17"/>
    <s v="H-L 認証実装ガイド"/>
    <s v="ガイド・手順書の執筆"/>
    <s v="OK"/>
    <x v="17"/>
    <x v="118"/>
    <s v="第4部 ID Token検証"/>
    <s v="ログインした本人を表す情報を検証する手順"/>
    <s v="ガイド 1 章。必須の検証項目と、追加情報を問い合わせた場合の突き合わせ要件が示されている"/>
    <n v="2"/>
    <s v="基盤チーム"/>
    <s v="基盤チーム"/>
    <s v="認証の中核"/>
    <s v="顧客の認証システムへ委ねる中核で、これが無いと基盤の存在理由が無い"/>
    <s v="対象"/>
    <s v="当初あり"/>
    <s v="—"/>
    <s v="未着手"/>
    <m/>
    <s v="F-AZ-10"/>
  </r>
  <r>
    <s v="GD-18"/>
    <s v="H-L 認証実装ガイド"/>
    <s v="ガイド・手順書の執筆"/>
    <s v="OK"/>
    <x v="31"/>
    <x v="119"/>
    <s v="第4部 JWKS取得・鍵ローテ追随"/>
    <s v="署名の検証に使う鍵の取得方法と、鍵が入れ替わっても止まらないための保持方法。鍵をアプリ内に直接書くことは禁止"/>
    <s v="ガイド 1 章。取得の頻度・保持期間・未知の鍵が来た場合の動き・取得できないときの継続方法が数値で示されている"/>
    <n v="3"/>
    <s v="基盤チーム"/>
    <s v="基盤チーム"/>
    <s v="認証の中核"/>
    <s v="顧客の認証システムへ委ねる中核で、これが無いと基盤の存在理由が無い"/>
    <s v="対象"/>
    <s v="当初あり"/>
    <s v="—"/>
    <s v="未着手"/>
    <m/>
    <s v="F-BAT-04"/>
  </r>
  <r>
    <s v="GD-19"/>
    <s v="H-L 認証実装ガイド"/>
    <s v="ガイド・手順書の執筆"/>
    <s v="OK"/>
    <x v="17"/>
    <x v="104"/>
    <s v="第4部 テナント検証と越境防止"/>
    <s v="他のテナントのデータに触れないようにするための実装要件"/>
    <s v="ガイド 1 章。ログイン情報を要求内容より優先する原則と、データ 1 件ごとの確認が必要な理由が示されている"/>
    <n v="3"/>
    <s v="基盤チーム"/>
    <s v="アプリチーム"/>
    <s v="事故防止"/>
    <s v="他の顧客のデータに手が届くと一度で信用を失うため、基盤で強制するしかない"/>
    <s v="対象"/>
    <s v="新規: 機能追加"/>
    <s v="—"/>
    <s v="未着手"/>
    <m/>
    <s v="F-AZ-05"/>
  </r>
  <r>
    <s v="GD-20"/>
    <s v="H-L 認証実装ガイド"/>
    <s v="ガイド・手順書の執筆"/>
    <s v="OK"/>
    <x v="17"/>
    <x v="86"/>
    <s v="第4部 認可情報の取得"/>
    <s v="アプリが「この利用者は何ができるか」を取得する方法。通行証には権限が入っていないことの説明を含む"/>
    <s v="ガイド 1 章。取得の入口と、結果を保持してよい時間の考え方が示されている"/>
    <n v="3"/>
    <s v="アプリチーム"/>
    <s v="アプリチーム"/>
    <s v="業務ルール依存"/>
    <s v="返す中身が権限データなので、権限をアプリが持てば同時に不要になる"/>
    <s v="対象"/>
    <s v="新規: 機能追加"/>
    <s v="—"/>
    <s v="未着手"/>
    <m/>
    <s v="F-AZ-01"/>
  </r>
  <r>
    <s v="GD-21"/>
    <s v="H-L 認証実装ガイド"/>
    <s v="ガイド・手順書の執筆"/>
    <s v="OK"/>
    <x v="24"/>
    <x v="55"/>
    <s v="第4部 セッション管理"/>
    <s v="ログイン状態がどれくらい続くのか、いつ切れるのかの説明"/>
    <s v="ガイド 1 章。有効期間の一覧と、切れたときのアプリ側の動きが示されている"/>
    <n v="2"/>
    <s v="基盤チーム"/>
    <s v="基盤チーム"/>
    <s v="認証の中核"/>
    <s v="顧客の認証システムへ委ねる中核で、これが無いと基盤の存在理由が無い"/>
    <s v="対象"/>
    <s v="当初あり"/>
    <s v="—"/>
    <s v="未着手"/>
    <m/>
    <s v="F-AUTH-23"/>
  </r>
  <r>
    <s v="GD-22"/>
    <s v="H-L 認証実装ガイド"/>
    <s v="ガイド・手順書の執筆"/>
    <s v="OK"/>
    <x v="24"/>
    <x v="131"/>
    <s v="第4部 ログアウト3方式の使い分け"/>
    <s v="ログアウトの 3 つの方式の違いと、どれをいつ使うかの整理。1 つ実装すれば全アプリで切れる、という誤解を正す"/>
    <s v="ガイド 1 章。3 方式の関係と責任分界が図で示されている"/>
    <n v="2"/>
    <s v="基盤チーム"/>
    <s v="基盤チーム"/>
    <s v="認証の中核"/>
    <s v="顧客の認証システムへ委ねる中核で、これが無いと基盤の存在理由が無い"/>
    <s v="対象"/>
    <s v="当初あり"/>
    <s v="—"/>
    <s v="未着手"/>
    <m/>
    <s v="F-AUTH-24"/>
  </r>
  <r>
    <s v="GD-23"/>
    <s v="H-L 認証実装ガイド"/>
    <s v="ガイド・手順書の執筆"/>
    <s v="OK"/>
    <x v="24"/>
    <x v="131"/>
    <s v="第4部 Back-Channel Logout受信実装"/>
    <s v="他のアプリでのログアウトを受け取って自分のセッションも切る実装。受け取った通知の検証項目を含む"/>
    <s v="ガイド 1 章。8 つの検証項目が列挙され、検証を省くと強制ログアウトの悪用が可能になる旨が警告されている"/>
    <n v="3"/>
    <s v="基盤チーム"/>
    <s v="基盤チーム"/>
    <s v="認証の中核"/>
    <s v="顧客の認証システムへ委ねる中核で、これが無いと基盤の存在理由が無い"/>
    <s v="対象"/>
    <s v="当初あり"/>
    <s v="—"/>
    <s v="未着手"/>
    <m/>
    <s v="F-AUTH-24"/>
  </r>
  <r>
    <s v="GD-24"/>
    <s v="H-L 認証実装ガイド"/>
    <s v="ガイド・手順書の執筆"/>
    <s v="OK"/>
    <x v="24"/>
    <x v="55"/>
    <s v="第4部 リフレッシュトークン"/>
    <s v="通行証を延長するための仕組みと、不正利用が疑われた場合の挙動"/>
    <s v="ガイド 1 章。延長時の入れ替え要件と、失効したときのアプリ側の動きが示されている"/>
    <n v="2"/>
    <s v="基盤チーム"/>
    <s v="基盤チーム"/>
    <s v="認証の中核"/>
    <s v="顧客の認証システムへ委ねる中核で、これが無いと基盤の存在理由が無い"/>
    <s v="対象"/>
    <s v="当初あり"/>
    <s v="—"/>
    <s v="未着手"/>
    <m/>
    <s v="F-AUTH-23"/>
  </r>
  <r>
    <s v="GD-25"/>
    <s v="H-L 認証実装ガイド"/>
    <s v="ガイド・手順書の執筆"/>
    <s v="OK"/>
    <x v="15"/>
    <x v="18"/>
    <s v="第4部 step-up認証"/>
    <s v="重要操作のときに追加認証を求められた場合のアプリ側の対応方法"/>
    <s v="ガイド 1 章。追加認証を求める応答の読み取り方と、再ログイン要求の組み立て方が示されている"/>
    <n v="2"/>
    <s v="基盤チーム"/>
    <s v="アプリチーム"/>
    <s v="代替手段あり"/>
    <s v="【省略・吸収】ステップアップ認証は不要と決定。人日は復活時のために残す"/>
    <s v="対象外：省略・吸収"/>
    <s v="当初あり"/>
    <s v="—"/>
    <s v="未着手"/>
    <m/>
    <s v="F-AUTH-17"/>
  </r>
  <r>
    <s v="GD-26"/>
    <s v="H-L 認証実装ガイド"/>
    <s v="ガイド・手順書の執筆"/>
    <s v="OK"/>
    <x v="8"/>
    <x v="9"/>
    <s v="第5部 必須セキュリティ要件チェックリスト"/>
    <s v="接続前に満たすべきセキュリティ要件を、確認できる形にまとめた一覧"/>
    <s v="ガイド 1 章。各項目が満たす／満たさないで判定でき、受入審査に使える"/>
    <n v="2"/>
    <s v="基盤チーム"/>
    <s v="アプリチーム"/>
    <s v="認証の中核"/>
    <s v="対象が減るぶん規模は縮むが、作業自体は残る"/>
    <s v="対象"/>
    <s v="新規: 機能追加"/>
    <s v="—"/>
    <s v="未着手"/>
    <m/>
    <s v="NF-SEC-01"/>
  </r>
  <r>
    <s v="GD-27"/>
    <s v="H-L 認証実装ガイド"/>
    <s v="ガイド・手順書の執筆"/>
    <s v="OK"/>
    <x v="8"/>
    <x v="9"/>
    <s v="第5部 CORS / SameSite / CSP"/>
    <s v="ブラウザからの通信を安全にするための設定要件"/>
    <s v="ガイド 1 章。許可する接続元の指定方法と、緩めてはいけない設定が示されている"/>
    <n v="2"/>
    <s v="基盤チーム"/>
    <s v="アプリチーム"/>
    <s v="認証の中核"/>
    <s v="対象が減るぶん規模は縮むが、作業自体は残る"/>
    <s v="対象"/>
    <s v="新規: 機能追加"/>
    <s v="—"/>
    <s v="未着手"/>
    <m/>
    <s v="NF-SEC-01"/>
  </r>
  <r>
    <s v="GD-28"/>
    <s v="H-L 認証実装ガイド"/>
    <s v="ガイド・手順書の執筆"/>
    <s v="OK"/>
    <x v="8"/>
    <x v="9"/>
    <s v="第5部 禁止事項・アンチパターン集"/>
    <s v="やってはいけない実装をまとめた一覧。実際に事故につながる 23 項目"/>
    <s v="ガイド 1 章。各項目に「何が起きるか」が併記され、レビュー時のチェックに使える"/>
    <n v="3"/>
    <s v="基盤チーム"/>
    <s v="アプリチーム"/>
    <s v="認証の中核"/>
    <s v="対象が減るぶん規模は縮むが、作業自体は残る"/>
    <s v="対象"/>
    <s v="新規: 機能追加"/>
    <s v="—"/>
    <s v="未着手"/>
    <m/>
    <s v="NF-SEC-01"/>
  </r>
  <r>
    <s v="GD-29"/>
    <s v="H-L 認証実装ガイド"/>
    <s v="ガイド・手順書の執筆"/>
    <s v="OK"/>
    <x v="8"/>
    <x v="47"/>
    <s v="第5部 ログ・監査"/>
    <s v="記録に残してよい情報・いけない情報と、問い合わせ調査のための共通の目印"/>
    <s v="ガイド 1 章。通行証を記録に残さない原則と、調査用の目印の付け方が示されている"/>
    <n v="1"/>
    <s v="基盤チーム"/>
    <s v="アプリチーム"/>
    <s v="認証の中核"/>
    <s v="対象が減るぶん規模は縮むが、作業自体は残る"/>
    <s v="対象"/>
    <s v="新規: 機能追加"/>
    <s v="—"/>
    <s v="未着手"/>
    <m/>
    <s v="NF-SEC-03"/>
  </r>
  <r>
    <s v="GD-30"/>
    <s v="H-L 認証実装ガイド"/>
    <s v="ガイド・手順書の執筆"/>
    <s v="OK"/>
    <x v="25"/>
    <x v="50"/>
    <s v="第6部 エラーコード一覧と期待動作"/>
    <s v="エラーが返ったときにアプリが取るべき動作の一覧。すぐ再試行すれば成功するものをエラー画面にしない注意を含む"/>
    <s v="ガイド 1 章。主要なエラーごとに期待動作が定義され、再試行で回復するものが明示されている"/>
    <n v="3"/>
    <s v="基盤チーム"/>
    <s v="アプリチーム"/>
    <s v="認証の中核"/>
    <s v="対象が減るぶん規模は縮むが、作業自体は残る"/>
    <s v="対象"/>
    <s v="新規: 機能追加"/>
    <s v="—"/>
    <s v="未着手"/>
    <m/>
    <s v="NF-STD-02"/>
  </r>
  <r>
    <s v="GD-31"/>
    <s v="H-L 認証実装ガイド"/>
    <s v="ガイド・手順書の執筆"/>
    <s v="OK"/>
    <x v="12"/>
    <x v="132"/>
    <s v="第6部 403 → Sorry誘導規約"/>
    <s v="権限が足りない場合に共通の案内画面へ誘導する決まり"/>
    <s v="ガイド 1 章。誘導先と、渡してよい理由コードが限定列挙されている"/>
    <n v="1"/>
    <s v="基盤チーム"/>
    <s v="アプリチーム"/>
    <s v="認証の中核"/>
    <s v="対象が減るぶん規模は縮むが、作業自体は残る"/>
    <s v="対象"/>
    <s v="新規: 機能追加"/>
    <s v="—"/>
    <s v="未着手"/>
    <m/>
    <s v="F-AUTH-27"/>
  </r>
  <r>
    <s v="GD-32"/>
    <s v="H-L 認証実装ガイド"/>
    <s v="ガイド・手順書の執筆"/>
    <s v="OK"/>
    <x v="25"/>
    <x v="51"/>
    <s v="第6部 認証失敗・再認証のUX"/>
    <s v="ログインできなかったときに利用者へ見せる案内の考え方"/>
    <s v="ガイド 1 章。再ログインへの誘導方法と、原因を詳しく出しすぎない方針が示されている"/>
    <n v="1"/>
    <s v="基盤チーム"/>
    <s v="アプリチーム"/>
    <s v="認証の中核"/>
    <s v="対象が減るぶん規模は縮むが、作業自体は残る"/>
    <s v="対象"/>
    <s v="新規: 機能追加"/>
    <s v="—"/>
    <s v="未着手"/>
    <m/>
    <s v="NF-STD-03"/>
  </r>
  <r>
    <s v="GD-33"/>
    <s v="H-L 認証実装ガイド"/>
    <s v="ガイド・手順書の執筆"/>
    <s v="OK"/>
    <x v="12"/>
    <x v="14"/>
    <s v="第6部 ブランド・ログインボタン"/>
    <s v="ログインボタンの表記やロゴの使い方の決まり"/>
    <s v="ガイド 1 章。表記の統一ルールと、使用可能な素材が示されている"/>
    <n v="1"/>
    <s v="基盤チーム"/>
    <s v="アプリチーム"/>
    <s v="認証の中核"/>
    <s v="対象が減るぶん規模は縮むが、作業自体は残る"/>
    <s v="対象"/>
    <s v="新規: 機能追加"/>
    <s v="—"/>
    <s v="未着手"/>
    <m/>
    <s v="F-AUTH-25"/>
  </r>
  <r>
    <s v="GD-34"/>
    <s v="H-L 認証実装ガイド"/>
    <s v="ガイド・手順書の執筆"/>
    <s v="OK"/>
    <x v="28"/>
    <x v="106"/>
    <s v="第7部 Token Exchange"/>
    <s v="あるアプリ向けの通行証を別のアプリ向けに交換する仕組みの使い方"/>
    <s v="ガイド 1 章。交換を許す条件と、権限を広げてはいけない原則が示されている"/>
    <n v="2"/>
    <s v="基盤チーム"/>
    <s v="アプリチーム"/>
    <s v="後から追加可能"/>
    <s v="必要になってから足せる仕組みで、初期に無くても困らない"/>
    <s v="対象"/>
    <s v="新規: 機能追加"/>
    <s v="—"/>
    <s v="未着手"/>
    <m/>
    <s v="F-AZ-08"/>
  </r>
  <r>
    <s v="GD-35"/>
    <s v="H-L 認証実装ガイド"/>
    <s v="ガイド・手順書の執筆"/>
    <s v="OK"/>
    <x v="6"/>
    <x v="109"/>
    <s v="第7部 Webhook受信"/>
    <s v="利用者の変更通知を受け取るアプリ側の実装要件。同じ通知が二重に来ても大丈夫にする方法を含む"/>
    <s v="ガイド 1 章。署名の確認・重複排除・順序が保証されない前提での作り方が示されている"/>
    <n v="2"/>
    <s v="アプリチーム"/>
    <s v="アプリチーム"/>
    <s v="代替手段あり"/>
    <s v="アプリが定期的に問い合わせる方式にすれば、押し込まなくても成立する"/>
    <s v="対象"/>
    <s v="新規: 機能追加"/>
    <s v="—"/>
    <s v="未着手"/>
    <m/>
    <s v="F-INT-04"/>
  </r>
  <r>
    <s v="GD-36"/>
    <s v="H-L 認証実装ガイド"/>
    <s v="ガイド・手順書の執筆"/>
    <s v="OK"/>
    <x v="6"/>
    <x v="7"/>
    <s v="第7部 CAEP receiver"/>
    <s v="利用者の状態変化を即時に受け取る新方式の姿勢。初期リリースでは対象外"/>
    <s v="ガイド 1 章。対象外である旨と、当面の代替手段が示されている"/>
    <n v="1"/>
    <s v="基盤チーム"/>
    <s v="アプリチーム"/>
    <s v="後から追加可能"/>
    <s v="検知が無くても認証は動く。まず動かしてから精度を上げる順序にできる"/>
    <s v="対象"/>
    <s v="新規: 機能追加"/>
    <s v="—"/>
    <s v="未着手"/>
    <m/>
    <s v="F-INT-12"/>
  </r>
  <r>
    <s v="GD-37"/>
    <s v="H-L 認証実装ガイド"/>
    <s v="ガイド・手順書の執筆"/>
    <s v="OK"/>
    <x v="25"/>
    <x v="50"/>
    <s v="第8部 レート制限と作法"/>
    <s v="呼び出し回数の上限と、上限に達したときの正しい待ち方"/>
    <s v="ガイド 1 章。応答に含まれる待ち時間の読み方と、自己流の待ち方をしない旨が示されている"/>
    <n v="2"/>
    <s v="基盤チーム"/>
    <s v="アプリチーム"/>
    <s v="認証の中核"/>
    <s v="対象が減るぶん規模は縮むが、作業自体は残る"/>
    <s v="対象"/>
    <s v="新規: 機能追加"/>
    <s v="—"/>
    <s v="未着手"/>
    <m/>
    <s v="NF-STD-02"/>
  </r>
  <r>
    <s v="GD-38"/>
    <s v="H-L 認証実装ガイド"/>
    <s v="ガイド・手順書の執筆"/>
    <s v="OK"/>
    <x v="9"/>
    <x v="37"/>
    <s v="第8部 障害時の挙動"/>
    <s v="基盤側で障害が起きたときにアプリ側で何が起きるか、どこまで動き続けるかの説明"/>
    <s v="ガイド 1 章。止まる範囲・動き続ける範囲と、復旧時に再ログインが必要になる条件が示されている"/>
    <n v="2"/>
    <s v="基盤チーム"/>
    <s v="アプリチーム"/>
    <s v="認証の中核"/>
    <s v="対象が減るぶん規模は縮むが、作業自体は残る"/>
    <s v="対象"/>
    <s v="新規: 機能追加"/>
    <s v="—"/>
    <s v="未着手"/>
    <m/>
    <s v="NF-OPS-03"/>
  </r>
  <r>
    <s v="GD-39"/>
    <s v="H-L 認証実装ガイド"/>
    <s v="ガイド・手順書の執筆"/>
    <s v="OK"/>
    <x v="9"/>
    <x v="123"/>
    <s v="第8部 監視・可観測性"/>
    <s v="アプリ側で持つべき監視の観点と、基盤側の定期確認への協力事項"/>
    <s v="ガイド 1 章。調査用の目印の連携方法と、確認用の入口の扱いが示されている"/>
    <n v="2"/>
    <s v="基盤チーム"/>
    <s v="アプリチーム"/>
    <s v="認証の中核"/>
    <s v="対象が減るぶん規模は縮むが、作業自体は残る"/>
    <s v="対象"/>
    <s v="新規: 機能追加"/>
    <s v="—"/>
    <s v="未着手"/>
    <m/>
    <s v="NF-OPS-01"/>
  </r>
  <r>
    <s v="GD-40"/>
    <s v="H-L 認証実装ガイド"/>
    <s v="ガイド・手順書の執筆"/>
    <s v="OK"/>
    <x v="13"/>
    <x v="128"/>
    <s v="第8部 SLA・制約事項"/>
    <s v="契約上アプリ側に理解してもらう必要がある制約の一覧。止めてから完全に切れるまでの時間差など"/>
    <s v="ガイド 1 章。制約が具体的な時間・条件つきで列挙され、契約文書と対応づいている"/>
    <n v="2"/>
    <s v="基盤チーム"/>
    <s v="アプリチーム"/>
    <s v="認証の中核"/>
    <s v="対象が減るぶん規模は縮むが、作業自体は残る"/>
    <s v="対象"/>
    <s v="新規: 機能追加"/>
    <s v="—"/>
    <s v="未着手"/>
    <m/>
    <s v="NF-AVL-03"/>
  </r>
  <r>
    <s v="GD-41"/>
    <s v="H-L 認証実装ガイド"/>
    <s v="ガイド・手順書の執筆"/>
    <s v="OK"/>
    <x v="25"/>
    <x v="50"/>
    <s v="第8部 バージョニング・廃止ポリシー"/>
    <s v="接続仕様が変わるときの通知方法と、移行にかけられる期間の約束"/>
    <s v="ガイド 1 章。事前通知の期間と、通知の届く手段が示されている"/>
    <n v="1"/>
    <s v="基盤チーム"/>
    <s v="アプリチーム"/>
    <s v="認証の中核"/>
    <s v="対象が減るぶん規模は縮むが、作業自体は残る"/>
    <s v="対象"/>
    <s v="新規: 機能追加"/>
    <s v="—"/>
    <s v="未着手"/>
    <m/>
    <s v="NF-STD-02"/>
  </r>
  <r>
    <s v="GD-42"/>
    <s v="H-L 認証実装ガイド"/>
    <s v="ガイド・手順書の執筆"/>
    <s v="OK"/>
    <x v="18"/>
    <x v="30"/>
    <s v="第9部 サンドボックス・テスト方法"/>
    <s v="本番につなぐ前に試せる環境と、確認しておくべき項目"/>
    <s v="ガイド 1 章。検証環境の入手方法と、試験用の利用者の扱いが示されている"/>
    <n v="2"/>
    <s v="基盤チーム"/>
    <s v="アプリチーム"/>
    <s v="認証の中核"/>
    <s v="対象が減るぶん規模は縮むが、作業自体は残る"/>
    <s v="対象"/>
    <s v="新規: 機能追加"/>
    <s v="—"/>
    <s v="未着手"/>
    <m/>
    <s v="NF-MIG-01"/>
  </r>
  <r>
    <s v="GD-43"/>
    <s v="H-L 認証実装ガイド"/>
    <s v="ガイド・手順書の執筆"/>
    <s v="OK"/>
    <x v="18"/>
    <x v="24"/>
    <s v="第9部 本番移行チェックリスト・ゲート"/>
    <s v="本番接続の前に満たす条件をまとめたチェックリスト"/>
    <s v="ガイド 1 章。判定可能な項目で構成され、外部の適合性試験の推奨も含まれている"/>
    <n v="3"/>
    <s v="基盤チーム"/>
    <s v="アプリチーム"/>
    <s v="認証の中核"/>
    <s v="対象が減るぶん規模は縮むが、作業自体は残る"/>
    <s v="対象"/>
    <s v="新規: 機能追加"/>
    <s v="—"/>
    <s v="未着手"/>
    <m/>
    <s v="NF-MIG-02"/>
  </r>
  <r>
    <s v="GD-44"/>
    <s v="H-L 認証実装ガイド"/>
    <s v="ガイド・手順書の執筆"/>
    <s v="OK"/>
    <x v="9"/>
    <x v="37"/>
    <s v="第9部 ローンチ後の変更手順"/>
    <s v="本番稼働後に設定を変えたくなったときの手続き"/>
    <s v="ガイド 1 章。変更できる項目ごとの申請方法と所要期間が示されている"/>
    <n v="1"/>
    <s v="基盤チーム"/>
    <s v="アプリチーム"/>
    <s v="認証の中核"/>
    <s v="対象が減るぶん規模は縮むが、作業自体は残る"/>
    <s v="対象"/>
    <s v="新規: 機能追加"/>
    <s v="—"/>
    <s v="未着手"/>
    <m/>
    <s v="NF-OPS-03"/>
  </r>
  <r>
    <s v="GD-45"/>
    <s v="H-L 認証実装ガイド"/>
    <s v="ガイド・手順書の執筆"/>
    <s v="OK"/>
    <x v="18"/>
    <x v="24"/>
    <s v="第9部 移行ガイド"/>
    <s v="旧来のやり方から本基盤へ切り替える場合の移行手順"/>
    <s v="ガイド 1 章。切り替え時の並行運用の考え方と、注意点が示されている"/>
    <n v="1"/>
    <s v="基盤チーム"/>
    <s v="アプリチーム"/>
    <s v="認証の中核"/>
    <s v="対象が減るぶん規模は縮むが、作業自体は残る"/>
    <s v="対象"/>
    <s v="新規: 機能追加"/>
    <s v="—"/>
    <s v="未着手"/>
    <m/>
    <s v="NF-MIG-02"/>
  </r>
  <r>
    <s v="GD-46"/>
    <s v="H-L 認証実装ガイド"/>
    <s v="ガイド・手順書の執筆"/>
    <s v="OK"/>
    <x v="25"/>
    <x v="50"/>
    <s v="第10部 エンドポイント・リファレンス"/>
    <s v="接続に使う各種アドレスの一覧"/>
    <s v="ガイド 1 章。用途ごとに整理され、直接書かずに取得する方針と矛盾しない形で示されている"/>
    <n v="1"/>
    <s v="基盤チーム"/>
    <s v="アプリチーム"/>
    <s v="認証の中核"/>
    <s v="対象が減るぶん規模は縮むが、作業自体は残る"/>
    <s v="対象"/>
    <s v="新規: 機能追加"/>
    <s v="—"/>
    <s v="未着手"/>
    <m/>
    <s v="NF-STD-02"/>
  </r>
  <r>
    <s v="GD-47"/>
    <s v="H-L 認証実装ガイド"/>
    <s v="ガイド・手順書の執筆"/>
    <s v="OK"/>
    <x v="17"/>
    <x v="118"/>
    <s v="第10部 クレーム辞書・スコープ一覧"/>
    <s v="通行証に入っている情報と、申請できる権限の一覧"/>
    <s v="ガイド 1 章。各項目の意味と、権限を認可判断に使ってよい／いけない区別が示されている"/>
    <n v="2"/>
    <s v="基盤チーム"/>
    <s v="アプリチーム"/>
    <s v="認証の中核"/>
    <s v="対象が減るぶん規模は縮むが、作業自体は残る"/>
    <s v="対象"/>
    <s v="新規: 機能追加"/>
    <s v="—"/>
    <s v="未着手"/>
    <m/>
    <s v="F-AZ-10"/>
  </r>
  <r>
    <s v="GD-48"/>
    <s v="H-L 認証実装ガイド"/>
    <s v="ガイド・手順書の執筆"/>
    <s v="OK"/>
    <x v="32"/>
    <x v="129"/>
    <s v="第10部 推奨ライブラリ"/>
    <s v="使ってよい実装ライブラリの方針。特定製品専用の古い部品は使わせない"/>
    <s v="ガイド 1 章。推奨するライブラリの条件と、使用を認めない部品が明示されている"/>
    <n v="1"/>
    <s v="基盤チーム"/>
    <s v="アプリチーム"/>
    <s v="認証の中核"/>
    <s v="対象が減るぶん規模は縮むが、作業自体は残る"/>
    <s v="対象"/>
    <s v="新規: 機能追加"/>
    <s v="—"/>
    <s v="未着手"/>
    <m/>
    <s v="NF-DOC-01"/>
  </r>
  <r>
    <s v="GD-49"/>
    <s v="H-L 認証実装ガイド"/>
    <s v="ガイド・手順書の執筆"/>
    <s v="OK"/>
    <x v="32"/>
    <x v="129"/>
    <s v="第10部 サポート窓口・FAQ"/>
    <s v="困ったときの問い合わせ先と、よくある質問"/>
    <s v="ガイド 1 章。緊急度別の連絡先と、回答の目安時間が示されている"/>
    <n v="1"/>
    <s v="基盤チーム"/>
    <s v="アプリチーム"/>
    <s v="認証の中核"/>
    <s v="対象が減るぶん規模は縮むが、作業自体は残る"/>
    <s v="対象"/>
    <s v="新規: 機能追加"/>
    <s v="—"/>
    <s v="未着手"/>
    <m/>
    <s v="NF-DOC-01"/>
  </r>
  <r>
    <s v="GD-50"/>
    <s v="H-L 認証実装ガイド"/>
    <s v="ガイド・手順書の執筆"/>
    <s v="OK"/>
    <x v="7"/>
    <x v="42"/>
    <s v="第10部 ドキュメント変更履歴"/>
    <s v="このガイド自体の改訂履歴と、更新の知らせ方"/>
    <s v="ガイド 1 章。改訂の記録様式と、読者への通知方法が定義されている"/>
    <n v="1"/>
    <s v="基盤チーム"/>
    <s v="アプリチーム"/>
    <s v="認証の中核"/>
    <s v="対象が減るぶん規模は縮むが、作業自体は残る"/>
    <s v="対象"/>
    <s v="新規: 機能追加"/>
    <s v="—"/>
    <s v="未着手"/>
    <m/>
    <s v="NF-MGT-01"/>
  </r>
  <r>
    <s v="GD-51"/>
    <s v="H-L 認証実装ガイド"/>
    <s v="ガイド・手順書の執筆"/>
    <s v="OK"/>
    <x v="32"/>
    <x v="129"/>
    <s v="シーケンス図・構成図（主要8フロー）"/>
    <s v="ガイド内で使う処理の流れ図の作成"/>
    <s v="主要 8 パターンの流れ図。各章から参照され、文章と図の内容が一致している"/>
    <n v="3"/>
    <s v="基盤チーム"/>
    <s v="アプリチーム"/>
    <s v="認証の中核"/>
    <s v="対象が減るぶん規模は縮むが、作業自体は残る"/>
    <s v="対象"/>
    <s v="新規: 機能追加"/>
    <s v="—"/>
    <s v="未着手"/>
    <m/>
    <s v="NF-DOC-01"/>
  </r>
  <r>
    <s v="GD-52"/>
    <s v="H-L 認証実装ガイド"/>
    <s v="ガイド・手順書の執筆"/>
    <s v="OK"/>
    <x v="7"/>
    <x v="125"/>
    <s v="全体レビュー・整合性確認"/>
    <s v="ガイド全体を通しての整合性の確認と、設計書との突き合わせ"/>
    <s v="レビュー記録。設計書の決定と食い違う記述がないことが確認されている"/>
    <n v="3"/>
    <s v="基盤チーム"/>
    <s v="アプリチーム"/>
    <s v="認証の中核"/>
    <s v="対象が減るぶん規模は縮むが、作業自体は残る"/>
    <s v="対象"/>
    <s v="新規: 機能追加"/>
    <s v="—"/>
    <s v="未着手"/>
    <m/>
    <s v="NF-MGT-06"/>
  </r>
  <r>
    <s v="GD-53"/>
    <s v="H-L 認証実装ガイド"/>
    <s v="ガイド・手順書の執筆"/>
    <s v="OK"/>
    <x v="7"/>
    <x v="125"/>
    <s v="アプリチーム向け説明会・フィードバック反映"/>
    <s v="アプリ開発チームへの説明会と、そこで出た指摘の反映"/>
    <s v="説明会の実施記録と改訂版ガイド。参加チームからの指摘が反映されている"/>
    <n v="3"/>
    <s v="基盤チーム"/>
    <s v="アプリチーム"/>
    <s v="認証の中核"/>
    <s v="対象が減るぶん規模は縮むが、作業自体は残る"/>
    <s v="対象"/>
    <s v="新規: 機能追加"/>
    <s v="—"/>
    <s v="未着手"/>
    <m/>
    <s v="NF-MGT-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AAA9D9-8BD8-4641-9715-910FD75B1FD2}" name="ピボットテーブル1" cacheId="10"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A170" firstHeaderRow="1" firstDataRow="1" firstDataCol="1"/>
  <pivotFields count="20">
    <pivotField showAll="0"/>
    <pivotField showAll="0"/>
    <pivotField showAll="0"/>
    <pivotField showAll="0"/>
    <pivotField axis="axisRow" showAll="0">
      <items count="73">
        <item m="1" x="48"/>
        <item m="1" x="59"/>
        <item m="1" x="61"/>
        <item m="1" x="37"/>
        <item m="1" x="50"/>
        <item m="1" x="39"/>
        <item m="1" x="67"/>
        <item m="1" x="64"/>
        <item m="1" x="60"/>
        <item m="1" x="36"/>
        <item m="1" x="52"/>
        <item m="1" x="44"/>
        <item m="1" x="33"/>
        <item m="1" x="69"/>
        <item m="1" x="47"/>
        <item x="14"/>
        <item m="1" x="43"/>
        <item x="16"/>
        <item m="1" x="65"/>
        <item m="1" x="49"/>
        <item m="1" x="56"/>
        <item m="1" x="66"/>
        <item m="1" x="57"/>
        <item m="1" x="68"/>
        <item m="1" x="34"/>
        <item m="1" x="53"/>
        <item m="1" x="71"/>
        <item m="1" x="55"/>
        <item m="1" x="45"/>
        <item m="1" x="62"/>
        <item m="1" x="70"/>
        <item m="1" x="38"/>
        <item m="1" x="40"/>
        <item m="1" x="41"/>
        <item m="1" x="58"/>
        <item x="15"/>
        <item m="1" x="35"/>
        <item m="1" x="42"/>
        <item x="22"/>
        <item m="1" x="54"/>
        <item m="1" x="51"/>
        <item m="1" x="46"/>
        <item m="1" x="63"/>
        <item x="0"/>
        <item x="1"/>
        <item x="2"/>
        <item x="3"/>
        <item x="4"/>
        <item x="5"/>
        <item x="6"/>
        <item x="7"/>
        <item x="8"/>
        <item x="9"/>
        <item x="10"/>
        <item x="11"/>
        <item x="12"/>
        <item x="13"/>
        <item x="17"/>
        <item x="18"/>
        <item x="19"/>
        <item x="20"/>
        <item x="21"/>
        <item x="23"/>
        <item x="24"/>
        <item x="25"/>
        <item x="26"/>
        <item x="27"/>
        <item x="28"/>
        <item x="29"/>
        <item x="30"/>
        <item x="31"/>
        <item x="32"/>
        <item t="default"/>
      </items>
    </pivotField>
    <pivotField axis="axisRow" showAll="0">
      <items count="208">
        <item m="1" x="166"/>
        <item m="1" x="179"/>
        <item m="1" x="182"/>
        <item x="97"/>
        <item x="96"/>
        <item x="95"/>
        <item x="105"/>
        <item x="53"/>
        <item x="104"/>
        <item m="1" x="202"/>
        <item x="106"/>
        <item x="69"/>
        <item x="93"/>
        <item x="70"/>
        <item x="5"/>
        <item m="1" x="159"/>
        <item m="1" x="149"/>
        <item m="1" x="164"/>
        <item x="61"/>
        <item x="58"/>
        <item m="1" x="143"/>
        <item m="1" x="141"/>
        <item m="1" x="150"/>
        <item m="1" x="146"/>
        <item m="1" x="145"/>
        <item m="1" x="152"/>
        <item m="1" x="155"/>
        <item m="1" x="138"/>
        <item m="1" x="140"/>
        <item m="1" x="133"/>
        <item m="1" x="157"/>
        <item m="1" x="199"/>
        <item m="1" x="191"/>
        <item m="1" x="153"/>
        <item m="1" x="147"/>
        <item m="1" x="204"/>
        <item m="1" x="206"/>
        <item m="1" x="205"/>
        <item m="1" x="183"/>
        <item m="1" x="178"/>
        <item m="1" x="154"/>
        <item x="108"/>
        <item x="25"/>
        <item m="1" x="148"/>
        <item x="107"/>
        <item x="102"/>
        <item m="1" x="175"/>
        <item x="86"/>
        <item m="1" x="190"/>
        <item x="103"/>
        <item m="1" x="144"/>
        <item m="1" x="197"/>
        <item m="1" x="171"/>
        <item m="1" x="169"/>
        <item m="1" x="170"/>
        <item m="1" x="168"/>
        <item m="1" x="192"/>
        <item m="1" x="134"/>
        <item x="99"/>
        <item x="100"/>
        <item x="13"/>
        <item m="1" x="135"/>
        <item m="1" x="161"/>
        <item m="1" x="136"/>
        <item x="48"/>
        <item x="77"/>
        <item m="1" x="172"/>
        <item x="82"/>
        <item x="85"/>
        <item x="20"/>
        <item m="1" x="187"/>
        <item m="1" x="189"/>
        <item m="1" x="176"/>
        <item m="1" x="181"/>
        <item x="18"/>
        <item m="1" x="163"/>
        <item m="1" x="203"/>
        <item m="1" x="173"/>
        <item m="1" x="162"/>
        <item m="1" x="174"/>
        <item x="119"/>
        <item m="1" x="196"/>
        <item x="121"/>
        <item m="1" x="137"/>
        <item x="59"/>
        <item x="110"/>
        <item m="1" x="195"/>
        <item x="101"/>
        <item x="6"/>
        <item m="1" x="139"/>
        <item m="1" x="167"/>
        <item m="1" x="160"/>
        <item x="120"/>
        <item x="98"/>
        <item x="46"/>
        <item x="79"/>
        <item m="1" x="200"/>
        <item x="63"/>
        <item m="1" x="184"/>
        <item x="28"/>
        <item x="68"/>
        <item x="64"/>
        <item m="1" x="185"/>
        <item x="65"/>
        <item x="19"/>
        <item m="1" x="194"/>
        <item m="1" x="180"/>
        <item m="1" x="193"/>
        <item x="81"/>
        <item x="78"/>
        <item x="117"/>
        <item m="1" x="201"/>
        <item m="1" x="198"/>
        <item m="1" x="142"/>
        <item x="27"/>
        <item m="1" x="165"/>
        <item x="116"/>
        <item x="21"/>
        <item x="67"/>
        <item x="80"/>
        <item x="57"/>
        <item x="56"/>
        <item m="1" x="186"/>
        <item x="92"/>
        <item x="94"/>
        <item m="1" x="188"/>
        <item x="88"/>
        <item x="71"/>
        <item x="2"/>
        <item m="1" x="158"/>
        <item x="89"/>
        <item x="90"/>
        <item m="1" x="156"/>
        <item m="1" x="177"/>
        <item x="72"/>
        <item x="35"/>
        <item m="1" x="151"/>
        <item x="0"/>
        <item x="1"/>
        <item x="3"/>
        <item x="4"/>
        <item x="7"/>
        <item x="8"/>
        <item x="9"/>
        <item x="10"/>
        <item x="11"/>
        <item x="12"/>
        <item x="14"/>
        <item x="15"/>
        <item x="16"/>
        <item x="17"/>
        <item x="22"/>
        <item x="23"/>
        <item x="24"/>
        <item x="26"/>
        <item x="29"/>
        <item x="30"/>
        <item x="31"/>
        <item x="32"/>
        <item x="33"/>
        <item x="34"/>
        <item x="36"/>
        <item x="37"/>
        <item x="38"/>
        <item x="39"/>
        <item x="40"/>
        <item x="41"/>
        <item x="42"/>
        <item x="43"/>
        <item x="44"/>
        <item x="45"/>
        <item x="47"/>
        <item x="49"/>
        <item x="50"/>
        <item x="51"/>
        <item x="52"/>
        <item x="54"/>
        <item x="55"/>
        <item x="60"/>
        <item x="62"/>
        <item x="66"/>
        <item x="73"/>
        <item x="74"/>
        <item x="75"/>
        <item x="76"/>
        <item x="83"/>
        <item x="84"/>
        <item x="87"/>
        <item x="91"/>
        <item x="109"/>
        <item x="111"/>
        <item x="112"/>
        <item x="113"/>
        <item x="114"/>
        <item x="115"/>
        <item x="118"/>
        <item x="122"/>
        <item x="123"/>
        <item x="124"/>
        <item x="125"/>
        <item x="126"/>
        <item x="127"/>
        <item x="128"/>
        <item x="129"/>
        <item x="130"/>
        <item x="131"/>
        <item x="132"/>
        <item t="default"/>
      </items>
    </pivotField>
    <pivotField showAll="0"/>
    <pivotField showAll="0"/>
    <pivotField showAll="0"/>
    <pivotField numFmtId="184" showAll="0"/>
    <pivotField showAll="0"/>
    <pivotField showAll="0"/>
    <pivotField showAll="0"/>
    <pivotField showAll="0"/>
    <pivotField showAll="0"/>
    <pivotField showAll="0"/>
    <pivotField showAll="0"/>
    <pivotField showAll="0"/>
    <pivotField showAll="0"/>
    <pivotField showAll="0"/>
  </pivotFields>
  <rowFields count="2">
    <field x="4"/>
    <field x="5"/>
  </rowFields>
  <rowItems count="167">
    <i>
      <x v="15"/>
    </i>
    <i r="1">
      <x v="117"/>
    </i>
    <i r="1">
      <x v="150"/>
    </i>
    <i>
      <x v="17"/>
    </i>
    <i r="1">
      <x v="4"/>
    </i>
    <i r="1">
      <x v="45"/>
    </i>
    <i r="1">
      <x v="49"/>
    </i>
    <i r="1">
      <x v="64"/>
    </i>
    <i r="1">
      <x v="68"/>
    </i>
    <i r="1">
      <x v="69"/>
    </i>
    <i>
      <x v="35"/>
    </i>
    <i r="1">
      <x v="74"/>
    </i>
    <i r="1">
      <x v="97"/>
    </i>
    <i r="1">
      <x v="99"/>
    </i>
    <i r="1">
      <x v="100"/>
    </i>
    <i r="1">
      <x v="101"/>
    </i>
    <i r="1">
      <x v="103"/>
    </i>
    <i r="1">
      <x v="180"/>
    </i>
    <i>
      <x v="38"/>
    </i>
    <i r="1">
      <x v="127"/>
    </i>
    <i r="1">
      <x v="134"/>
    </i>
    <i r="1">
      <x v="135"/>
    </i>
    <i>
      <x v="43"/>
    </i>
    <i r="1">
      <x v="137"/>
    </i>
    <i r="1">
      <x v="151"/>
    </i>
    <i r="1">
      <x v="157"/>
    </i>
    <i r="1">
      <x v="160"/>
    </i>
    <i>
      <x v="44"/>
    </i>
    <i r="1">
      <x v="138"/>
    </i>
    <i r="1">
      <x v="181"/>
    </i>
    <i r="1">
      <x v="182"/>
    </i>
    <i r="1">
      <x v="183"/>
    </i>
    <i r="1">
      <x v="184"/>
    </i>
    <i>
      <x v="45"/>
    </i>
    <i r="1">
      <x v="67"/>
    </i>
    <i r="1">
      <x v="95"/>
    </i>
    <i r="1">
      <x v="108"/>
    </i>
    <i r="1">
      <x v="109"/>
    </i>
    <i r="1">
      <x v="119"/>
    </i>
    <i r="1">
      <x v="128"/>
    </i>
    <i>
      <x v="46"/>
    </i>
    <i r="1">
      <x v="18"/>
    </i>
    <i r="1">
      <x v="139"/>
    </i>
    <i r="1">
      <x v="140"/>
    </i>
    <i r="1">
      <x v="178"/>
    </i>
    <i r="1">
      <x v="179"/>
    </i>
    <i r="1">
      <x v="185"/>
    </i>
    <i r="1">
      <x v="186"/>
    </i>
    <i>
      <x v="47"/>
    </i>
    <i r="1">
      <x v="11"/>
    </i>
    <i r="1">
      <x v="12"/>
    </i>
    <i r="1">
      <x v="13"/>
    </i>
    <i r="1">
      <x v="14"/>
    </i>
    <i r="1">
      <x v="118"/>
    </i>
    <i>
      <x v="48"/>
    </i>
    <i r="1">
      <x v="84"/>
    </i>
    <i r="1">
      <x v="88"/>
    </i>
    <i r="1">
      <x v="191"/>
    </i>
    <i>
      <x v="49"/>
    </i>
    <i r="1">
      <x v="104"/>
    </i>
    <i r="1">
      <x v="141"/>
    </i>
    <i r="1">
      <x v="189"/>
    </i>
    <i r="1">
      <x v="200"/>
    </i>
    <i>
      <x v="50"/>
    </i>
    <i r="1">
      <x v="142"/>
    </i>
    <i r="1">
      <x v="167"/>
    </i>
    <i r="1">
      <x v="175"/>
    </i>
    <i r="1">
      <x v="176"/>
    </i>
    <i r="1">
      <x v="190"/>
    </i>
    <i r="1">
      <x v="194"/>
    </i>
    <i r="1">
      <x v="199"/>
    </i>
    <i>
      <x v="51"/>
    </i>
    <i r="1">
      <x v="143"/>
    </i>
    <i r="1">
      <x v="159"/>
    </i>
    <i r="1">
      <x v="171"/>
    </i>
    <i>
      <x v="52"/>
    </i>
    <i r="1">
      <x v="144"/>
    </i>
    <i r="1">
      <x v="158"/>
    </i>
    <i r="1">
      <x v="162"/>
    </i>
    <i r="1">
      <x v="163"/>
    </i>
    <i r="1">
      <x v="166"/>
    </i>
    <i r="1">
      <x v="196"/>
    </i>
    <i r="1">
      <x v="197"/>
    </i>
    <i>
      <x v="53"/>
    </i>
    <i r="1">
      <x v="145"/>
    </i>
    <i r="1">
      <x v="146"/>
    </i>
    <i r="1">
      <x v="149"/>
    </i>
    <i r="1">
      <x v="155"/>
    </i>
    <i r="1">
      <x v="168"/>
    </i>
    <i r="1">
      <x v="198"/>
    </i>
    <i>
      <x v="54"/>
    </i>
    <i r="1">
      <x v="60"/>
    </i>
    <i r="1">
      <x v="85"/>
    </i>
    <i r="1">
      <x v="87"/>
    </i>
    <i>
      <x v="55"/>
    </i>
    <i r="1">
      <x v="147"/>
    </i>
    <i r="1">
      <x v="192"/>
    </i>
    <i r="1">
      <x v="206"/>
    </i>
    <i>
      <x v="56"/>
    </i>
    <i r="1">
      <x v="148"/>
    </i>
    <i r="1">
      <x v="165"/>
    </i>
    <i r="1">
      <x v="202"/>
    </i>
    <i>
      <x v="57"/>
    </i>
    <i r="1">
      <x v="3"/>
    </i>
    <i r="1">
      <x v="5"/>
    </i>
    <i r="1">
      <x v="8"/>
    </i>
    <i r="1">
      <x v="47"/>
    </i>
    <i r="1">
      <x v="152"/>
    </i>
    <i r="1">
      <x v="187"/>
    </i>
    <i r="1">
      <x v="195"/>
    </i>
    <i>
      <x v="58"/>
    </i>
    <i r="1">
      <x v="153"/>
    </i>
    <i r="1">
      <x v="156"/>
    </i>
    <i>
      <x v="59"/>
    </i>
    <i r="1">
      <x v="41"/>
    </i>
    <i r="1">
      <x v="42"/>
    </i>
    <i r="1">
      <x v="44"/>
    </i>
    <i>
      <x v="60"/>
    </i>
    <i r="1">
      <x v="154"/>
    </i>
    <i>
      <x v="61"/>
    </i>
    <i r="1">
      <x v="65"/>
    </i>
    <i r="1">
      <x v="114"/>
    </i>
    <i>
      <x v="62"/>
    </i>
    <i r="1">
      <x v="58"/>
    </i>
    <i r="1">
      <x v="59"/>
    </i>
    <i r="1">
      <x v="93"/>
    </i>
    <i r="1">
      <x v="161"/>
    </i>
    <i>
      <x v="63"/>
    </i>
    <i r="1">
      <x v="164"/>
    </i>
    <i r="1">
      <x v="177"/>
    </i>
    <i r="1">
      <x v="205"/>
    </i>
    <i>
      <x v="64"/>
    </i>
    <i r="1">
      <x v="169"/>
    </i>
    <i r="1">
      <x v="172"/>
    </i>
    <i r="1">
      <x v="173"/>
    </i>
    <i r="1">
      <x v="174"/>
    </i>
    <i>
      <x v="65"/>
    </i>
    <i r="1">
      <x v="7"/>
    </i>
    <i r="1">
      <x v="94"/>
    </i>
    <i r="1">
      <x v="170"/>
    </i>
    <i r="1">
      <x v="204"/>
    </i>
    <i>
      <x v="66"/>
    </i>
    <i r="1">
      <x v="19"/>
    </i>
    <i r="1">
      <x v="120"/>
    </i>
    <i r="1">
      <x v="121"/>
    </i>
    <i r="1">
      <x v="123"/>
    </i>
    <i r="1">
      <x v="124"/>
    </i>
    <i r="1">
      <x v="126"/>
    </i>
    <i r="1">
      <x v="130"/>
    </i>
    <i r="1">
      <x v="131"/>
    </i>
    <i r="1">
      <x v="188"/>
    </i>
    <i>
      <x v="67"/>
    </i>
    <i r="1">
      <x v="6"/>
    </i>
    <i r="1">
      <x v="10"/>
    </i>
    <i>
      <x v="68"/>
    </i>
    <i r="1">
      <x v="193"/>
    </i>
    <i>
      <x v="69"/>
    </i>
    <i r="1">
      <x v="110"/>
    </i>
    <i r="1">
      <x v="116"/>
    </i>
    <i>
      <x v="70"/>
    </i>
    <i r="1">
      <x v="80"/>
    </i>
    <i r="1">
      <x v="82"/>
    </i>
    <i r="1">
      <x v="92"/>
    </i>
    <i>
      <x v="71"/>
    </i>
    <i r="1">
      <x v="201"/>
    </i>
    <i r="1">
      <x v="203"/>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10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SUM('WBS(基本設計)'!$J$7:$J$106)</f>
        <v>157</v>
      </c>
      <c r="C38" s="20" t="s">
        <v>3575</v>
      </c>
      <c r="D38" s="27">
        <f>COUNTA('WBS(基本設計)'!$A$7:$A$106)</f>
        <v>100</v>
      </c>
      <c r="E38" s="25" t="s">
        <v>6241</v>
      </c>
    </row>
    <row r="39" spans="1:8">
      <c r="A39" s="19" t="s">
        <v>3576</v>
      </c>
      <c r="B39" s="169">
        <f>SUMIFS('WBS(詳細設計_製造)'!$F$6:$F$222,'WBS(詳細設計_製造)'!$B$6:$B$222,"DD*")</f>
        <v>473</v>
      </c>
      <c r="C39" s="20" t="s">
        <v>3577</v>
      </c>
      <c r="D39" s="27">
        <f>COUNTIFS('WBS(詳細設計_製造)'!$B$6:$B$222,"DD*")</f>
        <v>102</v>
      </c>
      <c r="E39" s="25" t="s">
        <v>5792</v>
      </c>
      <c r="F39" s="50" t="s">
        <v>5793</v>
      </c>
    </row>
    <row r="40" spans="1:8">
      <c r="A40" s="19" t="s">
        <v>3578</v>
      </c>
      <c r="B40" s="169">
        <v>743</v>
      </c>
      <c r="C40" s="20" t="s">
        <v>3577</v>
      </c>
      <c r="D40" s="27">
        <v>113</v>
      </c>
      <c r="E40" s="25" t="s">
        <v>5711</v>
      </c>
      <c r="F40" s="50" t="s">
        <v>5794</v>
      </c>
    </row>
    <row r="41" spans="1:8">
      <c r="A41" s="19" t="s">
        <v>3579</v>
      </c>
      <c r="B41" s="169">
        <f>SUMIFS('WBS(テスト)'!$E$6:$E$59,'WBS(テスト)'!$B$6:$B$59,"&lt;&gt;")</f>
        <v>429</v>
      </c>
      <c r="C41" s="20" t="s">
        <v>3580</v>
      </c>
      <c r="D41" s="27">
        <f>COUNTIFS('WBS(テスト)'!$B$6:$B$59,"&lt;&gt;")</f>
        <v>54</v>
      </c>
      <c r="E41" s="25" t="s">
        <v>5585</v>
      </c>
    </row>
    <row r="42" spans="1:8">
      <c r="A42" s="157" t="s">
        <v>3581</v>
      </c>
      <c r="B42" s="170">
        <f>B39+B40+B41</f>
        <v>1645</v>
      </c>
      <c r="C42" s="171" t="s">
        <v>3582</v>
      </c>
      <c r="D42" s="154"/>
      <c r="E42" s="158"/>
    </row>
    <row r="43" spans="1:8">
      <c r="A43" s="21" t="s">
        <v>3583</v>
      </c>
      <c r="B43" s="172">
        <f>B38+B42</f>
        <v>1802</v>
      </c>
      <c r="C43" s="22" t="s">
        <v>3582</v>
      </c>
      <c r="D43" s="28"/>
      <c r="E43" s="159"/>
      <c r="F43" s="45" t="s">
        <v>6231</v>
      </c>
    </row>
    <row r="44" spans="1:8">
      <c r="A44" s="302" t="s">
        <v>6412</v>
      </c>
    </row>
    <row r="45" spans="1:8">
      <c r="A45" s="266" t="s">
        <v>6717</v>
      </c>
    </row>
    <row r="46" spans="1:8">
      <c r="A46" s="303" t="s">
        <v>6355</v>
      </c>
    </row>
    <row r="47" spans="1:8">
      <c r="A47" s="45" t="s">
        <v>6413</v>
      </c>
    </row>
    <row r="48" spans="1:8">
      <c r="A48" t="s">
        <v>6840</v>
      </c>
    </row>
    <row r="49" spans="1:3">
      <c r="A49" s="2" t="s">
        <v>6356</v>
      </c>
    </row>
    <row r="50" spans="1:3">
      <c r="A50" t="s">
        <v>6357</v>
      </c>
      <c r="B50" s="310">
        <v>24</v>
      </c>
      <c r="C50" t="s">
        <v>6358</v>
      </c>
    </row>
    <row r="51" spans="1:3">
      <c r="A51" s="2" t="s">
        <v>6359</v>
      </c>
      <c r="B51" s="2" t="s">
        <v>6360</v>
      </c>
      <c r="C51" s="2" t="s">
        <v>6361</v>
      </c>
    </row>
    <row r="52" spans="1:3">
      <c r="A52">
        <v>2</v>
      </c>
      <c r="B52" s="311">
        <f>$B$38/($B$50*$A52)</f>
        <v>3.2708333333333335</v>
      </c>
      <c r="C52" s="311">
        <f>$B$43/($B$50*$A52)</f>
        <v>37.541666666666664</v>
      </c>
    </row>
    <row r="53" spans="1:3">
      <c r="A53">
        <v>3</v>
      </c>
      <c r="B53" s="311">
        <f>$B$38/($B$50*$A53)</f>
        <v>2.1805555555555554</v>
      </c>
      <c r="C53" s="311">
        <f>$B$43/($B$50*$A53)</f>
        <v>25.027777777777779</v>
      </c>
    </row>
    <row r="54" spans="1:3">
      <c r="A54">
        <v>4</v>
      </c>
      <c r="B54" s="311">
        <f>$B$38/($B$50*$A54)</f>
        <v>1.6354166666666667</v>
      </c>
      <c r="C54" s="311">
        <f>$B$43/($B$50*$A54)</f>
        <v>18.770833333333332</v>
      </c>
    </row>
    <row r="55" spans="1:3">
      <c r="A55" s="218" t="s">
        <v>6791</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5720</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5721</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5717</v>
      </c>
      <c r="J16" s="30" t="s">
        <v>5718</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6347</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SUMIFS('WBS(基本設計)'!$J$7:$J$106,'WBS(基本設計)'!$B$7:$B$106,"A-*")</f>
        <v>1</v>
      </c>
      <c r="J34" s="30">
        <v>39</v>
      </c>
    </row>
    <row r="35" spans="1:11">
      <c r="A35" s="79" t="s">
        <v>5712</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SUMIFS('WBS(基本設計)'!$J$7:$J$106,'WBS(基本設計)'!$B$7:$B$106,"B-*")</f>
        <v>0</v>
      </c>
      <c r="J35" s="30">
        <v>9</v>
      </c>
    </row>
    <row r="36" spans="1:11">
      <c r="A36" s="79" t="s">
        <v>6348</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SUMIFS('WBS(基本設計)'!$J$7:$J$106,'WBS(基本設計)'!$B$7:$B$106,"C-*")</f>
        <v>0</v>
      </c>
      <c r="J36" s="30">
        <v>13</v>
      </c>
    </row>
    <row r="37" spans="1:11">
      <c r="A37" s="79" t="s">
        <v>6349</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SUMIFS('WBS(基本設計)'!$J$7:$J$106,'WBS(基本設計)'!$B$7:$B$106,"D-*")</f>
        <v>16.5</v>
      </c>
      <c r="J37" s="30">
        <v>31</v>
      </c>
    </row>
    <row r="38" spans="1:11">
      <c r="A38" s="79" t="s">
        <v>5713</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SUMIFS('WBS(基本設計)'!$J$7:$J$106,'WBS(基本設計)'!$B$7:$B$106,"E-*")</f>
        <v>13</v>
      </c>
      <c r="J38" s="30">
        <v>10</v>
      </c>
    </row>
    <row r="39" spans="1:11">
      <c r="A39" s="79" t="s">
        <v>5714</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SUMIFS('WBS(基本設計)'!$J$7:$J$106,'WBS(基本設計)'!$B$7:$B$106,"F-*")</f>
        <v>0</v>
      </c>
      <c r="J39" s="30">
        <v>4</v>
      </c>
    </row>
    <row r="40" spans="1:11">
      <c r="A40" s="85" t="s">
        <v>5715</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SUMIFS('WBS(基本設計)'!$J$7:$J$106,'WBS(基本設計)'!$B$7:$B$106,"G-*")</f>
        <v>12</v>
      </c>
      <c r="J40" s="30">
        <v>14</v>
      </c>
    </row>
    <row r="41" spans="1:11">
      <c r="A41" s="304" t="s">
        <v>6325</v>
      </c>
      <c r="B41" s="305" t="s">
        <v>2196</v>
      </c>
      <c r="C41" s="305" t="s">
        <v>5716</v>
      </c>
      <c r="D41" s="306">
        <v>148</v>
      </c>
      <c r="E41" s="306"/>
      <c r="F41" s="306"/>
      <c r="G41" s="306"/>
      <c r="H41" s="306"/>
      <c r="I41" s="30">
        <f>SUMIFS('WBS(基本設計)'!$J$7:$J$106,'WBS(基本設計)'!$B$7:$B$106,"H-*")</f>
        <v>114.5</v>
      </c>
      <c r="J41" s="30">
        <v>292</v>
      </c>
      <c r="K41" s="30" t="s">
        <v>6242</v>
      </c>
    </row>
    <row r="42" spans="1:11">
      <c r="A42" s="30" t="s">
        <v>5719</v>
      </c>
      <c r="I42" s="30">
        <f>SUM(I34:I41)</f>
        <v>157</v>
      </c>
      <c r="J42" s="30">
        <f>SUM(J34:J41)</f>
        <v>412</v>
      </c>
    </row>
    <row r="43" spans="1:11">
      <c r="A43" s="78" t="s">
        <v>3475</v>
      </c>
      <c r="B43" s="53" t="s">
        <v>3476</v>
      </c>
      <c r="C43" s="53" t="s">
        <v>3477</v>
      </c>
      <c r="D43" s="54" t="s">
        <v>2440</v>
      </c>
    </row>
    <row r="44" spans="1:11">
      <c r="A44" s="307" t="s">
        <v>5722</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4" t="s">
        <v>6754</v>
      </c>
    </row>
    <row r="85" spans="1:5">
      <c r="A85" s="135" t="s">
        <v>1</v>
      </c>
      <c r="B85" s="135" t="s">
        <v>6755</v>
      </c>
      <c r="C85" s="135" t="s">
        <v>6749</v>
      </c>
      <c r="D85" s="135" t="s">
        <v>6756</v>
      </c>
      <c r="E85" s="135" t="s">
        <v>3032</v>
      </c>
    </row>
    <row r="86" spans="1:5">
      <c r="A86" s="30" t="s">
        <v>6227</v>
      </c>
      <c r="B86" s="335">
        <v>91</v>
      </c>
      <c r="C86" s="335">
        <v>48</v>
      </c>
      <c r="D86" s="335">
        <v>78</v>
      </c>
      <c r="E86" s="30" t="s">
        <v>6757</v>
      </c>
    </row>
    <row r="87" spans="1:5">
      <c r="A87" s="30" t="s">
        <v>6758</v>
      </c>
      <c r="B87" s="336">
        <v>754</v>
      </c>
      <c r="C87" s="336">
        <v>561</v>
      </c>
      <c r="D87" s="336">
        <v>678.5</v>
      </c>
    </row>
    <row r="88" spans="1:5">
      <c r="A88" s="30" t="s">
        <v>2522</v>
      </c>
      <c r="B88" s="336">
        <v>473</v>
      </c>
      <c r="C88" s="336">
        <v>352</v>
      </c>
      <c r="D88" s="336">
        <v>415</v>
      </c>
    </row>
    <row r="89" spans="1:5">
      <c r="A89" s="30" t="s">
        <v>5639</v>
      </c>
      <c r="B89" s="336">
        <v>743</v>
      </c>
      <c r="C89" s="336">
        <v>520</v>
      </c>
      <c r="D89" s="336">
        <v>640</v>
      </c>
    </row>
    <row r="90" spans="1:5">
      <c r="A90" s="30" t="s">
        <v>2523</v>
      </c>
      <c r="B90" s="336">
        <v>429</v>
      </c>
      <c r="C90" s="336">
        <v>310</v>
      </c>
      <c r="D90" s="336">
        <v>375</v>
      </c>
    </row>
    <row r="91" spans="1:5">
      <c r="A91" s="78" t="s">
        <v>6759</v>
      </c>
      <c r="B91" s="337">
        <f>SUM(B87:B90)</f>
        <v>2399</v>
      </c>
      <c r="C91" s="337">
        <f>SUM(C87:C90)</f>
        <v>1743</v>
      </c>
      <c r="D91" s="337">
        <f>SUM(D87:D90)</f>
        <v>2108.5</v>
      </c>
    </row>
    <row r="92" spans="1:5">
      <c r="A92" s="30" t="s">
        <v>6760</v>
      </c>
      <c r="B92" s="336">
        <v>315</v>
      </c>
      <c r="C92" s="336">
        <v>245</v>
      </c>
      <c r="D92" s="336">
        <v>280</v>
      </c>
    </row>
    <row r="93" spans="1:5">
      <c r="A93" s="78" t="s">
        <v>6761</v>
      </c>
      <c r="B93" s="338">
        <f>B91+B92</f>
        <v>2714</v>
      </c>
      <c r="C93" s="338">
        <f>C91+C92</f>
        <v>1988</v>
      </c>
      <c r="D93" s="338">
        <f>D91+D92</f>
        <v>2388.5</v>
      </c>
    </row>
    <row r="94" spans="1:5">
      <c r="A94" s="339" t="s">
        <v>6762</v>
      </c>
    </row>
    <row r="95" spans="1:5">
      <c r="A95" s="339" t="s">
        <v>6763</v>
      </c>
    </row>
    <row r="96" spans="1:5">
      <c r="A96" s="340" t="s">
        <v>6784</v>
      </c>
    </row>
    <row r="98" spans="1:4">
      <c r="A98" s="334" t="s">
        <v>6805</v>
      </c>
    </row>
    <row r="99" spans="1:4">
      <c r="A99" s="134" t="s">
        <v>2520</v>
      </c>
      <c r="B99" s="135" t="s">
        <v>6755</v>
      </c>
      <c r="C99" s="135" t="s">
        <v>6789</v>
      </c>
      <c r="D99" s="135" t="s">
        <v>6795</v>
      </c>
    </row>
    <row r="100" spans="1:4">
      <c r="A100" s="30" t="s">
        <v>6758</v>
      </c>
      <c r="B100" s="30">
        <v>754</v>
      </c>
      <c r="C100" s="30">
        <v>704</v>
      </c>
      <c r="D100" s="30">
        <f t="shared" ref="D100:D106" si="2">B100-C100</f>
        <v>50</v>
      </c>
    </row>
    <row r="101" spans="1:4">
      <c r="A101" s="30" t="s">
        <v>2522</v>
      </c>
      <c r="B101" s="30">
        <v>473</v>
      </c>
      <c r="C101" s="30">
        <v>439</v>
      </c>
      <c r="D101" s="30">
        <f t="shared" si="2"/>
        <v>34</v>
      </c>
    </row>
    <row r="102" spans="1:4">
      <c r="A102" s="30" t="s">
        <v>5639</v>
      </c>
      <c r="B102" s="30">
        <v>743</v>
      </c>
      <c r="C102" s="30">
        <v>643</v>
      </c>
      <c r="D102" s="30">
        <f t="shared" si="2"/>
        <v>100</v>
      </c>
    </row>
    <row r="103" spans="1:4">
      <c r="A103" s="30" t="s">
        <v>2523</v>
      </c>
      <c r="B103" s="30">
        <v>429</v>
      </c>
      <c r="C103" s="30">
        <v>405</v>
      </c>
      <c r="D103" s="30">
        <f t="shared" si="2"/>
        <v>24</v>
      </c>
    </row>
    <row r="104" spans="1:4">
      <c r="A104" s="78" t="s">
        <v>6759</v>
      </c>
      <c r="B104" s="78">
        <f>SUM(B100:B103)</f>
        <v>2399</v>
      </c>
      <c r="C104" s="78">
        <f>SUM(C100:C103)</f>
        <v>2191</v>
      </c>
      <c r="D104" s="78">
        <f t="shared" si="2"/>
        <v>208</v>
      </c>
    </row>
    <row r="105" spans="1:4">
      <c r="A105" s="30" t="s">
        <v>5347</v>
      </c>
      <c r="B105" s="30">
        <v>315</v>
      </c>
      <c r="C105" s="30">
        <v>304</v>
      </c>
      <c r="D105" s="30">
        <f t="shared" si="2"/>
        <v>11</v>
      </c>
    </row>
    <row r="106" spans="1:4">
      <c r="A106" s="78" t="s">
        <v>6761</v>
      </c>
      <c r="B106" s="294">
        <f>B104+B105</f>
        <v>2714</v>
      </c>
      <c r="C106" s="294">
        <f>C104+C105</f>
        <v>2495</v>
      </c>
      <c r="D106" s="78">
        <f t="shared" si="2"/>
        <v>219</v>
      </c>
    </row>
    <row r="107" spans="1:4">
      <c r="A107" s="339" t="s">
        <v>6796</v>
      </c>
    </row>
    <row r="108" spans="1:4">
      <c r="A108" s="362" t="s">
        <v>6790</v>
      </c>
    </row>
    <row r="109" spans="1:4">
      <c r="A109" s="30" t="s">
        <v>6806</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105" priority="1">
      <formula>AND($P4&lt;&gt;"",$H4="確定")</formula>
    </cfRule>
    <cfRule type="expression" dxfId="104" priority="2">
      <formula>AND($P4&lt;&gt;"",$H4="方向性確定（条件付き）")</formula>
    </cfRule>
    <cfRule type="expression" dxfId="103" priority="3">
      <formula>AND($P4&lt;&gt;"",$H4="検討中")</formula>
    </cfRule>
    <cfRule type="expression" dxfId="102" priority="4">
      <formula>AND($P4&lt;&gt;"",$H4="外部待ち")</formula>
    </cfRule>
    <cfRule type="expression" dxfId="101" priority="5">
      <formula>AND($P4&lt;&gt;"",$H4="対象外")</formula>
    </cfRule>
  </conditionalFormatting>
  <conditionalFormatting sqref="I4:I1000">
    <cfRule type="expression" dxfId="100" priority="6">
      <formula>$I4="顧客ヒアリング"</formula>
    </cfRule>
    <cfRule type="expression" dxfId="99" priority="7">
      <formula>$I4="顧客ヒアリング（アプリチーム）"</formula>
    </cfRule>
    <cfRule type="expression" dxfId="98" priority="8">
      <formula>$I4="顧客ヒアリング→アプリ確認"</formula>
    </cfRule>
    <cfRule type="expression" dxfId="97" priority="9">
      <formula>$I4="他組織ヒアリング（要求仕様）"</formula>
    </cfRule>
    <cfRule type="expression" dxfId="96" priority="10">
      <formula>$I4="社内判断待ち"</formula>
    </cfRule>
    <cfRule type="expression" dxfId="95" priority="11">
      <formula>$I4="設計タスク"</formula>
    </cfRule>
    <cfRule type="expression" dxfId="94" priority="12">
      <formula>$I4="確定（反映のみ）"</formula>
    </cfRule>
    <cfRule type="expression" dxfId="93" priority="13">
      <formula>$I4="スコープ外"</formula>
    </cfRule>
  </conditionalFormatting>
  <conditionalFormatting sqref="N4:N1000">
    <cfRule type="expression" dxfId="92" priority="15">
      <formula>$N4="最優先"</formula>
    </cfRule>
    <cfRule type="expression" dxfId="91" priority="16">
      <formula>$N4="通常"</formula>
    </cfRule>
    <cfRule type="expression" dxfId="90" priority="17">
      <formula>$N4="後回し可"</formula>
    </cfRule>
  </conditionalFormatting>
  <conditionalFormatting sqref="T4:T1000">
    <cfRule type="expression" dxfId="89"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88" priority="1">
      <formula>$B5="U2 Keycloak論理"</formula>
    </cfRule>
    <cfRule type="expression" dxfId="87" priority="2">
      <formula>$B5="U3 ID・プロビジョニング"</formula>
    </cfRule>
    <cfRule type="expression" dxfId="86" priority="3">
      <formula>$B5="U5 トークン・認可"</formula>
    </cfRule>
    <cfRule type="expression" dxfId="85" priority="4">
      <formula>$B5="U4 認証体験・UX"</formula>
    </cfRule>
    <cfRule type="expression" dxfId="84" priority="5">
      <formula>$B5="U7 セキュリティ"</formula>
    </cfRule>
    <cfRule type="expression" dxfId="83" priority="6">
      <formula>$B5="U8 可用性・DR"</formula>
    </cfRule>
    <cfRule type="expression" dxfId="82" priority="7">
      <formula>$B5="U6 インフラ・NW"</formula>
    </cfRule>
    <cfRule type="expression" dxfId="81" priority="8">
      <formula>$B5="U9 運用・監視・IaC"</formula>
    </cfRule>
    <cfRule type="expression" dxfId="80"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79" priority="1">
      <formula>$G5="未対応"</formula>
    </cfRule>
    <cfRule type="expression" dxfId="78" priority="2">
      <formula>$G5="単元未取込"</formula>
    </cfRule>
    <cfRule type="expression" dxfId="77" priority="3">
      <formula>$G5="部分"</formula>
    </cfRule>
    <cfRule type="expression" dxfId="76" priority="4">
      <formula>$G5="設計済"</formula>
    </cfRule>
    <cfRule type="expression" dxfId="75"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74" priority="1">
      <formula>$D6="スコープ増"</formula>
    </cfRule>
    <cfRule type="expression" dxfId="73" priority="2">
      <formula>$D6="要件側の書き漏れ"</formula>
    </cfRule>
    <cfRule type="expression" dxfId="72" priority="3">
      <formula>$D6="参照漏れ"</formula>
    </cfRule>
    <cfRule type="expression" dxfId="71" priority="4">
      <formula>$D6="内部技術判断"</formula>
    </cfRule>
    <cfRule type="expression" dxfId="70"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69" priority="1">
      <formula>$C6="Accepted"</formula>
    </cfRule>
    <cfRule type="expression" dxfId="68" priority="2">
      <formula>$C6="Accepted (Phase 1)"</formula>
    </cfRule>
    <cfRule type="expression" dxfId="67" priority="3">
      <formula>$C6="Accepted（条件付き）"</formula>
    </cfRule>
    <cfRule type="expression" dxfId="66" priority="4">
      <formula>$C6="Scope Reduced"</formula>
    </cfRule>
    <cfRule type="expression" dxfId="65" priority="5">
      <formula>$C6="Out of Scope"</formula>
    </cfRule>
    <cfRule type="expression" dxfId="64"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1100-F4E8-9345-AB4D-057CD9F470E4}">
  <dimension ref="A3:A170"/>
  <sheetViews>
    <sheetView topLeftCell="A7" zoomScale="131" workbookViewId="0">
      <selection activeCell="B25" sqref="B25"/>
    </sheetView>
  </sheetViews>
  <sheetFormatPr baseColWidth="10" defaultRowHeight="20"/>
  <cols>
    <col min="1" max="1" width="45.140625" bestFit="1" customWidth="1"/>
    <col min="2" max="2" width="37.42578125" bestFit="1" customWidth="1"/>
    <col min="3" max="3" width="30.5703125" bestFit="1" customWidth="1"/>
    <col min="4" max="4" width="42" bestFit="1" customWidth="1"/>
    <col min="5" max="7" width="29.85546875" bestFit="1" customWidth="1"/>
    <col min="8" max="8" width="26.140625" bestFit="1" customWidth="1"/>
    <col min="9" max="9" width="22.28515625" bestFit="1" customWidth="1"/>
    <col min="10" max="10" width="18.5703125" bestFit="1" customWidth="1"/>
    <col min="11" max="11" width="20.42578125" bestFit="1" customWidth="1"/>
    <col min="12" max="12" width="24.28515625" bestFit="1" customWidth="1"/>
    <col min="13" max="13" width="28" bestFit="1" customWidth="1"/>
    <col min="14" max="15" width="26.140625" bestFit="1" customWidth="1"/>
    <col min="16" max="16" width="28" bestFit="1" customWidth="1"/>
    <col min="17" max="17" width="29.85546875" bestFit="1" customWidth="1"/>
    <col min="18" max="18" width="28" bestFit="1" customWidth="1"/>
    <col min="19" max="21" width="31.7109375" bestFit="1" customWidth="1"/>
    <col min="22" max="22" width="26.140625" bestFit="1" customWidth="1"/>
    <col min="23" max="23" width="33.7109375" bestFit="1" customWidth="1"/>
    <col min="24" max="24" width="28" bestFit="1" customWidth="1"/>
    <col min="25" max="26" width="31.7109375" bestFit="1" customWidth="1"/>
    <col min="27" max="27" width="26.140625" bestFit="1" customWidth="1"/>
    <col min="28" max="28" width="35.5703125" bestFit="1" customWidth="1"/>
    <col min="29" max="29" width="29.85546875" bestFit="1" customWidth="1"/>
    <col min="30" max="30" width="31.7109375" bestFit="1" customWidth="1"/>
    <col min="31" max="33" width="24.28515625" bestFit="1" customWidth="1"/>
    <col min="34" max="34" width="28" bestFit="1" customWidth="1"/>
    <col min="35" max="36" width="22.28515625" bestFit="1" customWidth="1"/>
    <col min="37" max="37" width="26.140625" bestFit="1" customWidth="1"/>
    <col min="38" max="39" width="22.28515625" bestFit="1" customWidth="1"/>
    <col min="40" max="40" width="37.7109375" bestFit="1" customWidth="1"/>
    <col min="41" max="41" width="35.85546875" bestFit="1" customWidth="1"/>
    <col min="42" max="42" width="29.140625" bestFit="1" customWidth="1"/>
    <col min="43" max="44" width="16.140625" bestFit="1" customWidth="1"/>
    <col min="45" max="45" width="49.85546875" bestFit="1" customWidth="1"/>
    <col min="46" max="46" width="49.7109375" bestFit="1" customWidth="1"/>
    <col min="47" max="47" width="30.28515625" bestFit="1" customWidth="1"/>
    <col min="48" max="48" width="40.7109375" bestFit="1" customWidth="1"/>
    <col min="49" max="49" width="57.5703125" bestFit="1" customWidth="1"/>
    <col min="50" max="50" width="17.28515625" bestFit="1" customWidth="1"/>
    <col min="51" max="51" width="51.28515625" bestFit="1" customWidth="1"/>
    <col min="52" max="52" width="29.5703125" bestFit="1" customWidth="1"/>
    <col min="53" max="53" width="60.28515625" bestFit="1" customWidth="1"/>
    <col min="54" max="54" width="42" bestFit="1" customWidth="1"/>
    <col min="55" max="55" width="21.28515625" bestFit="1" customWidth="1"/>
    <col min="56" max="56" width="42.140625" bestFit="1" customWidth="1"/>
    <col min="57" max="57" width="19.28515625" bestFit="1" customWidth="1"/>
    <col min="58" max="58" width="17.85546875" bestFit="1" customWidth="1"/>
    <col min="59" max="59" width="20.7109375" bestFit="1" customWidth="1"/>
    <col min="60" max="60" width="30" bestFit="1" customWidth="1"/>
    <col min="61" max="61" width="42" bestFit="1" customWidth="1"/>
    <col min="62" max="62" width="98.5703125" bestFit="1" customWidth="1"/>
    <col min="63" max="63" width="54.85546875" bestFit="1" customWidth="1"/>
    <col min="64" max="64" width="37" bestFit="1" customWidth="1"/>
    <col min="65" max="65" width="30.7109375" bestFit="1" customWidth="1"/>
    <col min="66" max="66" width="44" bestFit="1" customWidth="1"/>
    <col min="67" max="67" width="40.28515625" bestFit="1" customWidth="1"/>
    <col min="68" max="68" width="64" bestFit="1" customWidth="1"/>
    <col min="69" max="69" width="34.7109375" bestFit="1" customWidth="1"/>
    <col min="70" max="70" width="23.28515625" bestFit="1" customWidth="1"/>
    <col min="71" max="71" width="81" bestFit="1" customWidth="1"/>
    <col min="72" max="72" width="40.28515625" bestFit="1" customWidth="1"/>
    <col min="73" max="73" width="33.85546875" bestFit="1" customWidth="1"/>
    <col min="74" max="74" width="63.140625" bestFit="1" customWidth="1"/>
    <col min="75" max="75" width="30.85546875" bestFit="1" customWidth="1"/>
    <col min="76" max="76" width="27.5703125" bestFit="1" customWidth="1"/>
    <col min="77" max="77" width="45.85546875" bestFit="1" customWidth="1"/>
    <col min="78" max="78" width="42.85546875" bestFit="1" customWidth="1"/>
    <col min="79" max="79" width="51.5703125" bestFit="1" customWidth="1"/>
    <col min="80" max="80" width="47.85546875" bestFit="1" customWidth="1"/>
    <col min="81" max="81" width="60.140625" bestFit="1" customWidth="1"/>
    <col min="82" max="82" width="39" bestFit="1" customWidth="1"/>
    <col min="83" max="83" width="43.28515625" bestFit="1" customWidth="1"/>
    <col min="84" max="84" width="30.85546875" bestFit="1" customWidth="1"/>
    <col min="85" max="85" width="51.5703125" bestFit="1" customWidth="1"/>
    <col min="86" max="86" width="10.28515625" bestFit="1" customWidth="1"/>
    <col min="87" max="87" width="36.7109375" bestFit="1" customWidth="1"/>
    <col min="88" max="88" width="30" bestFit="1" customWidth="1"/>
    <col min="89" max="89" width="43.140625" bestFit="1" customWidth="1"/>
    <col min="90" max="90" width="50.140625" bestFit="1" customWidth="1"/>
    <col min="91" max="91" width="52.5703125" bestFit="1" customWidth="1"/>
    <col min="92" max="92" width="44.28515625" bestFit="1" customWidth="1"/>
    <col min="93" max="93" width="51.5703125" bestFit="1" customWidth="1"/>
    <col min="94" max="94" width="59.5703125" bestFit="1" customWidth="1"/>
    <col min="95" max="95" width="56.28515625" bestFit="1" customWidth="1"/>
    <col min="96" max="96" width="24.42578125" bestFit="1" customWidth="1"/>
    <col min="97" max="97" width="38.7109375" bestFit="1" customWidth="1"/>
    <col min="98" max="98" width="47.85546875" bestFit="1" customWidth="1"/>
    <col min="99" max="99" width="17.7109375" bestFit="1" customWidth="1"/>
    <col min="100" max="100" width="34.42578125" bestFit="1" customWidth="1"/>
    <col min="101" max="101" width="33" bestFit="1" customWidth="1"/>
    <col min="102" max="102" width="36.140625" bestFit="1" customWidth="1"/>
    <col min="103" max="103" width="25.28515625" bestFit="1" customWidth="1"/>
    <col min="104" max="104" width="47.85546875" bestFit="1" customWidth="1"/>
    <col min="105" max="105" width="46.7109375" bestFit="1" customWidth="1"/>
    <col min="106" max="106" width="29.5703125" bestFit="1" customWidth="1"/>
    <col min="107" max="107" width="44.5703125" bestFit="1" customWidth="1"/>
    <col min="108" max="108" width="21.42578125" bestFit="1" customWidth="1"/>
    <col min="109" max="109" width="34.5703125" bestFit="1" customWidth="1"/>
    <col min="110" max="110" width="38.42578125" bestFit="1" customWidth="1"/>
    <col min="111" max="111" width="62.28515625" bestFit="1" customWidth="1"/>
    <col min="112" max="113" width="47.85546875" bestFit="1" customWidth="1"/>
    <col min="114" max="114" width="55.5703125" bestFit="1" customWidth="1"/>
    <col min="115" max="115" width="49.7109375" bestFit="1" customWidth="1"/>
    <col min="116" max="116" width="34.5703125" bestFit="1" customWidth="1"/>
    <col min="117" max="117" width="29" bestFit="1" customWidth="1"/>
    <col min="118" max="118" width="25.28515625" bestFit="1" customWidth="1"/>
    <col min="119" max="119" width="36.42578125" bestFit="1" customWidth="1"/>
    <col min="120" max="120" width="47.85546875" bestFit="1" customWidth="1"/>
    <col min="121" max="121" width="38.42578125" bestFit="1" customWidth="1"/>
    <col min="122" max="122" width="47.85546875" bestFit="1" customWidth="1"/>
    <col min="123" max="124" width="36.42578125" bestFit="1" customWidth="1"/>
    <col min="125" max="125" width="32.7109375" bestFit="1" customWidth="1"/>
    <col min="126" max="126" width="25.28515625" bestFit="1" customWidth="1"/>
    <col min="127" max="127" width="30.85546875" bestFit="1" customWidth="1"/>
    <col min="128" max="128" width="34.5703125" bestFit="1" customWidth="1"/>
    <col min="129" max="129" width="40.28515625" bestFit="1" customWidth="1"/>
    <col min="130" max="130" width="29" bestFit="1" customWidth="1"/>
    <col min="131" max="131" width="27.140625" bestFit="1" customWidth="1"/>
    <col min="132" max="133" width="30.85546875" bestFit="1" customWidth="1"/>
    <col min="134" max="134" width="29" bestFit="1" customWidth="1"/>
    <col min="135" max="135" width="34.5703125" bestFit="1" customWidth="1"/>
    <col min="136" max="137" width="29" bestFit="1" customWidth="1"/>
    <col min="138" max="138" width="32.7109375" bestFit="1" customWidth="1"/>
    <col min="139" max="139" width="27.140625" bestFit="1" customWidth="1"/>
    <col min="140" max="141" width="40.28515625" bestFit="1" customWidth="1"/>
    <col min="142" max="143" width="38.42578125" bestFit="1" customWidth="1"/>
    <col min="144" max="144" width="76.140625" bestFit="1" customWidth="1"/>
    <col min="145" max="145" width="49.7109375" bestFit="1" customWidth="1"/>
    <col min="146" max="146" width="42.42578125" bestFit="1" customWidth="1"/>
    <col min="147" max="147" width="34.5703125" bestFit="1" customWidth="1"/>
    <col min="148" max="149" width="36.42578125" bestFit="1" customWidth="1"/>
    <col min="150" max="150" width="32.7109375" bestFit="1" customWidth="1"/>
    <col min="151" max="152" width="38.42578125" bestFit="1" customWidth="1"/>
    <col min="153" max="153" width="17.7109375" bestFit="1" customWidth="1"/>
    <col min="154" max="154" width="30.85546875" bestFit="1" customWidth="1"/>
    <col min="155" max="155" width="40.28515625" bestFit="1" customWidth="1"/>
    <col min="156" max="156" width="21.42578125" bestFit="1" customWidth="1"/>
    <col min="157" max="157" width="33.85546875" bestFit="1" customWidth="1"/>
    <col min="158" max="158" width="43.28515625" bestFit="1" customWidth="1"/>
    <col min="159" max="159" width="33.85546875" bestFit="1" customWidth="1"/>
    <col min="160" max="160" width="49.7109375" bestFit="1" customWidth="1"/>
    <col min="161" max="161" width="24" bestFit="1" customWidth="1"/>
    <col min="162" max="162" width="34.42578125" bestFit="1" customWidth="1"/>
    <col min="163" max="163" width="17" bestFit="1" customWidth="1"/>
    <col min="164" max="164" width="31.7109375" bestFit="1" customWidth="1"/>
    <col min="165" max="165" width="49.7109375" bestFit="1" customWidth="1"/>
    <col min="166" max="166" width="23.28515625" bestFit="1" customWidth="1"/>
    <col min="167" max="167" width="32.7109375" bestFit="1" customWidth="1"/>
    <col min="168" max="168" width="33.85546875" bestFit="1" customWidth="1"/>
    <col min="169" max="169" width="53.42578125" bestFit="1" customWidth="1"/>
    <col min="170" max="170" width="40.28515625" bestFit="1" customWidth="1"/>
    <col min="171" max="171" width="32.7109375" bestFit="1" customWidth="1"/>
    <col min="172" max="172" width="40.28515625" bestFit="1" customWidth="1"/>
    <col min="173" max="173" width="52.28515625" bestFit="1" customWidth="1"/>
    <col min="174" max="174" width="27.7109375" bestFit="1" customWidth="1"/>
    <col min="175" max="175" width="30" bestFit="1" customWidth="1"/>
    <col min="176" max="176" width="41" bestFit="1" customWidth="1"/>
    <col min="177" max="177" width="39.28515625" bestFit="1" customWidth="1"/>
    <col min="178" max="178" width="36" bestFit="1" customWidth="1"/>
    <col min="179" max="179" width="72.5703125" bestFit="1" customWidth="1"/>
    <col min="180" max="180" width="27.28515625" bestFit="1" customWidth="1"/>
    <col min="181" max="181" width="38.42578125" bestFit="1" customWidth="1"/>
    <col min="182" max="182" width="24.28515625" bestFit="1" customWidth="1"/>
    <col min="183" max="183" width="33.42578125" bestFit="1" customWidth="1"/>
    <col min="184" max="184" width="27.85546875" bestFit="1" customWidth="1"/>
    <col min="185" max="185" width="35.140625" bestFit="1" customWidth="1"/>
    <col min="186" max="186" width="22.42578125" bestFit="1" customWidth="1"/>
    <col min="187" max="187" width="29.140625" bestFit="1" customWidth="1"/>
    <col min="188" max="188" width="30.28515625" bestFit="1" customWidth="1"/>
    <col min="189" max="189" width="37.28515625" bestFit="1" customWidth="1"/>
    <col min="190" max="190" width="87.140625" bestFit="1" customWidth="1"/>
    <col min="191" max="191" width="48.42578125" bestFit="1" customWidth="1"/>
    <col min="192" max="192" width="26" bestFit="1" customWidth="1"/>
    <col min="193" max="193" width="36.28515625" bestFit="1" customWidth="1"/>
    <col min="194" max="194" width="34" bestFit="1" customWidth="1"/>
    <col min="195" max="195" width="26.140625" bestFit="1" customWidth="1"/>
    <col min="196" max="196" width="33.42578125" bestFit="1" customWidth="1"/>
    <col min="197" max="197" width="37.5703125" bestFit="1" customWidth="1"/>
    <col min="198" max="198" width="32.28515625" bestFit="1" customWidth="1"/>
    <col min="199" max="199" width="27.85546875" bestFit="1" customWidth="1"/>
    <col min="200" max="200" width="40.42578125" bestFit="1" customWidth="1"/>
    <col min="201" max="202" width="22.140625" bestFit="1" customWidth="1"/>
    <col min="203" max="203" width="31.5703125" bestFit="1" customWidth="1"/>
    <col min="204" max="204" width="26.7109375" bestFit="1" customWidth="1"/>
    <col min="205" max="205" width="43.7109375" bestFit="1" customWidth="1"/>
    <col min="206" max="206" width="31.28515625" bestFit="1" customWidth="1"/>
    <col min="207" max="207" width="30.28515625" bestFit="1" customWidth="1"/>
    <col min="208" max="208" width="34.28515625" bestFit="1" customWidth="1"/>
    <col min="209" max="209" width="31.42578125" bestFit="1" customWidth="1"/>
    <col min="210" max="210" width="33.5703125" bestFit="1" customWidth="1"/>
    <col min="211" max="211" width="32.140625" bestFit="1" customWidth="1"/>
    <col min="212" max="212" width="39.5703125" bestFit="1" customWidth="1"/>
    <col min="213" max="214" width="30.28515625" bestFit="1" customWidth="1"/>
    <col min="215" max="215" width="56.5703125" bestFit="1" customWidth="1"/>
    <col min="216" max="216" width="33" bestFit="1" customWidth="1"/>
    <col min="217" max="217" width="31.5703125" bestFit="1" customWidth="1"/>
    <col min="218" max="218" width="24.140625" bestFit="1" customWidth="1"/>
    <col min="219" max="219" width="31.5703125" bestFit="1" customWidth="1"/>
    <col min="220" max="220" width="39.28515625" bestFit="1" customWidth="1"/>
    <col min="221" max="221" width="37.28515625" bestFit="1" customWidth="1"/>
    <col min="222" max="222" width="50.7109375" bestFit="1" customWidth="1"/>
    <col min="223" max="223" width="30" bestFit="1" customWidth="1"/>
    <col min="224" max="224" width="73.42578125" bestFit="1" customWidth="1"/>
    <col min="225" max="225" width="28.140625" bestFit="1" customWidth="1"/>
    <col min="226" max="226" width="42.42578125" bestFit="1" customWidth="1"/>
    <col min="227" max="227" width="34.85546875" bestFit="1" customWidth="1"/>
    <col min="228" max="228" width="71.5703125" bestFit="1" customWidth="1"/>
    <col min="229" max="229" width="67.85546875" bestFit="1" customWidth="1"/>
    <col min="230" max="230" width="31.28515625" bestFit="1" customWidth="1"/>
    <col min="231" max="231" width="42.140625" bestFit="1" customWidth="1"/>
    <col min="232" max="232" width="42.85546875" bestFit="1" customWidth="1"/>
    <col min="233" max="233" width="26.28515625" bestFit="1" customWidth="1"/>
    <col min="234" max="235" width="20.7109375" bestFit="1" customWidth="1"/>
    <col min="236" max="236" width="34.140625" bestFit="1" customWidth="1"/>
    <col min="237" max="237" width="20.7109375" bestFit="1" customWidth="1"/>
    <col min="238" max="238" width="24.42578125" bestFit="1" customWidth="1"/>
    <col min="239" max="239" width="29.140625" bestFit="1" customWidth="1"/>
    <col min="240" max="240" width="35.85546875" bestFit="1" customWidth="1"/>
    <col min="241" max="241" width="28.140625" bestFit="1" customWidth="1"/>
    <col min="242" max="242" width="24.42578125" bestFit="1" customWidth="1"/>
    <col min="243" max="243" width="28.140625" bestFit="1" customWidth="1"/>
    <col min="244" max="244" width="80.140625" bestFit="1" customWidth="1"/>
    <col min="245" max="245" width="28.140625" bestFit="1" customWidth="1"/>
    <col min="246" max="246" width="40.7109375" bestFit="1" customWidth="1"/>
    <col min="247" max="247" width="37.5703125" bestFit="1" customWidth="1"/>
    <col min="248" max="248" width="28.140625" bestFit="1" customWidth="1"/>
    <col min="249" max="249" width="40.85546875" bestFit="1" customWidth="1"/>
    <col min="250" max="250" width="60.85546875" bestFit="1" customWidth="1"/>
    <col min="251" max="251" width="30" bestFit="1" customWidth="1"/>
    <col min="252" max="252" width="22.42578125" bestFit="1" customWidth="1"/>
    <col min="253" max="253" width="33" bestFit="1" customWidth="1"/>
    <col min="254" max="255" width="26.28515625" bestFit="1" customWidth="1"/>
    <col min="256" max="256" width="24.42578125" bestFit="1" customWidth="1"/>
    <col min="257" max="257" width="54.5703125" bestFit="1" customWidth="1"/>
    <col min="258" max="258" width="30" bestFit="1" customWidth="1"/>
    <col min="259" max="259" width="37.5703125" bestFit="1" customWidth="1"/>
    <col min="260" max="260" width="29" bestFit="1" customWidth="1"/>
    <col min="261" max="261" width="66.42578125" bestFit="1" customWidth="1"/>
    <col min="262" max="262" width="19.85546875" bestFit="1" customWidth="1"/>
    <col min="263" max="263" width="33.140625" bestFit="1" customWidth="1"/>
    <col min="264" max="264" width="23.140625" bestFit="1" customWidth="1"/>
    <col min="265" max="265" width="63.5703125" bestFit="1" customWidth="1"/>
    <col min="266" max="266" width="23.28515625" bestFit="1" customWidth="1"/>
    <col min="267" max="267" width="58.85546875" bestFit="1" customWidth="1"/>
    <col min="268" max="269" width="34.5703125" bestFit="1" customWidth="1"/>
    <col min="270" max="270" width="57.28515625" bestFit="1" customWidth="1"/>
    <col min="271" max="271" width="17.7109375" bestFit="1" customWidth="1"/>
    <col min="272" max="272" width="23.28515625" bestFit="1" customWidth="1"/>
    <col min="273" max="273" width="43.7109375" bestFit="1" customWidth="1"/>
    <col min="274" max="274" width="37.140625" bestFit="1" customWidth="1"/>
    <col min="275" max="275" width="51.5703125" bestFit="1" customWidth="1"/>
    <col min="276" max="276" width="57.7109375" bestFit="1" customWidth="1"/>
    <col min="277" max="277" width="27.140625" bestFit="1" customWidth="1"/>
    <col min="278" max="278" width="38.42578125" bestFit="1" customWidth="1"/>
    <col min="279" max="279" width="32.7109375" bestFit="1" customWidth="1"/>
    <col min="280" max="280" width="23.28515625" bestFit="1" customWidth="1"/>
    <col min="281" max="281" width="36.42578125" bestFit="1" customWidth="1"/>
    <col min="282" max="282" width="29" bestFit="1" customWidth="1"/>
    <col min="283" max="283" width="37.5703125" bestFit="1" customWidth="1"/>
    <col min="284" max="284" width="30" bestFit="1" customWidth="1"/>
    <col min="285" max="285" width="28.140625" bestFit="1" customWidth="1"/>
    <col min="286" max="286" width="36.42578125" bestFit="1" customWidth="1"/>
    <col min="287" max="287" width="67.5703125" bestFit="1" customWidth="1"/>
    <col min="288" max="288" width="29" bestFit="1" customWidth="1"/>
    <col min="289" max="289" width="53.42578125" bestFit="1" customWidth="1"/>
    <col min="290" max="290" width="36.42578125" bestFit="1" customWidth="1"/>
    <col min="291" max="291" width="45.85546875" bestFit="1" customWidth="1"/>
    <col min="292" max="292" width="47.85546875" bestFit="1" customWidth="1"/>
    <col min="293" max="293" width="29" bestFit="1" customWidth="1"/>
    <col min="294" max="294" width="34.5703125" bestFit="1" customWidth="1"/>
    <col min="295" max="295" width="47.85546875" bestFit="1" customWidth="1"/>
    <col min="296" max="296" width="36.42578125" bestFit="1" customWidth="1"/>
    <col min="297" max="297" width="27.140625" bestFit="1" customWidth="1"/>
    <col min="298" max="298" width="36.42578125" bestFit="1" customWidth="1"/>
    <col min="299" max="300" width="53.42578125" bestFit="1" customWidth="1"/>
    <col min="301" max="301" width="21.42578125" bestFit="1" customWidth="1"/>
    <col min="302" max="302" width="47" bestFit="1" customWidth="1"/>
    <col min="303" max="303" width="30.85546875" bestFit="1" customWidth="1"/>
    <col min="304" max="304" width="32.7109375" bestFit="1" customWidth="1"/>
    <col min="305" max="305" width="55.28515625" bestFit="1" customWidth="1"/>
    <col min="306" max="306" width="53.42578125" bestFit="1" customWidth="1"/>
    <col min="307" max="307" width="55.28515625" bestFit="1" customWidth="1"/>
    <col min="308" max="308" width="25.28515625" bestFit="1" customWidth="1"/>
    <col min="309" max="310" width="36.42578125" bestFit="1" customWidth="1"/>
    <col min="311" max="311" width="18.7109375" bestFit="1" customWidth="1"/>
    <col min="312" max="312" width="30.85546875" bestFit="1" customWidth="1"/>
    <col min="313" max="313" width="51.5703125" bestFit="1" customWidth="1"/>
    <col min="314" max="314" width="30.85546875" bestFit="1" customWidth="1"/>
    <col min="315" max="315" width="42.140625" bestFit="1" customWidth="1"/>
    <col min="316" max="316" width="54.85546875" bestFit="1" customWidth="1"/>
    <col min="317" max="317" width="37.42578125" bestFit="1" customWidth="1"/>
    <col min="318" max="319" width="22.42578125" bestFit="1" customWidth="1"/>
    <col min="320" max="320" width="53.42578125" bestFit="1" customWidth="1"/>
    <col min="321" max="321" width="21.7109375" bestFit="1" customWidth="1"/>
    <col min="322" max="322" width="17.7109375" bestFit="1" customWidth="1"/>
    <col min="323" max="323" width="47.85546875" bestFit="1" customWidth="1"/>
    <col min="324" max="324" width="53.42578125" bestFit="1" customWidth="1"/>
    <col min="325" max="325" width="36.42578125" bestFit="1" customWidth="1"/>
    <col min="326" max="326" width="18.7109375" bestFit="1" customWidth="1"/>
    <col min="327" max="327" width="35.42578125" bestFit="1" customWidth="1"/>
    <col min="328" max="328" width="28.140625" bestFit="1" customWidth="1"/>
    <col min="329" max="330" width="22.42578125" bestFit="1" customWidth="1"/>
    <col min="331" max="332" width="16.85546875" bestFit="1" customWidth="1"/>
    <col min="333" max="334" width="22.42578125" bestFit="1" customWidth="1"/>
    <col min="335" max="335" width="24.42578125" bestFit="1" customWidth="1"/>
    <col min="336" max="336" width="22.42578125" bestFit="1" customWidth="1"/>
    <col min="337" max="337" width="10.28515625" bestFit="1" customWidth="1"/>
    <col min="338" max="338" width="45.85546875" bestFit="1" customWidth="1"/>
    <col min="339" max="340" width="27.140625" bestFit="1" customWidth="1"/>
    <col min="341" max="341" width="81.140625" bestFit="1" customWidth="1"/>
    <col min="342" max="342" width="25.28515625" bestFit="1" customWidth="1"/>
    <col min="343" max="343" width="37.42578125" bestFit="1" customWidth="1"/>
    <col min="344" max="344" width="43.42578125" bestFit="1" customWidth="1"/>
    <col min="345" max="345" width="29" bestFit="1" customWidth="1"/>
    <col min="346" max="346" width="51.5703125" bestFit="1" customWidth="1"/>
    <col min="347" max="347" width="19.5703125" bestFit="1" customWidth="1"/>
    <col min="348" max="348" width="30.85546875" bestFit="1" customWidth="1"/>
    <col min="349" max="349" width="25.28515625" bestFit="1" customWidth="1"/>
    <col min="350" max="350" width="37.5703125" bestFit="1" customWidth="1"/>
    <col min="351" max="351" width="23.28515625" bestFit="1" customWidth="1"/>
    <col min="352" max="352" width="17.7109375" bestFit="1" customWidth="1"/>
    <col min="353" max="353" width="32.7109375" bestFit="1" customWidth="1"/>
    <col min="354" max="354" width="20.140625" bestFit="1" customWidth="1"/>
    <col min="355" max="355" width="25.28515625" bestFit="1" customWidth="1"/>
    <col min="356" max="356" width="37.140625" bestFit="1" customWidth="1"/>
    <col min="357" max="357" width="17.7109375" bestFit="1" customWidth="1"/>
    <col min="358" max="358" width="19.5703125" bestFit="1" customWidth="1"/>
    <col min="359" max="359" width="40.5703125" bestFit="1" customWidth="1"/>
    <col min="360" max="360" width="48.85546875" bestFit="1" customWidth="1"/>
    <col min="361" max="361" width="50.7109375" bestFit="1" customWidth="1"/>
    <col min="362" max="362" width="48.85546875" bestFit="1" customWidth="1"/>
    <col min="363" max="363" width="45.140625" bestFit="1" customWidth="1"/>
    <col min="364" max="364" width="23.28515625" bestFit="1" customWidth="1"/>
    <col min="365" max="365" width="34.5703125" bestFit="1" customWidth="1"/>
    <col min="366" max="366" width="32.7109375" bestFit="1" customWidth="1"/>
    <col min="367" max="367" width="30.85546875" bestFit="1" customWidth="1"/>
    <col min="368" max="368" width="23.28515625" bestFit="1" customWidth="1"/>
    <col min="369" max="369" width="33.5703125" bestFit="1" customWidth="1"/>
    <col min="370" max="370" width="31.7109375" bestFit="1" customWidth="1"/>
    <col min="371" max="371" width="24.140625" bestFit="1" customWidth="1"/>
    <col min="372" max="372" width="26" bestFit="1" customWidth="1"/>
    <col min="373" max="373" width="20.28515625" bestFit="1" customWidth="1"/>
    <col min="374" max="374" width="23" bestFit="1" customWidth="1"/>
    <col min="375" max="375" width="21.140625" bestFit="1" customWidth="1"/>
    <col min="376" max="376" width="19.28515625" bestFit="1" customWidth="1"/>
    <col min="377" max="377" width="11.85546875" bestFit="1" customWidth="1"/>
    <col min="378" max="378" width="33.42578125" bestFit="1" customWidth="1"/>
    <col min="379" max="379" width="34.42578125" bestFit="1" customWidth="1"/>
    <col min="380" max="380" width="23" bestFit="1" customWidth="1"/>
    <col min="381" max="381" width="19.28515625" bestFit="1" customWidth="1"/>
    <col min="382" max="382" width="21.140625" bestFit="1" customWidth="1"/>
    <col min="383" max="383" width="28.5703125" bestFit="1" customWidth="1"/>
    <col min="384" max="384" width="22" bestFit="1" customWidth="1"/>
    <col min="385" max="385" width="25.140625" bestFit="1" customWidth="1"/>
    <col min="386" max="386" width="23" bestFit="1" customWidth="1"/>
    <col min="387" max="387" width="32.5703125" bestFit="1" customWidth="1"/>
    <col min="388" max="388" width="17.7109375" bestFit="1" customWidth="1"/>
    <col min="389" max="389" width="28" bestFit="1" customWidth="1"/>
    <col min="390" max="390" width="16.7109375" bestFit="1" customWidth="1"/>
    <col min="391" max="391" width="37.85546875" bestFit="1" customWidth="1"/>
    <col min="392" max="392" width="19.28515625" bestFit="1" customWidth="1"/>
    <col min="393" max="393" width="26.85546875" bestFit="1" customWidth="1"/>
    <col min="394" max="394" width="23" bestFit="1" customWidth="1"/>
    <col min="395" max="395" width="25" bestFit="1" customWidth="1"/>
    <col min="396" max="396" width="29.85546875" bestFit="1" customWidth="1"/>
    <col min="397" max="398" width="19.28515625" bestFit="1" customWidth="1"/>
    <col min="399" max="399" width="27.140625" bestFit="1" customWidth="1"/>
    <col min="400" max="400" width="15.5703125" bestFit="1" customWidth="1"/>
    <col min="401" max="401" width="30.5703125" bestFit="1" customWidth="1"/>
    <col min="402" max="402" width="38.140625" bestFit="1" customWidth="1"/>
    <col min="403" max="403" width="24.28515625" bestFit="1" customWidth="1"/>
    <col min="404" max="404" width="30.5703125" bestFit="1" customWidth="1"/>
    <col min="405" max="405" width="28.7109375" bestFit="1" customWidth="1"/>
    <col min="406" max="406" width="25.7109375" bestFit="1" customWidth="1"/>
    <col min="407" max="407" width="18.42578125" bestFit="1" customWidth="1"/>
    <col min="408" max="408" width="20.42578125" bestFit="1" customWidth="1"/>
    <col min="409" max="409" width="18" bestFit="1" customWidth="1"/>
    <col min="410" max="410" width="19.140625" bestFit="1" customWidth="1"/>
    <col min="411" max="411" width="32.5703125" bestFit="1" customWidth="1"/>
    <col min="412" max="412" width="21.140625" bestFit="1" customWidth="1"/>
    <col min="413" max="413" width="19.28515625" bestFit="1" customWidth="1"/>
    <col min="414" max="414" width="17.42578125" bestFit="1" customWidth="1"/>
    <col min="415" max="415" width="30.5703125" bestFit="1" customWidth="1"/>
    <col min="416" max="416" width="25" bestFit="1" customWidth="1"/>
    <col min="417" max="417" width="15.5703125" bestFit="1" customWidth="1"/>
    <col min="418" max="418" width="34.42578125" bestFit="1" customWidth="1"/>
    <col min="419" max="420" width="28.7109375" bestFit="1" customWidth="1"/>
    <col min="421" max="421" width="30.85546875" bestFit="1" customWidth="1"/>
    <col min="422" max="422" width="38" bestFit="1" customWidth="1"/>
    <col min="423" max="423" width="28.5703125" bestFit="1" customWidth="1"/>
    <col min="424" max="424" width="30.5703125" bestFit="1" customWidth="1"/>
    <col min="425" max="425" width="38.42578125" bestFit="1" customWidth="1"/>
    <col min="426" max="426" width="34.85546875" bestFit="1" customWidth="1"/>
    <col min="427" max="427" width="25.28515625" bestFit="1" customWidth="1"/>
    <col min="428" max="428" width="64.7109375" bestFit="1" customWidth="1"/>
    <col min="429" max="429" width="40.28515625" bestFit="1" customWidth="1"/>
    <col min="430" max="430" width="40.140625" bestFit="1" customWidth="1"/>
    <col min="431" max="431" width="47.28515625" bestFit="1" customWidth="1"/>
    <col min="432" max="432" width="32.7109375" bestFit="1" customWidth="1"/>
    <col min="433" max="433" width="25.28515625" bestFit="1" customWidth="1"/>
    <col min="434" max="434" width="35.140625" bestFit="1" customWidth="1"/>
    <col min="435" max="435" width="19.5703125" bestFit="1" customWidth="1"/>
    <col min="436" max="436" width="72.28515625" bestFit="1" customWidth="1"/>
    <col min="437" max="437" width="46.28515625" bestFit="1" customWidth="1"/>
    <col min="438" max="438" width="32.42578125" bestFit="1" customWidth="1"/>
    <col min="439" max="439" width="46.5703125" bestFit="1" customWidth="1"/>
    <col min="440" max="440" width="44.140625" bestFit="1" customWidth="1"/>
    <col min="441" max="441" width="26.28515625" bestFit="1" customWidth="1"/>
    <col min="442" max="442" width="19.5703125" bestFit="1" customWidth="1"/>
    <col min="443" max="443" width="44" bestFit="1" customWidth="1"/>
    <col min="444" max="444" width="63.140625" bestFit="1" customWidth="1"/>
    <col min="445" max="445" width="29" bestFit="1" customWidth="1"/>
    <col min="446" max="446" width="31.85546875" bestFit="1" customWidth="1"/>
    <col min="447" max="447" width="21.42578125" bestFit="1" customWidth="1"/>
    <col min="448" max="448" width="38.42578125" bestFit="1" customWidth="1"/>
    <col min="449" max="449" width="21.42578125" bestFit="1" customWidth="1"/>
    <col min="450" max="450" width="13.85546875" bestFit="1" customWidth="1"/>
    <col min="451" max="451" width="44.28515625" bestFit="1" customWidth="1"/>
    <col min="452" max="452" width="36.42578125" bestFit="1" customWidth="1"/>
    <col min="453" max="453" width="30.85546875" bestFit="1" customWidth="1"/>
    <col min="454" max="454" width="67.7109375" bestFit="1" customWidth="1"/>
    <col min="455" max="455" width="33.85546875" bestFit="1" customWidth="1"/>
    <col min="456" max="456" width="40.7109375" bestFit="1" customWidth="1"/>
    <col min="457" max="458" width="33.85546875" bestFit="1" customWidth="1"/>
    <col min="459" max="459" width="24.42578125" bestFit="1" customWidth="1"/>
    <col min="460" max="461" width="38.42578125" bestFit="1" customWidth="1"/>
    <col min="462" max="462" width="55.28515625" bestFit="1" customWidth="1"/>
    <col min="463" max="463" width="40.28515625" bestFit="1" customWidth="1"/>
    <col min="464" max="464" width="5.140625" bestFit="1" customWidth="1"/>
  </cols>
  <sheetData>
    <row r="3" spans="1:1">
      <c r="A3" s="405" t="s">
        <v>7236</v>
      </c>
    </row>
    <row r="4" spans="1:1">
      <c r="A4" s="406" t="s">
        <v>6456</v>
      </c>
    </row>
    <row r="5" spans="1:1">
      <c r="A5" s="407" t="s">
        <v>6303</v>
      </c>
    </row>
    <row r="6" spans="1:1">
      <c r="A6" s="407" t="s">
        <v>7351</v>
      </c>
    </row>
    <row r="7" spans="1:1">
      <c r="A7" s="406" t="s">
        <v>6438</v>
      </c>
    </row>
    <row r="8" spans="1:1">
      <c r="A8" s="407" t="s">
        <v>6292</v>
      </c>
    </row>
    <row r="9" spans="1:1">
      <c r="A9" s="407" t="s">
        <v>6444</v>
      </c>
    </row>
    <row r="10" spans="1:1">
      <c r="A10" s="407" t="s">
        <v>6462</v>
      </c>
    </row>
    <row r="11" spans="1:1">
      <c r="A11" s="407" t="s">
        <v>6282</v>
      </c>
    </row>
    <row r="12" spans="1:1">
      <c r="A12" s="407" t="s">
        <v>6283</v>
      </c>
    </row>
    <row r="13" spans="1:1">
      <c r="A13" s="407" t="s">
        <v>6291</v>
      </c>
    </row>
    <row r="14" spans="1:1">
      <c r="A14" s="406" t="s">
        <v>6425</v>
      </c>
    </row>
    <row r="15" spans="1:1">
      <c r="A15" s="407" t="s">
        <v>6260</v>
      </c>
    </row>
    <row r="16" spans="1:1">
      <c r="A16" s="407" t="s">
        <v>6265</v>
      </c>
    </row>
    <row r="17" spans="1:1">
      <c r="A17" s="407" t="s">
        <v>6266</v>
      </c>
    </row>
    <row r="18" spans="1:1">
      <c r="A18" s="407" t="s">
        <v>6290</v>
      </c>
    </row>
    <row r="19" spans="1:1">
      <c r="A19" s="407" t="s">
        <v>6267</v>
      </c>
    </row>
    <row r="20" spans="1:1">
      <c r="A20" s="407" t="s">
        <v>6268</v>
      </c>
    </row>
    <row r="21" spans="1:1">
      <c r="A21" s="407" t="s">
        <v>7401</v>
      </c>
    </row>
    <row r="22" spans="1:1">
      <c r="A22" s="406" t="s">
        <v>6427</v>
      </c>
    </row>
    <row r="23" spans="1:1">
      <c r="A23" s="407" t="s">
        <v>6428</v>
      </c>
    </row>
    <row r="24" spans="1:1">
      <c r="A24" s="407" t="s">
        <v>6429</v>
      </c>
    </row>
    <row r="25" spans="1:1">
      <c r="A25" s="407" t="s">
        <v>6273</v>
      </c>
    </row>
    <row r="26" spans="1:1">
      <c r="A26" s="406" t="s">
        <v>7296</v>
      </c>
    </row>
    <row r="27" spans="1:1">
      <c r="A27" s="407" t="s">
        <v>7330</v>
      </c>
    </row>
    <row r="28" spans="1:1">
      <c r="A28" s="407" t="s">
        <v>7352</v>
      </c>
    </row>
    <row r="29" spans="1:1">
      <c r="A29" s="407" t="s">
        <v>7363</v>
      </c>
    </row>
    <row r="30" spans="1:1">
      <c r="A30" s="407" t="s">
        <v>7368</v>
      </c>
    </row>
    <row r="31" spans="1:1">
      <c r="A31" s="406" t="s">
        <v>7264</v>
      </c>
    </row>
    <row r="32" spans="1:1">
      <c r="A32" s="407" t="s">
        <v>7332</v>
      </c>
    </row>
    <row r="33" spans="1:1">
      <c r="A33" s="407" t="s">
        <v>7402</v>
      </c>
    </row>
    <row r="34" spans="1:1">
      <c r="A34" s="407" t="s">
        <v>7403</v>
      </c>
    </row>
    <row r="35" spans="1:1">
      <c r="A35" s="407" t="s">
        <v>7404</v>
      </c>
    </row>
    <row r="36" spans="1:1">
      <c r="A36" s="407" t="s">
        <v>7405</v>
      </c>
    </row>
    <row r="37" spans="1:1">
      <c r="A37" s="406" t="s">
        <v>7269</v>
      </c>
    </row>
    <row r="38" spans="1:1">
      <c r="A38" s="407" t="s">
        <v>6281</v>
      </c>
    </row>
    <row r="39" spans="1:1">
      <c r="A39" s="407" t="s">
        <v>6305</v>
      </c>
    </row>
    <row r="40" spans="1:1">
      <c r="A40" s="407" t="s">
        <v>6280</v>
      </c>
    </row>
    <row r="41" spans="1:1">
      <c r="A41" s="407" t="s">
        <v>6434</v>
      </c>
    </row>
    <row r="42" spans="1:1">
      <c r="A42" s="407" t="s">
        <v>6311</v>
      </c>
    </row>
    <row r="43" spans="1:1">
      <c r="A43" s="407" t="s">
        <v>6279</v>
      </c>
    </row>
    <row r="44" spans="1:1">
      <c r="A44" s="406" t="s">
        <v>7251</v>
      </c>
    </row>
    <row r="45" spans="1:1">
      <c r="A45" s="407" t="s">
        <v>6275</v>
      </c>
    </row>
    <row r="46" spans="1:1">
      <c r="A46" s="407" t="s">
        <v>7333</v>
      </c>
    </row>
    <row r="47" spans="1:1">
      <c r="A47" s="407" t="s">
        <v>7335</v>
      </c>
    </row>
    <row r="48" spans="1:1">
      <c r="A48" s="407" t="s">
        <v>7399</v>
      </c>
    </row>
    <row r="49" spans="1:1">
      <c r="A49" s="407" t="s">
        <v>7400</v>
      </c>
    </row>
    <row r="50" spans="1:1">
      <c r="A50" s="407" t="s">
        <v>7406</v>
      </c>
    </row>
    <row r="51" spans="1:1">
      <c r="A51" s="407" t="s">
        <v>7407</v>
      </c>
    </row>
    <row r="52" spans="1:1">
      <c r="A52" s="406" t="s">
        <v>7256</v>
      </c>
    </row>
    <row r="53" spans="1:1">
      <c r="A53" s="407" t="s">
        <v>6271</v>
      </c>
    </row>
    <row r="54" spans="1:1">
      <c r="A54" s="407" t="s">
        <v>6288</v>
      </c>
    </row>
    <row r="55" spans="1:1">
      <c r="A55" s="407" t="s">
        <v>6272</v>
      </c>
    </row>
    <row r="56" spans="1:1">
      <c r="A56" s="407" t="s">
        <v>6270</v>
      </c>
    </row>
    <row r="57" spans="1:1">
      <c r="A57" s="407" t="s">
        <v>6269</v>
      </c>
    </row>
    <row r="58" spans="1:1">
      <c r="A58" s="406" t="s">
        <v>7249</v>
      </c>
    </row>
    <row r="59" spans="1:1">
      <c r="A59" s="407" t="s">
        <v>6264</v>
      </c>
    </row>
    <row r="60" spans="1:1">
      <c r="A60" s="407" t="s">
        <v>6263</v>
      </c>
    </row>
    <row r="61" spans="1:1">
      <c r="A61" s="407" t="s">
        <v>7413</v>
      </c>
    </row>
    <row r="62" spans="1:1">
      <c r="A62" s="406" t="s">
        <v>7282</v>
      </c>
    </row>
    <row r="63" spans="1:1">
      <c r="A63" s="407" t="s">
        <v>6302</v>
      </c>
    </row>
    <row r="64" spans="1:1">
      <c r="A64" s="407" t="s">
        <v>7337</v>
      </c>
    </row>
    <row r="65" spans="1:1">
      <c r="A65" s="407" t="s">
        <v>7411</v>
      </c>
    </row>
    <row r="66" spans="1:1">
      <c r="A66" s="407" t="s">
        <v>7429</v>
      </c>
    </row>
    <row r="67" spans="1:1">
      <c r="A67" s="406" t="s">
        <v>7308</v>
      </c>
    </row>
    <row r="68" spans="1:1">
      <c r="A68" s="407" t="s">
        <v>7338</v>
      </c>
    </row>
    <row r="69" spans="1:1">
      <c r="A69" s="407" t="s">
        <v>7379</v>
      </c>
    </row>
    <row r="70" spans="1:1">
      <c r="A70" s="407" t="s">
        <v>7394</v>
      </c>
    </row>
    <row r="71" spans="1:1">
      <c r="A71" s="407" t="s">
        <v>7396</v>
      </c>
    </row>
    <row r="72" spans="1:1">
      <c r="A72" s="407" t="s">
        <v>7412</v>
      </c>
    </row>
    <row r="73" spans="1:1">
      <c r="A73" s="407" t="s">
        <v>7416</v>
      </c>
    </row>
    <row r="74" spans="1:1">
      <c r="A74" s="407" t="s">
        <v>7427</v>
      </c>
    </row>
    <row r="75" spans="1:1">
      <c r="A75" s="406" t="s">
        <v>7300</v>
      </c>
    </row>
    <row r="76" spans="1:1">
      <c r="A76" s="407" t="s">
        <v>7339</v>
      </c>
    </row>
    <row r="77" spans="1:1">
      <c r="A77" s="407" t="s">
        <v>7366</v>
      </c>
    </row>
    <row r="78" spans="1:1">
      <c r="A78" s="407" t="s">
        <v>7387</v>
      </c>
    </row>
    <row r="79" spans="1:1">
      <c r="A79" s="406" t="s">
        <v>7302</v>
      </c>
    </row>
    <row r="80" spans="1:1">
      <c r="A80" s="407" t="s">
        <v>7341</v>
      </c>
    </row>
    <row r="81" spans="1:1">
      <c r="A81" s="407" t="s">
        <v>7365</v>
      </c>
    </row>
    <row r="82" spans="1:1">
      <c r="A82" s="407" t="s">
        <v>7371</v>
      </c>
    </row>
    <row r="83" spans="1:1">
      <c r="A83" s="407" t="s">
        <v>7372</v>
      </c>
    </row>
    <row r="84" spans="1:1">
      <c r="A84" s="407" t="s">
        <v>7377</v>
      </c>
    </row>
    <row r="85" spans="1:1">
      <c r="A85" s="407" t="s">
        <v>7422</v>
      </c>
    </row>
    <row r="86" spans="1:1">
      <c r="A86" s="407" t="s">
        <v>7423</v>
      </c>
    </row>
    <row r="87" spans="1:1">
      <c r="A87" s="406" t="s">
        <v>7293</v>
      </c>
    </row>
    <row r="88" spans="1:1">
      <c r="A88" s="407" t="s">
        <v>7343</v>
      </c>
    </row>
    <row r="89" spans="1:1">
      <c r="A89" s="407" t="s">
        <v>7345</v>
      </c>
    </row>
    <row r="90" spans="1:1">
      <c r="A90" s="407" t="s">
        <v>7350</v>
      </c>
    </row>
    <row r="91" spans="1:1">
      <c r="A91" s="407" t="s">
        <v>7359</v>
      </c>
    </row>
    <row r="92" spans="1:1">
      <c r="A92" s="407" t="s">
        <v>7381</v>
      </c>
    </row>
    <row r="93" spans="1:1">
      <c r="A93" s="407" t="s">
        <v>7425</v>
      </c>
    </row>
    <row r="94" spans="1:1">
      <c r="A94" s="406" t="s">
        <v>7275</v>
      </c>
    </row>
    <row r="95" spans="1:1">
      <c r="A95" s="407" t="s">
        <v>6294</v>
      </c>
    </row>
    <row r="96" spans="1:1">
      <c r="A96" s="407" t="s">
        <v>6304</v>
      </c>
    </row>
    <row r="97" spans="1:1">
      <c r="A97" s="407" t="s">
        <v>6295</v>
      </c>
    </row>
    <row r="98" spans="1:1">
      <c r="A98" s="406" t="s">
        <v>7261</v>
      </c>
    </row>
    <row r="99" spans="1:1">
      <c r="A99" s="407" t="s">
        <v>7347</v>
      </c>
    </row>
    <row r="100" spans="1:1">
      <c r="A100" s="407" t="s">
        <v>7414</v>
      </c>
    </row>
    <row r="101" spans="1:1">
      <c r="A101" s="407" t="s">
        <v>7440</v>
      </c>
    </row>
    <row r="102" spans="1:1">
      <c r="A102" s="406" t="s">
        <v>7298</v>
      </c>
    </row>
    <row r="103" spans="1:1">
      <c r="A103" s="407" t="s">
        <v>7348</v>
      </c>
    </row>
    <row r="104" spans="1:1">
      <c r="A104" s="407" t="s">
        <v>7375</v>
      </c>
    </row>
    <row r="105" spans="1:1">
      <c r="A105" s="407" t="s">
        <v>7433</v>
      </c>
    </row>
    <row r="106" spans="1:1">
      <c r="A106" s="406" t="s">
        <v>7279</v>
      </c>
    </row>
    <row r="107" spans="1:1">
      <c r="A107" s="407" t="s">
        <v>6299</v>
      </c>
    </row>
    <row r="108" spans="1:1">
      <c r="A108" s="407" t="s">
        <v>6298</v>
      </c>
    </row>
    <row r="109" spans="1:1">
      <c r="A109" s="407" t="s">
        <v>6253</v>
      </c>
    </row>
    <row r="110" spans="1:1">
      <c r="A110" s="407" t="s">
        <v>6259</v>
      </c>
    </row>
    <row r="111" spans="1:1">
      <c r="A111" s="407" t="s">
        <v>7354</v>
      </c>
    </row>
    <row r="112" spans="1:1">
      <c r="A112" s="407" t="s">
        <v>7408</v>
      </c>
    </row>
    <row r="113" spans="1:1">
      <c r="A113" s="407" t="s">
        <v>7417</v>
      </c>
    </row>
    <row r="114" spans="1:1">
      <c r="A114" s="406" t="s">
        <v>7304</v>
      </c>
    </row>
    <row r="115" spans="1:1">
      <c r="A115" s="407" t="s">
        <v>7356</v>
      </c>
    </row>
    <row r="116" spans="1:1">
      <c r="A116" s="407" t="s">
        <v>7361</v>
      </c>
    </row>
    <row r="117" spans="1:1">
      <c r="A117" s="406" t="s">
        <v>7283</v>
      </c>
    </row>
    <row r="118" spans="1:1">
      <c r="A118" s="407" t="s">
        <v>6301</v>
      </c>
    </row>
    <row r="119" spans="1:1">
      <c r="A119" s="407" t="s">
        <v>6258</v>
      </c>
    </row>
    <row r="120" spans="1:1">
      <c r="A120" s="407" t="s">
        <v>6300</v>
      </c>
    </row>
    <row r="121" spans="1:1">
      <c r="A121" s="406" t="s">
        <v>7253</v>
      </c>
    </row>
    <row r="122" spans="1:1">
      <c r="A122" s="407" t="s">
        <v>7357</v>
      </c>
    </row>
    <row r="123" spans="1:1">
      <c r="A123" s="406" t="s">
        <v>7267</v>
      </c>
    </row>
    <row r="124" spans="1:1">
      <c r="A124" s="407" t="s">
        <v>6277</v>
      </c>
    </row>
    <row r="125" spans="1:1">
      <c r="A125" s="407" t="s">
        <v>6278</v>
      </c>
    </row>
    <row r="126" spans="1:1">
      <c r="A126" s="406" t="s">
        <v>7273</v>
      </c>
    </row>
    <row r="127" spans="1:1">
      <c r="A127" s="407" t="s">
        <v>6440</v>
      </c>
    </row>
    <row r="128" spans="1:1">
      <c r="A128" s="407" t="s">
        <v>6441</v>
      </c>
    </row>
    <row r="129" spans="1:1">
      <c r="A129" s="407" t="s">
        <v>6293</v>
      </c>
    </row>
    <row r="130" spans="1:1">
      <c r="A130" s="407" t="s">
        <v>7370</v>
      </c>
    </row>
    <row r="131" spans="1:1">
      <c r="A131" s="406" t="s">
        <v>7259</v>
      </c>
    </row>
    <row r="132" spans="1:1">
      <c r="A132" s="407" t="s">
        <v>7374</v>
      </c>
    </row>
    <row r="133" spans="1:1">
      <c r="A133" s="407" t="s">
        <v>7397</v>
      </c>
    </row>
    <row r="134" spans="1:1">
      <c r="A134" s="407" t="s">
        <v>7438</v>
      </c>
    </row>
    <row r="135" spans="1:1">
      <c r="A135" s="406" t="s">
        <v>7306</v>
      </c>
    </row>
    <row r="136" spans="1:1">
      <c r="A136" s="407" t="s">
        <v>7383</v>
      </c>
    </row>
    <row r="137" spans="1:1">
      <c r="A137" s="407" t="s">
        <v>7390</v>
      </c>
    </row>
    <row r="138" spans="1:1">
      <c r="A138" s="407" t="s">
        <v>7392</v>
      </c>
    </row>
    <row r="139" spans="1:1">
      <c r="A139" s="407" t="s">
        <v>5942</v>
      </c>
    </row>
    <row r="140" spans="1:1">
      <c r="A140" s="406" t="s">
        <v>7285</v>
      </c>
    </row>
    <row r="141" spans="1:1">
      <c r="A141" s="407" t="s">
        <v>6297</v>
      </c>
    </row>
    <row r="142" spans="1:1">
      <c r="A142" s="407" t="s">
        <v>6296</v>
      </c>
    </row>
    <row r="143" spans="1:1">
      <c r="A143" s="407" t="s">
        <v>7385</v>
      </c>
    </row>
    <row r="144" spans="1:1">
      <c r="A144" s="407" t="s">
        <v>7437</v>
      </c>
    </row>
    <row r="145" spans="1:1">
      <c r="A145" s="406" t="s">
        <v>7271</v>
      </c>
    </row>
    <row r="146" spans="1:1">
      <c r="A146" s="407" t="s">
        <v>6256</v>
      </c>
    </row>
    <row r="147" spans="1:1">
      <c r="A147" s="407" t="s">
        <v>6255</v>
      </c>
    </row>
    <row r="148" spans="1:1">
      <c r="A148" s="407" t="s">
        <v>6254</v>
      </c>
    </row>
    <row r="149" spans="1:1">
      <c r="A149" s="407" t="s">
        <v>6287</v>
      </c>
    </row>
    <row r="150" spans="1:1">
      <c r="A150" s="407" t="s">
        <v>6289</v>
      </c>
    </row>
    <row r="151" spans="1:1">
      <c r="A151" s="407" t="s">
        <v>6284</v>
      </c>
    </row>
    <row r="152" spans="1:1">
      <c r="A152" s="407" t="s">
        <v>6285</v>
      </c>
    </row>
    <row r="153" spans="1:1">
      <c r="A153" s="407" t="s">
        <v>6286</v>
      </c>
    </row>
    <row r="154" spans="1:1">
      <c r="A154" s="407" t="s">
        <v>7409</v>
      </c>
    </row>
    <row r="155" spans="1:1">
      <c r="A155" s="406" t="s">
        <v>7281</v>
      </c>
    </row>
    <row r="156" spans="1:1">
      <c r="A156" s="407" t="s">
        <v>6449</v>
      </c>
    </row>
    <row r="157" spans="1:1">
      <c r="A157" s="407" t="s">
        <v>6450</v>
      </c>
    </row>
    <row r="158" spans="1:1">
      <c r="A158" s="406" t="s">
        <v>1502</v>
      </c>
    </row>
    <row r="159" spans="1:1">
      <c r="A159" s="407" t="s">
        <v>7415</v>
      </c>
    </row>
    <row r="160" spans="1:1">
      <c r="A160" s="406" t="s">
        <v>7290</v>
      </c>
    </row>
    <row r="161" spans="1:1">
      <c r="A161" s="407" t="s">
        <v>6306</v>
      </c>
    </row>
    <row r="162" spans="1:1">
      <c r="A162" s="407" t="s">
        <v>6307</v>
      </c>
    </row>
    <row r="163" spans="1:1">
      <c r="A163" s="406" t="s">
        <v>7288</v>
      </c>
    </row>
    <row r="164" spans="1:1">
      <c r="A164" s="407" t="s">
        <v>6308</v>
      </c>
    </row>
    <row r="165" spans="1:1">
      <c r="A165" s="407" t="s">
        <v>6310</v>
      </c>
    </row>
    <row r="166" spans="1:1">
      <c r="A166" s="407" t="s">
        <v>6309</v>
      </c>
    </row>
    <row r="167" spans="1:1">
      <c r="A167" s="406" t="s">
        <v>7310</v>
      </c>
    </row>
    <row r="168" spans="1:1">
      <c r="A168" s="407" t="s">
        <v>7431</v>
      </c>
    </row>
    <row r="169" spans="1:1">
      <c r="A169" s="407" t="s">
        <v>7435</v>
      </c>
    </row>
    <row r="170" spans="1:1">
      <c r="A170" s="406" t="s">
        <v>7237</v>
      </c>
    </row>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Z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 min="11" max="14" width="12.85546875" customWidth="1"/>
  </cols>
  <sheetData>
    <row r="1" spans="1:26">
      <c r="A1" s="409" t="s">
        <v>665</v>
      </c>
      <c r="B1" s="409" t="s">
        <v>6420</v>
      </c>
      <c r="C1" s="409" t="s">
        <v>5964</v>
      </c>
      <c r="D1" s="409" t="s">
        <v>5963</v>
      </c>
      <c r="E1" s="409" t="s">
        <v>10</v>
      </c>
      <c r="F1" s="409" t="s">
        <v>6751</v>
      </c>
      <c r="G1" s="409" t="s">
        <v>7247</v>
      </c>
      <c r="H1" s="409" t="s">
        <v>7240</v>
      </c>
      <c r="I1" s="409" t="s">
        <v>2521</v>
      </c>
      <c r="J1" s="409" t="s">
        <v>7536</v>
      </c>
      <c r="K1" s="408" t="s">
        <v>7244</v>
      </c>
      <c r="L1" s="408" t="s">
        <v>7245</v>
      </c>
      <c r="M1" s="408" t="s">
        <v>7662</v>
      </c>
      <c r="N1" s="408" t="s">
        <v>7246</v>
      </c>
    </row>
    <row r="2" spans="1:26">
      <c r="A2" s="406" t="s">
        <v>6819</v>
      </c>
      <c r="B2" s="406" t="s">
        <v>7249</v>
      </c>
      <c r="C2" s="406" t="s">
        <v>6263</v>
      </c>
      <c r="D2" s="406" t="s">
        <v>5975</v>
      </c>
      <c r="E2" s="406" t="s">
        <v>7537</v>
      </c>
      <c r="F2" s="412" t="s">
        <v>4696</v>
      </c>
      <c r="G2" s="412" t="s">
        <v>3214</v>
      </c>
      <c r="H2" s="411">
        <v>7</v>
      </c>
      <c r="I2" s="411">
        <v>9.5</v>
      </c>
      <c r="J2" s="411">
        <v>5.5</v>
      </c>
      <c r="K2">
        <f>COUNTIF('WBS(基本設計)'!$F$7:$F$106,$C2)</f>
        <v>0</v>
      </c>
      <c r="L2">
        <f>SUMIF('WBS(基本設計)'!$F$7:$F$106,$C2,'WBS(基本設計)'!$J$7:$J$106)</f>
        <v>0</v>
      </c>
      <c r="M2">
        <f>SUMIFS('WBS(基本設計)'!$J$7:$J$106,'WBS(基本設計)'!$F$7:$F$106,$C2,'WBS(基本設計)'!$O$7:$O$106,"対象")</f>
        <v>0</v>
      </c>
      <c r="N2" t="str">
        <f>IF(AND(K2=H2,L2=I2,M2=J2),"","要確認")</f>
        <v>要確認</v>
      </c>
    </row>
    <row r="3" spans="1:26">
      <c r="A3" s="406" t="s">
        <v>6819</v>
      </c>
      <c r="B3" s="406" t="s">
        <v>7249</v>
      </c>
      <c r="C3" s="406" t="s">
        <v>6264</v>
      </c>
      <c r="D3" s="406" t="s">
        <v>5978</v>
      </c>
      <c r="E3" s="406" t="s">
        <v>7538</v>
      </c>
      <c r="F3" s="412" t="s">
        <v>4696</v>
      </c>
      <c r="G3" s="412" t="s">
        <v>3214</v>
      </c>
      <c r="H3" s="411">
        <v>1</v>
      </c>
      <c r="I3" s="411">
        <v>0.5</v>
      </c>
      <c r="J3" s="411">
        <v>0</v>
      </c>
      <c r="K3">
        <f>COUNTIF('WBS(基本設計)'!$F$7:$F$106,$C3)</f>
        <v>0</v>
      </c>
      <c r="L3">
        <f>SUMIF('WBS(基本設計)'!$F$7:$F$106,$C3,'WBS(基本設計)'!$J$7:$J$106)</f>
        <v>0</v>
      </c>
      <c r="M3">
        <f>SUMIFS('WBS(基本設計)'!$J$7:$J$106,'WBS(基本設計)'!$F$7:$F$106,$C3,'WBS(基本設計)'!$O$7:$O$106,"対象")</f>
        <v>0</v>
      </c>
      <c r="N3" t="str">
        <f t="shared" ref="N3:N66" si="0">IF(AND(K3=H3,L3=I3,M3=J3),"","要確認")</f>
        <v>要確認</v>
      </c>
    </row>
    <row r="4" spans="1:26" s="410" customFormat="1">
      <c r="A4" s="406" t="s">
        <v>6819</v>
      </c>
      <c r="B4" s="406" t="s">
        <v>7249</v>
      </c>
      <c r="C4" s="406" t="s">
        <v>7413</v>
      </c>
      <c r="D4" s="406" t="s">
        <v>5981</v>
      </c>
      <c r="E4" s="406" t="s">
        <v>7539</v>
      </c>
      <c r="F4" s="412" t="s">
        <v>4696</v>
      </c>
      <c r="G4" s="412" t="s">
        <v>3214</v>
      </c>
      <c r="H4" s="411">
        <v>1</v>
      </c>
      <c r="I4" s="411">
        <v>0.5</v>
      </c>
      <c r="J4" s="411">
        <v>0.5</v>
      </c>
      <c r="K4">
        <f>COUNTIF('WBS(基本設計)'!$F$7:$F$106,$C4)</f>
        <v>0</v>
      </c>
      <c r="L4">
        <f>SUMIF('WBS(基本設計)'!$F$7:$F$106,$C4,'WBS(基本設計)'!$J$7:$J$106)</f>
        <v>0</v>
      </c>
      <c r="M4">
        <f>SUMIFS('WBS(基本設計)'!$J$7:$J$106,'WBS(基本設計)'!$F$7:$F$106,$C4,'WBS(基本設計)'!$O$7:$O$106,"対象")</f>
        <v>0</v>
      </c>
      <c r="N4" t="str">
        <f t="shared" si="0"/>
        <v>要確認</v>
      </c>
      <c r="O4"/>
      <c r="P4"/>
      <c r="Q4"/>
      <c r="R4"/>
      <c r="S4"/>
      <c r="T4"/>
      <c r="U4"/>
      <c r="V4"/>
      <c r="W4"/>
      <c r="X4"/>
      <c r="Y4"/>
      <c r="Z4"/>
    </row>
    <row r="5" spans="1:26">
      <c r="A5" s="406" t="s">
        <v>6819</v>
      </c>
      <c r="B5" s="406" t="s">
        <v>7251</v>
      </c>
      <c r="C5" s="406" t="s">
        <v>7333</v>
      </c>
      <c r="D5" s="406" t="s">
        <v>5984</v>
      </c>
      <c r="E5" s="406" t="s">
        <v>7540</v>
      </c>
      <c r="F5" s="412" t="s">
        <v>4696</v>
      </c>
      <c r="G5" s="412" t="s">
        <v>3214</v>
      </c>
      <c r="H5" s="411">
        <v>12</v>
      </c>
      <c r="I5" s="411">
        <v>27.75</v>
      </c>
      <c r="J5" s="411">
        <v>25.75</v>
      </c>
      <c r="K5">
        <f>COUNTIF('WBS(基本設計)'!$F$7:$F$106,$C5)</f>
        <v>9</v>
      </c>
      <c r="L5">
        <f>SUMIF('WBS(基本設計)'!$F$7:$F$106,$C5,'WBS(基本設計)'!$J$7:$J$106)</f>
        <v>15.5</v>
      </c>
      <c r="M5">
        <f>SUMIFS('WBS(基本設計)'!$J$7:$J$106,'WBS(基本設計)'!$F$7:$F$106,$C5,'WBS(基本設計)'!$O$7:$O$106,"対象")</f>
        <v>13.5</v>
      </c>
      <c r="N5" t="str">
        <f t="shared" si="0"/>
        <v>要確認</v>
      </c>
    </row>
    <row r="6" spans="1:26">
      <c r="A6" s="406" t="s">
        <v>6819</v>
      </c>
      <c r="B6" s="406" t="s">
        <v>7251</v>
      </c>
      <c r="C6" s="406" t="s">
        <v>7335</v>
      </c>
      <c r="D6" s="406" t="s">
        <v>5988</v>
      </c>
      <c r="E6" s="406" t="s">
        <v>7541</v>
      </c>
      <c r="F6" s="412" t="s">
        <v>4696</v>
      </c>
      <c r="G6" s="412" t="s">
        <v>3214</v>
      </c>
      <c r="H6" s="411">
        <v>4</v>
      </c>
      <c r="I6" s="411">
        <v>8.75</v>
      </c>
      <c r="J6" s="411">
        <v>6.75</v>
      </c>
      <c r="K6">
        <f>COUNTIF('WBS(基本設計)'!$F$7:$F$106,$C6)</f>
        <v>3</v>
      </c>
      <c r="L6">
        <f>SUMIF('WBS(基本設計)'!$F$7:$F$106,$C6,'WBS(基本設計)'!$J$7:$J$106)</f>
        <v>6.5</v>
      </c>
      <c r="M6">
        <f>SUMIFS('WBS(基本設計)'!$J$7:$J$106,'WBS(基本設計)'!$F$7:$F$106,$C6,'WBS(基本設計)'!$O$7:$O$106,"対象")</f>
        <v>4.5</v>
      </c>
      <c r="N6" t="str">
        <f t="shared" si="0"/>
        <v>要確認</v>
      </c>
    </row>
    <row r="7" spans="1:26">
      <c r="A7" s="406" t="s">
        <v>6819</v>
      </c>
      <c r="B7" s="406" t="s">
        <v>7251</v>
      </c>
      <c r="C7" s="406" t="s">
        <v>7399</v>
      </c>
      <c r="D7" s="406" t="s">
        <v>6034</v>
      </c>
      <c r="E7" s="406" t="s">
        <v>7542</v>
      </c>
      <c r="F7" s="412" t="s">
        <v>4696</v>
      </c>
      <c r="G7" s="412" t="s">
        <v>3214</v>
      </c>
      <c r="H7" s="411">
        <v>4</v>
      </c>
      <c r="I7" s="411">
        <v>6.75</v>
      </c>
      <c r="J7" s="411">
        <v>4</v>
      </c>
      <c r="K7">
        <f>COUNTIF('WBS(基本設計)'!$F$7:$F$106,$C7)</f>
        <v>0</v>
      </c>
      <c r="L7">
        <f>SUMIF('WBS(基本設計)'!$F$7:$F$106,$C7,'WBS(基本設計)'!$J$7:$J$106)</f>
        <v>0</v>
      </c>
      <c r="M7">
        <f>SUMIFS('WBS(基本設計)'!$J$7:$J$106,'WBS(基本設計)'!$F$7:$F$106,$C7,'WBS(基本設計)'!$O$7:$O$106,"対象")</f>
        <v>0</v>
      </c>
      <c r="N7" t="str">
        <f t="shared" si="0"/>
        <v>要確認</v>
      </c>
    </row>
    <row r="8" spans="1:26">
      <c r="A8" s="406" t="s">
        <v>6819</v>
      </c>
      <c r="B8" s="406" t="s">
        <v>7251</v>
      </c>
      <c r="C8" s="406" t="s">
        <v>6275</v>
      </c>
      <c r="D8" s="406" t="s">
        <v>6039</v>
      </c>
      <c r="E8" s="406" t="s">
        <v>7543</v>
      </c>
      <c r="F8" s="412" t="s">
        <v>4696</v>
      </c>
      <c r="G8" s="412" t="s">
        <v>3214</v>
      </c>
      <c r="H8" s="411">
        <v>2</v>
      </c>
      <c r="I8" s="411">
        <v>1</v>
      </c>
      <c r="J8" s="411">
        <v>1</v>
      </c>
      <c r="K8">
        <f>COUNTIF('WBS(基本設計)'!$F$7:$F$106,$C8)</f>
        <v>0</v>
      </c>
      <c r="L8">
        <f>SUMIF('WBS(基本設計)'!$F$7:$F$106,$C8,'WBS(基本設計)'!$J$7:$J$106)</f>
        <v>0</v>
      </c>
      <c r="M8">
        <f>SUMIFS('WBS(基本設計)'!$J$7:$J$106,'WBS(基本設計)'!$F$7:$F$106,$C8,'WBS(基本設計)'!$O$7:$O$106,"対象")</f>
        <v>0</v>
      </c>
      <c r="N8" t="str">
        <f t="shared" si="0"/>
        <v>要確認</v>
      </c>
    </row>
    <row r="9" spans="1:26">
      <c r="A9" s="406" t="s">
        <v>6819</v>
      </c>
      <c r="B9" s="406" t="s">
        <v>7251</v>
      </c>
      <c r="C9" s="406" t="s">
        <v>7406</v>
      </c>
      <c r="D9" s="406" t="s">
        <v>6071</v>
      </c>
      <c r="E9" s="406" t="s">
        <v>7544</v>
      </c>
      <c r="F9" s="412" t="s">
        <v>3214</v>
      </c>
      <c r="G9" s="412" t="s">
        <v>4696</v>
      </c>
      <c r="H9" s="411">
        <v>2</v>
      </c>
      <c r="I9" s="411">
        <v>1.5</v>
      </c>
      <c r="J9" s="411">
        <v>0</v>
      </c>
      <c r="K9">
        <f>COUNTIF('WBS(基本設計)'!$F$7:$F$106,$C9)</f>
        <v>0</v>
      </c>
      <c r="L9">
        <f>SUMIF('WBS(基本設計)'!$F$7:$F$106,$C9,'WBS(基本設計)'!$J$7:$J$106)</f>
        <v>0</v>
      </c>
      <c r="M9">
        <f>SUMIFS('WBS(基本設計)'!$J$7:$J$106,'WBS(基本設計)'!$F$7:$F$106,$C9,'WBS(基本設計)'!$O$7:$O$106,"対象")</f>
        <v>0</v>
      </c>
      <c r="N9" t="str">
        <f t="shared" si="0"/>
        <v>要確認</v>
      </c>
    </row>
    <row r="10" spans="1:26">
      <c r="A10" s="406" t="s">
        <v>6819</v>
      </c>
      <c r="B10" s="406" t="s">
        <v>7251</v>
      </c>
      <c r="C10" s="406" t="s">
        <v>7407</v>
      </c>
      <c r="D10" s="406" t="s">
        <v>6075</v>
      </c>
      <c r="E10" s="406" t="s">
        <v>7545</v>
      </c>
      <c r="F10" s="412" t="s">
        <v>3214</v>
      </c>
      <c r="G10" s="412" t="s">
        <v>4696</v>
      </c>
      <c r="H10" s="411">
        <v>1</v>
      </c>
      <c r="I10" s="411">
        <v>0.5</v>
      </c>
      <c r="J10" s="411">
        <v>0.5</v>
      </c>
      <c r="K10">
        <f>COUNTIF('WBS(基本設計)'!$F$7:$F$106,$C10)</f>
        <v>0</v>
      </c>
      <c r="L10">
        <f>SUMIF('WBS(基本設計)'!$F$7:$F$106,$C10,'WBS(基本設計)'!$J$7:$J$106)</f>
        <v>0</v>
      </c>
      <c r="M10">
        <f>SUMIFS('WBS(基本設計)'!$J$7:$J$106,'WBS(基本設計)'!$F$7:$F$106,$C10,'WBS(基本設計)'!$O$7:$O$106,"対象")</f>
        <v>0</v>
      </c>
      <c r="N10" t="str">
        <f t="shared" si="0"/>
        <v>要確認</v>
      </c>
    </row>
    <row r="11" spans="1:26">
      <c r="A11" s="406" t="s">
        <v>6819</v>
      </c>
      <c r="B11" s="406" t="s">
        <v>7251</v>
      </c>
      <c r="C11" s="406" t="s">
        <v>7400</v>
      </c>
      <c r="D11" s="406" t="s">
        <v>5997</v>
      </c>
      <c r="E11" s="406" t="s">
        <v>7243</v>
      </c>
      <c r="F11" s="412" t="s">
        <v>4696</v>
      </c>
      <c r="G11" s="412" t="s">
        <v>3214</v>
      </c>
      <c r="H11" s="411">
        <v>2</v>
      </c>
      <c r="I11" s="411">
        <v>3.75</v>
      </c>
      <c r="J11" s="411">
        <v>0</v>
      </c>
      <c r="K11">
        <f>COUNTIF('WBS(基本設計)'!$F$7:$F$106,$C11)</f>
        <v>0</v>
      </c>
      <c r="L11">
        <f>SUMIF('WBS(基本設計)'!$F$7:$F$106,$C11,'WBS(基本設計)'!$J$7:$J$106)</f>
        <v>0</v>
      </c>
      <c r="M11">
        <f>SUMIFS('WBS(基本設計)'!$J$7:$J$106,'WBS(基本設計)'!$F$7:$F$106,$C11,'WBS(基本設計)'!$O$7:$O$106,"対象")</f>
        <v>0</v>
      </c>
      <c r="N11" t="str">
        <f t="shared" si="0"/>
        <v>要確認</v>
      </c>
    </row>
    <row r="12" spans="1:26">
      <c r="A12" s="406" t="s">
        <v>6819</v>
      </c>
      <c r="B12" s="406" t="s">
        <v>7253</v>
      </c>
      <c r="C12" s="406" t="s">
        <v>7357</v>
      </c>
      <c r="D12" s="406" t="s">
        <v>5969</v>
      </c>
      <c r="E12" s="406" t="s">
        <v>7546</v>
      </c>
      <c r="F12" s="412" t="s">
        <v>4696</v>
      </c>
      <c r="G12" s="412" t="s">
        <v>3214</v>
      </c>
      <c r="H12" s="411">
        <v>8</v>
      </c>
      <c r="I12" s="411">
        <v>10.75</v>
      </c>
      <c r="J12" s="411">
        <v>3.25</v>
      </c>
      <c r="K12">
        <f>COUNTIF('WBS(基本設計)'!$F$7:$F$106,$C12)</f>
        <v>2</v>
      </c>
      <c r="L12">
        <f>SUMIF('WBS(基本設計)'!$F$7:$F$106,$C12,'WBS(基本設計)'!$J$7:$J$106)</f>
        <v>2.5</v>
      </c>
      <c r="M12">
        <f>SUMIFS('WBS(基本設計)'!$J$7:$J$106,'WBS(基本設計)'!$F$7:$F$106,$C12,'WBS(基本設計)'!$O$7:$O$106,"対象")</f>
        <v>0.5</v>
      </c>
      <c r="N12" t="str">
        <f t="shared" si="0"/>
        <v>要確認</v>
      </c>
    </row>
    <row r="13" spans="1:26">
      <c r="A13" s="406" t="s">
        <v>6819</v>
      </c>
      <c r="B13" s="406" t="s">
        <v>6425</v>
      </c>
      <c r="C13" s="406" t="s">
        <v>6265</v>
      </c>
      <c r="D13" s="406" t="s">
        <v>6000</v>
      </c>
      <c r="E13" s="406" t="s">
        <v>6244</v>
      </c>
      <c r="F13" s="412" t="s">
        <v>4696</v>
      </c>
      <c r="G13" s="412" t="s">
        <v>3214</v>
      </c>
      <c r="H13" s="411">
        <v>2</v>
      </c>
      <c r="I13" s="411">
        <v>1</v>
      </c>
      <c r="J13" s="411">
        <v>1</v>
      </c>
      <c r="K13">
        <f>COUNTIF('WBS(基本設計)'!$F$7:$F$106,$C13)</f>
        <v>1</v>
      </c>
      <c r="L13">
        <f>SUMIF('WBS(基本設計)'!$F$7:$F$106,$C13,'WBS(基本設計)'!$J$7:$J$106)</f>
        <v>0.5</v>
      </c>
      <c r="M13">
        <f>SUMIFS('WBS(基本設計)'!$J$7:$J$106,'WBS(基本設計)'!$F$7:$F$106,$C13,'WBS(基本設計)'!$O$7:$O$106,"対象")</f>
        <v>0.5</v>
      </c>
      <c r="N13" t="str">
        <f t="shared" si="0"/>
        <v>要確認</v>
      </c>
    </row>
    <row r="14" spans="1:26">
      <c r="A14" s="406" t="s">
        <v>6819</v>
      </c>
      <c r="B14" s="406" t="s">
        <v>6425</v>
      </c>
      <c r="C14" s="406" t="s">
        <v>6266</v>
      </c>
      <c r="D14" s="406" t="s">
        <v>6004</v>
      </c>
      <c r="E14" s="406" t="s">
        <v>6245</v>
      </c>
      <c r="F14" s="412" t="s">
        <v>4696</v>
      </c>
      <c r="G14" s="412" t="s">
        <v>3214</v>
      </c>
      <c r="H14" s="411">
        <v>3</v>
      </c>
      <c r="I14" s="411">
        <v>2.75</v>
      </c>
      <c r="J14" s="411">
        <v>0.75</v>
      </c>
      <c r="K14">
        <f>COUNTIF('WBS(基本設計)'!$F$7:$F$106,$C14)</f>
        <v>0</v>
      </c>
      <c r="L14">
        <f>SUMIF('WBS(基本設計)'!$F$7:$F$106,$C14,'WBS(基本設計)'!$J$7:$J$106)</f>
        <v>0</v>
      </c>
      <c r="M14">
        <f>SUMIFS('WBS(基本設計)'!$J$7:$J$106,'WBS(基本設計)'!$F$7:$F$106,$C14,'WBS(基本設計)'!$O$7:$O$106,"対象")</f>
        <v>0</v>
      </c>
      <c r="N14" t="str">
        <f t="shared" si="0"/>
        <v>要確認</v>
      </c>
    </row>
    <row r="15" spans="1:26">
      <c r="A15" s="406" t="s">
        <v>6819</v>
      </c>
      <c r="B15" s="406" t="s">
        <v>6425</v>
      </c>
      <c r="C15" s="406" t="s">
        <v>6267</v>
      </c>
      <c r="D15" s="406" t="s">
        <v>6006</v>
      </c>
      <c r="E15" s="406" t="s">
        <v>7547</v>
      </c>
      <c r="F15" s="412" t="s">
        <v>4696</v>
      </c>
      <c r="G15" s="412" t="s">
        <v>3214</v>
      </c>
      <c r="H15" s="411">
        <v>2</v>
      </c>
      <c r="I15" s="411">
        <v>1</v>
      </c>
      <c r="J15" s="411">
        <v>1</v>
      </c>
      <c r="K15">
        <f>COUNTIF('WBS(基本設計)'!$F$7:$F$106,$C15)</f>
        <v>1</v>
      </c>
      <c r="L15">
        <f>SUMIF('WBS(基本設計)'!$F$7:$F$106,$C15,'WBS(基本設計)'!$J$7:$J$106)</f>
        <v>0.5</v>
      </c>
      <c r="M15">
        <f>SUMIFS('WBS(基本設計)'!$J$7:$J$106,'WBS(基本設計)'!$F$7:$F$106,$C15,'WBS(基本設計)'!$O$7:$O$106,"対象")</f>
        <v>0.5</v>
      </c>
      <c r="N15" t="str">
        <f t="shared" si="0"/>
        <v>要確認</v>
      </c>
    </row>
    <row r="16" spans="1:26">
      <c r="A16" s="406" t="s">
        <v>6819</v>
      </c>
      <c r="B16" s="406" t="s">
        <v>6425</v>
      </c>
      <c r="C16" s="406" t="s">
        <v>6268</v>
      </c>
      <c r="D16" s="406" t="s">
        <v>6009</v>
      </c>
      <c r="E16" s="406" t="s">
        <v>7548</v>
      </c>
      <c r="F16" s="412" t="s">
        <v>4696</v>
      </c>
      <c r="G16" s="412" t="s">
        <v>3214</v>
      </c>
      <c r="H16" s="411">
        <v>1</v>
      </c>
      <c r="I16" s="411">
        <v>0.5</v>
      </c>
      <c r="J16" s="411">
        <v>0.5</v>
      </c>
      <c r="K16">
        <f>COUNTIF('WBS(基本設計)'!$F$7:$F$106,$C16)</f>
        <v>0</v>
      </c>
      <c r="L16">
        <f>SUMIF('WBS(基本設計)'!$F$7:$F$106,$C16,'WBS(基本設計)'!$J$7:$J$106)</f>
        <v>0</v>
      </c>
      <c r="M16">
        <f>SUMIFS('WBS(基本設計)'!$J$7:$J$106,'WBS(基本設計)'!$F$7:$F$106,$C16,'WBS(基本設計)'!$O$7:$O$106,"対象")</f>
        <v>0</v>
      </c>
      <c r="N16" t="str">
        <f t="shared" si="0"/>
        <v>要確認</v>
      </c>
    </row>
    <row r="17" spans="1:14">
      <c r="A17" s="406" t="s">
        <v>6819</v>
      </c>
      <c r="B17" s="406" t="s">
        <v>6425</v>
      </c>
      <c r="C17" s="406" t="s">
        <v>7401</v>
      </c>
      <c r="D17" s="406" t="s">
        <v>6011</v>
      </c>
      <c r="E17" s="406" t="s">
        <v>7549</v>
      </c>
      <c r="F17" s="412" t="s">
        <v>4696</v>
      </c>
      <c r="G17" s="412" t="s">
        <v>3214</v>
      </c>
      <c r="H17" s="411">
        <v>1</v>
      </c>
      <c r="I17" s="411">
        <v>0.5</v>
      </c>
      <c r="J17" s="411">
        <v>0.5</v>
      </c>
      <c r="K17">
        <f>COUNTIF('WBS(基本設計)'!$F$7:$F$106,$C17)</f>
        <v>0</v>
      </c>
      <c r="L17">
        <f>SUMIF('WBS(基本設計)'!$F$7:$F$106,$C17,'WBS(基本設計)'!$J$7:$J$106)</f>
        <v>0</v>
      </c>
      <c r="M17">
        <f>SUMIFS('WBS(基本設計)'!$J$7:$J$106,'WBS(基本設計)'!$F$7:$F$106,$C17,'WBS(基本設計)'!$O$7:$O$106,"対象")</f>
        <v>0</v>
      </c>
      <c r="N17" t="str">
        <f t="shared" si="0"/>
        <v>要確認</v>
      </c>
    </row>
    <row r="18" spans="1:14" ht="40" customHeight="1">
      <c r="A18" s="406" t="s">
        <v>6819</v>
      </c>
      <c r="B18" s="406" t="s">
        <v>6425</v>
      </c>
      <c r="C18" s="406" t="s">
        <v>6290</v>
      </c>
      <c r="D18" s="406" t="s">
        <v>6104</v>
      </c>
      <c r="E18" s="406" t="s">
        <v>7550</v>
      </c>
      <c r="F18" s="412" t="s">
        <v>7248</v>
      </c>
      <c r="G18" s="412" t="s">
        <v>7248</v>
      </c>
      <c r="H18" s="411">
        <v>2</v>
      </c>
      <c r="I18" s="411">
        <v>1</v>
      </c>
      <c r="J18" s="411">
        <v>1</v>
      </c>
      <c r="K18">
        <f>COUNTIF('WBS(基本設計)'!$F$7:$F$106,$C18)</f>
        <v>0</v>
      </c>
      <c r="L18">
        <f>SUMIF('WBS(基本設計)'!$F$7:$F$106,$C18,'WBS(基本設計)'!$J$7:$J$106)</f>
        <v>0</v>
      </c>
      <c r="M18">
        <f>SUMIFS('WBS(基本設計)'!$J$7:$J$106,'WBS(基本設計)'!$F$7:$F$106,$C18,'WBS(基本設計)'!$O$7:$O$106,"対象")</f>
        <v>0</v>
      </c>
      <c r="N18" t="str">
        <f t="shared" si="0"/>
        <v>要確認</v>
      </c>
    </row>
    <row r="19" spans="1:14">
      <c r="A19" s="406" t="s">
        <v>6819</v>
      </c>
      <c r="B19" s="406" t="s">
        <v>6425</v>
      </c>
      <c r="C19" s="406" t="s">
        <v>6260</v>
      </c>
      <c r="D19" s="406" t="s">
        <v>6018</v>
      </c>
      <c r="E19" s="406" t="s">
        <v>7551</v>
      </c>
      <c r="F19" s="412" t="s">
        <v>4696</v>
      </c>
      <c r="G19" s="412" t="s">
        <v>3214</v>
      </c>
      <c r="H19" s="411">
        <v>3</v>
      </c>
      <c r="I19" s="411">
        <v>5.75</v>
      </c>
      <c r="J19" s="411">
        <v>0</v>
      </c>
      <c r="K19">
        <f>COUNTIF('WBS(基本設計)'!$F$7:$F$106,$C19)</f>
        <v>0</v>
      </c>
      <c r="L19">
        <f>SUMIF('WBS(基本設計)'!$F$7:$F$106,$C19,'WBS(基本設計)'!$J$7:$J$106)</f>
        <v>0</v>
      </c>
      <c r="M19">
        <f>SUMIFS('WBS(基本設計)'!$J$7:$J$106,'WBS(基本設計)'!$F$7:$F$106,$C19,'WBS(基本設計)'!$O$7:$O$106,"対象")</f>
        <v>0</v>
      </c>
      <c r="N19" t="str">
        <f t="shared" si="0"/>
        <v>要確認</v>
      </c>
    </row>
    <row r="20" spans="1:14" ht="66" customHeight="1">
      <c r="A20" s="406" t="s">
        <v>6819</v>
      </c>
      <c r="B20" s="406" t="s">
        <v>7256</v>
      </c>
      <c r="C20" s="406" t="s">
        <v>6271</v>
      </c>
      <c r="D20" s="406" t="s">
        <v>6021</v>
      </c>
      <c r="E20" s="406" t="s">
        <v>7552</v>
      </c>
      <c r="F20" s="412" t="s">
        <v>4696</v>
      </c>
      <c r="G20" s="412" t="s">
        <v>3214</v>
      </c>
      <c r="H20" s="411">
        <v>2</v>
      </c>
      <c r="I20" s="411">
        <v>1</v>
      </c>
      <c r="J20" s="411">
        <v>1</v>
      </c>
      <c r="K20">
        <f>COUNTIF('WBS(基本設計)'!$F$7:$F$106,$C20)</f>
        <v>0</v>
      </c>
      <c r="L20">
        <f>SUMIF('WBS(基本設計)'!$F$7:$F$106,$C20,'WBS(基本設計)'!$J$7:$J$106)</f>
        <v>0</v>
      </c>
      <c r="M20">
        <f>SUMIFS('WBS(基本設計)'!$J$7:$J$106,'WBS(基本設計)'!$F$7:$F$106,$C20,'WBS(基本設計)'!$O$7:$O$106,"対象")</f>
        <v>0</v>
      </c>
      <c r="N20" t="str">
        <f t="shared" si="0"/>
        <v>要確認</v>
      </c>
    </row>
    <row r="21" spans="1:14">
      <c r="A21" s="406" t="s">
        <v>6819</v>
      </c>
      <c r="B21" s="406" t="s">
        <v>7256</v>
      </c>
      <c r="C21" s="406" t="s">
        <v>6272</v>
      </c>
      <c r="D21" s="406" t="s">
        <v>6023</v>
      </c>
      <c r="E21" s="406" t="s">
        <v>6247</v>
      </c>
      <c r="F21" s="412" t="s">
        <v>4696</v>
      </c>
      <c r="G21" s="412" t="s">
        <v>3214</v>
      </c>
      <c r="H21" s="411">
        <v>2</v>
      </c>
      <c r="I21" s="411">
        <v>1</v>
      </c>
      <c r="J21" s="411">
        <v>1</v>
      </c>
      <c r="K21">
        <f>COUNTIF('WBS(基本設計)'!$F$7:$F$106,$C21)</f>
        <v>0</v>
      </c>
      <c r="L21">
        <f>SUMIF('WBS(基本設計)'!$F$7:$F$106,$C21,'WBS(基本設計)'!$J$7:$J$106)</f>
        <v>0</v>
      </c>
      <c r="M21">
        <f>SUMIFS('WBS(基本設計)'!$J$7:$J$106,'WBS(基本設計)'!$F$7:$F$106,$C21,'WBS(基本設計)'!$O$7:$O$106,"対象")</f>
        <v>0</v>
      </c>
      <c r="N21" t="str">
        <f t="shared" si="0"/>
        <v>要確認</v>
      </c>
    </row>
    <row r="22" spans="1:14">
      <c r="A22" s="406" t="s">
        <v>6819</v>
      </c>
      <c r="B22" s="406" t="s">
        <v>7256</v>
      </c>
      <c r="C22" s="406" t="s">
        <v>6288</v>
      </c>
      <c r="D22" s="406" t="s">
        <v>6098</v>
      </c>
      <c r="E22" s="406" t="s">
        <v>7553</v>
      </c>
      <c r="F22" s="412" t="s">
        <v>7248</v>
      </c>
      <c r="G22" s="412" t="s">
        <v>7248</v>
      </c>
      <c r="H22" s="411">
        <v>3</v>
      </c>
      <c r="I22" s="411">
        <v>1.5</v>
      </c>
      <c r="J22" s="411">
        <v>1.5</v>
      </c>
      <c r="K22">
        <f>COUNTIF('WBS(基本設計)'!$F$7:$F$106,$C22)</f>
        <v>0</v>
      </c>
      <c r="L22">
        <f>SUMIF('WBS(基本設計)'!$F$7:$F$106,$C22,'WBS(基本設計)'!$J$7:$J$106)</f>
        <v>0</v>
      </c>
      <c r="M22">
        <f>SUMIFS('WBS(基本設計)'!$J$7:$J$106,'WBS(基本設計)'!$F$7:$F$106,$C22,'WBS(基本設計)'!$O$7:$O$106,"対象")</f>
        <v>0</v>
      </c>
      <c r="N22" t="str">
        <f t="shared" si="0"/>
        <v>要確認</v>
      </c>
    </row>
    <row r="23" spans="1:14" ht="58" customHeight="1">
      <c r="A23" s="406" t="s">
        <v>6819</v>
      </c>
      <c r="B23" s="406" t="s">
        <v>7256</v>
      </c>
      <c r="C23" s="406" t="s">
        <v>6269</v>
      </c>
      <c r="D23" s="406" t="s">
        <v>6013</v>
      </c>
      <c r="E23" s="406" t="s">
        <v>7554</v>
      </c>
      <c r="F23" s="412" t="s">
        <v>4696</v>
      </c>
      <c r="G23" s="412" t="s">
        <v>3214</v>
      </c>
      <c r="H23" s="411">
        <v>3</v>
      </c>
      <c r="I23" s="411">
        <v>1.5</v>
      </c>
      <c r="J23" s="411">
        <v>1.5</v>
      </c>
      <c r="K23">
        <f>COUNTIF('WBS(基本設計)'!$F$7:$F$106,$C23)</f>
        <v>0</v>
      </c>
      <c r="L23">
        <f>SUMIF('WBS(基本設計)'!$F$7:$F$106,$C23,'WBS(基本設計)'!$J$7:$J$106)</f>
        <v>0</v>
      </c>
      <c r="M23">
        <f>SUMIFS('WBS(基本設計)'!$J$7:$J$106,'WBS(基本設計)'!$F$7:$F$106,$C23,'WBS(基本設計)'!$O$7:$O$106,"対象")</f>
        <v>0</v>
      </c>
      <c r="N23" t="str">
        <f t="shared" si="0"/>
        <v>要確認</v>
      </c>
    </row>
    <row r="24" spans="1:14">
      <c r="A24" s="406" t="s">
        <v>6819</v>
      </c>
      <c r="B24" s="406" t="s">
        <v>7256</v>
      </c>
      <c r="C24" s="406" t="s">
        <v>6270</v>
      </c>
      <c r="D24" s="406" t="s">
        <v>6016</v>
      </c>
      <c r="E24" s="406" t="s">
        <v>6246</v>
      </c>
      <c r="F24" s="412" t="s">
        <v>4696</v>
      </c>
      <c r="G24" s="412" t="s">
        <v>3214</v>
      </c>
      <c r="H24" s="411">
        <v>2</v>
      </c>
      <c r="I24" s="411">
        <v>3.5</v>
      </c>
      <c r="J24" s="411">
        <v>3.5</v>
      </c>
      <c r="K24">
        <f>COUNTIF('WBS(基本設計)'!$F$7:$F$106,$C24)</f>
        <v>0</v>
      </c>
      <c r="L24">
        <f>SUMIF('WBS(基本設計)'!$F$7:$F$106,$C24,'WBS(基本設計)'!$J$7:$J$106)</f>
        <v>0</v>
      </c>
      <c r="M24">
        <f>SUMIFS('WBS(基本設計)'!$J$7:$J$106,'WBS(基本設計)'!$F$7:$F$106,$C24,'WBS(基本設計)'!$O$7:$O$106,"対象")</f>
        <v>0</v>
      </c>
      <c r="N24" t="str">
        <f t="shared" si="0"/>
        <v>要確認</v>
      </c>
    </row>
    <row r="25" spans="1:14">
      <c r="A25" s="406" t="s">
        <v>6819</v>
      </c>
      <c r="B25" s="406" t="s">
        <v>6427</v>
      </c>
      <c r="C25" s="406" t="s">
        <v>6273</v>
      </c>
      <c r="D25" s="406" t="s">
        <v>6025</v>
      </c>
      <c r="E25" s="406" t="s">
        <v>7555</v>
      </c>
      <c r="F25" s="412" t="s">
        <v>4696</v>
      </c>
      <c r="G25" s="412" t="s">
        <v>3214</v>
      </c>
      <c r="H25" s="411">
        <v>3</v>
      </c>
      <c r="I25" s="411">
        <v>3.5</v>
      </c>
      <c r="J25" s="411">
        <v>3.5</v>
      </c>
      <c r="K25">
        <f>COUNTIF('WBS(基本設計)'!$F$7:$F$106,$C25)</f>
        <v>0</v>
      </c>
      <c r="L25">
        <f>SUMIF('WBS(基本設計)'!$F$7:$F$106,$C25,'WBS(基本設計)'!$J$7:$J$106)</f>
        <v>0</v>
      </c>
      <c r="M25">
        <f>SUMIFS('WBS(基本設計)'!$J$7:$J$106,'WBS(基本設計)'!$F$7:$F$106,$C25,'WBS(基本設計)'!$O$7:$O$106,"対象")</f>
        <v>0</v>
      </c>
      <c r="N25" t="str">
        <f t="shared" si="0"/>
        <v>要確認</v>
      </c>
    </row>
    <row r="26" spans="1:14">
      <c r="A26" s="406" t="s">
        <v>6819</v>
      </c>
      <c r="B26" s="406" t="s">
        <v>6427</v>
      </c>
      <c r="C26" s="406" t="s">
        <v>6428</v>
      </c>
      <c r="D26" s="406" t="s">
        <v>6029</v>
      </c>
      <c r="E26" s="406" t="s">
        <v>7556</v>
      </c>
      <c r="F26" s="412" t="s">
        <v>4696</v>
      </c>
      <c r="G26" s="412" t="s">
        <v>3214</v>
      </c>
      <c r="H26" s="411">
        <v>1</v>
      </c>
      <c r="I26" s="411">
        <v>0.5</v>
      </c>
      <c r="J26" s="411">
        <v>0.5</v>
      </c>
      <c r="K26">
        <f>COUNTIF('WBS(基本設計)'!$F$7:$F$106,$C26)</f>
        <v>0</v>
      </c>
      <c r="L26">
        <f>SUMIF('WBS(基本設計)'!$F$7:$F$106,$C26,'WBS(基本設計)'!$J$7:$J$106)</f>
        <v>0</v>
      </c>
      <c r="M26">
        <f>SUMIFS('WBS(基本設計)'!$J$7:$J$106,'WBS(基本設計)'!$F$7:$F$106,$C26,'WBS(基本設計)'!$O$7:$O$106,"対象")</f>
        <v>0</v>
      </c>
      <c r="N26" t="str">
        <f t="shared" si="0"/>
        <v>要確認</v>
      </c>
    </row>
    <row r="27" spans="1:14" ht="40" customHeight="1">
      <c r="A27" s="406" t="s">
        <v>6819</v>
      </c>
      <c r="B27" s="406" t="s">
        <v>6427</v>
      </c>
      <c r="C27" s="406" t="s">
        <v>6429</v>
      </c>
      <c r="D27" s="406" t="s">
        <v>6032</v>
      </c>
      <c r="E27" s="406" t="s">
        <v>7557</v>
      </c>
      <c r="F27" s="412" t="s">
        <v>4696</v>
      </c>
      <c r="G27" s="412" t="s">
        <v>3214</v>
      </c>
      <c r="H27" s="411">
        <v>2</v>
      </c>
      <c r="I27" s="411">
        <v>1.5</v>
      </c>
      <c r="J27" s="411">
        <v>1.5</v>
      </c>
      <c r="K27">
        <f>COUNTIF('WBS(基本設計)'!$F$7:$F$106,$C27)</f>
        <v>0</v>
      </c>
      <c r="L27">
        <f>SUMIF('WBS(基本設計)'!$F$7:$F$106,$C27,'WBS(基本設計)'!$J$7:$J$106)</f>
        <v>0</v>
      </c>
      <c r="M27">
        <f>SUMIFS('WBS(基本設計)'!$J$7:$J$106,'WBS(基本設計)'!$F$7:$F$106,$C27,'WBS(基本設計)'!$O$7:$O$106,"対象")</f>
        <v>0</v>
      </c>
      <c r="N27" t="str">
        <f t="shared" si="0"/>
        <v>要確認</v>
      </c>
    </row>
    <row r="28" spans="1:14">
      <c r="A28" s="406" t="s">
        <v>6819</v>
      </c>
      <c r="B28" s="406" t="s">
        <v>7259</v>
      </c>
      <c r="C28" s="406" t="s">
        <v>7397</v>
      </c>
      <c r="D28" s="406" t="s">
        <v>7503</v>
      </c>
      <c r="E28" s="406" t="s">
        <v>7558</v>
      </c>
      <c r="F28" s="412" t="s">
        <v>4696</v>
      </c>
      <c r="G28" s="412" t="s">
        <v>3214</v>
      </c>
      <c r="H28" s="411">
        <v>4</v>
      </c>
      <c r="I28" s="411">
        <v>9</v>
      </c>
      <c r="J28" s="411">
        <v>6</v>
      </c>
      <c r="K28">
        <f>COUNTIF('WBS(基本設計)'!$F$7:$F$106,$C28)</f>
        <v>3</v>
      </c>
      <c r="L28">
        <f>SUMIF('WBS(基本設計)'!$F$7:$F$106,$C28,'WBS(基本設計)'!$J$7:$J$106)</f>
        <v>5</v>
      </c>
      <c r="M28">
        <f>SUMIFS('WBS(基本設計)'!$J$7:$J$106,'WBS(基本設計)'!$F$7:$F$106,$C28,'WBS(基本設計)'!$O$7:$O$106,"対象")</f>
        <v>5</v>
      </c>
      <c r="N28" t="str">
        <f t="shared" si="0"/>
        <v>要確認</v>
      </c>
    </row>
    <row r="29" spans="1:14">
      <c r="A29" s="406" t="s">
        <v>6819</v>
      </c>
      <c r="B29" s="406" t="s">
        <v>7259</v>
      </c>
      <c r="C29" s="406" t="s">
        <v>7438</v>
      </c>
      <c r="D29" s="406" t="s">
        <v>7533</v>
      </c>
      <c r="E29" s="406" t="s">
        <v>7559</v>
      </c>
      <c r="F29" s="412" t="s">
        <v>4696</v>
      </c>
      <c r="G29" s="412" t="s">
        <v>3214</v>
      </c>
      <c r="H29" s="411">
        <v>2</v>
      </c>
      <c r="I29" s="411">
        <v>5</v>
      </c>
      <c r="J29" s="411">
        <v>5</v>
      </c>
      <c r="K29">
        <f>COUNTIF('WBS(基本設計)'!$F$7:$F$106,$C29)</f>
        <v>2</v>
      </c>
      <c r="L29">
        <f>SUMIF('WBS(基本設計)'!$F$7:$F$106,$C29,'WBS(基本設計)'!$J$7:$J$106)</f>
        <v>4</v>
      </c>
      <c r="M29">
        <f>SUMIFS('WBS(基本設計)'!$J$7:$J$106,'WBS(基本設計)'!$F$7:$F$106,$C29,'WBS(基本設計)'!$O$7:$O$106,"対象")</f>
        <v>4</v>
      </c>
      <c r="N29" t="str">
        <f t="shared" si="0"/>
        <v>要確認</v>
      </c>
    </row>
    <row r="30" spans="1:14">
      <c r="A30" s="406" t="s">
        <v>6819</v>
      </c>
      <c r="B30" s="406" t="s">
        <v>7259</v>
      </c>
      <c r="C30" s="406" t="s">
        <v>7374</v>
      </c>
      <c r="D30" s="406" t="s">
        <v>6106</v>
      </c>
      <c r="E30" s="406" t="s">
        <v>7560</v>
      </c>
      <c r="F30" s="412" t="s">
        <v>7248</v>
      </c>
      <c r="G30" s="412" t="s">
        <v>7248</v>
      </c>
      <c r="H30" s="411">
        <v>3</v>
      </c>
      <c r="I30" s="411">
        <v>2</v>
      </c>
      <c r="J30" s="411">
        <v>2</v>
      </c>
      <c r="K30">
        <f>COUNTIF('WBS(基本設計)'!$F$7:$F$106,$C30)</f>
        <v>0</v>
      </c>
      <c r="L30">
        <f>SUMIF('WBS(基本設計)'!$F$7:$F$106,$C30,'WBS(基本設計)'!$J$7:$J$106)</f>
        <v>0</v>
      </c>
      <c r="M30">
        <f>SUMIFS('WBS(基本設計)'!$J$7:$J$106,'WBS(基本設計)'!$F$7:$F$106,$C30,'WBS(基本設計)'!$O$7:$O$106,"対象")</f>
        <v>0</v>
      </c>
      <c r="N30" t="str">
        <f t="shared" si="0"/>
        <v>要確認</v>
      </c>
    </row>
    <row r="31" spans="1:14">
      <c r="A31" s="406" t="s">
        <v>6819</v>
      </c>
      <c r="B31" s="406" t="s">
        <v>7261</v>
      </c>
      <c r="C31" s="406" t="s">
        <v>7347</v>
      </c>
      <c r="D31" s="406" t="s">
        <v>7454</v>
      </c>
      <c r="E31" s="406" t="s">
        <v>7561</v>
      </c>
      <c r="F31" s="412" t="s">
        <v>4696</v>
      </c>
      <c r="G31" s="412" t="s">
        <v>3214</v>
      </c>
      <c r="H31" s="411">
        <v>3</v>
      </c>
      <c r="I31" s="411">
        <v>6</v>
      </c>
      <c r="J31" s="411">
        <v>3</v>
      </c>
      <c r="K31">
        <f>COUNTIF('WBS(基本設計)'!$F$7:$F$106,$C31)</f>
        <v>0</v>
      </c>
      <c r="L31">
        <f>SUMIF('WBS(基本設計)'!$F$7:$F$106,$C31,'WBS(基本設計)'!$J$7:$J$106)</f>
        <v>0</v>
      </c>
      <c r="M31">
        <f>SUMIFS('WBS(基本設計)'!$J$7:$J$106,'WBS(基本設計)'!$F$7:$F$106,$C31,'WBS(基本設計)'!$O$7:$O$106,"対象")</f>
        <v>0</v>
      </c>
      <c r="N31" t="str">
        <f t="shared" si="0"/>
        <v>要確認</v>
      </c>
    </row>
    <row r="32" spans="1:14">
      <c r="A32" s="406" t="s">
        <v>6819</v>
      </c>
      <c r="B32" s="406" t="s">
        <v>7261</v>
      </c>
      <c r="C32" s="406" t="s">
        <v>7414</v>
      </c>
      <c r="D32" s="406" t="s">
        <v>7509</v>
      </c>
      <c r="E32" s="406" t="s">
        <v>7562</v>
      </c>
      <c r="F32" s="412" t="s">
        <v>4696</v>
      </c>
      <c r="G32" s="412" t="s">
        <v>3214</v>
      </c>
      <c r="H32" s="411">
        <v>1</v>
      </c>
      <c r="I32" s="411">
        <v>0.5</v>
      </c>
      <c r="J32" s="411">
        <v>0.5</v>
      </c>
      <c r="K32">
        <f>COUNTIF('WBS(基本設計)'!$F$7:$F$106,$C32)</f>
        <v>0</v>
      </c>
      <c r="L32">
        <f>SUMIF('WBS(基本設計)'!$F$7:$F$106,$C32,'WBS(基本設計)'!$J$7:$J$106)</f>
        <v>0</v>
      </c>
      <c r="M32">
        <f>SUMIFS('WBS(基本設計)'!$J$7:$J$106,'WBS(基本設計)'!$F$7:$F$106,$C32,'WBS(基本設計)'!$O$7:$O$106,"対象")</f>
        <v>0</v>
      </c>
      <c r="N32" t="str">
        <f t="shared" si="0"/>
        <v>要確認</v>
      </c>
    </row>
    <row r="33" spans="1:14">
      <c r="A33" s="406" t="s">
        <v>6819</v>
      </c>
      <c r="B33" s="406" t="s">
        <v>7261</v>
      </c>
      <c r="C33" s="406" t="s">
        <v>7440</v>
      </c>
      <c r="D33" s="406" t="s">
        <v>7535</v>
      </c>
      <c r="E33" s="406" t="s">
        <v>7563</v>
      </c>
      <c r="F33" s="412" t="s">
        <v>4696</v>
      </c>
      <c r="G33" s="412" t="s">
        <v>3214</v>
      </c>
      <c r="H33" s="411">
        <v>1</v>
      </c>
      <c r="I33" s="411">
        <v>1</v>
      </c>
      <c r="J33" s="411">
        <v>1</v>
      </c>
      <c r="K33">
        <f>COUNTIF('WBS(基本設計)'!$F$7:$F$106,$C33)</f>
        <v>0</v>
      </c>
      <c r="L33">
        <f>SUMIF('WBS(基本設計)'!$F$7:$F$106,$C33,'WBS(基本設計)'!$J$7:$J$106)</f>
        <v>0</v>
      </c>
      <c r="M33">
        <f>SUMIFS('WBS(基本設計)'!$J$7:$J$106,'WBS(基本設計)'!$F$7:$F$106,$C33,'WBS(基本設計)'!$O$7:$O$106,"対象")</f>
        <v>0</v>
      </c>
      <c r="N33" t="str">
        <f t="shared" si="0"/>
        <v>要確認</v>
      </c>
    </row>
    <row r="34" spans="1:14">
      <c r="A34" s="406" t="s">
        <v>6819</v>
      </c>
      <c r="B34" s="406" t="s">
        <v>1502</v>
      </c>
      <c r="C34" s="406" t="s">
        <v>7415</v>
      </c>
      <c r="D34" s="406" t="s">
        <v>7510</v>
      </c>
      <c r="E34" s="406" t="s">
        <v>7564</v>
      </c>
      <c r="F34" s="412" t="s">
        <v>7248</v>
      </c>
      <c r="G34" s="412" t="s">
        <v>7248</v>
      </c>
      <c r="H34" s="411">
        <v>2</v>
      </c>
      <c r="I34" s="411">
        <v>2.5</v>
      </c>
      <c r="J34" s="411">
        <v>0.5</v>
      </c>
      <c r="K34">
        <f>COUNTIF('WBS(基本設計)'!$F$7:$F$106,$C34)</f>
        <v>0</v>
      </c>
      <c r="L34">
        <f>SUMIF('WBS(基本設計)'!$F$7:$F$106,$C34,'WBS(基本設計)'!$J$7:$J$106)</f>
        <v>0</v>
      </c>
      <c r="M34">
        <f>SUMIFS('WBS(基本設計)'!$J$7:$J$106,'WBS(基本設計)'!$F$7:$F$106,$C34,'WBS(基本設計)'!$O$7:$O$106,"対象")</f>
        <v>0</v>
      </c>
      <c r="N34" t="str">
        <f t="shared" si="0"/>
        <v>要確認</v>
      </c>
    </row>
    <row r="35" spans="1:14">
      <c r="A35" s="406" t="s">
        <v>7265</v>
      </c>
      <c r="B35" s="406" t="s">
        <v>7264</v>
      </c>
      <c r="C35" s="406" t="s">
        <v>7332</v>
      </c>
      <c r="D35" s="406" t="s">
        <v>6042</v>
      </c>
      <c r="E35" s="406" t="s">
        <v>7565</v>
      </c>
      <c r="F35" s="412" t="s">
        <v>4696</v>
      </c>
      <c r="G35" s="412" t="s">
        <v>3214</v>
      </c>
      <c r="H35" s="411">
        <v>4</v>
      </c>
      <c r="I35" s="411">
        <v>13</v>
      </c>
      <c r="J35" s="411">
        <v>13</v>
      </c>
      <c r="K35">
        <f>COUNTIF('WBS(基本設計)'!$F$7:$F$106,$C35)</f>
        <v>0</v>
      </c>
      <c r="L35">
        <f>SUMIF('WBS(基本設計)'!$F$7:$F$106,$C35,'WBS(基本設計)'!$J$7:$J$106)</f>
        <v>0</v>
      </c>
      <c r="M35">
        <f>SUMIFS('WBS(基本設計)'!$J$7:$J$106,'WBS(基本設計)'!$F$7:$F$106,$C35,'WBS(基本設計)'!$O$7:$O$106,"対象")</f>
        <v>0</v>
      </c>
      <c r="N35" t="str">
        <f t="shared" si="0"/>
        <v>要確認</v>
      </c>
    </row>
    <row r="36" spans="1:14">
      <c r="A36" s="406" t="s">
        <v>7265</v>
      </c>
      <c r="B36" s="406" t="s">
        <v>7264</v>
      </c>
      <c r="C36" s="406" t="s">
        <v>7402</v>
      </c>
      <c r="D36" s="406" t="s">
        <v>6046</v>
      </c>
      <c r="E36" s="406" t="s">
        <v>7566</v>
      </c>
      <c r="F36" s="412" t="s">
        <v>4696</v>
      </c>
      <c r="G36" s="412" t="s">
        <v>3214</v>
      </c>
      <c r="H36" s="411">
        <v>1</v>
      </c>
      <c r="I36" s="411">
        <v>0.75</v>
      </c>
      <c r="J36" s="411">
        <v>0.75</v>
      </c>
      <c r="K36">
        <f>COUNTIF('WBS(基本設計)'!$F$7:$F$106,$C36)</f>
        <v>0</v>
      </c>
      <c r="L36">
        <f>SUMIF('WBS(基本設計)'!$F$7:$F$106,$C36,'WBS(基本設計)'!$J$7:$J$106)</f>
        <v>0</v>
      </c>
      <c r="M36">
        <f>SUMIFS('WBS(基本設計)'!$J$7:$J$106,'WBS(基本設計)'!$F$7:$F$106,$C36,'WBS(基本設計)'!$O$7:$O$106,"対象")</f>
        <v>0</v>
      </c>
      <c r="N36" t="str">
        <f t="shared" si="0"/>
        <v>要確認</v>
      </c>
    </row>
    <row r="37" spans="1:14">
      <c r="A37" s="406" t="s">
        <v>7265</v>
      </c>
      <c r="B37" s="406" t="s">
        <v>7264</v>
      </c>
      <c r="C37" s="406" t="s">
        <v>7403</v>
      </c>
      <c r="D37" s="406" t="s">
        <v>6049</v>
      </c>
      <c r="E37" s="406" t="s">
        <v>7567</v>
      </c>
      <c r="F37" s="412" t="s">
        <v>4696</v>
      </c>
      <c r="G37" s="412" t="s">
        <v>3214</v>
      </c>
      <c r="H37" s="411">
        <v>2</v>
      </c>
      <c r="I37" s="411">
        <v>3</v>
      </c>
      <c r="J37" s="411">
        <v>1</v>
      </c>
      <c r="K37">
        <f>COUNTIF('WBS(基本設計)'!$F$7:$F$106,$C37)</f>
        <v>0</v>
      </c>
      <c r="L37">
        <f>SUMIF('WBS(基本設計)'!$F$7:$F$106,$C37,'WBS(基本設計)'!$J$7:$J$106)</f>
        <v>0</v>
      </c>
      <c r="M37">
        <f>SUMIFS('WBS(基本設計)'!$J$7:$J$106,'WBS(基本設計)'!$F$7:$F$106,$C37,'WBS(基本設計)'!$O$7:$O$106,"対象")</f>
        <v>0</v>
      </c>
      <c r="N37" t="str">
        <f t="shared" si="0"/>
        <v>要確認</v>
      </c>
    </row>
    <row r="38" spans="1:14">
      <c r="A38" s="406" t="s">
        <v>7265</v>
      </c>
      <c r="B38" s="406" t="s">
        <v>7264</v>
      </c>
      <c r="C38" s="406" t="s">
        <v>7404</v>
      </c>
      <c r="D38" s="406" t="s">
        <v>6052</v>
      </c>
      <c r="E38" s="406" t="s">
        <v>7568</v>
      </c>
      <c r="F38" s="412" t="s">
        <v>4696</v>
      </c>
      <c r="G38" s="412" t="s">
        <v>3214</v>
      </c>
      <c r="H38" s="411">
        <v>1</v>
      </c>
      <c r="I38" s="411">
        <v>0.5</v>
      </c>
      <c r="J38" s="411">
        <v>0.5</v>
      </c>
      <c r="K38">
        <f>COUNTIF('WBS(基本設計)'!$F$7:$F$106,$C38)</f>
        <v>0</v>
      </c>
      <c r="L38">
        <f>SUMIF('WBS(基本設計)'!$F$7:$F$106,$C38,'WBS(基本設計)'!$J$7:$J$106)</f>
        <v>0</v>
      </c>
      <c r="M38">
        <f>SUMIFS('WBS(基本設計)'!$J$7:$J$106,'WBS(基本設計)'!$F$7:$F$106,$C38,'WBS(基本設計)'!$O$7:$O$106,"対象")</f>
        <v>0</v>
      </c>
      <c r="N38" t="str">
        <f t="shared" si="0"/>
        <v>要確認</v>
      </c>
    </row>
    <row r="39" spans="1:14">
      <c r="A39" s="406" t="s">
        <v>7265</v>
      </c>
      <c r="B39" s="406" t="s">
        <v>7264</v>
      </c>
      <c r="C39" s="406" t="s">
        <v>7405</v>
      </c>
      <c r="D39" s="406" t="s">
        <v>6054</v>
      </c>
      <c r="E39" s="406" t="s">
        <v>7569</v>
      </c>
      <c r="F39" s="412" t="s">
        <v>4696</v>
      </c>
      <c r="G39" s="412" t="s">
        <v>3214</v>
      </c>
      <c r="H39" s="411">
        <v>1</v>
      </c>
      <c r="I39" s="411">
        <v>0.5</v>
      </c>
      <c r="J39" s="411">
        <v>0.5</v>
      </c>
      <c r="K39">
        <f>COUNTIF('WBS(基本設計)'!$F$7:$F$106,$C39)</f>
        <v>0</v>
      </c>
      <c r="L39">
        <f>SUMIF('WBS(基本設計)'!$F$7:$F$106,$C39,'WBS(基本設計)'!$J$7:$J$106)</f>
        <v>0</v>
      </c>
      <c r="M39">
        <f>SUMIFS('WBS(基本設計)'!$J$7:$J$106,'WBS(基本設計)'!$F$7:$F$106,$C39,'WBS(基本設計)'!$O$7:$O$106,"対象")</f>
        <v>0</v>
      </c>
      <c r="N39" t="str">
        <f t="shared" si="0"/>
        <v>要確認</v>
      </c>
    </row>
    <row r="40" spans="1:14">
      <c r="A40" s="406" t="s">
        <v>7265</v>
      </c>
      <c r="B40" s="406" t="s">
        <v>7267</v>
      </c>
      <c r="C40" s="406" t="s">
        <v>6277</v>
      </c>
      <c r="D40" s="406" t="s">
        <v>6056</v>
      </c>
      <c r="E40" s="406" t="s">
        <v>7570</v>
      </c>
      <c r="F40" s="412" t="s">
        <v>4696</v>
      </c>
      <c r="G40" s="412" t="s">
        <v>3214</v>
      </c>
      <c r="H40" s="411">
        <v>6</v>
      </c>
      <c r="I40" s="411">
        <v>13.5</v>
      </c>
      <c r="J40" s="411">
        <v>7.5</v>
      </c>
      <c r="K40">
        <f>COUNTIF('WBS(基本設計)'!$F$7:$F$106,$C40)</f>
        <v>0</v>
      </c>
      <c r="L40">
        <f>SUMIF('WBS(基本設計)'!$F$7:$F$106,$C40,'WBS(基本設計)'!$J$7:$J$106)</f>
        <v>0</v>
      </c>
      <c r="M40">
        <f>SUMIFS('WBS(基本設計)'!$J$7:$J$106,'WBS(基本設計)'!$F$7:$F$106,$C40,'WBS(基本設計)'!$O$7:$O$106,"対象")</f>
        <v>0</v>
      </c>
      <c r="N40" t="str">
        <f t="shared" si="0"/>
        <v>要確認</v>
      </c>
    </row>
    <row r="41" spans="1:14">
      <c r="A41" s="406" t="s">
        <v>7265</v>
      </c>
      <c r="B41" s="406" t="s">
        <v>7267</v>
      </c>
      <c r="C41" s="406" t="s">
        <v>6278</v>
      </c>
      <c r="D41" s="406" t="s">
        <v>6059</v>
      </c>
      <c r="E41" s="406" t="s">
        <v>7571</v>
      </c>
      <c r="F41" s="412" t="s">
        <v>7248</v>
      </c>
      <c r="G41" s="412" t="s">
        <v>7248</v>
      </c>
      <c r="H41" s="411">
        <v>4</v>
      </c>
      <c r="I41" s="411">
        <v>5.25</v>
      </c>
      <c r="J41" s="411">
        <v>3.75</v>
      </c>
      <c r="K41">
        <f>COUNTIF('WBS(基本設計)'!$F$7:$F$106,$C41)</f>
        <v>0</v>
      </c>
      <c r="L41">
        <f>SUMIF('WBS(基本設計)'!$F$7:$F$106,$C41,'WBS(基本設計)'!$J$7:$J$106)</f>
        <v>0</v>
      </c>
      <c r="M41">
        <f>SUMIFS('WBS(基本設計)'!$J$7:$J$106,'WBS(基本設計)'!$F$7:$F$106,$C41,'WBS(基本設計)'!$O$7:$O$106,"対象")</f>
        <v>0</v>
      </c>
      <c r="N41" t="str">
        <f t="shared" si="0"/>
        <v>要確認</v>
      </c>
    </row>
    <row r="42" spans="1:14">
      <c r="A42" s="406" t="s">
        <v>7265</v>
      </c>
      <c r="B42" s="406" t="s">
        <v>7269</v>
      </c>
      <c r="C42" s="406" t="s">
        <v>6279</v>
      </c>
      <c r="D42" s="406" t="s">
        <v>6061</v>
      </c>
      <c r="E42" s="406" t="s">
        <v>7572</v>
      </c>
      <c r="F42" s="412" t="s">
        <v>4696</v>
      </c>
      <c r="G42" s="412" t="s">
        <v>3214</v>
      </c>
      <c r="H42" s="411">
        <v>5</v>
      </c>
      <c r="I42" s="411">
        <v>9.25</v>
      </c>
      <c r="J42" s="411">
        <v>4.75</v>
      </c>
      <c r="K42">
        <f>COUNTIF('WBS(基本設計)'!$F$7:$F$106,$C42)</f>
        <v>0</v>
      </c>
      <c r="L42">
        <f>SUMIF('WBS(基本設計)'!$F$7:$F$106,$C42,'WBS(基本設計)'!$J$7:$J$106)</f>
        <v>0</v>
      </c>
      <c r="M42">
        <f>SUMIFS('WBS(基本設計)'!$J$7:$J$106,'WBS(基本設計)'!$F$7:$F$106,$C42,'WBS(基本設計)'!$O$7:$O$106,"対象")</f>
        <v>0</v>
      </c>
      <c r="N42" t="str">
        <f t="shared" si="0"/>
        <v>要確認</v>
      </c>
    </row>
    <row r="43" spans="1:14">
      <c r="A43" s="406" t="s">
        <v>7265</v>
      </c>
      <c r="B43" s="406" t="s">
        <v>7269</v>
      </c>
      <c r="C43" s="406" t="s">
        <v>6434</v>
      </c>
      <c r="D43" s="406" t="s">
        <v>6065</v>
      </c>
      <c r="E43" s="406" t="s">
        <v>7573</v>
      </c>
      <c r="F43" s="412" t="s">
        <v>4696</v>
      </c>
      <c r="G43" s="412" t="s">
        <v>3214</v>
      </c>
      <c r="H43" s="411">
        <v>1</v>
      </c>
      <c r="I43" s="411">
        <v>0.75</v>
      </c>
      <c r="J43" s="411">
        <v>0.75</v>
      </c>
      <c r="K43">
        <f>COUNTIF('WBS(基本設計)'!$F$7:$F$106,$C43)</f>
        <v>0</v>
      </c>
      <c r="L43">
        <f>SUMIF('WBS(基本設計)'!$F$7:$F$106,$C43,'WBS(基本設計)'!$J$7:$J$106)</f>
        <v>0</v>
      </c>
      <c r="M43">
        <f>SUMIFS('WBS(基本設計)'!$J$7:$J$106,'WBS(基本設計)'!$F$7:$F$106,$C43,'WBS(基本設計)'!$O$7:$O$106,"対象")</f>
        <v>0</v>
      </c>
      <c r="N43" t="str">
        <f t="shared" si="0"/>
        <v>要確認</v>
      </c>
    </row>
    <row r="44" spans="1:14">
      <c r="A44" s="406" t="s">
        <v>7265</v>
      </c>
      <c r="B44" s="406" t="s">
        <v>7269</v>
      </c>
      <c r="C44" s="406" t="s">
        <v>6305</v>
      </c>
      <c r="D44" s="406" t="s">
        <v>6201</v>
      </c>
      <c r="E44" s="406" t="s">
        <v>6249</v>
      </c>
      <c r="F44" s="412" t="s">
        <v>4696</v>
      </c>
      <c r="G44" s="412" t="s">
        <v>3214</v>
      </c>
      <c r="H44" s="411">
        <v>2</v>
      </c>
      <c r="I44" s="411">
        <v>1.25</v>
      </c>
      <c r="J44" s="411">
        <v>0.75</v>
      </c>
      <c r="K44">
        <f>COUNTIF('WBS(基本設計)'!$F$7:$F$106,$C44)</f>
        <v>0</v>
      </c>
      <c r="L44">
        <f>SUMIF('WBS(基本設計)'!$F$7:$F$106,$C44,'WBS(基本設計)'!$J$7:$J$106)</f>
        <v>0</v>
      </c>
      <c r="M44">
        <f>SUMIFS('WBS(基本設計)'!$J$7:$J$106,'WBS(基本設計)'!$F$7:$F$106,$C44,'WBS(基本設計)'!$O$7:$O$106,"対象")</f>
        <v>0</v>
      </c>
      <c r="N44" t="str">
        <f t="shared" si="0"/>
        <v>要確認</v>
      </c>
    </row>
    <row r="45" spans="1:14">
      <c r="A45" s="406" t="s">
        <v>7265</v>
      </c>
      <c r="B45" s="406" t="s">
        <v>7269</v>
      </c>
      <c r="C45" s="406" t="s">
        <v>6311</v>
      </c>
      <c r="D45" s="406" t="s">
        <v>6224</v>
      </c>
      <c r="E45" s="406" t="s">
        <v>7574</v>
      </c>
      <c r="F45" s="412" t="s">
        <v>4696</v>
      </c>
      <c r="G45" s="412" t="s">
        <v>3214</v>
      </c>
      <c r="H45" s="411">
        <v>1</v>
      </c>
      <c r="I45" s="411">
        <v>0.5</v>
      </c>
      <c r="J45" s="411">
        <v>0.5</v>
      </c>
      <c r="K45">
        <f>COUNTIF('WBS(基本設計)'!$F$7:$F$106,$C45)</f>
        <v>0</v>
      </c>
      <c r="L45">
        <f>SUMIF('WBS(基本設計)'!$F$7:$F$106,$C45,'WBS(基本設計)'!$J$7:$J$106)</f>
        <v>0</v>
      </c>
      <c r="M45">
        <f>SUMIFS('WBS(基本設計)'!$J$7:$J$106,'WBS(基本設計)'!$F$7:$F$106,$C45,'WBS(基本設計)'!$O$7:$O$106,"対象")</f>
        <v>0</v>
      </c>
      <c r="N45" t="str">
        <f t="shared" si="0"/>
        <v>要確認</v>
      </c>
    </row>
    <row r="46" spans="1:14">
      <c r="A46" s="406" t="s">
        <v>7265</v>
      </c>
      <c r="B46" s="406" t="s">
        <v>7269</v>
      </c>
      <c r="C46" s="406" t="s">
        <v>6280</v>
      </c>
      <c r="D46" s="406" t="s">
        <v>6068</v>
      </c>
      <c r="E46" s="406" t="s">
        <v>7575</v>
      </c>
      <c r="F46" s="412" t="s">
        <v>4696</v>
      </c>
      <c r="G46" s="412" t="s">
        <v>3214</v>
      </c>
      <c r="H46" s="411">
        <v>6</v>
      </c>
      <c r="I46" s="411">
        <v>11</v>
      </c>
      <c r="J46" s="411">
        <v>0</v>
      </c>
      <c r="K46">
        <f>COUNTIF('WBS(基本設計)'!$F$7:$F$106,$C46)</f>
        <v>0</v>
      </c>
      <c r="L46">
        <f>SUMIF('WBS(基本設計)'!$F$7:$F$106,$C46,'WBS(基本設計)'!$J$7:$J$106)</f>
        <v>0</v>
      </c>
      <c r="M46">
        <f>SUMIFS('WBS(基本設計)'!$J$7:$J$106,'WBS(基本設計)'!$F$7:$F$106,$C46,'WBS(基本設計)'!$O$7:$O$106,"対象")</f>
        <v>0</v>
      </c>
      <c r="N46" t="str">
        <f t="shared" si="0"/>
        <v>要確認</v>
      </c>
    </row>
    <row r="47" spans="1:14">
      <c r="A47" s="406" t="s">
        <v>7265</v>
      </c>
      <c r="B47" s="406" t="s">
        <v>7269</v>
      </c>
      <c r="C47" s="406" t="s">
        <v>6281</v>
      </c>
      <c r="D47" s="406" t="s">
        <v>6070</v>
      </c>
      <c r="E47" s="406" t="s">
        <v>7576</v>
      </c>
      <c r="F47" s="412" t="s">
        <v>4696</v>
      </c>
      <c r="G47" s="412" t="s">
        <v>3214</v>
      </c>
      <c r="H47" s="411">
        <v>1</v>
      </c>
      <c r="I47" s="411">
        <v>0.5</v>
      </c>
      <c r="J47" s="411">
        <v>0</v>
      </c>
      <c r="K47">
        <f>COUNTIF('WBS(基本設計)'!$F$7:$F$106,$C47)</f>
        <v>0</v>
      </c>
      <c r="L47">
        <f>SUMIF('WBS(基本設計)'!$F$7:$F$106,$C47,'WBS(基本設計)'!$J$7:$J$106)</f>
        <v>0</v>
      </c>
      <c r="M47">
        <f>SUMIFS('WBS(基本設計)'!$J$7:$J$106,'WBS(基本設計)'!$F$7:$F$106,$C47,'WBS(基本設計)'!$O$7:$O$106,"対象")</f>
        <v>0</v>
      </c>
      <c r="N47" t="str">
        <f t="shared" si="0"/>
        <v>要確認</v>
      </c>
    </row>
    <row r="48" spans="1:14">
      <c r="A48" s="406" t="s">
        <v>7265</v>
      </c>
      <c r="B48" s="406" t="s">
        <v>7271</v>
      </c>
      <c r="C48" s="406" t="s">
        <v>6254</v>
      </c>
      <c r="D48" s="406" t="s">
        <v>6083</v>
      </c>
      <c r="E48" s="406" t="s">
        <v>7577</v>
      </c>
      <c r="F48" s="412" t="s">
        <v>7248</v>
      </c>
      <c r="G48" s="412" t="s">
        <v>7248</v>
      </c>
      <c r="H48" s="411">
        <v>4</v>
      </c>
      <c r="I48" s="411">
        <v>3.75</v>
      </c>
      <c r="J48" s="411">
        <v>3.75</v>
      </c>
      <c r="K48">
        <f>COUNTIF('WBS(基本設計)'!$F$7:$F$106,$C48)</f>
        <v>0</v>
      </c>
      <c r="L48">
        <f>SUMIF('WBS(基本設計)'!$F$7:$F$106,$C48,'WBS(基本設計)'!$J$7:$J$106)</f>
        <v>0</v>
      </c>
      <c r="M48">
        <f>SUMIFS('WBS(基本設計)'!$J$7:$J$106,'WBS(基本設計)'!$F$7:$F$106,$C48,'WBS(基本設計)'!$O$7:$O$106,"対象")</f>
        <v>0</v>
      </c>
      <c r="N48" t="str">
        <f t="shared" si="0"/>
        <v>要確認</v>
      </c>
    </row>
    <row r="49" spans="1:14">
      <c r="A49" s="406" t="s">
        <v>7265</v>
      </c>
      <c r="B49" s="406" t="s">
        <v>7271</v>
      </c>
      <c r="C49" s="406" t="s">
        <v>6284</v>
      </c>
      <c r="D49" s="406" t="s">
        <v>6087</v>
      </c>
      <c r="E49" s="406" t="s">
        <v>7578</v>
      </c>
      <c r="F49" s="412" t="s">
        <v>7248</v>
      </c>
      <c r="G49" s="412" t="s">
        <v>7248</v>
      </c>
      <c r="H49" s="411">
        <v>4</v>
      </c>
      <c r="I49" s="411">
        <v>2</v>
      </c>
      <c r="J49" s="411">
        <v>2</v>
      </c>
      <c r="K49">
        <f>COUNTIF('WBS(基本設計)'!$F$7:$F$106,$C49)</f>
        <v>0</v>
      </c>
      <c r="L49">
        <f>SUMIF('WBS(基本設計)'!$F$7:$F$106,$C49,'WBS(基本設計)'!$J$7:$J$106)</f>
        <v>0</v>
      </c>
      <c r="M49">
        <f>SUMIFS('WBS(基本設計)'!$J$7:$J$106,'WBS(基本設計)'!$F$7:$F$106,$C49,'WBS(基本設計)'!$O$7:$O$106,"対象")</f>
        <v>0</v>
      </c>
      <c r="N49" t="str">
        <f t="shared" si="0"/>
        <v>要確認</v>
      </c>
    </row>
    <row r="50" spans="1:14">
      <c r="A50" s="406" t="s">
        <v>7265</v>
      </c>
      <c r="B50" s="406" t="s">
        <v>7271</v>
      </c>
      <c r="C50" s="406" t="s">
        <v>6285</v>
      </c>
      <c r="D50" s="406" t="s">
        <v>6089</v>
      </c>
      <c r="E50" s="406" t="s">
        <v>7579</v>
      </c>
      <c r="F50" s="412" t="s">
        <v>7248</v>
      </c>
      <c r="G50" s="412" t="s">
        <v>7248</v>
      </c>
      <c r="H50" s="411">
        <v>3</v>
      </c>
      <c r="I50" s="411">
        <v>1.75</v>
      </c>
      <c r="J50" s="411">
        <v>1.75</v>
      </c>
      <c r="K50">
        <f>COUNTIF('WBS(基本設計)'!$F$7:$F$106,$C50)</f>
        <v>0</v>
      </c>
      <c r="L50">
        <f>SUMIF('WBS(基本設計)'!$F$7:$F$106,$C50,'WBS(基本設計)'!$J$7:$J$106)</f>
        <v>0</v>
      </c>
      <c r="M50">
        <f>SUMIFS('WBS(基本設計)'!$J$7:$J$106,'WBS(基本設計)'!$F$7:$F$106,$C50,'WBS(基本設計)'!$O$7:$O$106,"対象")</f>
        <v>0</v>
      </c>
      <c r="N50" t="str">
        <f t="shared" si="0"/>
        <v>要確認</v>
      </c>
    </row>
    <row r="51" spans="1:14">
      <c r="A51" s="406" t="s">
        <v>7265</v>
      </c>
      <c r="B51" s="406" t="s">
        <v>7271</v>
      </c>
      <c r="C51" s="406" t="s">
        <v>6286</v>
      </c>
      <c r="D51" s="406" t="s">
        <v>6092</v>
      </c>
      <c r="E51" s="406" t="s">
        <v>7580</v>
      </c>
      <c r="F51" s="412" t="s">
        <v>7248</v>
      </c>
      <c r="G51" s="412" t="s">
        <v>7248</v>
      </c>
      <c r="H51" s="411">
        <v>3</v>
      </c>
      <c r="I51" s="411">
        <v>1.75</v>
      </c>
      <c r="J51" s="411">
        <v>1.75</v>
      </c>
      <c r="K51">
        <f>COUNTIF('WBS(基本設計)'!$F$7:$F$106,$C51)</f>
        <v>0</v>
      </c>
      <c r="L51">
        <f>SUMIF('WBS(基本設計)'!$F$7:$F$106,$C51,'WBS(基本設計)'!$J$7:$J$106)</f>
        <v>0</v>
      </c>
      <c r="M51">
        <f>SUMIFS('WBS(基本設計)'!$J$7:$J$106,'WBS(基本設計)'!$F$7:$F$106,$C51,'WBS(基本設計)'!$O$7:$O$106,"対象")</f>
        <v>0</v>
      </c>
      <c r="N51" t="str">
        <f t="shared" si="0"/>
        <v>要確認</v>
      </c>
    </row>
    <row r="52" spans="1:14">
      <c r="A52" s="406" t="s">
        <v>7265</v>
      </c>
      <c r="B52" s="406" t="s">
        <v>7271</v>
      </c>
      <c r="C52" s="406" t="s">
        <v>7409</v>
      </c>
      <c r="D52" s="406" t="s">
        <v>6094</v>
      </c>
      <c r="E52" s="406" t="s">
        <v>7581</v>
      </c>
      <c r="F52" s="412" t="s">
        <v>7248</v>
      </c>
      <c r="G52" s="412" t="s">
        <v>7248</v>
      </c>
      <c r="H52" s="411">
        <v>3</v>
      </c>
      <c r="I52" s="411">
        <v>1.75</v>
      </c>
      <c r="J52" s="411">
        <v>1.75</v>
      </c>
      <c r="K52">
        <f>COUNTIF('WBS(基本設計)'!$F$7:$F$106,$C52)</f>
        <v>0</v>
      </c>
      <c r="L52">
        <f>SUMIF('WBS(基本設計)'!$F$7:$F$106,$C52,'WBS(基本設計)'!$J$7:$J$106)</f>
        <v>0</v>
      </c>
      <c r="M52">
        <f>SUMIFS('WBS(基本設計)'!$J$7:$J$106,'WBS(基本設計)'!$F$7:$F$106,$C52,'WBS(基本設計)'!$O$7:$O$106,"対象")</f>
        <v>0</v>
      </c>
      <c r="N52" t="str">
        <f t="shared" si="0"/>
        <v>要確認</v>
      </c>
    </row>
    <row r="53" spans="1:14">
      <c r="A53" s="406" t="s">
        <v>7265</v>
      </c>
      <c r="B53" s="406" t="s">
        <v>7271</v>
      </c>
      <c r="C53" s="406" t="s">
        <v>6287</v>
      </c>
      <c r="D53" s="406" t="s">
        <v>6096</v>
      </c>
      <c r="E53" s="406" t="s">
        <v>7582</v>
      </c>
      <c r="F53" s="412" t="s">
        <v>7248</v>
      </c>
      <c r="G53" s="412" t="s">
        <v>7248</v>
      </c>
      <c r="H53" s="411">
        <v>2</v>
      </c>
      <c r="I53" s="411">
        <v>1.25</v>
      </c>
      <c r="J53" s="411">
        <v>1.25</v>
      </c>
      <c r="K53">
        <f>COUNTIF('WBS(基本設計)'!$F$7:$F$106,$C53)</f>
        <v>0</v>
      </c>
      <c r="L53">
        <f>SUMIF('WBS(基本設計)'!$F$7:$F$106,$C53,'WBS(基本設計)'!$J$7:$J$106)</f>
        <v>0</v>
      </c>
      <c r="M53">
        <f>SUMIFS('WBS(基本設計)'!$J$7:$J$106,'WBS(基本設計)'!$F$7:$F$106,$C53,'WBS(基本設計)'!$O$7:$O$106,"対象")</f>
        <v>0</v>
      </c>
      <c r="N53" t="str">
        <f t="shared" si="0"/>
        <v>要確認</v>
      </c>
    </row>
    <row r="54" spans="1:14">
      <c r="A54" s="406" t="s">
        <v>7265</v>
      </c>
      <c r="B54" s="406" t="s">
        <v>7271</v>
      </c>
      <c r="C54" s="406" t="s">
        <v>6289</v>
      </c>
      <c r="D54" s="406" t="s">
        <v>6101</v>
      </c>
      <c r="E54" s="406" t="s">
        <v>7583</v>
      </c>
      <c r="F54" s="412" t="s">
        <v>7248</v>
      </c>
      <c r="G54" s="412" t="s">
        <v>7248</v>
      </c>
      <c r="H54" s="411">
        <v>4</v>
      </c>
      <c r="I54" s="411">
        <v>2</v>
      </c>
      <c r="J54" s="411">
        <v>2</v>
      </c>
      <c r="K54">
        <f>COUNTIF('WBS(基本設計)'!$F$7:$F$106,$C54)</f>
        <v>0</v>
      </c>
      <c r="L54">
        <f>SUMIF('WBS(基本設計)'!$F$7:$F$106,$C54,'WBS(基本設計)'!$J$7:$J$106)</f>
        <v>0</v>
      </c>
      <c r="M54">
        <f>SUMIFS('WBS(基本設計)'!$J$7:$J$106,'WBS(基本設計)'!$F$7:$F$106,$C54,'WBS(基本設計)'!$O$7:$O$106,"対象")</f>
        <v>0</v>
      </c>
      <c r="N54" t="str">
        <f t="shared" si="0"/>
        <v>要確認</v>
      </c>
    </row>
    <row r="55" spans="1:14">
      <c r="A55" s="406" t="s">
        <v>7265</v>
      </c>
      <c r="B55" s="406" t="s">
        <v>7271</v>
      </c>
      <c r="C55" s="406" t="s">
        <v>6255</v>
      </c>
      <c r="D55" s="406" t="s">
        <v>6134</v>
      </c>
      <c r="E55" s="406" t="s">
        <v>7584</v>
      </c>
      <c r="F55" s="412" t="s">
        <v>7248</v>
      </c>
      <c r="G55" s="412" t="s">
        <v>7248</v>
      </c>
      <c r="H55" s="411">
        <v>4</v>
      </c>
      <c r="I55" s="411">
        <v>4.5</v>
      </c>
      <c r="J55" s="411">
        <v>4.5</v>
      </c>
      <c r="K55">
        <f>COUNTIF('WBS(基本設計)'!$F$7:$F$106,$C55)</f>
        <v>0</v>
      </c>
      <c r="L55">
        <f>SUMIF('WBS(基本設計)'!$F$7:$F$106,$C55,'WBS(基本設計)'!$J$7:$J$106)</f>
        <v>0</v>
      </c>
      <c r="M55">
        <f>SUMIFS('WBS(基本設計)'!$J$7:$J$106,'WBS(基本設計)'!$F$7:$F$106,$C55,'WBS(基本設計)'!$O$7:$O$106,"対象")</f>
        <v>0</v>
      </c>
      <c r="N55" t="str">
        <f t="shared" si="0"/>
        <v>要確認</v>
      </c>
    </row>
    <row r="56" spans="1:14">
      <c r="A56" s="406" t="s">
        <v>7265</v>
      </c>
      <c r="B56" s="406" t="s">
        <v>7271</v>
      </c>
      <c r="C56" s="406" t="s">
        <v>6256</v>
      </c>
      <c r="D56" s="406" t="s">
        <v>6137</v>
      </c>
      <c r="E56" s="406" t="s">
        <v>7585</v>
      </c>
      <c r="F56" s="412" t="s">
        <v>7248</v>
      </c>
      <c r="G56" s="412" t="s">
        <v>7248</v>
      </c>
      <c r="H56" s="411">
        <v>3</v>
      </c>
      <c r="I56" s="411">
        <v>4</v>
      </c>
      <c r="J56" s="411">
        <v>4</v>
      </c>
      <c r="K56">
        <f>COUNTIF('WBS(基本設計)'!$F$7:$F$106,$C56)</f>
        <v>0</v>
      </c>
      <c r="L56">
        <f>SUMIF('WBS(基本設計)'!$F$7:$F$106,$C56,'WBS(基本設計)'!$J$7:$J$106)</f>
        <v>0</v>
      </c>
      <c r="M56">
        <f>SUMIFS('WBS(基本設計)'!$J$7:$J$106,'WBS(基本設計)'!$F$7:$F$106,$C56,'WBS(基本設計)'!$O$7:$O$106,"対象")</f>
        <v>0</v>
      </c>
      <c r="N56" t="str">
        <f t="shared" si="0"/>
        <v>要確認</v>
      </c>
    </row>
    <row r="57" spans="1:14">
      <c r="A57" s="406" t="s">
        <v>7265</v>
      </c>
      <c r="B57" s="406" t="s">
        <v>7273</v>
      </c>
      <c r="C57" s="406" t="s">
        <v>6440</v>
      </c>
      <c r="D57" s="406" t="s">
        <v>6118</v>
      </c>
      <c r="E57" s="406" t="s">
        <v>7586</v>
      </c>
      <c r="F57" s="412" t="s">
        <v>4696</v>
      </c>
      <c r="G57" s="412" t="s">
        <v>3214</v>
      </c>
      <c r="H57" s="411">
        <v>3</v>
      </c>
      <c r="I57" s="411">
        <v>3</v>
      </c>
      <c r="J57" s="411">
        <v>3</v>
      </c>
      <c r="K57">
        <f>COUNTIF('WBS(基本設計)'!$F$7:$F$106,$C57)</f>
        <v>0</v>
      </c>
      <c r="L57">
        <f>SUMIF('WBS(基本設計)'!$F$7:$F$106,$C57,'WBS(基本設計)'!$J$7:$J$106)</f>
        <v>0</v>
      </c>
      <c r="M57">
        <f>SUMIFS('WBS(基本設計)'!$J$7:$J$106,'WBS(基本設計)'!$F$7:$F$106,$C57,'WBS(基本設計)'!$O$7:$O$106,"対象")</f>
        <v>0</v>
      </c>
      <c r="N57" t="str">
        <f t="shared" si="0"/>
        <v>要確認</v>
      </c>
    </row>
    <row r="58" spans="1:14">
      <c r="A58" s="406" t="s">
        <v>7265</v>
      </c>
      <c r="B58" s="406" t="s">
        <v>7273</v>
      </c>
      <c r="C58" s="406" t="s">
        <v>6441</v>
      </c>
      <c r="D58" s="406" t="s">
        <v>6121</v>
      </c>
      <c r="E58" s="406" t="s">
        <v>7587</v>
      </c>
      <c r="F58" s="412" t="s">
        <v>7248</v>
      </c>
      <c r="G58" s="412" t="s">
        <v>7248</v>
      </c>
      <c r="H58" s="411">
        <v>3</v>
      </c>
      <c r="I58" s="411">
        <v>1.5</v>
      </c>
      <c r="J58" s="411">
        <v>1.5</v>
      </c>
      <c r="K58">
        <f>COUNTIF('WBS(基本設計)'!$F$7:$F$106,$C58)</f>
        <v>0</v>
      </c>
      <c r="L58">
        <f>SUMIF('WBS(基本設計)'!$F$7:$F$106,$C58,'WBS(基本設計)'!$J$7:$J$106)</f>
        <v>0</v>
      </c>
      <c r="M58">
        <f>SUMIFS('WBS(基本設計)'!$J$7:$J$106,'WBS(基本設計)'!$F$7:$F$106,$C58,'WBS(基本設計)'!$O$7:$O$106,"対象")</f>
        <v>0</v>
      </c>
      <c r="N58" t="str">
        <f t="shared" si="0"/>
        <v>要確認</v>
      </c>
    </row>
    <row r="59" spans="1:14">
      <c r="A59" s="406" t="s">
        <v>7265</v>
      </c>
      <c r="B59" s="406" t="s">
        <v>7273</v>
      </c>
      <c r="C59" s="406" t="s">
        <v>6293</v>
      </c>
      <c r="D59" s="406" t="s">
        <v>6116</v>
      </c>
      <c r="E59" s="406" t="s">
        <v>7588</v>
      </c>
      <c r="F59" s="412" t="s">
        <v>7248</v>
      </c>
      <c r="G59" s="412" t="s">
        <v>7248</v>
      </c>
      <c r="H59" s="411">
        <v>3</v>
      </c>
      <c r="I59" s="411">
        <v>1.5</v>
      </c>
      <c r="J59" s="411">
        <v>1.5</v>
      </c>
      <c r="K59">
        <f>COUNTIF('WBS(基本設計)'!$F$7:$F$106,$C59)</f>
        <v>0</v>
      </c>
      <c r="L59">
        <f>SUMIF('WBS(基本設計)'!$F$7:$F$106,$C59,'WBS(基本設計)'!$J$7:$J$106)</f>
        <v>0</v>
      </c>
      <c r="M59">
        <f>SUMIFS('WBS(基本設計)'!$J$7:$J$106,'WBS(基本設計)'!$F$7:$F$106,$C59,'WBS(基本設計)'!$O$7:$O$106,"対象")</f>
        <v>0</v>
      </c>
      <c r="N59" t="str">
        <f t="shared" si="0"/>
        <v>要確認</v>
      </c>
    </row>
    <row r="60" spans="1:14">
      <c r="A60" s="406" t="s">
        <v>7265</v>
      </c>
      <c r="B60" s="406" t="s">
        <v>7273</v>
      </c>
      <c r="C60" s="406" t="s">
        <v>7370</v>
      </c>
      <c r="D60" s="406" t="s">
        <v>7474</v>
      </c>
      <c r="E60" s="406" t="s">
        <v>7589</v>
      </c>
      <c r="F60" s="412" t="s">
        <v>4696</v>
      </c>
      <c r="G60" s="412" t="s">
        <v>3214</v>
      </c>
      <c r="H60" s="411">
        <v>1</v>
      </c>
      <c r="I60" s="411">
        <v>1.5</v>
      </c>
      <c r="J60" s="411">
        <v>1.5</v>
      </c>
      <c r="K60">
        <f>COUNTIF('WBS(基本設計)'!$F$7:$F$106,$C60)</f>
        <v>0</v>
      </c>
      <c r="L60">
        <f>SUMIF('WBS(基本設計)'!$F$7:$F$106,$C60,'WBS(基本設計)'!$J$7:$J$106)</f>
        <v>0</v>
      </c>
      <c r="M60">
        <f>SUMIFS('WBS(基本設計)'!$J$7:$J$106,'WBS(基本設計)'!$F$7:$F$106,$C60,'WBS(基本設計)'!$O$7:$O$106,"対象")</f>
        <v>0</v>
      </c>
      <c r="N60" t="str">
        <f t="shared" si="0"/>
        <v>要確認</v>
      </c>
    </row>
    <row r="61" spans="1:14">
      <c r="A61" s="406" t="s">
        <v>7265</v>
      </c>
      <c r="B61" s="406" t="s">
        <v>7275</v>
      </c>
      <c r="C61" s="406" t="s">
        <v>6294</v>
      </c>
      <c r="D61" s="406" t="s">
        <v>6123</v>
      </c>
      <c r="E61" s="406" t="s">
        <v>7590</v>
      </c>
      <c r="F61" s="412" t="s">
        <v>7248</v>
      </c>
      <c r="G61" s="412" t="s">
        <v>7248</v>
      </c>
      <c r="H61" s="411">
        <v>12</v>
      </c>
      <c r="I61" s="411">
        <v>14.25</v>
      </c>
      <c r="J61" s="411">
        <v>13.75</v>
      </c>
      <c r="K61">
        <f>COUNTIF('WBS(基本設計)'!$F$7:$F$106,$C61)</f>
        <v>0</v>
      </c>
      <c r="L61">
        <f>SUMIF('WBS(基本設計)'!$F$7:$F$106,$C61,'WBS(基本設計)'!$J$7:$J$106)</f>
        <v>0</v>
      </c>
      <c r="M61">
        <f>SUMIFS('WBS(基本設計)'!$J$7:$J$106,'WBS(基本設計)'!$F$7:$F$106,$C61,'WBS(基本設計)'!$O$7:$O$106,"対象")</f>
        <v>0</v>
      </c>
      <c r="N61" t="str">
        <f t="shared" si="0"/>
        <v>要確認</v>
      </c>
    </row>
    <row r="62" spans="1:14" ht="40" customHeight="1">
      <c r="A62" s="406" t="s">
        <v>7265</v>
      </c>
      <c r="B62" s="406" t="s">
        <v>7275</v>
      </c>
      <c r="C62" s="406" t="s">
        <v>6295</v>
      </c>
      <c r="D62" s="406" t="s">
        <v>6125</v>
      </c>
      <c r="E62" s="406" t="s">
        <v>7591</v>
      </c>
      <c r="F62" s="412" t="s">
        <v>4696</v>
      </c>
      <c r="G62" s="412" t="s">
        <v>3214</v>
      </c>
      <c r="H62" s="411">
        <v>5</v>
      </c>
      <c r="I62" s="411">
        <v>5</v>
      </c>
      <c r="J62" s="411">
        <v>5</v>
      </c>
      <c r="K62">
        <f>COUNTIF('WBS(基本設計)'!$F$7:$F$106,$C62)</f>
        <v>1</v>
      </c>
      <c r="L62">
        <f>SUMIF('WBS(基本設計)'!$F$7:$F$106,$C62,'WBS(基本設計)'!$J$7:$J$106)</f>
        <v>3</v>
      </c>
      <c r="M62">
        <f>SUMIFS('WBS(基本設計)'!$J$7:$J$106,'WBS(基本設計)'!$F$7:$F$106,$C62,'WBS(基本設計)'!$O$7:$O$106,"対象")</f>
        <v>3</v>
      </c>
      <c r="N62" t="str">
        <f t="shared" si="0"/>
        <v>要確認</v>
      </c>
    </row>
    <row r="63" spans="1:14">
      <c r="A63" s="406" t="s">
        <v>7265</v>
      </c>
      <c r="B63" s="406" t="s">
        <v>7275</v>
      </c>
      <c r="C63" s="406" t="s">
        <v>6304</v>
      </c>
      <c r="D63" s="406" t="s">
        <v>6195</v>
      </c>
      <c r="E63" s="406" t="s">
        <v>7592</v>
      </c>
      <c r="F63" s="412" t="s">
        <v>4696</v>
      </c>
      <c r="G63" s="412" t="s">
        <v>3214</v>
      </c>
      <c r="H63" s="411">
        <v>1</v>
      </c>
      <c r="I63" s="411">
        <v>0.5</v>
      </c>
      <c r="J63" s="411">
        <v>0.5</v>
      </c>
      <c r="K63">
        <f>COUNTIF('WBS(基本設計)'!$F$7:$F$106,$C63)</f>
        <v>0</v>
      </c>
      <c r="L63">
        <f>SUMIF('WBS(基本設計)'!$F$7:$F$106,$C63,'WBS(基本設計)'!$J$7:$J$106)</f>
        <v>0</v>
      </c>
      <c r="M63">
        <f>SUMIFS('WBS(基本設計)'!$J$7:$J$106,'WBS(基本設計)'!$F$7:$F$106,$C63,'WBS(基本設計)'!$O$7:$O$106,"対象")</f>
        <v>0</v>
      </c>
      <c r="N63" t="str">
        <f t="shared" si="0"/>
        <v>要確認</v>
      </c>
    </row>
    <row r="64" spans="1:14">
      <c r="A64" s="406" t="s">
        <v>7277</v>
      </c>
      <c r="B64" s="406" t="s">
        <v>6438</v>
      </c>
      <c r="C64" s="406" t="s">
        <v>6291</v>
      </c>
      <c r="D64" s="406" t="s">
        <v>6109</v>
      </c>
      <c r="E64" s="406" t="s">
        <v>7593</v>
      </c>
      <c r="F64" s="412" t="s">
        <v>3214</v>
      </c>
      <c r="G64" s="412" t="s">
        <v>4696</v>
      </c>
      <c r="H64" s="411">
        <v>10</v>
      </c>
      <c r="I64" s="411">
        <v>9</v>
      </c>
      <c r="J64" s="411">
        <v>6</v>
      </c>
      <c r="K64">
        <f>COUNTIF('WBS(基本設計)'!$F$7:$F$106,$C64)</f>
        <v>0</v>
      </c>
      <c r="L64">
        <f>SUMIF('WBS(基本設計)'!$F$7:$F$106,$C64,'WBS(基本設計)'!$J$7:$J$106)</f>
        <v>0</v>
      </c>
      <c r="M64">
        <f>SUMIFS('WBS(基本設計)'!$J$7:$J$106,'WBS(基本設計)'!$F$7:$F$106,$C64,'WBS(基本設計)'!$O$7:$O$106,"対象")</f>
        <v>0</v>
      </c>
      <c r="N64" t="str">
        <f t="shared" si="0"/>
        <v>要確認</v>
      </c>
    </row>
    <row r="65" spans="1:26">
      <c r="A65" s="406" t="s">
        <v>7277</v>
      </c>
      <c r="B65" s="406" t="s">
        <v>6438</v>
      </c>
      <c r="C65" s="406" t="s">
        <v>6292</v>
      </c>
      <c r="D65" s="406" t="s">
        <v>6113</v>
      </c>
      <c r="E65" s="406" t="s">
        <v>7594</v>
      </c>
      <c r="F65" s="412" t="s">
        <v>3214</v>
      </c>
      <c r="G65" s="412" t="s">
        <v>4696</v>
      </c>
      <c r="H65" s="411">
        <v>5</v>
      </c>
      <c r="I65" s="411">
        <v>2.75</v>
      </c>
      <c r="J65" s="411">
        <v>2.75</v>
      </c>
      <c r="K65">
        <f>COUNTIF('WBS(基本設計)'!$F$7:$F$106,$C65)</f>
        <v>0</v>
      </c>
      <c r="L65">
        <f>SUMIF('WBS(基本設計)'!$F$7:$F$106,$C65,'WBS(基本設計)'!$J$7:$J$106)</f>
        <v>0</v>
      </c>
      <c r="M65">
        <f>SUMIFS('WBS(基本設計)'!$J$7:$J$106,'WBS(基本設計)'!$F$7:$F$106,$C65,'WBS(基本設計)'!$O$7:$O$106,"対象")</f>
        <v>0</v>
      </c>
      <c r="N65" t="str">
        <f t="shared" si="0"/>
        <v>要確認</v>
      </c>
    </row>
    <row r="66" spans="1:26">
      <c r="A66" s="406" t="s">
        <v>7277</v>
      </c>
      <c r="B66" s="406" t="s">
        <v>6438</v>
      </c>
      <c r="C66" s="406" t="s">
        <v>6444</v>
      </c>
      <c r="D66" s="406" t="s">
        <v>6132</v>
      </c>
      <c r="E66" s="406" t="s">
        <v>7595</v>
      </c>
      <c r="F66" s="412" t="s">
        <v>3214</v>
      </c>
      <c r="G66" s="412" t="s">
        <v>4696</v>
      </c>
      <c r="H66" s="411">
        <v>4</v>
      </c>
      <c r="I66" s="411">
        <v>2</v>
      </c>
      <c r="J66" s="411">
        <v>2</v>
      </c>
      <c r="K66">
        <f>COUNTIF('WBS(基本設計)'!$F$7:$F$106,$C66)</f>
        <v>0</v>
      </c>
      <c r="L66">
        <f>SUMIF('WBS(基本設計)'!$F$7:$F$106,$C66,'WBS(基本設計)'!$J$7:$J$106)</f>
        <v>0</v>
      </c>
      <c r="M66">
        <f>SUMIFS('WBS(基本設計)'!$J$7:$J$106,'WBS(基本設計)'!$F$7:$F$106,$C66,'WBS(基本設計)'!$O$7:$O$106,"対象")</f>
        <v>0</v>
      </c>
      <c r="N66" t="str">
        <f t="shared" si="0"/>
        <v>要確認</v>
      </c>
    </row>
    <row r="67" spans="1:26">
      <c r="A67" s="406" t="s">
        <v>7277</v>
      </c>
      <c r="B67" s="406" t="s">
        <v>6438</v>
      </c>
      <c r="C67" s="406" t="s">
        <v>6462</v>
      </c>
      <c r="D67" s="406" t="s">
        <v>6222</v>
      </c>
      <c r="E67" s="406" t="s">
        <v>6463</v>
      </c>
      <c r="F67" s="412" t="s">
        <v>3214</v>
      </c>
      <c r="G67" s="412" t="s">
        <v>4696</v>
      </c>
      <c r="H67" s="411">
        <v>1</v>
      </c>
      <c r="I67" s="411">
        <v>0.5</v>
      </c>
      <c r="J67" s="411">
        <v>0</v>
      </c>
      <c r="K67">
        <f>COUNTIF('WBS(基本設計)'!$F$7:$F$106,$C67)</f>
        <v>0</v>
      </c>
      <c r="L67">
        <f>SUMIF('WBS(基本設計)'!$F$7:$F$106,$C67,'WBS(基本設計)'!$J$7:$J$106)</f>
        <v>0</v>
      </c>
      <c r="M67">
        <f>SUMIFS('WBS(基本設計)'!$J$7:$J$106,'WBS(基本設計)'!$F$7:$F$106,$C67,'WBS(基本設計)'!$O$7:$O$106,"対象")</f>
        <v>0</v>
      </c>
      <c r="N67" t="str">
        <f t="shared" ref="N67:N130" si="1">IF(AND(K67=H67,L67=I67,M67=J67),"","要確認")</f>
        <v>要確認</v>
      </c>
    </row>
    <row r="68" spans="1:26">
      <c r="A68" s="406" t="s">
        <v>7277</v>
      </c>
      <c r="B68" s="406" t="s">
        <v>6438</v>
      </c>
      <c r="C68" s="406" t="s">
        <v>6282</v>
      </c>
      <c r="D68" s="406" t="s">
        <v>6077</v>
      </c>
      <c r="E68" s="406" t="s">
        <v>7596</v>
      </c>
      <c r="F68" s="412" t="s">
        <v>3214</v>
      </c>
      <c r="G68" s="412" t="s">
        <v>4696</v>
      </c>
      <c r="H68" s="411">
        <v>5</v>
      </c>
      <c r="I68" s="411">
        <v>7</v>
      </c>
      <c r="J68" s="411">
        <v>5</v>
      </c>
      <c r="K68">
        <f>COUNTIF('WBS(基本設計)'!$F$7:$F$106,$C68)</f>
        <v>1</v>
      </c>
      <c r="L68">
        <f>SUMIF('WBS(基本設計)'!$F$7:$F$106,$C68,'WBS(基本設計)'!$J$7:$J$106)</f>
        <v>2</v>
      </c>
      <c r="M68">
        <f>SUMIFS('WBS(基本設計)'!$J$7:$J$106,'WBS(基本設計)'!$F$7:$F$106,$C68,'WBS(基本設計)'!$O$7:$O$106,"対象")</f>
        <v>2</v>
      </c>
      <c r="N68" t="str">
        <f t="shared" si="1"/>
        <v>要確認</v>
      </c>
    </row>
    <row r="69" spans="1:26">
      <c r="A69" s="406" t="s">
        <v>7277</v>
      </c>
      <c r="B69" s="406" t="s">
        <v>6438</v>
      </c>
      <c r="C69" s="406" t="s">
        <v>6283</v>
      </c>
      <c r="D69" s="406" t="s">
        <v>6080</v>
      </c>
      <c r="E69" s="406" t="s">
        <v>7597</v>
      </c>
      <c r="F69" s="412" t="s">
        <v>3214</v>
      </c>
      <c r="G69" s="412" t="s">
        <v>4696</v>
      </c>
      <c r="H69" s="411">
        <v>1</v>
      </c>
      <c r="I69" s="411">
        <v>1</v>
      </c>
      <c r="J69" s="411">
        <v>1</v>
      </c>
      <c r="K69">
        <f>COUNTIF('WBS(基本設計)'!$F$7:$F$106,$C69)</f>
        <v>0</v>
      </c>
      <c r="L69">
        <f>SUMIF('WBS(基本設計)'!$F$7:$F$106,$C69,'WBS(基本設計)'!$J$7:$J$106)</f>
        <v>0</v>
      </c>
      <c r="M69">
        <f>SUMIFS('WBS(基本設計)'!$J$7:$J$106,'WBS(基本設計)'!$F$7:$F$106,$C69,'WBS(基本設計)'!$O$7:$O$106,"対象")</f>
        <v>0</v>
      </c>
      <c r="N69" t="str">
        <f t="shared" si="1"/>
        <v>要確認</v>
      </c>
    </row>
    <row r="70" spans="1:26">
      <c r="A70" s="406" t="s">
        <v>7277</v>
      </c>
      <c r="B70" s="406" t="s">
        <v>7279</v>
      </c>
      <c r="C70" s="406" t="s">
        <v>6298</v>
      </c>
      <c r="D70" s="406" t="s">
        <v>6149</v>
      </c>
      <c r="E70" s="406" t="s">
        <v>7598</v>
      </c>
      <c r="F70" s="412" t="s">
        <v>3214</v>
      </c>
      <c r="G70" s="412" t="s">
        <v>4696</v>
      </c>
      <c r="H70" s="411">
        <v>1</v>
      </c>
      <c r="I70" s="411">
        <v>0.75</v>
      </c>
      <c r="J70" s="411">
        <v>0.75</v>
      </c>
      <c r="K70">
        <f>COUNTIF('WBS(基本設計)'!$F$7:$F$106,$C70)</f>
        <v>0</v>
      </c>
      <c r="L70">
        <f>SUMIF('WBS(基本設計)'!$F$7:$F$106,$C70,'WBS(基本設計)'!$J$7:$J$106)</f>
        <v>0</v>
      </c>
      <c r="M70">
        <f>SUMIFS('WBS(基本設計)'!$J$7:$J$106,'WBS(基本設計)'!$F$7:$F$106,$C70,'WBS(基本設計)'!$O$7:$O$106,"対象")</f>
        <v>0</v>
      </c>
      <c r="N70" t="str">
        <f t="shared" si="1"/>
        <v>要確認</v>
      </c>
    </row>
    <row r="71" spans="1:26">
      <c r="A71" s="406" t="s">
        <v>7277</v>
      </c>
      <c r="B71" s="406" t="s">
        <v>7279</v>
      </c>
      <c r="C71" s="406" t="s">
        <v>6299</v>
      </c>
      <c r="D71" s="406" t="s">
        <v>6151</v>
      </c>
      <c r="E71" s="406" t="s">
        <v>7599</v>
      </c>
      <c r="F71" s="412" t="s">
        <v>3214</v>
      </c>
      <c r="G71" s="412" t="s">
        <v>4696</v>
      </c>
      <c r="H71" s="411">
        <v>1</v>
      </c>
      <c r="I71" s="411">
        <v>0.5</v>
      </c>
      <c r="J71" s="411">
        <v>0.5</v>
      </c>
      <c r="K71">
        <f>COUNTIF('WBS(基本設計)'!$F$7:$F$106,$C71)</f>
        <v>0</v>
      </c>
      <c r="L71">
        <f>SUMIF('WBS(基本設計)'!$F$7:$F$106,$C71,'WBS(基本設計)'!$J$7:$J$106)</f>
        <v>0</v>
      </c>
      <c r="M71">
        <f>SUMIFS('WBS(基本設計)'!$J$7:$J$106,'WBS(基本設計)'!$F$7:$F$106,$C71,'WBS(基本設計)'!$O$7:$O$106,"対象")</f>
        <v>0</v>
      </c>
      <c r="N71" t="str">
        <f t="shared" si="1"/>
        <v>要確認</v>
      </c>
    </row>
    <row r="72" spans="1:26">
      <c r="A72" s="406" t="s">
        <v>7277</v>
      </c>
      <c r="B72" s="406" t="s">
        <v>7279</v>
      </c>
      <c r="C72" s="406" t="s">
        <v>6259</v>
      </c>
      <c r="D72" s="406" t="s">
        <v>6142</v>
      </c>
      <c r="E72" s="406" t="s">
        <v>7600</v>
      </c>
      <c r="F72" s="412" t="s">
        <v>3214</v>
      </c>
      <c r="G72" s="412" t="s">
        <v>4696</v>
      </c>
      <c r="H72" s="411">
        <v>7</v>
      </c>
      <c r="I72" s="411">
        <v>14.5</v>
      </c>
      <c r="J72" s="411">
        <v>9.5</v>
      </c>
      <c r="K72">
        <f>COUNTIF('WBS(基本設計)'!$F$7:$F$106,$C72)</f>
        <v>0</v>
      </c>
      <c r="L72">
        <f>SUMIF('WBS(基本設計)'!$F$7:$F$106,$C72,'WBS(基本設計)'!$J$7:$J$106)</f>
        <v>0</v>
      </c>
      <c r="M72">
        <f>SUMIFS('WBS(基本設計)'!$J$7:$J$106,'WBS(基本設計)'!$F$7:$F$106,$C72,'WBS(基本設計)'!$O$7:$O$106,"対象")</f>
        <v>0</v>
      </c>
      <c r="N72" t="str">
        <f t="shared" si="1"/>
        <v>要確認</v>
      </c>
    </row>
    <row r="73" spans="1:26">
      <c r="A73" s="406" t="s">
        <v>7277</v>
      </c>
      <c r="B73" s="406" t="s">
        <v>7279</v>
      </c>
      <c r="C73" s="406" t="s">
        <v>7408</v>
      </c>
      <c r="D73" s="406" t="s">
        <v>6147</v>
      </c>
      <c r="E73" s="406" t="s">
        <v>7601</v>
      </c>
      <c r="F73" s="412" t="s">
        <v>7248</v>
      </c>
      <c r="G73" s="412" t="s">
        <v>7248</v>
      </c>
      <c r="H73" s="411">
        <v>3</v>
      </c>
      <c r="I73" s="411">
        <v>1.5</v>
      </c>
      <c r="J73" s="411">
        <v>1.5</v>
      </c>
      <c r="K73">
        <f>COUNTIF('WBS(基本設計)'!$F$7:$F$106,$C73)</f>
        <v>0</v>
      </c>
      <c r="L73">
        <f>SUMIF('WBS(基本設計)'!$F$7:$F$106,$C73,'WBS(基本設計)'!$J$7:$J$106)</f>
        <v>0</v>
      </c>
      <c r="M73">
        <f>SUMIFS('WBS(基本設計)'!$J$7:$J$106,'WBS(基本設計)'!$F$7:$F$106,$C73,'WBS(基本設計)'!$O$7:$O$106,"対象")</f>
        <v>0</v>
      </c>
      <c r="N73" t="str">
        <f t="shared" si="1"/>
        <v>要確認</v>
      </c>
    </row>
    <row r="74" spans="1:26">
      <c r="A74" s="406" t="s">
        <v>7277</v>
      </c>
      <c r="B74" s="406" t="s">
        <v>7279</v>
      </c>
      <c r="C74" s="406" t="s">
        <v>7417</v>
      </c>
      <c r="D74" s="406" t="s">
        <v>7512</v>
      </c>
      <c r="E74" s="406" t="s">
        <v>7602</v>
      </c>
      <c r="F74" s="412" t="s">
        <v>4696</v>
      </c>
      <c r="G74" s="412" t="s">
        <v>3214</v>
      </c>
      <c r="H74" s="411">
        <v>5</v>
      </c>
      <c r="I74" s="411">
        <v>14</v>
      </c>
      <c r="J74" s="411">
        <v>14</v>
      </c>
      <c r="K74">
        <f>COUNTIF('WBS(基本設計)'!$F$7:$F$106,$C74)</f>
        <v>3</v>
      </c>
      <c r="L74">
        <f>SUMIF('WBS(基本設計)'!$F$7:$F$106,$C74,'WBS(基本設計)'!$J$7:$J$106)</f>
        <v>4</v>
      </c>
      <c r="M74">
        <f>SUMIFS('WBS(基本設計)'!$J$7:$J$106,'WBS(基本設計)'!$F$7:$F$106,$C74,'WBS(基本設計)'!$O$7:$O$106,"対象")</f>
        <v>4</v>
      </c>
      <c r="N74" t="str">
        <f t="shared" si="1"/>
        <v>要確認</v>
      </c>
    </row>
    <row r="75" spans="1:26">
      <c r="A75" s="406" t="s">
        <v>7277</v>
      </c>
      <c r="B75" s="406" t="s">
        <v>7279</v>
      </c>
      <c r="C75" s="406" t="s">
        <v>6253</v>
      </c>
      <c r="D75" s="406" t="s">
        <v>6154</v>
      </c>
      <c r="E75" s="406" t="s">
        <v>7603</v>
      </c>
      <c r="F75" s="412" t="s">
        <v>7248</v>
      </c>
      <c r="G75" s="412" t="s">
        <v>7248</v>
      </c>
      <c r="H75" s="411">
        <v>4</v>
      </c>
      <c r="I75" s="411">
        <v>4.75</v>
      </c>
      <c r="J75" s="411">
        <v>4.75</v>
      </c>
      <c r="K75">
        <f>COUNTIF('WBS(基本設計)'!$F$7:$F$106,$C75)</f>
        <v>0</v>
      </c>
      <c r="L75">
        <f>SUMIF('WBS(基本設計)'!$F$7:$F$106,$C75,'WBS(基本設計)'!$J$7:$J$106)</f>
        <v>0</v>
      </c>
      <c r="M75">
        <f>SUMIFS('WBS(基本設計)'!$J$7:$J$106,'WBS(基本設計)'!$F$7:$F$106,$C75,'WBS(基本設計)'!$O$7:$O$106,"対象")</f>
        <v>0</v>
      </c>
      <c r="N75" t="str">
        <f t="shared" si="1"/>
        <v>要確認</v>
      </c>
    </row>
    <row r="76" spans="1:26" s="410" customFormat="1">
      <c r="A76" s="406" t="s">
        <v>7277</v>
      </c>
      <c r="B76" s="406" t="s">
        <v>7279</v>
      </c>
      <c r="C76" s="406" t="s">
        <v>7354</v>
      </c>
      <c r="D76" s="406" t="s">
        <v>6158</v>
      </c>
      <c r="E76" s="406" t="s">
        <v>7604</v>
      </c>
      <c r="F76" s="412" t="s">
        <v>4696</v>
      </c>
      <c r="G76" s="412" t="s">
        <v>3214</v>
      </c>
      <c r="H76" s="411">
        <v>5</v>
      </c>
      <c r="I76" s="411">
        <v>10.75</v>
      </c>
      <c r="J76" s="411">
        <v>8.75</v>
      </c>
      <c r="K76">
        <f>COUNTIF('WBS(基本設計)'!$F$7:$F$106,$C76)</f>
        <v>1</v>
      </c>
      <c r="L76">
        <f>SUMIF('WBS(基本設計)'!$F$7:$F$106,$C76,'WBS(基本設計)'!$J$7:$J$106)</f>
        <v>1</v>
      </c>
      <c r="M76">
        <f>SUMIFS('WBS(基本設計)'!$J$7:$J$106,'WBS(基本設計)'!$F$7:$F$106,$C76,'WBS(基本設計)'!$O$7:$O$106,"対象")</f>
        <v>0</v>
      </c>
      <c r="N76" t="str">
        <f t="shared" si="1"/>
        <v>要確認</v>
      </c>
      <c r="O76"/>
      <c r="P76"/>
      <c r="Q76"/>
      <c r="R76"/>
      <c r="S76"/>
      <c r="T76"/>
      <c r="U76"/>
      <c r="V76"/>
      <c r="W76"/>
      <c r="X76"/>
      <c r="Y76"/>
      <c r="Z76"/>
    </row>
    <row r="77" spans="1:26">
      <c r="A77" s="406" t="s">
        <v>7277</v>
      </c>
      <c r="B77" s="406" t="s">
        <v>7281</v>
      </c>
      <c r="C77" s="406" t="s">
        <v>6449</v>
      </c>
      <c r="D77" s="406" t="s">
        <v>6160</v>
      </c>
      <c r="E77" s="406" t="s">
        <v>7605</v>
      </c>
      <c r="F77" s="412" t="s">
        <v>4696</v>
      </c>
      <c r="G77" s="412" t="s">
        <v>3214</v>
      </c>
      <c r="H77" s="411">
        <v>3</v>
      </c>
      <c r="I77" s="411">
        <v>3.5</v>
      </c>
      <c r="J77" s="411">
        <v>3.5</v>
      </c>
      <c r="K77">
        <f>COUNTIF('WBS(基本設計)'!$F$7:$F$106,$C77)</f>
        <v>0</v>
      </c>
      <c r="L77">
        <f>SUMIF('WBS(基本設計)'!$F$7:$F$106,$C77,'WBS(基本設計)'!$J$7:$J$106)</f>
        <v>0</v>
      </c>
      <c r="M77">
        <f>SUMIFS('WBS(基本設計)'!$J$7:$J$106,'WBS(基本設計)'!$F$7:$F$106,$C77,'WBS(基本設計)'!$O$7:$O$106,"対象")</f>
        <v>0</v>
      </c>
      <c r="N77" t="str">
        <f t="shared" si="1"/>
        <v>要確認</v>
      </c>
    </row>
    <row r="78" spans="1:26">
      <c r="A78" s="406" t="s">
        <v>7277</v>
      </c>
      <c r="B78" s="406" t="s">
        <v>7281</v>
      </c>
      <c r="C78" s="406" t="s">
        <v>6450</v>
      </c>
      <c r="D78" s="406" t="s">
        <v>6163</v>
      </c>
      <c r="E78" s="406" t="s">
        <v>7606</v>
      </c>
      <c r="F78" s="412" t="s">
        <v>4696</v>
      </c>
      <c r="G78" s="412" t="s">
        <v>3214</v>
      </c>
      <c r="H78" s="411">
        <v>2</v>
      </c>
      <c r="I78" s="411">
        <v>2.5</v>
      </c>
      <c r="J78" s="411">
        <v>2.5</v>
      </c>
      <c r="K78">
        <f>COUNTIF('WBS(基本設計)'!$F$7:$F$106,$C78)</f>
        <v>0</v>
      </c>
      <c r="L78">
        <f>SUMIF('WBS(基本設計)'!$F$7:$F$106,$C78,'WBS(基本設計)'!$J$7:$J$106)</f>
        <v>0</v>
      </c>
      <c r="M78">
        <f>SUMIFS('WBS(基本設計)'!$J$7:$J$106,'WBS(基本設計)'!$F$7:$F$106,$C78,'WBS(基本設計)'!$O$7:$O$106,"対象")</f>
        <v>0</v>
      </c>
      <c r="N78" t="str">
        <f t="shared" si="1"/>
        <v>要確認</v>
      </c>
    </row>
    <row r="79" spans="1:26">
      <c r="A79" s="406" t="s">
        <v>6822</v>
      </c>
      <c r="B79" s="406" t="s">
        <v>7282</v>
      </c>
      <c r="C79" s="406" t="s">
        <v>7429</v>
      </c>
      <c r="D79" s="406" t="s">
        <v>7524</v>
      </c>
      <c r="E79" s="406" t="s">
        <v>7607</v>
      </c>
      <c r="F79" s="412" t="s">
        <v>4696</v>
      </c>
      <c r="G79" s="412" t="s">
        <v>3214</v>
      </c>
      <c r="H79" s="411">
        <v>5</v>
      </c>
      <c r="I79" s="411">
        <v>11</v>
      </c>
      <c r="J79" s="411">
        <v>11</v>
      </c>
      <c r="K79">
        <f>COUNTIF('WBS(基本設計)'!$F$7:$F$106,$C79)</f>
        <v>1</v>
      </c>
      <c r="L79">
        <f>SUMIF('WBS(基本設計)'!$F$7:$F$106,$C79,'WBS(基本設計)'!$J$7:$J$106)</f>
        <v>1</v>
      </c>
      <c r="M79">
        <f>SUMIFS('WBS(基本設計)'!$J$7:$J$106,'WBS(基本設計)'!$F$7:$F$106,$C79,'WBS(基本設計)'!$O$7:$O$106,"対象")</f>
        <v>1</v>
      </c>
      <c r="N79" t="str">
        <f t="shared" si="1"/>
        <v>要確認</v>
      </c>
    </row>
    <row r="80" spans="1:26">
      <c r="A80" s="406" t="s">
        <v>6822</v>
      </c>
      <c r="B80" s="406" t="s">
        <v>7282</v>
      </c>
      <c r="C80" s="406" t="s">
        <v>7411</v>
      </c>
      <c r="D80" s="406" t="s">
        <v>6177</v>
      </c>
      <c r="E80" s="406" t="s">
        <v>7608</v>
      </c>
      <c r="F80" s="412" t="s">
        <v>7248</v>
      </c>
      <c r="G80" s="412" t="s">
        <v>7248</v>
      </c>
      <c r="H80" s="411">
        <v>4</v>
      </c>
      <c r="I80" s="411">
        <v>6.5</v>
      </c>
      <c r="J80" s="411">
        <v>6</v>
      </c>
      <c r="K80">
        <f>COUNTIF('WBS(基本設計)'!$F$7:$F$106,$C80)</f>
        <v>0</v>
      </c>
      <c r="L80">
        <f>SUMIF('WBS(基本設計)'!$F$7:$F$106,$C80,'WBS(基本設計)'!$J$7:$J$106)</f>
        <v>0</v>
      </c>
      <c r="M80">
        <f>SUMIFS('WBS(基本設計)'!$J$7:$J$106,'WBS(基本設計)'!$F$7:$F$106,$C80,'WBS(基本設計)'!$O$7:$O$106,"対象")</f>
        <v>0</v>
      </c>
      <c r="N80" t="str">
        <f t="shared" si="1"/>
        <v>要確認</v>
      </c>
    </row>
    <row r="81" spans="1:26" s="410" customFormat="1">
      <c r="A81" s="406" t="s">
        <v>6822</v>
      </c>
      <c r="B81" s="406" t="s">
        <v>7282</v>
      </c>
      <c r="C81" s="406" t="s">
        <v>7337</v>
      </c>
      <c r="D81" s="406" t="s">
        <v>6198</v>
      </c>
      <c r="E81" s="406" t="s">
        <v>6248</v>
      </c>
      <c r="F81" s="412" t="s">
        <v>4696</v>
      </c>
      <c r="G81" s="412" t="s">
        <v>3214</v>
      </c>
      <c r="H81" s="411">
        <v>2</v>
      </c>
      <c r="I81" s="411">
        <v>2</v>
      </c>
      <c r="J81" s="411">
        <v>1</v>
      </c>
      <c r="K81">
        <f>COUNTIF('WBS(基本設計)'!$F$7:$F$106,$C81)</f>
        <v>0</v>
      </c>
      <c r="L81">
        <f>SUMIF('WBS(基本設計)'!$F$7:$F$106,$C81,'WBS(基本設計)'!$J$7:$J$106)</f>
        <v>0</v>
      </c>
      <c r="M81">
        <f>SUMIFS('WBS(基本設計)'!$J$7:$J$106,'WBS(基本設計)'!$F$7:$F$106,$C81,'WBS(基本設計)'!$O$7:$O$106,"対象")</f>
        <v>0</v>
      </c>
      <c r="N81" t="str">
        <f t="shared" si="1"/>
        <v>要確認</v>
      </c>
      <c r="O81"/>
      <c r="P81"/>
      <c r="Q81"/>
      <c r="R81"/>
      <c r="S81"/>
      <c r="T81"/>
      <c r="U81"/>
      <c r="V81"/>
      <c r="W81"/>
      <c r="X81"/>
      <c r="Y81"/>
      <c r="Z81"/>
    </row>
    <row r="82" spans="1:26" s="410" customFormat="1" ht="48" customHeight="1">
      <c r="A82" s="406" t="s">
        <v>6822</v>
      </c>
      <c r="B82" s="406" t="s">
        <v>7282</v>
      </c>
      <c r="C82" s="406" t="s">
        <v>6302</v>
      </c>
      <c r="D82" s="406" t="s">
        <v>6184</v>
      </c>
      <c r="E82" s="406" t="s">
        <v>7609</v>
      </c>
      <c r="F82" s="412" t="s">
        <v>4696</v>
      </c>
      <c r="G82" s="412" t="s">
        <v>3214</v>
      </c>
      <c r="H82" s="411">
        <v>4</v>
      </c>
      <c r="I82" s="411">
        <v>7.5</v>
      </c>
      <c r="J82" s="411">
        <v>4.5</v>
      </c>
      <c r="K82">
        <f>COUNTIF('WBS(基本設計)'!$F$7:$F$106,$C82)</f>
        <v>0</v>
      </c>
      <c r="L82">
        <f>SUMIF('WBS(基本設計)'!$F$7:$F$106,$C82,'WBS(基本設計)'!$J$7:$J$106)</f>
        <v>0</v>
      </c>
      <c r="M82">
        <f>SUMIFS('WBS(基本設計)'!$J$7:$J$106,'WBS(基本設計)'!$F$7:$F$106,$C82,'WBS(基本設計)'!$O$7:$O$106,"対象")</f>
        <v>0</v>
      </c>
      <c r="N82" t="str">
        <f t="shared" si="1"/>
        <v>要確認</v>
      </c>
      <c r="O82"/>
      <c r="P82"/>
      <c r="Q82"/>
      <c r="R82"/>
      <c r="S82"/>
      <c r="T82"/>
      <c r="U82"/>
      <c r="V82"/>
      <c r="W82"/>
      <c r="X82"/>
      <c r="Y82"/>
      <c r="Z82"/>
    </row>
    <row r="83" spans="1:26">
      <c r="A83" s="406" t="s">
        <v>6822</v>
      </c>
      <c r="B83" s="406" t="s">
        <v>7283</v>
      </c>
      <c r="C83" s="406" t="s">
        <v>6258</v>
      </c>
      <c r="D83" s="406" t="s">
        <v>6168</v>
      </c>
      <c r="E83" s="406" t="s">
        <v>7610</v>
      </c>
      <c r="F83" s="412" t="s">
        <v>4696</v>
      </c>
      <c r="G83" s="412" t="s">
        <v>3214</v>
      </c>
      <c r="H83" s="411">
        <v>4</v>
      </c>
      <c r="I83" s="411">
        <v>10</v>
      </c>
      <c r="J83" s="411">
        <v>10</v>
      </c>
      <c r="K83">
        <f>COUNTIF('WBS(基本設計)'!$F$7:$F$106,$C83)</f>
        <v>0</v>
      </c>
      <c r="L83">
        <f>SUMIF('WBS(基本設計)'!$F$7:$F$106,$C83,'WBS(基本設計)'!$J$7:$J$106)</f>
        <v>0</v>
      </c>
      <c r="M83">
        <f>SUMIFS('WBS(基本設計)'!$J$7:$J$106,'WBS(基本設計)'!$F$7:$F$106,$C83,'WBS(基本設計)'!$O$7:$O$106,"対象")</f>
        <v>0</v>
      </c>
      <c r="N83" t="str">
        <f t="shared" si="1"/>
        <v>要確認</v>
      </c>
    </row>
    <row r="84" spans="1:26">
      <c r="A84" s="406" t="s">
        <v>6822</v>
      </c>
      <c r="B84" s="406" t="s">
        <v>7283</v>
      </c>
      <c r="C84" s="406" t="s">
        <v>6300</v>
      </c>
      <c r="D84" s="406" t="s">
        <v>6172</v>
      </c>
      <c r="E84" s="406" t="s">
        <v>7611</v>
      </c>
      <c r="F84" s="412" t="s">
        <v>4696</v>
      </c>
      <c r="G84" s="412" t="s">
        <v>3214</v>
      </c>
      <c r="H84" s="411">
        <v>1</v>
      </c>
      <c r="I84" s="411">
        <v>2</v>
      </c>
      <c r="J84" s="411">
        <v>2</v>
      </c>
      <c r="K84">
        <f>COUNTIF('WBS(基本設計)'!$F$7:$F$106,$C84)</f>
        <v>0</v>
      </c>
      <c r="L84">
        <f>SUMIF('WBS(基本設計)'!$F$7:$F$106,$C84,'WBS(基本設計)'!$J$7:$J$106)</f>
        <v>0</v>
      </c>
      <c r="M84">
        <f>SUMIFS('WBS(基本設計)'!$J$7:$J$106,'WBS(基本設計)'!$F$7:$F$106,$C84,'WBS(基本設計)'!$O$7:$O$106,"対象")</f>
        <v>0</v>
      </c>
      <c r="N84" t="str">
        <f t="shared" si="1"/>
        <v>要確認</v>
      </c>
    </row>
    <row r="85" spans="1:26">
      <c r="A85" s="406" t="s">
        <v>6822</v>
      </c>
      <c r="B85" s="406" t="s">
        <v>7283</v>
      </c>
      <c r="C85" s="406" t="s">
        <v>6301</v>
      </c>
      <c r="D85" s="406" t="s">
        <v>6175</v>
      </c>
      <c r="E85" s="406" t="s">
        <v>7612</v>
      </c>
      <c r="F85" s="412" t="s">
        <v>4696</v>
      </c>
      <c r="G85" s="412" t="s">
        <v>3214</v>
      </c>
      <c r="H85" s="411">
        <v>1</v>
      </c>
      <c r="I85" s="411">
        <v>1</v>
      </c>
      <c r="J85" s="411">
        <v>1</v>
      </c>
      <c r="K85">
        <f>COUNTIF('WBS(基本設計)'!$F$7:$F$106,$C85)</f>
        <v>0</v>
      </c>
      <c r="L85">
        <f>SUMIF('WBS(基本設計)'!$F$7:$F$106,$C85,'WBS(基本設計)'!$J$7:$J$106)</f>
        <v>0</v>
      </c>
      <c r="M85">
        <f>SUMIFS('WBS(基本設計)'!$J$7:$J$106,'WBS(基本設計)'!$F$7:$F$106,$C85,'WBS(基本設計)'!$O$7:$O$106,"対象")</f>
        <v>0</v>
      </c>
      <c r="N85" t="str">
        <f t="shared" si="1"/>
        <v>要確認</v>
      </c>
    </row>
    <row r="86" spans="1:26" s="410" customFormat="1">
      <c r="A86" s="406" t="s">
        <v>7286</v>
      </c>
      <c r="B86" s="406" t="s">
        <v>7285</v>
      </c>
      <c r="C86" s="406" t="s">
        <v>6296</v>
      </c>
      <c r="D86" s="406" t="s">
        <v>6128</v>
      </c>
      <c r="E86" s="406" t="s">
        <v>7613</v>
      </c>
      <c r="F86" s="412" t="s">
        <v>7248</v>
      </c>
      <c r="G86" s="412" t="s">
        <v>7248</v>
      </c>
      <c r="H86" s="411">
        <v>7</v>
      </c>
      <c r="I86" s="411">
        <v>7.5</v>
      </c>
      <c r="J86" s="411">
        <v>7.5</v>
      </c>
      <c r="K86">
        <f>COUNTIF('WBS(基本設計)'!$F$7:$F$106,$C86)</f>
        <v>0</v>
      </c>
      <c r="L86">
        <f>SUMIF('WBS(基本設計)'!$F$7:$F$106,$C86,'WBS(基本設計)'!$J$7:$J$106)</f>
        <v>0</v>
      </c>
      <c r="M86">
        <f>SUMIFS('WBS(基本設計)'!$J$7:$J$106,'WBS(基本設計)'!$F$7:$F$106,$C86,'WBS(基本設計)'!$O$7:$O$106,"対象")</f>
        <v>0</v>
      </c>
      <c r="N86" t="str">
        <f t="shared" si="1"/>
        <v>要確認</v>
      </c>
      <c r="O86"/>
      <c r="P86"/>
      <c r="Q86"/>
      <c r="R86"/>
      <c r="S86"/>
      <c r="T86"/>
      <c r="U86"/>
      <c r="V86"/>
      <c r="W86"/>
      <c r="X86"/>
      <c r="Y86"/>
      <c r="Z86"/>
    </row>
    <row r="87" spans="1:26">
      <c r="A87" s="406" t="s">
        <v>7286</v>
      </c>
      <c r="B87" s="406" t="s">
        <v>7285</v>
      </c>
      <c r="C87" s="406" t="s">
        <v>7385</v>
      </c>
      <c r="D87" s="406" t="s">
        <v>7490</v>
      </c>
      <c r="E87" s="406" t="s">
        <v>7614</v>
      </c>
      <c r="F87" s="412" t="s">
        <v>7248</v>
      </c>
      <c r="G87" s="412" t="s">
        <v>7248</v>
      </c>
      <c r="H87" s="411">
        <v>6</v>
      </c>
      <c r="I87" s="411">
        <v>13.5</v>
      </c>
      <c r="J87" s="411">
        <v>10</v>
      </c>
      <c r="K87">
        <f>COUNTIF('WBS(基本設計)'!$F$7:$F$106,$C87)</f>
        <v>4</v>
      </c>
      <c r="L87">
        <f>SUMIF('WBS(基本設計)'!$F$7:$F$106,$C87,'WBS(基本設計)'!$J$7:$J$106)</f>
        <v>5</v>
      </c>
      <c r="M87">
        <f>SUMIFS('WBS(基本設計)'!$J$7:$J$106,'WBS(基本設計)'!$F$7:$F$106,$C87,'WBS(基本設計)'!$O$7:$O$106,"対象")</f>
        <v>2</v>
      </c>
      <c r="N87" t="str">
        <f t="shared" si="1"/>
        <v>要確認</v>
      </c>
    </row>
    <row r="88" spans="1:26" s="410" customFormat="1">
      <c r="A88" s="406" t="s">
        <v>7286</v>
      </c>
      <c r="B88" s="406" t="s">
        <v>7285</v>
      </c>
      <c r="C88" s="406" t="s">
        <v>6297</v>
      </c>
      <c r="D88" s="406" t="s">
        <v>6140</v>
      </c>
      <c r="E88" s="406" t="s">
        <v>7615</v>
      </c>
      <c r="F88" s="412" t="s">
        <v>4696</v>
      </c>
      <c r="G88" s="412" t="s">
        <v>3214</v>
      </c>
      <c r="H88" s="411">
        <v>4</v>
      </c>
      <c r="I88" s="411">
        <v>5</v>
      </c>
      <c r="J88" s="411">
        <v>3</v>
      </c>
      <c r="K88">
        <f>COUNTIF('WBS(基本設計)'!$F$7:$F$106,$C88)</f>
        <v>0</v>
      </c>
      <c r="L88">
        <f>SUMIF('WBS(基本設計)'!$F$7:$F$106,$C88,'WBS(基本設計)'!$J$7:$J$106)</f>
        <v>0</v>
      </c>
      <c r="M88">
        <f>SUMIFS('WBS(基本設計)'!$J$7:$J$106,'WBS(基本設計)'!$F$7:$F$106,$C88,'WBS(基本設計)'!$O$7:$O$106,"対象")</f>
        <v>0</v>
      </c>
      <c r="N88" t="str">
        <f t="shared" si="1"/>
        <v>要確認</v>
      </c>
      <c r="O88"/>
      <c r="P88"/>
      <c r="Q88"/>
      <c r="R88"/>
      <c r="S88"/>
      <c r="T88"/>
      <c r="U88"/>
      <c r="V88"/>
      <c r="W88"/>
      <c r="X88"/>
      <c r="Y88"/>
      <c r="Z88"/>
    </row>
    <row r="89" spans="1:26">
      <c r="A89" s="406" t="s">
        <v>7286</v>
      </c>
      <c r="B89" s="406" t="s">
        <v>7285</v>
      </c>
      <c r="C89" s="406" t="s">
        <v>7437</v>
      </c>
      <c r="D89" s="406" t="s">
        <v>7532</v>
      </c>
      <c r="E89" s="406" t="s">
        <v>7616</v>
      </c>
      <c r="F89" s="412" t="s">
        <v>4696</v>
      </c>
      <c r="G89" s="412" t="s">
        <v>3214</v>
      </c>
      <c r="H89" s="411">
        <v>1</v>
      </c>
      <c r="I89" s="411">
        <v>2</v>
      </c>
      <c r="J89" s="411">
        <v>2</v>
      </c>
      <c r="K89">
        <f>COUNTIF('WBS(基本設計)'!$F$7:$F$106,$C89)</f>
        <v>0</v>
      </c>
      <c r="L89">
        <f>SUMIF('WBS(基本設計)'!$F$7:$F$106,$C89,'WBS(基本設計)'!$J$7:$J$106)</f>
        <v>0</v>
      </c>
      <c r="M89">
        <f>SUMIFS('WBS(基本設計)'!$J$7:$J$106,'WBS(基本設計)'!$F$7:$F$106,$C89,'WBS(基本設計)'!$O$7:$O$106,"対象")</f>
        <v>0</v>
      </c>
      <c r="N89" t="str">
        <f t="shared" si="1"/>
        <v>要確認</v>
      </c>
    </row>
    <row r="90" spans="1:26">
      <c r="A90" s="406" t="s">
        <v>7286</v>
      </c>
      <c r="B90" s="406" t="s">
        <v>7288</v>
      </c>
      <c r="C90" s="406" t="s">
        <v>6308</v>
      </c>
      <c r="D90" s="406" t="s">
        <v>6211</v>
      </c>
      <c r="E90" s="406" t="s">
        <v>7617</v>
      </c>
      <c r="F90" s="412" t="s">
        <v>4696</v>
      </c>
      <c r="G90" s="412" t="s">
        <v>3214</v>
      </c>
      <c r="H90" s="411">
        <v>3</v>
      </c>
      <c r="I90" s="411">
        <v>4.5</v>
      </c>
      <c r="J90" s="411">
        <v>4.5</v>
      </c>
      <c r="K90">
        <f>COUNTIF('WBS(基本設計)'!$F$7:$F$106,$C90)</f>
        <v>2</v>
      </c>
      <c r="L90">
        <f>SUMIF('WBS(基本設計)'!$F$7:$F$106,$C90,'WBS(基本設計)'!$J$7:$J$106)</f>
        <v>2.5</v>
      </c>
      <c r="M90">
        <f>SUMIFS('WBS(基本設計)'!$J$7:$J$106,'WBS(基本設計)'!$F$7:$F$106,$C90,'WBS(基本設計)'!$O$7:$O$106,"対象")</f>
        <v>2.5</v>
      </c>
      <c r="N90" t="str">
        <f t="shared" si="1"/>
        <v>要確認</v>
      </c>
    </row>
    <row r="91" spans="1:26">
      <c r="A91" s="406" t="s">
        <v>7286</v>
      </c>
      <c r="B91" s="406" t="s">
        <v>7288</v>
      </c>
      <c r="C91" s="406" t="s">
        <v>6309</v>
      </c>
      <c r="D91" s="406" t="s">
        <v>6215</v>
      </c>
      <c r="E91" s="406" t="s">
        <v>7618</v>
      </c>
      <c r="F91" s="412" t="s">
        <v>4696</v>
      </c>
      <c r="G91" s="412" t="s">
        <v>3214</v>
      </c>
      <c r="H91" s="411">
        <v>1</v>
      </c>
      <c r="I91" s="411">
        <v>0.5</v>
      </c>
      <c r="J91" s="411">
        <v>0.5</v>
      </c>
      <c r="K91">
        <f>COUNTIF('WBS(基本設計)'!$F$7:$F$106,$C91)</f>
        <v>1</v>
      </c>
      <c r="L91">
        <f>SUMIF('WBS(基本設計)'!$F$7:$F$106,$C91,'WBS(基本設計)'!$J$7:$J$106)</f>
        <v>0.5</v>
      </c>
      <c r="M91">
        <f>SUMIFS('WBS(基本設計)'!$J$7:$J$106,'WBS(基本設計)'!$F$7:$F$106,$C91,'WBS(基本設計)'!$O$7:$O$106,"対象")</f>
        <v>0.5</v>
      </c>
      <c r="N91" t="str">
        <f t="shared" si="1"/>
        <v/>
      </c>
    </row>
    <row r="92" spans="1:26">
      <c r="A92" s="406" t="s">
        <v>7286</v>
      </c>
      <c r="B92" s="406" t="s">
        <v>7288</v>
      </c>
      <c r="C92" s="406" t="s">
        <v>6310</v>
      </c>
      <c r="D92" s="406" t="s">
        <v>6220</v>
      </c>
      <c r="E92" s="406" t="s">
        <v>7619</v>
      </c>
      <c r="F92" s="412" t="s">
        <v>4696</v>
      </c>
      <c r="G92" s="412" t="s">
        <v>3214</v>
      </c>
      <c r="H92" s="411">
        <v>1</v>
      </c>
      <c r="I92" s="411">
        <v>0.5</v>
      </c>
      <c r="J92" s="411">
        <v>0.5</v>
      </c>
      <c r="K92">
        <f>COUNTIF('WBS(基本設計)'!$F$7:$F$106,$C92)</f>
        <v>1</v>
      </c>
      <c r="L92">
        <f>SUMIF('WBS(基本設計)'!$F$7:$F$106,$C92,'WBS(基本設計)'!$J$7:$J$106)</f>
        <v>0.5</v>
      </c>
      <c r="M92">
        <f>SUMIFS('WBS(基本設計)'!$J$7:$J$106,'WBS(基本設計)'!$F$7:$F$106,$C92,'WBS(基本設計)'!$O$7:$O$106,"対象")</f>
        <v>0.5</v>
      </c>
      <c r="N92" t="str">
        <f t="shared" si="1"/>
        <v/>
      </c>
    </row>
    <row r="93" spans="1:26">
      <c r="A93" s="406" t="s">
        <v>7286</v>
      </c>
      <c r="B93" s="406" t="s">
        <v>7290</v>
      </c>
      <c r="C93" s="406" t="s">
        <v>6307</v>
      </c>
      <c r="D93" s="406" t="s">
        <v>6208</v>
      </c>
      <c r="E93" s="406" t="s">
        <v>7620</v>
      </c>
      <c r="F93" s="412" t="s">
        <v>4696</v>
      </c>
      <c r="G93" s="412" t="s">
        <v>3214</v>
      </c>
      <c r="H93" s="411">
        <v>2</v>
      </c>
      <c r="I93" s="411">
        <v>2.5</v>
      </c>
      <c r="J93" s="411">
        <v>0.5</v>
      </c>
      <c r="K93">
        <f>COUNTIF('WBS(基本設計)'!$F$7:$F$106,$C93)</f>
        <v>0</v>
      </c>
      <c r="L93">
        <f>SUMIF('WBS(基本設計)'!$F$7:$F$106,$C93,'WBS(基本設計)'!$J$7:$J$106)</f>
        <v>0</v>
      </c>
      <c r="M93">
        <f>SUMIFS('WBS(基本設計)'!$J$7:$J$106,'WBS(基本設計)'!$F$7:$F$106,$C93,'WBS(基本設計)'!$O$7:$O$106,"対象")</f>
        <v>0</v>
      </c>
      <c r="N93" t="str">
        <f t="shared" si="1"/>
        <v>要確認</v>
      </c>
    </row>
    <row r="94" spans="1:26" s="410" customFormat="1">
      <c r="A94" s="406" t="s">
        <v>7286</v>
      </c>
      <c r="B94" s="406" t="s">
        <v>7290</v>
      </c>
      <c r="C94" s="406" t="s">
        <v>6306</v>
      </c>
      <c r="D94" s="406" t="s">
        <v>6206</v>
      </c>
      <c r="E94" s="406" t="s">
        <v>7621</v>
      </c>
      <c r="F94" s="412" t="s">
        <v>4696</v>
      </c>
      <c r="G94" s="412" t="s">
        <v>3214</v>
      </c>
      <c r="H94" s="411">
        <v>1</v>
      </c>
      <c r="I94" s="411">
        <v>0.75</v>
      </c>
      <c r="J94" s="411">
        <v>0</v>
      </c>
      <c r="K94">
        <f>COUNTIF('WBS(基本設計)'!$F$7:$F$106,$C94)</f>
        <v>0</v>
      </c>
      <c r="L94">
        <f>SUMIF('WBS(基本設計)'!$F$7:$F$106,$C94,'WBS(基本設計)'!$J$7:$J$106)</f>
        <v>0</v>
      </c>
      <c r="M94">
        <f>SUMIFS('WBS(基本設計)'!$J$7:$J$106,'WBS(基本設計)'!$F$7:$F$106,$C94,'WBS(基本設計)'!$O$7:$O$106,"対象")</f>
        <v>0</v>
      </c>
      <c r="N94" t="str">
        <f t="shared" si="1"/>
        <v>要確認</v>
      </c>
      <c r="O94"/>
      <c r="P94"/>
      <c r="Q94"/>
      <c r="R94"/>
      <c r="S94"/>
      <c r="T94"/>
      <c r="U94"/>
      <c r="V94"/>
      <c r="W94"/>
      <c r="X94"/>
      <c r="Y94"/>
      <c r="Z94"/>
    </row>
    <row r="95" spans="1:26">
      <c r="A95" s="406" t="s">
        <v>7286</v>
      </c>
      <c r="B95" s="406" t="s">
        <v>6456</v>
      </c>
      <c r="C95" s="406" t="s">
        <v>6303</v>
      </c>
      <c r="D95" s="406" t="s">
        <v>6188</v>
      </c>
      <c r="E95" s="406" t="s">
        <v>7622</v>
      </c>
      <c r="F95" s="412" t="s">
        <v>4696</v>
      </c>
      <c r="G95" s="412" t="s">
        <v>3214</v>
      </c>
      <c r="H95" s="411">
        <v>5</v>
      </c>
      <c r="I95" s="411">
        <v>8</v>
      </c>
      <c r="J95" s="411">
        <v>8</v>
      </c>
      <c r="K95">
        <f>COUNTIF('WBS(基本設計)'!$F$7:$F$106,$C95)</f>
        <v>0</v>
      </c>
      <c r="L95">
        <f>SUMIF('WBS(基本設計)'!$F$7:$F$106,$C95,'WBS(基本設計)'!$J$7:$J$106)</f>
        <v>0</v>
      </c>
      <c r="M95">
        <f>SUMIFS('WBS(基本設計)'!$J$7:$J$106,'WBS(基本設計)'!$F$7:$F$106,$C95,'WBS(基本設計)'!$O$7:$O$106,"対象")</f>
        <v>0</v>
      </c>
      <c r="N95" t="str">
        <f t="shared" si="1"/>
        <v>要確認</v>
      </c>
    </row>
    <row r="96" spans="1:26">
      <c r="A96" s="406" t="s">
        <v>7286</v>
      </c>
      <c r="B96" s="406" t="s">
        <v>6456</v>
      </c>
      <c r="C96" s="406" t="s">
        <v>7351</v>
      </c>
      <c r="D96" s="406" t="s">
        <v>6191</v>
      </c>
      <c r="E96" s="406" t="s">
        <v>7623</v>
      </c>
      <c r="F96" s="412" t="s">
        <v>4696</v>
      </c>
      <c r="G96" s="412" t="s">
        <v>3214</v>
      </c>
      <c r="H96" s="411">
        <v>3</v>
      </c>
      <c r="I96" s="411">
        <v>1.5</v>
      </c>
      <c r="J96" s="411">
        <v>1</v>
      </c>
      <c r="K96">
        <f>COUNTIF('WBS(基本設計)'!$F$7:$F$106,$C96)</f>
        <v>0</v>
      </c>
      <c r="L96">
        <f>SUMIF('WBS(基本設計)'!$F$7:$F$106,$C96,'WBS(基本設計)'!$J$7:$J$106)</f>
        <v>0</v>
      </c>
      <c r="M96">
        <f>SUMIFS('WBS(基本設計)'!$J$7:$J$106,'WBS(基本設計)'!$F$7:$F$106,$C96,'WBS(基本設計)'!$O$7:$O$106,"対象")</f>
        <v>0</v>
      </c>
      <c r="N96" t="str">
        <f t="shared" si="1"/>
        <v>要確認</v>
      </c>
    </row>
    <row r="97" spans="1:26">
      <c r="A97" s="406" t="s">
        <v>7294</v>
      </c>
      <c r="B97" s="406" t="s">
        <v>7293</v>
      </c>
      <c r="C97" s="406" t="s">
        <v>7381</v>
      </c>
      <c r="D97" s="406" t="s">
        <v>7486</v>
      </c>
      <c r="E97" s="406" t="s">
        <v>7624</v>
      </c>
      <c r="F97" s="412" t="s">
        <v>4696</v>
      </c>
      <c r="G97" s="412" t="s">
        <v>3214</v>
      </c>
      <c r="H97" s="411">
        <v>3</v>
      </c>
      <c r="I97" s="411">
        <v>5</v>
      </c>
      <c r="J97" s="411">
        <v>3</v>
      </c>
      <c r="K97">
        <f>COUNTIF('WBS(基本設計)'!$F$7:$F$106,$C97)</f>
        <v>1</v>
      </c>
      <c r="L97">
        <f>SUMIF('WBS(基本設計)'!$F$7:$F$106,$C97,'WBS(基本設計)'!$J$7:$J$106)</f>
        <v>2</v>
      </c>
      <c r="M97">
        <f>SUMIFS('WBS(基本設計)'!$J$7:$J$106,'WBS(基本設計)'!$F$7:$F$106,$C97,'WBS(基本設計)'!$O$7:$O$106,"対象")</f>
        <v>2</v>
      </c>
      <c r="N97" t="str">
        <f t="shared" si="1"/>
        <v>要確認</v>
      </c>
    </row>
    <row r="98" spans="1:26">
      <c r="A98" s="406" t="s">
        <v>7294</v>
      </c>
      <c r="B98" s="406" t="s">
        <v>7293</v>
      </c>
      <c r="C98" s="406" t="s">
        <v>7343</v>
      </c>
      <c r="D98" s="406" t="s">
        <v>7450</v>
      </c>
      <c r="E98" s="406" t="s">
        <v>7625</v>
      </c>
      <c r="F98" s="412" t="s">
        <v>4696</v>
      </c>
      <c r="G98" s="412" t="s">
        <v>3214</v>
      </c>
      <c r="H98" s="411">
        <v>5</v>
      </c>
      <c r="I98" s="411">
        <v>8.5</v>
      </c>
      <c r="J98" s="411">
        <v>5.5</v>
      </c>
      <c r="K98">
        <f>COUNTIF('WBS(基本設計)'!$F$7:$F$106,$C98)</f>
        <v>2</v>
      </c>
      <c r="L98">
        <f>SUMIF('WBS(基本設計)'!$F$7:$F$106,$C98,'WBS(基本設計)'!$J$7:$J$106)</f>
        <v>4</v>
      </c>
      <c r="M98">
        <f>SUMIFS('WBS(基本設計)'!$J$7:$J$106,'WBS(基本設計)'!$F$7:$F$106,$C98,'WBS(基本設計)'!$O$7:$O$106,"対象")</f>
        <v>4</v>
      </c>
      <c r="N98" t="str">
        <f t="shared" si="1"/>
        <v>要確認</v>
      </c>
    </row>
    <row r="99" spans="1:26" s="410" customFormat="1">
      <c r="A99" s="406" t="s">
        <v>7294</v>
      </c>
      <c r="B99" s="406" t="s">
        <v>7293</v>
      </c>
      <c r="C99" s="406" t="s">
        <v>7345</v>
      </c>
      <c r="D99" s="406" t="s">
        <v>7452</v>
      </c>
      <c r="E99" s="406" t="s">
        <v>7626</v>
      </c>
      <c r="F99" s="412" t="s">
        <v>4696</v>
      </c>
      <c r="G99" s="412" t="s">
        <v>3214</v>
      </c>
      <c r="H99" s="411">
        <v>4</v>
      </c>
      <c r="I99" s="411">
        <v>12</v>
      </c>
      <c r="J99" s="411">
        <v>9</v>
      </c>
      <c r="K99">
        <f>COUNTIF('WBS(基本設計)'!$F$7:$F$106,$C99)</f>
        <v>2</v>
      </c>
      <c r="L99">
        <f>SUMIF('WBS(基本設計)'!$F$7:$F$106,$C99,'WBS(基本設計)'!$J$7:$J$106)</f>
        <v>2</v>
      </c>
      <c r="M99">
        <f>SUMIFS('WBS(基本設計)'!$J$7:$J$106,'WBS(基本設計)'!$F$7:$F$106,$C99,'WBS(基本設計)'!$O$7:$O$106,"対象")</f>
        <v>2</v>
      </c>
      <c r="N99" t="str">
        <f t="shared" si="1"/>
        <v>要確認</v>
      </c>
      <c r="O99"/>
      <c r="P99"/>
      <c r="Q99"/>
      <c r="R99"/>
      <c r="S99"/>
      <c r="T99"/>
      <c r="U99"/>
      <c r="V99"/>
      <c r="W99"/>
      <c r="X99"/>
      <c r="Y99"/>
      <c r="Z99"/>
    </row>
    <row r="100" spans="1:26" s="410" customFormat="1" ht="48" customHeight="1">
      <c r="A100" s="406" t="s">
        <v>7294</v>
      </c>
      <c r="B100" s="406" t="s">
        <v>7293</v>
      </c>
      <c r="C100" s="406" t="s">
        <v>7359</v>
      </c>
      <c r="D100" s="406" t="s">
        <v>7463</v>
      </c>
      <c r="E100" s="406" t="s">
        <v>7627</v>
      </c>
      <c r="F100" s="412" t="s">
        <v>4696</v>
      </c>
      <c r="G100" s="412" t="s">
        <v>3214</v>
      </c>
      <c r="H100" s="411">
        <v>4</v>
      </c>
      <c r="I100" s="411">
        <v>8</v>
      </c>
      <c r="J100" s="411">
        <v>6</v>
      </c>
      <c r="K100">
        <f>COUNTIF('WBS(基本設計)'!$F$7:$F$106,$C100)</f>
        <v>1</v>
      </c>
      <c r="L100">
        <f>SUMIF('WBS(基本設計)'!$F$7:$F$106,$C100,'WBS(基本設計)'!$J$7:$J$106)</f>
        <v>4</v>
      </c>
      <c r="M100">
        <f>SUMIFS('WBS(基本設計)'!$J$7:$J$106,'WBS(基本設計)'!$F$7:$F$106,$C100,'WBS(基本設計)'!$O$7:$O$106,"対象")</f>
        <v>4</v>
      </c>
      <c r="N100" t="str">
        <f t="shared" si="1"/>
        <v>要確認</v>
      </c>
      <c r="O100"/>
      <c r="P100"/>
      <c r="Q100"/>
      <c r="R100"/>
      <c r="S100"/>
      <c r="T100"/>
      <c r="U100"/>
      <c r="V100"/>
      <c r="W100"/>
      <c r="X100"/>
      <c r="Y100"/>
      <c r="Z100"/>
    </row>
    <row r="101" spans="1:26">
      <c r="A101" s="406" t="s">
        <v>7294</v>
      </c>
      <c r="B101" s="406" t="s">
        <v>7293</v>
      </c>
      <c r="C101" s="406" t="s">
        <v>7425</v>
      </c>
      <c r="D101" s="406" t="s">
        <v>7520</v>
      </c>
      <c r="E101" s="406" t="s">
        <v>7628</v>
      </c>
      <c r="F101" s="412" t="s">
        <v>4696</v>
      </c>
      <c r="G101" s="412" t="s">
        <v>3214</v>
      </c>
      <c r="H101" s="411">
        <v>1</v>
      </c>
      <c r="I101" s="411">
        <v>3</v>
      </c>
      <c r="J101" s="411">
        <v>3</v>
      </c>
      <c r="K101">
        <f>COUNTIF('WBS(基本設計)'!$F$7:$F$106,$C101)</f>
        <v>1</v>
      </c>
      <c r="L101">
        <f>SUMIF('WBS(基本設計)'!$F$7:$F$106,$C101,'WBS(基本設計)'!$J$7:$J$106)</f>
        <v>1</v>
      </c>
      <c r="M101">
        <f>SUMIFS('WBS(基本設計)'!$J$7:$J$106,'WBS(基本設計)'!$F$7:$F$106,$C101,'WBS(基本設計)'!$O$7:$O$106,"対象")</f>
        <v>1</v>
      </c>
      <c r="N101" t="str">
        <f t="shared" si="1"/>
        <v>要確認</v>
      </c>
    </row>
    <row r="102" spans="1:26">
      <c r="A102" s="406" t="s">
        <v>7294</v>
      </c>
      <c r="B102" s="406" t="s">
        <v>7293</v>
      </c>
      <c r="C102" s="406" t="s">
        <v>7350</v>
      </c>
      <c r="D102" s="406" t="s">
        <v>7457</v>
      </c>
      <c r="E102" s="406" t="s">
        <v>7629</v>
      </c>
      <c r="F102" s="412" t="s">
        <v>4696</v>
      </c>
      <c r="G102" s="412" t="s">
        <v>3214</v>
      </c>
      <c r="H102" s="411">
        <v>5</v>
      </c>
      <c r="I102" s="411">
        <v>3.5</v>
      </c>
      <c r="J102" s="411">
        <v>3</v>
      </c>
      <c r="K102">
        <f>COUNTIF('WBS(基本設計)'!$F$7:$F$106,$C102)</f>
        <v>0</v>
      </c>
      <c r="L102">
        <f>SUMIF('WBS(基本設計)'!$F$7:$F$106,$C102,'WBS(基本設計)'!$J$7:$J$106)</f>
        <v>0</v>
      </c>
      <c r="M102">
        <f>SUMIFS('WBS(基本設計)'!$J$7:$J$106,'WBS(基本設計)'!$F$7:$F$106,$C102,'WBS(基本設計)'!$O$7:$O$106,"対象")</f>
        <v>0</v>
      </c>
      <c r="N102" t="str">
        <f t="shared" si="1"/>
        <v>要確認</v>
      </c>
    </row>
    <row r="103" spans="1:26">
      <c r="A103" s="406" t="s">
        <v>7294</v>
      </c>
      <c r="B103" s="406" t="s">
        <v>7296</v>
      </c>
      <c r="C103" s="406" t="s">
        <v>7368</v>
      </c>
      <c r="D103" s="406" t="s">
        <v>7472</v>
      </c>
      <c r="E103" s="406" t="s">
        <v>7630</v>
      </c>
      <c r="F103" s="412" t="s">
        <v>4696</v>
      </c>
      <c r="G103" s="412" t="s">
        <v>3214</v>
      </c>
      <c r="H103" s="411">
        <v>3</v>
      </c>
      <c r="I103" s="411">
        <v>8</v>
      </c>
      <c r="J103" s="411">
        <v>8</v>
      </c>
      <c r="K103">
        <f>COUNTIF('WBS(基本設計)'!$F$7:$F$106,$C103)</f>
        <v>1</v>
      </c>
      <c r="L103">
        <f>SUMIF('WBS(基本設計)'!$F$7:$F$106,$C103,'WBS(基本設計)'!$J$7:$J$106)</f>
        <v>4</v>
      </c>
      <c r="M103">
        <f>SUMIFS('WBS(基本設計)'!$J$7:$J$106,'WBS(基本設計)'!$F$7:$F$106,$C103,'WBS(基本設計)'!$O$7:$O$106,"対象")</f>
        <v>4</v>
      </c>
      <c r="N103" t="str">
        <f t="shared" si="1"/>
        <v>要確認</v>
      </c>
    </row>
    <row r="104" spans="1:26" s="410" customFormat="1">
      <c r="A104" s="406" t="s">
        <v>7294</v>
      </c>
      <c r="B104" s="406" t="s">
        <v>7296</v>
      </c>
      <c r="C104" s="406" t="s">
        <v>7330</v>
      </c>
      <c r="D104" s="406" t="s">
        <v>7441</v>
      </c>
      <c r="E104" s="406" t="s">
        <v>7631</v>
      </c>
      <c r="F104" s="412" t="s">
        <v>4696</v>
      </c>
      <c r="G104" s="412" t="s">
        <v>3214</v>
      </c>
      <c r="H104" s="411">
        <v>2</v>
      </c>
      <c r="I104" s="411">
        <v>4.5</v>
      </c>
      <c r="J104" s="411">
        <v>4.5</v>
      </c>
      <c r="K104">
        <f>COUNTIF('WBS(基本設計)'!$F$7:$F$106,$C104)</f>
        <v>2</v>
      </c>
      <c r="L104">
        <f>SUMIF('WBS(基本設計)'!$F$7:$F$106,$C104,'WBS(基本設計)'!$J$7:$J$106)</f>
        <v>5</v>
      </c>
      <c r="M104">
        <f>SUMIFS('WBS(基本設計)'!$J$7:$J$106,'WBS(基本設計)'!$F$7:$F$106,$C104,'WBS(基本設計)'!$O$7:$O$106,"対象")</f>
        <v>5</v>
      </c>
      <c r="N104" t="str">
        <f t="shared" si="1"/>
        <v>要確認</v>
      </c>
      <c r="O104"/>
      <c r="P104"/>
      <c r="Q104"/>
      <c r="R104"/>
      <c r="S104"/>
      <c r="T104"/>
      <c r="U104"/>
      <c r="V104"/>
      <c r="W104"/>
      <c r="X104"/>
      <c r="Y104"/>
      <c r="Z104"/>
    </row>
    <row r="105" spans="1:26" s="410" customFormat="1">
      <c r="A105" s="406" t="s">
        <v>7294</v>
      </c>
      <c r="B105" s="406" t="s">
        <v>7296</v>
      </c>
      <c r="C105" s="406" t="s">
        <v>7352</v>
      </c>
      <c r="D105" s="406" t="s">
        <v>7458</v>
      </c>
      <c r="E105" s="406" t="s">
        <v>7632</v>
      </c>
      <c r="F105" s="412" t="s">
        <v>4696</v>
      </c>
      <c r="G105" s="412" t="s">
        <v>3214</v>
      </c>
      <c r="H105" s="411">
        <v>5</v>
      </c>
      <c r="I105" s="411">
        <v>5.5</v>
      </c>
      <c r="J105" s="411">
        <v>5.5</v>
      </c>
      <c r="K105">
        <f>COUNTIF('WBS(基本設計)'!$F$7:$F$106,$C105)</f>
        <v>3</v>
      </c>
      <c r="L105">
        <f>SUMIF('WBS(基本設計)'!$F$7:$F$106,$C105,'WBS(基本設計)'!$J$7:$J$106)</f>
        <v>3</v>
      </c>
      <c r="M105">
        <f>SUMIFS('WBS(基本設計)'!$J$7:$J$106,'WBS(基本設計)'!$F$7:$F$106,$C105,'WBS(基本設計)'!$O$7:$O$106,"対象")</f>
        <v>3</v>
      </c>
      <c r="N105" t="str">
        <f t="shared" si="1"/>
        <v>要確認</v>
      </c>
      <c r="O105"/>
      <c r="P105"/>
      <c r="Q105"/>
      <c r="R105"/>
      <c r="S105"/>
      <c r="T105"/>
      <c r="U105"/>
      <c r="V105"/>
      <c r="W105"/>
      <c r="X105"/>
      <c r="Y105"/>
      <c r="Z105"/>
    </row>
    <row r="106" spans="1:26">
      <c r="A106" s="406" t="s">
        <v>7294</v>
      </c>
      <c r="B106" s="406" t="s">
        <v>7296</v>
      </c>
      <c r="C106" s="406" t="s">
        <v>7363</v>
      </c>
      <c r="D106" s="406" t="s">
        <v>7467</v>
      </c>
      <c r="E106" s="406" t="s">
        <v>7633</v>
      </c>
      <c r="F106" s="412" t="s">
        <v>4696</v>
      </c>
      <c r="G106" s="412" t="s">
        <v>3214</v>
      </c>
      <c r="H106" s="411">
        <v>1</v>
      </c>
      <c r="I106" s="411">
        <v>4</v>
      </c>
      <c r="J106" s="411">
        <v>4</v>
      </c>
      <c r="K106">
        <f>COUNTIF('WBS(基本設計)'!$F$7:$F$106,$C106)</f>
        <v>1</v>
      </c>
      <c r="L106">
        <f>SUMIF('WBS(基本設計)'!$F$7:$F$106,$C106,'WBS(基本設計)'!$J$7:$J$106)</f>
        <v>4</v>
      </c>
      <c r="M106">
        <f>SUMIFS('WBS(基本設計)'!$J$7:$J$106,'WBS(基本設計)'!$F$7:$F$106,$C106,'WBS(基本設計)'!$O$7:$O$106,"対象")</f>
        <v>4</v>
      </c>
      <c r="N106" t="str">
        <f t="shared" si="1"/>
        <v/>
      </c>
    </row>
    <row r="107" spans="1:26">
      <c r="A107" s="406" t="s">
        <v>7294</v>
      </c>
      <c r="B107" s="406" t="s">
        <v>7298</v>
      </c>
      <c r="C107" s="406" t="s">
        <v>7348</v>
      </c>
      <c r="D107" s="406" t="s">
        <v>7455</v>
      </c>
      <c r="E107" s="406" t="s">
        <v>7634</v>
      </c>
      <c r="F107" s="412" t="s">
        <v>4696</v>
      </c>
      <c r="G107" s="412" t="s">
        <v>3214</v>
      </c>
      <c r="H107" s="411">
        <v>12</v>
      </c>
      <c r="I107" s="411">
        <v>22</v>
      </c>
      <c r="J107" s="411">
        <v>2.5</v>
      </c>
      <c r="K107">
        <f>COUNTIF('WBS(基本設計)'!$F$7:$F$106,$C107)</f>
        <v>7</v>
      </c>
      <c r="L107">
        <f>SUMIF('WBS(基本設計)'!$F$7:$F$106,$C107,'WBS(基本設計)'!$J$7:$J$106)</f>
        <v>11.5</v>
      </c>
      <c r="M107">
        <f>SUMIFS('WBS(基本設計)'!$J$7:$J$106,'WBS(基本設計)'!$F$7:$F$106,$C107,'WBS(基本設計)'!$O$7:$O$106,"対象")</f>
        <v>0</v>
      </c>
      <c r="N107" t="str">
        <f t="shared" si="1"/>
        <v>要確認</v>
      </c>
    </row>
    <row r="108" spans="1:26">
      <c r="A108" s="406" t="s">
        <v>7294</v>
      </c>
      <c r="B108" s="406" t="s">
        <v>7298</v>
      </c>
      <c r="C108" s="406" t="s">
        <v>7375</v>
      </c>
      <c r="D108" s="406" t="s">
        <v>7480</v>
      </c>
      <c r="E108" s="406" t="s">
        <v>7635</v>
      </c>
      <c r="F108" s="412" t="s">
        <v>4696</v>
      </c>
      <c r="G108" s="412" t="s">
        <v>3214</v>
      </c>
      <c r="H108" s="411">
        <v>1</v>
      </c>
      <c r="I108" s="411">
        <v>2</v>
      </c>
      <c r="J108" s="411">
        <v>2</v>
      </c>
      <c r="K108">
        <f>COUNTIF('WBS(基本設計)'!$F$7:$F$106,$C108)</f>
        <v>1</v>
      </c>
      <c r="L108">
        <f>SUMIF('WBS(基本設計)'!$F$7:$F$106,$C108,'WBS(基本設計)'!$J$7:$J$106)</f>
        <v>2</v>
      </c>
      <c r="M108">
        <f>SUMIFS('WBS(基本設計)'!$J$7:$J$106,'WBS(基本設計)'!$F$7:$F$106,$C108,'WBS(基本設計)'!$O$7:$O$106,"対象")</f>
        <v>2</v>
      </c>
      <c r="N108" t="str">
        <f t="shared" si="1"/>
        <v/>
      </c>
    </row>
    <row r="109" spans="1:26">
      <c r="A109" s="406" t="s">
        <v>7294</v>
      </c>
      <c r="B109" s="406" t="s">
        <v>7298</v>
      </c>
      <c r="C109" s="406" t="s">
        <v>7433</v>
      </c>
      <c r="D109" s="406" t="s">
        <v>7528</v>
      </c>
      <c r="E109" s="406" t="s">
        <v>7636</v>
      </c>
      <c r="F109" s="412" t="s">
        <v>4696</v>
      </c>
      <c r="G109" s="412" t="s">
        <v>3214</v>
      </c>
      <c r="H109" s="411">
        <v>2</v>
      </c>
      <c r="I109" s="411">
        <v>5</v>
      </c>
      <c r="J109" s="411">
        <v>5</v>
      </c>
      <c r="K109">
        <f>COUNTIF('WBS(基本設計)'!$F$7:$F$106,$C109)</f>
        <v>1</v>
      </c>
      <c r="L109">
        <f>SUMIF('WBS(基本設計)'!$F$7:$F$106,$C109,'WBS(基本設計)'!$J$7:$J$106)</f>
        <v>1</v>
      </c>
      <c r="M109">
        <f>SUMIFS('WBS(基本設計)'!$J$7:$J$106,'WBS(基本設計)'!$F$7:$F$106,$C109,'WBS(基本設計)'!$O$7:$O$106,"対象")</f>
        <v>1</v>
      </c>
      <c r="N109" t="str">
        <f t="shared" si="1"/>
        <v>要確認</v>
      </c>
    </row>
    <row r="110" spans="1:26">
      <c r="A110" s="406" t="s">
        <v>7294</v>
      </c>
      <c r="B110" s="406" t="s">
        <v>7300</v>
      </c>
      <c r="C110" s="406" t="s">
        <v>7339</v>
      </c>
      <c r="D110" s="406" t="s">
        <v>7446</v>
      </c>
      <c r="E110" s="406" t="s">
        <v>7637</v>
      </c>
      <c r="F110" s="412" t="s">
        <v>4696</v>
      </c>
      <c r="G110" s="412" t="s">
        <v>3214</v>
      </c>
      <c r="H110" s="411">
        <v>6</v>
      </c>
      <c r="I110" s="411">
        <v>11.5</v>
      </c>
      <c r="J110" s="411">
        <v>11.5</v>
      </c>
      <c r="K110">
        <f>COUNTIF('WBS(基本設計)'!$F$7:$F$106,$C110)</f>
        <v>2</v>
      </c>
      <c r="L110">
        <f>SUMIF('WBS(基本設計)'!$F$7:$F$106,$C110,'WBS(基本設計)'!$J$7:$J$106)</f>
        <v>4</v>
      </c>
      <c r="M110">
        <f>SUMIFS('WBS(基本設計)'!$J$7:$J$106,'WBS(基本設計)'!$F$7:$F$106,$C110,'WBS(基本設計)'!$O$7:$O$106,"対象")</f>
        <v>4</v>
      </c>
      <c r="N110" t="str">
        <f t="shared" si="1"/>
        <v>要確認</v>
      </c>
    </row>
    <row r="111" spans="1:26" s="410" customFormat="1">
      <c r="A111" s="406" t="s">
        <v>7294</v>
      </c>
      <c r="B111" s="406" t="s">
        <v>7300</v>
      </c>
      <c r="C111" s="406" t="s">
        <v>7366</v>
      </c>
      <c r="D111" s="406" t="s">
        <v>7470</v>
      </c>
      <c r="E111" s="406" t="s">
        <v>7638</v>
      </c>
      <c r="F111" s="412" t="s">
        <v>4696</v>
      </c>
      <c r="G111" s="412" t="s">
        <v>3214</v>
      </c>
      <c r="H111" s="411">
        <v>6</v>
      </c>
      <c r="I111" s="411">
        <v>8</v>
      </c>
      <c r="J111" s="411">
        <v>8</v>
      </c>
      <c r="K111">
        <f>COUNTIF('WBS(基本設計)'!$F$7:$F$106,$C111)</f>
        <v>3</v>
      </c>
      <c r="L111">
        <f>SUMIF('WBS(基本設計)'!$F$7:$F$106,$C111,'WBS(基本設計)'!$J$7:$J$106)</f>
        <v>3</v>
      </c>
      <c r="M111">
        <f>SUMIFS('WBS(基本設計)'!$J$7:$J$106,'WBS(基本設計)'!$F$7:$F$106,$C111,'WBS(基本設計)'!$O$7:$O$106,"対象")</f>
        <v>3</v>
      </c>
      <c r="N111" t="str">
        <f t="shared" si="1"/>
        <v>要確認</v>
      </c>
      <c r="O111"/>
      <c r="P111"/>
      <c r="Q111"/>
      <c r="R111"/>
      <c r="S111"/>
      <c r="T111"/>
      <c r="U111"/>
      <c r="V111"/>
      <c r="W111"/>
      <c r="X111"/>
      <c r="Y111"/>
      <c r="Z111"/>
    </row>
    <row r="112" spans="1:26" s="410" customFormat="1">
      <c r="A112" s="406" t="s">
        <v>7294</v>
      </c>
      <c r="B112" s="406" t="s">
        <v>7300</v>
      </c>
      <c r="C112" s="406" t="s">
        <v>7387</v>
      </c>
      <c r="D112" s="406" t="s">
        <v>7492</v>
      </c>
      <c r="E112" s="406" t="s">
        <v>7639</v>
      </c>
      <c r="F112" s="412" t="s">
        <v>4696</v>
      </c>
      <c r="G112" s="412" t="s">
        <v>3214</v>
      </c>
      <c r="H112" s="411">
        <v>2</v>
      </c>
      <c r="I112" s="411">
        <v>3</v>
      </c>
      <c r="J112" s="411">
        <v>3</v>
      </c>
      <c r="K112">
        <f>COUNTIF('WBS(基本設計)'!$F$7:$F$106,$C112)</f>
        <v>1</v>
      </c>
      <c r="L112">
        <f>SUMIF('WBS(基本設計)'!$F$7:$F$106,$C112,'WBS(基本設計)'!$J$7:$J$106)</f>
        <v>3</v>
      </c>
      <c r="M112">
        <f>SUMIFS('WBS(基本設計)'!$J$7:$J$106,'WBS(基本設計)'!$F$7:$F$106,$C112,'WBS(基本設計)'!$O$7:$O$106,"対象")</f>
        <v>3</v>
      </c>
      <c r="N112" t="str">
        <f t="shared" si="1"/>
        <v>要確認</v>
      </c>
      <c r="O112"/>
      <c r="P112"/>
      <c r="Q112"/>
      <c r="R112"/>
      <c r="S112"/>
      <c r="T112"/>
      <c r="U112"/>
      <c r="V112"/>
      <c r="W112"/>
      <c r="X112"/>
      <c r="Y112"/>
      <c r="Z112"/>
    </row>
    <row r="113" spans="1:26" s="410" customFormat="1">
      <c r="A113" s="406" t="s">
        <v>7294</v>
      </c>
      <c r="B113" s="406" t="s">
        <v>7302</v>
      </c>
      <c r="C113" s="406" t="s">
        <v>7423</v>
      </c>
      <c r="D113" s="406" t="s">
        <v>7518</v>
      </c>
      <c r="E113" s="406" t="s">
        <v>7640</v>
      </c>
      <c r="F113" s="412" t="s">
        <v>4696</v>
      </c>
      <c r="G113" s="412" t="s">
        <v>3214</v>
      </c>
      <c r="H113" s="411">
        <v>4</v>
      </c>
      <c r="I113" s="411">
        <v>8</v>
      </c>
      <c r="J113" s="411">
        <v>8</v>
      </c>
      <c r="K113">
        <f>COUNTIF('WBS(基本設計)'!$F$7:$F$106,$C113)</f>
        <v>3</v>
      </c>
      <c r="L113">
        <f>SUMIF('WBS(基本設計)'!$F$7:$F$106,$C113,'WBS(基本設計)'!$J$7:$J$106)</f>
        <v>3</v>
      </c>
      <c r="M113">
        <f>SUMIFS('WBS(基本設計)'!$J$7:$J$106,'WBS(基本設計)'!$F$7:$F$106,$C113,'WBS(基本設計)'!$O$7:$O$106,"対象")</f>
        <v>3</v>
      </c>
      <c r="N113" t="str">
        <f t="shared" si="1"/>
        <v>要確認</v>
      </c>
      <c r="O113"/>
      <c r="P113"/>
      <c r="Q113"/>
      <c r="R113"/>
      <c r="S113"/>
      <c r="T113"/>
      <c r="U113"/>
      <c r="V113"/>
      <c r="W113"/>
      <c r="X113"/>
      <c r="Y113"/>
      <c r="Z113"/>
    </row>
    <row r="114" spans="1:26" s="410" customFormat="1" ht="51" customHeight="1">
      <c r="A114" s="406" t="s">
        <v>7294</v>
      </c>
      <c r="B114" s="406" t="s">
        <v>7302</v>
      </c>
      <c r="C114" s="406" t="s">
        <v>7377</v>
      </c>
      <c r="D114" s="406" t="s">
        <v>7482</v>
      </c>
      <c r="E114" s="406" t="s">
        <v>7641</v>
      </c>
      <c r="F114" s="412" t="s">
        <v>4696</v>
      </c>
      <c r="G114" s="412" t="s">
        <v>3214</v>
      </c>
      <c r="H114" s="411">
        <v>1</v>
      </c>
      <c r="I114" s="411">
        <v>2</v>
      </c>
      <c r="J114" s="411">
        <v>2</v>
      </c>
      <c r="K114">
        <f>COUNTIF('WBS(基本設計)'!$F$7:$F$106,$C114)</f>
        <v>1</v>
      </c>
      <c r="L114">
        <f>SUMIF('WBS(基本設計)'!$F$7:$F$106,$C114,'WBS(基本設計)'!$J$7:$J$106)</f>
        <v>1</v>
      </c>
      <c r="M114">
        <f>SUMIFS('WBS(基本設計)'!$J$7:$J$106,'WBS(基本設計)'!$F$7:$F$106,$C114,'WBS(基本設計)'!$O$7:$O$106,"対象")</f>
        <v>1</v>
      </c>
      <c r="N114" t="str">
        <f t="shared" si="1"/>
        <v>要確認</v>
      </c>
      <c r="O114"/>
      <c r="P114"/>
      <c r="Q114"/>
      <c r="R114"/>
      <c r="S114"/>
      <c r="T114"/>
      <c r="U114"/>
      <c r="V114"/>
      <c r="W114"/>
      <c r="X114"/>
      <c r="Y114"/>
      <c r="Z114"/>
    </row>
    <row r="115" spans="1:26">
      <c r="A115" s="406" t="s">
        <v>7294</v>
      </c>
      <c r="B115" s="406" t="s">
        <v>7302</v>
      </c>
      <c r="C115" s="406" t="s">
        <v>7371</v>
      </c>
      <c r="D115" s="406" t="s">
        <v>7476</v>
      </c>
      <c r="E115" s="406" t="s">
        <v>7642</v>
      </c>
      <c r="F115" s="412" t="s">
        <v>4696</v>
      </c>
      <c r="G115" s="412" t="s">
        <v>3214</v>
      </c>
      <c r="H115" s="411">
        <v>4</v>
      </c>
      <c r="I115" s="411">
        <v>7.5</v>
      </c>
      <c r="J115" s="411">
        <v>7.5</v>
      </c>
      <c r="K115">
        <f>COUNTIF('WBS(基本設計)'!$F$7:$F$106,$C115)</f>
        <v>0</v>
      </c>
      <c r="L115">
        <f>SUMIF('WBS(基本設計)'!$F$7:$F$106,$C115,'WBS(基本設計)'!$J$7:$J$106)</f>
        <v>0</v>
      </c>
      <c r="M115">
        <f>SUMIFS('WBS(基本設計)'!$J$7:$J$106,'WBS(基本設計)'!$F$7:$F$106,$C115,'WBS(基本設計)'!$O$7:$O$106,"対象")</f>
        <v>0</v>
      </c>
      <c r="N115" t="str">
        <f t="shared" si="1"/>
        <v>要確認</v>
      </c>
    </row>
    <row r="116" spans="1:26" s="410" customFormat="1">
      <c r="A116" s="406" t="s">
        <v>7294</v>
      </c>
      <c r="B116" s="406" t="s">
        <v>7302</v>
      </c>
      <c r="C116" s="406" t="s">
        <v>7372</v>
      </c>
      <c r="D116" s="406" t="s">
        <v>7478</v>
      </c>
      <c r="E116" s="406" t="s">
        <v>7643</v>
      </c>
      <c r="F116" s="412" t="s">
        <v>4696</v>
      </c>
      <c r="G116" s="412" t="s">
        <v>3214</v>
      </c>
      <c r="H116" s="411">
        <v>1</v>
      </c>
      <c r="I116" s="411">
        <v>1.5</v>
      </c>
      <c r="J116" s="411">
        <v>1.5</v>
      </c>
      <c r="K116">
        <f>COUNTIF('WBS(基本設計)'!$F$7:$F$106,$C116)</f>
        <v>1</v>
      </c>
      <c r="L116">
        <f>SUMIF('WBS(基本設計)'!$F$7:$F$106,$C116,'WBS(基本設計)'!$J$7:$J$106)</f>
        <v>0.5</v>
      </c>
      <c r="M116">
        <f>SUMIFS('WBS(基本設計)'!$J$7:$J$106,'WBS(基本設計)'!$F$7:$F$106,$C116,'WBS(基本設計)'!$O$7:$O$106,"対象")</f>
        <v>0.5</v>
      </c>
      <c r="N116" t="str">
        <f t="shared" si="1"/>
        <v>要確認</v>
      </c>
      <c r="O116"/>
      <c r="P116"/>
      <c r="Q116"/>
      <c r="R116"/>
      <c r="S116"/>
      <c r="T116"/>
      <c r="U116"/>
      <c r="V116"/>
      <c r="W116"/>
      <c r="X116"/>
      <c r="Y116"/>
      <c r="Z116"/>
    </row>
    <row r="117" spans="1:26" s="410" customFormat="1">
      <c r="A117" s="406" t="s">
        <v>7294</v>
      </c>
      <c r="B117" s="406" t="s">
        <v>7302</v>
      </c>
      <c r="C117" s="406" t="s">
        <v>7341</v>
      </c>
      <c r="D117" s="406" t="s">
        <v>7448</v>
      </c>
      <c r="E117" s="406" t="s">
        <v>7644</v>
      </c>
      <c r="F117" s="412" t="s">
        <v>4696</v>
      </c>
      <c r="G117" s="412" t="s">
        <v>3214</v>
      </c>
      <c r="H117" s="411">
        <v>7</v>
      </c>
      <c r="I117" s="411">
        <v>16</v>
      </c>
      <c r="J117" s="411">
        <v>7</v>
      </c>
      <c r="K117">
        <f>COUNTIF('WBS(基本設計)'!$F$7:$F$106,$C117)</f>
        <v>2</v>
      </c>
      <c r="L117">
        <f>SUMIF('WBS(基本設計)'!$F$7:$F$106,$C117,'WBS(基本設計)'!$J$7:$J$106)</f>
        <v>5</v>
      </c>
      <c r="M117">
        <f>SUMIFS('WBS(基本設計)'!$J$7:$J$106,'WBS(基本設計)'!$F$7:$F$106,$C117,'WBS(基本設計)'!$O$7:$O$106,"対象")</f>
        <v>5</v>
      </c>
      <c r="N117" t="str">
        <f t="shared" si="1"/>
        <v>要確認</v>
      </c>
      <c r="O117"/>
      <c r="P117"/>
      <c r="Q117"/>
      <c r="R117"/>
      <c r="S117"/>
      <c r="T117"/>
      <c r="U117"/>
      <c r="V117"/>
      <c r="W117"/>
      <c r="X117"/>
      <c r="Y117"/>
      <c r="Z117"/>
    </row>
    <row r="118" spans="1:26" s="410" customFormat="1">
      <c r="A118" s="406" t="s">
        <v>7294</v>
      </c>
      <c r="B118" s="406" t="s">
        <v>7302</v>
      </c>
      <c r="C118" s="406" t="s">
        <v>7422</v>
      </c>
      <c r="D118" s="406" t="s">
        <v>7517</v>
      </c>
      <c r="E118" s="406" t="s">
        <v>7645</v>
      </c>
      <c r="F118" s="412" t="s">
        <v>4696</v>
      </c>
      <c r="G118" s="412" t="s">
        <v>3214</v>
      </c>
      <c r="H118" s="411">
        <v>5</v>
      </c>
      <c r="I118" s="411">
        <v>10</v>
      </c>
      <c r="J118" s="411">
        <v>7.5</v>
      </c>
      <c r="K118">
        <f>COUNTIF('WBS(基本設計)'!$F$7:$F$106,$C118)</f>
        <v>0</v>
      </c>
      <c r="L118">
        <f>SUMIF('WBS(基本設計)'!$F$7:$F$106,$C118,'WBS(基本設計)'!$J$7:$J$106)</f>
        <v>0</v>
      </c>
      <c r="M118">
        <f>SUMIFS('WBS(基本設計)'!$J$7:$J$106,'WBS(基本設計)'!$F$7:$F$106,$C118,'WBS(基本設計)'!$O$7:$O$106,"対象")</f>
        <v>0</v>
      </c>
      <c r="N118" t="str">
        <f t="shared" si="1"/>
        <v>要確認</v>
      </c>
      <c r="O118"/>
      <c r="P118"/>
      <c r="Q118"/>
      <c r="R118"/>
      <c r="S118"/>
      <c r="T118"/>
      <c r="U118"/>
      <c r="V118"/>
      <c r="W118"/>
      <c r="X118"/>
      <c r="Y118"/>
      <c r="Z118"/>
    </row>
    <row r="119" spans="1:26" s="410" customFormat="1">
      <c r="A119" s="406" t="s">
        <v>7294</v>
      </c>
      <c r="B119" s="406" t="s">
        <v>7302</v>
      </c>
      <c r="C119" s="406" t="s">
        <v>7365</v>
      </c>
      <c r="D119" s="406" t="s">
        <v>7469</v>
      </c>
      <c r="E119" s="406" t="s">
        <v>7646</v>
      </c>
      <c r="F119" s="412" t="s">
        <v>4696</v>
      </c>
      <c r="G119" s="412" t="s">
        <v>3214</v>
      </c>
      <c r="H119" s="411">
        <v>1</v>
      </c>
      <c r="I119" s="411">
        <v>1</v>
      </c>
      <c r="J119" s="411">
        <v>1</v>
      </c>
      <c r="K119">
        <f>COUNTIF('WBS(基本設計)'!$F$7:$F$106,$C119)</f>
        <v>0</v>
      </c>
      <c r="L119">
        <f>SUMIF('WBS(基本設計)'!$F$7:$F$106,$C119,'WBS(基本設計)'!$J$7:$J$106)</f>
        <v>0</v>
      </c>
      <c r="M119">
        <f>SUMIFS('WBS(基本設計)'!$J$7:$J$106,'WBS(基本設計)'!$F$7:$F$106,$C119,'WBS(基本設計)'!$O$7:$O$106,"対象")</f>
        <v>0</v>
      </c>
      <c r="N119" t="str">
        <f t="shared" si="1"/>
        <v>要確認</v>
      </c>
      <c r="O119"/>
      <c r="P119"/>
      <c r="Q119"/>
      <c r="R119"/>
      <c r="S119"/>
      <c r="T119"/>
      <c r="U119"/>
      <c r="V119"/>
      <c r="W119"/>
      <c r="X119"/>
      <c r="Y119"/>
      <c r="Z119"/>
    </row>
    <row r="120" spans="1:26" s="410" customFormat="1">
      <c r="A120" s="406" t="s">
        <v>7294</v>
      </c>
      <c r="B120" s="406" t="s">
        <v>7304</v>
      </c>
      <c r="C120" s="406" t="s">
        <v>7361</v>
      </c>
      <c r="D120" s="406" t="s">
        <v>7465</v>
      </c>
      <c r="E120" s="406" t="s">
        <v>7647</v>
      </c>
      <c r="F120" s="412" t="s">
        <v>4696</v>
      </c>
      <c r="G120" s="412" t="s">
        <v>3214</v>
      </c>
      <c r="H120" s="411">
        <v>4</v>
      </c>
      <c r="I120" s="411">
        <v>10</v>
      </c>
      <c r="J120" s="411">
        <v>5</v>
      </c>
      <c r="K120">
        <f>COUNTIF('WBS(基本設計)'!$F$7:$F$106,$C120)</f>
        <v>3</v>
      </c>
      <c r="L120">
        <f>SUMIF('WBS(基本設計)'!$F$7:$F$106,$C120,'WBS(基本設計)'!$J$7:$J$106)</f>
        <v>3</v>
      </c>
      <c r="M120">
        <f>SUMIFS('WBS(基本設計)'!$J$7:$J$106,'WBS(基本設計)'!$F$7:$F$106,$C120,'WBS(基本設計)'!$O$7:$O$106,"対象")</f>
        <v>1</v>
      </c>
      <c r="N120" t="str">
        <f t="shared" si="1"/>
        <v>要確認</v>
      </c>
      <c r="O120"/>
      <c r="P120"/>
      <c r="Q120"/>
      <c r="R120"/>
      <c r="S120"/>
      <c r="T120"/>
      <c r="U120"/>
      <c r="V120"/>
      <c r="W120"/>
      <c r="X120"/>
      <c r="Y120"/>
      <c r="Z120"/>
    </row>
    <row r="121" spans="1:26" s="410" customFormat="1">
      <c r="A121" s="406" t="s">
        <v>7294</v>
      </c>
      <c r="B121" s="406" t="s">
        <v>7304</v>
      </c>
      <c r="C121" s="406" t="s">
        <v>7356</v>
      </c>
      <c r="D121" s="406" t="s">
        <v>7461</v>
      </c>
      <c r="E121" s="406" t="s">
        <v>7648</v>
      </c>
      <c r="F121" s="412" t="s">
        <v>7248</v>
      </c>
      <c r="G121" s="412" t="s">
        <v>7248</v>
      </c>
      <c r="H121" s="411">
        <v>4</v>
      </c>
      <c r="I121" s="411">
        <v>7</v>
      </c>
      <c r="J121" s="411">
        <v>7</v>
      </c>
      <c r="K121">
        <f>COUNTIF('WBS(基本設計)'!$F$7:$F$106,$C121)</f>
        <v>0</v>
      </c>
      <c r="L121">
        <f>SUMIF('WBS(基本設計)'!$F$7:$F$106,$C121,'WBS(基本設計)'!$J$7:$J$106)</f>
        <v>0</v>
      </c>
      <c r="M121">
        <f>SUMIFS('WBS(基本設計)'!$J$7:$J$106,'WBS(基本設計)'!$F$7:$F$106,$C121,'WBS(基本設計)'!$O$7:$O$106,"対象")</f>
        <v>0</v>
      </c>
      <c r="N121" t="str">
        <f t="shared" si="1"/>
        <v>要確認</v>
      </c>
      <c r="O121"/>
      <c r="P121"/>
      <c r="Q121"/>
      <c r="R121"/>
      <c r="S121"/>
      <c r="T121"/>
      <c r="U121"/>
      <c r="V121"/>
      <c r="W121"/>
      <c r="X121"/>
      <c r="Y121"/>
      <c r="Z121"/>
    </row>
    <row r="122" spans="1:26" s="410" customFormat="1">
      <c r="A122" s="406" t="s">
        <v>7294</v>
      </c>
      <c r="B122" s="406" t="s">
        <v>7306</v>
      </c>
      <c r="C122" s="406" t="s">
        <v>7383</v>
      </c>
      <c r="D122" s="406" t="s">
        <v>7488</v>
      </c>
      <c r="E122" s="406" t="s">
        <v>7649</v>
      </c>
      <c r="F122" s="412" t="s">
        <v>7248</v>
      </c>
      <c r="G122" s="412" t="s">
        <v>7248</v>
      </c>
      <c r="H122" s="411">
        <v>8</v>
      </c>
      <c r="I122" s="411">
        <v>15</v>
      </c>
      <c r="J122" s="411">
        <v>13</v>
      </c>
      <c r="K122">
        <f>COUNTIF('WBS(基本設計)'!$F$7:$F$106,$C122)</f>
        <v>2</v>
      </c>
      <c r="L122">
        <f>SUMIF('WBS(基本設計)'!$F$7:$F$106,$C122,'WBS(基本設計)'!$J$7:$J$106)</f>
        <v>3.5</v>
      </c>
      <c r="M122">
        <f>SUMIFS('WBS(基本設計)'!$J$7:$J$106,'WBS(基本設計)'!$F$7:$F$106,$C122,'WBS(基本設計)'!$O$7:$O$106,"対象")</f>
        <v>3.5</v>
      </c>
      <c r="N122" t="str">
        <f t="shared" si="1"/>
        <v>要確認</v>
      </c>
      <c r="O122"/>
      <c r="P122"/>
      <c r="Q122"/>
      <c r="R122"/>
      <c r="S122"/>
      <c r="T122"/>
      <c r="U122"/>
      <c r="V122"/>
      <c r="W122"/>
      <c r="X122"/>
      <c r="Y122"/>
      <c r="Z122"/>
    </row>
    <row r="123" spans="1:26" s="410" customFormat="1">
      <c r="A123" s="406" t="s">
        <v>7294</v>
      </c>
      <c r="B123" s="406" t="s">
        <v>7306</v>
      </c>
      <c r="C123" s="406" t="s">
        <v>7392</v>
      </c>
      <c r="D123" s="406" t="s">
        <v>7497</v>
      </c>
      <c r="E123" s="406" t="s">
        <v>7650</v>
      </c>
      <c r="F123" s="412" t="s">
        <v>7248</v>
      </c>
      <c r="G123" s="412" t="s">
        <v>7248</v>
      </c>
      <c r="H123" s="411">
        <v>9</v>
      </c>
      <c r="I123" s="411">
        <v>15.5</v>
      </c>
      <c r="J123" s="411">
        <v>12</v>
      </c>
      <c r="K123">
        <f>COUNTIF('WBS(基本設計)'!$F$7:$F$106,$C123)</f>
        <v>1</v>
      </c>
      <c r="L123">
        <f>SUMIF('WBS(基本設計)'!$F$7:$F$106,$C123,'WBS(基本設計)'!$J$7:$J$106)</f>
        <v>2</v>
      </c>
      <c r="M123">
        <f>SUMIFS('WBS(基本設計)'!$J$7:$J$106,'WBS(基本設計)'!$F$7:$F$106,$C123,'WBS(基本設計)'!$O$7:$O$106,"対象")</f>
        <v>2</v>
      </c>
      <c r="N123" t="str">
        <f t="shared" si="1"/>
        <v>要確認</v>
      </c>
      <c r="O123"/>
      <c r="P123"/>
      <c r="Q123"/>
      <c r="R123"/>
      <c r="S123"/>
      <c r="T123"/>
      <c r="U123"/>
      <c r="V123"/>
      <c r="W123"/>
      <c r="X123"/>
      <c r="Y123"/>
      <c r="Z123"/>
    </row>
    <row r="124" spans="1:26" s="410" customFormat="1">
      <c r="A124" s="406" t="s">
        <v>7294</v>
      </c>
      <c r="B124" s="406" t="s">
        <v>7306</v>
      </c>
      <c r="C124" s="406" t="s">
        <v>5942</v>
      </c>
      <c r="D124" s="406" t="s">
        <v>7499</v>
      </c>
      <c r="E124" s="406" t="s">
        <v>7651</v>
      </c>
      <c r="F124" s="412" t="s">
        <v>7248</v>
      </c>
      <c r="G124" s="412" t="s">
        <v>7248</v>
      </c>
      <c r="H124" s="411">
        <v>6</v>
      </c>
      <c r="I124" s="411">
        <v>12.5</v>
      </c>
      <c r="J124" s="411">
        <v>12.5</v>
      </c>
      <c r="K124">
        <f>COUNTIF('WBS(基本設計)'!$F$7:$F$106,$C124)</f>
        <v>0</v>
      </c>
      <c r="L124">
        <f>SUMIF('WBS(基本設計)'!$F$7:$F$106,$C124,'WBS(基本設計)'!$J$7:$J$106)</f>
        <v>0</v>
      </c>
      <c r="M124">
        <f>SUMIFS('WBS(基本設計)'!$J$7:$J$106,'WBS(基本設計)'!$F$7:$F$106,$C124,'WBS(基本設計)'!$O$7:$O$106,"対象")</f>
        <v>0</v>
      </c>
      <c r="N124" t="str">
        <f t="shared" si="1"/>
        <v>要確認</v>
      </c>
      <c r="O124"/>
      <c r="P124"/>
      <c r="Q124"/>
      <c r="R124"/>
      <c r="S124"/>
      <c r="T124"/>
      <c r="U124"/>
      <c r="V124"/>
      <c r="W124"/>
      <c r="X124"/>
      <c r="Y124"/>
      <c r="Z124"/>
    </row>
    <row r="125" spans="1:26" s="410" customFormat="1">
      <c r="A125" s="406" t="s">
        <v>7294</v>
      </c>
      <c r="B125" s="406" t="s">
        <v>7306</v>
      </c>
      <c r="C125" s="406" t="s">
        <v>7390</v>
      </c>
      <c r="D125" s="406" t="s">
        <v>7495</v>
      </c>
      <c r="E125" s="406" t="s">
        <v>7652</v>
      </c>
      <c r="F125" s="412" t="s">
        <v>4696</v>
      </c>
      <c r="G125" s="412" t="s">
        <v>3214</v>
      </c>
      <c r="H125" s="411">
        <v>2</v>
      </c>
      <c r="I125" s="411">
        <v>4</v>
      </c>
      <c r="J125" s="411">
        <v>4</v>
      </c>
      <c r="K125">
        <f>COUNTIF('WBS(基本設計)'!$F$7:$F$106,$C125)</f>
        <v>2</v>
      </c>
      <c r="L125">
        <f>SUMIF('WBS(基本設計)'!$F$7:$F$106,$C125,'WBS(基本設計)'!$J$7:$J$106)</f>
        <v>1.5</v>
      </c>
      <c r="M125">
        <f>SUMIFS('WBS(基本設計)'!$J$7:$J$106,'WBS(基本設計)'!$F$7:$F$106,$C125,'WBS(基本設計)'!$O$7:$O$106,"対象")</f>
        <v>1.5</v>
      </c>
      <c r="N125" t="str">
        <f t="shared" si="1"/>
        <v>要確認</v>
      </c>
      <c r="O125"/>
      <c r="P125"/>
      <c r="Q125"/>
      <c r="R125"/>
      <c r="S125"/>
      <c r="T125"/>
      <c r="U125"/>
      <c r="V125"/>
      <c r="W125"/>
      <c r="X125"/>
      <c r="Y125"/>
      <c r="Z125"/>
    </row>
    <row r="126" spans="1:26" s="410" customFormat="1">
      <c r="A126" s="406" t="s">
        <v>7294</v>
      </c>
      <c r="B126" s="406" t="s">
        <v>7308</v>
      </c>
      <c r="C126" s="406" t="s">
        <v>7379</v>
      </c>
      <c r="D126" s="406" t="s">
        <v>7484</v>
      </c>
      <c r="E126" s="406" t="s">
        <v>7653</v>
      </c>
      <c r="F126" s="412" t="s">
        <v>4696</v>
      </c>
      <c r="G126" s="412" t="s">
        <v>3214</v>
      </c>
      <c r="H126" s="411">
        <v>7</v>
      </c>
      <c r="I126" s="411">
        <v>9</v>
      </c>
      <c r="J126" s="411">
        <v>9</v>
      </c>
      <c r="K126">
        <f>COUNTIF('WBS(基本設計)'!$F$7:$F$106,$C126)</f>
        <v>3</v>
      </c>
      <c r="L126">
        <f>SUMIF('WBS(基本設計)'!$F$7:$F$106,$C126,'WBS(基本設計)'!$J$7:$J$106)</f>
        <v>2.5</v>
      </c>
      <c r="M126">
        <f>SUMIFS('WBS(基本設計)'!$J$7:$J$106,'WBS(基本設計)'!$F$7:$F$106,$C126,'WBS(基本設計)'!$O$7:$O$106,"対象")</f>
        <v>2.5</v>
      </c>
      <c r="N126" t="str">
        <f t="shared" si="1"/>
        <v>要確認</v>
      </c>
      <c r="O126"/>
      <c r="P126"/>
      <c r="Q126"/>
      <c r="R126"/>
      <c r="S126"/>
      <c r="T126"/>
      <c r="U126"/>
      <c r="V126"/>
      <c r="W126"/>
      <c r="X126"/>
      <c r="Y126"/>
      <c r="Z126"/>
    </row>
    <row r="127" spans="1:26" s="410" customFormat="1">
      <c r="A127" s="406" t="s">
        <v>7294</v>
      </c>
      <c r="B127" s="406" t="s">
        <v>7308</v>
      </c>
      <c r="C127" s="406" t="s">
        <v>7396</v>
      </c>
      <c r="D127" s="406" t="s">
        <v>7502</v>
      </c>
      <c r="E127" s="406" t="s">
        <v>7654</v>
      </c>
      <c r="F127" s="412" t="s">
        <v>4696</v>
      </c>
      <c r="G127" s="412" t="s">
        <v>3214</v>
      </c>
      <c r="H127" s="411">
        <v>5</v>
      </c>
      <c r="I127" s="411">
        <v>14</v>
      </c>
      <c r="J127" s="411">
        <v>4</v>
      </c>
      <c r="K127">
        <f>COUNTIF('WBS(基本設計)'!$F$7:$F$106,$C127)</f>
        <v>0</v>
      </c>
      <c r="L127">
        <f>SUMIF('WBS(基本設計)'!$F$7:$F$106,$C127,'WBS(基本設計)'!$J$7:$J$106)</f>
        <v>0</v>
      </c>
      <c r="M127">
        <f>SUMIFS('WBS(基本設計)'!$J$7:$J$106,'WBS(基本設計)'!$F$7:$F$106,$C127,'WBS(基本設計)'!$O$7:$O$106,"対象")</f>
        <v>0</v>
      </c>
      <c r="N127" t="str">
        <f t="shared" si="1"/>
        <v>要確認</v>
      </c>
      <c r="O127"/>
      <c r="P127"/>
      <c r="Q127"/>
      <c r="R127"/>
      <c r="S127"/>
      <c r="T127"/>
      <c r="U127"/>
      <c r="V127"/>
      <c r="W127"/>
      <c r="X127"/>
      <c r="Y127"/>
      <c r="Z127"/>
    </row>
    <row r="128" spans="1:26" s="410" customFormat="1">
      <c r="A128" s="406" t="s">
        <v>7294</v>
      </c>
      <c r="B128" s="406" t="s">
        <v>7308</v>
      </c>
      <c r="C128" s="406" t="s">
        <v>7412</v>
      </c>
      <c r="D128" s="406" t="s">
        <v>7508</v>
      </c>
      <c r="E128" s="406" t="s">
        <v>7655</v>
      </c>
      <c r="F128" s="412" t="s">
        <v>7248</v>
      </c>
      <c r="G128" s="412" t="s">
        <v>7248</v>
      </c>
      <c r="H128" s="411">
        <v>5</v>
      </c>
      <c r="I128" s="411">
        <v>6</v>
      </c>
      <c r="J128" s="411">
        <v>6</v>
      </c>
      <c r="K128">
        <f>COUNTIF('WBS(基本設計)'!$F$7:$F$106,$C128)</f>
        <v>0</v>
      </c>
      <c r="L128">
        <f>SUMIF('WBS(基本設計)'!$F$7:$F$106,$C128,'WBS(基本設計)'!$J$7:$J$106)</f>
        <v>0</v>
      </c>
      <c r="M128">
        <f>SUMIFS('WBS(基本設計)'!$J$7:$J$106,'WBS(基本設計)'!$F$7:$F$106,$C128,'WBS(基本設計)'!$O$7:$O$106,"対象")</f>
        <v>0</v>
      </c>
      <c r="N128" t="str">
        <f t="shared" si="1"/>
        <v>要確認</v>
      </c>
      <c r="O128"/>
      <c r="P128"/>
      <c r="Q128"/>
      <c r="R128"/>
      <c r="S128"/>
      <c r="T128"/>
      <c r="U128"/>
      <c r="V128"/>
      <c r="W128"/>
      <c r="X128"/>
      <c r="Y128"/>
      <c r="Z128"/>
    </row>
    <row r="129" spans="1:26" s="410" customFormat="1">
      <c r="A129" s="406" t="s">
        <v>7294</v>
      </c>
      <c r="B129" s="406" t="s">
        <v>7308</v>
      </c>
      <c r="C129" s="406" t="s">
        <v>7416</v>
      </c>
      <c r="D129" s="406" t="s">
        <v>7511</v>
      </c>
      <c r="E129" s="406" t="s">
        <v>7656</v>
      </c>
      <c r="F129" s="412" t="s">
        <v>7248</v>
      </c>
      <c r="G129" s="412" t="s">
        <v>7248</v>
      </c>
      <c r="H129" s="411">
        <v>6</v>
      </c>
      <c r="I129" s="411">
        <v>13</v>
      </c>
      <c r="J129" s="411">
        <v>9</v>
      </c>
      <c r="K129">
        <f>COUNTIF('WBS(基本設計)'!$F$7:$F$106,$C129)</f>
        <v>0</v>
      </c>
      <c r="L129">
        <f>SUMIF('WBS(基本設計)'!$F$7:$F$106,$C129,'WBS(基本設計)'!$J$7:$J$106)</f>
        <v>0</v>
      </c>
      <c r="M129">
        <f>SUMIFS('WBS(基本設計)'!$J$7:$J$106,'WBS(基本設計)'!$F$7:$F$106,$C129,'WBS(基本設計)'!$O$7:$O$106,"対象")</f>
        <v>0</v>
      </c>
      <c r="N129" t="str">
        <f t="shared" si="1"/>
        <v>要確認</v>
      </c>
      <c r="O129"/>
      <c r="P129"/>
      <c r="Q129"/>
      <c r="R129"/>
      <c r="S129"/>
      <c r="T129"/>
      <c r="U129"/>
      <c r="V129"/>
      <c r="W129"/>
      <c r="X129"/>
      <c r="Y129"/>
      <c r="Z129"/>
    </row>
    <row r="130" spans="1:26" s="410" customFormat="1">
      <c r="A130" s="406" t="s">
        <v>7294</v>
      </c>
      <c r="B130" s="406" t="s">
        <v>7308</v>
      </c>
      <c r="C130" s="406" t="s">
        <v>7394</v>
      </c>
      <c r="D130" s="406" t="s">
        <v>7500</v>
      </c>
      <c r="E130" s="406" t="s">
        <v>7657</v>
      </c>
      <c r="F130" s="412" t="s">
        <v>4696</v>
      </c>
      <c r="G130" s="412" t="s">
        <v>3214</v>
      </c>
      <c r="H130" s="411">
        <v>3</v>
      </c>
      <c r="I130" s="411">
        <v>10</v>
      </c>
      <c r="J130" s="411">
        <v>10</v>
      </c>
      <c r="K130">
        <f>COUNTIF('WBS(基本設計)'!$F$7:$F$106,$C130)</f>
        <v>2</v>
      </c>
      <c r="L130">
        <f>SUMIF('WBS(基本設計)'!$F$7:$F$106,$C130,'WBS(基本設計)'!$J$7:$J$106)</f>
        <v>7</v>
      </c>
      <c r="M130">
        <f>SUMIFS('WBS(基本設計)'!$J$7:$J$106,'WBS(基本設計)'!$F$7:$F$106,$C130,'WBS(基本設計)'!$O$7:$O$106,"対象")</f>
        <v>7</v>
      </c>
      <c r="N130" t="str">
        <f t="shared" si="1"/>
        <v>要確認</v>
      </c>
      <c r="O130"/>
      <c r="P130"/>
      <c r="Q130"/>
      <c r="R130"/>
      <c r="S130"/>
      <c r="T130"/>
      <c r="U130"/>
      <c r="V130"/>
      <c r="W130"/>
      <c r="X130"/>
      <c r="Y130"/>
      <c r="Z130"/>
    </row>
    <row r="131" spans="1:26" s="410" customFormat="1">
      <c r="A131" s="406" t="s">
        <v>7294</v>
      </c>
      <c r="B131" s="406" t="s">
        <v>7308</v>
      </c>
      <c r="C131" s="406" t="s">
        <v>7427</v>
      </c>
      <c r="D131" s="406" t="s">
        <v>7522</v>
      </c>
      <c r="E131" s="406" t="s">
        <v>7658</v>
      </c>
      <c r="F131" s="412" t="s">
        <v>4696</v>
      </c>
      <c r="G131" s="412" t="s">
        <v>3214</v>
      </c>
      <c r="H131" s="411">
        <v>8</v>
      </c>
      <c r="I131" s="411">
        <v>28</v>
      </c>
      <c r="J131" s="411">
        <v>28</v>
      </c>
      <c r="K131">
        <f>COUNTIF('WBS(基本設計)'!$F$7:$F$106,$C131)</f>
        <v>10</v>
      </c>
      <c r="L131">
        <f>SUMIF('WBS(基本設計)'!$F$7:$F$106,$C131,'WBS(基本設計)'!$J$7:$J$106)</f>
        <v>15</v>
      </c>
      <c r="M131">
        <f>SUMIFS('WBS(基本設計)'!$J$7:$J$106,'WBS(基本設計)'!$F$7:$F$106,$C131,'WBS(基本設計)'!$O$7:$O$106,"対象")</f>
        <v>6</v>
      </c>
      <c r="N131" t="str">
        <f t="shared" ref="N131:N134" si="2">IF(AND(K131=H131,L131=I131,M131=J131),"","要確認")</f>
        <v>要確認</v>
      </c>
      <c r="O131"/>
      <c r="P131"/>
      <c r="Q131"/>
      <c r="R131"/>
      <c r="S131"/>
      <c r="T131"/>
      <c r="U131"/>
      <c r="V131"/>
      <c r="W131"/>
      <c r="X131"/>
      <c r="Y131"/>
      <c r="Z131"/>
    </row>
    <row r="132" spans="1:26" s="410" customFormat="1">
      <c r="A132" s="406" t="s">
        <v>7294</v>
      </c>
      <c r="B132" s="406" t="s">
        <v>7308</v>
      </c>
      <c r="C132" s="406" t="s">
        <v>7338</v>
      </c>
      <c r="D132" s="406" t="s">
        <v>7445</v>
      </c>
      <c r="E132" s="406" t="s">
        <v>7659</v>
      </c>
      <c r="F132" s="412" t="s">
        <v>4696</v>
      </c>
      <c r="G132" s="412" t="s">
        <v>3214</v>
      </c>
      <c r="H132" s="411">
        <v>5</v>
      </c>
      <c r="I132" s="411">
        <v>16</v>
      </c>
      <c r="J132" s="411">
        <v>1</v>
      </c>
      <c r="K132">
        <f>COUNTIF('WBS(基本設計)'!$F$7:$F$106,$C132)</f>
        <v>0</v>
      </c>
      <c r="L132">
        <f>SUMIF('WBS(基本設計)'!$F$7:$F$106,$C132,'WBS(基本設計)'!$J$7:$J$106)</f>
        <v>0</v>
      </c>
      <c r="M132">
        <f>SUMIFS('WBS(基本設計)'!$J$7:$J$106,'WBS(基本設計)'!$F$7:$F$106,$C132,'WBS(基本設計)'!$O$7:$O$106,"対象")</f>
        <v>0</v>
      </c>
      <c r="N132" t="str">
        <f t="shared" si="2"/>
        <v>要確認</v>
      </c>
      <c r="O132"/>
      <c r="P132"/>
      <c r="Q132"/>
      <c r="R132"/>
      <c r="S132"/>
      <c r="T132"/>
      <c r="U132"/>
      <c r="V132"/>
      <c r="W132"/>
      <c r="X132"/>
      <c r="Y132"/>
      <c r="Z132"/>
    </row>
    <row r="133" spans="1:26" s="410" customFormat="1">
      <c r="A133" s="406" t="s">
        <v>7294</v>
      </c>
      <c r="B133" s="406" t="s">
        <v>7310</v>
      </c>
      <c r="C133" s="406" t="s">
        <v>7435</v>
      </c>
      <c r="D133" s="406" t="s">
        <v>7530</v>
      </c>
      <c r="E133" s="406" t="s">
        <v>7660</v>
      </c>
      <c r="F133" s="412" t="s">
        <v>4696</v>
      </c>
      <c r="G133" s="412" t="s">
        <v>3214</v>
      </c>
      <c r="H133" s="411">
        <v>6</v>
      </c>
      <c r="I133" s="411">
        <v>10</v>
      </c>
      <c r="J133" s="411">
        <v>10</v>
      </c>
      <c r="K133">
        <f>COUNTIF('WBS(基本設計)'!$F$7:$F$106,$C133)</f>
        <v>1</v>
      </c>
      <c r="L133">
        <f>SUMIF('WBS(基本設計)'!$F$7:$F$106,$C133,'WBS(基本設計)'!$J$7:$J$106)</f>
        <v>1</v>
      </c>
      <c r="M133">
        <f>SUMIFS('WBS(基本設計)'!$J$7:$J$106,'WBS(基本設計)'!$F$7:$F$106,$C133,'WBS(基本設計)'!$O$7:$O$106,"対象")</f>
        <v>1</v>
      </c>
      <c r="N133" t="str">
        <f t="shared" si="2"/>
        <v>要確認</v>
      </c>
      <c r="O133"/>
      <c r="P133"/>
      <c r="Q133"/>
      <c r="R133"/>
      <c r="S133"/>
      <c r="T133"/>
      <c r="U133"/>
      <c r="V133"/>
      <c r="W133"/>
      <c r="X133"/>
      <c r="Y133"/>
      <c r="Z133"/>
    </row>
    <row r="134" spans="1:26" s="410" customFormat="1">
      <c r="A134" s="406" t="s">
        <v>7294</v>
      </c>
      <c r="B134" s="406" t="s">
        <v>7310</v>
      </c>
      <c r="C134" s="406" t="s">
        <v>7431</v>
      </c>
      <c r="D134" s="406" t="s">
        <v>7526</v>
      </c>
      <c r="E134" s="406" t="s">
        <v>7661</v>
      </c>
      <c r="F134" s="412" t="s">
        <v>4696</v>
      </c>
      <c r="G134" s="412" t="s">
        <v>3214</v>
      </c>
      <c r="H134" s="411">
        <v>3</v>
      </c>
      <c r="I134" s="411">
        <v>11</v>
      </c>
      <c r="J134" s="411">
        <v>11</v>
      </c>
      <c r="K134">
        <f>COUNTIF('WBS(基本設計)'!$F$7:$F$106,$C134)</f>
        <v>2</v>
      </c>
      <c r="L134">
        <f>SUMIF('WBS(基本設計)'!$F$7:$F$106,$C134,'WBS(基本設計)'!$J$7:$J$106)</f>
        <v>3</v>
      </c>
      <c r="M134">
        <f>SUMIFS('WBS(基本設計)'!$J$7:$J$106,'WBS(基本設計)'!$F$7:$F$106,$C134,'WBS(基本設計)'!$O$7:$O$106,"対象")</f>
        <v>3</v>
      </c>
      <c r="N134" t="str">
        <f t="shared" si="2"/>
        <v>要確認</v>
      </c>
      <c r="O134"/>
      <c r="P134"/>
      <c r="Q134"/>
      <c r="R134"/>
      <c r="S134"/>
      <c r="T134"/>
      <c r="U134"/>
      <c r="V134"/>
      <c r="W134"/>
      <c r="X134"/>
      <c r="Y134"/>
      <c r="Z134"/>
    </row>
    <row r="135" spans="1:26" s="410" customFormat="1">
      <c r="A135"/>
      <c r="B135"/>
      <c r="C135"/>
      <c r="D135"/>
      <c r="E135"/>
      <c r="F135"/>
      <c r="G135"/>
      <c r="H135"/>
      <c r="I135"/>
      <c r="J135"/>
      <c r="K135"/>
      <c r="L135"/>
      <c r="M135"/>
      <c r="N135"/>
      <c r="O135"/>
      <c r="P135"/>
      <c r="Q135"/>
      <c r="R135"/>
      <c r="S135"/>
      <c r="T135"/>
      <c r="U135"/>
      <c r="V135"/>
      <c r="W135"/>
      <c r="X135"/>
      <c r="Y135"/>
      <c r="Z135"/>
    </row>
    <row r="136" spans="1:26" s="410" customFormat="1">
      <c r="A136"/>
      <c r="B136"/>
      <c r="C136"/>
      <c r="D136"/>
      <c r="E136"/>
      <c r="F136"/>
      <c r="G136"/>
      <c r="H136"/>
      <c r="I136"/>
      <c r="J136"/>
      <c r="K136"/>
      <c r="L136"/>
      <c r="M136"/>
      <c r="N136"/>
      <c r="O136"/>
      <c r="P136"/>
      <c r="Q136"/>
      <c r="R136"/>
      <c r="S136"/>
      <c r="T136"/>
      <c r="U136"/>
      <c r="V136"/>
      <c r="W136"/>
      <c r="X136"/>
      <c r="Y136"/>
      <c r="Z136"/>
    </row>
    <row r="137" spans="1:26" s="410" customFormat="1">
      <c r="A137"/>
      <c r="B137"/>
      <c r="C137"/>
      <c r="D137"/>
      <c r="E137"/>
      <c r="F137"/>
      <c r="G137"/>
      <c r="H137"/>
      <c r="I137"/>
      <c r="J137"/>
      <c r="K137"/>
      <c r="L137"/>
      <c r="M137"/>
      <c r="N137"/>
      <c r="O137"/>
      <c r="P137"/>
      <c r="Q137"/>
      <c r="R137"/>
      <c r="S137"/>
      <c r="T137"/>
      <c r="U137"/>
      <c r="V137"/>
      <c r="W137"/>
      <c r="X137"/>
      <c r="Y137"/>
      <c r="Z137"/>
    </row>
    <row r="138" spans="1:26" s="410" customFormat="1">
      <c r="A138"/>
      <c r="B138"/>
      <c r="C138"/>
      <c r="D138"/>
      <c r="E138"/>
      <c r="F138"/>
      <c r="G138"/>
      <c r="H138"/>
      <c r="I138"/>
      <c r="J138"/>
      <c r="K138"/>
      <c r="L138"/>
      <c r="M138"/>
      <c r="N138"/>
      <c r="O138"/>
      <c r="P138"/>
      <c r="Q138"/>
      <c r="R138"/>
      <c r="S138"/>
      <c r="T138"/>
      <c r="U138"/>
      <c r="V138"/>
      <c r="W138"/>
      <c r="X138"/>
      <c r="Y138"/>
      <c r="Z138"/>
    </row>
    <row r="139" spans="1:26" s="410" customFormat="1">
      <c r="A139"/>
      <c r="B139"/>
      <c r="C139"/>
      <c r="D139"/>
      <c r="E139"/>
      <c r="F139"/>
      <c r="G139"/>
      <c r="H139"/>
      <c r="I139"/>
      <c r="J139"/>
      <c r="K139"/>
      <c r="L139"/>
      <c r="M139"/>
      <c r="N139"/>
      <c r="O139"/>
      <c r="P139"/>
      <c r="Q139"/>
      <c r="R139"/>
      <c r="S139"/>
      <c r="T139"/>
      <c r="U139"/>
      <c r="V139"/>
      <c r="W139"/>
      <c r="X139"/>
      <c r="Y139"/>
      <c r="Z139"/>
    </row>
    <row r="140" spans="1:26" s="410" customFormat="1">
      <c r="A140"/>
      <c r="B140"/>
      <c r="C140"/>
      <c r="D140"/>
      <c r="E140"/>
      <c r="F140"/>
      <c r="G140"/>
      <c r="H140"/>
      <c r="I140"/>
      <c r="J140"/>
      <c r="K140"/>
      <c r="L140"/>
      <c r="M140"/>
      <c r="N140"/>
      <c r="O140"/>
      <c r="P140"/>
      <c r="Q140"/>
      <c r="R140"/>
      <c r="S140"/>
      <c r="T140"/>
      <c r="U140"/>
      <c r="V140"/>
      <c r="W140"/>
      <c r="X140"/>
      <c r="Y140"/>
      <c r="Z140"/>
    </row>
  </sheetData>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106"/>
  <sheetViews>
    <sheetView topLeftCell="E1" zoomScaleNormal="100" workbookViewId="0">
      <pane ySplit="6" topLeftCell="A7" activePane="bottomLeft" state="frozen"/>
      <selection pane="bottomLeft" activeCell="H24" sqref="H24"/>
    </sheetView>
  </sheetViews>
  <sheetFormatPr baseColWidth="10" defaultRowHeight="22" customHeight="1"/>
  <cols>
    <col min="1" max="1" width="12.5703125" style="108" customWidth="1"/>
    <col min="2" max="2" width="21.42578125" style="108" customWidth="1"/>
    <col min="3" max="3" width="20.28515625" style="108" customWidth="1"/>
    <col min="4" max="4" width="21.42578125" style="108" hidden="1" customWidth="1"/>
    <col min="5" max="6" width="28.5703125" style="108" customWidth="1"/>
    <col min="7" max="7" width="35.7109375" style="108" customWidth="1"/>
    <col min="8" max="8" width="66.85546875" style="108" customWidth="1"/>
    <col min="9" max="9" width="48.5703125" style="108" hidden="1" customWidth="1"/>
    <col min="10" max="10" width="7.42578125" style="140" customWidth="1"/>
    <col min="11" max="11" width="16.28515625" style="108" customWidth="1"/>
    <col min="12" max="12" width="1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2" ht="22" customHeight="1">
      <c r="A1" s="78" t="s">
        <v>6844</v>
      </c>
      <c r="B1" s="30"/>
      <c r="C1" s="30"/>
      <c r="D1" s="30"/>
      <c r="E1" s="30"/>
      <c r="F1" s="30"/>
      <c r="G1" s="30"/>
      <c r="H1" s="30"/>
      <c r="I1" s="30"/>
      <c r="J1" s="413"/>
      <c r="K1" s="30"/>
      <c r="L1" s="30"/>
      <c r="M1" s="30"/>
      <c r="N1" s="30"/>
      <c r="O1" s="30"/>
      <c r="P1" s="30"/>
      <c r="Q1" s="30"/>
      <c r="R1" s="30"/>
      <c r="S1" s="30"/>
      <c r="T1" s="30"/>
    </row>
    <row r="2" spans="1:22" ht="22" customHeight="1">
      <c r="A2" s="361" t="s">
        <v>6854</v>
      </c>
      <c r="B2" s="30"/>
      <c r="C2" s="30"/>
      <c r="D2" s="30"/>
      <c r="E2" s="30"/>
      <c r="F2" s="30"/>
      <c r="G2" s="30"/>
      <c r="H2" s="30"/>
      <c r="I2" s="30"/>
      <c r="J2" s="413"/>
      <c r="K2" s="30"/>
      <c r="L2" s="30"/>
      <c r="M2" s="30"/>
      <c r="N2" s="30"/>
      <c r="O2" s="30"/>
      <c r="P2" s="30"/>
      <c r="Q2" s="30"/>
      <c r="R2" s="30"/>
      <c r="S2" s="30"/>
      <c r="T2" s="30"/>
    </row>
    <row r="3" spans="1:22" ht="22" customHeight="1">
      <c r="A3" s="348" t="s">
        <v>6853</v>
      </c>
      <c r="B3" s="30"/>
      <c r="C3" s="30"/>
      <c r="D3" s="30"/>
      <c r="E3" s="30"/>
      <c r="F3" s="30"/>
      <c r="G3" s="30"/>
      <c r="H3" s="30"/>
      <c r="I3" s="30"/>
      <c r="J3" s="413"/>
      <c r="K3" s="30"/>
      <c r="L3" s="30"/>
      <c r="M3" s="30"/>
      <c r="N3" s="30"/>
      <c r="O3" s="30"/>
      <c r="P3" s="30"/>
      <c r="Q3" s="30"/>
      <c r="R3" s="30"/>
      <c r="S3" s="30"/>
      <c r="T3" s="30"/>
    </row>
    <row r="4" spans="1:22" ht="22" customHeight="1">
      <c r="A4" s="348" t="s">
        <v>6855</v>
      </c>
      <c r="B4" s="30"/>
      <c r="C4" s="30"/>
      <c r="D4" s="30"/>
      <c r="E4" s="30"/>
      <c r="F4" s="30"/>
      <c r="G4" s="30"/>
      <c r="H4" s="30"/>
      <c r="I4" s="30"/>
      <c r="J4" s="413"/>
      <c r="K4" s="30"/>
      <c r="L4" s="30"/>
      <c r="M4" s="30"/>
      <c r="N4" s="30"/>
      <c r="O4" s="30"/>
      <c r="P4" s="30"/>
      <c r="Q4" s="30"/>
      <c r="R4" s="30"/>
      <c r="S4" s="30"/>
      <c r="T4" s="30"/>
    </row>
    <row r="5" spans="1:22" ht="22" customHeight="1">
      <c r="A5" s="349" t="s">
        <v>6842</v>
      </c>
      <c r="B5" s="30"/>
      <c r="C5" s="30"/>
      <c r="D5" s="30"/>
      <c r="E5" s="30"/>
      <c r="F5" s="30"/>
      <c r="G5" s="30"/>
      <c r="H5" s="30"/>
      <c r="I5" s="30"/>
      <c r="J5" s="413"/>
      <c r="K5" s="30"/>
      <c r="L5" s="30"/>
      <c r="M5" s="30"/>
      <c r="N5" s="30"/>
      <c r="O5" s="30"/>
      <c r="P5" s="30"/>
      <c r="Q5" s="30"/>
      <c r="R5" s="30"/>
      <c r="S5" s="30"/>
      <c r="T5" s="30"/>
    </row>
    <row r="6" spans="1:22" ht="22" customHeight="1">
      <c r="A6" s="341" t="s">
        <v>3476</v>
      </c>
      <c r="B6" s="341" t="s">
        <v>6499</v>
      </c>
      <c r="C6" s="341" t="s">
        <v>6841</v>
      </c>
      <c r="D6" s="341" t="s">
        <v>6807</v>
      </c>
      <c r="E6" s="341" t="s">
        <v>6421</v>
      </c>
      <c r="F6" s="341" t="s">
        <v>6251</v>
      </c>
      <c r="G6" s="341" t="s">
        <v>6500</v>
      </c>
      <c r="H6" s="341" t="s">
        <v>6315</v>
      </c>
      <c r="I6" s="341" t="s">
        <v>6316</v>
      </c>
      <c r="J6" s="341" t="s">
        <v>3571</v>
      </c>
      <c r="K6" s="341" t="s">
        <v>6850</v>
      </c>
      <c r="L6" s="341" t="s">
        <v>6852</v>
      </c>
      <c r="M6" s="341" t="s">
        <v>6765</v>
      </c>
      <c r="N6" s="341" t="s">
        <v>6782</v>
      </c>
      <c r="O6" s="341" t="s">
        <v>3573</v>
      </c>
      <c r="P6" s="341" t="s">
        <v>6834</v>
      </c>
      <c r="Q6" s="341" t="s">
        <v>6317</v>
      </c>
      <c r="R6" s="341" t="s">
        <v>2440</v>
      </c>
      <c r="S6" s="341" t="s">
        <v>1549</v>
      </c>
      <c r="T6" s="341" t="s">
        <v>6232</v>
      </c>
      <c r="U6"/>
    </row>
    <row r="7" spans="1:22" ht="22" customHeight="1">
      <c r="A7" s="342" t="s">
        <v>5297</v>
      </c>
      <c r="B7" s="342" t="s">
        <v>6387</v>
      </c>
      <c r="C7" s="347" t="s">
        <v>6906</v>
      </c>
      <c r="D7" s="342" t="s">
        <v>6871</v>
      </c>
      <c r="E7" s="343" t="s">
        <v>7312</v>
      </c>
      <c r="F7" s="343" t="s">
        <v>7331</v>
      </c>
      <c r="G7" s="343" t="s">
        <v>6911</v>
      </c>
      <c r="H7" s="343" t="s">
        <v>7005</v>
      </c>
      <c r="I7" s="343" t="s">
        <v>7094</v>
      </c>
      <c r="J7" s="353">
        <v>1</v>
      </c>
      <c r="K7" s="346" t="s">
        <v>6846</v>
      </c>
      <c r="L7" s="346" t="s">
        <v>6846</v>
      </c>
      <c r="M7" s="356" t="s">
        <v>7184</v>
      </c>
      <c r="N7" s="356" t="s">
        <v>7196</v>
      </c>
      <c r="O7" s="356" t="s">
        <v>6797</v>
      </c>
      <c r="P7" s="347" t="s">
        <v>7229</v>
      </c>
      <c r="Q7" s="342" t="s">
        <v>2233</v>
      </c>
      <c r="R7" s="342" t="s">
        <v>3487</v>
      </c>
      <c r="S7" s="342"/>
      <c r="T7" s="342" t="s">
        <v>7442</v>
      </c>
      <c r="U7"/>
      <c r="V7"/>
    </row>
    <row r="8" spans="1:22" ht="22" customHeight="1">
      <c r="A8" s="342" t="s">
        <v>615</v>
      </c>
      <c r="B8" s="342" t="s">
        <v>615</v>
      </c>
      <c r="C8" s="347" t="s">
        <v>6907</v>
      </c>
      <c r="D8" s="342" t="s">
        <v>6875</v>
      </c>
      <c r="E8" s="343" t="s">
        <v>7321</v>
      </c>
      <c r="F8" s="343" t="s">
        <v>7355</v>
      </c>
      <c r="G8" s="343" t="s">
        <v>6915</v>
      </c>
      <c r="H8" s="343" t="s">
        <v>7009</v>
      </c>
      <c r="I8" s="343" t="s">
        <v>7098</v>
      </c>
      <c r="J8" s="353">
        <v>1</v>
      </c>
      <c r="K8" s="346" t="s">
        <v>6846</v>
      </c>
      <c r="L8" s="346" t="s">
        <v>6846</v>
      </c>
      <c r="M8" s="356" t="s">
        <v>7184</v>
      </c>
      <c r="N8" s="356" t="s">
        <v>7201</v>
      </c>
      <c r="O8" s="356" t="s">
        <v>7228</v>
      </c>
      <c r="P8" s="347" t="s">
        <v>7231</v>
      </c>
      <c r="Q8" s="342" t="s">
        <v>653</v>
      </c>
      <c r="R8" s="342" t="s">
        <v>3487</v>
      </c>
      <c r="S8" s="342"/>
      <c r="T8" s="342" t="s">
        <v>7460</v>
      </c>
      <c r="U8"/>
    </row>
    <row r="9" spans="1:22" ht="22" customHeight="1">
      <c r="A9" s="342" t="s">
        <v>5303</v>
      </c>
      <c r="B9" s="342" t="s">
        <v>5937</v>
      </c>
      <c r="C9" s="347" t="s">
        <v>6907</v>
      </c>
      <c r="D9" s="342" t="s">
        <v>6876</v>
      </c>
      <c r="E9" s="343" t="s">
        <v>7320</v>
      </c>
      <c r="F9" s="343" t="s">
        <v>7349</v>
      </c>
      <c r="G9" s="343" t="s">
        <v>6916</v>
      </c>
      <c r="H9" s="343" t="s">
        <v>7010</v>
      </c>
      <c r="I9" s="343" t="s">
        <v>7099</v>
      </c>
      <c r="J9" s="353">
        <v>0.5</v>
      </c>
      <c r="K9" s="346" t="s">
        <v>6846</v>
      </c>
      <c r="L9" s="346" t="s">
        <v>6846</v>
      </c>
      <c r="M9" s="356" t="s">
        <v>7184</v>
      </c>
      <c r="N9" s="356" t="s">
        <v>7200</v>
      </c>
      <c r="O9" s="356" t="s">
        <v>6867</v>
      </c>
      <c r="P9" s="347" t="s">
        <v>7231</v>
      </c>
      <c r="Q9" s="342" t="s">
        <v>2233</v>
      </c>
      <c r="R9" s="342" t="s">
        <v>3487</v>
      </c>
      <c r="S9" s="342"/>
      <c r="T9" s="342" t="s">
        <v>7456</v>
      </c>
      <c r="U9"/>
    </row>
    <row r="10" spans="1:22" ht="22" customHeight="1">
      <c r="A10" s="342" t="s">
        <v>5299</v>
      </c>
      <c r="B10" s="342" t="s">
        <v>5937</v>
      </c>
      <c r="C10" s="347" t="s">
        <v>6907</v>
      </c>
      <c r="D10" s="342" t="s">
        <v>6876</v>
      </c>
      <c r="E10" s="343" t="s">
        <v>7320</v>
      </c>
      <c r="F10" s="343" t="s">
        <v>7349</v>
      </c>
      <c r="G10" s="343" t="s">
        <v>6917</v>
      </c>
      <c r="H10" s="343" t="s">
        <v>7011</v>
      </c>
      <c r="I10" s="343" t="s">
        <v>7100</v>
      </c>
      <c r="J10" s="353">
        <v>2</v>
      </c>
      <c r="K10" s="346" t="s">
        <v>6846</v>
      </c>
      <c r="L10" s="346" t="s">
        <v>6846</v>
      </c>
      <c r="M10" s="356" t="s">
        <v>7184</v>
      </c>
      <c r="N10" s="356" t="s">
        <v>7200</v>
      </c>
      <c r="O10" s="356" t="s">
        <v>6867</v>
      </c>
      <c r="P10" s="347" t="s">
        <v>7231</v>
      </c>
      <c r="Q10" s="342" t="s">
        <v>5303</v>
      </c>
      <c r="R10" s="342" t="s">
        <v>3487</v>
      </c>
      <c r="S10" s="342"/>
      <c r="T10" s="342" t="s">
        <v>7456</v>
      </c>
      <c r="U10"/>
    </row>
    <row r="11" spans="1:22" ht="22" customHeight="1">
      <c r="A11" s="342" t="s">
        <v>5304</v>
      </c>
      <c r="B11" s="342" t="s">
        <v>5938</v>
      </c>
      <c r="C11" s="347" t="s">
        <v>6907</v>
      </c>
      <c r="D11" s="342" t="s">
        <v>6877</v>
      </c>
      <c r="E11" s="343" t="s">
        <v>7320</v>
      </c>
      <c r="F11" s="343" t="s">
        <v>7349</v>
      </c>
      <c r="G11" s="343" t="s">
        <v>6918</v>
      </c>
      <c r="H11" s="343" t="s">
        <v>7012</v>
      </c>
      <c r="I11" s="343" t="s">
        <v>7101</v>
      </c>
      <c r="J11" s="353">
        <v>1</v>
      </c>
      <c r="K11" s="346" t="s">
        <v>6846</v>
      </c>
      <c r="L11" s="346" t="s">
        <v>6846</v>
      </c>
      <c r="M11" s="356" t="s">
        <v>7184</v>
      </c>
      <c r="N11" s="356" t="s">
        <v>7200</v>
      </c>
      <c r="O11" s="356" t="s">
        <v>6867</v>
      </c>
      <c r="P11" s="347" t="s">
        <v>7231</v>
      </c>
      <c r="Q11" s="342" t="s">
        <v>5299</v>
      </c>
      <c r="R11" s="342" t="s">
        <v>3487</v>
      </c>
      <c r="S11" s="342"/>
      <c r="T11" s="342" t="s">
        <v>7456</v>
      </c>
      <c r="U11"/>
    </row>
    <row r="12" spans="1:22" ht="22" customHeight="1">
      <c r="A12" s="342" t="s">
        <v>5305</v>
      </c>
      <c r="B12" s="342" t="s">
        <v>5938</v>
      </c>
      <c r="C12" s="347" t="s">
        <v>6907</v>
      </c>
      <c r="D12" s="342" t="s">
        <v>6877</v>
      </c>
      <c r="E12" s="343" t="s">
        <v>7320</v>
      </c>
      <c r="F12" s="343" t="s">
        <v>7349</v>
      </c>
      <c r="G12" s="343" t="s">
        <v>6919</v>
      </c>
      <c r="H12" s="343" t="s">
        <v>7013</v>
      </c>
      <c r="I12" s="343" t="s">
        <v>7102</v>
      </c>
      <c r="J12" s="353">
        <v>3</v>
      </c>
      <c r="K12" s="346" t="s">
        <v>6846</v>
      </c>
      <c r="L12" s="346" t="s">
        <v>6846</v>
      </c>
      <c r="M12" s="356" t="s">
        <v>7184</v>
      </c>
      <c r="N12" s="356" t="s">
        <v>7200</v>
      </c>
      <c r="O12" s="356" t="s">
        <v>6867</v>
      </c>
      <c r="P12" s="347" t="s">
        <v>7231</v>
      </c>
      <c r="Q12" s="342" t="s">
        <v>5304</v>
      </c>
      <c r="R12" s="342" t="s">
        <v>3487</v>
      </c>
      <c r="S12" s="342"/>
      <c r="T12" s="342" t="s">
        <v>7456</v>
      </c>
      <c r="U12"/>
    </row>
    <row r="13" spans="1:22" ht="22" customHeight="1">
      <c r="A13" s="342" t="s">
        <v>5307</v>
      </c>
      <c r="B13" s="342" t="s">
        <v>5939</v>
      </c>
      <c r="C13" s="347" t="s">
        <v>6907</v>
      </c>
      <c r="D13" s="342" t="s">
        <v>6878</v>
      </c>
      <c r="E13" s="343" t="s">
        <v>7322</v>
      </c>
      <c r="F13" s="343" t="s">
        <v>7362</v>
      </c>
      <c r="G13" s="343" t="s">
        <v>6921</v>
      </c>
      <c r="H13" s="343" t="s">
        <v>7015</v>
      </c>
      <c r="I13" s="343" t="s">
        <v>7104</v>
      </c>
      <c r="J13" s="353">
        <v>1</v>
      </c>
      <c r="K13" s="346" t="s">
        <v>6846</v>
      </c>
      <c r="L13" s="346" t="s">
        <v>6846</v>
      </c>
      <c r="M13" s="356" t="s">
        <v>7184</v>
      </c>
      <c r="N13" s="356" t="s">
        <v>7204</v>
      </c>
      <c r="O13" s="356" t="s">
        <v>7228</v>
      </c>
      <c r="P13" s="347" t="s">
        <v>7229</v>
      </c>
      <c r="Q13" s="342" t="s">
        <v>2233</v>
      </c>
      <c r="R13" s="342" t="s">
        <v>3487</v>
      </c>
      <c r="S13" s="342"/>
      <c r="T13" s="342" t="s">
        <v>7466</v>
      </c>
      <c r="U13"/>
    </row>
    <row r="14" spans="1:22" ht="22" customHeight="1">
      <c r="A14" s="342" t="s">
        <v>5308</v>
      </c>
      <c r="B14" s="342" t="s">
        <v>5939</v>
      </c>
      <c r="C14" s="347" t="s">
        <v>6907</v>
      </c>
      <c r="D14" s="342" t="s">
        <v>6879</v>
      </c>
      <c r="E14" s="343" t="s">
        <v>7322</v>
      </c>
      <c r="F14" s="343" t="s">
        <v>7362</v>
      </c>
      <c r="G14" s="343" t="s">
        <v>6922</v>
      </c>
      <c r="H14" s="343" t="s">
        <v>7016</v>
      </c>
      <c r="I14" s="343" t="s">
        <v>7105</v>
      </c>
      <c r="J14" s="353">
        <v>1</v>
      </c>
      <c r="K14" s="346" t="s">
        <v>6846</v>
      </c>
      <c r="L14" s="346" t="s">
        <v>6846</v>
      </c>
      <c r="M14" s="356" t="s">
        <v>7184</v>
      </c>
      <c r="N14" s="356" t="s">
        <v>7205</v>
      </c>
      <c r="O14" s="356" t="s">
        <v>6797</v>
      </c>
      <c r="P14" s="347" t="s">
        <v>7229</v>
      </c>
      <c r="Q14" s="342" t="s">
        <v>5307</v>
      </c>
      <c r="R14" s="342" t="s">
        <v>3487</v>
      </c>
      <c r="S14" s="342"/>
      <c r="T14" s="342" t="s">
        <v>7466</v>
      </c>
      <c r="U14"/>
    </row>
    <row r="15" spans="1:22" ht="22" customHeight="1">
      <c r="A15" s="342" t="s">
        <v>5309</v>
      </c>
      <c r="B15" s="342" t="s">
        <v>5939</v>
      </c>
      <c r="C15" s="347" t="s">
        <v>6907</v>
      </c>
      <c r="D15" s="342" t="s">
        <v>6880</v>
      </c>
      <c r="E15" s="343" t="s">
        <v>7322</v>
      </c>
      <c r="F15" s="343" t="s">
        <v>7362</v>
      </c>
      <c r="G15" s="343" t="s">
        <v>6923</v>
      </c>
      <c r="H15" s="343" t="s">
        <v>7017</v>
      </c>
      <c r="I15" s="343" t="s">
        <v>7106</v>
      </c>
      <c r="J15" s="353">
        <v>1</v>
      </c>
      <c r="K15" s="346" t="s">
        <v>6846</v>
      </c>
      <c r="L15" s="346" t="s">
        <v>6846</v>
      </c>
      <c r="M15" s="356" t="s">
        <v>7184</v>
      </c>
      <c r="N15" s="356" t="s">
        <v>7206</v>
      </c>
      <c r="O15" s="356" t="s">
        <v>7228</v>
      </c>
      <c r="P15" s="347" t="s">
        <v>7229</v>
      </c>
      <c r="Q15" s="342" t="s">
        <v>5307</v>
      </c>
      <c r="R15" s="342" t="s">
        <v>3487</v>
      </c>
      <c r="S15" s="342"/>
      <c r="T15" s="342" t="s">
        <v>7466</v>
      </c>
      <c r="U15"/>
    </row>
    <row r="16" spans="1:22" ht="22" customHeight="1">
      <c r="A16" s="342" t="s">
        <v>628</v>
      </c>
      <c r="B16" s="342" t="s">
        <v>628</v>
      </c>
      <c r="C16" s="347" t="s">
        <v>6907</v>
      </c>
      <c r="D16" s="342" t="s">
        <v>2909</v>
      </c>
      <c r="E16" s="343" t="s">
        <v>7312</v>
      </c>
      <c r="F16" s="343" t="s">
        <v>7364</v>
      </c>
      <c r="G16" s="343" t="s">
        <v>6924</v>
      </c>
      <c r="H16" s="343" t="s">
        <v>7018</v>
      </c>
      <c r="I16" s="343" t="s">
        <v>7107</v>
      </c>
      <c r="J16" s="353">
        <v>4</v>
      </c>
      <c r="K16" s="346" t="s">
        <v>6846</v>
      </c>
      <c r="L16" s="346" t="s">
        <v>6846</v>
      </c>
      <c r="M16" s="356" t="s">
        <v>7184</v>
      </c>
      <c r="N16" s="356" t="s">
        <v>7205</v>
      </c>
      <c r="O16" s="356" t="s">
        <v>6797</v>
      </c>
      <c r="P16" s="347" t="s">
        <v>7232</v>
      </c>
      <c r="Q16" s="342" t="s">
        <v>2233</v>
      </c>
      <c r="R16" s="342" t="s">
        <v>3487</v>
      </c>
      <c r="S16" s="342"/>
      <c r="T16" s="342" t="s">
        <v>7468</v>
      </c>
      <c r="U16"/>
    </row>
    <row r="17" spans="1:21" ht="22" customHeight="1">
      <c r="A17" s="342" t="s">
        <v>6901</v>
      </c>
      <c r="B17" s="342" t="s">
        <v>633</v>
      </c>
      <c r="C17" s="347" t="s">
        <v>6907</v>
      </c>
      <c r="D17" s="342"/>
      <c r="E17" s="343" t="s">
        <v>7312</v>
      </c>
      <c r="F17" s="343" t="s">
        <v>7353</v>
      </c>
      <c r="G17" s="343" t="s">
        <v>6925</v>
      </c>
      <c r="H17" s="343" t="s">
        <v>7019</v>
      </c>
      <c r="I17" s="343" t="s">
        <v>7108</v>
      </c>
      <c r="J17" s="353">
        <v>1</v>
      </c>
      <c r="K17" s="346" t="s">
        <v>6846</v>
      </c>
      <c r="L17" s="346" t="s">
        <v>6846</v>
      </c>
      <c r="M17" s="356" t="s">
        <v>7184</v>
      </c>
      <c r="N17" s="356" t="s">
        <v>7205</v>
      </c>
      <c r="O17" s="356" t="s">
        <v>6797</v>
      </c>
      <c r="P17" s="347" t="s">
        <v>7229</v>
      </c>
      <c r="Q17" s="342" t="s">
        <v>2233</v>
      </c>
      <c r="R17" s="342" t="s">
        <v>3487</v>
      </c>
      <c r="S17" s="342"/>
      <c r="T17" s="342" t="s">
        <v>7459</v>
      </c>
      <c r="U17"/>
    </row>
    <row r="18" spans="1:21" ht="22" customHeight="1">
      <c r="A18" s="342" t="s">
        <v>6902</v>
      </c>
      <c r="B18" s="342" t="s">
        <v>633</v>
      </c>
      <c r="C18" s="347" t="s">
        <v>6907</v>
      </c>
      <c r="D18" s="342"/>
      <c r="E18" s="343" t="s">
        <v>7316</v>
      </c>
      <c r="F18" s="343" t="s">
        <v>7340</v>
      </c>
      <c r="G18" s="343" t="s">
        <v>6926</v>
      </c>
      <c r="H18" s="343" t="s">
        <v>7019</v>
      </c>
      <c r="I18" s="343" t="s">
        <v>7108</v>
      </c>
      <c r="J18" s="353">
        <v>1</v>
      </c>
      <c r="K18" s="346" t="s">
        <v>6846</v>
      </c>
      <c r="L18" s="346" t="s">
        <v>6846</v>
      </c>
      <c r="M18" s="356" t="s">
        <v>7184</v>
      </c>
      <c r="N18" s="356" t="s">
        <v>7205</v>
      </c>
      <c r="O18" s="356" t="s">
        <v>6797</v>
      </c>
      <c r="P18" s="347" t="s">
        <v>7229</v>
      </c>
      <c r="Q18" s="342" t="s">
        <v>2233</v>
      </c>
      <c r="R18" s="342" t="s">
        <v>3487</v>
      </c>
      <c r="S18" s="342"/>
      <c r="T18" s="342" t="s">
        <v>7447</v>
      </c>
      <c r="U18"/>
    </row>
    <row r="19" spans="1:21" ht="22" customHeight="1">
      <c r="A19" s="342" t="s">
        <v>6903</v>
      </c>
      <c r="B19" s="342" t="s">
        <v>633</v>
      </c>
      <c r="C19" s="347" t="s">
        <v>6907</v>
      </c>
      <c r="D19" s="342"/>
      <c r="E19" s="343" t="s">
        <v>7316</v>
      </c>
      <c r="F19" s="343" t="s">
        <v>7367</v>
      </c>
      <c r="G19" s="343" t="s">
        <v>6927</v>
      </c>
      <c r="H19" s="343" t="s">
        <v>7019</v>
      </c>
      <c r="I19" s="343" t="s">
        <v>7108</v>
      </c>
      <c r="J19" s="353">
        <v>1</v>
      </c>
      <c r="K19" s="346" t="s">
        <v>6846</v>
      </c>
      <c r="L19" s="346" t="s">
        <v>6846</v>
      </c>
      <c r="M19" s="356" t="s">
        <v>7184</v>
      </c>
      <c r="N19" s="356" t="s">
        <v>7205</v>
      </c>
      <c r="O19" s="356" t="s">
        <v>6797</v>
      </c>
      <c r="P19" s="347" t="s">
        <v>7229</v>
      </c>
      <c r="Q19" s="342" t="s">
        <v>2233</v>
      </c>
      <c r="R19" s="342" t="s">
        <v>3487</v>
      </c>
      <c r="S19" s="342"/>
      <c r="T19" s="342" t="s">
        <v>7471</v>
      </c>
      <c r="U19"/>
    </row>
    <row r="20" spans="1:21" ht="22" customHeight="1">
      <c r="A20" s="342" t="s">
        <v>6904</v>
      </c>
      <c r="B20" s="342" t="s">
        <v>633</v>
      </c>
      <c r="C20" s="347" t="s">
        <v>6907</v>
      </c>
      <c r="D20" s="342"/>
      <c r="E20" s="343" t="s">
        <v>7312</v>
      </c>
      <c r="F20" s="343" t="s">
        <v>7353</v>
      </c>
      <c r="G20" s="343" t="s">
        <v>6928</v>
      </c>
      <c r="H20" s="343" t="s">
        <v>7019</v>
      </c>
      <c r="I20" s="343" t="s">
        <v>7108</v>
      </c>
      <c r="J20" s="353">
        <v>1</v>
      </c>
      <c r="K20" s="346" t="s">
        <v>6846</v>
      </c>
      <c r="L20" s="346" t="s">
        <v>6846</v>
      </c>
      <c r="M20" s="356" t="s">
        <v>7184</v>
      </c>
      <c r="N20" s="356" t="s">
        <v>7205</v>
      </c>
      <c r="O20" s="356" t="s">
        <v>6797</v>
      </c>
      <c r="P20" s="347" t="s">
        <v>7229</v>
      </c>
      <c r="Q20" s="342" t="s">
        <v>2233</v>
      </c>
      <c r="R20" s="342" t="s">
        <v>3487</v>
      </c>
      <c r="S20" s="342"/>
      <c r="T20" s="342" t="s">
        <v>7459</v>
      </c>
      <c r="U20"/>
    </row>
    <row r="21" spans="1:21" ht="22" customHeight="1">
      <c r="A21" s="342" t="s">
        <v>6905</v>
      </c>
      <c r="B21" s="342" t="s">
        <v>633</v>
      </c>
      <c r="C21" s="347" t="s">
        <v>6907</v>
      </c>
      <c r="D21" s="342"/>
      <c r="E21" s="343" t="s">
        <v>7312</v>
      </c>
      <c r="F21" s="343" t="s">
        <v>7353</v>
      </c>
      <c r="G21" s="343" t="s">
        <v>6929</v>
      </c>
      <c r="H21" s="343" t="s">
        <v>7019</v>
      </c>
      <c r="I21" s="343" t="s">
        <v>7108</v>
      </c>
      <c r="J21" s="353">
        <v>1</v>
      </c>
      <c r="K21" s="346" t="s">
        <v>6846</v>
      </c>
      <c r="L21" s="346" t="s">
        <v>6846</v>
      </c>
      <c r="M21" s="356" t="s">
        <v>7184</v>
      </c>
      <c r="N21" s="356" t="s">
        <v>7205</v>
      </c>
      <c r="O21" s="356" t="s">
        <v>6797</v>
      </c>
      <c r="P21" s="347" t="s">
        <v>7229</v>
      </c>
      <c r="Q21" s="342" t="s">
        <v>2233</v>
      </c>
      <c r="R21" s="342" t="s">
        <v>3487</v>
      </c>
      <c r="S21" s="342"/>
      <c r="T21" s="342" t="s">
        <v>7459</v>
      </c>
      <c r="U21"/>
    </row>
    <row r="22" spans="1:21" ht="22" customHeight="1">
      <c r="A22" s="342" t="s">
        <v>635</v>
      </c>
      <c r="B22" s="342" t="s">
        <v>635</v>
      </c>
      <c r="C22" s="347" t="s">
        <v>6907</v>
      </c>
      <c r="D22" s="342" t="s">
        <v>2909</v>
      </c>
      <c r="E22" s="343" t="s">
        <v>7317</v>
      </c>
      <c r="F22" s="343" t="s">
        <v>7342</v>
      </c>
      <c r="G22" s="343" t="s">
        <v>6930</v>
      </c>
      <c r="H22" s="343" t="s">
        <v>7020</v>
      </c>
      <c r="I22" s="343" t="s">
        <v>7109</v>
      </c>
      <c r="J22" s="353">
        <v>1</v>
      </c>
      <c r="K22" s="346" t="s">
        <v>6846</v>
      </c>
      <c r="L22" s="346" t="s">
        <v>6846</v>
      </c>
      <c r="M22" s="356" t="s">
        <v>7184</v>
      </c>
      <c r="N22" s="356" t="s">
        <v>7205</v>
      </c>
      <c r="O22" s="356" t="s">
        <v>6797</v>
      </c>
      <c r="P22" s="347" t="s">
        <v>7229</v>
      </c>
      <c r="Q22" s="342" t="s">
        <v>550</v>
      </c>
      <c r="R22" s="342" t="s">
        <v>3487</v>
      </c>
      <c r="S22" s="342"/>
      <c r="T22" s="342" t="s">
        <v>7449</v>
      </c>
      <c r="U22"/>
    </row>
    <row r="23" spans="1:21" ht="22" customHeight="1">
      <c r="A23" s="342" t="s">
        <v>5310</v>
      </c>
      <c r="B23" s="342" t="s">
        <v>5940</v>
      </c>
      <c r="C23" s="347" t="s">
        <v>6909</v>
      </c>
      <c r="D23" s="342" t="s">
        <v>2909</v>
      </c>
      <c r="E23" s="343" t="s">
        <v>7324</v>
      </c>
      <c r="F23" s="343" t="s">
        <v>7663</v>
      </c>
      <c r="G23" s="343" t="s">
        <v>6931</v>
      </c>
      <c r="H23" s="343" t="s">
        <v>7021</v>
      </c>
      <c r="I23" s="343" t="s">
        <v>7110</v>
      </c>
      <c r="J23" s="353">
        <v>1</v>
      </c>
      <c r="K23" s="346" t="s">
        <v>6846</v>
      </c>
      <c r="L23" s="346" t="s">
        <v>6846</v>
      </c>
      <c r="M23" s="356" t="s">
        <v>7191</v>
      </c>
      <c r="N23" s="356" t="s">
        <v>7208</v>
      </c>
      <c r="O23" s="356" t="s">
        <v>6797</v>
      </c>
      <c r="P23" s="347" t="s">
        <v>7233</v>
      </c>
      <c r="Q23" s="342" t="s">
        <v>2233</v>
      </c>
      <c r="R23" s="342" t="s">
        <v>3487</v>
      </c>
      <c r="S23" s="342"/>
      <c r="T23" s="342" t="s">
        <v>7475</v>
      </c>
      <c r="U23"/>
    </row>
    <row r="24" spans="1:21" ht="22" customHeight="1">
      <c r="A24" s="342" t="s">
        <v>5311</v>
      </c>
      <c r="B24" s="342" t="s">
        <v>5940</v>
      </c>
      <c r="C24" s="347" t="s">
        <v>6909</v>
      </c>
      <c r="D24" s="342" t="s">
        <v>2909</v>
      </c>
      <c r="E24" s="343" t="s">
        <v>7317</v>
      </c>
      <c r="F24" s="343" t="s">
        <v>7664</v>
      </c>
      <c r="G24" s="343" t="s">
        <v>6932</v>
      </c>
      <c r="H24" s="343" t="s">
        <v>7022</v>
      </c>
      <c r="I24" s="343" t="s">
        <v>7111</v>
      </c>
      <c r="J24" s="353">
        <v>0.5</v>
      </c>
      <c r="K24" s="346" t="s">
        <v>6846</v>
      </c>
      <c r="L24" s="346" t="s">
        <v>6846</v>
      </c>
      <c r="M24" s="356" t="s">
        <v>7191</v>
      </c>
      <c r="N24" s="356" t="s">
        <v>7208</v>
      </c>
      <c r="O24" s="356" t="s">
        <v>6797</v>
      </c>
      <c r="P24" s="347" t="s">
        <v>7233</v>
      </c>
      <c r="Q24" s="342" t="s">
        <v>2233</v>
      </c>
      <c r="R24" s="342" t="s">
        <v>3487</v>
      </c>
      <c r="S24" s="342"/>
      <c r="T24" s="342" t="s">
        <v>7477</v>
      </c>
      <c r="U24"/>
    </row>
    <row r="25" spans="1:21" ht="22" customHeight="1">
      <c r="A25" s="342" t="s">
        <v>5312</v>
      </c>
      <c r="B25" s="342" t="s">
        <v>5940</v>
      </c>
      <c r="C25" s="347" t="s">
        <v>6909</v>
      </c>
      <c r="D25" s="342" t="s">
        <v>2909</v>
      </c>
      <c r="E25" s="343" t="s">
        <v>7317</v>
      </c>
      <c r="F25" s="343" t="s">
        <v>7373</v>
      </c>
      <c r="G25" s="343" t="s">
        <v>6933</v>
      </c>
      <c r="H25" s="343" t="s">
        <v>7023</v>
      </c>
      <c r="I25" s="343" t="s">
        <v>7112</v>
      </c>
      <c r="J25" s="353">
        <v>0.5</v>
      </c>
      <c r="K25" s="346" t="s">
        <v>6846</v>
      </c>
      <c r="L25" s="346" t="s">
        <v>6846</v>
      </c>
      <c r="M25" s="356" t="s">
        <v>7191</v>
      </c>
      <c r="N25" s="356" t="s">
        <v>7208</v>
      </c>
      <c r="O25" s="356" t="s">
        <v>6797</v>
      </c>
      <c r="P25" s="347" t="s">
        <v>7233</v>
      </c>
      <c r="Q25" s="342" t="s">
        <v>2233</v>
      </c>
      <c r="R25" s="342" t="s">
        <v>3487</v>
      </c>
      <c r="S25" s="342"/>
      <c r="T25" s="342" t="s">
        <v>7479</v>
      </c>
      <c r="U25"/>
    </row>
    <row r="26" spans="1:21" ht="22" customHeight="1">
      <c r="A26" s="342" t="s">
        <v>5313</v>
      </c>
      <c r="B26" s="342" t="s">
        <v>5940</v>
      </c>
      <c r="C26" s="347" t="s">
        <v>6909</v>
      </c>
      <c r="D26" s="342" t="s">
        <v>2909</v>
      </c>
      <c r="E26" s="343" t="s">
        <v>7320</v>
      </c>
      <c r="F26" s="343" t="s">
        <v>7349</v>
      </c>
      <c r="G26" s="343" t="s">
        <v>6934</v>
      </c>
      <c r="H26" s="343" t="s">
        <v>7024</v>
      </c>
      <c r="I26" s="343" t="s">
        <v>7113</v>
      </c>
      <c r="J26" s="353">
        <v>0.5</v>
      </c>
      <c r="K26" s="346" t="s">
        <v>6846</v>
      </c>
      <c r="L26" s="346" t="s">
        <v>6846</v>
      </c>
      <c r="M26" s="356" t="s">
        <v>7191</v>
      </c>
      <c r="N26" s="356" t="s">
        <v>7208</v>
      </c>
      <c r="O26" s="356" t="s">
        <v>6867</v>
      </c>
      <c r="P26" s="347" t="s">
        <v>7233</v>
      </c>
      <c r="Q26" s="342" t="s">
        <v>2233</v>
      </c>
      <c r="R26" s="342" t="s">
        <v>3487</v>
      </c>
      <c r="S26" s="342"/>
      <c r="T26" s="342" t="s">
        <v>7456</v>
      </c>
      <c r="U26"/>
    </row>
    <row r="27" spans="1:21" ht="22" customHeight="1">
      <c r="A27" s="342" t="s">
        <v>5314</v>
      </c>
      <c r="B27" s="342" t="s">
        <v>5940</v>
      </c>
      <c r="C27" s="347" t="s">
        <v>6909</v>
      </c>
      <c r="D27" s="342" t="s">
        <v>2909</v>
      </c>
      <c r="E27" s="343" t="s">
        <v>7320</v>
      </c>
      <c r="F27" s="343" t="s">
        <v>7349</v>
      </c>
      <c r="G27" s="343" t="s">
        <v>6935</v>
      </c>
      <c r="H27" s="343" t="s">
        <v>7025</v>
      </c>
      <c r="I27" s="343" t="s">
        <v>7114</v>
      </c>
      <c r="J27" s="353">
        <v>2.5</v>
      </c>
      <c r="K27" s="346" t="s">
        <v>6846</v>
      </c>
      <c r="L27" s="346" t="s">
        <v>6846</v>
      </c>
      <c r="M27" s="356" t="s">
        <v>7191</v>
      </c>
      <c r="N27" s="356" t="s">
        <v>7208</v>
      </c>
      <c r="O27" s="356" t="s">
        <v>6867</v>
      </c>
      <c r="P27" s="347" t="s">
        <v>7233</v>
      </c>
      <c r="Q27" s="342" t="s">
        <v>5299</v>
      </c>
      <c r="R27" s="342" t="s">
        <v>3487</v>
      </c>
      <c r="S27" s="342"/>
      <c r="T27" s="342" t="s">
        <v>7456</v>
      </c>
      <c r="U27"/>
    </row>
    <row r="28" spans="1:21" ht="22" customHeight="1">
      <c r="A28" s="342" t="s">
        <v>5315</v>
      </c>
      <c r="B28" s="342" t="s">
        <v>5940</v>
      </c>
      <c r="C28" s="347" t="s">
        <v>6909</v>
      </c>
      <c r="D28" s="342" t="s">
        <v>2909</v>
      </c>
      <c r="E28" s="343" t="s">
        <v>7320</v>
      </c>
      <c r="F28" s="343" t="s">
        <v>7376</v>
      </c>
      <c r="G28" s="343" t="s">
        <v>6936</v>
      </c>
      <c r="H28" s="343" t="s">
        <v>7026</v>
      </c>
      <c r="I28" s="343" t="s">
        <v>7115</v>
      </c>
      <c r="J28" s="353">
        <v>2</v>
      </c>
      <c r="K28" s="346" t="s">
        <v>6846</v>
      </c>
      <c r="L28" s="346" t="s">
        <v>6846</v>
      </c>
      <c r="M28" s="356" t="s">
        <v>7191</v>
      </c>
      <c r="N28" s="356" t="s">
        <v>7208</v>
      </c>
      <c r="O28" s="356" t="s">
        <v>6797</v>
      </c>
      <c r="P28" s="347" t="s">
        <v>7233</v>
      </c>
      <c r="Q28" s="342" t="s">
        <v>5304</v>
      </c>
      <c r="R28" s="342" t="s">
        <v>3487</v>
      </c>
      <c r="S28" s="342"/>
      <c r="T28" s="342" t="s">
        <v>7481</v>
      </c>
      <c r="U28"/>
    </row>
    <row r="29" spans="1:21" ht="22" customHeight="1">
      <c r="A29" s="342" t="s">
        <v>5316</v>
      </c>
      <c r="B29" s="342" t="s">
        <v>5940</v>
      </c>
      <c r="C29" s="347" t="s">
        <v>6909</v>
      </c>
      <c r="D29" s="342" t="s">
        <v>2909</v>
      </c>
      <c r="E29" s="343" t="s">
        <v>7320</v>
      </c>
      <c r="F29" s="343" t="s">
        <v>7349</v>
      </c>
      <c r="G29" s="343" t="s">
        <v>6937</v>
      </c>
      <c r="H29" s="343" t="s">
        <v>7027</v>
      </c>
      <c r="I29" s="343" t="s">
        <v>7116</v>
      </c>
      <c r="J29" s="353">
        <v>2</v>
      </c>
      <c r="K29" s="346" t="s">
        <v>6846</v>
      </c>
      <c r="L29" s="346" t="s">
        <v>6846</v>
      </c>
      <c r="M29" s="356" t="s">
        <v>7191</v>
      </c>
      <c r="N29" s="356" t="s">
        <v>7208</v>
      </c>
      <c r="O29" s="356" t="s">
        <v>6867</v>
      </c>
      <c r="P29" s="347" t="s">
        <v>7233</v>
      </c>
      <c r="Q29" s="342" t="s">
        <v>2233</v>
      </c>
      <c r="R29" s="342" t="s">
        <v>3487</v>
      </c>
      <c r="S29" s="342"/>
      <c r="T29" s="342" t="s">
        <v>7456</v>
      </c>
      <c r="U29"/>
    </row>
    <row r="30" spans="1:21" ht="22" customHeight="1">
      <c r="A30" s="342" t="s">
        <v>661</v>
      </c>
      <c r="B30" s="342" t="s">
        <v>661</v>
      </c>
      <c r="C30" s="347" t="s">
        <v>6910</v>
      </c>
      <c r="D30" s="342" t="s">
        <v>6881</v>
      </c>
      <c r="E30" s="343" t="s">
        <v>7317</v>
      </c>
      <c r="F30" s="343" t="s">
        <v>7378</v>
      </c>
      <c r="G30" s="343" t="s">
        <v>6938</v>
      </c>
      <c r="H30" s="343" t="s">
        <v>7028</v>
      </c>
      <c r="I30" s="343" t="s">
        <v>7117</v>
      </c>
      <c r="J30" s="353">
        <v>1</v>
      </c>
      <c r="K30" s="346" t="s">
        <v>6846</v>
      </c>
      <c r="L30" s="346" t="s">
        <v>6846</v>
      </c>
      <c r="M30" s="356" t="s">
        <v>7191</v>
      </c>
      <c r="N30" s="356" t="s">
        <v>7208</v>
      </c>
      <c r="O30" s="356" t="s">
        <v>6797</v>
      </c>
      <c r="P30" s="347" t="s">
        <v>7233</v>
      </c>
      <c r="Q30" s="342" t="s">
        <v>2233</v>
      </c>
      <c r="R30" s="342" t="s">
        <v>3487</v>
      </c>
      <c r="S30" s="342"/>
      <c r="T30" s="342" t="s">
        <v>7483</v>
      </c>
      <c r="U30"/>
    </row>
    <row r="31" spans="1:21" ht="22" customHeight="1">
      <c r="A31" s="342" t="s">
        <v>5586</v>
      </c>
      <c r="B31" s="342" t="s">
        <v>5631</v>
      </c>
      <c r="C31" s="347" t="s">
        <v>6910</v>
      </c>
      <c r="D31" s="342" t="s">
        <v>6883</v>
      </c>
      <c r="E31" s="343" t="s">
        <v>7315</v>
      </c>
      <c r="F31" s="343" t="s">
        <v>7380</v>
      </c>
      <c r="G31" s="343" t="s">
        <v>6940</v>
      </c>
      <c r="H31" s="343" t="s">
        <v>7030</v>
      </c>
      <c r="I31" s="343" t="s">
        <v>7119</v>
      </c>
      <c r="J31" s="353">
        <v>1</v>
      </c>
      <c r="K31" s="346" t="s">
        <v>6846</v>
      </c>
      <c r="L31" s="346" t="s">
        <v>6846</v>
      </c>
      <c r="M31" s="356" t="s">
        <v>7192</v>
      </c>
      <c r="N31" s="356" t="s">
        <v>7210</v>
      </c>
      <c r="O31" s="356" t="s">
        <v>6797</v>
      </c>
      <c r="P31" s="347" t="s">
        <v>7230</v>
      </c>
      <c r="Q31" s="342" t="s">
        <v>2233</v>
      </c>
      <c r="R31" s="342" t="s">
        <v>3487</v>
      </c>
      <c r="S31" s="342"/>
      <c r="T31" s="342" t="s">
        <v>7485</v>
      </c>
      <c r="U31"/>
    </row>
    <row r="32" spans="1:21" ht="22" customHeight="1">
      <c r="A32" s="342" t="s">
        <v>5587</v>
      </c>
      <c r="B32" s="342" t="s">
        <v>5631</v>
      </c>
      <c r="C32" s="347" t="s">
        <v>6910</v>
      </c>
      <c r="D32" s="342" t="s">
        <v>6883</v>
      </c>
      <c r="E32" s="343" t="s">
        <v>7315</v>
      </c>
      <c r="F32" s="343" t="s">
        <v>7380</v>
      </c>
      <c r="G32" s="343" t="s">
        <v>6941</v>
      </c>
      <c r="H32" s="343" t="s">
        <v>7031</v>
      </c>
      <c r="I32" s="343" t="s">
        <v>7120</v>
      </c>
      <c r="J32" s="353">
        <v>1</v>
      </c>
      <c r="K32" s="346" t="s">
        <v>6846</v>
      </c>
      <c r="L32" s="346" t="s">
        <v>6846</v>
      </c>
      <c r="M32" s="356" t="s">
        <v>7192</v>
      </c>
      <c r="N32" s="356" t="s">
        <v>7210</v>
      </c>
      <c r="O32" s="356" t="s">
        <v>6797</v>
      </c>
      <c r="P32" s="347" t="s">
        <v>7230</v>
      </c>
      <c r="Q32" s="342" t="s">
        <v>2233</v>
      </c>
      <c r="R32" s="342" t="s">
        <v>3487</v>
      </c>
      <c r="S32" s="342"/>
      <c r="T32" s="342" t="s">
        <v>7485</v>
      </c>
      <c r="U32"/>
    </row>
    <row r="33" spans="1:21" ht="22" customHeight="1">
      <c r="A33" s="342" t="s">
        <v>5588</v>
      </c>
      <c r="B33" s="342" t="s">
        <v>5631</v>
      </c>
      <c r="C33" s="347" t="s">
        <v>6910</v>
      </c>
      <c r="D33" s="342" t="s">
        <v>6883</v>
      </c>
      <c r="E33" s="343" t="s">
        <v>7315</v>
      </c>
      <c r="F33" s="343" t="s">
        <v>7380</v>
      </c>
      <c r="G33" s="343" t="s">
        <v>6942</v>
      </c>
      <c r="H33" s="343" t="s">
        <v>7032</v>
      </c>
      <c r="I33" s="343" t="s">
        <v>7121</v>
      </c>
      <c r="J33" s="353">
        <v>0.5</v>
      </c>
      <c r="K33" s="346" t="s">
        <v>6846</v>
      </c>
      <c r="L33" s="346" t="s">
        <v>6846</v>
      </c>
      <c r="M33" s="356" t="s">
        <v>7192</v>
      </c>
      <c r="N33" s="356" t="s">
        <v>7210</v>
      </c>
      <c r="O33" s="356" t="s">
        <v>6797</v>
      </c>
      <c r="P33" s="347" t="s">
        <v>7230</v>
      </c>
      <c r="Q33" s="342" t="s">
        <v>2233</v>
      </c>
      <c r="R33" s="342" t="s">
        <v>3487</v>
      </c>
      <c r="S33" s="342"/>
      <c r="T33" s="342" t="s">
        <v>7485</v>
      </c>
      <c r="U33"/>
    </row>
    <row r="34" spans="1:21" ht="22" customHeight="1">
      <c r="A34" s="342" t="s">
        <v>5589</v>
      </c>
      <c r="B34" s="342" t="s">
        <v>5631</v>
      </c>
      <c r="C34" s="347" t="s">
        <v>6910</v>
      </c>
      <c r="D34" s="342" t="s">
        <v>2909</v>
      </c>
      <c r="E34" s="343" t="s">
        <v>7318</v>
      </c>
      <c r="F34" s="343" t="s">
        <v>7382</v>
      </c>
      <c r="G34" s="343" t="s">
        <v>6943</v>
      </c>
      <c r="H34" s="343" t="s">
        <v>7033</v>
      </c>
      <c r="I34" s="343" t="s">
        <v>7122</v>
      </c>
      <c r="J34" s="353">
        <v>2</v>
      </c>
      <c r="K34" s="346" t="s">
        <v>6846</v>
      </c>
      <c r="L34" s="346" t="s">
        <v>6846</v>
      </c>
      <c r="M34" s="356" t="s">
        <v>7192</v>
      </c>
      <c r="N34" s="356" t="s">
        <v>7210</v>
      </c>
      <c r="O34" s="356" t="s">
        <v>6797</v>
      </c>
      <c r="P34" s="347" t="s">
        <v>7230</v>
      </c>
      <c r="Q34" s="342" t="s">
        <v>2233</v>
      </c>
      <c r="R34" s="342" t="s">
        <v>3487</v>
      </c>
      <c r="S34" s="342"/>
      <c r="T34" s="342" t="s">
        <v>7487</v>
      </c>
      <c r="U34"/>
    </row>
    <row r="35" spans="1:21" ht="22" customHeight="1">
      <c r="A35" s="342" t="s">
        <v>5590</v>
      </c>
      <c r="B35" s="342" t="s">
        <v>5631</v>
      </c>
      <c r="C35" s="347" t="s">
        <v>6910</v>
      </c>
      <c r="D35" s="342" t="s">
        <v>2909</v>
      </c>
      <c r="E35" s="343" t="s">
        <v>7318</v>
      </c>
      <c r="F35" s="343" t="s">
        <v>7344</v>
      </c>
      <c r="G35" s="343" t="s">
        <v>6944</v>
      </c>
      <c r="H35" s="343" t="s">
        <v>7034</v>
      </c>
      <c r="I35" s="343" t="s">
        <v>7123</v>
      </c>
      <c r="J35" s="353">
        <v>2</v>
      </c>
      <c r="K35" s="346" t="s">
        <v>6846</v>
      </c>
      <c r="L35" s="346" t="s">
        <v>6846</v>
      </c>
      <c r="M35" s="356" t="s">
        <v>7192</v>
      </c>
      <c r="N35" s="356" t="s">
        <v>7198</v>
      </c>
      <c r="O35" s="356" t="s">
        <v>6797</v>
      </c>
      <c r="P35" s="347" t="s">
        <v>7230</v>
      </c>
      <c r="Q35" s="342" t="s">
        <v>2233</v>
      </c>
      <c r="R35" s="342" t="s">
        <v>3487</v>
      </c>
      <c r="S35" s="342"/>
      <c r="T35" s="342" t="s">
        <v>7487</v>
      </c>
      <c r="U35"/>
    </row>
    <row r="36" spans="1:21" ht="22" customHeight="1">
      <c r="A36" s="342" t="s">
        <v>5317</v>
      </c>
      <c r="B36" s="342" t="s">
        <v>5941</v>
      </c>
      <c r="C36" s="347" t="s">
        <v>6910</v>
      </c>
      <c r="D36" s="342" t="s">
        <v>6882</v>
      </c>
      <c r="E36" s="343" t="s">
        <v>7318</v>
      </c>
      <c r="F36" s="343" t="s">
        <v>7344</v>
      </c>
      <c r="G36" s="343" t="s">
        <v>6939</v>
      </c>
      <c r="H36" s="343" t="s">
        <v>7029</v>
      </c>
      <c r="I36" s="343" t="s">
        <v>7118</v>
      </c>
      <c r="J36" s="353">
        <v>2</v>
      </c>
      <c r="K36" s="346" t="s">
        <v>6846</v>
      </c>
      <c r="L36" s="346" t="s">
        <v>6846</v>
      </c>
      <c r="M36" s="356" t="s">
        <v>7665</v>
      </c>
      <c r="N36" s="356" t="s">
        <v>7198</v>
      </c>
      <c r="O36" s="356" t="s">
        <v>6797</v>
      </c>
      <c r="P36" s="347" t="s">
        <v>7233</v>
      </c>
      <c r="Q36" s="342" t="s">
        <v>5301</v>
      </c>
      <c r="R36" s="342" t="s">
        <v>3487</v>
      </c>
      <c r="S36" s="342"/>
      <c r="T36" s="342" t="s">
        <v>7451</v>
      </c>
      <c r="U36"/>
    </row>
    <row r="37" spans="1:21" ht="22" customHeight="1">
      <c r="A37" s="342" t="s">
        <v>5623</v>
      </c>
      <c r="B37" s="342" t="s">
        <v>5632</v>
      </c>
      <c r="C37" s="347" t="s">
        <v>6910</v>
      </c>
      <c r="D37" s="342" t="s">
        <v>6899</v>
      </c>
      <c r="E37" s="343" t="s">
        <v>7318</v>
      </c>
      <c r="F37" s="343" t="s">
        <v>7346</v>
      </c>
      <c r="G37" s="343" t="s">
        <v>6988</v>
      </c>
      <c r="H37" s="343" t="s">
        <v>7077</v>
      </c>
      <c r="I37" s="343" t="s">
        <v>7167</v>
      </c>
      <c r="J37" s="353">
        <v>1</v>
      </c>
      <c r="K37" s="346" t="s">
        <v>6846</v>
      </c>
      <c r="L37" s="346" t="s">
        <v>6846</v>
      </c>
      <c r="M37" s="356" t="s">
        <v>7188</v>
      </c>
      <c r="N37" s="356" t="s">
        <v>7225</v>
      </c>
      <c r="O37" s="356" t="s">
        <v>6797</v>
      </c>
      <c r="P37" s="347" t="s">
        <v>7229</v>
      </c>
      <c r="Q37" s="342" t="s">
        <v>5300</v>
      </c>
      <c r="R37" s="342" t="s">
        <v>3487</v>
      </c>
      <c r="S37" s="342"/>
      <c r="T37" s="342" t="s">
        <v>7453</v>
      </c>
      <c r="U37"/>
    </row>
    <row r="38" spans="1:21" ht="22" customHeight="1">
      <c r="A38" s="342" t="s">
        <v>5624</v>
      </c>
      <c r="B38" s="342" t="s">
        <v>5632</v>
      </c>
      <c r="C38" s="347" t="s">
        <v>6910</v>
      </c>
      <c r="D38" s="342" t="s">
        <v>6899</v>
      </c>
      <c r="E38" s="343" t="s">
        <v>7318</v>
      </c>
      <c r="F38" s="343" t="s">
        <v>7346</v>
      </c>
      <c r="G38" s="343" t="s">
        <v>6989</v>
      </c>
      <c r="H38" s="343" t="s">
        <v>7078</v>
      </c>
      <c r="I38" s="343" t="s">
        <v>7168</v>
      </c>
      <c r="J38" s="353">
        <v>1</v>
      </c>
      <c r="K38" s="346" t="s">
        <v>6846</v>
      </c>
      <c r="L38" s="346" t="s">
        <v>6846</v>
      </c>
      <c r="M38" s="356" t="s">
        <v>7188</v>
      </c>
      <c r="N38" s="356" t="s">
        <v>7225</v>
      </c>
      <c r="O38" s="356" t="s">
        <v>6797</v>
      </c>
      <c r="P38" s="347" t="s">
        <v>7229</v>
      </c>
      <c r="Q38" s="342" t="s">
        <v>5625</v>
      </c>
      <c r="R38" s="342" t="s">
        <v>3487</v>
      </c>
      <c r="S38" s="342"/>
      <c r="T38" s="342" t="s">
        <v>7453</v>
      </c>
      <c r="U38"/>
    </row>
    <row r="39" spans="1:21" ht="22" customHeight="1">
      <c r="A39" s="342" t="s">
        <v>5606</v>
      </c>
      <c r="B39" s="342" t="s">
        <v>5352</v>
      </c>
      <c r="C39" s="347" t="s">
        <v>6910</v>
      </c>
      <c r="D39" s="342" t="s">
        <v>6894</v>
      </c>
      <c r="E39" s="343" t="s">
        <v>7327</v>
      </c>
      <c r="F39" s="343" t="s">
        <v>7386</v>
      </c>
      <c r="G39" s="343" t="s">
        <v>6970</v>
      </c>
      <c r="H39" s="343" t="s">
        <v>7059</v>
      </c>
      <c r="I39" s="343" t="s">
        <v>7149</v>
      </c>
      <c r="J39" s="353">
        <v>1</v>
      </c>
      <c r="K39" s="346" t="s">
        <v>6846</v>
      </c>
      <c r="L39" s="346" t="s">
        <v>6846</v>
      </c>
      <c r="M39" s="356" t="s">
        <v>7189</v>
      </c>
      <c r="N39" s="356" t="s">
        <v>7207</v>
      </c>
      <c r="O39" s="356" t="s">
        <v>6797</v>
      </c>
      <c r="P39" s="347" t="s">
        <v>7233</v>
      </c>
      <c r="Q39" s="342" t="s">
        <v>2233</v>
      </c>
      <c r="R39" s="342" t="s">
        <v>3487</v>
      </c>
      <c r="S39" s="342"/>
      <c r="T39" s="342" t="s">
        <v>7491</v>
      </c>
      <c r="U39"/>
    </row>
    <row r="40" spans="1:21" ht="22" customHeight="1">
      <c r="A40" s="342" t="s">
        <v>5607</v>
      </c>
      <c r="B40" s="342" t="s">
        <v>5352</v>
      </c>
      <c r="C40" s="347" t="s">
        <v>6910</v>
      </c>
      <c r="D40" s="342" t="s">
        <v>6894</v>
      </c>
      <c r="E40" s="343" t="s">
        <v>7327</v>
      </c>
      <c r="F40" s="343" t="s">
        <v>7386</v>
      </c>
      <c r="G40" s="343" t="s">
        <v>6971</v>
      </c>
      <c r="H40" s="343" t="s">
        <v>7060</v>
      </c>
      <c r="I40" s="343" t="s">
        <v>7150</v>
      </c>
      <c r="J40" s="353">
        <v>1</v>
      </c>
      <c r="K40" s="346" t="s">
        <v>6846</v>
      </c>
      <c r="L40" s="346" t="s">
        <v>6846</v>
      </c>
      <c r="M40" s="356" t="s">
        <v>7189</v>
      </c>
      <c r="N40" s="356" t="s">
        <v>7207</v>
      </c>
      <c r="O40" s="356" t="s">
        <v>6797</v>
      </c>
      <c r="P40" s="347" t="s">
        <v>7233</v>
      </c>
      <c r="Q40" s="342" t="s">
        <v>5606</v>
      </c>
      <c r="R40" s="342" t="s">
        <v>3487</v>
      </c>
      <c r="S40" s="342"/>
      <c r="T40" s="342" t="s">
        <v>7491</v>
      </c>
      <c r="U40"/>
    </row>
    <row r="41" spans="1:21" ht="22" customHeight="1">
      <c r="A41" s="342" t="s">
        <v>5302</v>
      </c>
      <c r="B41" s="342" t="s">
        <v>603</v>
      </c>
      <c r="C41" s="347" t="s">
        <v>6907</v>
      </c>
      <c r="D41" s="342" t="s">
        <v>6872</v>
      </c>
      <c r="E41" s="343" t="s">
        <v>7327</v>
      </c>
      <c r="F41" s="343" t="s">
        <v>7386</v>
      </c>
      <c r="G41" s="343" t="s">
        <v>6912</v>
      </c>
      <c r="H41" s="343" t="s">
        <v>7006</v>
      </c>
      <c r="I41" s="343" t="s">
        <v>7095</v>
      </c>
      <c r="J41" s="353">
        <v>1</v>
      </c>
      <c r="K41" s="346" t="s">
        <v>6846</v>
      </c>
      <c r="L41" s="346" t="s">
        <v>6846</v>
      </c>
      <c r="M41" s="356" t="s">
        <v>7189</v>
      </c>
      <c r="N41" s="356" t="s">
        <v>7202</v>
      </c>
      <c r="O41" s="356" t="s">
        <v>7228</v>
      </c>
      <c r="P41" s="347" t="s">
        <v>7233</v>
      </c>
      <c r="Q41" s="342" t="s">
        <v>2233</v>
      </c>
      <c r="R41" s="342" t="s">
        <v>3487</v>
      </c>
      <c r="S41" s="342"/>
      <c r="T41" s="342" t="s">
        <v>7491</v>
      </c>
      <c r="U41"/>
    </row>
    <row r="42" spans="1:21" ht="22" customHeight="1">
      <c r="A42" s="342" t="s">
        <v>5306</v>
      </c>
      <c r="B42" s="342" t="s">
        <v>5306</v>
      </c>
      <c r="C42" s="347" t="s">
        <v>6907</v>
      </c>
      <c r="D42" s="342" t="s">
        <v>6877</v>
      </c>
      <c r="E42" s="343" t="s">
        <v>7316</v>
      </c>
      <c r="F42" s="343" t="s">
        <v>7388</v>
      </c>
      <c r="G42" s="343" t="s">
        <v>6920</v>
      </c>
      <c r="H42" s="343" t="s">
        <v>7014</v>
      </c>
      <c r="I42" s="343" t="s">
        <v>7103</v>
      </c>
      <c r="J42" s="353">
        <v>3</v>
      </c>
      <c r="K42" s="346" t="s">
        <v>6846</v>
      </c>
      <c r="L42" s="346" t="s">
        <v>6846</v>
      </c>
      <c r="M42" s="356" t="s">
        <v>7184</v>
      </c>
      <c r="N42" s="356" t="s">
        <v>7200</v>
      </c>
      <c r="O42" s="356" t="s">
        <v>6797</v>
      </c>
      <c r="P42" s="347" t="s">
        <v>7231</v>
      </c>
      <c r="Q42" s="342" t="s">
        <v>2233</v>
      </c>
      <c r="R42" s="342" t="s">
        <v>3487</v>
      </c>
      <c r="S42" s="342"/>
      <c r="T42" s="342" t="s">
        <v>7493</v>
      </c>
      <c r="U42"/>
    </row>
    <row r="43" spans="1:21" ht="22" customHeight="1">
      <c r="A43" s="342" t="s">
        <v>5592</v>
      </c>
      <c r="B43" s="342" t="s">
        <v>5631</v>
      </c>
      <c r="C43" s="347" t="s">
        <v>6910</v>
      </c>
      <c r="D43" s="342" t="s">
        <v>6884</v>
      </c>
      <c r="E43" s="343" t="s">
        <v>7326</v>
      </c>
      <c r="F43" s="343" t="s">
        <v>7384</v>
      </c>
      <c r="G43" s="343" t="s">
        <v>6946</v>
      </c>
      <c r="H43" s="343" t="s">
        <v>7036</v>
      </c>
      <c r="I43" s="343" t="s">
        <v>7125</v>
      </c>
      <c r="J43" s="353">
        <v>0.5</v>
      </c>
      <c r="K43" s="346" t="s">
        <v>6848</v>
      </c>
      <c r="L43" s="346" t="s">
        <v>6848</v>
      </c>
      <c r="M43" s="356" t="s">
        <v>7192</v>
      </c>
      <c r="N43" s="356" t="s">
        <v>7210</v>
      </c>
      <c r="O43" s="356" t="s">
        <v>6797</v>
      </c>
      <c r="P43" s="347" t="s">
        <v>7230</v>
      </c>
      <c r="Q43" s="342" t="s">
        <v>2233</v>
      </c>
      <c r="R43" s="342" t="s">
        <v>3487</v>
      </c>
      <c r="S43" s="342"/>
      <c r="T43" s="342" t="s">
        <v>7489</v>
      </c>
      <c r="U43"/>
    </row>
    <row r="44" spans="1:21" ht="22" customHeight="1">
      <c r="A44" s="342" t="s">
        <v>5593</v>
      </c>
      <c r="B44" s="342" t="s">
        <v>5631</v>
      </c>
      <c r="C44" s="347" t="s">
        <v>6910</v>
      </c>
      <c r="D44" s="342" t="s">
        <v>6884</v>
      </c>
      <c r="E44" s="343" t="s">
        <v>7326</v>
      </c>
      <c r="F44" s="343" t="s">
        <v>7384</v>
      </c>
      <c r="G44" s="343" t="s">
        <v>6947</v>
      </c>
      <c r="H44" s="343" t="s">
        <v>7037</v>
      </c>
      <c r="I44" s="343" t="s">
        <v>7126</v>
      </c>
      <c r="J44" s="353">
        <v>3</v>
      </c>
      <c r="K44" s="346" t="s">
        <v>6848</v>
      </c>
      <c r="L44" s="346" t="s">
        <v>6848</v>
      </c>
      <c r="M44" s="356" t="s">
        <v>7185</v>
      </c>
      <c r="N44" s="356" t="s">
        <v>7212</v>
      </c>
      <c r="O44" s="356" t="s">
        <v>6797</v>
      </c>
      <c r="P44" s="347" t="s">
        <v>7232</v>
      </c>
      <c r="Q44" s="342" t="s">
        <v>2233</v>
      </c>
      <c r="R44" s="342" t="s">
        <v>3487</v>
      </c>
      <c r="S44" s="342"/>
      <c r="T44" s="342" t="s">
        <v>7489</v>
      </c>
      <c r="U44"/>
    </row>
    <row r="45" spans="1:21" ht="22" customHeight="1">
      <c r="A45" s="342" t="s">
        <v>5594</v>
      </c>
      <c r="B45" s="342" t="s">
        <v>5631</v>
      </c>
      <c r="C45" s="347" t="s">
        <v>6910</v>
      </c>
      <c r="D45" s="342" t="s">
        <v>6884</v>
      </c>
      <c r="E45" s="343" t="s">
        <v>6480</v>
      </c>
      <c r="F45" s="343" t="s">
        <v>7389</v>
      </c>
      <c r="G45" s="343" t="s">
        <v>6948</v>
      </c>
      <c r="H45" s="343" t="s">
        <v>7038</v>
      </c>
      <c r="I45" s="343" t="s">
        <v>7127</v>
      </c>
      <c r="J45" s="353">
        <v>2</v>
      </c>
      <c r="K45" s="346" t="s">
        <v>6848</v>
      </c>
      <c r="L45" s="346" t="s">
        <v>6848</v>
      </c>
      <c r="M45" s="356" t="s">
        <v>7193</v>
      </c>
      <c r="N45" s="356" t="s">
        <v>7213</v>
      </c>
      <c r="O45" s="356" t="s">
        <v>6797</v>
      </c>
      <c r="P45" s="347" t="s">
        <v>7231</v>
      </c>
      <c r="Q45" s="342" t="s">
        <v>2233</v>
      </c>
      <c r="R45" s="342" t="s">
        <v>3487</v>
      </c>
      <c r="S45" s="342"/>
      <c r="T45" s="342" t="s">
        <v>7494</v>
      </c>
      <c r="U45"/>
    </row>
    <row r="46" spans="1:21" ht="22" customHeight="1">
      <c r="A46" s="342" t="s">
        <v>5595</v>
      </c>
      <c r="B46" s="342" t="s">
        <v>5631</v>
      </c>
      <c r="C46" s="347" t="s">
        <v>6910</v>
      </c>
      <c r="D46" s="342" t="s">
        <v>6884</v>
      </c>
      <c r="E46" s="343" t="s">
        <v>7326</v>
      </c>
      <c r="F46" s="343" t="s">
        <v>7391</v>
      </c>
      <c r="G46" s="343" t="s">
        <v>6949</v>
      </c>
      <c r="H46" s="343" t="s">
        <v>7039</v>
      </c>
      <c r="I46" s="343" t="s">
        <v>7128</v>
      </c>
      <c r="J46" s="353">
        <v>0.5</v>
      </c>
      <c r="K46" s="346" t="s">
        <v>6846</v>
      </c>
      <c r="L46" s="346" t="s">
        <v>6846</v>
      </c>
      <c r="M46" s="356" t="s">
        <v>7192</v>
      </c>
      <c r="N46" s="356" t="s">
        <v>7210</v>
      </c>
      <c r="O46" s="356" t="s">
        <v>6797</v>
      </c>
      <c r="P46" s="347" t="s">
        <v>7230</v>
      </c>
      <c r="Q46" s="342" t="s">
        <v>2233</v>
      </c>
      <c r="R46" s="342" t="s">
        <v>3487</v>
      </c>
      <c r="S46" s="342"/>
      <c r="T46" s="342" t="s">
        <v>7496</v>
      </c>
      <c r="U46"/>
    </row>
    <row r="47" spans="1:21" ht="22" customHeight="1">
      <c r="A47" s="342" t="s">
        <v>5596</v>
      </c>
      <c r="B47" s="342" t="s">
        <v>5631</v>
      </c>
      <c r="C47" s="347" t="s">
        <v>6910</v>
      </c>
      <c r="D47" s="342" t="s">
        <v>6886</v>
      </c>
      <c r="E47" s="343" t="s">
        <v>7326</v>
      </c>
      <c r="F47" s="343" t="s">
        <v>7391</v>
      </c>
      <c r="G47" s="343" t="s">
        <v>6950</v>
      </c>
      <c r="H47" s="343" t="s">
        <v>7040</v>
      </c>
      <c r="I47" s="343" t="s">
        <v>7129</v>
      </c>
      <c r="J47" s="353">
        <v>1</v>
      </c>
      <c r="K47" s="346" t="s">
        <v>6846</v>
      </c>
      <c r="L47" s="346" t="s">
        <v>6846</v>
      </c>
      <c r="M47" s="356" t="s">
        <v>7192</v>
      </c>
      <c r="N47" s="356" t="s">
        <v>7210</v>
      </c>
      <c r="O47" s="356" t="s">
        <v>6797</v>
      </c>
      <c r="P47" s="347" t="s">
        <v>7229</v>
      </c>
      <c r="Q47" s="342" t="s">
        <v>2233</v>
      </c>
      <c r="R47" s="342" t="s">
        <v>3487</v>
      </c>
      <c r="S47" s="342"/>
      <c r="T47" s="342" t="s">
        <v>7496</v>
      </c>
      <c r="U47"/>
    </row>
    <row r="48" spans="1:21" ht="22" customHeight="1">
      <c r="A48" s="342" t="s">
        <v>5597</v>
      </c>
      <c r="B48" s="342" t="s">
        <v>5631</v>
      </c>
      <c r="C48" s="347" t="s">
        <v>6910</v>
      </c>
      <c r="D48" s="342" t="s">
        <v>6887</v>
      </c>
      <c r="E48" s="343" t="s">
        <v>7315</v>
      </c>
      <c r="F48" s="343" t="s">
        <v>7395</v>
      </c>
      <c r="G48" s="343" t="s">
        <v>6951</v>
      </c>
      <c r="H48" s="343" t="s">
        <v>7041</v>
      </c>
      <c r="I48" s="343" t="s">
        <v>7130</v>
      </c>
      <c r="J48" s="353">
        <v>2</v>
      </c>
      <c r="K48" s="346" t="s">
        <v>6846</v>
      </c>
      <c r="L48" s="346" t="s">
        <v>6848</v>
      </c>
      <c r="M48" s="356" t="s">
        <v>7192</v>
      </c>
      <c r="N48" s="356" t="s">
        <v>7214</v>
      </c>
      <c r="O48" s="356" t="s">
        <v>6797</v>
      </c>
      <c r="P48" s="347" t="s">
        <v>7232</v>
      </c>
      <c r="Q48" s="342" t="s">
        <v>2233</v>
      </c>
      <c r="R48" s="342" t="s">
        <v>7234</v>
      </c>
      <c r="S48" s="342"/>
      <c r="T48" s="342" t="s">
        <v>7501</v>
      </c>
      <c r="U48"/>
    </row>
    <row r="49" spans="1:21" ht="22" customHeight="1">
      <c r="A49" s="342" t="s">
        <v>5598</v>
      </c>
      <c r="B49" s="342" t="s">
        <v>5631</v>
      </c>
      <c r="C49" s="347" t="s">
        <v>6910</v>
      </c>
      <c r="D49" s="342" t="s">
        <v>6884</v>
      </c>
      <c r="E49" s="343" t="s">
        <v>7312</v>
      </c>
      <c r="F49" s="343" t="s">
        <v>7369</v>
      </c>
      <c r="G49" s="343" t="s">
        <v>6952</v>
      </c>
      <c r="H49" s="343" t="s">
        <v>7042</v>
      </c>
      <c r="I49" s="343" t="s">
        <v>7131</v>
      </c>
      <c r="J49" s="353">
        <v>4</v>
      </c>
      <c r="K49" s="346" t="s">
        <v>6846</v>
      </c>
      <c r="L49" s="346" t="s">
        <v>6848</v>
      </c>
      <c r="M49" s="356" t="s">
        <v>7192</v>
      </c>
      <c r="N49" s="356" t="s">
        <v>7215</v>
      </c>
      <c r="O49" s="356" t="s">
        <v>6797</v>
      </c>
      <c r="P49" s="347" t="s">
        <v>7232</v>
      </c>
      <c r="Q49" s="342" t="s">
        <v>2233</v>
      </c>
      <c r="R49" s="342" t="s">
        <v>3487</v>
      </c>
      <c r="S49" s="342"/>
      <c r="T49" s="342" t="s">
        <v>7473</v>
      </c>
      <c r="U49"/>
    </row>
    <row r="50" spans="1:21" ht="22" customHeight="1">
      <c r="A50" s="342" t="s">
        <v>5599</v>
      </c>
      <c r="B50" s="342" t="s">
        <v>5631</v>
      </c>
      <c r="C50" s="347" t="s">
        <v>6910</v>
      </c>
      <c r="D50" s="342" t="s">
        <v>6884</v>
      </c>
      <c r="E50" s="343" t="s">
        <v>7312</v>
      </c>
      <c r="F50" s="343" t="s">
        <v>7331</v>
      </c>
      <c r="G50" s="343" t="s">
        <v>6953</v>
      </c>
      <c r="H50" s="343" t="s">
        <v>6250</v>
      </c>
      <c r="I50" s="343" t="s">
        <v>7132</v>
      </c>
      <c r="J50" s="353">
        <v>4</v>
      </c>
      <c r="K50" s="346" t="s">
        <v>6846</v>
      </c>
      <c r="L50" s="346" t="s">
        <v>6846</v>
      </c>
      <c r="M50" s="356" t="s">
        <v>7192</v>
      </c>
      <c r="N50" s="356" t="s">
        <v>7210</v>
      </c>
      <c r="O50" s="356" t="s">
        <v>6797</v>
      </c>
      <c r="P50" s="347" t="s">
        <v>7232</v>
      </c>
      <c r="Q50" s="342" t="s">
        <v>2233</v>
      </c>
      <c r="R50" s="342" t="s">
        <v>3487</v>
      </c>
      <c r="S50" s="342"/>
      <c r="T50" s="342" t="s">
        <v>7442</v>
      </c>
      <c r="U50"/>
    </row>
    <row r="51" spans="1:21" ht="22" customHeight="1">
      <c r="A51" s="342" t="s">
        <v>5600</v>
      </c>
      <c r="B51" s="342" t="s">
        <v>5631</v>
      </c>
      <c r="C51" s="347" t="s">
        <v>6910</v>
      </c>
      <c r="D51" s="342" t="s">
        <v>6887</v>
      </c>
      <c r="E51" s="343" t="s">
        <v>7315</v>
      </c>
      <c r="F51" s="343" t="s">
        <v>7395</v>
      </c>
      <c r="G51" s="343" t="s">
        <v>6954</v>
      </c>
      <c r="H51" s="343" t="s">
        <v>7043</v>
      </c>
      <c r="I51" s="343" t="s">
        <v>7133</v>
      </c>
      <c r="J51" s="353">
        <v>5</v>
      </c>
      <c r="K51" s="346" t="s">
        <v>6846</v>
      </c>
      <c r="L51" s="346" t="s">
        <v>6846</v>
      </c>
      <c r="M51" s="356" t="s">
        <v>7192</v>
      </c>
      <c r="N51" s="356" t="s">
        <v>7210</v>
      </c>
      <c r="O51" s="356" t="s">
        <v>6797</v>
      </c>
      <c r="P51" s="347" t="s">
        <v>7230</v>
      </c>
      <c r="Q51" s="342" t="s">
        <v>2233</v>
      </c>
      <c r="R51" s="342" t="s">
        <v>7234</v>
      </c>
      <c r="S51" s="342"/>
      <c r="T51" s="342" t="s">
        <v>7501</v>
      </c>
      <c r="U51"/>
    </row>
    <row r="52" spans="1:21" ht="22" customHeight="1">
      <c r="A52" s="342" t="s">
        <v>6233</v>
      </c>
      <c r="B52" s="342" t="s">
        <v>5349</v>
      </c>
      <c r="C52" s="347" t="s">
        <v>6910</v>
      </c>
      <c r="D52" s="342" t="s">
        <v>6888</v>
      </c>
      <c r="E52" s="343" t="s">
        <v>7323</v>
      </c>
      <c r="F52" s="343" t="s">
        <v>7358</v>
      </c>
      <c r="G52" s="343" t="s">
        <v>6956</v>
      </c>
      <c r="H52" s="343" t="s">
        <v>7045</v>
      </c>
      <c r="I52" s="343" t="s">
        <v>7135</v>
      </c>
      <c r="J52" s="353">
        <v>0.5</v>
      </c>
      <c r="K52" s="346" t="s">
        <v>6846</v>
      </c>
      <c r="L52" s="346" t="s">
        <v>6846</v>
      </c>
      <c r="M52" s="356" t="s">
        <v>7187</v>
      </c>
      <c r="N52" s="356" t="s">
        <v>7216</v>
      </c>
      <c r="O52" s="356" t="s">
        <v>6797</v>
      </c>
      <c r="P52" s="347" t="s">
        <v>7230</v>
      </c>
      <c r="Q52" s="342" t="s">
        <v>6228</v>
      </c>
      <c r="R52" s="342" t="s">
        <v>3487</v>
      </c>
      <c r="S52" s="342" t="s">
        <v>5972</v>
      </c>
      <c r="T52" s="342" t="s">
        <v>7462</v>
      </c>
      <c r="U52"/>
    </row>
    <row r="53" spans="1:21" ht="22" customHeight="1">
      <c r="A53" s="342" t="s">
        <v>6234</v>
      </c>
      <c r="B53" s="342" t="s">
        <v>5349</v>
      </c>
      <c r="C53" s="347" t="s">
        <v>6910</v>
      </c>
      <c r="D53" s="342" t="s">
        <v>2909</v>
      </c>
      <c r="E53" s="343" t="s">
        <v>7313</v>
      </c>
      <c r="F53" s="343" t="s">
        <v>7334</v>
      </c>
      <c r="G53" s="343" t="s">
        <v>6957</v>
      </c>
      <c r="H53" s="343" t="s">
        <v>7046</v>
      </c>
      <c r="I53" s="343" t="s">
        <v>7136</v>
      </c>
      <c r="J53" s="353">
        <v>0.5</v>
      </c>
      <c r="K53" s="346" t="s">
        <v>6846</v>
      </c>
      <c r="L53" s="346" t="s">
        <v>6846</v>
      </c>
      <c r="M53" s="356" t="s">
        <v>7187</v>
      </c>
      <c r="N53" s="356" t="s">
        <v>7197</v>
      </c>
      <c r="O53" s="356" t="s">
        <v>6797</v>
      </c>
      <c r="P53" s="347" t="s">
        <v>7230</v>
      </c>
      <c r="Q53" s="342" t="s">
        <v>6228</v>
      </c>
      <c r="R53" s="342" t="s">
        <v>3487</v>
      </c>
      <c r="S53" s="342" t="s">
        <v>5986</v>
      </c>
      <c r="T53" s="342" t="s">
        <v>7443</v>
      </c>
      <c r="U53"/>
    </row>
    <row r="54" spans="1:21" ht="22" customHeight="1">
      <c r="A54" s="342" t="s">
        <v>6235</v>
      </c>
      <c r="B54" s="342" t="s">
        <v>5349</v>
      </c>
      <c r="C54" s="347" t="s">
        <v>6910</v>
      </c>
      <c r="D54" s="342" t="s">
        <v>2909</v>
      </c>
      <c r="E54" s="343" t="s">
        <v>7313</v>
      </c>
      <c r="F54" s="343" t="s">
        <v>7336</v>
      </c>
      <c r="G54" s="343" t="s">
        <v>6958</v>
      </c>
      <c r="H54" s="343" t="s">
        <v>7047</v>
      </c>
      <c r="I54" s="343" t="s">
        <v>7137</v>
      </c>
      <c r="J54" s="353">
        <v>0.5</v>
      </c>
      <c r="K54" s="346" t="s">
        <v>6846</v>
      </c>
      <c r="L54" s="346" t="s">
        <v>6846</v>
      </c>
      <c r="M54" s="356" t="s">
        <v>7187</v>
      </c>
      <c r="N54" s="356" t="s">
        <v>7197</v>
      </c>
      <c r="O54" s="356" t="s">
        <v>6797</v>
      </c>
      <c r="P54" s="347" t="s">
        <v>7230</v>
      </c>
      <c r="Q54" s="342" t="s">
        <v>6228</v>
      </c>
      <c r="R54" s="342" t="s">
        <v>3487</v>
      </c>
      <c r="S54" s="342" t="s">
        <v>5990</v>
      </c>
      <c r="T54" s="342" t="s">
        <v>7444</v>
      </c>
      <c r="U54"/>
    </row>
    <row r="55" spans="1:21" ht="22" customHeight="1">
      <c r="A55" s="342" t="s">
        <v>6236</v>
      </c>
      <c r="B55" s="342" t="s">
        <v>5349</v>
      </c>
      <c r="C55" s="347" t="s">
        <v>6910</v>
      </c>
      <c r="D55" s="342" t="s">
        <v>2909</v>
      </c>
      <c r="E55" s="343" t="s">
        <v>6476</v>
      </c>
      <c r="F55" s="343" t="s">
        <v>7238</v>
      </c>
      <c r="G55" s="343" t="s">
        <v>6959</v>
      </c>
      <c r="H55" s="343" t="s">
        <v>7048</v>
      </c>
      <c r="I55" s="343" t="s">
        <v>7138</v>
      </c>
      <c r="J55" s="353">
        <v>0.5</v>
      </c>
      <c r="K55" s="346" t="s">
        <v>6846</v>
      </c>
      <c r="L55" s="346" t="s">
        <v>6846</v>
      </c>
      <c r="M55" s="356" t="s">
        <v>7188</v>
      </c>
      <c r="N55" s="356" t="s">
        <v>7217</v>
      </c>
      <c r="O55" s="356" t="s">
        <v>6797</v>
      </c>
      <c r="P55" s="347" t="s">
        <v>7230</v>
      </c>
      <c r="Q55" s="342" t="s">
        <v>6228</v>
      </c>
      <c r="R55" s="342" t="s">
        <v>3487</v>
      </c>
      <c r="S55" s="342" t="s">
        <v>6002</v>
      </c>
      <c r="T55" s="342" t="s">
        <v>7505</v>
      </c>
      <c r="U55"/>
    </row>
    <row r="56" spans="1:21" ht="22" customHeight="1">
      <c r="A56" s="342" t="s">
        <v>6237</v>
      </c>
      <c r="B56" s="342" t="s">
        <v>5349</v>
      </c>
      <c r="C56" s="347" t="s">
        <v>6910</v>
      </c>
      <c r="D56" s="342" t="s">
        <v>2909</v>
      </c>
      <c r="E56" s="343" t="s">
        <v>6476</v>
      </c>
      <c r="F56" s="343" t="s">
        <v>7239</v>
      </c>
      <c r="G56" s="343" t="s">
        <v>6960</v>
      </c>
      <c r="H56" s="343" t="s">
        <v>7049</v>
      </c>
      <c r="I56" s="343" t="s">
        <v>7139</v>
      </c>
      <c r="J56" s="353">
        <v>0.5</v>
      </c>
      <c r="K56" s="346" t="s">
        <v>6846</v>
      </c>
      <c r="L56" s="346" t="s">
        <v>6846</v>
      </c>
      <c r="M56" s="356" t="s">
        <v>7188</v>
      </c>
      <c r="N56" s="356" t="s">
        <v>7217</v>
      </c>
      <c r="O56" s="356" t="s">
        <v>6797</v>
      </c>
      <c r="P56" s="347" t="s">
        <v>7230</v>
      </c>
      <c r="Q56" s="342" t="s">
        <v>6228</v>
      </c>
      <c r="R56" s="342" t="s">
        <v>3487</v>
      </c>
      <c r="S56" s="342" t="s">
        <v>6008</v>
      </c>
      <c r="T56" s="342" t="s">
        <v>7506</v>
      </c>
      <c r="U56"/>
    </row>
    <row r="57" spans="1:21" ht="22" customHeight="1">
      <c r="A57" s="342" t="s">
        <v>5591</v>
      </c>
      <c r="B57" s="342" t="s">
        <v>5631</v>
      </c>
      <c r="C57" s="347" t="s">
        <v>6910</v>
      </c>
      <c r="D57" s="342" t="s">
        <v>6885</v>
      </c>
      <c r="E57" s="343" t="s">
        <v>7325</v>
      </c>
      <c r="F57" s="343" t="s">
        <v>7398</v>
      </c>
      <c r="G57" s="343" t="s">
        <v>6945</v>
      </c>
      <c r="H57" s="343" t="s">
        <v>7035</v>
      </c>
      <c r="I57" s="343" t="s">
        <v>7124</v>
      </c>
      <c r="J57" s="353">
        <v>2</v>
      </c>
      <c r="K57" s="346" t="s">
        <v>6848</v>
      </c>
      <c r="L57" s="346" t="s">
        <v>6848</v>
      </c>
      <c r="M57" s="356" t="s">
        <v>7192</v>
      </c>
      <c r="N57" s="356" t="s">
        <v>7211</v>
      </c>
      <c r="O57" s="356" t="s">
        <v>6797</v>
      </c>
      <c r="P57" s="347" t="s">
        <v>7230</v>
      </c>
      <c r="Q57" s="342" t="s">
        <v>2233</v>
      </c>
      <c r="R57" s="342" t="s">
        <v>3487</v>
      </c>
      <c r="S57" s="342"/>
      <c r="T57" s="342" t="s">
        <v>7504</v>
      </c>
      <c r="U57"/>
    </row>
    <row r="58" spans="1:21" ht="22" customHeight="1">
      <c r="A58" s="342" t="s">
        <v>6900</v>
      </c>
      <c r="B58" s="342" t="s">
        <v>6785</v>
      </c>
      <c r="C58" s="347" t="s">
        <v>6910</v>
      </c>
      <c r="D58" s="342"/>
      <c r="E58" s="343" t="s">
        <v>7326</v>
      </c>
      <c r="F58" s="343" t="s">
        <v>7393</v>
      </c>
      <c r="G58" s="343" t="s">
        <v>6964</v>
      </c>
      <c r="H58" s="343" t="s">
        <v>7053</v>
      </c>
      <c r="I58" s="343" t="s">
        <v>7143</v>
      </c>
      <c r="J58" s="353">
        <v>2</v>
      </c>
      <c r="K58" s="346" t="s">
        <v>6846</v>
      </c>
      <c r="L58" s="346" t="s">
        <v>6846</v>
      </c>
      <c r="M58" s="356" t="s">
        <v>7189</v>
      </c>
      <c r="N58" s="356" t="s">
        <v>7219</v>
      </c>
      <c r="O58" s="356" t="s">
        <v>6797</v>
      </c>
      <c r="P58" s="347" t="s">
        <v>7231</v>
      </c>
      <c r="Q58" s="342" t="s">
        <v>2233</v>
      </c>
      <c r="R58" s="342" t="s">
        <v>3487</v>
      </c>
      <c r="S58" s="342"/>
      <c r="T58" s="342" t="s">
        <v>7498</v>
      </c>
      <c r="U58"/>
    </row>
    <row r="59" spans="1:21" ht="22" customHeight="1">
      <c r="A59" s="342" t="s">
        <v>5602</v>
      </c>
      <c r="B59" s="342" t="s">
        <v>5350</v>
      </c>
      <c r="C59" s="347" t="s">
        <v>6910</v>
      </c>
      <c r="D59" s="342" t="s">
        <v>6891</v>
      </c>
      <c r="E59" s="343" t="s">
        <v>7327</v>
      </c>
      <c r="F59" s="343" t="s">
        <v>7386</v>
      </c>
      <c r="G59" s="343" t="s">
        <v>6965</v>
      </c>
      <c r="H59" s="343" t="s">
        <v>7054</v>
      </c>
      <c r="I59" s="343" t="s">
        <v>7144</v>
      </c>
      <c r="J59" s="353">
        <v>2</v>
      </c>
      <c r="K59" s="346" t="s">
        <v>6846</v>
      </c>
      <c r="L59" s="346" t="s">
        <v>6846</v>
      </c>
      <c r="M59" s="356" t="s">
        <v>7195</v>
      </c>
      <c r="N59" s="356" t="s">
        <v>7220</v>
      </c>
      <c r="O59" s="356" t="s">
        <v>7228</v>
      </c>
      <c r="P59" s="347" t="s">
        <v>7233</v>
      </c>
      <c r="Q59" s="342"/>
      <c r="R59" s="342" t="s">
        <v>3487</v>
      </c>
      <c r="S59" s="342"/>
      <c r="T59" s="342" t="s">
        <v>7491</v>
      </c>
      <c r="U59"/>
    </row>
    <row r="60" spans="1:21" ht="22" customHeight="1">
      <c r="A60" s="342" t="s">
        <v>5603</v>
      </c>
      <c r="B60" s="342" t="s">
        <v>5351</v>
      </c>
      <c r="C60" s="347" t="s">
        <v>6910</v>
      </c>
      <c r="D60" s="342" t="s">
        <v>6892</v>
      </c>
      <c r="E60" s="343" t="s">
        <v>7313</v>
      </c>
      <c r="F60" s="343" t="s">
        <v>7334</v>
      </c>
      <c r="G60" s="343" t="s">
        <v>6966</v>
      </c>
      <c r="H60" s="343" t="s">
        <v>7055</v>
      </c>
      <c r="I60" s="343" t="s">
        <v>7145</v>
      </c>
      <c r="J60" s="353">
        <v>4</v>
      </c>
      <c r="K60" s="346" t="s">
        <v>6846</v>
      </c>
      <c r="L60" s="346" t="s">
        <v>6846</v>
      </c>
      <c r="M60" s="356" t="s">
        <v>7187</v>
      </c>
      <c r="N60" s="356" t="s">
        <v>7197</v>
      </c>
      <c r="O60" s="356" t="s">
        <v>6797</v>
      </c>
      <c r="P60" s="347" t="s">
        <v>7230</v>
      </c>
      <c r="Q60" s="342" t="s">
        <v>2233</v>
      </c>
      <c r="R60" s="342" t="s">
        <v>3487</v>
      </c>
      <c r="S60" s="342"/>
      <c r="T60" s="342" t="s">
        <v>7443</v>
      </c>
      <c r="U60"/>
    </row>
    <row r="61" spans="1:21" ht="22" customHeight="1">
      <c r="A61" s="342" t="s">
        <v>5604</v>
      </c>
      <c r="B61" s="342" t="s">
        <v>5351</v>
      </c>
      <c r="C61" s="347" t="s">
        <v>6910</v>
      </c>
      <c r="D61" s="342" t="s">
        <v>6892</v>
      </c>
      <c r="E61" s="343" t="s">
        <v>7313</v>
      </c>
      <c r="F61" s="343" t="s">
        <v>7336</v>
      </c>
      <c r="G61" s="343" t="s">
        <v>6967</v>
      </c>
      <c r="H61" s="343" t="s">
        <v>7056</v>
      </c>
      <c r="I61" s="343" t="s">
        <v>7146</v>
      </c>
      <c r="J61" s="353">
        <v>4</v>
      </c>
      <c r="K61" s="346" t="s">
        <v>6846</v>
      </c>
      <c r="L61" s="346" t="s">
        <v>6846</v>
      </c>
      <c r="M61" s="356" t="s">
        <v>7187</v>
      </c>
      <c r="N61" s="356" t="s">
        <v>7197</v>
      </c>
      <c r="O61" s="356" t="s">
        <v>6797</v>
      </c>
      <c r="P61" s="347" t="s">
        <v>7230</v>
      </c>
      <c r="Q61" s="342" t="s">
        <v>2233</v>
      </c>
      <c r="R61" s="342" t="s">
        <v>3487</v>
      </c>
      <c r="S61" s="342"/>
      <c r="T61" s="342" t="s">
        <v>7444</v>
      </c>
      <c r="U61"/>
    </row>
    <row r="62" spans="1:21" ht="22" customHeight="1">
      <c r="A62" s="342" t="s">
        <v>6783</v>
      </c>
      <c r="B62" s="342" t="s">
        <v>5351</v>
      </c>
      <c r="C62" s="347" t="s">
        <v>6910</v>
      </c>
      <c r="D62" s="342" t="s">
        <v>6893</v>
      </c>
      <c r="E62" s="343" t="s">
        <v>7316</v>
      </c>
      <c r="F62" s="343" t="s">
        <v>7367</v>
      </c>
      <c r="G62" s="343" t="s">
        <v>6969</v>
      </c>
      <c r="H62" s="343" t="s">
        <v>7058</v>
      </c>
      <c r="I62" s="343" t="s">
        <v>7148</v>
      </c>
      <c r="J62" s="353">
        <v>1</v>
      </c>
      <c r="K62" s="346" t="s">
        <v>6846</v>
      </c>
      <c r="L62" s="346" t="s">
        <v>6846</v>
      </c>
      <c r="M62" s="356" t="s">
        <v>7186</v>
      </c>
      <c r="N62" s="356" t="s">
        <v>7209</v>
      </c>
      <c r="O62" s="356" t="s">
        <v>6797</v>
      </c>
      <c r="P62" s="347" t="s">
        <v>7233</v>
      </c>
      <c r="Q62" s="342" t="s">
        <v>2233</v>
      </c>
      <c r="R62" s="342" t="s">
        <v>3487</v>
      </c>
      <c r="S62" s="342"/>
      <c r="T62" s="342" t="s">
        <v>7471</v>
      </c>
      <c r="U62"/>
    </row>
    <row r="63" spans="1:21" ht="22" customHeight="1">
      <c r="A63" s="342" t="s">
        <v>5601</v>
      </c>
      <c r="B63" s="342" t="s">
        <v>5631</v>
      </c>
      <c r="C63" s="347" t="s">
        <v>6910</v>
      </c>
      <c r="D63" s="342" t="s">
        <v>6884</v>
      </c>
      <c r="E63" s="343" t="s">
        <v>7316</v>
      </c>
      <c r="F63" s="343" t="s">
        <v>7367</v>
      </c>
      <c r="G63" s="343" t="s">
        <v>6955</v>
      </c>
      <c r="H63" s="343" t="s">
        <v>7044</v>
      </c>
      <c r="I63" s="343" t="s">
        <v>7134</v>
      </c>
      <c r="J63" s="353">
        <v>1</v>
      </c>
      <c r="K63" s="346" t="s">
        <v>6846</v>
      </c>
      <c r="L63" s="346" t="s">
        <v>6846</v>
      </c>
      <c r="M63" s="356" t="s">
        <v>7186</v>
      </c>
      <c r="N63" s="356" t="s">
        <v>7209</v>
      </c>
      <c r="O63" s="356" t="s">
        <v>6797</v>
      </c>
      <c r="P63" s="347" t="s">
        <v>7233</v>
      </c>
      <c r="Q63" s="342" t="s">
        <v>2233</v>
      </c>
      <c r="R63" s="342" t="s">
        <v>3487</v>
      </c>
      <c r="S63" s="342"/>
      <c r="T63" s="342" t="s">
        <v>7471</v>
      </c>
      <c r="U63"/>
    </row>
    <row r="64" spans="1:21" ht="22" customHeight="1">
      <c r="A64" s="342" t="s">
        <v>6238</v>
      </c>
      <c r="B64" s="342" t="s">
        <v>5349</v>
      </c>
      <c r="C64" s="347" t="s">
        <v>6910</v>
      </c>
      <c r="D64" s="342" t="s">
        <v>6890</v>
      </c>
      <c r="E64" s="343" t="s">
        <v>7328</v>
      </c>
      <c r="F64" s="343" t="s">
        <v>7419</v>
      </c>
      <c r="G64" s="343" t="s">
        <v>6961</v>
      </c>
      <c r="H64" s="343" t="s">
        <v>7050</v>
      </c>
      <c r="I64" s="343" t="s">
        <v>7140</v>
      </c>
      <c r="J64" s="353">
        <v>0.5</v>
      </c>
      <c r="K64" s="346" t="s">
        <v>6846</v>
      </c>
      <c r="L64" s="346" t="s">
        <v>6846</v>
      </c>
      <c r="M64" s="356" t="s">
        <v>7186</v>
      </c>
      <c r="N64" s="356" t="s">
        <v>7209</v>
      </c>
      <c r="O64" s="356" t="s">
        <v>6797</v>
      </c>
      <c r="P64" s="347" t="s">
        <v>7233</v>
      </c>
      <c r="Q64" s="342" t="s">
        <v>6228</v>
      </c>
      <c r="R64" s="342" t="s">
        <v>3487</v>
      </c>
      <c r="S64" s="342" t="s">
        <v>6213</v>
      </c>
      <c r="T64" s="342" t="s">
        <v>7514</v>
      </c>
      <c r="U64"/>
    </row>
    <row r="65" spans="1:21" ht="22" customHeight="1">
      <c r="A65" s="342" t="s">
        <v>6239</v>
      </c>
      <c r="B65" s="342" t="s">
        <v>5349</v>
      </c>
      <c r="C65" s="347" t="s">
        <v>6910</v>
      </c>
      <c r="D65" s="342" t="s">
        <v>6890</v>
      </c>
      <c r="E65" s="343" t="s">
        <v>7328</v>
      </c>
      <c r="F65" s="343" t="s">
        <v>7420</v>
      </c>
      <c r="G65" s="343" t="s">
        <v>6962</v>
      </c>
      <c r="H65" s="343" t="s">
        <v>7051</v>
      </c>
      <c r="I65" s="343" t="s">
        <v>7141</v>
      </c>
      <c r="J65" s="353">
        <v>0.5</v>
      </c>
      <c r="K65" s="346" t="s">
        <v>6846</v>
      </c>
      <c r="L65" s="346" t="s">
        <v>6846</v>
      </c>
      <c r="M65" s="356" t="s">
        <v>7186</v>
      </c>
      <c r="N65" s="356" t="s">
        <v>7209</v>
      </c>
      <c r="O65" s="356" t="s">
        <v>6797</v>
      </c>
      <c r="P65" s="347" t="s">
        <v>7233</v>
      </c>
      <c r="Q65" s="342" t="s">
        <v>6228</v>
      </c>
      <c r="R65" s="342" t="s">
        <v>3487</v>
      </c>
      <c r="S65" s="342" t="s">
        <v>6217</v>
      </c>
      <c r="T65" s="342" t="s">
        <v>7515</v>
      </c>
      <c r="U65"/>
    </row>
    <row r="66" spans="1:21" ht="22" customHeight="1">
      <c r="A66" s="342" t="s">
        <v>6240</v>
      </c>
      <c r="B66" s="342" t="s">
        <v>5349</v>
      </c>
      <c r="C66" s="347" t="s">
        <v>6910</v>
      </c>
      <c r="D66" s="342" t="s">
        <v>6889</v>
      </c>
      <c r="E66" s="343" t="s">
        <v>7328</v>
      </c>
      <c r="F66" s="343" t="s">
        <v>7421</v>
      </c>
      <c r="G66" s="343" t="s">
        <v>6963</v>
      </c>
      <c r="H66" s="343" t="s">
        <v>7052</v>
      </c>
      <c r="I66" s="343" t="s">
        <v>7142</v>
      </c>
      <c r="J66" s="353">
        <v>0.5</v>
      </c>
      <c r="K66" s="346" t="s">
        <v>6846</v>
      </c>
      <c r="L66" s="346" t="s">
        <v>6846</v>
      </c>
      <c r="M66" s="356" t="s">
        <v>7186</v>
      </c>
      <c r="N66" s="356" t="s">
        <v>7218</v>
      </c>
      <c r="O66" s="356" t="s">
        <v>6797</v>
      </c>
      <c r="P66" s="347" t="s">
        <v>7233</v>
      </c>
      <c r="Q66" s="342" t="s">
        <v>6228</v>
      </c>
      <c r="R66" s="342" t="s">
        <v>3487</v>
      </c>
      <c r="S66" s="342" t="s">
        <v>609</v>
      </c>
      <c r="T66" s="342" t="s">
        <v>7516</v>
      </c>
      <c r="U66"/>
    </row>
    <row r="67" spans="1:21" ht="22" customHeight="1">
      <c r="A67" s="342" t="s">
        <v>609</v>
      </c>
      <c r="B67" s="342" t="s">
        <v>609</v>
      </c>
      <c r="C67" s="347" t="s">
        <v>6907</v>
      </c>
      <c r="D67" s="342" t="s">
        <v>6874</v>
      </c>
      <c r="E67" s="343" t="s">
        <v>7319</v>
      </c>
      <c r="F67" s="343" t="s">
        <v>7410</v>
      </c>
      <c r="G67" s="343" t="s">
        <v>6914</v>
      </c>
      <c r="H67" s="343" t="s">
        <v>7008</v>
      </c>
      <c r="I67" s="343" t="s">
        <v>7097</v>
      </c>
      <c r="J67" s="353">
        <v>3</v>
      </c>
      <c r="K67" s="346" t="s">
        <v>6846</v>
      </c>
      <c r="L67" s="346" t="s">
        <v>6846</v>
      </c>
      <c r="M67" s="356" t="s">
        <v>7185</v>
      </c>
      <c r="N67" s="356" t="s">
        <v>7199</v>
      </c>
      <c r="O67" s="356" t="s">
        <v>6797</v>
      </c>
      <c r="P67" s="347" t="s">
        <v>7231</v>
      </c>
      <c r="Q67" s="342" t="s">
        <v>546</v>
      </c>
      <c r="R67" s="342" t="s">
        <v>3487</v>
      </c>
      <c r="S67" s="342"/>
      <c r="T67" s="342" t="s">
        <v>7507</v>
      </c>
      <c r="U67"/>
    </row>
    <row r="68" spans="1:21" ht="22" customHeight="1">
      <c r="A68" s="342" t="s">
        <v>5608</v>
      </c>
      <c r="B68" s="342" t="s">
        <v>5352</v>
      </c>
      <c r="C68" s="347" t="s">
        <v>6910</v>
      </c>
      <c r="D68" s="342" t="s">
        <v>6895</v>
      </c>
      <c r="E68" s="343" t="s">
        <v>7316</v>
      </c>
      <c r="F68" s="343" t="s">
        <v>7340</v>
      </c>
      <c r="G68" s="343" t="s">
        <v>6972</v>
      </c>
      <c r="H68" s="343" t="s">
        <v>7061</v>
      </c>
      <c r="I68" s="343" t="s">
        <v>7151</v>
      </c>
      <c r="J68" s="353">
        <v>3</v>
      </c>
      <c r="K68" s="346" t="s">
        <v>6846</v>
      </c>
      <c r="L68" s="346" t="s">
        <v>6846</v>
      </c>
      <c r="M68" s="356" t="s">
        <v>7195</v>
      </c>
      <c r="N68" s="356" t="s">
        <v>7222</v>
      </c>
      <c r="O68" s="356" t="s">
        <v>6797</v>
      </c>
      <c r="P68" s="347" t="s">
        <v>7233</v>
      </c>
      <c r="Q68" s="342" t="s">
        <v>2233</v>
      </c>
      <c r="R68" s="342" t="s">
        <v>3487</v>
      </c>
      <c r="S68" s="342"/>
      <c r="T68" s="342" t="s">
        <v>7447</v>
      </c>
      <c r="U68"/>
    </row>
    <row r="69" spans="1:21" ht="22" customHeight="1">
      <c r="A69" s="342" t="s">
        <v>5609</v>
      </c>
      <c r="B69" s="342" t="s">
        <v>5353</v>
      </c>
      <c r="C69" s="347" t="s">
        <v>6910</v>
      </c>
      <c r="D69" s="342" t="s">
        <v>6894</v>
      </c>
      <c r="E69" s="343" t="s">
        <v>7317</v>
      </c>
      <c r="F69" s="343" t="s">
        <v>7424</v>
      </c>
      <c r="G69" s="343" t="s">
        <v>6973</v>
      </c>
      <c r="H69" s="343" t="s">
        <v>7062</v>
      </c>
      <c r="I69" s="343" t="s">
        <v>7152</v>
      </c>
      <c r="J69" s="353">
        <v>1</v>
      </c>
      <c r="K69" s="346" t="s">
        <v>6846</v>
      </c>
      <c r="L69" s="346" t="s">
        <v>6846</v>
      </c>
      <c r="M69" s="356" t="s">
        <v>7191</v>
      </c>
      <c r="N69" s="356" t="s">
        <v>7223</v>
      </c>
      <c r="O69" s="356" t="s">
        <v>6797</v>
      </c>
      <c r="P69" s="347" t="s">
        <v>7233</v>
      </c>
      <c r="Q69" s="342" t="s">
        <v>5345</v>
      </c>
      <c r="R69" s="342" t="s">
        <v>3487</v>
      </c>
      <c r="S69" s="342"/>
      <c r="T69" s="342" t="s">
        <v>7519</v>
      </c>
      <c r="U69"/>
    </row>
    <row r="70" spans="1:21" ht="22" customHeight="1">
      <c r="A70" s="342" t="s">
        <v>5610</v>
      </c>
      <c r="B70" s="342" t="s">
        <v>5353</v>
      </c>
      <c r="C70" s="347" t="s">
        <v>6910</v>
      </c>
      <c r="D70" s="342" t="s">
        <v>6894</v>
      </c>
      <c r="E70" s="343" t="s">
        <v>7317</v>
      </c>
      <c r="F70" s="343" t="s">
        <v>7424</v>
      </c>
      <c r="G70" s="343" t="s">
        <v>6974</v>
      </c>
      <c r="H70" s="343" t="s">
        <v>7063</v>
      </c>
      <c r="I70" s="343" t="s">
        <v>7153</v>
      </c>
      <c r="J70" s="353">
        <v>1</v>
      </c>
      <c r="K70" s="346" t="s">
        <v>6846</v>
      </c>
      <c r="L70" s="346" t="s">
        <v>6846</v>
      </c>
      <c r="M70" s="356" t="s">
        <v>7191</v>
      </c>
      <c r="N70" s="356" t="s">
        <v>7223</v>
      </c>
      <c r="O70" s="356" t="s">
        <v>6797</v>
      </c>
      <c r="P70" s="347" t="s">
        <v>7233</v>
      </c>
      <c r="Q70" s="342" t="s">
        <v>4802</v>
      </c>
      <c r="R70" s="342" t="s">
        <v>3487</v>
      </c>
      <c r="S70" s="342"/>
      <c r="T70" s="342" t="s">
        <v>7519</v>
      </c>
      <c r="U70"/>
    </row>
    <row r="71" spans="1:21" ht="22" customHeight="1">
      <c r="A71" s="342" t="s">
        <v>5611</v>
      </c>
      <c r="B71" s="342" t="s">
        <v>5353</v>
      </c>
      <c r="C71" s="347" t="s">
        <v>6910</v>
      </c>
      <c r="D71" s="342" t="s">
        <v>6894</v>
      </c>
      <c r="E71" s="343" t="s">
        <v>7317</v>
      </c>
      <c r="F71" s="343" t="s">
        <v>7424</v>
      </c>
      <c r="G71" s="343" t="s">
        <v>6975</v>
      </c>
      <c r="H71" s="343" t="s">
        <v>7064</v>
      </c>
      <c r="I71" s="343" t="s">
        <v>7154</v>
      </c>
      <c r="J71" s="353">
        <v>1</v>
      </c>
      <c r="K71" s="346" t="s">
        <v>6846</v>
      </c>
      <c r="L71" s="346" t="s">
        <v>6846</v>
      </c>
      <c r="M71" s="356" t="s">
        <v>7191</v>
      </c>
      <c r="N71" s="356" t="s">
        <v>7223</v>
      </c>
      <c r="O71" s="356" t="s">
        <v>6797</v>
      </c>
      <c r="P71" s="347" t="s">
        <v>7233</v>
      </c>
      <c r="Q71" s="342" t="s">
        <v>5612</v>
      </c>
      <c r="R71" s="342" t="s">
        <v>3487</v>
      </c>
      <c r="S71" s="342"/>
      <c r="T71" s="342" t="s">
        <v>7519</v>
      </c>
      <c r="U71"/>
    </row>
    <row r="72" spans="1:21" ht="22" customHeight="1">
      <c r="A72" s="342" t="s">
        <v>5613</v>
      </c>
      <c r="B72" s="342" t="s">
        <v>5353</v>
      </c>
      <c r="C72" s="347" t="s">
        <v>6910</v>
      </c>
      <c r="D72" s="342" t="s">
        <v>6894</v>
      </c>
      <c r="E72" s="343" t="s">
        <v>7318</v>
      </c>
      <c r="F72" s="343" t="s">
        <v>7426</v>
      </c>
      <c r="G72" s="343" t="s">
        <v>6976</v>
      </c>
      <c r="H72" s="343" t="s">
        <v>7065</v>
      </c>
      <c r="I72" s="343" t="s">
        <v>7155</v>
      </c>
      <c r="J72" s="353">
        <v>1</v>
      </c>
      <c r="K72" s="346" t="s">
        <v>6846</v>
      </c>
      <c r="L72" s="346" t="s">
        <v>6846</v>
      </c>
      <c r="M72" s="356" t="s">
        <v>7191</v>
      </c>
      <c r="N72" s="356" t="s">
        <v>7223</v>
      </c>
      <c r="O72" s="356" t="s">
        <v>6797</v>
      </c>
      <c r="P72" s="347" t="s">
        <v>7233</v>
      </c>
      <c r="Q72" s="342" t="s">
        <v>625</v>
      </c>
      <c r="R72" s="342" t="s">
        <v>3487</v>
      </c>
      <c r="S72" s="342"/>
      <c r="T72" s="342" t="s">
        <v>7521</v>
      </c>
      <c r="U72"/>
    </row>
    <row r="73" spans="1:21" ht="22" customHeight="1">
      <c r="A73" s="342" t="s">
        <v>5614</v>
      </c>
      <c r="B73" s="342" t="s">
        <v>5354</v>
      </c>
      <c r="C73" s="347" t="s">
        <v>6908</v>
      </c>
      <c r="D73" s="342" t="s">
        <v>2909</v>
      </c>
      <c r="E73" s="343" t="s">
        <v>7315</v>
      </c>
      <c r="F73" s="343" t="s">
        <v>7428</v>
      </c>
      <c r="G73" s="343" t="s">
        <v>6977</v>
      </c>
      <c r="H73" s="343" t="s">
        <v>7066</v>
      </c>
      <c r="I73" s="343" t="s">
        <v>7156</v>
      </c>
      <c r="J73" s="353">
        <v>1</v>
      </c>
      <c r="K73" s="346" t="s">
        <v>6846</v>
      </c>
      <c r="L73" s="346" t="s">
        <v>6846</v>
      </c>
      <c r="M73" s="356" t="s">
        <v>7192</v>
      </c>
      <c r="N73" s="356" t="s">
        <v>7224</v>
      </c>
      <c r="O73" s="356" t="s">
        <v>6797</v>
      </c>
      <c r="P73" s="347" t="s">
        <v>7230</v>
      </c>
      <c r="Q73" s="342" t="s">
        <v>5615</v>
      </c>
      <c r="R73" s="342" t="s">
        <v>3487</v>
      </c>
      <c r="S73" s="342"/>
      <c r="T73" s="342" t="s">
        <v>7523</v>
      </c>
      <c r="U73"/>
    </row>
    <row r="74" spans="1:21" ht="22" customHeight="1">
      <c r="A74" s="342" t="s">
        <v>5616</v>
      </c>
      <c r="B74" s="342" t="s">
        <v>5354</v>
      </c>
      <c r="C74" s="347" t="s">
        <v>6908</v>
      </c>
      <c r="D74" s="342" t="s">
        <v>2909</v>
      </c>
      <c r="E74" s="343" t="s">
        <v>7315</v>
      </c>
      <c r="F74" s="343" t="s">
        <v>7428</v>
      </c>
      <c r="G74" s="343" t="s">
        <v>6978</v>
      </c>
      <c r="H74" s="343" t="s">
        <v>7067</v>
      </c>
      <c r="I74" s="343" t="s">
        <v>7157</v>
      </c>
      <c r="J74" s="353">
        <v>2</v>
      </c>
      <c r="K74" s="346" t="s">
        <v>6846</v>
      </c>
      <c r="L74" s="346" t="s">
        <v>6846</v>
      </c>
      <c r="M74" s="356" t="s">
        <v>7192</v>
      </c>
      <c r="N74" s="356" t="s">
        <v>7224</v>
      </c>
      <c r="O74" s="356" t="s">
        <v>6797</v>
      </c>
      <c r="P74" s="347" t="s">
        <v>7230</v>
      </c>
      <c r="Q74" s="342" t="s">
        <v>5614</v>
      </c>
      <c r="R74" s="342" t="s">
        <v>3487</v>
      </c>
      <c r="S74" s="342"/>
      <c r="T74" s="342" t="s">
        <v>7523</v>
      </c>
      <c r="U74"/>
    </row>
    <row r="75" spans="1:21" ht="22" customHeight="1">
      <c r="A75" s="342" t="s">
        <v>5616</v>
      </c>
      <c r="B75" s="342" t="s">
        <v>5354</v>
      </c>
      <c r="C75" s="347" t="s">
        <v>6908</v>
      </c>
      <c r="D75" s="343" t="s">
        <v>7315</v>
      </c>
      <c r="E75" s="343" t="s">
        <v>7315</v>
      </c>
      <c r="F75" s="343" t="s">
        <v>7428</v>
      </c>
      <c r="G75" s="343" t="s">
        <v>6979</v>
      </c>
      <c r="H75" s="343" t="s">
        <v>7068</v>
      </c>
      <c r="I75" s="353">
        <v>1.5</v>
      </c>
      <c r="J75" s="353">
        <v>1</v>
      </c>
      <c r="K75" s="346" t="s">
        <v>6846</v>
      </c>
      <c r="L75" s="346" t="s">
        <v>6846</v>
      </c>
      <c r="M75" s="356"/>
      <c r="N75" s="356"/>
      <c r="O75" s="356"/>
      <c r="P75" s="347"/>
      <c r="Q75" s="342"/>
      <c r="R75" s="342"/>
      <c r="S75" s="342"/>
      <c r="T75" s="342"/>
      <c r="U75"/>
    </row>
    <row r="76" spans="1:21" ht="22" customHeight="1">
      <c r="A76" s="342" t="s">
        <v>5616</v>
      </c>
      <c r="B76" s="342" t="s">
        <v>5354</v>
      </c>
      <c r="C76" s="347" t="s">
        <v>6908</v>
      </c>
      <c r="D76" s="343" t="s">
        <v>7315</v>
      </c>
      <c r="E76" s="343" t="s">
        <v>7315</v>
      </c>
      <c r="F76" s="343" t="s">
        <v>7428</v>
      </c>
      <c r="G76" s="343" t="s">
        <v>6980</v>
      </c>
      <c r="H76" s="343" t="s">
        <v>7069</v>
      </c>
      <c r="I76" s="353">
        <v>2</v>
      </c>
      <c r="J76" s="353">
        <v>2</v>
      </c>
      <c r="K76" s="346" t="s">
        <v>6846</v>
      </c>
      <c r="L76" s="346" t="s">
        <v>6846</v>
      </c>
      <c r="M76" s="356"/>
      <c r="N76" s="356"/>
      <c r="O76" s="356"/>
      <c r="P76" s="347"/>
      <c r="Q76" s="342"/>
      <c r="R76" s="342"/>
      <c r="S76" s="342"/>
      <c r="T76" s="342"/>
      <c r="U76"/>
    </row>
    <row r="77" spans="1:21" ht="22" customHeight="1">
      <c r="A77" s="342" t="s">
        <v>5616</v>
      </c>
      <c r="B77" s="342" t="s">
        <v>5354</v>
      </c>
      <c r="C77" s="347" t="s">
        <v>6908</v>
      </c>
      <c r="D77" s="343" t="s">
        <v>7315</v>
      </c>
      <c r="E77" s="343" t="s">
        <v>7315</v>
      </c>
      <c r="F77" s="343" t="s">
        <v>7428</v>
      </c>
      <c r="G77" s="343" t="s">
        <v>7666</v>
      </c>
      <c r="H77" s="343" t="s">
        <v>7672</v>
      </c>
      <c r="I77" s="353"/>
      <c r="J77" s="353">
        <v>1</v>
      </c>
      <c r="K77" s="346" t="s">
        <v>6846</v>
      </c>
      <c r="L77" s="346" t="s">
        <v>6846</v>
      </c>
      <c r="M77" s="356"/>
      <c r="N77" s="356"/>
      <c r="O77" s="356"/>
      <c r="P77" s="347"/>
      <c r="Q77" s="342"/>
      <c r="R77" s="342"/>
      <c r="S77" s="342"/>
      <c r="T77" s="342"/>
      <c r="U77"/>
    </row>
    <row r="78" spans="1:21" ht="22" customHeight="1">
      <c r="A78" s="342" t="s">
        <v>5616</v>
      </c>
      <c r="B78" s="342" t="s">
        <v>5354</v>
      </c>
      <c r="C78" s="347" t="s">
        <v>6908</v>
      </c>
      <c r="D78" s="343" t="s">
        <v>7315</v>
      </c>
      <c r="E78" s="343" t="s">
        <v>7315</v>
      </c>
      <c r="F78" s="343" t="s">
        <v>7428</v>
      </c>
      <c r="G78" s="343" t="s">
        <v>7667</v>
      </c>
      <c r="H78" s="343" t="s">
        <v>7673</v>
      </c>
      <c r="I78" s="353"/>
      <c r="J78" s="353">
        <v>2</v>
      </c>
      <c r="K78" s="346" t="s">
        <v>6846</v>
      </c>
      <c r="L78" s="346" t="s">
        <v>6846</v>
      </c>
      <c r="M78" s="356"/>
      <c r="N78" s="356"/>
      <c r="O78" s="356"/>
      <c r="P78" s="347"/>
      <c r="Q78" s="342"/>
      <c r="R78" s="342"/>
      <c r="S78" s="342"/>
      <c r="T78" s="342"/>
      <c r="U78"/>
    </row>
    <row r="79" spans="1:21" ht="22" customHeight="1">
      <c r="A79" s="342" t="s">
        <v>5616</v>
      </c>
      <c r="B79" s="342" t="s">
        <v>5354</v>
      </c>
      <c r="C79" s="347" t="s">
        <v>6908</v>
      </c>
      <c r="D79" s="343" t="s">
        <v>7315</v>
      </c>
      <c r="E79" s="343" t="s">
        <v>7315</v>
      </c>
      <c r="F79" s="343" t="s">
        <v>7428</v>
      </c>
      <c r="G79" s="343" t="s">
        <v>7668</v>
      </c>
      <c r="H79" s="343" t="s">
        <v>7674</v>
      </c>
      <c r="I79" s="353"/>
      <c r="J79" s="353">
        <v>1</v>
      </c>
      <c r="K79" s="346" t="s">
        <v>6846</v>
      </c>
      <c r="L79" s="346" t="s">
        <v>6846</v>
      </c>
      <c r="M79" s="356"/>
      <c r="N79" s="356"/>
      <c r="O79" s="356"/>
      <c r="P79" s="347"/>
      <c r="Q79" s="342"/>
      <c r="R79" s="342"/>
      <c r="S79" s="342"/>
      <c r="T79" s="342"/>
      <c r="U79"/>
    </row>
    <row r="80" spans="1:21" ht="22" customHeight="1">
      <c r="A80" s="342" t="s">
        <v>5616</v>
      </c>
      <c r="B80" s="342" t="s">
        <v>5354</v>
      </c>
      <c r="C80" s="347" t="s">
        <v>6908</v>
      </c>
      <c r="D80" s="343" t="s">
        <v>7315</v>
      </c>
      <c r="E80" s="343" t="s">
        <v>7315</v>
      </c>
      <c r="F80" s="343" t="s">
        <v>7428</v>
      </c>
      <c r="G80" s="343" t="s">
        <v>7671</v>
      </c>
      <c r="H80" s="343" t="s">
        <v>7675</v>
      </c>
      <c r="I80" s="353"/>
      <c r="J80" s="353">
        <v>2</v>
      </c>
      <c r="K80" s="346" t="s">
        <v>6846</v>
      </c>
      <c r="L80" s="346" t="s">
        <v>6846</v>
      </c>
      <c r="M80" s="356"/>
      <c r="N80" s="356"/>
      <c r="O80" s="356"/>
      <c r="P80" s="347"/>
      <c r="Q80" s="342"/>
      <c r="R80" s="342"/>
      <c r="S80" s="342"/>
      <c r="T80" s="342"/>
      <c r="U80"/>
    </row>
    <row r="81" spans="1:21" ht="22" customHeight="1">
      <c r="A81" s="342" t="s">
        <v>5617</v>
      </c>
      <c r="B81" s="342" t="s">
        <v>5354</v>
      </c>
      <c r="C81" s="347" t="s">
        <v>6908</v>
      </c>
      <c r="D81" s="342" t="s">
        <v>2909</v>
      </c>
      <c r="E81" s="343" t="s">
        <v>7315</v>
      </c>
      <c r="F81" s="343" t="s">
        <v>7428</v>
      </c>
      <c r="G81" s="343" t="s">
        <v>7670</v>
      </c>
      <c r="H81" s="343" t="s">
        <v>7676</v>
      </c>
      <c r="I81" s="343" t="s">
        <v>7158</v>
      </c>
      <c r="J81" s="353">
        <v>1</v>
      </c>
      <c r="K81" s="346" t="s">
        <v>6846</v>
      </c>
      <c r="L81" s="346" t="s">
        <v>6846</v>
      </c>
      <c r="M81" s="356" t="s">
        <v>7192</v>
      </c>
      <c r="N81" s="356" t="s">
        <v>7224</v>
      </c>
      <c r="O81" s="356" t="s">
        <v>6797</v>
      </c>
      <c r="P81" s="347" t="s">
        <v>7230</v>
      </c>
      <c r="Q81" s="342" t="s">
        <v>5616</v>
      </c>
      <c r="R81" s="342" t="s">
        <v>3487</v>
      </c>
      <c r="S81" s="342"/>
      <c r="T81" s="342" t="s">
        <v>7523</v>
      </c>
      <c r="U81"/>
    </row>
    <row r="82" spans="1:21" ht="22" customHeight="1">
      <c r="A82" s="342" t="s">
        <v>5618</v>
      </c>
      <c r="B82" s="342" t="s">
        <v>5354</v>
      </c>
      <c r="C82" s="347" t="s">
        <v>6908</v>
      </c>
      <c r="D82" s="342" t="s">
        <v>2909</v>
      </c>
      <c r="E82" s="343" t="s">
        <v>7315</v>
      </c>
      <c r="F82" s="343" t="s">
        <v>7428</v>
      </c>
      <c r="G82" s="343" t="s">
        <v>7669</v>
      </c>
      <c r="H82" s="343" t="s">
        <v>7677</v>
      </c>
      <c r="I82" s="343" t="s">
        <v>7159</v>
      </c>
      <c r="J82" s="353">
        <v>2</v>
      </c>
      <c r="K82" s="346" t="s">
        <v>6846</v>
      </c>
      <c r="L82" s="346" t="s">
        <v>6846</v>
      </c>
      <c r="M82" s="356" t="s">
        <v>7192</v>
      </c>
      <c r="N82" s="356" t="s">
        <v>7224</v>
      </c>
      <c r="O82" s="356" t="s">
        <v>6797</v>
      </c>
      <c r="P82" s="347" t="s">
        <v>7230</v>
      </c>
      <c r="Q82" s="342" t="s">
        <v>5617</v>
      </c>
      <c r="R82" s="342" t="s">
        <v>3487</v>
      </c>
      <c r="S82" s="342"/>
      <c r="T82" s="342" t="s">
        <v>7523</v>
      </c>
      <c r="U82"/>
    </row>
    <row r="83" spans="1:21" ht="22" customHeight="1">
      <c r="A83" s="342" t="s">
        <v>6321</v>
      </c>
      <c r="B83" s="342" t="s">
        <v>5632</v>
      </c>
      <c r="C83" s="347" t="s">
        <v>6910</v>
      </c>
      <c r="D83" s="342" t="s">
        <v>2909</v>
      </c>
      <c r="E83" s="343" t="s">
        <v>7318</v>
      </c>
      <c r="F83" s="343" t="s">
        <v>7360</v>
      </c>
      <c r="G83" s="343" t="s">
        <v>6981</v>
      </c>
      <c r="H83" s="343" t="s">
        <v>7070</v>
      </c>
      <c r="I83" s="343" t="s">
        <v>7160</v>
      </c>
      <c r="J83" s="353">
        <v>4</v>
      </c>
      <c r="K83" s="346" t="s">
        <v>6846</v>
      </c>
      <c r="L83" s="346" t="s">
        <v>6846</v>
      </c>
      <c r="M83" s="356" t="s">
        <v>7187</v>
      </c>
      <c r="N83" s="356" t="s">
        <v>7197</v>
      </c>
      <c r="O83" s="356" t="s">
        <v>6797</v>
      </c>
      <c r="P83" s="347" t="s">
        <v>7230</v>
      </c>
      <c r="Q83" s="342" t="s">
        <v>5300</v>
      </c>
      <c r="R83" s="342" t="s">
        <v>3487</v>
      </c>
      <c r="S83" s="342"/>
      <c r="T83" s="342" t="s">
        <v>7464</v>
      </c>
      <c r="U83"/>
    </row>
    <row r="84" spans="1:21" ht="22" customHeight="1">
      <c r="A84" s="342" t="s">
        <v>6322</v>
      </c>
      <c r="B84" s="342" t="s">
        <v>5632</v>
      </c>
      <c r="C84" s="347" t="s">
        <v>6910</v>
      </c>
      <c r="D84" s="342" t="s">
        <v>6896</v>
      </c>
      <c r="E84" s="343" t="s">
        <v>7313</v>
      </c>
      <c r="F84" s="343" t="s">
        <v>7334</v>
      </c>
      <c r="G84" s="343" t="s">
        <v>6982</v>
      </c>
      <c r="H84" s="343" t="s">
        <v>7071</v>
      </c>
      <c r="I84" s="343" t="s">
        <v>7161</v>
      </c>
      <c r="J84" s="353">
        <v>1</v>
      </c>
      <c r="K84" s="346" t="s">
        <v>6846</v>
      </c>
      <c r="L84" s="346" t="s">
        <v>6846</v>
      </c>
      <c r="M84" s="356" t="s">
        <v>7187</v>
      </c>
      <c r="N84" s="356" t="s">
        <v>7197</v>
      </c>
      <c r="O84" s="356" t="s">
        <v>6797</v>
      </c>
      <c r="P84" s="347" t="s">
        <v>7230</v>
      </c>
      <c r="Q84" s="342" t="s">
        <v>531</v>
      </c>
      <c r="R84" s="342" t="s">
        <v>3487</v>
      </c>
      <c r="S84" s="342"/>
      <c r="T84" s="342" t="s">
        <v>7443</v>
      </c>
      <c r="U84"/>
    </row>
    <row r="85" spans="1:21" ht="22" customHeight="1">
      <c r="A85" s="342" t="s">
        <v>5619</v>
      </c>
      <c r="B85" s="342" t="s">
        <v>5632</v>
      </c>
      <c r="C85" s="347" t="s">
        <v>6910</v>
      </c>
      <c r="D85" s="342" t="s">
        <v>6897</v>
      </c>
      <c r="E85" s="343" t="s">
        <v>7317</v>
      </c>
      <c r="F85" s="343" t="s">
        <v>7342</v>
      </c>
      <c r="G85" s="343" t="s">
        <v>6983</v>
      </c>
      <c r="H85" s="343" t="s">
        <v>7072</v>
      </c>
      <c r="I85" s="343" t="s">
        <v>7162</v>
      </c>
      <c r="J85" s="353">
        <v>4</v>
      </c>
      <c r="K85" s="346" t="s">
        <v>6846</v>
      </c>
      <c r="L85" s="346" t="s">
        <v>6846</v>
      </c>
      <c r="M85" s="356" t="s">
        <v>7188</v>
      </c>
      <c r="N85" s="356" t="s">
        <v>7225</v>
      </c>
      <c r="O85" s="356" t="s">
        <v>6797</v>
      </c>
      <c r="P85" s="347" t="s">
        <v>7229</v>
      </c>
      <c r="Q85" s="342" t="s">
        <v>5620</v>
      </c>
      <c r="R85" s="342" t="s">
        <v>3487</v>
      </c>
      <c r="S85" s="342"/>
      <c r="T85" s="342" t="s">
        <v>7449</v>
      </c>
      <c r="U85"/>
    </row>
    <row r="86" spans="1:21" ht="22" customHeight="1">
      <c r="A86" s="342" t="s">
        <v>5621</v>
      </c>
      <c r="B86" s="342" t="s">
        <v>5632</v>
      </c>
      <c r="C86" s="347" t="s">
        <v>6910</v>
      </c>
      <c r="D86" s="342" t="s">
        <v>6898</v>
      </c>
      <c r="E86" s="343" t="s">
        <v>7321</v>
      </c>
      <c r="F86" s="343" t="s">
        <v>7418</v>
      </c>
      <c r="G86" s="343" t="s">
        <v>6984</v>
      </c>
      <c r="H86" s="343" t="s">
        <v>7073</v>
      </c>
      <c r="I86" s="343" t="s">
        <v>7163</v>
      </c>
      <c r="J86" s="353">
        <v>1</v>
      </c>
      <c r="K86" s="346" t="s">
        <v>6846</v>
      </c>
      <c r="L86" s="346" t="s">
        <v>6846</v>
      </c>
      <c r="M86" s="356" t="s">
        <v>7188</v>
      </c>
      <c r="N86" s="356" t="s">
        <v>7225</v>
      </c>
      <c r="O86" s="356" t="s">
        <v>6797</v>
      </c>
      <c r="P86" s="347" t="s">
        <v>7229</v>
      </c>
      <c r="Q86" s="342" t="s">
        <v>2233</v>
      </c>
      <c r="R86" s="342" t="s">
        <v>3487</v>
      </c>
      <c r="S86" s="342"/>
      <c r="T86" s="342" t="s">
        <v>7513</v>
      </c>
      <c r="U86"/>
    </row>
    <row r="87" spans="1:21" ht="22" customHeight="1">
      <c r="A87" s="342" t="s">
        <v>5622</v>
      </c>
      <c r="B87" s="342" t="s">
        <v>5632</v>
      </c>
      <c r="C87" s="347" t="s">
        <v>6910</v>
      </c>
      <c r="D87" s="342" t="s">
        <v>6899</v>
      </c>
      <c r="E87" s="343" t="s">
        <v>7314</v>
      </c>
      <c r="F87" s="343" t="s">
        <v>7430</v>
      </c>
      <c r="G87" s="343" t="s">
        <v>6985</v>
      </c>
      <c r="H87" s="343" t="s">
        <v>7074</v>
      </c>
      <c r="I87" s="343" t="s">
        <v>7164</v>
      </c>
      <c r="J87" s="353">
        <v>1</v>
      </c>
      <c r="K87" s="346" t="s">
        <v>6846</v>
      </c>
      <c r="L87" s="346" t="s">
        <v>6846</v>
      </c>
      <c r="M87" s="356" t="s">
        <v>7188</v>
      </c>
      <c r="N87" s="356" t="s">
        <v>7225</v>
      </c>
      <c r="O87" s="356" t="s">
        <v>6797</v>
      </c>
      <c r="P87" s="347" t="s">
        <v>7229</v>
      </c>
      <c r="Q87" s="342" t="s">
        <v>2233</v>
      </c>
      <c r="R87" s="342" t="s">
        <v>3487</v>
      </c>
      <c r="S87" s="342"/>
      <c r="T87" s="342" t="s">
        <v>7525</v>
      </c>
      <c r="U87"/>
    </row>
    <row r="88" spans="1:21" ht="22" customHeight="1">
      <c r="A88" s="342" t="s">
        <v>6323</v>
      </c>
      <c r="B88" s="342" t="s">
        <v>5632</v>
      </c>
      <c r="C88" s="347" t="s">
        <v>6910</v>
      </c>
      <c r="D88" s="342" t="s">
        <v>6899</v>
      </c>
      <c r="E88" s="343" t="s">
        <v>7313</v>
      </c>
      <c r="F88" s="343" t="s">
        <v>7334</v>
      </c>
      <c r="G88" s="343" t="s">
        <v>6986</v>
      </c>
      <c r="H88" s="343" t="s">
        <v>7075</v>
      </c>
      <c r="I88" s="343" t="s">
        <v>7165</v>
      </c>
      <c r="J88" s="353">
        <v>2</v>
      </c>
      <c r="K88" s="346" t="s">
        <v>6846</v>
      </c>
      <c r="L88" s="346" t="s">
        <v>6846</v>
      </c>
      <c r="M88" s="356" t="s">
        <v>7187</v>
      </c>
      <c r="N88" s="356" t="s">
        <v>7197</v>
      </c>
      <c r="O88" s="356" t="s">
        <v>6797</v>
      </c>
      <c r="P88" s="347" t="s">
        <v>7230</v>
      </c>
      <c r="Q88" s="342" t="s">
        <v>528</v>
      </c>
      <c r="R88" s="342" t="s">
        <v>3487</v>
      </c>
      <c r="S88" s="342"/>
      <c r="T88" s="342" t="s">
        <v>7443</v>
      </c>
      <c r="U88"/>
    </row>
    <row r="89" spans="1:21" ht="22" customHeight="1">
      <c r="A89" s="342" t="s">
        <v>6324</v>
      </c>
      <c r="B89" s="342" t="s">
        <v>5632</v>
      </c>
      <c r="C89" s="347" t="s">
        <v>6910</v>
      </c>
      <c r="D89" s="342" t="s">
        <v>6899</v>
      </c>
      <c r="E89" s="343" t="s">
        <v>7323</v>
      </c>
      <c r="F89" s="343" t="s">
        <v>7358</v>
      </c>
      <c r="G89" s="343" t="s">
        <v>6987</v>
      </c>
      <c r="H89" s="343" t="s">
        <v>7076</v>
      </c>
      <c r="I89" s="343" t="s">
        <v>7166</v>
      </c>
      <c r="J89" s="353">
        <v>2</v>
      </c>
      <c r="K89" s="346" t="s">
        <v>6846</v>
      </c>
      <c r="L89" s="346" t="s">
        <v>6846</v>
      </c>
      <c r="M89" s="356" t="s">
        <v>7194</v>
      </c>
      <c r="N89" s="356" t="s">
        <v>7226</v>
      </c>
      <c r="O89" s="356" t="s">
        <v>6866</v>
      </c>
      <c r="P89" s="347" t="s">
        <v>7230</v>
      </c>
      <c r="Q89" s="342" t="s">
        <v>528</v>
      </c>
      <c r="R89" s="342" t="s">
        <v>3487</v>
      </c>
      <c r="S89" s="342"/>
      <c r="T89" s="342" t="s">
        <v>7462</v>
      </c>
      <c r="U89"/>
    </row>
    <row r="90" spans="1:21" ht="22" customHeight="1">
      <c r="A90" s="342" t="s">
        <v>607</v>
      </c>
      <c r="B90" s="342" t="s">
        <v>607</v>
      </c>
      <c r="C90" s="347" t="s">
        <v>6907</v>
      </c>
      <c r="D90" s="342" t="s">
        <v>6873</v>
      </c>
      <c r="E90" s="343" t="s">
        <v>7313</v>
      </c>
      <c r="F90" s="343" t="s">
        <v>7336</v>
      </c>
      <c r="G90" s="343" t="s">
        <v>6913</v>
      </c>
      <c r="H90" s="343" t="s">
        <v>7007</v>
      </c>
      <c r="I90" s="343" t="s">
        <v>7096</v>
      </c>
      <c r="J90" s="353">
        <v>2</v>
      </c>
      <c r="K90" s="346" t="s">
        <v>6846</v>
      </c>
      <c r="L90" s="346" t="s">
        <v>6846</v>
      </c>
      <c r="M90" s="356" t="s">
        <v>7187</v>
      </c>
      <c r="N90" s="356" t="s">
        <v>7203</v>
      </c>
      <c r="O90" s="356" t="s">
        <v>7228</v>
      </c>
      <c r="P90" s="347" t="s">
        <v>7230</v>
      </c>
      <c r="Q90" s="342" t="s">
        <v>538</v>
      </c>
      <c r="R90" s="342" t="s">
        <v>3487</v>
      </c>
      <c r="S90" s="342"/>
      <c r="T90" s="342" t="s">
        <v>7444</v>
      </c>
      <c r="U90"/>
    </row>
    <row r="91" spans="1:21" ht="22" customHeight="1">
      <c r="A91" s="342" t="s">
        <v>5605</v>
      </c>
      <c r="B91" s="342" t="s">
        <v>5351</v>
      </c>
      <c r="C91" s="347" t="s">
        <v>6910</v>
      </c>
      <c r="D91" s="342" t="s">
        <v>6892</v>
      </c>
      <c r="E91" s="343" t="s">
        <v>7313</v>
      </c>
      <c r="F91" s="343" t="s">
        <v>7334</v>
      </c>
      <c r="G91" s="343" t="s">
        <v>6968</v>
      </c>
      <c r="H91" s="343" t="s">
        <v>7057</v>
      </c>
      <c r="I91" s="343" t="s">
        <v>7147</v>
      </c>
      <c r="J91" s="353">
        <v>2</v>
      </c>
      <c r="K91" s="346" t="s">
        <v>6846</v>
      </c>
      <c r="L91" s="346" t="s">
        <v>6846</v>
      </c>
      <c r="M91" s="356" t="s">
        <v>7187</v>
      </c>
      <c r="N91" s="356" t="s">
        <v>7221</v>
      </c>
      <c r="O91" s="356" t="s">
        <v>7228</v>
      </c>
      <c r="P91" s="347" t="s">
        <v>7230</v>
      </c>
      <c r="Q91" s="342" t="s">
        <v>2233</v>
      </c>
      <c r="R91" s="342" t="s">
        <v>3487</v>
      </c>
      <c r="S91" s="342"/>
      <c r="T91" s="342" t="s">
        <v>7443</v>
      </c>
      <c r="U91"/>
    </row>
    <row r="92" spans="1:21" ht="22" customHeight="1">
      <c r="A92" s="342" t="s">
        <v>5626</v>
      </c>
      <c r="B92" s="342" t="s">
        <v>5633</v>
      </c>
      <c r="C92" s="347" t="s">
        <v>6908</v>
      </c>
      <c r="D92" s="342" t="s">
        <v>2909</v>
      </c>
      <c r="E92" s="343" t="s">
        <v>7329</v>
      </c>
      <c r="F92" s="343" t="s">
        <v>7432</v>
      </c>
      <c r="G92" s="343" t="s">
        <v>6990</v>
      </c>
      <c r="H92" s="343" t="s">
        <v>7079</v>
      </c>
      <c r="I92" s="343" t="s">
        <v>7169</v>
      </c>
      <c r="J92" s="353">
        <v>2</v>
      </c>
      <c r="K92" s="346" t="s">
        <v>6846</v>
      </c>
      <c r="L92" s="346" t="s">
        <v>6846</v>
      </c>
      <c r="M92" s="356" t="s">
        <v>7190</v>
      </c>
      <c r="N92" s="356" t="s">
        <v>7227</v>
      </c>
      <c r="O92" s="356" t="s">
        <v>6797</v>
      </c>
      <c r="P92" s="347" t="s">
        <v>7233</v>
      </c>
      <c r="Q92" s="342" t="s">
        <v>2233</v>
      </c>
      <c r="R92" s="342" t="s">
        <v>3487</v>
      </c>
      <c r="S92" s="342"/>
      <c r="T92" s="342" t="s">
        <v>7527</v>
      </c>
      <c r="U92"/>
    </row>
    <row r="93" spans="1:21" ht="22" customHeight="1">
      <c r="A93" s="342" t="s">
        <v>5627</v>
      </c>
      <c r="B93" s="342" t="s">
        <v>5633</v>
      </c>
      <c r="C93" s="347" t="s">
        <v>6908</v>
      </c>
      <c r="D93" s="342" t="s">
        <v>2909</v>
      </c>
      <c r="E93" s="343" t="s">
        <v>7320</v>
      </c>
      <c r="F93" s="343" t="s">
        <v>7434</v>
      </c>
      <c r="G93" s="343" t="s">
        <v>6991</v>
      </c>
      <c r="H93" s="343" t="s">
        <v>7080</v>
      </c>
      <c r="I93" s="343" t="s">
        <v>7170</v>
      </c>
      <c r="J93" s="353">
        <v>1</v>
      </c>
      <c r="K93" s="346" t="s">
        <v>6846</v>
      </c>
      <c r="L93" s="346" t="s">
        <v>6846</v>
      </c>
      <c r="M93" s="356" t="s">
        <v>7190</v>
      </c>
      <c r="N93" s="356" t="s">
        <v>7227</v>
      </c>
      <c r="O93" s="356" t="s">
        <v>6797</v>
      </c>
      <c r="P93" s="347" t="s">
        <v>7233</v>
      </c>
      <c r="Q93" s="342" t="s">
        <v>5299</v>
      </c>
      <c r="R93" s="342" t="s">
        <v>3487</v>
      </c>
      <c r="S93" s="342"/>
      <c r="T93" s="342" t="s">
        <v>7529</v>
      </c>
      <c r="U93"/>
    </row>
    <row r="94" spans="1:21" ht="22" customHeight="1">
      <c r="A94" s="342" t="s">
        <v>5628</v>
      </c>
      <c r="B94" s="342" t="s">
        <v>5633</v>
      </c>
      <c r="C94" s="347" t="s">
        <v>6909</v>
      </c>
      <c r="D94" s="342" t="s">
        <v>2909</v>
      </c>
      <c r="E94" s="343" t="s">
        <v>7329</v>
      </c>
      <c r="F94" s="343" t="s">
        <v>7436</v>
      </c>
      <c r="G94" s="343" t="s">
        <v>6992</v>
      </c>
      <c r="H94" s="343" t="s">
        <v>7081</v>
      </c>
      <c r="I94" s="343" t="s">
        <v>7171</v>
      </c>
      <c r="J94" s="353">
        <v>1</v>
      </c>
      <c r="K94" s="346" t="s">
        <v>6846</v>
      </c>
      <c r="L94" s="346" t="s">
        <v>6846</v>
      </c>
      <c r="M94" s="356" t="s">
        <v>7190</v>
      </c>
      <c r="N94" s="356" t="s">
        <v>7227</v>
      </c>
      <c r="O94" s="356" t="s">
        <v>6797</v>
      </c>
      <c r="P94" s="347" t="s">
        <v>7233</v>
      </c>
      <c r="Q94" s="342" t="s">
        <v>5629</v>
      </c>
      <c r="R94" s="342" t="s">
        <v>7235</v>
      </c>
      <c r="S94" s="342"/>
      <c r="T94" s="342" t="s">
        <v>7531</v>
      </c>
      <c r="U94"/>
    </row>
    <row r="95" spans="1:21" ht="22" customHeight="1">
      <c r="A95" s="342" t="s">
        <v>5630</v>
      </c>
      <c r="B95" s="342" t="s">
        <v>5633</v>
      </c>
      <c r="C95" s="347" t="s">
        <v>6909</v>
      </c>
      <c r="D95" s="342" t="s">
        <v>2909</v>
      </c>
      <c r="E95" s="343" t="s">
        <v>7329</v>
      </c>
      <c r="F95" s="343" t="s">
        <v>7432</v>
      </c>
      <c r="G95" s="343" t="s">
        <v>6993</v>
      </c>
      <c r="H95" s="343" t="s">
        <v>7082</v>
      </c>
      <c r="I95" s="343" t="s">
        <v>7172</v>
      </c>
      <c r="J95" s="353">
        <v>1</v>
      </c>
      <c r="K95" s="346" t="s">
        <v>6846</v>
      </c>
      <c r="L95" s="346" t="s">
        <v>6846</v>
      </c>
      <c r="M95" s="356" t="s">
        <v>7678</v>
      </c>
      <c r="N95" s="356" t="s">
        <v>7227</v>
      </c>
      <c r="O95" s="356" t="s">
        <v>6797</v>
      </c>
      <c r="P95" s="347" t="s">
        <v>7233</v>
      </c>
      <c r="Q95" s="342" t="s">
        <v>2233</v>
      </c>
      <c r="R95" s="342" t="s">
        <v>3487</v>
      </c>
      <c r="S95" s="342"/>
      <c r="T95" s="342" t="s">
        <v>7527</v>
      </c>
      <c r="U95"/>
    </row>
    <row r="96" spans="1:21" ht="22" customHeight="1">
      <c r="A96" s="342" t="s">
        <v>5945</v>
      </c>
      <c r="B96" s="342" t="s">
        <v>5943</v>
      </c>
      <c r="C96" s="347" t="s">
        <v>6909</v>
      </c>
      <c r="D96" s="342" t="s">
        <v>2909</v>
      </c>
      <c r="E96" s="343" t="s">
        <v>7313</v>
      </c>
      <c r="F96" s="343" t="s">
        <v>7334</v>
      </c>
      <c r="G96" s="343" t="s">
        <v>6994</v>
      </c>
      <c r="H96" s="343" t="s">
        <v>7083</v>
      </c>
      <c r="I96" s="343" t="s">
        <v>7173</v>
      </c>
      <c r="J96" s="353">
        <v>1</v>
      </c>
      <c r="K96" s="346" t="s">
        <v>6846</v>
      </c>
      <c r="L96" s="346" t="s">
        <v>6846</v>
      </c>
      <c r="M96" s="357" t="s">
        <v>7187</v>
      </c>
      <c r="N96" s="357" t="s">
        <v>7197</v>
      </c>
      <c r="O96" s="356" t="s">
        <v>6797</v>
      </c>
      <c r="P96" s="347" t="s">
        <v>7230</v>
      </c>
      <c r="Q96" s="342" t="s">
        <v>2233</v>
      </c>
      <c r="R96" s="342" t="s">
        <v>3487</v>
      </c>
      <c r="S96" s="342"/>
      <c r="T96" s="342" t="s">
        <v>7443</v>
      </c>
      <c r="U96"/>
    </row>
    <row r="97" spans="1:26" ht="22" customHeight="1">
      <c r="A97" s="350" t="s">
        <v>5946</v>
      </c>
      <c r="B97" s="350" t="s">
        <v>5943</v>
      </c>
      <c r="C97" s="347" t="s">
        <v>6909</v>
      </c>
      <c r="D97" s="342" t="s">
        <v>2909</v>
      </c>
      <c r="E97" s="351" t="s">
        <v>7313</v>
      </c>
      <c r="F97" s="352" t="s">
        <v>7334</v>
      </c>
      <c r="G97" s="351" t="s">
        <v>6995</v>
      </c>
      <c r="H97" s="343" t="s">
        <v>7084</v>
      </c>
      <c r="I97" s="351" t="s">
        <v>7174</v>
      </c>
      <c r="J97" s="358">
        <v>1</v>
      </c>
      <c r="K97" s="353" t="s">
        <v>6846</v>
      </c>
      <c r="L97" s="353" t="s">
        <v>6846</v>
      </c>
      <c r="M97" s="358" t="s">
        <v>7187</v>
      </c>
      <c r="N97" s="358" t="s">
        <v>7197</v>
      </c>
      <c r="O97" s="356" t="s">
        <v>6797</v>
      </c>
      <c r="P97" s="347" t="s">
        <v>7230</v>
      </c>
      <c r="Q97" s="350" t="s">
        <v>2233</v>
      </c>
      <c r="R97" s="350" t="s">
        <v>3487</v>
      </c>
      <c r="S97" s="342"/>
      <c r="T97" s="350" t="s">
        <v>7443</v>
      </c>
      <c r="U97"/>
      <c r="V97" s="309"/>
      <c r="W97" s="309"/>
      <c r="X97" s="309"/>
      <c r="Y97" s="331"/>
      <c r="Z97" s="332"/>
    </row>
    <row r="98" spans="1:26" ht="22" customHeight="1">
      <c r="A98" s="350" t="s">
        <v>5948</v>
      </c>
      <c r="B98" s="350" t="s">
        <v>5943</v>
      </c>
      <c r="C98" s="347" t="s">
        <v>6909</v>
      </c>
      <c r="D98" s="342" t="s">
        <v>2909</v>
      </c>
      <c r="E98" s="351" t="s">
        <v>7313</v>
      </c>
      <c r="F98" s="352" t="s">
        <v>7334</v>
      </c>
      <c r="G98" s="351" t="s">
        <v>6996</v>
      </c>
      <c r="H98" s="343" t="s">
        <v>7085</v>
      </c>
      <c r="I98" s="351" t="s">
        <v>7175</v>
      </c>
      <c r="J98" s="358">
        <v>2</v>
      </c>
      <c r="K98" s="353" t="s">
        <v>6846</v>
      </c>
      <c r="L98" s="353" t="s">
        <v>6846</v>
      </c>
      <c r="M98" s="358" t="s">
        <v>7187</v>
      </c>
      <c r="N98" s="358" t="s">
        <v>7197</v>
      </c>
      <c r="O98" s="356" t="s">
        <v>6797</v>
      </c>
      <c r="P98" s="347" t="s">
        <v>7230</v>
      </c>
      <c r="Q98" s="350" t="s">
        <v>2233</v>
      </c>
      <c r="R98" s="350" t="s">
        <v>3487</v>
      </c>
      <c r="S98" s="342"/>
      <c r="T98" s="350" t="s">
        <v>7443</v>
      </c>
      <c r="U98"/>
      <c r="V98" s="309"/>
      <c r="W98" s="309"/>
      <c r="X98" s="309"/>
      <c r="Y98" s="331"/>
      <c r="Z98" s="332"/>
    </row>
    <row r="99" spans="1:26" ht="22" customHeight="1">
      <c r="A99" s="350" t="s">
        <v>5949</v>
      </c>
      <c r="B99" s="350" t="s">
        <v>5943</v>
      </c>
      <c r="C99" s="347" t="s">
        <v>6909</v>
      </c>
      <c r="D99" s="342" t="s">
        <v>2909</v>
      </c>
      <c r="E99" s="351" t="s">
        <v>7313</v>
      </c>
      <c r="F99" s="352" t="s">
        <v>7334</v>
      </c>
      <c r="G99" s="351" t="s">
        <v>6997</v>
      </c>
      <c r="H99" s="343" t="s">
        <v>7086</v>
      </c>
      <c r="I99" s="351" t="s">
        <v>7176</v>
      </c>
      <c r="J99" s="358">
        <v>2</v>
      </c>
      <c r="K99" s="353" t="s">
        <v>6846</v>
      </c>
      <c r="L99" s="353" t="s">
        <v>6846</v>
      </c>
      <c r="M99" s="358" t="s">
        <v>7187</v>
      </c>
      <c r="N99" s="358" t="s">
        <v>7197</v>
      </c>
      <c r="O99" s="356" t="s">
        <v>6797</v>
      </c>
      <c r="P99" s="347" t="s">
        <v>7230</v>
      </c>
      <c r="Q99" s="350" t="s">
        <v>2233</v>
      </c>
      <c r="R99" s="350" t="s">
        <v>3487</v>
      </c>
      <c r="S99" s="342"/>
      <c r="T99" s="350" t="s">
        <v>7443</v>
      </c>
      <c r="U99"/>
      <c r="V99" s="344"/>
      <c r="W99" s="344"/>
      <c r="X99" s="344"/>
      <c r="Y99" s="345"/>
      <c r="Z99" s="332"/>
    </row>
    <row r="100" spans="1:26" ht="22" customHeight="1">
      <c r="A100" s="342" t="s">
        <v>5950</v>
      </c>
      <c r="B100" s="342" t="s">
        <v>5943</v>
      </c>
      <c r="C100" s="347" t="s">
        <v>6909</v>
      </c>
      <c r="D100" s="342" t="s">
        <v>2909</v>
      </c>
      <c r="E100" s="343" t="s">
        <v>7321</v>
      </c>
      <c r="F100" s="355" t="s">
        <v>7418</v>
      </c>
      <c r="G100" s="343" t="s">
        <v>6998</v>
      </c>
      <c r="H100" s="343" t="s">
        <v>7087</v>
      </c>
      <c r="I100" s="343" t="s">
        <v>7177</v>
      </c>
      <c r="J100" s="358">
        <v>2</v>
      </c>
      <c r="K100" s="353" t="s">
        <v>6846</v>
      </c>
      <c r="L100" s="353" t="s">
        <v>6846</v>
      </c>
      <c r="M100" s="358" t="s">
        <v>7187</v>
      </c>
      <c r="N100" s="358" t="s">
        <v>7197</v>
      </c>
      <c r="O100" s="356" t="s">
        <v>6797</v>
      </c>
      <c r="P100" s="347" t="s">
        <v>7230</v>
      </c>
      <c r="Q100" s="342" t="s">
        <v>2233</v>
      </c>
      <c r="R100" s="342" t="s">
        <v>3487</v>
      </c>
      <c r="S100" s="342"/>
      <c r="T100" s="342" t="s">
        <v>7513</v>
      </c>
      <c r="U100"/>
      <c r="V100" s="330"/>
      <c r="W100" s="330"/>
      <c r="X100" s="330"/>
      <c r="Y100" s="330"/>
      <c r="Z100" s="330"/>
    </row>
    <row r="101" spans="1:26" ht="22" customHeight="1">
      <c r="A101" s="342" t="s">
        <v>5951</v>
      </c>
      <c r="B101" s="342" t="s">
        <v>5943</v>
      </c>
      <c r="C101" s="347" t="s">
        <v>6909</v>
      </c>
      <c r="D101" s="342" t="s">
        <v>2909</v>
      </c>
      <c r="E101" s="343" t="s">
        <v>7321</v>
      </c>
      <c r="F101" s="355" t="s">
        <v>7418</v>
      </c>
      <c r="G101" s="343" t="s">
        <v>6999</v>
      </c>
      <c r="H101" s="343" t="s">
        <v>7088</v>
      </c>
      <c r="I101" s="343" t="s">
        <v>7178</v>
      </c>
      <c r="J101" s="358">
        <v>1</v>
      </c>
      <c r="K101" s="353" t="s">
        <v>6846</v>
      </c>
      <c r="L101" s="353" t="s">
        <v>6846</v>
      </c>
      <c r="M101" s="358" t="s">
        <v>7187</v>
      </c>
      <c r="N101" s="358" t="s">
        <v>7197</v>
      </c>
      <c r="O101" s="356" t="s">
        <v>6797</v>
      </c>
      <c r="P101" s="347" t="s">
        <v>7230</v>
      </c>
      <c r="Q101" s="342" t="s">
        <v>2233</v>
      </c>
      <c r="R101" s="342" t="s">
        <v>3487</v>
      </c>
      <c r="S101" s="342"/>
      <c r="T101" s="342" t="s">
        <v>7513</v>
      </c>
      <c r="U101"/>
      <c r="V101" s="330"/>
      <c r="W101" s="330"/>
      <c r="X101" s="330"/>
      <c r="Y101" s="330"/>
      <c r="Z101" s="330"/>
    </row>
    <row r="102" spans="1:26" ht="22" customHeight="1">
      <c r="A102" s="342" t="s">
        <v>5952</v>
      </c>
      <c r="B102" s="342" t="s">
        <v>5943</v>
      </c>
      <c r="C102" s="347" t="s">
        <v>6909</v>
      </c>
      <c r="D102" s="342" t="s">
        <v>2909</v>
      </c>
      <c r="E102" s="343" t="s">
        <v>7328</v>
      </c>
      <c r="F102" s="355" t="s">
        <v>7419</v>
      </c>
      <c r="G102" s="343" t="s">
        <v>7000</v>
      </c>
      <c r="H102" s="343" t="s">
        <v>7089</v>
      </c>
      <c r="I102" s="343" t="s">
        <v>7179</v>
      </c>
      <c r="J102" s="358">
        <v>2</v>
      </c>
      <c r="K102" s="353" t="s">
        <v>6846</v>
      </c>
      <c r="L102" s="353" t="s">
        <v>6846</v>
      </c>
      <c r="M102" s="358" t="s">
        <v>7187</v>
      </c>
      <c r="N102" s="358" t="s">
        <v>7197</v>
      </c>
      <c r="O102" s="356" t="s">
        <v>6797</v>
      </c>
      <c r="P102" s="347" t="s">
        <v>7230</v>
      </c>
      <c r="Q102" s="342" t="s">
        <v>2233</v>
      </c>
      <c r="R102" s="342" t="s">
        <v>3487</v>
      </c>
      <c r="S102" s="342"/>
      <c r="T102" s="342" t="s">
        <v>7514</v>
      </c>
      <c r="U102"/>
      <c r="V102" s="330"/>
      <c r="W102" s="330"/>
      <c r="X102" s="330"/>
      <c r="Y102" s="330"/>
      <c r="Z102" s="330"/>
    </row>
    <row r="103" spans="1:26" ht="22" customHeight="1">
      <c r="A103" s="342" t="s">
        <v>5953</v>
      </c>
      <c r="B103" s="342" t="s">
        <v>5943</v>
      </c>
      <c r="C103" s="347" t="s">
        <v>6909</v>
      </c>
      <c r="D103" s="342" t="s">
        <v>2909</v>
      </c>
      <c r="E103" s="343" t="s">
        <v>7325</v>
      </c>
      <c r="F103" s="355" t="s">
        <v>7398</v>
      </c>
      <c r="G103" s="343" t="s">
        <v>7001</v>
      </c>
      <c r="H103" s="343" t="s">
        <v>7090</v>
      </c>
      <c r="I103" s="343" t="s">
        <v>7180</v>
      </c>
      <c r="J103" s="358">
        <v>2</v>
      </c>
      <c r="K103" s="353" t="s">
        <v>6846</v>
      </c>
      <c r="L103" s="353" t="s">
        <v>6846</v>
      </c>
      <c r="M103" s="358" t="s">
        <v>7187</v>
      </c>
      <c r="N103" s="358" t="s">
        <v>7197</v>
      </c>
      <c r="O103" s="356" t="s">
        <v>6797</v>
      </c>
      <c r="P103" s="347" t="s">
        <v>7230</v>
      </c>
      <c r="Q103" s="342" t="s">
        <v>2233</v>
      </c>
      <c r="R103" s="342" t="s">
        <v>3487</v>
      </c>
      <c r="S103" s="342"/>
      <c r="T103" s="342" t="s">
        <v>7504</v>
      </c>
      <c r="U103"/>
      <c r="V103" s="330"/>
      <c r="W103" s="330"/>
      <c r="X103" s="330"/>
      <c r="Y103" s="330"/>
      <c r="Z103" s="330"/>
    </row>
    <row r="104" spans="1:26" ht="22" customHeight="1">
      <c r="A104" s="342" t="s">
        <v>5954</v>
      </c>
      <c r="B104" s="342" t="s">
        <v>5943</v>
      </c>
      <c r="C104" s="347" t="s">
        <v>6909</v>
      </c>
      <c r="D104" s="342" t="s">
        <v>2909</v>
      </c>
      <c r="E104" s="343" t="s">
        <v>7325</v>
      </c>
      <c r="F104" s="355" t="s">
        <v>7439</v>
      </c>
      <c r="G104" s="343" t="s">
        <v>7002</v>
      </c>
      <c r="H104" s="343" t="s">
        <v>7091</v>
      </c>
      <c r="I104" s="343" t="s">
        <v>7181</v>
      </c>
      <c r="J104" s="358">
        <v>2</v>
      </c>
      <c r="K104" s="353" t="s">
        <v>6846</v>
      </c>
      <c r="L104" s="353" t="s">
        <v>6846</v>
      </c>
      <c r="M104" s="358" t="s">
        <v>7187</v>
      </c>
      <c r="N104" s="358" t="s">
        <v>7197</v>
      </c>
      <c r="O104" s="356" t="s">
        <v>6797</v>
      </c>
      <c r="P104" s="347" t="s">
        <v>7230</v>
      </c>
      <c r="Q104" s="342" t="s">
        <v>2233</v>
      </c>
      <c r="R104" s="342" t="s">
        <v>3487</v>
      </c>
      <c r="S104" s="342"/>
      <c r="T104" s="342" t="s">
        <v>7534</v>
      </c>
      <c r="U104"/>
      <c r="V104" s="330"/>
      <c r="W104" s="330"/>
      <c r="X104" s="330"/>
      <c r="Y104" s="330"/>
      <c r="Z104" s="330"/>
    </row>
    <row r="105" spans="1:26" ht="22" customHeight="1">
      <c r="A105" s="342" t="s">
        <v>5955</v>
      </c>
      <c r="B105" s="342" t="s">
        <v>5943</v>
      </c>
      <c r="C105" s="347" t="s">
        <v>6909</v>
      </c>
      <c r="D105" s="342" t="s">
        <v>2909</v>
      </c>
      <c r="E105" s="343" t="s">
        <v>7325</v>
      </c>
      <c r="F105" s="355" t="s">
        <v>7439</v>
      </c>
      <c r="G105" s="343" t="s">
        <v>7003</v>
      </c>
      <c r="H105" s="343" t="s">
        <v>7092</v>
      </c>
      <c r="I105" s="343" t="s">
        <v>7182</v>
      </c>
      <c r="J105" s="358">
        <v>2</v>
      </c>
      <c r="K105" s="353" t="s">
        <v>6846</v>
      </c>
      <c r="L105" s="353" t="s">
        <v>6846</v>
      </c>
      <c r="M105" s="358" t="s">
        <v>7187</v>
      </c>
      <c r="N105" s="358" t="s">
        <v>7197</v>
      </c>
      <c r="O105" s="356" t="s">
        <v>6797</v>
      </c>
      <c r="P105" s="347" t="s">
        <v>7230</v>
      </c>
      <c r="Q105" s="342" t="s">
        <v>2233</v>
      </c>
      <c r="R105" s="342" t="s">
        <v>3487</v>
      </c>
      <c r="S105" s="342"/>
      <c r="T105" s="342" t="s">
        <v>7534</v>
      </c>
      <c r="U105"/>
      <c r="V105" s="330"/>
      <c r="W105" s="330"/>
      <c r="X105" s="330"/>
      <c r="Y105" s="330"/>
      <c r="Z105" s="330"/>
    </row>
    <row r="106" spans="1:26" ht="22" customHeight="1">
      <c r="A106" s="342" t="s">
        <v>5956</v>
      </c>
      <c r="B106" s="342" t="s">
        <v>5943</v>
      </c>
      <c r="C106" s="347" t="s">
        <v>6909</v>
      </c>
      <c r="D106" s="342" t="s">
        <v>2909</v>
      </c>
      <c r="E106" s="343" t="s">
        <v>7325</v>
      </c>
      <c r="F106" s="355" t="s">
        <v>7398</v>
      </c>
      <c r="G106" s="343" t="s">
        <v>7004</v>
      </c>
      <c r="H106" s="343" t="s">
        <v>7093</v>
      </c>
      <c r="I106" s="343" t="s">
        <v>7183</v>
      </c>
      <c r="J106" s="358">
        <v>1</v>
      </c>
      <c r="K106" s="346" t="s">
        <v>6846</v>
      </c>
      <c r="L106" s="353" t="s">
        <v>6846</v>
      </c>
      <c r="M106" s="358" t="s">
        <v>7187</v>
      </c>
      <c r="N106" s="358" t="s">
        <v>7197</v>
      </c>
      <c r="O106" s="356" t="s">
        <v>6797</v>
      </c>
      <c r="P106" s="347" t="s">
        <v>7230</v>
      </c>
      <c r="Q106" s="342" t="s">
        <v>2233</v>
      </c>
      <c r="R106" s="342" t="s">
        <v>3487</v>
      </c>
      <c r="S106" s="342"/>
      <c r="T106" s="342" t="s">
        <v>7504</v>
      </c>
      <c r="U106"/>
      <c r="V106" s="330"/>
      <c r="W106" s="330"/>
      <c r="X106" s="330"/>
      <c r="Y106" s="330"/>
      <c r="Z106" s="330"/>
    </row>
  </sheetData>
  <autoFilter ref="A6:T106" xr:uid="{66250CDA-FE4E-E74B-968F-00BE7CB94CEE}"/>
  <phoneticPr fontId="3"/>
  <conditionalFormatting sqref="C7:C106">
    <cfRule type="expression" dxfId="63" priority="205">
      <formula>$C7="設計書の執筆"</formula>
    </cfRule>
    <cfRule type="expression" dxfId="62" priority="206">
      <formula>$C7="ガイド・手順書の執筆"</formula>
    </cfRule>
    <cfRule type="expression" dxfId="61" priority="207">
      <formula>$C7="調査・計画"</formula>
    </cfRule>
    <cfRule type="expression" dxfId="60" priority="208">
      <formula>$C7="実機検証・照会"</formula>
    </cfRule>
    <cfRule type="expression" dxfId="59" priority="209">
      <formula>$C7="レビュー・合意"</formula>
    </cfRule>
    <cfRule type="expression" dxfId="58" priority="210">
      <formula>$C7="外部調整"</formula>
    </cfRule>
  </conditionalFormatting>
  <conditionalFormatting sqref="K7:L106">
    <cfRule type="expression" dxfId="57" priority="214">
      <formula>K7="アプリチーム"</formula>
    </cfRule>
    <cfRule type="expression" dxfId="56" priority="215">
      <formula>K7="基盤チーム"</formula>
    </cfRule>
    <cfRule type="expression" dxfId="55" priority="216">
      <formula>K7="要判断"</formula>
    </cfRule>
    <cfRule type="expression" dxfId="54" priority="217">
      <formula>K7="共同"</formula>
    </cfRule>
  </conditionalFormatting>
  <conditionalFormatting sqref="O7:O106">
    <cfRule type="expression" dxfId="53" priority="198">
      <formula>LEFT($O7,3)="対象外"</formula>
    </cfRule>
    <cfRule type="expression" dxfId="52" priority="199">
      <formula>$O7="対象"</formula>
    </cfRule>
  </conditionalFormatting>
  <conditionalFormatting sqref="P7:P106">
    <cfRule type="expression" dxfId="51" priority="211">
      <formula>$P7="当初あり"</formula>
    </cfRule>
    <cfRule type="expression" dxfId="50" priority="212">
      <formula>LEFT($P7,2)="新規"</formula>
    </cfRule>
  </conditionalFormatting>
  <conditionalFormatting sqref="T7:T106">
    <cfRule type="expression" dxfId="49" priority="213">
      <formula>LEFT($T7,2)="F-"</formula>
    </cfRule>
  </conditionalFormatting>
  <conditionalFormatting sqref="L1">
    <cfRule type="expression" dxfId="48" priority="193">
      <formula>L1="アプリチーム"</formula>
    </cfRule>
    <cfRule type="expression" dxfId="47" priority="194">
      <formula>L1="基盤チーム"</formula>
    </cfRule>
    <cfRule type="expression" dxfId="46" priority="195">
      <formula>L1="要判断"</formula>
    </cfRule>
    <cfRule type="expression" dxfId="45" priority="196">
      <formula>L1="共同"</formula>
    </cfRule>
  </conditionalFormatting>
  <conditionalFormatting sqref="K1">
    <cfRule type="expression" dxfId="44" priority="189">
      <formula>K1="アプリチーム"</formula>
    </cfRule>
    <cfRule type="expression" dxfId="43" priority="190">
      <formula>K1="基盤チーム"</formula>
    </cfRule>
    <cfRule type="expression" dxfId="42" priority="191">
      <formula>K1="要判断"</formula>
    </cfRule>
    <cfRule type="expression" dxfId="41" priority="192">
      <formula>K1="共同"</formula>
    </cfRule>
  </conditionalFormatting>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tabSelected="1" zoomScale="89" zoomScaleNormal="120" workbookViewId="0">
      <pane ySplit="5" topLeftCell="A6" activePane="bottomLeft" state="frozen"/>
      <selection pane="bottomLeft" activeCell="E30" sqref="E30"/>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73" t="s">
        <v>6715</v>
      </c>
      <c r="B1" s="374"/>
      <c r="C1" s="374"/>
      <c r="D1" s="374"/>
      <c r="E1" s="374"/>
      <c r="F1" s="374"/>
      <c r="G1" s="373" t="s">
        <v>6861</v>
      </c>
      <c r="H1" s="374">
        <f>SUM('WBS(基本設計)'!$J$7:$J$106)</f>
        <v>157</v>
      </c>
      <c r="I1" s="374"/>
      <c r="J1" s="374"/>
      <c r="K1" s="374"/>
      <c r="L1" s="374"/>
      <c r="M1" s="374"/>
      <c r="N1" s="374"/>
      <c r="O1" s="374"/>
      <c r="P1" s="374"/>
      <c r="Q1" s="374"/>
      <c r="R1" s="374"/>
      <c r="S1" s="374"/>
      <c r="T1" s="374"/>
      <c r="U1" s="374"/>
    </row>
    <row r="2" spans="1:21">
      <c r="A2" s="349" t="s">
        <v>5936</v>
      </c>
      <c r="B2" s="374"/>
      <c r="C2" s="374"/>
      <c r="D2" s="374"/>
      <c r="E2" s="374"/>
      <c r="F2" s="374"/>
      <c r="G2" s="373" t="s">
        <v>6862</v>
      </c>
      <c r="H2" s="374">
        <f>SUM($U$6:$U$222)</f>
        <v>1216.4000000000003</v>
      </c>
      <c r="I2" s="374"/>
      <c r="J2" s="374"/>
      <c r="K2" s="374"/>
      <c r="L2" s="374"/>
      <c r="M2" s="374"/>
      <c r="N2" s="374"/>
      <c r="O2" s="374"/>
      <c r="P2" s="374"/>
      <c r="Q2" s="374"/>
      <c r="R2" s="374"/>
      <c r="S2" s="374"/>
      <c r="T2" s="374"/>
      <c r="U2" s="374"/>
    </row>
    <row r="3" spans="1:21">
      <c r="A3" s="360" t="s">
        <v>6716</v>
      </c>
      <c r="B3" s="374"/>
      <c r="C3" s="374"/>
      <c r="D3" s="374"/>
      <c r="E3" s="374"/>
      <c r="F3" s="374"/>
      <c r="G3" s="373" t="s">
        <v>6863</v>
      </c>
      <c r="H3" s="374">
        <f>SUM('WBS(テスト)'!$E$6:$E$59)</f>
        <v>429</v>
      </c>
      <c r="I3" s="374"/>
      <c r="J3" s="374"/>
      <c r="K3" s="374"/>
      <c r="L3" s="374"/>
      <c r="M3" s="374"/>
      <c r="N3" s="374"/>
      <c r="O3" s="374"/>
      <c r="P3" s="374"/>
      <c r="Q3" s="374"/>
      <c r="R3" s="374"/>
      <c r="S3" s="374"/>
      <c r="T3" s="374"/>
      <c r="U3" s="374"/>
    </row>
    <row r="4" spans="1:21">
      <c r="A4" s="348" t="s">
        <v>6865</v>
      </c>
      <c r="B4" s="374"/>
      <c r="C4" s="374"/>
      <c r="D4" s="374"/>
      <c r="E4" s="374"/>
      <c r="F4" s="374"/>
      <c r="G4" s="373" t="s">
        <v>6864</v>
      </c>
      <c r="H4" s="374">
        <f>SUM(H1:H3)/20</f>
        <v>90.120000000000019</v>
      </c>
      <c r="I4" s="374"/>
      <c r="J4" s="374"/>
      <c r="K4" s="374"/>
      <c r="L4" s="374"/>
      <c r="M4" s="374"/>
      <c r="N4" s="374"/>
      <c r="O4" s="374"/>
      <c r="P4" s="374"/>
      <c r="Q4" s="374"/>
      <c r="R4" s="374"/>
      <c r="S4" s="374"/>
      <c r="T4" s="374"/>
      <c r="U4" s="374"/>
    </row>
    <row r="5" spans="1:21" ht="26" customHeight="1">
      <c r="A5" s="341" t="s">
        <v>3570</v>
      </c>
      <c r="B5" s="341" t="s">
        <v>3476</v>
      </c>
      <c r="C5" s="341" t="s">
        <v>6499</v>
      </c>
      <c r="D5" s="341" t="s">
        <v>6500</v>
      </c>
      <c r="E5" s="341" t="s">
        <v>6501</v>
      </c>
      <c r="F5" s="404" t="s">
        <v>3571</v>
      </c>
      <c r="G5" s="341" t="s">
        <v>6421</v>
      </c>
      <c r="H5" s="341" t="s">
        <v>6251</v>
      </c>
      <c r="I5" s="341" t="s">
        <v>6502</v>
      </c>
      <c r="J5" s="341" t="s">
        <v>6503</v>
      </c>
      <c r="K5" s="341" t="s">
        <v>2438</v>
      </c>
      <c r="L5" s="341" t="s">
        <v>6504</v>
      </c>
      <c r="M5" s="341" t="s">
        <v>2440</v>
      </c>
      <c r="N5" s="341" t="s">
        <v>2441</v>
      </c>
      <c r="O5" s="341" t="s">
        <v>1549</v>
      </c>
      <c r="P5" s="341" t="s">
        <v>6505</v>
      </c>
      <c r="Q5" s="341" t="s">
        <v>2735</v>
      </c>
      <c r="R5" s="341" t="s">
        <v>6849</v>
      </c>
      <c r="S5" s="341" t="s">
        <v>6851</v>
      </c>
      <c r="T5" s="341" t="s">
        <v>6833</v>
      </c>
      <c r="U5" s="341" t="s">
        <v>6860</v>
      </c>
    </row>
    <row r="6" spans="1:21" ht="19" customHeight="1">
      <c r="A6" s="346" t="s">
        <v>2522</v>
      </c>
      <c r="B6" s="346" t="s">
        <v>5723</v>
      </c>
      <c r="C6" s="342" t="s">
        <v>6748</v>
      </c>
      <c r="D6" s="343" t="s">
        <v>6718</v>
      </c>
      <c r="E6" s="343" t="s">
        <v>6506</v>
      </c>
      <c r="F6" s="355">
        <v>3</v>
      </c>
      <c r="G6" s="357" t="s">
        <v>5957</v>
      </c>
      <c r="H6" s="357" t="s">
        <v>6252</v>
      </c>
      <c r="I6" s="343"/>
      <c r="J6" s="343"/>
      <c r="K6" s="342"/>
      <c r="L6" s="342"/>
      <c r="M6" s="342" t="s">
        <v>4</v>
      </c>
      <c r="N6" s="342" t="s">
        <v>6507</v>
      </c>
      <c r="O6" s="342" t="s">
        <v>6508</v>
      </c>
      <c r="P6" s="342"/>
      <c r="Q6" s="402" t="s">
        <v>6787</v>
      </c>
      <c r="R6" s="402" t="s">
        <v>6845</v>
      </c>
      <c r="S6" s="402" t="s">
        <v>6845</v>
      </c>
      <c r="T6" s="402" t="s">
        <v>6836</v>
      </c>
      <c r="U6" s="403">
        <f>IF($A6="③ 構築（DU）",$F6*0.6,$F6)</f>
        <v>3</v>
      </c>
    </row>
    <row r="7" spans="1:21" ht="19" customHeight="1">
      <c r="A7" s="346" t="s">
        <v>2522</v>
      </c>
      <c r="B7" s="346" t="s">
        <v>5724</v>
      </c>
      <c r="C7" s="342" t="s">
        <v>6748</v>
      </c>
      <c r="D7" s="343" t="s">
        <v>6719</v>
      </c>
      <c r="E7" s="343" t="s">
        <v>6509</v>
      </c>
      <c r="F7" s="355">
        <v>3</v>
      </c>
      <c r="G7" s="357" t="s">
        <v>5957</v>
      </c>
      <c r="H7" s="357" t="s">
        <v>6252</v>
      </c>
      <c r="I7" s="343"/>
      <c r="J7" s="343"/>
      <c r="K7" s="342"/>
      <c r="L7" s="342"/>
      <c r="M7" s="342" t="s">
        <v>4</v>
      </c>
      <c r="N7" s="342" t="s">
        <v>6507</v>
      </c>
      <c r="O7" s="342" t="s">
        <v>6508</v>
      </c>
      <c r="P7" s="342"/>
      <c r="Q7" s="402" t="s">
        <v>6787</v>
      </c>
      <c r="R7" s="402" t="s">
        <v>6845</v>
      </c>
      <c r="S7" s="402" t="s">
        <v>6845</v>
      </c>
      <c r="T7" s="402" t="s">
        <v>6836</v>
      </c>
      <c r="U7" s="403">
        <f t="shared" ref="U7:U70" si="0">IF($A7="③ 構築（DU）",$F7*0.6,$F7)</f>
        <v>3</v>
      </c>
    </row>
    <row r="8" spans="1:21" ht="19" customHeight="1">
      <c r="A8" s="346" t="s">
        <v>2522</v>
      </c>
      <c r="B8" s="346" t="s">
        <v>5725</v>
      </c>
      <c r="C8" s="342" t="s">
        <v>6748</v>
      </c>
      <c r="D8" s="343" t="s">
        <v>6720</v>
      </c>
      <c r="E8" s="343" t="s">
        <v>6510</v>
      </c>
      <c r="F8" s="355">
        <v>3</v>
      </c>
      <c r="G8" s="357" t="s">
        <v>5957</v>
      </c>
      <c r="H8" s="357" t="s">
        <v>6252</v>
      </c>
      <c r="I8" s="343"/>
      <c r="J8" s="343"/>
      <c r="K8" s="342"/>
      <c r="L8" s="342"/>
      <c r="M8" s="342" t="s">
        <v>4</v>
      </c>
      <c r="N8" s="342" t="s">
        <v>6507</v>
      </c>
      <c r="O8" s="342" t="s">
        <v>6508</v>
      </c>
      <c r="P8" s="342"/>
      <c r="Q8" s="402" t="s">
        <v>6787</v>
      </c>
      <c r="R8" s="402" t="s">
        <v>6845</v>
      </c>
      <c r="S8" s="402" t="s">
        <v>6845</v>
      </c>
      <c r="T8" s="402" t="s">
        <v>6836</v>
      </c>
      <c r="U8" s="403">
        <f t="shared" si="0"/>
        <v>3</v>
      </c>
    </row>
    <row r="9" spans="1:21" ht="19" customHeight="1">
      <c r="A9" s="346" t="s">
        <v>2522</v>
      </c>
      <c r="B9" s="346" t="s">
        <v>5726</v>
      </c>
      <c r="C9" s="342" t="s">
        <v>6748</v>
      </c>
      <c r="D9" s="343" t="s">
        <v>6721</v>
      </c>
      <c r="E9" s="343" t="s">
        <v>6511</v>
      </c>
      <c r="F9" s="355">
        <v>3</v>
      </c>
      <c r="G9" s="357" t="s">
        <v>5957</v>
      </c>
      <c r="H9" s="357" t="s">
        <v>6252</v>
      </c>
      <c r="I9" s="343"/>
      <c r="J9" s="343"/>
      <c r="K9" s="342"/>
      <c r="L9" s="342"/>
      <c r="M9" s="342" t="s">
        <v>4</v>
      </c>
      <c r="N9" s="342" t="s">
        <v>6507</v>
      </c>
      <c r="O9" s="342" t="s">
        <v>6508</v>
      </c>
      <c r="P9" s="342"/>
      <c r="Q9" s="402" t="s">
        <v>6787</v>
      </c>
      <c r="R9" s="402" t="s">
        <v>6845</v>
      </c>
      <c r="S9" s="402" t="s">
        <v>6845</v>
      </c>
      <c r="T9" s="402" t="s">
        <v>6836</v>
      </c>
      <c r="U9" s="403">
        <f t="shared" si="0"/>
        <v>3</v>
      </c>
    </row>
    <row r="10" spans="1:21" ht="19" customHeight="1">
      <c r="A10" s="346" t="s">
        <v>2522</v>
      </c>
      <c r="B10" s="346" t="s">
        <v>5727</v>
      </c>
      <c r="C10" s="342" t="s">
        <v>6748</v>
      </c>
      <c r="D10" s="343" t="s">
        <v>6722</v>
      </c>
      <c r="E10" s="343" t="s">
        <v>6512</v>
      </c>
      <c r="F10" s="355">
        <v>3</v>
      </c>
      <c r="G10" s="357" t="s">
        <v>5957</v>
      </c>
      <c r="H10" s="357" t="s">
        <v>6252</v>
      </c>
      <c r="I10" s="343"/>
      <c r="J10" s="343"/>
      <c r="K10" s="342"/>
      <c r="L10" s="342"/>
      <c r="M10" s="342" t="s">
        <v>4</v>
      </c>
      <c r="N10" s="342" t="s">
        <v>6507</v>
      </c>
      <c r="O10" s="342" t="s">
        <v>6508</v>
      </c>
      <c r="P10" s="342"/>
      <c r="Q10" s="402" t="s">
        <v>6787</v>
      </c>
      <c r="R10" s="402" t="s">
        <v>6845</v>
      </c>
      <c r="S10" s="402" t="s">
        <v>6845</v>
      </c>
      <c r="T10" s="402" t="s">
        <v>6836</v>
      </c>
      <c r="U10" s="403">
        <f t="shared" si="0"/>
        <v>3</v>
      </c>
    </row>
    <row r="11" spans="1:21" ht="19" customHeight="1">
      <c r="A11" s="346" t="s">
        <v>2522</v>
      </c>
      <c r="B11" s="346" t="s">
        <v>5728</v>
      </c>
      <c r="C11" s="342" t="s">
        <v>6748</v>
      </c>
      <c r="D11" s="343" t="s">
        <v>6723</v>
      </c>
      <c r="E11" s="343" t="s">
        <v>6513</v>
      </c>
      <c r="F11" s="355">
        <v>2</v>
      </c>
      <c r="G11" s="357" t="s">
        <v>5957</v>
      </c>
      <c r="H11" s="357" t="s">
        <v>6252</v>
      </c>
      <c r="I11" s="343"/>
      <c r="J11" s="343"/>
      <c r="K11" s="342"/>
      <c r="L11" s="342"/>
      <c r="M11" s="342" t="s">
        <v>4</v>
      </c>
      <c r="N11" s="342" t="s">
        <v>6507</v>
      </c>
      <c r="O11" s="342" t="s">
        <v>6508</v>
      </c>
      <c r="P11" s="342"/>
      <c r="Q11" s="402" t="s">
        <v>6787</v>
      </c>
      <c r="R11" s="402" t="s">
        <v>6845</v>
      </c>
      <c r="S11" s="402" t="s">
        <v>6845</v>
      </c>
      <c r="T11" s="402" t="s">
        <v>6836</v>
      </c>
      <c r="U11" s="403">
        <f t="shared" si="0"/>
        <v>2</v>
      </c>
    </row>
    <row r="12" spans="1:21" ht="19" customHeight="1">
      <c r="A12" s="346" t="s">
        <v>2522</v>
      </c>
      <c r="B12" s="346" t="s">
        <v>5729</v>
      </c>
      <c r="C12" s="342" t="s">
        <v>6748</v>
      </c>
      <c r="D12" s="343" t="s">
        <v>6724</v>
      </c>
      <c r="E12" s="343" t="s">
        <v>6514</v>
      </c>
      <c r="F12" s="355">
        <v>4</v>
      </c>
      <c r="G12" s="357" t="s">
        <v>5957</v>
      </c>
      <c r="H12" s="357" t="s">
        <v>6252</v>
      </c>
      <c r="I12" s="343"/>
      <c r="J12" s="343"/>
      <c r="K12" s="342"/>
      <c r="L12" s="342"/>
      <c r="M12" s="342" t="s">
        <v>4</v>
      </c>
      <c r="N12" s="342" t="s">
        <v>6507</v>
      </c>
      <c r="O12" s="342" t="s">
        <v>6508</v>
      </c>
      <c r="P12" s="342"/>
      <c r="Q12" s="402" t="s">
        <v>6787</v>
      </c>
      <c r="R12" s="402" t="s">
        <v>6845</v>
      </c>
      <c r="S12" s="402" t="s">
        <v>6845</v>
      </c>
      <c r="T12" s="402" t="s">
        <v>6836</v>
      </c>
      <c r="U12" s="403">
        <f t="shared" si="0"/>
        <v>4</v>
      </c>
    </row>
    <row r="13" spans="1:21" ht="19" customHeight="1">
      <c r="A13" s="346" t="s">
        <v>2522</v>
      </c>
      <c r="B13" s="346" t="s">
        <v>5730</v>
      </c>
      <c r="C13" s="342" t="s">
        <v>6748</v>
      </c>
      <c r="D13" s="343" t="s">
        <v>6725</v>
      </c>
      <c r="E13" s="343" t="s">
        <v>6515</v>
      </c>
      <c r="F13" s="355">
        <v>2</v>
      </c>
      <c r="G13" s="357" t="s">
        <v>5957</v>
      </c>
      <c r="H13" s="357" t="s">
        <v>6252</v>
      </c>
      <c r="I13" s="343"/>
      <c r="J13" s="343"/>
      <c r="K13" s="342"/>
      <c r="L13" s="342"/>
      <c r="M13" s="342" t="s">
        <v>4</v>
      </c>
      <c r="N13" s="342" t="s">
        <v>6507</v>
      </c>
      <c r="O13" s="342" t="s">
        <v>6508</v>
      </c>
      <c r="P13" s="342"/>
      <c r="Q13" s="402" t="s">
        <v>6787</v>
      </c>
      <c r="R13" s="402" t="s">
        <v>6845</v>
      </c>
      <c r="S13" s="402" t="s">
        <v>6845</v>
      </c>
      <c r="T13" s="402" t="s">
        <v>6836</v>
      </c>
      <c r="U13" s="403">
        <f t="shared" si="0"/>
        <v>2</v>
      </c>
    </row>
    <row r="14" spans="1:21" ht="19" customHeight="1">
      <c r="A14" s="346" t="s">
        <v>2522</v>
      </c>
      <c r="B14" s="346" t="s">
        <v>5731</v>
      </c>
      <c r="C14" s="342" t="s">
        <v>6748</v>
      </c>
      <c r="D14" s="343" t="s">
        <v>6726</v>
      </c>
      <c r="E14" s="343" t="s">
        <v>6516</v>
      </c>
      <c r="F14" s="355">
        <v>2</v>
      </c>
      <c r="G14" s="357" t="s">
        <v>5957</v>
      </c>
      <c r="H14" s="357" t="s">
        <v>6252</v>
      </c>
      <c r="I14" s="343"/>
      <c r="J14" s="343"/>
      <c r="K14" s="342"/>
      <c r="L14" s="342"/>
      <c r="M14" s="342" t="s">
        <v>4</v>
      </c>
      <c r="N14" s="342" t="s">
        <v>6507</v>
      </c>
      <c r="O14" s="342" t="s">
        <v>6508</v>
      </c>
      <c r="P14" s="342"/>
      <c r="Q14" s="402" t="s">
        <v>6787</v>
      </c>
      <c r="R14" s="402" t="s">
        <v>6845</v>
      </c>
      <c r="S14" s="402" t="s">
        <v>6845</v>
      </c>
      <c r="T14" s="402" t="s">
        <v>6836</v>
      </c>
      <c r="U14" s="403">
        <f t="shared" si="0"/>
        <v>2</v>
      </c>
    </row>
    <row r="15" spans="1:21" ht="19" customHeight="1">
      <c r="A15" s="346" t="s">
        <v>2522</v>
      </c>
      <c r="B15" s="346" t="s">
        <v>5732</v>
      </c>
      <c r="C15" s="342" t="s">
        <v>6748</v>
      </c>
      <c r="D15" s="343" t="s">
        <v>6517</v>
      </c>
      <c r="E15" s="343" t="s">
        <v>6518</v>
      </c>
      <c r="F15" s="355">
        <v>7</v>
      </c>
      <c r="G15" s="357" t="s">
        <v>5957</v>
      </c>
      <c r="H15" s="357" t="s">
        <v>6252</v>
      </c>
      <c r="I15" s="343"/>
      <c r="J15" s="343"/>
      <c r="K15" s="342"/>
      <c r="L15" s="342"/>
      <c r="M15" s="342" t="s">
        <v>4</v>
      </c>
      <c r="N15" s="342" t="s">
        <v>6507</v>
      </c>
      <c r="O15" s="342" t="s">
        <v>6508</v>
      </c>
      <c r="P15" s="342"/>
      <c r="Q15" s="402" t="s">
        <v>6787</v>
      </c>
      <c r="R15" s="402" t="s">
        <v>6845</v>
      </c>
      <c r="S15" s="402" t="s">
        <v>6845</v>
      </c>
      <c r="T15" s="402" t="s">
        <v>6836</v>
      </c>
      <c r="U15" s="403">
        <f t="shared" si="0"/>
        <v>7</v>
      </c>
    </row>
    <row r="16" spans="1:21" ht="19" customHeight="1">
      <c r="A16" s="346" t="s">
        <v>2522</v>
      </c>
      <c r="B16" s="346" t="s">
        <v>5733</v>
      </c>
      <c r="C16" s="342" t="s">
        <v>6519</v>
      </c>
      <c r="D16" s="343" t="s">
        <v>6520</v>
      </c>
      <c r="E16" s="343" t="s">
        <v>6521</v>
      </c>
      <c r="F16" s="355">
        <v>2</v>
      </c>
      <c r="G16" s="357" t="s">
        <v>6484</v>
      </c>
      <c r="H16" s="357" t="s">
        <v>6522</v>
      </c>
      <c r="I16" s="343"/>
      <c r="J16" s="343"/>
      <c r="K16" s="342"/>
      <c r="L16" s="342" t="s">
        <v>5970</v>
      </c>
      <c r="M16" s="342" t="s">
        <v>4</v>
      </c>
      <c r="N16" s="342" t="s">
        <v>6507</v>
      </c>
      <c r="O16" s="342" t="s">
        <v>6508</v>
      </c>
      <c r="P16" s="342" t="s">
        <v>6523</v>
      </c>
      <c r="Q16" s="402" t="s">
        <v>6787</v>
      </c>
      <c r="R16" s="402" t="s">
        <v>6845</v>
      </c>
      <c r="S16" s="402" t="s">
        <v>6845</v>
      </c>
      <c r="T16" s="402" t="s">
        <v>6838</v>
      </c>
      <c r="U16" s="403">
        <f t="shared" si="0"/>
        <v>2</v>
      </c>
    </row>
    <row r="17" spans="1:21" ht="19" customHeight="1">
      <c r="A17" s="346" t="s">
        <v>2522</v>
      </c>
      <c r="B17" s="346" t="s">
        <v>5734</v>
      </c>
      <c r="C17" s="342" t="s">
        <v>6519</v>
      </c>
      <c r="D17" s="343" t="s">
        <v>6524</v>
      </c>
      <c r="E17" s="343" t="s">
        <v>6521</v>
      </c>
      <c r="F17" s="355">
        <v>4</v>
      </c>
      <c r="G17" s="357" t="s">
        <v>6474</v>
      </c>
      <c r="H17" s="357" t="s">
        <v>6522</v>
      </c>
      <c r="I17" s="343"/>
      <c r="J17" s="343"/>
      <c r="K17" s="342"/>
      <c r="L17" s="342" t="s">
        <v>5970</v>
      </c>
      <c r="M17" s="342" t="s">
        <v>4</v>
      </c>
      <c r="N17" s="342" t="s">
        <v>6507</v>
      </c>
      <c r="O17" s="342" t="s">
        <v>6508</v>
      </c>
      <c r="P17" s="342" t="s">
        <v>6523</v>
      </c>
      <c r="Q17" s="402" t="s">
        <v>6787</v>
      </c>
      <c r="R17" s="402" t="s">
        <v>6845</v>
      </c>
      <c r="S17" s="402" t="s">
        <v>5168</v>
      </c>
      <c r="T17" s="402" t="s">
        <v>6839</v>
      </c>
      <c r="U17" s="403">
        <f t="shared" si="0"/>
        <v>4</v>
      </c>
    </row>
    <row r="18" spans="1:21" ht="19" customHeight="1">
      <c r="A18" s="346" t="s">
        <v>2522</v>
      </c>
      <c r="B18" s="346" t="s">
        <v>5735</v>
      </c>
      <c r="C18" s="342" t="s">
        <v>6519</v>
      </c>
      <c r="D18" s="343" t="s">
        <v>6525</v>
      </c>
      <c r="E18" s="343" t="s">
        <v>6521</v>
      </c>
      <c r="F18" s="355">
        <v>7</v>
      </c>
      <c r="G18" s="357" t="s">
        <v>6472</v>
      </c>
      <c r="H18" s="357" t="s">
        <v>6522</v>
      </c>
      <c r="I18" s="343"/>
      <c r="J18" s="343"/>
      <c r="K18" s="342"/>
      <c r="L18" s="342" t="s">
        <v>5970</v>
      </c>
      <c r="M18" s="342" t="s">
        <v>4</v>
      </c>
      <c r="N18" s="342" t="s">
        <v>6507</v>
      </c>
      <c r="O18" s="342" t="s">
        <v>6508</v>
      </c>
      <c r="P18" s="342" t="s">
        <v>6523</v>
      </c>
      <c r="Q18" s="402" t="s">
        <v>6787</v>
      </c>
      <c r="R18" s="402" t="s">
        <v>6845</v>
      </c>
      <c r="S18" s="402" t="s">
        <v>6845</v>
      </c>
      <c r="T18" s="402" t="s">
        <v>6839</v>
      </c>
      <c r="U18" s="403">
        <f t="shared" si="0"/>
        <v>7</v>
      </c>
    </row>
    <row r="19" spans="1:21" ht="19" customHeight="1">
      <c r="A19" s="346" t="s">
        <v>2522</v>
      </c>
      <c r="B19" s="346" t="s">
        <v>5736</v>
      </c>
      <c r="C19" s="342" t="s">
        <v>6519</v>
      </c>
      <c r="D19" s="343" t="s">
        <v>6526</v>
      </c>
      <c r="E19" s="343" t="s">
        <v>6521</v>
      </c>
      <c r="F19" s="355">
        <v>6</v>
      </c>
      <c r="G19" s="357" t="s">
        <v>6476</v>
      </c>
      <c r="H19" s="357" t="s">
        <v>6522</v>
      </c>
      <c r="I19" s="343"/>
      <c r="J19" s="343"/>
      <c r="K19" s="342"/>
      <c r="L19" s="342" t="s">
        <v>5970</v>
      </c>
      <c r="M19" s="342" t="s">
        <v>4</v>
      </c>
      <c r="N19" s="342" t="s">
        <v>6507</v>
      </c>
      <c r="O19" s="342" t="s">
        <v>6508</v>
      </c>
      <c r="P19" s="342" t="s">
        <v>6523</v>
      </c>
      <c r="Q19" s="402" t="s">
        <v>6787</v>
      </c>
      <c r="R19" s="402" t="s">
        <v>6845</v>
      </c>
      <c r="S19" s="402" t="s">
        <v>6845</v>
      </c>
      <c r="T19" s="402" t="s">
        <v>6839</v>
      </c>
      <c r="U19" s="403">
        <f t="shared" si="0"/>
        <v>6</v>
      </c>
    </row>
    <row r="20" spans="1:21" ht="19" customHeight="1">
      <c r="A20" s="346" t="s">
        <v>2522</v>
      </c>
      <c r="B20" s="346" t="s">
        <v>5737</v>
      </c>
      <c r="C20" s="342" t="s">
        <v>6519</v>
      </c>
      <c r="D20" s="343" t="s">
        <v>6527</v>
      </c>
      <c r="E20" s="343" t="s">
        <v>6521</v>
      </c>
      <c r="F20" s="355">
        <v>4</v>
      </c>
      <c r="G20" s="357" t="s">
        <v>6473</v>
      </c>
      <c r="H20" s="357" t="s">
        <v>6522</v>
      </c>
      <c r="I20" s="343"/>
      <c r="J20" s="343"/>
      <c r="K20" s="342"/>
      <c r="L20" s="342" t="s">
        <v>5970</v>
      </c>
      <c r="M20" s="342" t="s">
        <v>4</v>
      </c>
      <c r="N20" s="342" t="s">
        <v>6507</v>
      </c>
      <c r="O20" s="342" t="s">
        <v>6508</v>
      </c>
      <c r="P20" s="342" t="s">
        <v>6523</v>
      </c>
      <c r="Q20" s="402" t="s">
        <v>6787</v>
      </c>
      <c r="R20" s="402" t="s">
        <v>6845</v>
      </c>
      <c r="S20" s="402" t="s">
        <v>6845</v>
      </c>
      <c r="T20" s="402" t="s">
        <v>6839</v>
      </c>
      <c r="U20" s="403">
        <f t="shared" si="0"/>
        <v>4</v>
      </c>
    </row>
    <row r="21" spans="1:21" ht="19" customHeight="1">
      <c r="A21" s="346" t="s">
        <v>2522</v>
      </c>
      <c r="B21" s="346" t="s">
        <v>5738</v>
      </c>
      <c r="C21" s="342" t="s">
        <v>6519</v>
      </c>
      <c r="D21" s="343" t="s">
        <v>6528</v>
      </c>
      <c r="E21" s="343" t="s">
        <v>6521</v>
      </c>
      <c r="F21" s="355">
        <v>3</v>
      </c>
      <c r="G21" s="357" t="s">
        <v>6466</v>
      </c>
      <c r="H21" s="357" t="s">
        <v>6522</v>
      </c>
      <c r="I21" s="343"/>
      <c r="J21" s="343"/>
      <c r="K21" s="342"/>
      <c r="L21" s="342" t="s">
        <v>5970</v>
      </c>
      <c r="M21" s="342" t="s">
        <v>4</v>
      </c>
      <c r="N21" s="342" t="s">
        <v>6507</v>
      </c>
      <c r="O21" s="342" t="s">
        <v>6508</v>
      </c>
      <c r="P21" s="342" t="s">
        <v>6523</v>
      </c>
      <c r="Q21" s="402" t="s">
        <v>6787</v>
      </c>
      <c r="R21" s="402" t="s">
        <v>6845</v>
      </c>
      <c r="S21" s="402" t="s">
        <v>6845</v>
      </c>
      <c r="T21" s="402" t="s">
        <v>6835</v>
      </c>
      <c r="U21" s="403">
        <f t="shared" si="0"/>
        <v>3</v>
      </c>
    </row>
    <row r="22" spans="1:21" ht="19" customHeight="1">
      <c r="A22" s="346" t="s">
        <v>2522</v>
      </c>
      <c r="B22" s="346" t="s">
        <v>5739</v>
      </c>
      <c r="C22" s="342" t="s">
        <v>6519</v>
      </c>
      <c r="D22" s="343" t="s">
        <v>6529</v>
      </c>
      <c r="E22" s="343" t="s">
        <v>6521</v>
      </c>
      <c r="F22" s="355">
        <v>3</v>
      </c>
      <c r="G22" s="357" t="s">
        <v>6856</v>
      </c>
      <c r="H22" s="357" t="s">
        <v>6522</v>
      </c>
      <c r="I22" s="343"/>
      <c r="J22" s="343"/>
      <c r="K22" s="342"/>
      <c r="L22" s="342" t="s">
        <v>6530</v>
      </c>
      <c r="M22" s="342" t="s">
        <v>4</v>
      </c>
      <c r="N22" s="342" t="s">
        <v>6507</v>
      </c>
      <c r="O22" s="342" t="s">
        <v>6508</v>
      </c>
      <c r="P22" s="342" t="s">
        <v>6523</v>
      </c>
      <c r="Q22" s="402" t="s">
        <v>6787</v>
      </c>
      <c r="R22" s="402" t="s">
        <v>6845</v>
      </c>
      <c r="S22" s="402" t="s">
        <v>5168</v>
      </c>
      <c r="T22" s="402" t="s">
        <v>6839</v>
      </c>
      <c r="U22" s="403">
        <f t="shared" si="0"/>
        <v>3</v>
      </c>
    </row>
    <row r="23" spans="1:21" ht="19" customHeight="1">
      <c r="A23" s="346" t="s">
        <v>2522</v>
      </c>
      <c r="B23" s="346" t="s">
        <v>5740</v>
      </c>
      <c r="C23" s="342" t="s">
        <v>6519</v>
      </c>
      <c r="D23" s="343" t="s">
        <v>6531</v>
      </c>
      <c r="E23" s="343" t="s">
        <v>6521</v>
      </c>
      <c r="F23" s="355">
        <v>7</v>
      </c>
      <c r="G23" s="357" t="s">
        <v>6470</v>
      </c>
      <c r="H23" s="357" t="s">
        <v>6522</v>
      </c>
      <c r="I23" s="343"/>
      <c r="J23" s="343"/>
      <c r="K23" s="342"/>
      <c r="L23" s="342" t="s">
        <v>6530</v>
      </c>
      <c r="M23" s="342" t="s">
        <v>4</v>
      </c>
      <c r="N23" s="342" t="s">
        <v>6507</v>
      </c>
      <c r="O23" s="342" t="s">
        <v>6508</v>
      </c>
      <c r="P23" s="342" t="s">
        <v>6523</v>
      </c>
      <c r="Q23" s="402" t="s">
        <v>6787</v>
      </c>
      <c r="R23" s="402" t="s">
        <v>6845</v>
      </c>
      <c r="S23" s="402" t="s">
        <v>5168</v>
      </c>
      <c r="T23" s="402" t="s">
        <v>6839</v>
      </c>
      <c r="U23" s="403">
        <f t="shared" si="0"/>
        <v>7</v>
      </c>
    </row>
    <row r="24" spans="1:21" ht="19" customHeight="1">
      <c r="A24" s="346" t="s">
        <v>2522</v>
      </c>
      <c r="B24" s="346" t="s">
        <v>5741</v>
      </c>
      <c r="C24" s="342" t="s">
        <v>6519</v>
      </c>
      <c r="D24" s="343" t="s">
        <v>6532</v>
      </c>
      <c r="E24" s="343" t="s">
        <v>6521</v>
      </c>
      <c r="F24" s="355">
        <v>3</v>
      </c>
      <c r="G24" s="357" t="s">
        <v>6479</v>
      </c>
      <c r="H24" s="357" t="s">
        <v>6522</v>
      </c>
      <c r="I24" s="343"/>
      <c r="J24" s="343"/>
      <c r="K24" s="342"/>
      <c r="L24" s="342" t="s">
        <v>6530</v>
      </c>
      <c r="M24" s="342" t="s">
        <v>4</v>
      </c>
      <c r="N24" s="342" t="s">
        <v>6507</v>
      </c>
      <c r="O24" s="342" t="s">
        <v>6508</v>
      </c>
      <c r="P24" s="342" t="s">
        <v>6523</v>
      </c>
      <c r="Q24" s="402" t="s">
        <v>6787</v>
      </c>
      <c r="R24" s="402" t="s">
        <v>6845</v>
      </c>
      <c r="S24" s="402" t="s">
        <v>5168</v>
      </c>
      <c r="T24" s="402" t="s">
        <v>6839</v>
      </c>
      <c r="U24" s="403">
        <f t="shared" si="0"/>
        <v>3</v>
      </c>
    </row>
    <row r="25" spans="1:21" ht="19" customHeight="1">
      <c r="A25" s="346" t="s">
        <v>2522</v>
      </c>
      <c r="B25" s="346" t="s">
        <v>6533</v>
      </c>
      <c r="C25" s="342" t="s">
        <v>6519</v>
      </c>
      <c r="D25" s="343" t="s">
        <v>6534</v>
      </c>
      <c r="E25" s="343" t="s">
        <v>6521</v>
      </c>
      <c r="F25" s="355">
        <v>6</v>
      </c>
      <c r="G25" s="357" t="s">
        <v>6471</v>
      </c>
      <c r="H25" s="357" t="s">
        <v>6522</v>
      </c>
      <c r="I25" s="343"/>
      <c r="J25" s="343"/>
      <c r="K25" s="342"/>
      <c r="L25" s="342" t="s">
        <v>6530</v>
      </c>
      <c r="M25" s="342" t="s">
        <v>4</v>
      </c>
      <c r="N25" s="342" t="s">
        <v>6507</v>
      </c>
      <c r="O25" s="342" t="s">
        <v>6508</v>
      </c>
      <c r="P25" s="342" t="s">
        <v>6523</v>
      </c>
      <c r="Q25" s="402" t="s">
        <v>6787</v>
      </c>
      <c r="R25" s="402" t="s">
        <v>6845</v>
      </c>
      <c r="S25" s="402" t="s">
        <v>5168</v>
      </c>
      <c r="T25" s="402" t="s">
        <v>6839</v>
      </c>
      <c r="U25" s="403">
        <f t="shared" si="0"/>
        <v>6</v>
      </c>
    </row>
    <row r="26" spans="1:21" ht="19" customHeight="1">
      <c r="A26" s="346" t="s">
        <v>2522</v>
      </c>
      <c r="B26" s="346" t="s">
        <v>6535</v>
      </c>
      <c r="C26" s="342" t="s">
        <v>6519</v>
      </c>
      <c r="D26" s="343" t="s">
        <v>6536</v>
      </c>
      <c r="E26" s="343" t="s">
        <v>6521</v>
      </c>
      <c r="F26" s="355">
        <v>5</v>
      </c>
      <c r="G26" s="357" t="s">
        <v>6487</v>
      </c>
      <c r="H26" s="357" t="s">
        <v>6522</v>
      </c>
      <c r="I26" s="343"/>
      <c r="J26" s="343"/>
      <c r="K26" s="342"/>
      <c r="L26" s="342" t="s">
        <v>6530</v>
      </c>
      <c r="M26" s="342" t="s">
        <v>4</v>
      </c>
      <c r="N26" s="342" t="s">
        <v>6507</v>
      </c>
      <c r="O26" s="342" t="s">
        <v>6508</v>
      </c>
      <c r="P26" s="342" t="s">
        <v>6523</v>
      </c>
      <c r="Q26" s="402" t="s">
        <v>6787</v>
      </c>
      <c r="R26" s="402" t="s">
        <v>5168</v>
      </c>
      <c r="S26" s="402" t="s">
        <v>5168</v>
      </c>
      <c r="T26" s="402" t="s">
        <v>6839</v>
      </c>
      <c r="U26" s="403">
        <f t="shared" si="0"/>
        <v>5</v>
      </c>
    </row>
    <row r="27" spans="1:21" ht="19" customHeight="1">
      <c r="A27" s="346" t="s">
        <v>2522</v>
      </c>
      <c r="B27" s="346" t="s">
        <v>6537</v>
      </c>
      <c r="C27" s="342" t="s">
        <v>6519</v>
      </c>
      <c r="D27" s="343" t="s">
        <v>6538</v>
      </c>
      <c r="E27" s="343" t="s">
        <v>6521</v>
      </c>
      <c r="F27" s="355">
        <v>5</v>
      </c>
      <c r="G27" s="357" t="s">
        <v>6857</v>
      </c>
      <c r="H27" s="357" t="s">
        <v>6522</v>
      </c>
      <c r="I27" s="343"/>
      <c r="J27" s="343"/>
      <c r="K27" s="342"/>
      <c r="L27" s="342" t="s">
        <v>6539</v>
      </c>
      <c r="M27" s="342" t="s">
        <v>4</v>
      </c>
      <c r="N27" s="342" t="s">
        <v>6507</v>
      </c>
      <c r="O27" s="342" t="s">
        <v>6508</v>
      </c>
      <c r="P27" s="342" t="s">
        <v>6523</v>
      </c>
      <c r="Q27" s="402" t="s">
        <v>6787</v>
      </c>
      <c r="R27" s="402" t="s">
        <v>6847</v>
      </c>
      <c r="S27" s="402" t="s">
        <v>5168</v>
      </c>
      <c r="T27" s="402" t="s">
        <v>6839</v>
      </c>
      <c r="U27" s="403">
        <f t="shared" si="0"/>
        <v>5</v>
      </c>
    </row>
    <row r="28" spans="1:21" ht="19" customHeight="1">
      <c r="A28" s="346" t="s">
        <v>2522</v>
      </c>
      <c r="B28" s="346" t="s">
        <v>6540</v>
      </c>
      <c r="C28" s="342" t="s">
        <v>6519</v>
      </c>
      <c r="D28" s="343" t="s">
        <v>6541</v>
      </c>
      <c r="E28" s="343" t="s">
        <v>6521</v>
      </c>
      <c r="F28" s="355">
        <v>3</v>
      </c>
      <c r="G28" s="357" t="s">
        <v>6468</v>
      </c>
      <c r="H28" s="357" t="s">
        <v>6522</v>
      </c>
      <c r="I28" s="343"/>
      <c r="J28" s="343"/>
      <c r="K28" s="342"/>
      <c r="L28" s="342" t="s">
        <v>6539</v>
      </c>
      <c r="M28" s="342" t="s">
        <v>4</v>
      </c>
      <c r="N28" s="342" t="s">
        <v>6507</v>
      </c>
      <c r="O28" s="342" t="s">
        <v>6508</v>
      </c>
      <c r="P28" s="342" t="s">
        <v>6523</v>
      </c>
      <c r="Q28" s="402" t="s">
        <v>6787</v>
      </c>
      <c r="R28" s="402" t="s">
        <v>6845</v>
      </c>
      <c r="S28" s="402" t="s">
        <v>5168</v>
      </c>
      <c r="T28" s="402" t="s">
        <v>6839</v>
      </c>
      <c r="U28" s="403">
        <f t="shared" si="0"/>
        <v>3</v>
      </c>
    </row>
    <row r="29" spans="1:21" ht="19" customHeight="1">
      <c r="A29" s="346" t="s">
        <v>2522</v>
      </c>
      <c r="B29" s="346" t="s">
        <v>6542</v>
      </c>
      <c r="C29" s="342" t="s">
        <v>6519</v>
      </c>
      <c r="D29" s="343" t="s">
        <v>6543</v>
      </c>
      <c r="E29" s="343" t="s">
        <v>6521</v>
      </c>
      <c r="F29" s="355">
        <v>3</v>
      </c>
      <c r="G29" s="357" t="s">
        <v>6480</v>
      </c>
      <c r="H29" s="357" t="s">
        <v>6522</v>
      </c>
      <c r="I29" s="343"/>
      <c r="J29" s="343"/>
      <c r="K29" s="342"/>
      <c r="L29" s="342" t="s">
        <v>6539</v>
      </c>
      <c r="M29" s="342" t="s">
        <v>4</v>
      </c>
      <c r="N29" s="342" t="s">
        <v>6507</v>
      </c>
      <c r="O29" s="342" t="s">
        <v>6508</v>
      </c>
      <c r="P29" s="342" t="s">
        <v>6523</v>
      </c>
      <c r="Q29" s="402" t="s">
        <v>6787</v>
      </c>
      <c r="R29" s="402" t="s">
        <v>5168</v>
      </c>
      <c r="S29" s="402" t="s">
        <v>5168</v>
      </c>
      <c r="T29" s="402" t="s">
        <v>6839</v>
      </c>
      <c r="U29" s="403">
        <f t="shared" si="0"/>
        <v>3</v>
      </c>
    </row>
    <row r="30" spans="1:21" ht="19" customHeight="1">
      <c r="A30" s="346" t="s">
        <v>2522</v>
      </c>
      <c r="B30" s="346" t="s">
        <v>6544</v>
      </c>
      <c r="C30" s="342" t="s">
        <v>6519</v>
      </c>
      <c r="D30" s="343" t="s">
        <v>6545</v>
      </c>
      <c r="E30" s="343" t="s">
        <v>6521</v>
      </c>
      <c r="F30" s="355">
        <v>2</v>
      </c>
      <c r="G30" s="357" t="s">
        <v>6498</v>
      </c>
      <c r="H30" s="357" t="s">
        <v>6522</v>
      </c>
      <c r="I30" s="343"/>
      <c r="J30" s="343"/>
      <c r="K30" s="342"/>
      <c r="L30" s="342" t="s">
        <v>6539</v>
      </c>
      <c r="M30" s="342" t="s">
        <v>4</v>
      </c>
      <c r="N30" s="342" t="s">
        <v>6507</v>
      </c>
      <c r="O30" s="342" t="s">
        <v>6508</v>
      </c>
      <c r="P30" s="342" t="s">
        <v>6523</v>
      </c>
      <c r="Q30" s="402" t="s">
        <v>6787</v>
      </c>
      <c r="R30" s="402" t="s">
        <v>6847</v>
      </c>
      <c r="S30" s="402" t="s">
        <v>5168</v>
      </c>
      <c r="T30" s="402" t="s">
        <v>6839</v>
      </c>
      <c r="U30" s="403">
        <f t="shared" si="0"/>
        <v>2</v>
      </c>
    </row>
    <row r="31" spans="1:21" ht="19" customHeight="1">
      <c r="A31" s="346" t="s">
        <v>2522</v>
      </c>
      <c r="B31" s="346" t="s">
        <v>6546</v>
      </c>
      <c r="C31" s="342" t="s">
        <v>6519</v>
      </c>
      <c r="D31" s="343" t="s">
        <v>6547</v>
      </c>
      <c r="E31" s="343" t="s">
        <v>6521</v>
      </c>
      <c r="F31" s="355">
        <v>3</v>
      </c>
      <c r="G31" s="357" t="s">
        <v>6467</v>
      </c>
      <c r="H31" s="357" t="s">
        <v>6522</v>
      </c>
      <c r="I31" s="343"/>
      <c r="J31" s="343"/>
      <c r="K31" s="342"/>
      <c r="L31" s="342" t="s">
        <v>6539</v>
      </c>
      <c r="M31" s="342" t="s">
        <v>4</v>
      </c>
      <c r="N31" s="342" t="s">
        <v>6507</v>
      </c>
      <c r="O31" s="342" t="s">
        <v>6508</v>
      </c>
      <c r="P31" s="342" t="s">
        <v>6523</v>
      </c>
      <c r="Q31" s="402" t="s">
        <v>6787</v>
      </c>
      <c r="R31" s="402" t="s">
        <v>6845</v>
      </c>
      <c r="S31" s="402" t="s">
        <v>5168</v>
      </c>
      <c r="T31" s="402" t="s">
        <v>6839</v>
      </c>
      <c r="U31" s="403">
        <f t="shared" si="0"/>
        <v>3</v>
      </c>
    </row>
    <row r="32" spans="1:21" ht="19" customHeight="1">
      <c r="A32" s="346" t="s">
        <v>2522</v>
      </c>
      <c r="B32" s="346" t="s">
        <v>6548</v>
      </c>
      <c r="C32" s="342" t="s">
        <v>6519</v>
      </c>
      <c r="D32" s="343" t="s">
        <v>6549</v>
      </c>
      <c r="E32" s="343" t="s">
        <v>6521</v>
      </c>
      <c r="F32" s="355">
        <v>2</v>
      </c>
      <c r="G32" s="357" t="s">
        <v>6465</v>
      </c>
      <c r="H32" s="357" t="s">
        <v>6522</v>
      </c>
      <c r="I32" s="343"/>
      <c r="J32" s="343"/>
      <c r="K32" s="342"/>
      <c r="L32" s="342" t="s">
        <v>6539</v>
      </c>
      <c r="M32" s="342" t="s">
        <v>4</v>
      </c>
      <c r="N32" s="342" t="s">
        <v>6507</v>
      </c>
      <c r="O32" s="342" t="s">
        <v>6508</v>
      </c>
      <c r="P32" s="342" t="s">
        <v>6523</v>
      </c>
      <c r="Q32" s="402" t="s">
        <v>6787</v>
      </c>
      <c r="R32" s="402" t="s">
        <v>6847</v>
      </c>
      <c r="S32" s="402" t="s">
        <v>6845</v>
      </c>
      <c r="T32" s="402" t="s">
        <v>6839</v>
      </c>
      <c r="U32" s="403">
        <f t="shared" si="0"/>
        <v>2</v>
      </c>
    </row>
    <row r="33" spans="1:21" ht="19" customHeight="1">
      <c r="A33" s="346" t="s">
        <v>2522</v>
      </c>
      <c r="B33" s="346" t="s">
        <v>6550</v>
      </c>
      <c r="C33" s="342" t="s">
        <v>6519</v>
      </c>
      <c r="D33" s="343" t="s">
        <v>6551</v>
      </c>
      <c r="E33" s="343" t="s">
        <v>6521</v>
      </c>
      <c r="F33" s="355">
        <v>3</v>
      </c>
      <c r="G33" s="357" t="s">
        <v>6489</v>
      </c>
      <c r="H33" s="357" t="s">
        <v>6522</v>
      </c>
      <c r="I33" s="343"/>
      <c r="J33" s="343"/>
      <c r="K33" s="342"/>
      <c r="L33" s="342" t="s">
        <v>6143</v>
      </c>
      <c r="M33" s="342" t="s">
        <v>4</v>
      </c>
      <c r="N33" s="342" t="s">
        <v>6507</v>
      </c>
      <c r="O33" s="342" t="s">
        <v>6508</v>
      </c>
      <c r="P33" s="342" t="s">
        <v>6523</v>
      </c>
      <c r="Q33" s="402" t="s">
        <v>6787</v>
      </c>
      <c r="R33" s="402" t="s">
        <v>6847</v>
      </c>
      <c r="S33" s="402" t="s">
        <v>5168</v>
      </c>
      <c r="T33" s="402" t="s">
        <v>6839</v>
      </c>
      <c r="U33" s="403">
        <f t="shared" si="0"/>
        <v>3</v>
      </c>
    </row>
    <row r="34" spans="1:21" ht="19" customHeight="1">
      <c r="A34" s="346" t="s">
        <v>2522</v>
      </c>
      <c r="B34" s="346" t="s">
        <v>6552</v>
      </c>
      <c r="C34" s="342" t="s">
        <v>6519</v>
      </c>
      <c r="D34" s="343" t="s">
        <v>6553</v>
      </c>
      <c r="E34" s="343" t="s">
        <v>6521</v>
      </c>
      <c r="F34" s="355">
        <v>2</v>
      </c>
      <c r="G34" s="357" t="s">
        <v>6485</v>
      </c>
      <c r="H34" s="357" t="s">
        <v>6522</v>
      </c>
      <c r="I34" s="343"/>
      <c r="J34" s="343"/>
      <c r="K34" s="342"/>
      <c r="L34" s="342" t="s">
        <v>6143</v>
      </c>
      <c r="M34" s="342" t="s">
        <v>4</v>
      </c>
      <c r="N34" s="342" t="s">
        <v>6507</v>
      </c>
      <c r="O34" s="342" t="s">
        <v>6508</v>
      </c>
      <c r="P34" s="342" t="s">
        <v>6523</v>
      </c>
      <c r="Q34" s="402" t="s">
        <v>6787</v>
      </c>
      <c r="R34" s="402" t="s">
        <v>5168</v>
      </c>
      <c r="S34" s="402" t="s">
        <v>5168</v>
      </c>
      <c r="T34" s="402" t="s">
        <v>6839</v>
      </c>
      <c r="U34" s="403">
        <f t="shared" si="0"/>
        <v>2</v>
      </c>
    </row>
    <row r="35" spans="1:21" ht="19" customHeight="1">
      <c r="A35" s="346" t="s">
        <v>2522</v>
      </c>
      <c r="B35" s="346" t="s">
        <v>6554</v>
      </c>
      <c r="C35" s="342" t="s">
        <v>6519</v>
      </c>
      <c r="D35" s="343" t="s">
        <v>6555</v>
      </c>
      <c r="E35" s="343" t="s">
        <v>6521</v>
      </c>
      <c r="F35" s="355">
        <v>2</v>
      </c>
      <c r="G35" s="357" t="s">
        <v>6490</v>
      </c>
      <c r="H35" s="357" t="s">
        <v>6522</v>
      </c>
      <c r="I35" s="343"/>
      <c r="J35" s="343"/>
      <c r="K35" s="342"/>
      <c r="L35" s="342" t="s">
        <v>6143</v>
      </c>
      <c r="M35" s="342" t="s">
        <v>4</v>
      </c>
      <c r="N35" s="342" t="s">
        <v>6507</v>
      </c>
      <c r="O35" s="342" t="s">
        <v>6508</v>
      </c>
      <c r="P35" s="342" t="s">
        <v>6523</v>
      </c>
      <c r="Q35" s="402" t="s">
        <v>6787</v>
      </c>
      <c r="R35" s="402" t="s">
        <v>6847</v>
      </c>
      <c r="S35" s="402" t="s">
        <v>5168</v>
      </c>
      <c r="T35" s="402" t="s">
        <v>6839</v>
      </c>
      <c r="U35" s="403">
        <f t="shared" si="0"/>
        <v>2</v>
      </c>
    </row>
    <row r="36" spans="1:21" ht="19" customHeight="1">
      <c r="A36" s="346" t="s">
        <v>2522</v>
      </c>
      <c r="B36" s="346" t="s">
        <v>6556</v>
      </c>
      <c r="C36" s="342" t="s">
        <v>6519</v>
      </c>
      <c r="D36" s="343" t="s">
        <v>6557</v>
      </c>
      <c r="E36" s="343" t="s">
        <v>6521</v>
      </c>
      <c r="F36" s="355">
        <v>2</v>
      </c>
      <c r="G36" s="357" t="s">
        <v>6477</v>
      </c>
      <c r="H36" s="357" t="s">
        <v>6522</v>
      </c>
      <c r="I36" s="343"/>
      <c r="J36" s="343"/>
      <c r="K36" s="342"/>
      <c r="L36" s="342" t="s">
        <v>6143</v>
      </c>
      <c r="M36" s="342" t="s">
        <v>4</v>
      </c>
      <c r="N36" s="342" t="s">
        <v>6507</v>
      </c>
      <c r="O36" s="342" t="s">
        <v>6508</v>
      </c>
      <c r="P36" s="342" t="s">
        <v>6523</v>
      </c>
      <c r="Q36" s="402" t="s">
        <v>6787</v>
      </c>
      <c r="R36" s="402" t="s">
        <v>6845</v>
      </c>
      <c r="S36" s="402" t="s">
        <v>5168</v>
      </c>
      <c r="T36" s="402" t="s">
        <v>6839</v>
      </c>
      <c r="U36" s="403">
        <f t="shared" si="0"/>
        <v>2</v>
      </c>
    </row>
    <row r="37" spans="1:21" ht="19" customHeight="1">
      <c r="A37" s="346" t="s">
        <v>2522</v>
      </c>
      <c r="B37" s="346" t="s">
        <v>6558</v>
      </c>
      <c r="C37" s="342" t="s">
        <v>6519</v>
      </c>
      <c r="D37" s="343" t="s">
        <v>6559</v>
      </c>
      <c r="E37" s="343" t="s">
        <v>6521</v>
      </c>
      <c r="F37" s="355">
        <v>1</v>
      </c>
      <c r="G37" s="357" t="s">
        <v>6478</v>
      </c>
      <c r="H37" s="357" t="s">
        <v>6522</v>
      </c>
      <c r="I37" s="343"/>
      <c r="J37" s="343"/>
      <c r="K37" s="342"/>
      <c r="L37" s="342" t="s">
        <v>6143</v>
      </c>
      <c r="M37" s="342" t="s">
        <v>4</v>
      </c>
      <c r="N37" s="342" t="s">
        <v>6507</v>
      </c>
      <c r="O37" s="342" t="s">
        <v>6508</v>
      </c>
      <c r="P37" s="342" t="s">
        <v>6523</v>
      </c>
      <c r="Q37" s="402" t="s">
        <v>6787</v>
      </c>
      <c r="R37" s="402" t="s">
        <v>6845</v>
      </c>
      <c r="S37" s="402" t="s">
        <v>6845</v>
      </c>
      <c r="T37" s="402" t="s">
        <v>6837</v>
      </c>
      <c r="U37" s="403">
        <f t="shared" si="0"/>
        <v>1</v>
      </c>
    </row>
    <row r="38" spans="1:21" ht="19" customHeight="1">
      <c r="A38" s="346" t="s">
        <v>2522</v>
      </c>
      <c r="B38" s="346" t="s">
        <v>6560</v>
      </c>
      <c r="C38" s="342" t="s">
        <v>6519</v>
      </c>
      <c r="D38" s="343" t="s">
        <v>6561</v>
      </c>
      <c r="E38" s="343" t="s">
        <v>6521</v>
      </c>
      <c r="F38" s="355">
        <v>3</v>
      </c>
      <c r="G38" s="357" t="s">
        <v>6482</v>
      </c>
      <c r="H38" s="357" t="s">
        <v>6522</v>
      </c>
      <c r="I38" s="343"/>
      <c r="J38" s="343"/>
      <c r="K38" s="342"/>
      <c r="L38" s="342" t="s">
        <v>6169</v>
      </c>
      <c r="M38" s="342" t="s">
        <v>4</v>
      </c>
      <c r="N38" s="342" t="s">
        <v>6507</v>
      </c>
      <c r="O38" s="342" t="s">
        <v>6508</v>
      </c>
      <c r="P38" s="342" t="s">
        <v>6523</v>
      </c>
      <c r="Q38" s="402" t="s">
        <v>6787</v>
      </c>
      <c r="R38" s="402" t="s">
        <v>6845</v>
      </c>
      <c r="S38" s="402" t="s">
        <v>5168</v>
      </c>
      <c r="T38" s="402" t="s">
        <v>6839</v>
      </c>
      <c r="U38" s="403">
        <f t="shared" si="0"/>
        <v>3</v>
      </c>
    </row>
    <row r="39" spans="1:21" ht="19" customHeight="1">
      <c r="A39" s="346" t="s">
        <v>2522</v>
      </c>
      <c r="B39" s="346" t="s">
        <v>6562</v>
      </c>
      <c r="C39" s="342" t="s">
        <v>6519</v>
      </c>
      <c r="D39" s="343" t="s">
        <v>6563</v>
      </c>
      <c r="E39" s="343" t="s">
        <v>6521</v>
      </c>
      <c r="F39" s="355">
        <v>3</v>
      </c>
      <c r="G39" s="357" t="s">
        <v>6475</v>
      </c>
      <c r="H39" s="357" t="s">
        <v>6522</v>
      </c>
      <c r="I39" s="343"/>
      <c r="J39" s="343"/>
      <c r="K39" s="342"/>
      <c r="L39" s="342" t="s">
        <v>6169</v>
      </c>
      <c r="M39" s="342" t="s">
        <v>4</v>
      </c>
      <c r="N39" s="342" t="s">
        <v>6507</v>
      </c>
      <c r="O39" s="342" t="s">
        <v>6508</v>
      </c>
      <c r="P39" s="342" t="s">
        <v>6523</v>
      </c>
      <c r="Q39" s="402" t="s">
        <v>6787</v>
      </c>
      <c r="R39" s="402" t="s">
        <v>6847</v>
      </c>
      <c r="S39" s="402" t="s">
        <v>5168</v>
      </c>
      <c r="T39" s="402" t="s">
        <v>6839</v>
      </c>
      <c r="U39" s="403">
        <f t="shared" si="0"/>
        <v>3</v>
      </c>
    </row>
    <row r="40" spans="1:21" ht="19" customHeight="1">
      <c r="A40" s="346" t="s">
        <v>2522</v>
      </c>
      <c r="B40" s="346" t="s">
        <v>6564</v>
      </c>
      <c r="C40" s="342" t="s">
        <v>6519</v>
      </c>
      <c r="D40" s="343" t="s">
        <v>6565</v>
      </c>
      <c r="E40" s="343" t="s">
        <v>6521</v>
      </c>
      <c r="F40" s="355">
        <v>2</v>
      </c>
      <c r="G40" s="357" t="s">
        <v>6492</v>
      </c>
      <c r="H40" s="357" t="s">
        <v>6522</v>
      </c>
      <c r="I40" s="343"/>
      <c r="J40" s="343"/>
      <c r="K40" s="342"/>
      <c r="L40" s="342" t="s">
        <v>6169</v>
      </c>
      <c r="M40" s="342" t="s">
        <v>4</v>
      </c>
      <c r="N40" s="342" t="s">
        <v>6507</v>
      </c>
      <c r="O40" s="342" t="s">
        <v>6508</v>
      </c>
      <c r="P40" s="342" t="s">
        <v>6523</v>
      </c>
      <c r="Q40" s="402" t="s">
        <v>6843</v>
      </c>
      <c r="R40" s="402" t="s">
        <v>6847</v>
      </c>
      <c r="S40" s="402" t="s">
        <v>5168</v>
      </c>
      <c r="T40" s="402" t="s">
        <v>6839</v>
      </c>
      <c r="U40" s="403">
        <f t="shared" si="0"/>
        <v>2</v>
      </c>
    </row>
    <row r="41" spans="1:21" ht="19" customHeight="1">
      <c r="A41" s="346" t="s">
        <v>2522</v>
      </c>
      <c r="B41" s="346" t="s">
        <v>6566</v>
      </c>
      <c r="C41" s="342" t="s">
        <v>6519</v>
      </c>
      <c r="D41" s="343" t="s">
        <v>6567</v>
      </c>
      <c r="E41" s="343" t="s">
        <v>6521</v>
      </c>
      <c r="F41" s="355">
        <v>1</v>
      </c>
      <c r="G41" s="357" t="s">
        <v>6464</v>
      </c>
      <c r="H41" s="357" t="s">
        <v>6522</v>
      </c>
      <c r="I41" s="343"/>
      <c r="J41" s="343"/>
      <c r="K41" s="342"/>
      <c r="L41" s="342" t="s">
        <v>6169</v>
      </c>
      <c r="M41" s="342" t="s">
        <v>4</v>
      </c>
      <c r="N41" s="342" t="s">
        <v>6507</v>
      </c>
      <c r="O41" s="342" t="s">
        <v>6508</v>
      </c>
      <c r="P41" s="342" t="s">
        <v>6523</v>
      </c>
      <c r="Q41" s="402" t="s">
        <v>6787</v>
      </c>
      <c r="R41" s="402" t="s">
        <v>6845</v>
      </c>
      <c r="S41" s="402" t="s">
        <v>5168</v>
      </c>
      <c r="T41" s="402" t="s">
        <v>6839</v>
      </c>
      <c r="U41" s="403">
        <f t="shared" si="0"/>
        <v>1</v>
      </c>
    </row>
    <row r="42" spans="1:21" ht="19" customHeight="1">
      <c r="A42" s="346" t="s">
        <v>2522</v>
      </c>
      <c r="B42" s="346" t="s">
        <v>6568</v>
      </c>
      <c r="C42" s="342" t="s">
        <v>6519</v>
      </c>
      <c r="D42" s="343" t="s">
        <v>6569</v>
      </c>
      <c r="E42" s="343" t="s">
        <v>6521</v>
      </c>
      <c r="F42" s="355">
        <v>1</v>
      </c>
      <c r="G42" s="357" t="s">
        <v>6858</v>
      </c>
      <c r="H42" s="357" t="s">
        <v>6522</v>
      </c>
      <c r="I42" s="343"/>
      <c r="J42" s="343"/>
      <c r="K42" s="342"/>
      <c r="L42" s="342" t="s">
        <v>6169</v>
      </c>
      <c r="M42" s="342" t="s">
        <v>4</v>
      </c>
      <c r="N42" s="342" t="s">
        <v>6507</v>
      </c>
      <c r="O42" s="342" t="s">
        <v>6508</v>
      </c>
      <c r="P42" s="342" t="s">
        <v>6523</v>
      </c>
      <c r="Q42" s="402" t="s">
        <v>6787</v>
      </c>
      <c r="R42" s="402" t="s">
        <v>6845</v>
      </c>
      <c r="S42" s="402" t="s">
        <v>5168</v>
      </c>
      <c r="T42" s="402" t="s">
        <v>6839</v>
      </c>
      <c r="U42" s="403">
        <f t="shared" si="0"/>
        <v>1</v>
      </c>
    </row>
    <row r="43" spans="1:21" ht="19" customHeight="1">
      <c r="A43" s="346" t="s">
        <v>2522</v>
      </c>
      <c r="B43" s="346" t="s">
        <v>6570</v>
      </c>
      <c r="C43" s="342" t="s">
        <v>6571</v>
      </c>
      <c r="D43" s="343" t="s">
        <v>6572</v>
      </c>
      <c r="E43" s="343" t="s">
        <v>6573</v>
      </c>
      <c r="F43" s="355">
        <v>8</v>
      </c>
      <c r="G43" s="357" t="s">
        <v>5957</v>
      </c>
      <c r="H43" s="357" t="s">
        <v>6252</v>
      </c>
      <c r="I43" s="343"/>
      <c r="J43" s="343"/>
      <c r="K43" s="342"/>
      <c r="L43" s="342"/>
      <c r="M43" s="342" t="s">
        <v>4</v>
      </c>
      <c r="N43" s="342" t="s">
        <v>6507</v>
      </c>
      <c r="O43" s="342" t="s">
        <v>6508</v>
      </c>
      <c r="P43" s="342" t="s">
        <v>6574</v>
      </c>
      <c r="Q43" s="402" t="s">
        <v>6787</v>
      </c>
      <c r="R43" s="402" t="s">
        <v>6845</v>
      </c>
      <c r="S43" s="402" t="s">
        <v>6845</v>
      </c>
      <c r="T43" s="402" t="s">
        <v>6836</v>
      </c>
      <c r="U43" s="403">
        <f t="shared" si="0"/>
        <v>8</v>
      </c>
    </row>
    <row r="44" spans="1:21" ht="19" customHeight="1">
      <c r="A44" s="346" t="s">
        <v>2522</v>
      </c>
      <c r="B44" s="346" t="s">
        <v>6575</v>
      </c>
      <c r="C44" s="342" t="s">
        <v>6571</v>
      </c>
      <c r="D44" s="343" t="s">
        <v>6576</v>
      </c>
      <c r="E44" s="343" t="s">
        <v>6577</v>
      </c>
      <c r="F44" s="355">
        <v>6</v>
      </c>
      <c r="G44" s="357" t="s">
        <v>5957</v>
      </c>
      <c r="H44" s="357" t="s">
        <v>6252</v>
      </c>
      <c r="I44" s="343"/>
      <c r="J44" s="343"/>
      <c r="K44" s="342"/>
      <c r="L44" s="342"/>
      <c r="M44" s="342" t="s">
        <v>4</v>
      </c>
      <c r="N44" s="342" t="s">
        <v>6507</v>
      </c>
      <c r="O44" s="342" t="s">
        <v>6508</v>
      </c>
      <c r="P44" s="342" t="s">
        <v>6574</v>
      </c>
      <c r="Q44" s="402" t="s">
        <v>6787</v>
      </c>
      <c r="R44" s="402" t="s">
        <v>6845</v>
      </c>
      <c r="S44" s="402" t="s">
        <v>6845</v>
      </c>
      <c r="T44" s="402" t="s">
        <v>6836</v>
      </c>
      <c r="U44" s="403">
        <f t="shared" si="0"/>
        <v>6</v>
      </c>
    </row>
    <row r="45" spans="1:21" ht="19" customHeight="1">
      <c r="A45" s="346" t="s">
        <v>2522</v>
      </c>
      <c r="B45" s="346" t="s">
        <v>6578</v>
      </c>
      <c r="C45" s="342" t="s">
        <v>6571</v>
      </c>
      <c r="D45" s="343" t="s">
        <v>6579</v>
      </c>
      <c r="E45" s="343" t="s">
        <v>6580</v>
      </c>
      <c r="F45" s="355">
        <v>6</v>
      </c>
      <c r="G45" s="357" t="s">
        <v>5957</v>
      </c>
      <c r="H45" s="357" t="s">
        <v>6252</v>
      </c>
      <c r="I45" s="343"/>
      <c r="J45" s="343"/>
      <c r="K45" s="342"/>
      <c r="L45" s="342"/>
      <c r="M45" s="342" t="s">
        <v>4</v>
      </c>
      <c r="N45" s="342" t="s">
        <v>6507</v>
      </c>
      <c r="O45" s="342" t="s">
        <v>6508</v>
      </c>
      <c r="P45" s="342" t="s">
        <v>6574</v>
      </c>
      <c r="Q45" s="402" t="s">
        <v>6787</v>
      </c>
      <c r="R45" s="402" t="s">
        <v>6845</v>
      </c>
      <c r="S45" s="402" t="s">
        <v>6845</v>
      </c>
      <c r="T45" s="402" t="s">
        <v>6836</v>
      </c>
      <c r="U45" s="403">
        <f t="shared" si="0"/>
        <v>6</v>
      </c>
    </row>
    <row r="46" spans="1:21" ht="19" customHeight="1">
      <c r="A46" s="346" t="s">
        <v>2522</v>
      </c>
      <c r="B46" s="346" t="s">
        <v>6581</v>
      </c>
      <c r="C46" s="342" t="s">
        <v>6571</v>
      </c>
      <c r="D46" s="343" t="s">
        <v>6582</v>
      </c>
      <c r="E46" s="343" t="s">
        <v>6583</v>
      </c>
      <c r="F46" s="355">
        <v>8</v>
      </c>
      <c r="G46" s="357" t="s">
        <v>5957</v>
      </c>
      <c r="H46" s="357" t="s">
        <v>6252</v>
      </c>
      <c r="I46" s="343"/>
      <c r="J46" s="343"/>
      <c r="K46" s="342"/>
      <c r="L46" s="342"/>
      <c r="M46" s="342" t="s">
        <v>4</v>
      </c>
      <c r="N46" s="342" t="s">
        <v>6507</v>
      </c>
      <c r="O46" s="342" t="s">
        <v>6508</v>
      </c>
      <c r="P46" s="342" t="s">
        <v>6574</v>
      </c>
      <c r="Q46" s="402" t="s">
        <v>6787</v>
      </c>
      <c r="R46" s="402" t="s">
        <v>6845</v>
      </c>
      <c r="S46" s="402" t="s">
        <v>6845</v>
      </c>
      <c r="T46" s="402" t="s">
        <v>6836</v>
      </c>
      <c r="U46" s="403">
        <f t="shared" si="0"/>
        <v>8</v>
      </c>
    </row>
    <row r="47" spans="1:21" ht="19" customHeight="1">
      <c r="A47" s="346" t="s">
        <v>2522</v>
      </c>
      <c r="B47" s="346" t="s">
        <v>6584</v>
      </c>
      <c r="C47" s="342" t="s">
        <v>6571</v>
      </c>
      <c r="D47" s="343" t="s">
        <v>6585</v>
      </c>
      <c r="E47" s="343" t="s">
        <v>6586</v>
      </c>
      <c r="F47" s="355">
        <v>8</v>
      </c>
      <c r="G47" s="357" t="s">
        <v>5957</v>
      </c>
      <c r="H47" s="357" t="s">
        <v>6252</v>
      </c>
      <c r="I47" s="343"/>
      <c r="J47" s="343"/>
      <c r="K47" s="342"/>
      <c r="L47" s="342"/>
      <c r="M47" s="342" t="s">
        <v>4</v>
      </c>
      <c r="N47" s="342" t="s">
        <v>6507</v>
      </c>
      <c r="O47" s="342" t="s">
        <v>6508</v>
      </c>
      <c r="P47" s="342" t="s">
        <v>6574</v>
      </c>
      <c r="Q47" s="402" t="s">
        <v>6787</v>
      </c>
      <c r="R47" s="402" t="s">
        <v>6845</v>
      </c>
      <c r="S47" s="402" t="s">
        <v>6845</v>
      </c>
      <c r="T47" s="402" t="s">
        <v>6836</v>
      </c>
      <c r="U47" s="403">
        <f t="shared" si="0"/>
        <v>8</v>
      </c>
    </row>
    <row r="48" spans="1:21" ht="19" customHeight="1">
      <c r="A48" s="346" t="s">
        <v>2522</v>
      </c>
      <c r="B48" s="346" t="s">
        <v>6587</v>
      </c>
      <c r="C48" s="342" t="s">
        <v>6571</v>
      </c>
      <c r="D48" s="343" t="s">
        <v>6588</v>
      </c>
      <c r="E48" s="343" t="s">
        <v>6589</v>
      </c>
      <c r="F48" s="355">
        <v>10</v>
      </c>
      <c r="G48" s="357" t="s">
        <v>5957</v>
      </c>
      <c r="H48" s="357" t="s">
        <v>6252</v>
      </c>
      <c r="I48" s="343"/>
      <c r="J48" s="343"/>
      <c r="K48" s="342"/>
      <c r="L48" s="342"/>
      <c r="M48" s="342" t="s">
        <v>4</v>
      </c>
      <c r="N48" s="342" t="s">
        <v>6507</v>
      </c>
      <c r="O48" s="342" t="s">
        <v>6508</v>
      </c>
      <c r="P48" s="342" t="s">
        <v>6574</v>
      </c>
      <c r="Q48" s="402" t="s">
        <v>6787</v>
      </c>
      <c r="R48" s="402" t="s">
        <v>6845</v>
      </c>
      <c r="S48" s="402" t="s">
        <v>6845</v>
      </c>
      <c r="T48" s="402" t="s">
        <v>6836</v>
      </c>
      <c r="U48" s="403">
        <f t="shared" si="0"/>
        <v>10</v>
      </c>
    </row>
    <row r="49" spans="1:21" ht="19" customHeight="1">
      <c r="A49" s="346" t="s">
        <v>2522</v>
      </c>
      <c r="B49" s="346" t="s">
        <v>6590</v>
      </c>
      <c r="C49" s="342" t="s">
        <v>6571</v>
      </c>
      <c r="D49" s="343" t="s">
        <v>6591</v>
      </c>
      <c r="E49" s="343" t="s">
        <v>6592</v>
      </c>
      <c r="F49" s="355">
        <v>14</v>
      </c>
      <c r="G49" s="357" t="s">
        <v>5957</v>
      </c>
      <c r="H49" s="357" t="s">
        <v>6252</v>
      </c>
      <c r="I49" s="343"/>
      <c r="J49" s="343"/>
      <c r="K49" s="342"/>
      <c r="L49" s="342"/>
      <c r="M49" s="342" t="s">
        <v>4</v>
      </c>
      <c r="N49" s="342" t="s">
        <v>6507</v>
      </c>
      <c r="O49" s="342" t="s">
        <v>6508</v>
      </c>
      <c r="P49" s="342" t="s">
        <v>6574</v>
      </c>
      <c r="Q49" s="402" t="s">
        <v>6787</v>
      </c>
      <c r="R49" s="402" t="s">
        <v>6845</v>
      </c>
      <c r="S49" s="402" t="s">
        <v>6845</v>
      </c>
      <c r="T49" s="402" t="s">
        <v>6836</v>
      </c>
      <c r="U49" s="403">
        <f t="shared" si="0"/>
        <v>14</v>
      </c>
    </row>
    <row r="50" spans="1:21" ht="19" customHeight="1">
      <c r="A50" s="346" t="s">
        <v>2522</v>
      </c>
      <c r="B50" s="346" t="s">
        <v>6593</v>
      </c>
      <c r="C50" s="342" t="s">
        <v>6571</v>
      </c>
      <c r="D50" s="343" t="s">
        <v>6594</v>
      </c>
      <c r="E50" s="343" t="s">
        <v>6595</v>
      </c>
      <c r="F50" s="355">
        <v>24</v>
      </c>
      <c r="G50" s="357" t="s">
        <v>5957</v>
      </c>
      <c r="H50" s="357" t="s">
        <v>6252</v>
      </c>
      <c r="I50" s="343"/>
      <c r="J50" s="343"/>
      <c r="K50" s="342"/>
      <c r="L50" s="342"/>
      <c r="M50" s="342" t="s">
        <v>4</v>
      </c>
      <c r="N50" s="342" t="s">
        <v>6507</v>
      </c>
      <c r="O50" s="342" t="s">
        <v>6508</v>
      </c>
      <c r="P50" s="342" t="s">
        <v>6574</v>
      </c>
      <c r="Q50" s="402" t="s">
        <v>6787</v>
      </c>
      <c r="R50" s="402" t="s">
        <v>6845</v>
      </c>
      <c r="S50" s="402" t="s">
        <v>6845</v>
      </c>
      <c r="T50" s="402" t="s">
        <v>6836</v>
      </c>
      <c r="U50" s="403">
        <f t="shared" si="0"/>
        <v>24</v>
      </c>
    </row>
    <row r="51" spans="1:21" ht="19" customHeight="1">
      <c r="A51" s="346" t="s">
        <v>2522</v>
      </c>
      <c r="B51" s="346" t="s">
        <v>5742</v>
      </c>
      <c r="C51" s="342" t="s">
        <v>6596</v>
      </c>
      <c r="D51" s="343" t="s">
        <v>6727</v>
      </c>
      <c r="E51" s="343" t="s">
        <v>6597</v>
      </c>
      <c r="F51" s="355">
        <v>7</v>
      </c>
      <c r="G51" s="357" t="s">
        <v>5957</v>
      </c>
      <c r="H51" s="357" t="s">
        <v>6598</v>
      </c>
      <c r="I51" s="343"/>
      <c r="J51" s="343"/>
      <c r="K51" s="342"/>
      <c r="L51" s="342"/>
      <c r="M51" s="342" t="s">
        <v>4</v>
      </c>
      <c r="N51" s="342" t="s">
        <v>6507</v>
      </c>
      <c r="O51" s="342" t="s">
        <v>6508</v>
      </c>
      <c r="P51" s="342"/>
      <c r="Q51" s="402" t="s">
        <v>6787</v>
      </c>
      <c r="R51" s="402" t="s">
        <v>6845</v>
      </c>
      <c r="S51" s="402" t="s">
        <v>6845</v>
      </c>
      <c r="T51" s="402" t="s">
        <v>6836</v>
      </c>
      <c r="U51" s="403">
        <f t="shared" si="0"/>
        <v>7</v>
      </c>
    </row>
    <row r="52" spans="1:21" ht="19" customHeight="1">
      <c r="A52" s="346" t="s">
        <v>2522</v>
      </c>
      <c r="B52" s="346" t="s">
        <v>5743</v>
      </c>
      <c r="C52" s="342" t="s">
        <v>6596</v>
      </c>
      <c r="D52" s="343" t="s">
        <v>6728</v>
      </c>
      <c r="E52" s="343" t="s">
        <v>6599</v>
      </c>
      <c r="F52" s="355">
        <v>12</v>
      </c>
      <c r="G52" s="357" t="s">
        <v>5957</v>
      </c>
      <c r="H52" s="357" t="s">
        <v>6600</v>
      </c>
      <c r="I52" s="343"/>
      <c r="J52" s="343"/>
      <c r="K52" s="342"/>
      <c r="L52" s="342"/>
      <c r="M52" s="342" t="s">
        <v>4</v>
      </c>
      <c r="N52" s="342" t="s">
        <v>6507</v>
      </c>
      <c r="O52" s="342" t="s">
        <v>6508</v>
      </c>
      <c r="P52" s="342"/>
      <c r="Q52" s="402" t="s">
        <v>6787</v>
      </c>
      <c r="R52" s="402" t="s">
        <v>6845</v>
      </c>
      <c r="S52" s="402" t="s">
        <v>6845</v>
      </c>
      <c r="T52" s="402" t="s">
        <v>6836</v>
      </c>
      <c r="U52" s="403">
        <f t="shared" si="0"/>
        <v>12</v>
      </c>
    </row>
    <row r="53" spans="1:21" ht="19" customHeight="1">
      <c r="A53" s="346" t="s">
        <v>2522</v>
      </c>
      <c r="B53" s="346" t="s">
        <v>5744</v>
      </c>
      <c r="C53" s="342" t="s">
        <v>6596</v>
      </c>
      <c r="D53" s="343" t="s">
        <v>6729</v>
      </c>
      <c r="E53" s="343" t="s">
        <v>6601</v>
      </c>
      <c r="F53" s="355">
        <v>4</v>
      </c>
      <c r="G53" s="357" t="s">
        <v>5957</v>
      </c>
      <c r="H53" s="357" t="s">
        <v>6252</v>
      </c>
      <c r="I53" s="343"/>
      <c r="J53" s="343"/>
      <c r="K53" s="342"/>
      <c r="L53" s="342"/>
      <c r="M53" s="342" t="s">
        <v>4</v>
      </c>
      <c r="N53" s="342" t="s">
        <v>6507</v>
      </c>
      <c r="O53" s="342" t="s">
        <v>6508</v>
      </c>
      <c r="P53" s="342"/>
      <c r="Q53" s="402" t="s">
        <v>6787</v>
      </c>
      <c r="R53" s="402" t="s">
        <v>6845</v>
      </c>
      <c r="S53" s="402" t="s">
        <v>6845</v>
      </c>
      <c r="T53" s="402" t="s">
        <v>6836</v>
      </c>
      <c r="U53" s="403">
        <f t="shared" si="0"/>
        <v>4</v>
      </c>
    </row>
    <row r="54" spans="1:21" ht="19" customHeight="1">
      <c r="A54" s="346" t="s">
        <v>2522</v>
      </c>
      <c r="B54" s="346" t="s">
        <v>5745</v>
      </c>
      <c r="C54" s="342" t="s">
        <v>6596</v>
      </c>
      <c r="D54" s="343" t="s">
        <v>6730</v>
      </c>
      <c r="E54" s="343" t="s">
        <v>6602</v>
      </c>
      <c r="F54" s="355">
        <v>3</v>
      </c>
      <c r="G54" s="357" t="s">
        <v>5957</v>
      </c>
      <c r="H54" s="357" t="s">
        <v>6252</v>
      </c>
      <c r="I54" s="343"/>
      <c r="J54" s="343"/>
      <c r="K54" s="342"/>
      <c r="L54" s="342"/>
      <c r="M54" s="342" t="s">
        <v>4</v>
      </c>
      <c r="N54" s="342" t="s">
        <v>6507</v>
      </c>
      <c r="O54" s="342" t="s">
        <v>6508</v>
      </c>
      <c r="P54" s="342"/>
      <c r="Q54" s="402" t="s">
        <v>6787</v>
      </c>
      <c r="R54" s="402" t="s">
        <v>6845</v>
      </c>
      <c r="S54" s="402" t="s">
        <v>6845</v>
      </c>
      <c r="T54" s="402" t="s">
        <v>6836</v>
      </c>
      <c r="U54" s="403">
        <f t="shared" si="0"/>
        <v>3</v>
      </c>
    </row>
    <row r="55" spans="1:21" ht="19" customHeight="1">
      <c r="A55" s="346" t="s">
        <v>2522</v>
      </c>
      <c r="B55" s="346" t="s">
        <v>5746</v>
      </c>
      <c r="C55" s="342" t="s">
        <v>6596</v>
      </c>
      <c r="D55" s="343" t="s">
        <v>6731</v>
      </c>
      <c r="E55" s="343" t="s">
        <v>6603</v>
      </c>
      <c r="F55" s="355">
        <v>3</v>
      </c>
      <c r="G55" s="357" t="s">
        <v>5957</v>
      </c>
      <c r="H55" s="357" t="s">
        <v>6252</v>
      </c>
      <c r="I55" s="343"/>
      <c r="J55" s="343"/>
      <c r="K55" s="342"/>
      <c r="L55" s="342"/>
      <c r="M55" s="342" t="s">
        <v>4</v>
      </c>
      <c r="N55" s="342" t="s">
        <v>6507</v>
      </c>
      <c r="O55" s="342" t="s">
        <v>6508</v>
      </c>
      <c r="P55" s="342"/>
      <c r="Q55" s="402" t="s">
        <v>6787</v>
      </c>
      <c r="R55" s="402" t="s">
        <v>6845</v>
      </c>
      <c r="S55" s="402" t="s">
        <v>6845</v>
      </c>
      <c r="T55" s="402" t="s">
        <v>6836</v>
      </c>
      <c r="U55" s="403">
        <f t="shared" si="0"/>
        <v>3</v>
      </c>
    </row>
    <row r="56" spans="1:21" ht="19" customHeight="1">
      <c r="A56" s="346" t="s">
        <v>2522</v>
      </c>
      <c r="B56" s="346" t="s">
        <v>6604</v>
      </c>
      <c r="C56" s="342" t="s">
        <v>6596</v>
      </c>
      <c r="D56" s="343" t="s">
        <v>6605</v>
      </c>
      <c r="E56" s="343" t="s">
        <v>6606</v>
      </c>
      <c r="F56" s="355">
        <v>3</v>
      </c>
      <c r="G56" s="357" t="s">
        <v>5957</v>
      </c>
      <c r="H56" s="357" t="s">
        <v>6607</v>
      </c>
      <c r="I56" s="343"/>
      <c r="J56" s="343"/>
      <c r="K56" s="342"/>
      <c r="L56" s="342"/>
      <c r="M56" s="342" t="s">
        <v>4</v>
      </c>
      <c r="N56" s="342" t="s">
        <v>6507</v>
      </c>
      <c r="O56" s="342" t="s">
        <v>6508</v>
      </c>
      <c r="P56" s="342" t="s">
        <v>6608</v>
      </c>
      <c r="Q56" s="402" t="s">
        <v>6787</v>
      </c>
      <c r="R56" s="402" t="s">
        <v>6845</v>
      </c>
      <c r="S56" s="402" t="s">
        <v>6845</v>
      </c>
      <c r="T56" s="402" t="s">
        <v>6836</v>
      </c>
      <c r="U56" s="403">
        <f t="shared" si="0"/>
        <v>3</v>
      </c>
    </row>
    <row r="57" spans="1:21" ht="19" customHeight="1">
      <c r="A57" s="346" t="s">
        <v>2522</v>
      </c>
      <c r="B57" s="346" t="s">
        <v>5747</v>
      </c>
      <c r="C57" s="342" t="s">
        <v>6609</v>
      </c>
      <c r="D57" s="343" t="s">
        <v>6610</v>
      </c>
      <c r="E57" s="343" t="s">
        <v>6611</v>
      </c>
      <c r="F57" s="355">
        <v>3</v>
      </c>
      <c r="G57" s="357" t="s">
        <v>6480</v>
      </c>
      <c r="H57" s="357" t="s">
        <v>6291</v>
      </c>
      <c r="I57" s="343"/>
      <c r="J57" s="343"/>
      <c r="K57" s="342"/>
      <c r="L57" s="342" t="s">
        <v>6612</v>
      </c>
      <c r="M57" s="342" t="s">
        <v>4</v>
      </c>
      <c r="N57" s="342" t="s">
        <v>6507</v>
      </c>
      <c r="O57" s="342" t="s">
        <v>6508</v>
      </c>
      <c r="P57" s="342"/>
      <c r="Q57" s="402" t="s">
        <v>6787</v>
      </c>
      <c r="R57" s="402" t="s">
        <v>5168</v>
      </c>
      <c r="S57" s="402" t="s">
        <v>5168</v>
      </c>
      <c r="T57" s="402" t="s">
        <v>6839</v>
      </c>
      <c r="U57" s="403">
        <f t="shared" si="0"/>
        <v>3</v>
      </c>
    </row>
    <row r="58" spans="1:21" ht="19" customHeight="1">
      <c r="A58" s="346" t="s">
        <v>2522</v>
      </c>
      <c r="B58" s="346" t="s">
        <v>5748</v>
      </c>
      <c r="C58" s="342" t="s">
        <v>6609</v>
      </c>
      <c r="D58" s="343" t="s">
        <v>6613</v>
      </c>
      <c r="E58" s="343" t="s">
        <v>6614</v>
      </c>
      <c r="F58" s="355">
        <v>2</v>
      </c>
      <c r="G58" s="357" t="s">
        <v>6487</v>
      </c>
      <c r="H58" s="357" t="s">
        <v>6282</v>
      </c>
      <c r="I58" s="343"/>
      <c r="J58" s="343"/>
      <c r="K58" s="342"/>
      <c r="L58" s="342" t="s">
        <v>6615</v>
      </c>
      <c r="M58" s="342" t="s">
        <v>4</v>
      </c>
      <c r="N58" s="342" t="s">
        <v>6507</v>
      </c>
      <c r="O58" s="342" t="s">
        <v>6508</v>
      </c>
      <c r="P58" s="342"/>
      <c r="Q58" s="402" t="s">
        <v>6787</v>
      </c>
      <c r="R58" s="402" t="s">
        <v>5168</v>
      </c>
      <c r="S58" s="402" t="s">
        <v>5168</v>
      </c>
      <c r="T58" s="402" t="s">
        <v>6839</v>
      </c>
      <c r="U58" s="403">
        <f t="shared" si="0"/>
        <v>2</v>
      </c>
    </row>
    <row r="59" spans="1:21" ht="19" customHeight="1">
      <c r="A59" s="346" t="s">
        <v>2522</v>
      </c>
      <c r="B59" s="346" t="s">
        <v>5749</v>
      </c>
      <c r="C59" s="342" t="s">
        <v>6609</v>
      </c>
      <c r="D59" s="343" t="s">
        <v>6616</v>
      </c>
      <c r="E59" s="343" t="s">
        <v>6617</v>
      </c>
      <c r="F59" s="355">
        <v>3</v>
      </c>
      <c r="G59" s="357" t="s">
        <v>6487</v>
      </c>
      <c r="H59" s="357" t="s">
        <v>6283</v>
      </c>
      <c r="I59" s="343"/>
      <c r="J59" s="343"/>
      <c r="K59" s="342"/>
      <c r="L59" s="342" t="s">
        <v>6618</v>
      </c>
      <c r="M59" s="342" t="s">
        <v>4</v>
      </c>
      <c r="N59" s="342" t="s">
        <v>6507</v>
      </c>
      <c r="O59" s="342" t="s">
        <v>6508</v>
      </c>
      <c r="P59" s="342"/>
      <c r="Q59" s="402" t="s">
        <v>6787</v>
      </c>
      <c r="R59" s="402" t="s">
        <v>5168</v>
      </c>
      <c r="S59" s="402" t="s">
        <v>5168</v>
      </c>
      <c r="T59" s="402" t="s">
        <v>6839</v>
      </c>
      <c r="U59" s="403">
        <f t="shared" si="0"/>
        <v>3</v>
      </c>
    </row>
    <row r="60" spans="1:21" ht="19" customHeight="1">
      <c r="A60" s="346" t="s">
        <v>2522</v>
      </c>
      <c r="B60" s="346" t="s">
        <v>5750</v>
      </c>
      <c r="C60" s="342" t="s">
        <v>6609</v>
      </c>
      <c r="D60" s="343" t="s">
        <v>6619</v>
      </c>
      <c r="E60" s="343" t="s">
        <v>6620</v>
      </c>
      <c r="F60" s="355">
        <v>2</v>
      </c>
      <c r="G60" s="357" t="s">
        <v>6471</v>
      </c>
      <c r="H60" s="357" t="s">
        <v>6280</v>
      </c>
      <c r="I60" s="343"/>
      <c r="J60" s="343"/>
      <c r="K60" s="342"/>
      <c r="L60" s="342" t="s">
        <v>6621</v>
      </c>
      <c r="M60" s="342" t="s">
        <v>4</v>
      </c>
      <c r="N60" s="342" t="s">
        <v>6507</v>
      </c>
      <c r="O60" s="342" t="s">
        <v>6508</v>
      </c>
      <c r="P60" s="342"/>
      <c r="Q60" s="402" t="s">
        <v>6787</v>
      </c>
      <c r="R60" s="402" t="s">
        <v>6845</v>
      </c>
      <c r="S60" s="402" t="s">
        <v>5168</v>
      </c>
      <c r="T60" s="402" t="s">
        <v>6839</v>
      </c>
      <c r="U60" s="403">
        <f t="shared" si="0"/>
        <v>2</v>
      </c>
    </row>
    <row r="61" spans="1:21" ht="19" customHeight="1">
      <c r="A61" s="346" t="s">
        <v>2522</v>
      </c>
      <c r="B61" s="346" t="s">
        <v>5751</v>
      </c>
      <c r="C61" s="342" t="s">
        <v>6609</v>
      </c>
      <c r="D61" s="343" t="s">
        <v>6622</v>
      </c>
      <c r="E61" s="343" t="s">
        <v>6623</v>
      </c>
      <c r="F61" s="355">
        <v>2</v>
      </c>
      <c r="G61" s="357" t="s">
        <v>6465</v>
      </c>
      <c r="H61" s="357" t="s">
        <v>6297</v>
      </c>
      <c r="I61" s="343"/>
      <c r="J61" s="343"/>
      <c r="K61" s="342"/>
      <c r="L61" s="342" t="s">
        <v>6624</v>
      </c>
      <c r="M61" s="342" t="s">
        <v>4</v>
      </c>
      <c r="N61" s="342" t="s">
        <v>6507</v>
      </c>
      <c r="O61" s="342" t="s">
        <v>6508</v>
      </c>
      <c r="P61" s="342"/>
      <c r="Q61" s="402" t="s">
        <v>6787</v>
      </c>
      <c r="R61" s="402" t="s">
        <v>6847</v>
      </c>
      <c r="S61" s="402" t="s">
        <v>6845</v>
      </c>
      <c r="T61" s="402" t="s">
        <v>6839</v>
      </c>
      <c r="U61" s="403">
        <f t="shared" si="0"/>
        <v>2</v>
      </c>
    </row>
    <row r="62" spans="1:21" ht="19" customHeight="1">
      <c r="A62" s="346" t="s">
        <v>2522</v>
      </c>
      <c r="B62" s="346" t="s">
        <v>5752</v>
      </c>
      <c r="C62" s="342" t="s">
        <v>6609</v>
      </c>
      <c r="D62" s="343" t="s">
        <v>6625</v>
      </c>
      <c r="E62" s="343" t="s">
        <v>6626</v>
      </c>
      <c r="F62" s="355">
        <v>2</v>
      </c>
      <c r="G62" s="357" t="s">
        <v>5957</v>
      </c>
      <c r="H62" s="357" t="s">
        <v>6320</v>
      </c>
      <c r="I62" s="343"/>
      <c r="J62" s="343"/>
      <c r="K62" s="342"/>
      <c r="L62" s="342" t="s">
        <v>6627</v>
      </c>
      <c r="M62" s="342" t="s">
        <v>4</v>
      </c>
      <c r="N62" s="342" t="s">
        <v>6507</v>
      </c>
      <c r="O62" s="342" t="s">
        <v>6508</v>
      </c>
      <c r="P62" s="342" t="s">
        <v>6574</v>
      </c>
      <c r="Q62" s="402" t="s">
        <v>6787</v>
      </c>
      <c r="R62" s="402" t="s">
        <v>6845</v>
      </c>
      <c r="S62" s="402" t="s">
        <v>6845</v>
      </c>
      <c r="T62" s="402" t="s">
        <v>6836</v>
      </c>
      <c r="U62" s="403">
        <f t="shared" si="0"/>
        <v>2</v>
      </c>
    </row>
    <row r="63" spans="1:21" ht="19" customHeight="1">
      <c r="A63" s="346" t="s">
        <v>2522</v>
      </c>
      <c r="B63" s="346" t="s">
        <v>5753</v>
      </c>
      <c r="C63" s="342" t="s">
        <v>6609</v>
      </c>
      <c r="D63" s="343" t="s">
        <v>6628</v>
      </c>
      <c r="E63" s="343" t="s">
        <v>6629</v>
      </c>
      <c r="F63" s="355">
        <v>2</v>
      </c>
      <c r="G63" s="357" t="s">
        <v>6465</v>
      </c>
      <c r="H63" s="357" t="s">
        <v>6296</v>
      </c>
      <c r="I63" s="343"/>
      <c r="J63" s="343"/>
      <c r="K63" s="342"/>
      <c r="L63" s="342" t="s">
        <v>6630</v>
      </c>
      <c r="M63" s="342" t="s">
        <v>4</v>
      </c>
      <c r="N63" s="342" t="s">
        <v>6507</v>
      </c>
      <c r="O63" s="342" t="s">
        <v>6508</v>
      </c>
      <c r="P63" s="342" t="s">
        <v>6574</v>
      </c>
      <c r="Q63" s="402" t="s">
        <v>6787</v>
      </c>
      <c r="R63" s="402" t="s">
        <v>6847</v>
      </c>
      <c r="S63" s="402" t="s">
        <v>6845</v>
      </c>
      <c r="T63" s="402" t="s">
        <v>6839</v>
      </c>
      <c r="U63" s="403">
        <f t="shared" si="0"/>
        <v>2</v>
      </c>
    </row>
    <row r="64" spans="1:21" ht="19" customHeight="1">
      <c r="A64" s="346" t="s">
        <v>2522</v>
      </c>
      <c r="B64" s="346" t="s">
        <v>5754</v>
      </c>
      <c r="C64" s="342" t="s">
        <v>6609</v>
      </c>
      <c r="D64" s="343" t="s">
        <v>6631</v>
      </c>
      <c r="E64" s="343" t="s">
        <v>6632</v>
      </c>
      <c r="F64" s="355">
        <v>3</v>
      </c>
      <c r="G64" s="357" t="s">
        <v>6465</v>
      </c>
      <c r="H64" s="357" t="s">
        <v>6296</v>
      </c>
      <c r="I64" s="343"/>
      <c r="J64" s="343"/>
      <c r="K64" s="342"/>
      <c r="L64" s="342" t="s">
        <v>6633</v>
      </c>
      <c r="M64" s="342" t="s">
        <v>4</v>
      </c>
      <c r="N64" s="342" t="s">
        <v>6507</v>
      </c>
      <c r="O64" s="342" t="s">
        <v>6508</v>
      </c>
      <c r="P64" s="342" t="s">
        <v>6574</v>
      </c>
      <c r="Q64" s="402" t="s">
        <v>6787</v>
      </c>
      <c r="R64" s="402" t="s">
        <v>6847</v>
      </c>
      <c r="S64" s="402" t="s">
        <v>6845</v>
      </c>
      <c r="T64" s="402" t="s">
        <v>6839</v>
      </c>
      <c r="U64" s="403">
        <f t="shared" si="0"/>
        <v>3</v>
      </c>
    </row>
    <row r="65" spans="1:21" ht="19" customHeight="1">
      <c r="A65" s="346" t="s">
        <v>2522</v>
      </c>
      <c r="B65" s="346" t="s">
        <v>6634</v>
      </c>
      <c r="C65" s="342" t="s">
        <v>6609</v>
      </c>
      <c r="D65" s="343" t="s">
        <v>6635</v>
      </c>
      <c r="E65" s="343" t="s">
        <v>6636</v>
      </c>
      <c r="F65" s="355">
        <v>5</v>
      </c>
      <c r="G65" s="357" t="s">
        <v>5957</v>
      </c>
      <c r="H65" s="357" t="s">
        <v>6252</v>
      </c>
      <c r="I65" s="343"/>
      <c r="J65" s="343"/>
      <c r="K65" s="342"/>
      <c r="L65" s="342" t="s">
        <v>6637</v>
      </c>
      <c r="M65" s="342" t="s">
        <v>4</v>
      </c>
      <c r="N65" s="342" t="s">
        <v>6507</v>
      </c>
      <c r="O65" s="342" t="s">
        <v>6508</v>
      </c>
      <c r="P65" s="342"/>
      <c r="Q65" s="402" t="s">
        <v>6787</v>
      </c>
      <c r="R65" s="402" t="s">
        <v>6845</v>
      </c>
      <c r="S65" s="402" t="s">
        <v>6845</v>
      </c>
      <c r="T65" s="402" t="s">
        <v>6836</v>
      </c>
      <c r="U65" s="403">
        <f t="shared" si="0"/>
        <v>5</v>
      </c>
    </row>
    <row r="66" spans="1:21" ht="19" customHeight="1">
      <c r="A66" s="346" t="s">
        <v>2522</v>
      </c>
      <c r="B66" s="346" t="s">
        <v>6638</v>
      </c>
      <c r="C66" s="342" t="s">
        <v>6609</v>
      </c>
      <c r="D66" s="343" t="s">
        <v>6639</v>
      </c>
      <c r="E66" s="343" t="s">
        <v>6636</v>
      </c>
      <c r="F66" s="355">
        <v>3</v>
      </c>
      <c r="G66" s="357" t="s">
        <v>5957</v>
      </c>
      <c r="H66" s="357" t="s">
        <v>6252</v>
      </c>
      <c r="I66" s="343"/>
      <c r="J66" s="343"/>
      <c r="K66" s="342"/>
      <c r="L66" s="342" t="s">
        <v>6637</v>
      </c>
      <c r="M66" s="342" t="s">
        <v>4</v>
      </c>
      <c r="N66" s="342" t="s">
        <v>6507</v>
      </c>
      <c r="O66" s="342" t="s">
        <v>6508</v>
      </c>
      <c r="P66" s="342"/>
      <c r="Q66" s="402" t="s">
        <v>6787</v>
      </c>
      <c r="R66" s="402" t="s">
        <v>6845</v>
      </c>
      <c r="S66" s="402" t="s">
        <v>6845</v>
      </c>
      <c r="T66" s="402" t="s">
        <v>6836</v>
      </c>
      <c r="U66" s="403">
        <f t="shared" si="0"/>
        <v>3</v>
      </c>
    </row>
    <row r="67" spans="1:21" ht="19" customHeight="1">
      <c r="A67" s="346" t="s">
        <v>2522</v>
      </c>
      <c r="B67" s="346" t="s">
        <v>6640</v>
      </c>
      <c r="C67" s="342" t="s">
        <v>6609</v>
      </c>
      <c r="D67" s="343" t="s">
        <v>6641</v>
      </c>
      <c r="E67" s="343" t="s">
        <v>6636</v>
      </c>
      <c r="F67" s="355">
        <v>4</v>
      </c>
      <c r="G67" s="357" t="s">
        <v>5957</v>
      </c>
      <c r="H67" s="357" t="s">
        <v>6252</v>
      </c>
      <c r="I67" s="343"/>
      <c r="J67" s="343"/>
      <c r="K67" s="342"/>
      <c r="L67" s="342" t="s">
        <v>6637</v>
      </c>
      <c r="M67" s="342" t="s">
        <v>4</v>
      </c>
      <c r="N67" s="342" t="s">
        <v>6507</v>
      </c>
      <c r="O67" s="342" t="s">
        <v>6508</v>
      </c>
      <c r="P67" s="342"/>
      <c r="Q67" s="402" t="s">
        <v>6787</v>
      </c>
      <c r="R67" s="402" t="s">
        <v>6845</v>
      </c>
      <c r="S67" s="402" t="s">
        <v>6845</v>
      </c>
      <c r="T67" s="402" t="s">
        <v>6836</v>
      </c>
      <c r="U67" s="403">
        <f t="shared" si="0"/>
        <v>4</v>
      </c>
    </row>
    <row r="68" spans="1:21" ht="19" customHeight="1">
      <c r="A68" s="346" t="s">
        <v>2522</v>
      </c>
      <c r="B68" s="346" t="s">
        <v>6642</v>
      </c>
      <c r="C68" s="342" t="s">
        <v>6609</v>
      </c>
      <c r="D68" s="343" t="s">
        <v>6643</v>
      </c>
      <c r="E68" s="343" t="s">
        <v>6636</v>
      </c>
      <c r="F68" s="355">
        <v>3</v>
      </c>
      <c r="G68" s="357" t="s">
        <v>5957</v>
      </c>
      <c r="H68" s="357" t="s">
        <v>6252</v>
      </c>
      <c r="I68" s="343"/>
      <c r="J68" s="343"/>
      <c r="K68" s="342"/>
      <c r="L68" s="342" t="s">
        <v>6637</v>
      </c>
      <c r="M68" s="342" t="s">
        <v>4</v>
      </c>
      <c r="N68" s="342" t="s">
        <v>6507</v>
      </c>
      <c r="O68" s="342" t="s">
        <v>6508</v>
      </c>
      <c r="P68" s="342"/>
      <c r="Q68" s="402" t="s">
        <v>6787</v>
      </c>
      <c r="R68" s="402" t="s">
        <v>6845</v>
      </c>
      <c r="S68" s="402" t="s">
        <v>6845</v>
      </c>
      <c r="T68" s="402" t="s">
        <v>6836</v>
      </c>
      <c r="U68" s="403">
        <f t="shared" si="0"/>
        <v>3</v>
      </c>
    </row>
    <row r="69" spans="1:21" ht="19" customHeight="1">
      <c r="A69" s="346" t="s">
        <v>2522</v>
      </c>
      <c r="B69" s="346" t="s">
        <v>6644</v>
      </c>
      <c r="C69" s="342" t="s">
        <v>6609</v>
      </c>
      <c r="D69" s="343" t="s">
        <v>6645</v>
      </c>
      <c r="E69" s="343" t="s">
        <v>6646</v>
      </c>
      <c r="F69" s="355">
        <v>1</v>
      </c>
      <c r="G69" s="357" t="s">
        <v>5957</v>
      </c>
      <c r="H69" s="357" t="s">
        <v>6318</v>
      </c>
      <c r="I69" s="343"/>
      <c r="J69" s="343"/>
      <c r="K69" s="342"/>
      <c r="L69" s="342" t="s">
        <v>6647</v>
      </c>
      <c r="M69" s="342" t="s">
        <v>4</v>
      </c>
      <c r="N69" s="342" t="s">
        <v>6507</v>
      </c>
      <c r="O69" s="342" t="s">
        <v>6508</v>
      </c>
      <c r="P69" s="342" t="s">
        <v>6574</v>
      </c>
      <c r="Q69" s="402" t="s">
        <v>6787</v>
      </c>
      <c r="R69" s="402" t="s">
        <v>6845</v>
      </c>
      <c r="S69" s="402" t="s">
        <v>6845</v>
      </c>
      <c r="T69" s="402" t="s">
        <v>6836</v>
      </c>
      <c r="U69" s="403">
        <f t="shared" si="0"/>
        <v>1</v>
      </c>
    </row>
    <row r="70" spans="1:21" ht="19" customHeight="1">
      <c r="A70" s="346" t="s">
        <v>2522</v>
      </c>
      <c r="B70" s="346" t="s">
        <v>6648</v>
      </c>
      <c r="C70" s="342" t="s">
        <v>6609</v>
      </c>
      <c r="D70" s="343" t="s">
        <v>6649</v>
      </c>
      <c r="E70" s="343" t="s">
        <v>6650</v>
      </c>
      <c r="F70" s="355">
        <v>1</v>
      </c>
      <c r="G70" s="357" t="s">
        <v>6484</v>
      </c>
      <c r="H70" s="357" t="s">
        <v>6262</v>
      </c>
      <c r="I70" s="343"/>
      <c r="J70" s="343"/>
      <c r="K70" s="342"/>
      <c r="L70" s="342" t="s">
        <v>6651</v>
      </c>
      <c r="M70" s="342" t="s">
        <v>4</v>
      </c>
      <c r="N70" s="342" t="s">
        <v>6507</v>
      </c>
      <c r="O70" s="342" t="s">
        <v>6508</v>
      </c>
      <c r="P70" s="342" t="s">
        <v>6574</v>
      </c>
      <c r="Q70" s="402" t="s">
        <v>6787</v>
      </c>
      <c r="R70" s="402" t="s">
        <v>6845</v>
      </c>
      <c r="S70" s="402" t="s">
        <v>6845</v>
      </c>
      <c r="T70" s="402" t="s">
        <v>6838</v>
      </c>
      <c r="U70" s="403">
        <f t="shared" si="0"/>
        <v>1</v>
      </c>
    </row>
    <row r="71" spans="1:21" ht="19" customHeight="1">
      <c r="A71" s="346" t="s">
        <v>2522</v>
      </c>
      <c r="B71" s="346" t="s">
        <v>6652</v>
      </c>
      <c r="C71" s="342" t="s">
        <v>6609</v>
      </c>
      <c r="D71" s="343" t="s">
        <v>6653</v>
      </c>
      <c r="E71" s="343" t="s">
        <v>6654</v>
      </c>
      <c r="F71" s="355">
        <v>2</v>
      </c>
      <c r="G71" s="357" t="s">
        <v>6479</v>
      </c>
      <c r="H71" s="357" t="s">
        <v>6319</v>
      </c>
      <c r="I71" s="343"/>
      <c r="J71" s="343"/>
      <c r="K71" s="342"/>
      <c r="L71" s="342" t="s">
        <v>6655</v>
      </c>
      <c r="M71" s="342" t="s">
        <v>4</v>
      </c>
      <c r="N71" s="342" t="s">
        <v>6507</v>
      </c>
      <c r="O71" s="342" t="s">
        <v>6508</v>
      </c>
      <c r="P71" s="342"/>
      <c r="Q71" s="402" t="s">
        <v>6787</v>
      </c>
      <c r="R71" s="402" t="s">
        <v>6845</v>
      </c>
      <c r="S71" s="402" t="s">
        <v>5168</v>
      </c>
      <c r="T71" s="402" t="s">
        <v>6839</v>
      </c>
      <c r="U71" s="403">
        <f t="shared" ref="U71:U134" si="1">IF($A71="③ 構築（DU）",$F71*0.6,$F71)</f>
        <v>2</v>
      </c>
    </row>
    <row r="72" spans="1:21" ht="19" customHeight="1">
      <c r="A72" s="346" t="s">
        <v>2522</v>
      </c>
      <c r="B72" s="346" t="s">
        <v>6656</v>
      </c>
      <c r="C72" s="342" t="s">
        <v>6609</v>
      </c>
      <c r="D72" s="343" t="s">
        <v>6657</v>
      </c>
      <c r="E72" s="343" t="s">
        <v>6658</v>
      </c>
      <c r="F72" s="355">
        <v>2</v>
      </c>
      <c r="G72" s="357" t="s">
        <v>6471</v>
      </c>
      <c r="H72" s="357" t="s">
        <v>6279</v>
      </c>
      <c r="I72" s="343"/>
      <c r="J72" s="343"/>
      <c r="K72" s="342"/>
      <c r="L72" s="342" t="s">
        <v>6659</v>
      </c>
      <c r="M72" s="342" t="s">
        <v>4</v>
      </c>
      <c r="N72" s="342" t="s">
        <v>6507</v>
      </c>
      <c r="O72" s="342" t="s">
        <v>6508</v>
      </c>
      <c r="P72" s="342" t="s">
        <v>6574</v>
      </c>
      <c r="Q72" s="402" t="s">
        <v>6787</v>
      </c>
      <c r="R72" s="402" t="s">
        <v>6845</v>
      </c>
      <c r="S72" s="402" t="s">
        <v>5168</v>
      </c>
      <c r="T72" s="402" t="s">
        <v>6839</v>
      </c>
      <c r="U72" s="403">
        <f t="shared" si="1"/>
        <v>2</v>
      </c>
    </row>
    <row r="73" spans="1:21" ht="19" customHeight="1">
      <c r="A73" s="346" t="s">
        <v>2522</v>
      </c>
      <c r="B73" s="346" t="s">
        <v>5755</v>
      </c>
      <c r="C73" s="342" t="s">
        <v>6660</v>
      </c>
      <c r="D73" s="343" t="s">
        <v>6661</v>
      </c>
      <c r="E73" s="343" t="s">
        <v>6662</v>
      </c>
      <c r="F73" s="355">
        <v>12</v>
      </c>
      <c r="G73" s="357" t="s">
        <v>5957</v>
      </c>
      <c r="H73" s="357" t="s">
        <v>6663</v>
      </c>
      <c r="I73" s="343"/>
      <c r="J73" s="343"/>
      <c r="K73" s="342"/>
      <c r="L73" s="342"/>
      <c r="M73" s="342" t="s">
        <v>4</v>
      </c>
      <c r="N73" s="342" t="s">
        <v>6507</v>
      </c>
      <c r="O73" s="342" t="s">
        <v>6508</v>
      </c>
      <c r="P73" s="342"/>
      <c r="Q73" s="402" t="s">
        <v>6787</v>
      </c>
      <c r="R73" s="402" t="s">
        <v>6845</v>
      </c>
      <c r="S73" s="402" t="s">
        <v>6845</v>
      </c>
      <c r="T73" s="402" t="s">
        <v>6836</v>
      </c>
      <c r="U73" s="403">
        <f t="shared" si="1"/>
        <v>12</v>
      </c>
    </row>
    <row r="74" spans="1:21" ht="19" customHeight="1">
      <c r="A74" s="346" t="s">
        <v>2522</v>
      </c>
      <c r="B74" s="346" t="s">
        <v>5756</v>
      </c>
      <c r="C74" s="342" t="s">
        <v>6660</v>
      </c>
      <c r="D74" s="343" t="s">
        <v>6732</v>
      </c>
      <c r="E74" s="343" t="s">
        <v>6664</v>
      </c>
      <c r="F74" s="355">
        <v>5</v>
      </c>
      <c r="G74" s="357" t="s">
        <v>6470</v>
      </c>
      <c r="H74" s="357" t="s">
        <v>6276</v>
      </c>
      <c r="I74" s="343"/>
      <c r="J74" s="343"/>
      <c r="K74" s="342"/>
      <c r="L74" s="342"/>
      <c r="M74" s="342" t="s">
        <v>4</v>
      </c>
      <c r="N74" s="342" t="s">
        <v>6507</v>
      </c>
      <c r="O74" s="342" t="s">
        <v>6508</v>
      </c>
      <c r="P74" s="342"/>
      <c r="Q74" s="402" t="s">
        <v>6787</v>
      </c>
      <c r="R74" s="402" t="s">
        <v>6845</v>
      </c>
      <c r="S74" s="402" t="s">
        <v>5168</v>
      </c>
      <c r="T74" s="402" t="s">
        <v>6839</v>
      </c>
      <c r="U74" s="403">
        <f t="shared" si="1"/>
        <v>5</v>
      </c>
    </row>
    <row r="75" spans="1:21" ht="19" customHeight="1">
      <c r="A75" s="346" t="s">
        <v>2522</v>
      </c>
      <c r="B75" s="346" t="s">
        <v>5757</v>
      </c>
      <c r="C75" s="342" t="s">
        <v>6660</v>
      </c>
      <c r="D75" s="343" t="s">
        <v>6665</v>
      </c>
      <c r="E75" s="343" t="s">
        <v>6666</v>
      </c>
      <c r="F75" s="355">
        <v>4</v>
      </c>
      <c r="G75" s="357" t="s">
        <v>6492</v>
      </c>
      <c r="H75" s="357" t="s">
        <v>6493</v>
      </c>
      <c r="I75" s="343"/>
      <c r="J75" s="343"/>
      <c r="K75" s="342"/>
      <c r="L75" s="342"/>
      <c r="M75" s="342" t="s">
        <v>4</v>
      </c>
      <c r="N75" s="342" t="s">
        <v>6507</v>
      </c>
      <c r="O75" s="342" t="s">
        <v>6508</v>
      </c>
      <c r="P75" s="342"/>
      <c r="Q75" s="402" t="s">
        <v>6843</v>
      </c>
      <c r="R75" s="402" t="s">
        <v>6847</v>
      </c>
      <c r="S75" s="402" t="s">
        <v>5168</v>
      </c>
      <c r="T75" s="402" t="s">
        <v>6839</v>
      </c>
      <c r="U75" s="403">
        <f t="shared" si="1"/>
        <v>4</v>
      </c>
    </row>
    <row r="76" spans="1:21" ht="19" customHeight="1">
      <c r="A76" s="346" t="s">
        <v>2522</v>
      </c>
      <c r="B76" s="346" t="s">
        <v>5758</v>
      </c>
      <c r="C76" s="342" t="s">
        <v>6660</v>
      </c>
      <c r="D76" s="343" t="s">
        <v>6667</v>
      </c>
      <c r="E76" s="343" t="s">
        <v>6668</v>
      </c>
      <c r="F76" s="355">
        <v>4</v>
      </c>
      <c r="G76" s="357" t="s">
        <v>6475</v>
      </c>
      <c r="H76" s="357" t="s">
        <v>6261</v>
      </c>
      <c r="I76" s="343"/>
      <c r="J76" s="343"/>
      <c r="K76" s="342"/>
      <c r="L76" s="342"/>
      <c r="M76" s="342" t="s">
        <v>4</v>
      </c>
      <c r="N76" s="342" t="s">
        <v>6507</v>
      </c>
      <c r="O76" s="342" t="s">
        <v>6508</v>
      </c>
      <c r="P76" s="342"/>
      <c r="Q76" s="402" t="s">
        <v>6787</v>
      </c>
      <c r="R76" s="402" t="s">
        <v>6847</v>
      </c>
      <c r="S76" s="402" t="s">
        <v>5168</v>
      </c>
      <c r="T76" s="402" t="s">
        <v>6839</v>
      </c>
      <c r="U76" s="403">
        <f t="shared" si="1"/>
        <v>4</v>
      </c>
    </row>
    <row r="77" spans="1:21" ht="19" customHeight="1">
      <c r="A77" s="346" t="s">
        <v>2522</v>
      </c>
      <c r="B77" s="346" t="s">
        <v>5759</v>
      </c>
      <c r="C77" s="342" t="s">
        <v>6660</v>
      </c>
      <c r="D77" s="343" t="s">
        <v>6733</v>
      </c>
      <c r="E77" s="343" t="s">
        <v>6669</v>
      </c>
      <c r="F77" s="355">
        <v>6</v>
      </c>
      <c r="G77" s="357" t="s">
        <v>5957</v>
      </c>
      <c r="H77" s="357" t="s">
        <v>6252</v>
      </c>
      <c r="I77" s="343"/>
      <c r="J77" s="343"/>
      <c r="K77" s="342"/>
      <c r="L77" s="342"/>
      <c r="M77" s="342" t="s">
        <v>4</v>
      </c>
      <c r="N77" s="342" t="s">
        <v>6507</v>
      </c>
      <c r="O77" s="342" t="s">
        <v>6508</v>
      </c>
      <c r="P77" s="342"/>
      <c r="Q77" s="402" t="s">
        <v>6787</v>
      </c>
      <c r="R77" s="402" t="s">
        <v>6845</v>
      </c>
      <c r="S77" s="402" t="s">
        <v>6845</v>
      </c>
      <c r="T77" s="402" t="s">
        <v>6836</v>
      </c>
      <c r="U77" s="403">
        <f t="shared" si="1"/>
        <v>6</v>
      </c>
    </row>
    <row r="78" spans="1:21" ht="19" customHeight="1">
      <c r="A78" s="346" t="s">
        <v>2522</v>
      </c>
      <c r="B78" s="346" t="s">
        <v>5760</v>
      </c>
      <c r="C78" s="342" t="s">
        <v>6660</v>
      </c>
      <c r="D78" s="343" t="s">
        <v>6734</v>
      </c>
      <c r="E78" s="343" t="s">
        <v>6670</v>
      </c>
      <c r="F78" s="355">
        <v>5</v>
      </c>
      <c r="G78" s="357" t="s">
        <v>6472</v>
      </c>
      <c r="H78" s="357" t="s">
        <v>6257</v>
      </c>
      <c r="I78" s="343"/>
      <c r="J78" s="343"/>
      <c r="K78" s="342"/>
      <c r="L78" s="342"/>
      <c r="M78" s="342" t="s">
        <v>4</v>
      </c>
      <c r="N78" s="342" t="s">
        <v>6507</v>
      </c>
      <c r="O78" s="342" t="s">
        <v>6508</v>
      </c>
      <c r="P78" s="342"/>
      <c r="Q78" s="402" t="s">
        <v>6787</v>
      </c>
      <c r="R78" s="402" t="s">
        <v>6845</v>
      </c>
      <c r="S78" s="402" t="s">
        <v>6845</v>
      </c>
      <c r="T78" s="402" t="s">
        <v>6839</v>
      </c>
      <c r="U78" s="403">
        <f t="shared" si="1"/>
        <v>5</v>
      </c>
    </row>
    <row r="79" spans="1:21" ht="19" customHeight="1">
      <c r="A79" s="346" t="s">
        <v>2522</v>
      </c>
      <c r="B79" s="346" t="s">
        <v>5761</v>
      </c>
      <c r="C79" s="342" t="s">
        <v>6671</v>
      </c>
      <c r="D79" s="343" t="s">
        <v>6735</v>
      </c>
      <c r="E79" s="343" t="s">
        <v>6672</v>
      </c>
      <c r="F79" s="355">
        <v>8</v>
      </c>
      <c r="G79" s="357" t="s">
        <v>5957</v>
      </c>
      <c r="H79" s="357" t="s">
        <v>6312</v>
      </c>
      <c r="I79" s="343"/>
      <c r="J79" s="343"/>
      <c r="K79" s="342"/>
      <c r="L79" s="342"/>
      <c r="M79" s="342" t="s">
        <v>4</v>
      </c>
      <c r="N79" s="342" t="s">
        <v>6507</v>
      </c>
      <c r="O79" s="342" t="s">
        <v>6508</v>
      </c>
      <c r="P79" s="342"/>
      <c r="Q79" s="402" t="s">
        <v>6787</v>
      </c>
      <c r="R79" s="402" t="s">
        <v>6845</v>
      </c>
      <c r="S79" s="402" t="s">
        <v>6845</v>
      </c>
      <c r="T79" s="402" t="s">
        <v>6836</v>
      </c>
      <c r="U79" s="403">
        <f t="shared" si="1"/>
        <v>8</v>
      </c>
    </row>
    <row r="80" spans="1:21" ht="19" customHeight="1">
      <c r="A80" s="346" t="s">
        <v>2522</v>
      </c>
      <c r="B80" s="346" t="s">
        <v>5762</v>
      </c>
      <c r="C80" s="342" t="s">
        <v>6671</v>
      </c>
      <c r="D80" s="343" t="s">
        <v>6736</v>
      </c>
      <c r="E80" s="343" t="s">
        <v>6673</v>
      </c>
      <c r="F80" s="355">
        <v>3</v>
      </c>
      <c r="G80" s="357" t="s">
        <v>5957</v>
      </c>
      <c r="H80" s="357" t="s">
        <v>6312</v>
      </c>
      <c r="I80" s="343"/>
      <c r="J80" s="343"/>
      <c r="K80" s="342"/>
      <c r="L80" s="342"/>
      <c r="M80" s="342" t="s">
        <v>4</v>
      </c>
      <c r="N80" s="342" t="s">
        <v>6507</v>
      </c>
      <c r="O80" s="342" t="s">
        <v>6508</v>
      </c>
      <c r="P80" s="342"/>
      <c r="Q80" s="402" t="s">
        <v>6787</v>
      </c>
      <c r="R80" s="402" t="s">
        <v>6845</v>
      </c>
      <c r="S80" s="402" t="s">
        <v>6845</v>
      </c>
      <c r="T80" s="402" t="s">
        <v>6836</v>
      </c>
      <c r="U80" s="403">
        <f t="shared" si="1"/>
        <v>3</v>
      </c>
    </row>
    <row r="81" spans="1:21" ht="19" customHeight="1">
      <c r="A81" s="346" t="s">
        <v>2522</v>
      </c>
      <c r="B81" s="346" t="s">
        <v>5763</v>
      </c>
      <c r="C81" s="342" t="s">
        <v>6671</v>
      </c>
      <c r="D81" s="343" t="s">
        <v>6737</v>
      </c>
      <c r="E81" s="343" t="s">
        <v>6674</v>
      </c>
      <c r="F81" s="355">
        <v>2</v>
      </c>
      <c r="G81" s="357" t="s">
        <v>5957</v>
      </c>
      <c r="H81" s="357" t="s">
        <v>6312</v>
      </c>
      <c r="I81" s="343"/>
      <c r="J81" s="343"/>
      <c r="K81" s="342"/>
      <c r="L81" s="342"/>
      <c r="M81" s="342" t="s">
        <v>4</v>
      </c>
      <c r="N81" s="342" t="s">
        <v>6507</v>
      </c>
      <c r="O81" s="342" t="s">
        <v>6508</v>
      </c>
      <c r="P81" s="342"/>
      <c r="Q81" s="402" t="s">
        <v>6787</v>
      </c>
      <c r="R81" s="402" t="s">
        <v>6845</v>
      </c>
      <c r="S81" s="402" t="s">
        <v>6845</v>
      </c>
      <c r="T81" s="402" t="s">
        <v>6836</v>
      </c>
      <c r="U81" s="403">
        <f t="shared" si="1"/>
        <v>2</v>
      </c>
    </row>
    <row r="82" spans="1:21" ht="19" customHeight="1">
      <c r="A82" s="346" t="s">
        <v>2522</v>
      </c>
      <c r="B82" s="346" t="s">
        <v>5764</v>
      </c>
      <c r="C82" s="342" t="s">
        <v>6745</v>
      </c>
      <c r="D82" s="343" t="s">
        <v>6675</v>
      </c>
      <c r="E82" s="343" t="s">
        <v>6676</v>
      </c>
      <c r="F82" s="355">
        <v>8</v>
      </c>
      <c r="G82" s="357" t="s">
        <v>5957</v>
      </c>
      <c r="H82" s="357" t="s">
        <v>6252</v>
      </c>
      <c r="I82" s="343"/>
      <c r="J82" s="343"/>
      <c r="K82" s="342"/>
      <c r="L82" s="342"/>
      <c r="M82" s="342" t="s">
        <v>4</v>
      </c>
      <c r="N82" s="342" t="s">
        <v>6507</v>
      </c>
      <c r="O82" s="342" t="s">
        <v>6508</v>
      </c>
      <c r="P82" s="342"/>
      <c r="Q82" s="402" t="s">
        <v>6787</v>
      </c>
      <c r="R82" s="402" t="s">
        <v>6845</v>
      </c>
      <c r="S82" s="402" t="s">
        <v>6845</v>
      </c>
      <c r="T82" s="402" t="s">
        <v>6836</v>
      </c>
      <c r="U82" s="403">
        <f t="shared" si="1"/>
        <v>8</v>
      </c>
    </row>
    <row r="83" spans="1:21" ht="19" customHeight="1">
      <c r="A83" s="346" t="s">
        <v>2522</v>
      </c>
      <c r="B83" s="346" t="s">
        <v>5765</v>
      </c>
      <c r="C83" s="342" t="s">
        <v>6745</v>
      </c>
      <c r="D83" s="343" t="s">
        <v>6677</v>
      </c>
      <c r="E83" s="343" t="s">
        <v>6678</v>
      </c>
      <c r="F83" s="355">
        <v>4</v>
      </c>
      <c r="G83" s="357" t="s">
        <v>5957</v>
      </c>
      <c r="H83" s="357" t="s">
        <v>6252</v>
      </c>
      <c r="I83" s="343"/>
      <c r="J83" s="343"/>
      <c r="K83" s="342"/>
      <c r="L83" s="342"/>
      <c r="M83" s="342" t="s">
        <v>4</v>
      </c>
      <c r="N83" s="342" t="s">
        <v>6507</v>
      </c>
      <c r="O83" s="342" t="s">
        <v>6508</v>
      </c>
      <c r="P83" s="342"/>
      <c r="Q83" s="402" t="s">
        <v>6787</v>
      </c>
      <c r="R83" s="402" t="s">
        <v>6845</v>
      </c>
      <c r="S83" s="402" t="s">
        <v>6845</v>
      </c>
      <c r="T83" s="402" t="s">
        <v>6836</v>
      </c>
      <c r="U83" s="403">
        <f t="shared" si="1"/>
        <v>4</v>
      </c>
    </row>
    <row r="84" spans="1:21" ht="19" customHeight="1">
      <c r="A84" s="346" t="s">
        <v>2522</v>
      </c>
      <c r="B84" s="346" t="s">
        <v>5766</v>
      </c>
      <c r="C84" s="342" t="s">
        <v>6745</v>
      </c>
      <c r="D84" s="343" t="s">
        <v>6738</v>
      </c>
      <c r="E84" s="343" t="s">
        <v>6679</v>
      </c>
      <c r="F84" s="355">
        <v>4</v>
      </c>
      <c r="G84" s="357" t="s">
        <v>5957</v>
      </c>
      <c r="H84" s="357" t="s">
        <v>6252</v>
      </c>
      <c r="I84" s="343"/>
      <c r="J84" s="343"/>
      <c r="K84" s="342"/>
      <c r="L84" s="342"/>
      <c r="M84" s="342" t="s">
        <v>4</v>
      </c>
      <c r="N84" s="342" t="s">
        <v>6507</v>
      </c>
      <c r="O84" s="342" t="s">
        <v>6508</v>
      </c>
      <c r="P84" s="342"/>
      <c r="Q84" s="402" t="s">
        <v>6787</v>
      </c>
      <c r="R84" s="402" t="s">
        <v>6845</v>
      </c>
      <c r="S84" s="402" t="s">
        <v>6845</v>
      </c>
      <c r="T84" s="402" t="s">
        <v>6836</v>
      </c>
      <c r="U84" s="403">
        <f t="shared" si="1"/>
        <v>4</v>
      </c>
    </row>
    <row r="85" spans="1:21" ht="19" customHeight="1">
      <c r="A85" s="346" t="s">
        <v>2522</v>
      </c>
      <c r="B85" s="346" t="s">
        <v>5767</v>
      </c>
      <c r="C85" s="342" t="s">
        <v>6745</v>
      </c>
      <c r="D85" s="343" t="s">
        <v>6680</v>
      </c>
      <c r="E85" s="343" t="s">
        <v>6681</v>
      </c>
      <c r="F85" s="355">
        <v>4</v>
      </c>
      <c r="G85" s="357" t="s">
        <v>5957</v>
      </c>
      <c r="H85" s="357" t="s">
        <v>6252</v>
      </c>
      <c r="I85" s="343"/>
      <c r="J85" s="343"/>
      <c r="K85" s="342"/>
      <c r="L85" s="342"/>
      <c r="M85" s="342" t="s">
        <v>4</v>
      </c>
      <c r="N85" s="342" t="s">
        <v>6507</v>
      </c>
      <c r="O85" s="342" t="s">
        <v>6508</v>
      </c>
      <c r="P85" s="342"/>
      <c r="Q85" s="402" t="s">
        <v>6787</v>
      </c>
      <c r="R85" s="402" t="s">
        <v>6845</v>
      </c>
      <c r="S85" s="402" t="s">
        <v>6845</v>
      </c>
      <c r="T85" s="402" t="s">
        <v>6836</v>
      </c>
      <c r="U85" s="403">
        <f t="shared" si="1"/>
        <v>4</v>
      </c>
    </row>
    <row r="86" spans="1:21" ht="19" customHeight="1">
      <c r="A86" s="346" t="s">
        <v>2522</v>
      </c>
      <c r="B86" s="346" t="s">
        <v>5768</v>
      </c>
      <c r="C86" s="342" t="s">
        <v>6745</v>
      </c>
      <c r="D86" s="343" t="s">
        <v>6682</v>
      </c>
      <c r="E86" s="343" t="s">
        <v>6683</v>
      </c>
      <c r="F86" s="355">
        <v>3</v>
      </c>
      <c r="G86" s="357" t="s">
        <v>5957</v>
      </c>
      <c r="H86" s="357" t="s">
        <v>6252</v>
      </c>
      <c r="I86" s="343"/>
      <c r="J86" s="343"/>
      <c r="K86" s="342"/>
      <c r="L86" s="342"/>
      <c r="M86" s="342" t="s">
        <v>4</v>
      </c>
      <c r="N86" s="342" t="s">
        <v>6507</v>
      </c>
      <c r="O86" s="342" t="s">
        <v>6508</v>
      </c>
      <c r="P86" s="342"/>
      <c r="Q86" s="402" t="s">
        <v>6787</v>
      </c>
      <c r="R86" s="402" t="s">
        <v>6845</v>
      </c>
      <c r="S86" s="402" t="s">
        <v>6845</v>
      </c>
      <c r="T86" s="402" t="s">
        <v>6836</v>
      </c>
      <c r="U86" s="403">
        <f t="shared" si="1"/>
        <v>3</v>
      </c>
    </row>
    <row r="87" spans="1:21" ht="19" customHeight="1">
      <c r="A87" s="346" t="s">
        <v>2522</v>
      </c>
      <c r="B87" s="346" t="s">
        <v>5769</v>
      </c>
      <c r="C87" s="342" t="s">
        <v>6745</v>
      </c>
      <c r="D87" s="343" t="s">
        <v>6684</v>
      </c>
      <c r="E87" s="343" t="s">
        <v>6685</v>
      </c>
      <c r="F87" s="355">
        <v>2</v>
      </c>
      <c r="G87" s="357" t="s">
        <v>5957</v>
      </c>
      <c r="H87" s="357" t="s">
        <v>6252</v>
      </c>
      <c r="I87" s="343"/>
      <c r="J87" s="343"/>
      <c r="K87" s="342"/>
      <c r="L87" s="342"/>
      <c r="M87" s="342" t="s">
        <v>4</v>
      </c>
      <c r="N87" s="342" t="s">
        <v>6507</v>
      </c>
      <c r="O87" s="342" t="s">
        <v>6508</v>
      </c>
      <c r="P87" s="342" t="s">
        <v>6574</v>
      </c>
      <c r="Q87" s="402" t="s">
        <v>6787</v>
      </c>
      <c r="R87" s="402" t="s">
        <v>6845</v>
      </c>
      <c r="S87" s="402" t="s">
        <v>6845</v>
      </c>
      <c r="T87" s="402" t="s">
        <v>6836</v>
      </c>
      <c r="U87" s="403">
        <f t="shared" si="1"/>
        <v>2</v>
      </c>
    </row>
    <row r="88" spans="1:21" ht="19" customHeight="1">
      <c r="A88" s="346" t="s">
        <v>2522</v>
      </c>
      <c r="B88" s="346" t="s">
        <v>6686</v>
      </c>
      <c r="C88" s="342" t="s">
        <v>6745</v>
      </c>
      <c r="D88" s="343" t="s">
        <v>6687</v>
      </c>
      <c r="E88" s="343" t="s">
        <v>6688</v>
      </c>
      <c r="F88" s="355">
        <v>2</v>
      </c>
      <c r="G88" s="357" t="s">
        <v>5957</v>
      </c>
      <c r="H88" s="357" t="s">
        <v>6252</v>
      </c>
      <c r="I88" s="343"/>
      <c r="J88" s="343"/>
      <c r="K88" s="342"/>
      <c r="L88" s="342"/>
      <c r="M88" s="342" t="s">
        <v>4</v>
      </c>
      <c r="N88" s="342" t="s">
        <v>6507</v>
      </c>
      <c r="O88" s="342" t="s">
        <v>6508</v>
      </c>
      <c r="P88" s="342" t="s">
        <v>6574</v>
      </c>
      <c r="Q88" s="402" t="s">
        <v>6787</v>
      </c>
      <c r="R88" s="402" t="s">
        <v>6845</v>
      </c>
      <c r="S88" s="402" t="s">
        <v>6845</v>
      </c>
      <c r="T88" s="402" t="s">
        <v>6836</v>
      </c>
      <c r="U88" s="403">
        <f t="shared" si="1"/>
        <v>2</v>
      </c>
    </row>
    <row r="89" spans="1:21" ht="19" customHeight="1">
      <c r="A89" s="346" t="s">
        <v>2522</v>
      </c>
      <c r="B89" s="346" t="s">
        <v>6689</v>
      </c>
      <c r="C89" s="342" t="s">
        <v>6745</v>
      </c>
      <c r="D89" s="343" t="s">
        <v>6739</v>
      </c>
      <c r="E89" s="343" t="s">
        <v>6690</v>
      </c>
      <c r="F89" s="355">
        <v>3</v>
      </c>
      <c r="G89" s="357" t="s">
        <v>5957</v>
      </c>
      <c r="H89" s="357" t="s">
        <v>6252</v>
      </c>
      <c r="I89" s="343"/>
      <c r="J89" s="343"/>
      <c r="K89" s="342"/>
      <c r="L89" s="342"/>
      <c r="M89" s="342" t="s">
        <v>4</v>
      </c>
      <c r="N89" s="342" t="s">
        <v>6507</v>
      </c>
      <c r="O89" s="342" t="s">
        <v>6508</v>
      </c>
      <c r="P89" s="342" t="s">
        <v>6574</v>
      </c>
      <c r="Q89" s="402" t="s">
        <v>6787</v>
      </c>
      <c r="R89" s="402" t="s">
        <v>6845</v>
      </c>
      <c r="S89" s="402" t="s">
        <v>6845</v>
      </c>
      <c r="T89" s="402" t="s">
        <v>6836</v>
      </c>
      <c r="U89" s="403">
        <f t="shared" si="1"/>
        <v>3</v>
      </c>
    </row>
    <row r="90" spans="1:21" ht="19" customHeight="1">
      <c r="A90" s="346" t="s">
        <v>2522</v>
      </c>
      <c r="B90" s="346" t="s">
        <v>5770</v>
      </c>
      <c r="C90" s="342" t="s">
        <v>6746</v>
      </c>
      <c r="D90" s="343" t="s">
        <v>6691</v>
      </c>
      <c r="E90" s="343" t="s">
        <v>6692</v>
      </c>
      <c r="F90" s="355">
        <v>3</v>
      </c>
      <c r="G90" s="357" t="s">
        <v>6474</v>
      </c>
      <c r="H90" s="357" t="s">
        <v>6263</v>
      </c>
      <c r="I90" s="343"/>
      <c r="J90" s="343"/>
      <c r="K90" s="342"/>
      <c r="L90" s="342"/>
      <c r="M90" s="342" t="s">
        <v>4</v>
      </c>
      <c r="N90" s="342" t="s">
        <v>6507</v>
      </c>
      <c r="O90" s="342" t="s">
        <v>6508</v>
      </c>
      <c r="P90" s="342"/>
      <c r="Q90" s="402" t="s">
        <v>6787</v>
      </c>
      <c r="R90" s="402" t="s">
        <v>6845</v>
      </c>
      <c r="S90" s="402" t="s">
        <v>5168</v>
      </c>
      <c r="T90" s="402" t="s">
        <v>6839</v>
      </c>
      <c r="U90" s="403">
        <f t="shared" si="1"/>
        <v>3</v>
      </c>
    </row>
    <row r="91" spans="1:21" ht="19" customHeight="1">
      <c r="A91" s="346" t="s">
        <v>2522</v>
      </c>
      <c r="B91" s="346" t="s">
        <v>5771</v>
      </c>
      <c r="C91" s="342" t="s">
        <v>6746</v>
      </c>
      <c r="D91" s="343" t="s">
        <v>6740</v>
      </c>
      <c r="E91" s="343" t="s">
        <v>6693</v>
      </c>
      <c r="F91" s="355">
        <v>4</v>
      </c>
      <c r="G91" s="357" t="s">
        <v>6859</v>
      </c>
      <c r="H91" s="357" t="s">
        <v>6496</v>
      </c>
      <c r="I91" s="343"/>
      <c r="J91" s="343"/>
      <c r="K91" s="342"/>
      <c r="L91" s="342"/>
      <c r="M91" s="342" t="s">
        <v>4</v>
      </c>
      <c r="N91" s="342" t="s">
        <v>6507</v>
      </c>
      <c r="O91" s="342" t="s">
        <v>6508</v>
      </c>
      <c r="P91" s="342"/>
      <c r="Q91" s="402" t="s">
        <v>6787</v>
      </c>
      <c r="R91" s="402" t="s">
        <v>6845</v>
      </c>
      <c r="S91" s="402" t="s">
        <v>5168</v>
      </c>
      <c r="T91" s="402" t="s">
        <v>6839</v>
      </c>
      <c r="U91" s="403">
        <f t="shared" si="1"/>
        <v>4</v>
      </c>
    </row>
    <row r="92" spans="1:21" ht="19" customHeight="1">
      <c r="A92" s="346" t="s">
        <v>2522</v>
      </c>
      <c r="B92" s="346" t="s">
        <v>5772</v>
      </c>
      <c r="C92" s="342" t="s">
        <v>6746</v>
      </c>
      <c r="D92" s="343" t="s">
        <v>6694</v>
      </c>
      <c r="E92" s="343" t="s">
        <v>6695</v>
      </c>
      <c r="F92" s="355">
        <v>3</v>
      </c>
      <c r="G92" s="357" t="s">
        <v>6476</v>
      </c>
      <c r="H92" s="357" t="s">
        <v>6260</v>
      </c>
      <c r="I92" s="343"/>
      <c r="J92" s="343"/>
      <c r="K92" s="342"/>
      <c r="L92" s="342"/>
      <c r="M92" s="342" t="s">
        <v>4</v>
      </c>
      <c r="N92" s="342" t="s">
        <v>6507</v>
      </c>
      <c r="O92" s="342" t="s">
        <v>6508</v>
      </c>
      <c r="P92" s="342"/>
      <c r="Q92" s="402" t="s">
        <v>6787</v>
      </c>
      <c r="R92" s="402" t="s">
        <v>6845</v>
      </c>
      <c r="S92" s="402" t="s">
        <v>6845</v>
      </c>
      <c r="T92" s="402" t="s">
        <v>6839</v>
      </c>
      <c r="U92" s="403">
        <f t="shared" si="1"/>
        <v>3</v>
      </c>
    </row>
    <row r="93" spans="1:21" ht="19" customHeight="1">
      <c r="A93" s="346" t="s">
        <v>2522</v>
      </c>
      <c r="B93" s="346" t="s">
        <v>5773</v>
      </c>
      <c r="C93" s="342" t="s">
        <v>6746</v>
      </c>
      <c r="D93" s="343" t="s">
        <v>6741</v>
      </c>
      <c r="E93" s="343" t="s">
        <v>6696</v>
      </c>
      <c r="F93" s="355">
        <v>3</v>
      </c>
      <c r="G93" s="357" t="s">
        <v>5957</v>
      </c>
      <c r="H93" s="357" t="s">
        <v>6388</v>
      </c>
      <c r="I93" s="343"/>
      <c r="J93" s="343"/>
      <c r="K93" s="342"/>
      <c r="L93" s="342"/>
      <c r="M93" s="342" t="s">
        <v>4</v>
      </c>
      <c r="N93" s="342" t="s">
        <v>6507</v>
      </c>
      <c r="O93" s="342" t="s">
        <v>6508</v>
      </c>
      <c r="P93" s="342"/>
      <c r="Q93" s="402" t="s">
        <v>6787</v>
      </c>
      <c r="R93" s="402" t="s">
        <v>6845</v>
      </c>
      <c r="S93" s="402" t="s">
        <v>6845</v>
      </c>
      <c r="T93" s="402" t="s">
        <v>6836</v>
      </c>
      <c r="U93" s="403">
        <f t="shared" si="1"/>
        <v>3</v>
      </c>
    </row>
    <row r="94" spans="1:21" ht="19" customHeight="1">
      <c r="A94" s="346" t="s">
        <v>2522</v>
      </c>
      <c r="B94" s="346" t="s">
        <v>5774</v>
      </c>
      <c r="C94" s="342" t="s">
        <v>6746</v>
      </c>
      <c r="D94" s="343" t="s">
        <v>6697</v>
      </c>
      <c r="E94" s="343" t="s">
        <v>6698</v>
      </c>
      <c r="F94" s="355">
        <v>2</v>
      </c>
      <c r="G94" s="357" t="s">
        <v>5957</v>
      </c>
      <c r="H94" s="357" t="s">
        <v>6388</v>
      </c>
      <c r="I94" s="343"/>
      <c r="J94" s="343"/>
      <c r="K94" s="342"/>
      <c r="L94" s="342"/>
      <c r="M94" s="342" t="s">
        <v>4</v>
      </c>
      <c r="N94" s="342" t="s">
        <v>6507</v>
      </c>
      <c r="O94" s="342" t="s">
        <v>6508</v>
      </c>
      <c r="P94" s="342" t="s">
        <v>6574</v>
      </c>
      <c r="Q94" s="402" t="s">
        <v>6787</v>
      </c>
      <c r="R94" s="402" t="s">
        <v>6845</v>
      </c>
      <c r="S94" s="402" t="s">
        <v>6845</v>
      </c>
      <c r="T94" s="402" t="s">
        <v>6836</v>
      </c>
      <c r="U94" s="403">
        <f t="shared" si="1"/>
        <v>2</v>
      </c>
    </row>
    <row r="95" spans="1:21" ht="19" customHeight="1">
      <c r="A95" s="346" t="s">
        <v>2522</v>
      </c>
      <c r="B95" s="346" t="s">
        <v>6699</v>
      </c>
      <c r="C95" s="342" t="s">
        <v>6746</v>
      </c>
      <c r="D95" s="343" t="s">
        <v>6700</v>
      </c>
      <c r="E95" s="343" t="s">
        <v>6701</v>
      </c>
      <c r="F95" s="355">
        <v>2</v>
      </c>
      <c r="G95" s="357" t="s">
        <v>5957</v>
      </c>
      <c r="H95" s="357" t="s">
        <v>6388</v>
      </c>
      <c r="I95" s="343"/>
      <c r="J95" s="343"/>
      <c r="K95" s="342"/>
      <c r="L95" s="342"/>
      <c r="M95" s="342" t="s">
        <v>4</v>
      </c>
      <c r="N95" s="342" t="s">
        <v>6507</v>
      </c>
      <c r="O95" s="342" t="s">
        <v>6508</v>
      </c>
      <c r="P95" s="342" t="s">
        <v>6702</v>
      </c>
      <c r="Q95" s="402" t="s">
        <v>6787</v>
      </c>
      <c r="R95" s="402" t="s">
        <v>6845</v>
      </c>
      <c r="S95" s="402" t="s">
        <v>6845</v>
      </c>
      <c r="T95" s="402" t="s">
        <v>6836</v>
      </c>
      <c r="U95" s="403">
        <f t="shared" si="1"/>
        <v>2</v>
      </c>
    </row>
    <row r="96" spans="1:21" ht="19" customHeight="1">
      <c r="A96" s="346" t="s">
        <v>2522</v>
      </c>
      <c r="B96" s="346" t="s">
        <v>5775</v>
      </c>
      <c r="C96" s="342" t="s">
        <v>6747</v>
      </c>
      <c r="D96" s="343" t="s">
        <v>6703</v>
      </c>
      <c r="E96" s="343" t="s">
        <v>6704</v>
      </c>
      <c r="F96" s="355">
        <v>3</v>
      </c>
      <c r="G96" s="357" t="s">
        <v>5957</v>
      </c>
      <c r="H96" s="357" t="s">
        <v>6252</v>
      </c>
      <c r="I96" s="343"/>
      <c r="J96" s="343"/>
      <c r="K96" s="342"/>
      <c r="L96" s="342"/>
      <c r="M96" s="342" t="s">
        <v>4</v>
      </c>
      <c r="N96" s="342" t="s">
        <v>6507</v>
      </c>
      <c r="O96" s="342" t="s">
        <v>6508</v>
      </c>
      <c r="P96" s="342"/>
      <c r="Q96" s="402" t="s">
        <v>6787</v>
      </c>
      <c r="R96" s="402" t="s">
        <v>6845</v>
      </c>
      <c r="S96" s="402" t="s">
        <v>6845</v>
      </c>
      <c r="T96" s="402" t="s">
        <v>6836</v>
      </c>
      <c r="U96" s="403">
        <f t="shared" si="1"/>
        <v>3</v>
      </c>
    </row>
    <row r="97" spans="1:21" ht="19" customHeight="1">
      <c r="A97" s="346" t="s">
        <v>2522</v>
      </c>
      <c r="B97" s="346" t="s">
        <v>5776</v>
      </c>
      <c r="C97" s="342" t="s">
        <v>6747</v>
      </c>
      <c r="D97" s="343" t="s">
        <v>6705</v>
      </c>
      <c r="E97" s="343" t="s">
        <v>6706</v>
      </c>
      <c r="F97" s="355">
        <v>14</v>
      </c>
      <c r="G97" s="357" t="s">
        <v>5957</v>
      </c>
      <c r="H97" s="357" t="s">
        <v>6252</v>
      </c>
      <c r="I97" s="343"/>
      <c r="J97" s="343"/>
      <c r="K97" s="342"/>
      <c r="L97" s="342"/>
      <c r="M97" s="342" t="s">
        <v>4</v>
      </c>
      <c r="N97" s="342" t="s">
        <v>6507</v>
      </c>
      <c r="O97" s="342" t="s">
        <v>6508</v>
      </c>
      <c r="P97" s="342"/>
      <c r="Q97" s="402" t="s">
        <v>6787</v>
      </c>
      <c r="R97" s="402" t="s">
        <v>6845</v>
      </c>
      <c r="S97" s="402" t="s">
        <v>6845</v>
      </c>
      <c r="T97" s="402" t="s">
        <v>6836</v>
      </c>
      <c r="U97" s="403">
        <f t="shared" si="1"/>
        <v>14</v>
      </c>
    </row>
    <row r="98" spans="1:21" ht="19" customHeight="1">
      <c r="A98" s="346" t="s">
        <v>2522</v>
      </c>
      <c r="B98" s="346" t="s">
        <v>5777</v>
      </c>
      <c r="C98" s="342" t="s">
        <v>6747</v>
      </c>
      <c r="D98" s="343" t="s">
        <v>6707</v>
      </c>
      <c r="E98" s="343" t="s">
        <v>6706</v>
      </c>
      <c r="F98" s="355">
        <v>12</v>
      </c>
      <c r="G98" s="357" t="s">
        <v>5957</v>
      </c>
      <c r="H98" s="357" t="s">
        <v>6252</v>
      </c>
      <c r="I98" s="343"/>
      <c r="J98" s="343"/>
      <c r="K98" s="342"/>
      <c r="L98" s="342"/>
      <c r="M98" s="342" t="s">
        <v>4</v>
      </c>
      <c r="N98" s="342" t="s">
        <v>6507</v>
      </c>
      <c r="O98" s="342" t="s">
        <v>6508</v>
      </c>
      <c r="P98" s="342"/>
      <c r="Q98" s="402" t="s">
        <v>6787</v>
      </c>
      <c r="R98" s="402" t="s">
        <v>6845</v>
      </c>
      <c r="S98" s="402" t="s">
        <v>6845</v>
      </c>
      <c r="T98" s="402" t="s">
        <v>6836</v>
      </c>
      <c r="U98" s="403">
        <f t="shared" si="1"/>
        <v>12</v>
      </c>
    </row>
    <row r="99" spans="1:21" ht="19" customHeight="1">
      <c r="A99" s="346" t="s">
        <v>2522</v>
      </c>
      <c r="B99" s="346" t="s">
        <v>5778</v>
      </c>
      <c r="C99" s="342" t="s">
        <v>6747</v>
      </c>
      <c r="D99" s="343" t="s">
        <v>6708</v>
      </c>
      <c r="E99" s="343" t="s">
        <v>6706</v>
      </c>
      <c r="F99" s="355">
        <v>20</v>
      </c>
      <c r="G99" s="357" t="s">
        <v>5957</v>
      </c>
      <c r="H99" s="357" t="s">
        <v>6252</v>
      </c>
      <c r="I99" s="343"/>
      <c r="J99" s="343"/>
      <c r="K99" s="342"/>
      <c r="L99" s="342"/>
      <c r="M99" s="342" t="s">
        <v>4</v>
      </c>
      <c r="N99" s="342" t="s">
        <v>6507</v>
      </c>
      <c r="O99" s="342" t="s">
        <v>6508</v>
      </c>
      <c r="P99" s="342"/>
      <c r="Q99" s="402" t="s">
        <v>6787</v>
      </c>
      <c r="R99" s="402" t="s">
        <v>6845</v>
      </c>
      <c r="S99" s="402" t="s">
        <v>6845</v>
      </c>
      <c r="T99" s="402" t="s">
        <v>6836</v>
      </c>
      <c r="U99" s="403">
        <f t="shared" si="1"/>
        <v>20</v>
      </c>
    </row>
    <row r="100" spans="1:21" ht="19" customHeight="1">
      <c r="A100" s="346" t="s">
        <v>2522</v>
      </c>
      <c r="B100" s="346" t="s">
        <v>5779</v>
      </c>
      <c r="C100" s="342" t="s">
        <v>6747</v>
      </c>
      <c r="D100" s="343" t="s">
        <v>6709</v>
      </c>
      <c r="E100" s="343" t="s">
        <v>6706</v>
      </c>
      <c r="F100" s="355">
        <v>18</v>
      </c>
      <c r="G100" s="357" t="s">
        <v>5957</v>
      </c>
      <c r="H100" s="357" t="s">
        <v>6252</v>
      </c>
      <c r="I100" s="343"/>
      <c r="J100" s="343"/>
      <c r="K100" s="342"/>
      <c r="L100" s="342"/>
      <c r="M100" s="342" t="s">
        <v>4</v>
      </c>
      <c r="N100" s="342" t="s">
        <v>6507</v>
      </c>
      <c r="O100" s="342" t="s">
        <v>6508</v>
      </c>
      <c r="P100" s="342"/>
      <c r="Q100" s="402" t="s">
        <v>6787</v>
      </c>
      <c r="R100" s="402" t="s">
        <v>6845</v>
      </c>
      <c r="S100" s="402" t="s">
        <v>6845</v>
      </c>
      <c r="T100" s="402" t="s">
        <v>6836</v>
      </c>
      <c r="U100" s="403">
        <f t="shared" si="1"/>
        <v>18</v>
      </c>
    </row>
    <row r="101" spans="1:21" ht="19" customHeight="1">
      <c r="A101" s="346" t="s">
        <v>2522</v>
      </c>
      <c r="B101" s="346" t="s">
        <v>5780</v>
      </c>
      <c r="C101" s="342" t="s">
        <v>6747</v>
      </c>
      <c r="D101" s="343" t="s">
        <v>6742</v>
      </c>
      <c r="E101" s="343" t="s">
        <v>6710</v>
      </c>
      <c r="F101" s="355">
        <v>5</v>
      </c>
      <c r="G101" s="357" t="s">
        <v>5957</v>
      </c>
      <c r="H101" s="357" t="s">
        <v>6252</v>
      </c>
      <c r="I101" s="343"/>
      <c r="J101" s="343"/>
      <c r="K101" s="342"/>
      <c r="L101" s="342"/>
      <c r="M101" s="342" t="s">
        <v>4</v>
      </c>
      <c r="N101" s="342" t="s">
        <v>6507</v>
      </c>
      <c r="O101" s="342" t="s">
        <v>6508</v>
      </c>
      <c r="P101" s="342"/>
      <c r="Q101" s="402" t="s">
        <v>6787</v>
      </c>
      <c r="R101" s="402" t="s">
        <v>6845</v>
      </c>
      <c r="S101" s="402" t="s">
        <v>6845</v>
      </c>
      <c r="T101" s="402" t="s">
        <v>6836</v>
      </c>
      <c r="U101" s="403">
        <f t="shared" si="1"/>
        <v>5</v>
      </c>
    </row>
    <row r="102" spans="1:21" ht="19" customHeight="1">
      <c r="A102" s="346" t="s">
        <v>2522</v>
      </c>
      <c r="B102" s="346" t="s">
        <v>5781</v>
      </c>
      <c r="C102" s="342" t="s">
        <v>5782</v>
      </c>
      <c r="D102" s="343" t="s">
        <v>5783</v>
      </c>
      <c r="E102" s="343" t="s">
        <v>6711</v>
      </c>
      <c r="F102" s="355">
        <v>4</v>
      </c>
      <c r="G102" s="357" t="s">
        <v>5957</v>
      </c>
      <c r="H102" s="357" t="s">
        <v>6252</v>
      </c>
      <c r="I102" s="343"/>
      <c r="J102" s="343"/>
      <c r="K102" s="342"/>
      <c r="L102" s="342"/>
      <c r="M102" s="342" t="s">
        <v>4</v>
      </c>
      <c r="N102" s="342" t="s">
        <v>6507</v>
      </c>
      <c r="O102" s="342" t="s">
        <v>6508</v>
      </c>
      <c r="P102" s="342"/>
      <c r="Q102" s="402" t="s">
        <v>6787</v>
      </c>
      <c r="R102" s="402" t="s">
        <v>6845</v>
      </c>
      <c r="S102" s="402" t="s">
        <v>6845</v>
      </c>
      <c r="T102" s="402" t="s">
        <v>6836</v>
      </c>
      <c r="U102" s="403">
        <f t="shared" si="1"/>
        <v>4</v>
      </c>
    </row>
    <row r="103" spans="1:21" ht="19" customHeight="1">
      <c r="A103" s="346" t="s">
        <v>2522</v>
      </c>
      <c r="B103" s="346" t="s">
        <v>5784</v>
      </c>
      <c r="C103" s="342" t="s">
        <v>5782</v>
      </c>
      <c r="D103" s="343" t="s">
        <v>5785</v>
      </c>
      <c r="E103" s="343" t="s">
        <v>6712</v>
      </c>
      <c r="F103" s="355">
        <v>4</v>
      </c>
      <c r="G103" s="357" t="s">
        <v>5957</v>
      </c>
      <c r="H103" s="357" t="s">
        <v>6252</v>
      </c>
      <c r="I103" s="343"/>
      <c r="J103" s="343"/>
      <c r="K103" s="342"/>
      <c r="L103" s="342"/>
      <c r="M103" s="342" t="s">
        <v>4</v>
      </c>
      <c r="N103" s="342" t="s">
        <v>6507</v>
      </c>
      <c r="O103" s="342" t="s">
        <v>6508</v>
      </c>
      <c r="P103" s="342"/>
      <c r="Q103" s="402" t="s">
        <v>6787</v>
      </c>
      <c r="R103" s="402" t="s">
        <v>6845</v>
      </c>
      <c r="S103" s="402" t="s">
        <v>6845</v>
      </c>
      <c r="T103" s="402" t="s">
        <v>6836</v>
      </c>
      <c r="U103" s="403">
        <f t="shared" si="1"/>
        <v>4</v>
      </c>
    </row>
    <row r="104" spans="1:21" ht="19" customHeight="1">
      <c r="A104" s="346" t="s">
        <v>2522</v>
      </c>
      <c r="B104" s="346" t="s">
        <v>5786</v>
      </c>
      <c r="C104" s="342" t="s">
        <v>5782</v>
      </c>
      <c r="D104" s="343" t="s">
        <v>5787</v>
      </c>
      <c r="E104" s="343" t="s">
        <v>6711</v>
      </c>
      <c r="F104" s="355">
        <v>4</v>
      </c>
      <c r="G104" s="357" t="s">
        <v>5957</v>
      </c>
      <c r="H104" s="357" t="s">
        <v>6252</v>
      </c>
      <c r="I104" s="343"/>
      <c r="J104" s="343"/>
      <c r="K104" s="342"/>
      <c r="L104" s="342"/>
      <c r="M104" s="342" t="s">
        <v>4</v>
      </c>
      <c r="N104" s="342" t="s">
        <v>6507</v>
      </c>
      <c r="O104" s="342" t="s">
        <v>6508</v>
      </c>
      <c r="P104" s="342"/>
      <c r="Q104" s="402" t="s">
        <v>6787</v>
      </c>
      <c r="R104" s="402" t="s">
        <v>6845</v>
      </c>
      <c r="S104" s="402" t="s">
        <v>6845</v>
      </c>
      <c r="T104" s="402" t="s">
        <v>6836</v>
      </c>
      <c r="U104" s="403">
        <f t="shared" si="1"/>
        <v>4</v>
      </c>
    </row>
    <row r="105" spans="1:21" ht="19" customHeight="1">
      <c r="A105" s="346" t="s">
        <v>2522</v>
      </c>
      <c r="B105" s="346" t="s">
        <v>5788</v>
      </c>
      <c r="C105" s="342" t="s">
        <v>5782</v>
      </c>
      <c r="D105" s="343" t="s">
        <v>5789</v>
      </c>
      <c r="E105" s="343" t="s">
        <v>6712</v>
      </c>
      <c r="F105" s="355">
        <v>4</v>
      </c>
      <c r="G105" s="357" t="s">
        <v>5957</v>
      </c>
      <c r="H105" s="357" t="s">
        <v>6252</v>
      </c>
      <c r="I105" s="343"/>
      <c r="J105" s="343"/>
      <c r="K105" s="342"/>
      <c r="L105" s="342"/>
      <c r="M105" s="342" t="s">
        <v>4</v>
      </c>
      <c r="N105" s="342" t="s">
        <v>6507</v>
      </c>
      <c r="O105" s="342" t="s">
        <v>6508</v>
      </c>
      <c r="P105" s="342"/>
      <c r="Q105" s="402" t="s">
        <v>6787</v>
      </c>
      <c r="R105" s="402" t="s">
        <v>6845</v>
      </c>
      <c r="S105" s="402" t="s">
        <v>6845</v>
      </c>
      <c r="T105" s="402" t="s">
        <v>6836</v>
      </c>
      <c r="U105" s="403">
        <f t="shared" si="1"/>
        <v>4</v>
      </c>
    </row>
    <row r="106" spans="1:21" ht="19" customHeight="1">
      <c r="A106" s="346" t="s">
        <v>2522</v>
      </c>
      <c r="B106" s="346" t="s">
        <v>5790</v>
      </c>
      <c r="C106" s="342" t="s">
        <v>5782</v>
      </c>
      <c r="D106" s="343" t="s">
        <v>6743</v>
      </c>
      <c r="E106" s="343" t="s">
        <v>6713</v>
      </c>
      <c r="F106" s="355">
        <v>5</v>
      </c>
      <c r="G106" s="357" t="s">
        <v>5957</v>
      </c>
      <c r="H106" s="357" t="s">
        <v>6252</v>
      </c>
      <c r="I106" s="343"/>
      <c r="J106" s="343"/>
      <c r="K106" s="342"/>
      <c r="L106" s="342"/>
      <c r="M106" s="342" t="s">
        <v>4</v>
      </c>
      <c r="N106" s="342" t="s">
        <v>6507</v>
      </c>
      <c r="O106" s="342" t="s">
        <v>6508</v>
      </c>
      <c r="P106" s="342"/>
      <c r="Q106" s="402" t="s">
        <v>6787</v>
      </c>
      <c r="R106" s="402" t="s">
        <v>6845</v>
      </c>
      <c r="S106" s="402" t="s">
        <v>6845</v>
      </c>
      <c r="T106" s="402" t="s">
        <v>6836</v>
      </c>
      <c r="U106" s="403">
        <f t="shared" si="1"/>
        <v>5</v>
      </c>
    </row>
    <row r="107" spans="1:21" ht="19" customHeight="1">
      <c r="A107" s="346" t="s">
        <v>2522</v>
      </c>
      <c r="B107" s="346" t="s">
        <v>5791</v>
      </c>
      <c r="C107" s="342" t="s">
        <v>5782</v>
      </c>
      <c r="D107" s="343" t="s">
        <v>6744</v>
      </c>
      <c r="E107" s="343" t="s">
        <v>6714</v>
      </c>
      <c r="F107" s="355">
        <v>8</v>
      </c>
      <c r="G107" s="357" t="s">
        <v>5957</v>
      </c>
      <c r="H107" s="357" t="s">
        <v>6252</v>
      </c>
      <c r="I107" s="343"/>
      <c r="J107" s="343"/>
      <c r="K107" s="342"/>
      <c r="L107" s="342"/>
      <c r="M107" s="342" t="s">
        <v>4</v>
      </c>
      <c r="N107" s="342" t="s">
        <v>6507</v>
      </c>
      <c r="O107" s="342" t="s">
        <v>6508</v>
      </c>
      <c r="P107" s="342"/>
      <c r="Q107" s="402" t="s">
        <v>6787</v>
      </c>
      <c r="R107" s="402" t="s">
        <v>6845</v>
      </c>
      <c r="S107" s="402" t="s">
        <v>6845</v>
      </c>
      <c r="T107" s="402" t="s">
        <v>6836</v>
      </c>
      <c r="U107" s="403">
        <f t="shared" si="1"/>
        <v>8</v>
      </c>
    </row>
    <row r="108" spans="1:21" ht="19" customHeight="1">
      <c r="A108" s="346" t="s">
        <v>5796</v>
      </c>
      <c r="B108" s="346" t="s">
        <v>2229</v>
      </c>
      <c r="C108" s="342" t="s">
        <v>503</v>
      </c>
      <c r="D108" s="343" t="s">
        <v>2230</v>
      </c>
      <c r="E108" s="343" t="s">
        <v>5797</v>
      </c>
      <c r="F108" s="355">
        <v>4</v>
      </c>
      <c r="G108" s="357"/>
      <c r="H108" s="357"/>
      <c r="I108" s="343" t="s">
        <v>5375</v>
      </c>
      <c r="J108" s="343" t="s">
        <v>2232</v>
      </c>
      <c r="K108" s="342" t="s">
        <v>2231</v>
      </c>
      <c r="L108" s="342" t="s">
        <v>2442</v>
      </c>
      <c r="M108" s="342" t="s">
        <v>2234</v>
      </c>
      <c r="N108" s="342" t="s">
        <v>2235</v>
      </c>
      <c r="O108" s="342" t="s">
        <v>2443</v>
      </c>
      <c r="P108" s="342" t="s">
        <v>5798</v>
      </c>
      <c r="Q108" s="402" t="s">
        <v>6787</v>
      </c>
      <c r="R108" s="402" t="s">
        <v>6845</v>
      </c>
      <c r="S108" s="402" t="s">
        <v>6845</v>
      </c>
      <c r="T108" s="402" t="s">
        <v>6836</v>
      </c>
      <c r="U108" s="403">
        <f t="shared" si="1"/>
        <v>2.4</v>
      </c>
    </row>
    <row r="109" spans="1:21" ht="19" customHeight="1">
      <c r="A109" s="346" t="s">
        <v>5796</v>
      </c>
      <c r="B109" s="346" t="s">
        <v>2236</v>
      </c>
      <c r="C109" s="342" t="s">
        <v>503</v>
      </c>
      <c r="D109" s="343" t="s">
        <v>2237</v>
      </c>
      <c r="E109" s="343" t="s">
        <v>5799</v>
      </c>
      <c r="F109" s="355">
        <v>10</v>
      </c>
      <c r="G109" s="357"/>
      <c r="H109" s="357"/>
      <c r="I109" s="343" t="s">
        <v>5376</v>
      </c>
      <c r="J109" s="343" t="s">
        <v>2238</v>
      </c>
      <c r="K109" s="342" t="s">
        <v>2231</v>
      </c>
      <c r="L109" s="342" t="s">
        <v>2442</v>
      </c>
      <c r="M109" s="342" t="s">
        <v>2239</v>
      </c>
      <c r="N109" s="342" t="s">
        <v>2235</v>
      </c>
      <c r="O109" s="342" t="s">
        <v>2443</v>
      </c>
      <c r="P109" s="342" t="s">
        <v>5800</v>
      </c>
      <c r="Q109" s="402" t="s">
        <v>6787</v>
      </c>
      <c r="R109" s="402" t="s">
        <v>6845</v>
      </c>
      <c r="S109" s="402" t="s">
        <v>6845</v>
      </c>
      <c r="T109" s="402" t="s">
        <v>6836</v>
      </c>
      <c r="U109" s="403">
        <f t="shared" si="1"/>
        <v>6</v>
      </c>
    </row>
    <row r="110" spans="1:21" ht="19" customHeight="1">
      <c r="A110" s="346" t="s">
        <v>5796</v>
      </c>
      <c r="B110" s="346" t="s">
        <v>2240</v>
      </c>
      <c r="C110" s="342" t="s">
        <v>503</v>
      </c>
      <c r="D110" s="343" t="s">
        <v>2241</v>
      </c>
      <c r="E110" s="343" t="s">
        <v>5801</v>
      </c>
      <c r="F110" s="355">
        <v>11</v>
      </c>
      <c r="G110" s="357"/>
      <c r="H110" s="357"/>
      <c r="I110" s="343" t="s">
        <v>5377</v>
      </c>
      <c r="J110" s="343" t="s">
        <v>2242</v>
      </c>
      <c r="K110" s="342" t="s">
        <v>2231</v>
      </c>
      <c r="L110" s="342" t="s">
        <v>2442</v>
      </c>
      <c r="M110" s="342" t="s">
        <v>2239</v>
      </c>
      <c r="N110" s="342" t="s">
        <v>2235</v>
      </c>
      <c r="O110" s="342" t="s">
        <v>2443</v>
      </c>
      <c r="P110" s="342" t="s">
        <v>5800</v>
      </c>
      <c r="Q110" s="402" t="s">
        <v>6787</v>
      </c>
      <c r="R110" s="402" t="s">
        <v>6845</v>
      </c>
      <c r="S110" s="402" t="s">
        <v>6845</v>
      </c>
      <c r="T110" s="402" t="s">
        <v>6836</v>
      </c>
      <c r="U110" s="403">
        <f t="shared" si="1"/>
        <v>6.6</v>
      </c>
    </row>
    <row r="111" spans="1:21" ht="19" customHeight="1">
      <c r="A111" s="346" t="s">
        <v>5796</v>
      </c>
      <c r="B111" s="346" t="s">
        <v>2242</v>
      </c>
      <c r="C111" s="342" t="s">
        <v>503</v>
      </c>
      <c r="D111" s="343" t="s">
        <v>2243</v>
      </c>
      <c r="E111" s="343" t="s">
        <v>5802</v>
      </c>
      <c r="F111" s="355">
        <v>24</v>
      </c>
      <c r="G111" s="357"/>
      <c r="H111" s="357"/>
      <c r="I111" s="343" t="s">
        <v>5378</v>
      </c>
      <c r="J111" s="343" t="s">
        <v>2240</v>
      </c>
      <c r="K111" s="342" t="s">
        <v>2244</v>
      </c>
      <c r="L111" s="342" t="s">
        <v>2442</v>
      </c>
      <c r="M111" s="342" t="s">
        <v>2239</v>
      </c>
      <c r="N111" s="342" t="s">
        <v>2235</v>
      </c>
      <c r="O111" s="342" t="s">
        <v>2443</v>
      </c>
      <c r="P111" s="342" t="s">
        <v>5803</v>
      </c>
      <c r="Q111" s="402" t="s">
        <v>6787</v>
      </c>
      <c r="R111" s="402" t="s">
        <v>6845</v>
      </c>
      <c r="S111" s="402" t="s">
        <v>6845</v>
      </c>
      <c r="T111" s="402" t="s">
        <v>6836</v>
      </c>
      <c r="U111" s="403">
        <f t="shared" si="1"/>
        <v>14.399999999999999</v>
      </c>
    </row>
    <row r="112" spans="1:21" ht="19" customHeight="1">
      <c r="A112" s="346" t="s">
        <v>5796</v>
      </c>
      <c r="B112" s="346" t="s">
        <v>2245</v>
      </c>
      <c r="C112" s="342" t="s">
        <v>503</v>
      </c>
      <c r="D112" s="343" t="s">
        <v>2246</v>
      </c>
      <c r="E112" s="343" t="s">
        <v>5958</v>
      </c>
      <c r="F112" s="355">
        <v>4</v>
      </c>
      <c r="G112" s="357"/>
      <c r="H112" s="357"/>
      <c r="I112" s="343" t="s">
        <v>5379</v>
      </c>
      <c r="J112" s="343" t="s">
        <v>2247</v>
      </c>
      <c r="K112" s="342" t="s">
        <v>2231</v>
      </c>
      <c r="L112" s="342" t="s">
        <v>2442</v>
      </c>
      <c r="M112" s="342" t="s">
        <v>2234</v>
      </c>
      <c r="N112" s="342" t="s">
        <v>2235</v>
      </c>
      <c r="O112" s="342" t="s">
        <v>2443</v>
      </c>
      <c r="P112" s="342" t="s">
        <v>5798</v>
      </c>
      <c r="Q112" s="402" t="s">
        <v>6787</v>
      </c>
      <c r="R112" s="402" t="s">
        <v>6845</v>
      </c>
      <c r="S112" s="402" t="s">
        <v>6845</v>
      </c>
      <c r="T112" s="402" t="s">
        <v>6836</v>
      </c>
      <c r="U112" s="403">
        <f t="shared" si="1"/>
        <v>2.4</v>
      </c>
    </row>
    <row r="113" spans="1:21" ht="19" customHeight="1">
      <c r="A113" s="346" t="s">
        <v>5796</v>
      </c>
      <c r="B113" s="346" t="s">
        <v>2248</v>
      </c>
      <c r="C113" s="342" t="s">
        <v>503</v>
      </c>
      <c r="D113" s="343" t="s">
        <v>2249</v>
      </c>
      <c r="E113" s="343" t="s">
        <v>5804</v>
      </c>
      <c r="F113" s="355">
        <v>9</v>
      </c>
      <c r="G113" s="357"/>
      <c r="H113" s="357"/>
      <c r="I113" s="343" t="s">
        <v>5380</v>
      </c>
      <c r="J113" s="343" t="s">
        <v>2229</v>
      </c>
      <c r="K113" s="342" t="s">
        <v>2231</v>
      </c>
      <c r="L113" s="342" t="s">
        <v>2442</v>
      </c>
      <c r="M113" s="342" t="s">
        <v>2239</v>
      </c>
      <c r="N113" s="342" t="s">
        <v>2235</v>
      </c>
      <c r="O113" s="342" t="s">
        <v>2443</v>
      </c>
      <c r="P113" s="342" t="s">
        <v>5805</v>
      </c>
      <c r="Q113" s="402" t="s">
        <v>6787</v>
      </c>
      <c r="R113" s="402" t="s">
        <v>6845</v>
      </c>
      <c r="S113" s="402" t="s">
        <v>6845</v>
      </c>
      <c r="T113" s="402" t="s">
        <v>6836</v>
      </c>
      <c r="U113" s="403">
        <f t="shared" si="1"/>
        <v>5.3999999999999995</v>
      </c>
    </row>
    <row r="114" spans="1:21" ht="19" customHeight="1">
      <c r="A114" s="346" t="s">
        <v>5796</v>
      </c>
      <c r="B114" s="346" t="s">
        <v>2250</v>
      </c>
      <c r="C114" s="342" t="s">
        <v>503</v>
      </c>
      <c r="D114" s="343" t="s">
        <v>2251</v>
      </c>
      <c r="E114" s="343" t="s">
        <v>5806</v>
      </c>
      <c r="F114" s="355">
        <v>4</v>
      </c>
      <c r="G114" s="357"/>
      <c r="H114" s="357"/>
      <c r="I114" s="343" t="s">
        <v>5381</v>
      </c>
      <c r="J114" s="343" t="s">
        <v>2229</v>
      </c>
      <c r="K114" s="342" t="s">
        <v>2231</v>
      </c>
      <c r="L114" s="342" t="s">
        <v>2442</v>
      </c>
      <c r="M114" s="342" t="s">
        <v>2234</v>
      </c>
      <c r="N114" s="342" t="s">
        <v>2235</v>
      </c>
      <c r="O114" s="342" t="s">
        <v>2443</v>
      </c>
      <c r="P114" s="342" t="s">
        <v>5798</v>
      </c>
      <c r="Q114" s="402" t="s">
        <v>6787</v>
      </c>
      <c r="R114" s="402" t="s">
        <v>6845</v>
      </c>
      <c r="S114" s="402" t="s">
        <v>6845</v>
      </c>
      <c r="T114" s="402" t="s">
        <v>6836</v>
      </c>
      <c r="U114" s="403">
        <f t="shared" si="1"/>
        <v>2.4</v>
      </c>
    </row>
    <row r="115" spans="1:21" ht="19" customHeight="1">
      <c r="A115" s="346" t="s">
        <v>5796</v>
      </c>
      <c r="B115" s="346" t="s">
        <v>2252</v>
      </c>
      <c r="C115" s="342" t="s">
        <v>503</v>
      </c>
      <c r="D115" s="343" t="s">
        <v>2253</v>
      </c>
      <c r="E115" s="343" t="s">
        <v>5807</v>
      </c>
      <c r="F115" s="355">
        <v>12</v>
      </c>
      <c r="G115" s="357"/>
      <c r="H115" s="357"/>
      <c r="I115" s="343" t="s">
        <v>5382</v>
      </c>
      <c r="J115" s="343" t="s">
        <v>2255</v>
      </c>
      <c r="K115" s="342" t="s">
        <v>2254</v>
      </c>
      <c r="L115" s="342" t="s">
        <v>2442</v>
      </c>
      <c r="M115" s="342" t="s">
        <v>2239</v>
      </c>
      <c r="N115" s="342" t="s">
        <v>2235</v>
      </c>
      <c r="O115" s="342" t="s">
        <v>2443</v>
      </c>
      <c r="P115" s="342" t="s">
        <v>5808</v>
      </c>
      <c r="Q115" s="402" t="s">
        <v>6787</v>
      </c>
      <c r="R115" s="402" t="s">
        <v>6845</v>
      </c>
      <c r="S115" s="402" t="s">
        <v>6845</v>
      </c>
      <c r="T115" s="402" t="s">
        <v>6836</v>
      </c>
      <c r="U115" s="403">
        <f t="shared" si="1"/>
        <v>7.1999999999999993</v>
      </c>
    </row>
    <row r="116" spans="1:21" ht="19" customHeight="1">
      <c r="A116" s="346" t="s">
        <v>5796</v>
      </c>
      <c r="B116" s="346" t="s">
        <v>2444</v>
      </c>
      <c r="C116" s="342" t="s">
        <v>503</v>
      </c>
      <c r="D116" s="343" t="s">
        <v>2445</v>
      </c>
      <c r="E116" s="343" t="s">
        <v>5809</v>
      </c>
      <c r="F116" s="355">
        <v>8</v>
      </c>
      <c r="G116" s="357"/>
      <c r="H116" s="357"/>
      <c r="I116" s="343" t="s">
        <v>5475</v>
      </c>
      <c r="J116" s="343" t="s">
        <v>2229</v>
      </c>
      <c r="K116" s="342" t="s">
        <v>2305</v>
      </c>
      <c r="L116" s="342" t="s">
        <v>2446</v>
      </c>
      <c r="M116" s="342" t="s">
        <v>2447</v>
      </c>
      <c r="N116" s="342" t="s">
        <v>2448</v>
      </c>
      <c r="O116" s="342" t="s">
        <v>2449</v>
      </c>
      <c r="P116" s="342" t="s">
        <v>5810</v>
      </c>
      <c r="Q116" s="402" t="s">
        <v>6787</v>
      </c>
      <c r="R116" s="402" t="s">
        <v>6845</v>
      </c>
      <c r="S116" s="402" t="s">
        <v>6845</v>
      </c>
      <c r="T116" s="402" t="s">
        <v>6836</v>
      </c>
      <c r="U116" s="403">
        <f t="shared" si="1"/>
        <v>4.8</v>
      </c>
    </row>
    <row r="117" spans="1:21" ht="19" customHeight="1">
      <c r="A117" s="346" t="s">
        <v>5796</v>
      </c>
      <c r="B117" s="346" t="s">
        <v>2450</v>
      </c>
      <c r="C117" s="342" t="s">
        <v>503</v>
      </c>
      <c r="D117" s="343" t="s">
        <v>2451</v>
      </c>
      <c r="E117" s="343" t="s">
        <v>5811</v>
      </c>
      <c r="F117" s="355">
        <v>10</v>
      </c>
      <c r="G117" s="357"/>
      <c r="H117" s="357"/>
      <c r="I117" s="343" t="s">
        <v>5383</v>
      </c>
      <c r="J117" s="343" t="s">
        <v>2236</v>
      </c>
      <c r="K117" s="342" t="s">
        <v>2231</v>
      </c>
      <c r="L117" s="342" t="s">
        <v>2442</v>
      </c>
      <c r="M117" s="342" t="s">
        <v>2234</v>
      </c>
      <c r="N117" s="342" t="s">
        <v>2448</v>
      </c>
      <c r="O117" s="342" t="s">
        <v>2452</v>
      </c>
      <c r="P117" s="342" t="s">
        <v>5812</v>
      </c>
      <c r="Q117" s="402" t="s">
        <v>6787</v>
      </c>
      <c r="R117" s="402" t="s">
        <v>6845</v>
      </c>
      <c r="S117" s="402" t="s">
        <v>6845</v>
      </c>
      <c r="T117" s="402" t="s">
        <v>6836</v>
      </c>
      <c r="U117" s="403">
        <f t="shared" si="1"/>
        <v>6</v>
      </c>
    </row>
    <row r="118" spans="1:21" ht="19" customHeight="1">
      <c r="A118" s="346" t="s">
        <v>5796</v>
      </c>
      <c r="B118" s="346" t="s">
        <v>2256</v>
      </c>
      <c r="C118" s="342" t="s">
        <v>510</v>
      </c>
      <c r="D118" s="343" t="s">
        <v>2257</v>
      </c>
      <c r="E118" s="343" t="s">
        <v>5813</v>
      </c>
      <c r="F118" s="355">
        <v>10</v>
      </c>
      <c r="G118" s="357"/>
      <c r="H118" s="357"/>
      <c r="I118" s="343" t="s">
        <v>5384</v>
      </c>
      <c r="J118" s="343" t="s">
        <v>2259</v>
      </c>
      <c r="K118" s="342" t="s">
        <v>2258</v>
      </c>
      <c r="L118" s="342" t="s">
        <v>2442</v>
      </c>
      <c r="M118" s="342" t="s">
        <v>2234</v>
      </c>
      <c r="N118" s="342" t="s">
        <v>2235</v>
      </c>
      <c r="O118" s="342" t="s">
        <v>2443</v>
      </c>
      <c r="P118" s="342" t="s">
        <v>5812</v>
      </c>
      <c r="Q118" s="402" t="s">
        <v>6787</v>
      </c>
      <c r="R118" s="402" t="s">
        <v>6845</v>
      </c>
      <c r="S118" s="402" t="s">
        <v>6845</v>
      </c>
      <c r="T118" s="402" t="s">
        <v>6836</v>
      </c>
      <c r="U118" s="403">
        <f t="shared" si="1"/>
        <v>6</v>
      </c>
    </row>
    <row r="119" spans="1:21" ht="19" customHeight="1">
      <c r="A119" s="346" t="s">
        <v>5796</v>
      </c>
      <c r="B119" s="346" t="s">
        <v>2260</v>
      </c>
      <c r="C119" s="342" t="s">
        <v>510</v>
      </c>
      <c r="D119" s="343" t="s">
        <v>2261</v>
      </c>
      <c r="E119" s="343" t="s">
        <v>5814</v>
      </c>
      <c r="F119" s="355">
        <v>11</v>
      </c>
      <c r="G119" s="357"/>
      <c r="H119" s="357"/>
      <c r="I119" s="343" t="s">
        <v>5385</v>
      </c>
      <c r="J119" s="343" t="s">
        <v>2242</v>
      </c>
      <c r="K119" s="342" t="s">
        <v>2262</v>
      </c>
      <c r="L119" s="342" t="s">
        <v>2442</v>
      </c>
      <c r="M119" s="342" t="s">
        <v>2239</v>
      </c>
      <c r="N119" s="342" t="s">
        <v>2235</v>
      </c>
      <c r="O119" s="342" t="s">
        <v>2443</v>
      </c>
      <c r="P119" s="342" t="s">
        <v>5800</v>
      </c>
      <c r="Q119" s="402" t="s">
        <v>6787</v>
      </c>
      <c r="R119" s="402" t="s">
        <v>6845</v>
      </c>
      <c r="S119" s="402" t="s">
        <v>6845</v>
      </c>
      <c r="T119" s="402" t="s">
        <v>6836</v>
      </c>
      <c r="U119" s="403">
        <f t="shared" si="1"/>
        <v>6.6</v>
      </c>
    </row>
    <row r="120" spans="1:21" ht="19" customHeight="1">
      <c r="A120" s="346" t="s">
        <v>5796</v>
      </c>
      <c r="B120" s="346" t="s">
        <v>2263</v>
      </c>
      <c r="C120" s="342" t="s">
        <v>510</v>
      </c>
      <c r="D120" s="343" t="s">
        <v>2264</v>
      </c>
      <c r="E120" s="343" t="s">
        <v>5815</v>
      </c>
      <c r="F120" s="355">
        <v>22</v>
      </c>
      <c r="G120" s="357"/>
      <c r="H120" s="357"/>
      <c r="I120" s="343" t="s">
        <v>5386</v>
      </c>
      <c r="J120" s="343" t="s">
        <v>2256</v>
      </c>
      <c r="K120" s="342" t="s">
        <v>2265</v>
      </c>
      <c r="L120" s="342" t="s">
        <v>2442</v>
      </c>
      <c r="M120" s="342" t="s">
        <v>2239</v>
      </c>
      <c r="N120" s="342" t="s">
        <v>2235</v>
      </c>
      <c r="O120" s="342" t="s">
        <v>2443</v>
      </c>
      <c r="P120" s="342" t="s">
        <v>5816</v>
      </c>
      <c r="Q120" s="402" t="s">
        <v>6787</v>
      </c>
      <c r="R120" s="402" t="s">
        <v>6845</v>
      </c>
      <c r="S120" s="402" t="s">
        <v>6845</v>
      </c>
      <c r="T120" s="402" t="s">
        <v>6836</v>
      </c>
      <c r="U120" s="403">
        <f t="shared" si="1"/>
        <v>13.2</v>
      </c>
    </row>
    <row r="121" spans="1:21" ht="19" customHeight="1">
      <c r="A121" s="346" t="s">
        <v>5796</v>
      </c>
      <c r="B121" s="346" t="s">
        <v>2266</v>
      </c>
      <c r="C121" s="342" t="s">
        <v>510</v>
      </c>
      <c r="D121" s="343" t="s">
        <v>2267</v>
      </c>
      <c r="E121" s="343" t="s">
        <v>5817</v>
      </c>
      <c r="F121" s="355">
        <v>22</v>
      </c>
      <c r="G121" s="357"/>
      <c r="H121" s="357"/>
      <c r="I121" s="343" t="s">
        <v>5387</v>
      </c>
      <c r="J121" s="343" t="s">
        <v>2269</v>
      </c>
      <c r="K121" s="342" t="s">
        <v>2268</v>
      </c>
      <c r="L121" s="342" t="s">
        <v>2442</v>
      </c>
      <c r="M121" s="342" t="s">
        <v>2239</v>
      </c>
      <c r="N121" s="342" t="s">
        <v>2235</v>
      </c>
      <c r="O121" s="342" t="s">
        <v>2443</v>
      </c>
      <c r="P121" s="342" t="s">
        <v>5816</v>
      </c>
      <c r="Q121" s="402" t="s">
        <v>6787</v>
      </c>
      <c r="R121" s="402" t="s">
        <v>6845</v>
      </c>
      <c r="S121" s="402" t="s">
        <v>6845</v>
      </c>
      <c r="T121" s="402" t="s">
        <v>6836</v>
      </c>
      <c r="U121" s="403">
        <f t="shared" si="1"/>
        <v>13.2</v>
      </c>
    </row>
    <row r="122" spans="1:21" ht="19" customHeight="1">
      <c r="A122" s="346" t="s">
        <v>5796</v>
      </c>
      <c r="B122" s="346" t="s">
        <v>2270</v>
      </c>
      <c r="C122" s="342" t="s">
        <v>510</v>
      </c>
      <c r="D122" s="343" t="s">
        <v>2271</v>
      </c>
      <c r="E122" s="343" t="s">
        <v>5818</v>
      </c>
      <c r="F122" s="355">
        <v>12</v>
      </c>
      <c r="G122" s="357"/>
      <c r="H122" s="357"/>
      <c r="I122" s="343" t="s">
        <v>5388</v>
      </c>
      <c r="J122" s="343" t="s">
        <v>2272</v>
      </c>
      <c r="K122" s="342" t="s">
        <v>2265</v>
      </c>
      <c r="L122" s="342" t="s">
        <v>2442</v>
      </c>
      <c r="M122" s="342" t="s">
        <v>2234</v>
      </c>
      <c r="N122" s="342" t="s">
        <v>2235</v>
      </c>
      <c r="O122" s="342" t="s">
        <v>2443</v>
      </c>
      <c r="P122" s="342" t="s">
        <v>5812</v>
      </c>
      <c r="Q122" s="402" t="s">
        <v>6787</v>
      </c>
      <c r="R122" s="402" t="s">
        <v>6845</v>
      </c>
      <c r="S122" s="402" t="s">
        <v>6845</v>
      </c>
      <c r="T122" s="402" t="s">
        <v>6836</v>
      </c>
      <c r="U122" s="403">
        <f t="shared" si="1"/>
        <v>7.1999999999999993</v>
      </c>
    </row>
    <row r="123" spans="1:21" ht="19" customHeight="1">
      <c r="A123" s="346" t="s">
        <v>5796</v>
      </c>
      <c r="B123" s="346" t="s">
        <v>2273</v>
      </c>
      <c r="C123" s="342" t="s">
        <v>510</v>
      </c>
      <c r="D123" s="343" t="s">
        <v>2274</v>
      </c>
      <c r="E123" s="343" t="s">
        <v>5819</v>
      </c>
      <c r="F123" s="355">
        <v>10</v>
      </c>
      <c r="G123" s="357"/>
      <c r="H123" s="357"/>
      <c r="I123" s="343" t="s">
        <v>5389</v>
      </c>
      <c r="J123" s="343" t="s">
        <v>2270</v>
      </c>
      <c r="K123" s="342" t="s">
        <v>2275</v>
      </c>
      <c r="L123" s="342" t="s">
        <v>2442</v>
      </c>
      <c r="M123" s="342" t="s">
        <v>2234</v>
      </c>
      <c r="N123" s="342" t="s">
        <v>2235</v>
      </c>
      <c r="O123" s="342" t="s">
        <v>2443</v>
      </c>
      <c r="P123" s="342" t="s">
        <v>5812</v>
      </c>
      <c r="Q123" s="402" t="s">
        <v>6787</v>
      </c>
      <c r="R123" s="402" t="s">
        <v>6845</v>
      </c>
      <c r="S123" s="402" t="s">
        <v>6845</v>
      </c>
      <c r="T123" s="402" t="s">
        <v>6836</v>
      </c>
      <c r="U123" s="403">
        <f t="shared" si="1"/>
        <v>6</v>
      </c>
    </row>
    <row r="124" spans="1:21" ht="19" customHeight="1">
      <c r="A124" s="346" t="s">
        <v>5796</v>
      </c>
      <c r="B124" s="346" t="s">
        <v>2276</v>
      </c>
      <c r="C124" s="342" t="s">
        <v>510</v>
      </c>
      <c r="D124" s="343" t="s">
        <v>2277</v>
      </c>
      <c r="E124" s="343" t="s">
        <v>5820</v>
      </c>
      <c r="F124" s="355">
        <v>11</v>
      </c>
      <c r="G124" s="357"/>
      <c r="H124" s="357"/>
      <c r="I124" s="343" t="s">
        <v>5390</v>
      </c>
      <c r="J124" s="343" t="s">
        <v>2278</v>
      </c>
      <c r="K124" s="342" t="s">
        <v>2244</v>
      </c>
      <c r="L124" s="342" t="s">
        <v>2442</v>
      </c>
      <c r="M124" s="342" t="s">
        <v>2239</v>
      </c>
      <c r="N124" s="342" t="s">
        <v>2235</v>
      </c>
      <c r="O124" s="342" t="s">
        <v>2443</v>
      </c>
      <c r="P124" s="342" t="s">
        <v>5800</v>
      </c>
      <c r="Q124" s="402" t="s">
        <v>6787</v>
      </c>
      <c r="R124" s="402" t="s">
        <v>6845</v>
      </c>
      <c r="S124" s="402" t="s">
        <v>6845</v>
      </c>
      <c r="T124" s="402" t="s">
        <v>6836</v>
      </c>
      <c r="U124" s="403">
        <f t="shared" si="1"/>
        <v>6.6</v>
      </c>
    </row>
    <row r="125" spans="1:21" ht="19" customHeight="1">
      <c r="A125" s="346" t="s">
        <v>5796</v>
      </c>
      <c r="B125" s="346" t="s">
        <v>2279</v>
      </c>
      <c r="C125" s="342" t="s">
        <v>510</v>
      </c>
      <c r="D125" s="343" t="s">
        <v>2280</v>
      </c>
      <c r="E125" s="343" t="s">
        <v>5821</v>
      </c>
      <c r="F125" s="355">
        <v>12</v>
      </c>
      <c r="G125" s="357"/>
      <c r="H125" s="357"/>
      <c r="I125" s="343" t="s">
        <v>5391</v>
      </c>
      <c r="J125" s="343" t="s">
        <v>2281</v>
      </c>
      <c r="K125" s="342" t="s">
        <v>2265</v>
      </c>
      <c r="L125" s="342" t="s">
        <v>2442</v>
      </c>
      <c r="M125" s="342" t="s">
        <v>2234</v>
      </c>
      <c r="N125" s="342" t="s">
        <v>2235</v>
      </c>
      <c r="O125" s="342" t="s">
        <v>2443</v>
      </c>
      <c r="P125" s="342" t="s">
        <v>5812</v>
      </c>
      <c r="Q125" s="402" t="s">
        <v>6787</v>
      </c>
      <c r="R125" s="402" t="s">
        <v>6845</v>
      </c>
      <c r="S125" s="402" t="s">
        <v>6845</v>
      </c>
      <c r="T125" s="402" t="s">
        <v>6836</v>
      </c>
      <c r="U125" s="403">
        <f t="shared" si="1"/>
        <v>7.1999999999999993</v>
      </c>
    </row>
    <row r="126" spans="1:21" ht="19" customHeight="1">
      <c r="A126" s="346" t="s">
        <v>5796</v>
      </c>
      <c r="B126" s="346" t="s">
        <v>2453</v>
      </c>
      <c r="C126" s="342" t="s">
        <v>510</v>
      </c>
      <c r="D126" s="343" t="s">
        <v>2454</v>
      </c>
      <c r="E126" s="343" t="s">
        <v>5822</v>
      </c>
      <c r="F126" s="355">
        <v>9</v>
      </c>
      <c r="G126" s="357"/>
      <c r="H126" s="357"/>
      <c r="I126" s="343" t="s">
        <v>5392</v>
      </c>
      <c r="J126" s="343" t="s">
        <v>2270</v>
      </c>
      <c r="K126" s="342" t="s">
        <v>2265</v>
      </c>
      <c r="L126" s="342" t="s">
        <v>2442</v>
      </c>
      <c r="M126" s="342" t="s">
        <v>2234</v>
      </c>
      <c r="N126" s="342" t="s">
        <v>2448</v>
      </c>
      <c r="O126" s="342" t="s">
        <v>916</v>
      </c>
      <c r="P126" s="342" t="s">
        <v>5812</v>
      </c>
      <c r="Q126" s="402" t="s">
        <v>6787</v>
      </c>
      <c r="R126" s="402" t="s">
        <v>6845</v>
      </c>
      <c r="S126" s="402" t="s">
        <v>6845</v>
      </c>
      <c r="T126" s="402" t="s">
        <v>6836</v>
      </c>
      <c r="U126" s="403">
        <f t="shared" si="1"/>
        <v>5.3999999999999995</v>
      </c>
    </row>
    <row r="127" spans="1:21" ht="19" customHeight="1">
      <c r="A127" s="346" t="s">
        <v>5796</v>
      </c>
      <c r="B127" s="346" t="s">
        <v>2455</v>
      </c>
      <c r="C127" s="342" t="s">
        <v>510</v>
      </c>
      <c r="D127" s="343" t="s">
        <v>2456</v>
      </c>
      <c r="E127" s="343" t="s">
        <v>5823</v>
      </c>
      <c r="F127" s="355">
        <v>9</v>
      </c>
      <c r="G127" s="357"/>
      <c r="H127" s="357"/>
      <c r="I127" s="343" t="s">
        <v>5393</v>
      </c>
      <c r="J127" s="343" t="s">
        <v>2266</v>
      </c>
      <c r="K127" s="342" t="s">
        <v>2265</v>
      </c>
      <c r="L127" s="342" t="s">
        <v>2442</v>
      </c>
      <c r="M127" s="342" t="s">
        <v>2234</v>
      </c>
      <c r="N127" s="342" t="s">
        <v>2448</v>
      </c>
      <c r="O127" s="342" t="s">
        <v>915</v>
      </c>
      <c r="P127" s="342" t="s">
        <v>5812</v>
      </c>
      <c r="Q127" s="402" t="s">
        <v>6787</v>
      </c>
      <c r="R127" s="402" t="s">
        <v>6845</v>
      </c>
      <c r="S127" s="402" t="s">
        <v>6845</v>
      </c>
      <c r="T127" s="402" t="s">
        <v>6836</v>
      </c>
      <c r="U127" s="403">
        <f t="shared" si="1"/>
        <v>5.3999999999999995</v>
      </c>
    </row>
    <row r="128" spans="1:21" ht="19" customHeight="1">
      <c r="A128" s="346" t="s">
        <v>5796</v>
      </c>
      <c r="B128" s="346" t="s">
        <v>2457</v>
      </c>
      <c r="C128" s="342" t="s">
        <v>510</v>
      </c>
      <c r="D128" s="343" t="s">
        <v>2458</v>
      </c>
      <c r="E128" s="343" t="s">
        <v>5824</v>
      </c>
      <c r="F128" s="355">
        <v>6</v>
      </c>
      <c r="G128" s="357"/>
      <c r="H128" s="357"/>
      <c r="I128" s="343" t="s">
        <v>5394</v>
      </c>
      <c r="J128" s="343" t="s">
        <v>2263</v>
      </c>
      <c r="K128" s="342" t="s">
        <v>2305</v>
      </c>
      <c r="L128" s="342" t="s">
        <v>2442</v>
      </c>
      <c r="M128" s="342" t="s">
        <v>2234</v>
      </c>
      <c r="N128" s="342" t="s">
        <v>2448</v>
      </c>
      <c r="O128" s="342" t="s">
        <v>914</v>
      </c>
      <c r="P128" s="342" t="s">
        <v>5798</v>
      </c>
      <c r="Q128" s="402" t="s">
        <v>6787</v>
      </c>
      <c r="R128" s="402" t="s">
        <v>6845</v>
      </c>
      <c r="S128" s="402" t="s">
        <v>6845</v>
      </c>
      <c r="T128" s="402" t="s">
        <v>6836</v>
      </c>
      <c r="U128" s="403">
        <f t="shared" si="1"/>
        <v>3.5999999999999996</v>
      </c>
    </row>
    <row r="129" spans="1:21" ht="19" customHeight="1">
      <c r="A129" s="346" t="s">
        <v>5796</v>
      </c>
      <c r="B129" s="346" t="s">
        <v>2282</v>
      </c>
      <c r="C129" s="342" t="s">
        <v>1047</v>
      </c>
      <c r="D129" s="343" t="s">
        <v>2283</v>
      </c>
      <c r="E129" s="343" t="s">
        <v>5825</v>
      </c>
      <c r="F129" s="355">
        <v>10</v>
      </c>
      <c r="G129" s="357"/>
      <c r="H129" s="357"/>
      <c r="I129" s="343" t="s">
        <v>5395</v>
      </c>
      <c r="J129" s="343" t="s">
        <v>2240</v>
      </c>
      <c r="K129" s="342" t="s">
        <v>2284</v>
      </c>
      <c r="L129" s="342" t="s">
        <v>2442</v>
      </c>
      <c r="M129" s="342" t="s">
        <v>2234</v>
      </c>
      <c r="N129" s="342" t="s">
        <v>2235</v>
      </c>
      <c r="O129" s="342" t="s">
        <v>2443</v>
      </c>
      <c r="P129" s="342" t="s">
        <v>5812</v>
      </c>
      <c r="Q129" s="402" t="s">
        <v>6787</v>
      </c>
      <c r="R129" s="402" t="s">
        <v>6845</v>
      </c>
      <c r="S129" s="402" t="s">
        <v>6845</v>
      </c>
      <c r="T129" s="402" t="s">
        <v>6836</v>
      </c>
      <c r="U129" s="403">
        <f t="shared" si="1"/>
        <v>6</v>
      </c>
    </row>
    <row r="130" spans="1:21" ht="19" customHeight="1">
      <c r="A130" s="346" t="s">
        <v>5796</v>
      </c>
      <c r="B130" s="346" t="s">
        <v>2285</v>
      </c>
      <c r="C130" s="342" t="s">
        <v>1047</v>
      </c>
      <c r="D130" s="343" t="s">
        <v>2286</v>
      </c>
      <c r="E130" s="343" t="s">
        <v>5826</v>
      </c>
      <c r="F130" s="355">
        <v>5</v>
      </c>
      <c r="G130" s="357"/>
      <c r="H130" s="357"/>
      <c r="I130" s="343" t="s">
        <v>5396</v>
      </c>
      <c r="J130" s="343" t="s">
        <v>2282</v>
      </c>
      <c r="K130" s="342" t="s">
        <v>2287</v>
      </c>
      <c r="L130" s="342" t="s">
        <v>2442</v>
      </c>
      <c r="M130" s="342" t="s">
        <v>2234</v>
      </c>
      <c r="N130" s="342" t="s">
        <v>2235</v>
      </c>
      <c r="O130" s="342" t="s">
        <v>2443</v>
      </c>
      <c r="P130" s="342" t="s">
        <v>5798</v>
      </c>
      <c r="Q130" s="402" t="s">
        <v>6787</v>
      </c>
      <c r="R130" s="402" t="s">
        <v>6845</v>
      </c>
      <c r="S130" s="402" t="s">
        <v>6845</v>
      </c>
      <c r="T130" s="402" t="s">
        <v>6836</v>
      </c>
      <c r="U130" s="403">
        <f t="shared" si="1"/>
        <v>3</v>
      </c>
    </row>
    <row r="131" spans="1:21" ht="19" customHeight="1">
      <c r="A131" s="346" t="s">
        <v>5796</v>
      </c>
      <c r="B131" s="346" t="s">
        <v>2288</v>
      </c>
      <c r="C131" s="342" t="s">
        <v>1047</v>
      </c>
      <c r="D131" s="343" t="s">
        <v>2289</v>
      </c>
      <c r="E131" s="343" t="s">
        <v>5827</v>
      </c>
      <c r="F131" s="355">
        <v>12</v>
      </c>
      <c r="G131" s="357"/>
      <c r="H131" s="357"/>
      <c r="I131" s="343" t="s">
        <v>5397</v>
      </c>
      <c r="J131" s="343" t="s">
        <v>2291</v>
      </c>
      <c r="K131" s="342" t="s">
        <v>2290</v>
      </c>
      <c r="L131" s="342" t="s">
        <v>2442</v>
      </c>
      <c r="M131" s="342" t="s">
        <v>2234</v>
      </c>
      <c r="N131" s="342" t="s">
        <v>2235</v>
      </c>
      <c r="O131" s="342" t="s">
        <v>2443</v>
      </c>
      <c r="P131" s="342" t="s">
        <v>5812</v>
      </c>
      <c r="Q131" s="402" t="s">
        <v>6787</v>
      </c>
      <c r="R131" s="402" t="s">
        <v>6845</v>
      </c>
      <c r="S131" s="402" t="s">
        <v>6845</v>
      </c>
      <c r="T131" s="402" t="s">
        <v>6836</v>
      </c>
      <c r="U131" s="403">
        <f t="shared" si="1"/>
        <v>7.1999999999999993</v>
      </c>
    </row>
    <row r="132" spans="1:21" ht="19" customHeight="1">
      <c r="A132" s="346" t="s">
        <v>5796</v>
      </c>
      <c r="B132" s="346" t="s">
        <v>2292</v>
      </c>
      <c r="C132" s="342" t="s">
        <v>1047</v>
      </c>
      <c r="D132" s="343" t="s">
        <v>2293</v>
      </c>
      <c r="E132" s="343" t="s">
        <v>5828</v>
      </c>
      <c r="F132" s="355">
        <v>12</v>
      </c>
      <c r="G132" s="357"/>
      <c r="H132" s="357"/>
      <c r="I132" s="343" t="s">
        <v>5398</v>
      </c>
      <c r="J132" s="343" t="s">
        <v>2294</v>
      </c>
      <c r="K132" s="342" t="s">
        <v>2265</v>
      </c>
      <c r="L132" s="342" t="s">
        <v>2442</v>
      </c>
      <c r="M132" s="342" t="s">
        <v>2234</v>
      </c>
      <c r="N132" s="342" t="s">
        <v>2235</v>
      </c>
      <c r="O132" s="342" t="s">
        <v>2443</v>
      </c>
      <c r="P132" s="342" t="s">
        <v>5812</v>
      </c>
      <c r="Q132" s="402" t="s">
        <v>6787</v>
      </c>
      <c r="R132" s="402" t="s">
        <v>6845</v>
      </c>
      <c r="S132" s="402" t="s">
        <v>6845</v>
      </c>
      <c r="T132" s="402" t="s">
        <v>6836</v>
      </c>
      <c r="U132" s="403">
        <f t="shared" si="1"/>
        <v>7.1999999999999993</v>
      </c>
    </row>
    <row r="133" spans="1:21" ht="19" customHeight="1">
      <c r="A133" s="346" t="s">
        <v>5796</v>
      </c>
      <c r="B133" s="346" t="s">
        <v>2295</v>
      </c>
      <c r="C133" s="342" t="s">
        <v>1047</v>
      </c>
      <c r="D133" s="343" t="s">
        <v>2296</v>
      </c>
      <c r="E133" s="343" t="s">
        <v>5829</v>
      </c>
      <c r="F133" s="355">
        <v>5</v>
      </c>
      <c r="G133" s="357"/>
      <c r="H133" s="357"/>
      <c r="I133" s="343" t="s">
        <v>5399</v>
      </c>
      <c r="J133" s="343" t="s">
        <v>2297</v>
      </c>
      <c r="K133" s="342" t="s">
        <v>2265</v>
      </c>
      <c r="L133" s="342" t="s">
        <v>2442</v>
      </c>
      <c r="M133" s="342" t="s">
        <v>2234</v>
      </c>
      <c r="N133" s="342" t="s">
        <v>2235</v>
      </c>
      <c r="O133" s="342" t="s">
        <v>2443</v>
      </c>
      <c r="P133" s="342" t="s">
        <v>5798</v>
      </c>
      <c r="Q133" s="402" t="s">
        <v>6787</v>
      </c>
      <c r="R133" s="402" t="s">
        <v>6845</v>
      </c>
      <c r="S133" s="402" t="s">
        <v>6845</v>
      </c>
      <c r="T133" s="402" t="s">
        <v>6836</v>
      </c>
      <c r="U133" s="403">
        <f t="shared" si="1"/>
        <v>3</v>
      </c>
    </row>
    <row r="134" spans="1:21" ht="19" customHeight="1">
      <c r="A134" s="346" t="s">
        <v>5796</v>
      </c>
      <c r="B134" s="346" t="s">
        <v>2298</v>
      </c>
      <c r="C134" s="342" t="s">
        <v>1047</v>
      </c>
      <c r="D134" s="343" t="s">
        <v>2299</v>
      </c>
      <c r="E134" s="343" t="s">
        <v>5830</v>
      </c>
      <c r="F134" s="355">
        <v>10</v>
      </c>
      <c r="G134" s="357"/>
      <c r="H134" s="357"/>
      <c r="I134" s="343" t="s">
        <v>5400</v>
      </c>
      <c r="J134" s="343" t="s">
        <v>2301</v>
      </c>
      <c r="K134" s="342" t="s">
        <v>2300</v>
      </c>
      <c r="L134" s="342" t="s">
        <v>2442</v>
      </c>
      <c r="M134" s="342" t="s">
        <v>2302</v>
      </c>
      <c r="N134" s="342" t="s">
        <v>2235</v>
      </c>
      <c r="O134" s="342" t="s">
        <v>2443</v>
      </c>
      <c r="P134" s="342" t="s">
        <v>5812</v>
      </c>
      <c r="Q134" s="402" t="s">
        <v>6787</v>
      </c>
      <c r="R134" s="402" t="s">
        <v>6845</v>
      </c>
      <c r="S134" s="402" t="s">
        <v>6845</v>
      </c>
      <c r="T134" s="402" t="s">
        <v>6836</v>
      </c>
      <c r="U134" s="403">
        <f t="shared" si="1"/>
        <v>6</v>
      </c>
    </row>
    <row r="135" spans="1:21" ht="19" customHeight="1">
      <c r="A135" s="346" t="s">
        <v>5796</v>
      </c>
      <c r="B135" s="346" t="s">
        <v>2303</v>
      </c>
      <c r="C135" s="342" t="s">
        <v>1047</v>
      </c>
      <c r="D135" s="343" t="s">
        <v>2304</v>
      </c>
      <c r="E135" s="343" t="s">
        <v>5831</v>
      </c>
      <c r="F135" s="355">
        <v>3</v>
      </c>
      <c r="G135" s="357"/>
      <c r="H135" s="357"/>
      <c r="I135" s="343" t="s">
        <v>5401</v>
      </c>
      <c r="J135" s="343" t="s">
        <v>2285</v>
      </c>
      <c r="K135" s="342" t="s">
        <v>2305</v>
      </c>
      <c r="L135" s="342" t="s">
        <v>2442</v>
      </c>
      <c r="M135" s="342" t="s">
        <v>2306</v>
      </c>
      <c r="N135" s="342" t="s">
        <v>2235</v>
      </c>
      <c r="O135" s="342" t="s">
        <v>2443</v>
      </c>
      <c r="P135" s="342" t="s">
        <v>5798</v>
      </c>
      <c r="Q135" s="402" t="s">
        <v>6787</v>
      </c>
      <c r="R135" s="402" t="s">
        <v>6845</v>
      </c>
      <c r="S135" s="402" t="s">
        <v>6845</v>
      </c>
      <c r="T135" s="402" t="s">
        <v>6836</v>
      </c>
      <c r="U135" s="403">
        <f t="shared" ref="U135:U198" si="2">IF($A135="③ 構築（DU）",$F135*0.6,$F135)</f>
        <v>1.7999999999999998</v>
      </c>
    </row>
    <row r="136" spans="1:21" ht="19" customHeight="1">
      <c r="A136" s="346" t="s">
        <v>5796</v>
      </c>
      <c r="B136" s="346" t="s">
        <v>2307</v>
      </c>
      <c r="C136" s="342" t="s">
        <v>1047</v>
      </c>
      <c r="D136" s="343" t="s">
        <v>2308</v>
      </c>
      <c r="E136" s="343" t="s">
        <v>5832</v>
      </c>
      <c r="F136" s="355">
        <v>4</v>
      </c>
      <c r="G136" s="357"/>
      <c r="H136" s="357"/>
      <c r="I136" s="343" t="s">
        <v>5402</v>
      </c>
      <c r="J136" s="343" t="s">
        <v>2291</v>
      </c>
      <c r="K136" s="342" t="s">
        <v>2287</v>
      </c>
      <c r="L136" s="342" t="s">
        <v>2442</v>
      </c>
      <c r="M136" s="342" t="s">
        <v>2239</v>
      </c>
      <c r="N136" s="342" t="s">
        <v>2235</v>
      </c>
      <c r="O136" s="342" t="s">
        <v>2443</v>
      </c>
      <c r="P136" s="342" t="s">
        <v>5798</v>
      </c>
      <c r="Q136" s="402" t="s">
        <v>6787</v>
      </c>
      <c r="R136" s="402" t="s">
        <v>6845</v>
      </c>
      <c r="S136" s="402" t="s">
        <v>6845</v>
      </c>
      <c r="T136" s="402" t="s">
        <v>6836</v>
      </c>
      <c r="U136" s="403">
        <f t="shared" si="2"/>
        <v>2.4</v>
      </c>
    </row>
    <row r="137" spans="1:21" ht="19" customHeight="1">
      <c r="A137" s="346" t="s">
        <v>5796</v>
      </c>
      <c r="B137" s="346" t="s">
        <v>2309</v>
      </c>
      <c r="C137" s="342" t="s">
        <v>1047</v>
      </c>
      <c r="D137" s="343" t="s">
        <v>1429</v>
      </c>
      <c r="E137" s="343" t="s">
        <v>5833</v>
      </c>
      <c r="F137" s="355">
        <v>5</v>
      </c>
      <c r="G137" s="357"/>
      <c r="H137" s="357"/>
      <c r="I137" s="343" t="s">
        <v>5403</v>
      </c>
      <c r="J137" s="343" t="s">
        <v>2282</v>
      </c>
      <c r="K137" s="342" t="s">
        <v>2310</v>
      </c>
      <c r="L137" s="342" t="s">
        <v>2442</v>
      </c>
      <c r="M137" s="342" t="s">
        <v>2234</v>
      </c>
      <c r="N137" s="342" t="s">
        <v>2311</v>
      </c>
      <c r="O137" s="342" t="s">
        <v>2443</v>
      </c>
      <c r="P137" s="342" t="s">
        <v>5798</v>
      </c>
      <c r="Q137" s="402" t="s">
        <v>6787</v>
      </c>
      <c r="R137" s="402" t="s">
        <v>6845</v>
      </c>
      <c r="S137" s="402" t="s">
        <v>6845</v>
      </c>
      <c r="T137" s="402" t="s">
        <v>6836</v>
      </c>
      <c r="U137" s="403">
        <f t="shared" si="2"/>
        <v>3</v>
      </c>
    </row>
    <row r="138" spans="1:21" ht="19" customHeight="1">
      <c r="A138" s="346" t="s">
        <v>5796</v>
      </c>
      <c r="B138" s="346" t="s">
        <v>2312</v>
      </c>
      <c r="C138" s="342" t="s">
        <v>1047</v>
      </c>
      <c r="D138" s="343" t="s">
        <v>1431</v>
      </c>
      <c r="E138" s="343" t="s">
        <v>5834</v>
      </c>
      <c r="F138" s="355">
        <v>4</v>
      </c>
      <c r="G138" s="357"/>
      <c r="H138" s="357"/>
      <c r="I138" s="343" t="s">
        <v>5404</v>
      </c>
      <c r="J138" s="343" t="s">
        <v>2288</v>
      </c>
      <c r="K138" s="342" t="s">
        <v>2231</v>
      </c>
      <c r="L138" s="342" t="s">
        <v>2442</v>
      </c>
      <c r="M138" s="342" t="s">
        <v>2234</v>
      </c>
      <c r="N138" s="342" t="s">
        <v>2311</v>
      </c>
      <c r="O138" s="342" t="s">
        <v>2443</v>
      </c>
      <c r="P138" s="342" t="s">
        <v>5798</v>
      </c>
      <c r="Q138" s="402" t="s">
        <v>6787</v>
      </c>
      <c r="R138" s="402" t="s">
        <v>6845</v>
      </c>
      <c r="S138" s="402" t="s">
        <v>6845</v>
      </c>
      <c r="T138" s="402" t="s">
        <v>6836</v>
      </c>
      <c r="U138" s="403">
        <f t="shared" si="2"/>
        <v>2.4</v>
      </c>
    </row>
    <row r="139" spans="1:21" ht="19" customHeight="1">
      <c r="A139" s="346" t="s">
        <v>5796</v>
      </c>
      <c r="B139" s="346" t="s">
        <v>2459</v>
      </c>
      <c r="C139" s="342" t="s">
        <v>1047</v>
      </c>
      <c r="D139" s="343" t="s">
        <v>2460</v>
      </c>
      <c r="E139" s="343" t="s">
        <v>5835</v>
      </c>
      <c r="F139" s="355">
        <v>4</v>
      </c>
      <c r="G139" s="357"/>
      <c r="H139" s="357"/>
      <c r="I139" s="343" t="s">
        <v>5405</v>
      </c>
      <c r="J139" s="343" t="s">
        <v>2312</v>
      </c>
      <c r="K139" s="342" t="s">
        <v>2305</v>
      </c>
      <c r="L139" s="342" t="s">
        <v>2442</v>
      </c>
      <c r="M139" s="342" t="s">
        <v>2234</v>
      </c>
      <c r="N139" s="342" t="s">
        <v>2448</v>
      </c>
      <c r="O139" s="342" t="s">
        <v>1432</v>
      </c>
      <c r="P139" s="342" t="s">
        <v>5798</v>
      </c>
      <c r="Q139" s="402" t="s">
        <v>6787</v>
      </c>
      <c r="R139" s="402" t="s">
        <v>6845</v>
      </c>
      <c r="S139" s="402" t="s">
        <v>6845</v>
      </c>
      <c r="T139" s="402" t="s">
        <v>6836</v>
      </c>
      <c r="U139" s="403">
        <f t="shared" si="2"/>
        <v>2.4</v>
      </c>
    </row>
    <row r="140" spans="1:21" ht="19" customHeight="1">
      <c r="A140" s="346" t="s">
        <v>5796</v>
      </c>
      <c r="B140" s="346" t="s">
        <v>2313</v>
      </c>
      <c r="C140" s="342" t="s">
        <v>917</v>
      </c>
      <c r="D140" s="343" t="s">
        <v>2314</v>
      </c>
      <c r="E140" s="343" t="s">
        <v>5836</v>
      </c>
      <c r="F140" s="355">
        <v>5</v>
      </c>
      <c r="G140" s="357"/>
      <c r="H140" s="357"/>
      <c r="I140" s="343" t="s">
        <v>5406</v>
      </c>
      <c r="J140" s="343" t="s">
        <v>2245</v>
      </c>
      <c r="K140" s="342" t="s">
        <v>2231</v>
      </c>
      <c r="L140" s="342" t="s">
        <v>2442</v>
      </c>
      <c r="M140" s="342" t="s">
        <v>2234</v>
      </c>
      <c r="N140" s="342" t="s">
        <v>2235</v>
      </c>
      <c r="O140" s="342" t="s">
        <v>2443</v>
      </c>
      <c r="P140" s="342" t="s">
        <v>5798</v>
      </c>
      <c r="Q140" s="402" t="s">
        <v>6787</v>
      </c>
      <c r="R140" s="402" t="s">
        <v>6845</v>
      </c>
      <c r="S140" s="402" t="s">
        <v>6845</v>
      </c>
      <c r="T140" s="402" t="s">
        <v>6836</v>
      </c>
      <c r="U140" s="403">
        <f t="shared" si="2"/>
        <v>3</v>
      </c>
    </row>
    <row r="141" spans="1:21" ht="19" customHeight="1">
      <c r="A141" s="346" t="s">
        <v>5796</v>
      </c>
      <c r="B141" s="346" t="s">
        <v>2315</v>
      </c>
      <c r="C141" s="342" t="s">
        <v>917</v>
      </c>
      <c r="D141" s="343" t="s">
        <v>2316</v>
      </c>
      <c r="E141" s="343" t="s">
        <v>5837</v>
      </c>
      <c r="F141" s="355">
        <v>8</v>
      </c>
      <c r="G141" s="357"/>
      <c r="H141" s="357"/>
      <c r="I141" s="343" t="s">
        <v>5407</v>
      </c>
      <c r="J141" s="343" t="s">
        <v>2313</v>
      </c>
      <c r="K141" s="342" t="s">
        <v>2231</v>
      </c>
      <c r="L141" s="342" t="s">
        <v>2442</v>
      </c>
      <c r="M141" s="342" t="s">
        <v>2234</v>
      </c>
      <c r="N141" s="342" t="s">
        <v>2235</v>
      </c>
      <c r="O141" s="342" t="s">
        <v>2443</v>
      </c>
      <c r="P141" s="342" t="s">
        <v>5812</v>
      </c>
      <c r="Q141" s="402" t="s">
        <v>6787</v>
      </c>
      <c r="R141" s="402" t="s">
        <v>6845</v>
      </c>
      <c r="S141" s="402" t="s">
        <v>6845</v>
      </c>
      <c r="T141" s="402" t="s">
        <v>6836</v>
      </c>
      <c r="U141" s="403">
        <f t="shared" si="2"/>
        <v>4.8</v>
      </c>
    </row>
    <row r="142" spans="1:21" ht="19" customHeight="1">
      <c r="A142" s="346" t="s">
        <v>5796</v>
      </c>
      <c r="B142" s="346" t="s">
        <v>2317</v>
      </c>
      <c r="C142" s="342" t="s">
        <v>917</v>
      </c>
      <c r="D142" s="343" t="s">
        <v>2318</v>
      </c>
      <c r="E142" s="343" t="s">
        <v>5838</v>
      </c>
      <c r="F142" s="355">
        <v>12</v>
      </c>
      <c r="G142" s="357"/>
      <c r="H142" s="357"/>
      <c r="I142" s="343" t="s">
        <v>5408</v>
      </c>
      <c r="J142" s="343" t="s">
        <v>2319</v>
      </c>
      <c r="K142" s="342" t="s">
        <v>2275</v>
      </c>
      <c r="L142" s="342" t="s">
        <v>2442</v>
      </c>
      <c r="M142" s="342" t="s">
        <v>2234</v>
      </c>
      <c r="N142" s="342" t="s">
        <v>2235</v>
      </c>
      <c r="O142" s="342" t="s">
        <v>2443</v>
      </c>
      <c r="P142" s="342" t="s">
        <v>5812</v>
      </c>
      <c r="Q142" s="402" t="s">
        <v>6787</v>
      </c>
      <c r="R142" s="402" t="s">
        <v>6845</v>
      </c>
      <c r="S142" s="402" t="s">
        <v>6845</v>
      </c>
      <c r="T142" s="402" t="s">
        <v>6836</v>
      </c>
      <c r="U142" s="403">
        <f t="shared" si="2"/>
        <v>7.1999999999999993</v>
      </c>
    </row>
    <row r="143" spans="1:21" ht="19" customHeight="1">
      <c r="A143" s="346" t="s">
        <v>5796</v>
      </c>
      <c r="B143" s="346" t="s">
        <v>2320</v>
      </c>
      <c r="C143" s="342" t="s">
        <v>917</v>
      </c>
      <c r="D143" s="343" t="s">
        <v>2321</v>
      </c>
      <c r="E143" s="343" t="s">
        <v>5839</v>
      </c>
      <c r="F143" s="355">
        <v>5</v>
      </c>
      <c r="G143" s="357"/>
      <c r="H143" s="357"/>
      <c r="I143" s="343" t="s">
        <v>5409</v>
      </c>
      <c r="J143" s="343" t="s">
        <v>2322</v>
      </c>
      <c r="K143" s="342" t="s">
        <v>2231</v>
      </c>
      <c r="L143" s="342" t="s">
        <v>2442</v>
      </c>
      <c r="M143" s="342" t="s">
        <v>2234</v>
      </c>
      <c r="N143" s="342" t="s">
        <v>2235</v>
      </c>
      <c r="O143" s="342" t="s">
        <v>2443</v>
      </c>
      <c r="P143" s="342" t="s">
        <v>5798</v>
      </c>
      <c r="Q143" s="402" t="s">
        <v>6787</v>
      </c>
      <c r="R143" s="402" t="s">
        <v>6845</v>
      </c>
      <c r="S143" s="402" t="s">
        <v>6845</v>
      </c>
      <c r="T143" s="402" t="s">
        <v>6836</v>
      </c>
      <c r="U143" s="403">
        <f t="shared" si="2"/>
        <v>3</v>
      </c>
    </row>
    <row r="144" spans="1:21" ht="19" customHeight="1">
      <c r="A144" s="346" t="s">
        <v>5796</v>
      </c>
      <c r="B144" s="346" t="s">
        <v>2297</v>
      </c>
      <c r="C144" s="342" t="s">
        <v>917</v>
      </c>
      <c r="D144" s="343" t="s">
        <v>2323</v>
      </c>
      <c r="E144" s="343" t="s">
        <v>5840</v>
      </c>
      <c r="F144" s="355">
        <v>10</v>
      </c>
      <c r="G144" s="357"/>
      <c r="H144" s="357"/>
      <c r="I144" s="343" t="s">
        <v>5410</v>
      </c>
      <c r="J144" s="343" t="s">
        <v>2313</v>
      </c>
      <c r="K144" s="342" t="s">
        <v>2324</v>
      </c>
      <c r="L144" s="342" t="s">
        <v>2442</v>
      </c>
      <c r="M144" s="342" t="s">
        <v>2234</v>
      </c>
      <c r="N144" s="342" t="s">
        <v>2235</v>
      </c>
      <c r="O144" s="342" t="s">
        <v>2443</v>
      </c>
      <c r="P144" s="342" t="s">
        <v>5812</v>
      </c>
      <c r="Q144" s="402" t="s">
        <v>6787</v>
      </c>
      <c r="R144" s="402" t="s">
        <v>6845</v>
      </c>
      <c r="S144" s="402" t="s">
        <v>6845</v>
      </c>
      <c r="T144" s="402" t="s">
        <v>6836</v>
      </c>
      <c r="U144" s="403">
        <f t="shared" si="2"/>
        <v>6</v>
      </c>
    </row>
    <row r="145" spans="1:21" ht="19" customHeight="1">
      <c r="A145" s="346" t="s">
        <v>5796</v>
      </c>
      <c r="B145" s="346" t="s">
        <v>2325</v>
      </c>
      <c r="C145" s="342" t="s">
        <v>917</v>
      </c>
      <c r="D145" s="343" t="s">
        <v>1463</v>
      </c>
      <c r="E145" s="343" t="s">
        <v>5841</v>
      </c>
      <c r="F145" s="355">
        <v>20</v>
      </c>
      <c r="G145" s="357"/>
      <c r="H145" s="357"/>
      <c r="I145" s="343" t="s">
        <v>5411</v>
      </c>
      <c r="J145" s="343" t="s">
        <v>2326</v>
      </c>
      <c r="K145" s="342" t="s">
        <v>2265</v>
      </c>
      <c r="L145" s="342" t="s">
        <v>2442</v>
      </c>
      <c r="M145" s="342" t="s">
        <v>2239</v>
      </c>
      <c r="N145" s="342" t="s">
        <v>2311</v>
      </c>
      <c r="O145" s="342" t="s">
        <v>2443</v>
      </c>
      <c r="P145" s="342" t="s">
        <v>5842</v>
      </c>
      <c r="Q145" s="402" t="s">
        <v>6787</v>
      </c>
      <c r="R145" s="402" t="s">
        <v>6845</v>
      </c>
      <c r="S145" s="402" t="s">
        <v>6845</v>
      </c>
      <c r="T145" s="402" t="s">
        <v>6836</v>
      </c>
      <c r="U145" s="403">
        <f t="shared" si="2"/>
        <v>12</v>
      </c>
    </row>
    <row r="146" spans="1:21" ht="19" customHeight="1">
      <c r="A146" s="346" t="s">
        <v>5796</v>
      </c>
      <c r="B146" s="346" t="s">
        <v>2327</v>
      </c>
      <c r="C146" s="342" t="s">
        <v>917</v>
      </c>
      <c r="D146" s="343" t="s">
        <v>2328</v>
      </c>
      <c r="E146" s="343" t="s">
        <v>5843</v>
      </c>
      <c r="F146" s="355">
        <v>10</v>
      </c>
      <c r="G146" s="357"/>
      <c r="H146" s="357"/>
      <c r="I146" s="343" t="s">
        <v>5412</v>
      </c>
      <c r="J146" s="343" t="s">
        <v>2329</v>
      </c>
      <c r="K146" s="342" t="s">
        <v>2231</v>
      </c>
      <c r="L146" s="342" t="s">
        <v>2442</v>
      </c>
      <c r="M146" s="342" t="s">
        <v>2234</v>
      </c>
      <c r="N146" s="342" t="s">
        <v>2311</v>
      </c>
      <c r="O146" s="342" t="s">
        <v>2443</v>
      </c>
      <c r="P146" s="342" t="s">
        <v>5812</v>
      </c>
      <c r="Q146" s="402" t="s">
        <v>6787</v>
      </c>
      <c r="R146" s="402" t="s">
        <v>6845</v>
      </c>
      <c r="S146" s="402" t="s">
        <v>6845</v>
      </c>
      <c r="T146" s="402" t="s">
        <v>6836</v>
      </c>
      <c r="U146" s="403">
        <f t="shared" si="2"/>
        <v>6</v>
      </c>
    </row>
    <row r="147" spans="1:21" ht="19" customHeight="1">
      <c r="A147" s="346" t="s">
        <v>5796</v>
      </c>
      <c r="B147" s="346" t="s">
        <v>2461</v>
      </c>
      <c r="C147" s="342" t="s">
        <v>917</v>
      </c>
      <c r="D147" s="343" t="s">
        <v>2462</v>
      </c>
      <c r="E147" s="343" t="s">
        <v>5844</v>
      </c>
      <c r="F147" s="355">
        <v>4</v>
      </c>
      <c r="G147" s="357"/>
      <c r="H147" s="357"/>
      <c r="I147" s="343" t="s">
        <v>5413</v>
      </c>
      <c r="J147" s="343" t="s">
        <v>2313</v>
      </c>
      <c r="K147" s="342" t="s">
        <v>2342</v>
      </c>
      <c r="L147" s="342" t="s">
        <v>2446</v>
      </c>
      <c r="M147" s="342" t="s">
        <v>2463</v>
      </c>
      <c r="N147" s="342" t="s">
        <v>2448</v>
      </c>
      <c r="O147" s="342" t="s">
        <v>1426</v>
      </c>
      <c r="P147" s="342" t="s">
        <v>5798</v>
      </c>
      <c r="Q147" s="402" t="s">
        <v>6787</v>
      </c>
      <c r="R147" s="402" t="s">
        <v>6845</v>
      </c>
      <c r="S147" s="402" t="s">
        <v>6845</v>
      </c>
      <c r="T147" s="402" t="s">
        <v>6836</v>
      </c>
      <c r="U147" s="403">
        <f t="shared" si="2"/>
        <v>2.4</v>
      </c>
    </row>
    <row r="148" spans="1:21" ht="19" customHeight="1">
      <c r="A148" s="346" t="s">
        <v>5796</v>
      </c>
      <c r="B148" s="346" t="s">
        <v>2232</v>
      </c>
      <c r="C148" s="342" t="s">
        <v>513</v>
      </c>
      <c r="D148" s="343" t="s">
        <v>2330</v>
      </c>
      <c r="E148" s="343" t="s">
        <v>5845</v>
      </c>
      <c r="F148" s="355">
        <v>12</v>
      </c>
      <c r="G148" s="357"/>
      <c r="H148" s="357"/>
      <c r="I148" s="343" t="s">
        <v>5414</v>
      </c>
      <c r="J148" s="343" t="s">
        <v>5846</v>
      </c>
      <c r="K148" s="342" t="s">
        <v>2258</v>
      </c>
      <c r="L148" s="342" t="s">
        <v>2442</v>
      </c>
      <c r="M148" s="342" t="s">
        <v>2234</v>
      </c>
      <c r="N148" s="342" t="s">
        <v>2235</v>
      </c>
      <c r="O148" s="342" t="s">
        <v>2443</v>
      </c>
      <c r="P148" s="342" t="s">
        <v>5812</v>
      </c>
      <c r="Q148" s="402" t="s">
        <v>6787</v>
      </c>
      <c r="R148" s="402" t="s">
        <v>6845</v>
      </c>
      <c r="S148" s="402" t="s">
        <v>6845</v>
      </c>
      <c r="T148" s="402" t="s">
        <v>6836</v>
      </c>
      <c r="U148" s="403">
        <f t="shared" si="2"/>
        <v>7.1999999999999993</v>
      </c>
    </row>
    <row r="149" spans="1:21" ht="19" customHeight="1">
      <c r="A149" s="346" t="s">
        <v>5796</v>
      </c>
      <c r="B149" s="346" t="s">
        <v>2255</v>
      </c>
      <c r="C149" s="342" t="s">
        <v>513</v>
      </c>
      <c r="D149" s="343" t="s">
        <v>2332</v>
      </c>
      <c r="E149" s="343" t="s">
        <v>5847</v>
      </c>
      <c r="F149" s="355">
        <v>24</v>
      </c>
      <c r="G149" s="357"/>
      <c r="H149" s="357"/>
      <c r="I149" s="343" t="s">
        <v>5415</v>
      </c>
      <c r="J149" s="343" t="s">
        <v>5848</v>
      </c>
      <c r="K149" s="342" t="s">
        <v>2258</v>
      </c>
      <c r="L149" s="342" t="s">
        <v>2442</v>
      </c>
      <c r="M149" s="342" t="s">
        <v>2239</v>
      </c>
      <c r="N149" s="342" t="s">
        <v>2235</v>
      </c>
      <c r="O149" s="342" t="s">
        <v>2443</v>
      </c>
      <c r="P149" s="342" t="s">
        <v>5849</v>
      </c>
      <c r="Q149" s="402" t="s">
        <v>6787</v>
      </c>
      <c r="R149" s="402" t="s">
        <v>6845</v>
      </c>
      <c r="S149" s="402" t="s">
        <v>6845</v>
      </c>
      <c r="T149" s="402" t="s">
        <v>6836</v>
      </c>
      <c r="U149" s="403">
        <f t="shared" si="2"/>
        <v>14.399999999999999</v>
      </c>
    </row>
    <row r="150" spans="1:21" ht="19" customHeight="1">
      <c r="A150" s="346" t="s">
        <v>5796</v>
      </c>
      <c r="B150" s="346" t="s">
        <v>2259</v>
      </c>
      <c r="C150" s="342" t="s">
        <v>513</v>
      </c>
      <c r="D150" s="343" t="s">
        <v>2333</v>
      </c>
      <c r="E150" s="343" t="s">
        <v>5850</v>
      </c>
      <c r="F150" s="355">
        <v>12</v>
      </c>
      <c r="G150" s="357"/>
      <c r="H150" s="357"/>
      <c r="I150" s="343" t="s">
        <v>5416</v>
      </c>
      <c r="J150" s="343" t="s">
        <v>5851</v>
      </c>
      <c r="K150" s="342" t="s">
        <v>2258</v>
      </c>
      <c r="L150" s="342" t="s">
        <v>2442</v>
      </c>
      <c r="M150" s="342" t="s">
        <v>2234</v>
      </c>
      <c r="N150" s="342" t="s">
        <v>2235</v>
      </c>
      <c r="O150" s="342" t="s">
        <v>2443</v>
      </c>
      <c r="P150" s="342" t="s">
        <v>5812</v>
      </c>
      <c r="Q150" s="402" t="s">
        <v>6787</v>
      </c>
      <c r="R150" s="402" t="s">
        <v>6845</v>
      </c>
      <c r="S150" s="402" t="s">
        <v>6845</v>
      </c>
      <c r="T150" s="402" t="s">
        <v>6836</v>
      </c>
      <c r="U150" s="403">
        <f t="shared" si="2"/>
        <v>7.1999999999999993</v>
      </c>
    </row>
    <row r="151" spans="1:21" ht="19" customHeight="1">
      <c r="A151" s="346" t="s">
        <v>5796</v>
      </c>
      <c r="B151" s="346" t="s">
        <v>2334</v>
      </c>
      <c r="C151" s="342" t="s">
        <v>513</v>
      </c>
      <c r="D151" s="343" t="s">
        <v>2335</v>
      </c>
      <c r="E151" s="343" t="s">
        <v>5852</v>
      </c>
      <c r="F151" s="355">
        <v>13</v>
      </c>
      <c r="G151" s="357"/>
      <c r="H151" s="357"/>
      <c r="I151" s="343" t="s">
        <v>5417</v>
      </c>
      <c r="J151" s="343" t="s">
        <v>5848</v>
      </c>
      <c r="K151" s="342" t="s">
        <v>2258</v>
      </c>
      <c r="L151" s="342" t="s">
        <v>2442</v>
      </c>
      <c r="M151" s="342" t="s">
        <v>2239</v>
      </c>
      <c r="N151" s="342" t="s">
        <v>2235</v>
      </c>
      <c r="O151" s="342" t="s">
        <v>2443</v>
      </c>
      <c r="P151" s="342" t="s">
        <v>5853</v>
      </c>
      <c r="Q151" s="402" t="s">
        <v>6787</v>
      </c>
      <c r="R151" s="402" t="s">
        <v>6845</v>
      </c>
      <c r="S151" s="402" t="s">
        <v>6845</v>
      </c>
      <c r="T151" s="402" t="s">
        <v>6836</v>
      </c>
      <c r="U151" s="403">
        <f t="shared" si="2"/>
        <v>7.8</v>
      </c>
    </row>
    <row r="152" spans="1:21" ht="19" customHeight="1">
      <c r="A152" s="346" t="s">
        <v>5796</v>
      </c>
      <c r="B152" s="346" t="s">
        <v>2336</v>
      </c>
      <c r="C152" s="342" t="s">
        <v>513</v>
      </c>
      <c r="D152" s="343" t="s">
        <v>2337</v>
      </c>
      <c r="E152" s="343" t="s">
        <v>5854</v>
      </c>
      <c r="F152" s="355">
        <v>12</v>
      </c>
      <c r="G152" s="357"/>
      <c r="H152" s="357"/>
      <c r="I152" s="343" t="s">
        <v>5418</v>
      </c>
      <c r="J152" s="343" t="s">
        <v>5855</v>
      </c>
      <c r="K152" s="342" t="s">
        <v>2258</v>
      </c>
      <c r="L152" s="342" t="s">
        <v>2442</v>
      </c>
      <c r="M152" s="342" t="s">
        <v>2234</v>
      </c>
      <c r="N152" s="342" t="s">
        <v>2235</v>
      </c>
      <c r="O152" s="342" t="s">
        <v>2443</v>
      </c>
      <c r="P152" s="342" t="s">
        <v>5812</v>
      </c>
      <c r="Q152" s="402" t="s">
        <v>6787</v>
      </c>
      <c r="R152" s="402" t="s">
        <v>6845</v>
      </c>
      <c r="S152" s="402" t="s">
        <v>6845</v>
      </c>
      <c r="T152" s="402" t="s">
        <v>6836</v>
      </c>
      <c r="U152" s="403">
        <f t="shared" si="2"/>
        <v>7.1999999999999993</v>
      </c>
    </row>
    <row r="153" spans="1:21" ht="19" customHeight="1">
      <c r="A153" s="346" t="s">
        <v>5796</v>
      </c>
      <c r="B153" s="346" t="s">
        <v>2338</v>
      </c>
      <c r="C153" s="342" t="s">
        <v>513</v>
      </c>
      <c r="D153" s="343" t="s">
        <v>2339</v>
      </c>
      <c r="E153" s="343" t="s">
        <v>5856</v>
      </c>
      <c r="F153" s="355">
        <v>10</v>
      </c>
      <c r="G153" s="357"/>
      <c r="H153" s="357"/>
      <c r="I153" s="343" t="s">
        <v>5419</v>
      </c>
      <c r="J153" s="343" t="s">
        <v>5857</v>
      </c>
      <c r="K153" s="342" t="s">
        <v>2258</v>
      </c>
      <c r="L153" s="342" t="s">
        <v>2442</v>
      </c>
      <c r="M153" s="342" t="s">
        <v>2234</v>
      </c>
      <c r="N153" s="342" t="s">
        <v>2235</v>
      </c>
      <c r="O153" s="342" t="s">
        <v>2443</v>
      </c>
      <c r="P153" s="342" t="s">
        <v>5812</v>
      </c>
      <c r="Q153" s="402" t="s">
        <v>6787</v>
      </c>
      <c r="R153" s="402" t="s">
        <v>6845</v>
      </c>
      <c r="S153" s="402" t="s">
        <v>6845</v>
      </c>
      <c r="T153" s="402" t="s">
        <v>6836</v>
      </c>
      <c r="U153" s="403">
        <f t="shared" si="2"/>
        <v>6</v>
      </c>
    </row>
    <row r="154" spans="1:21" ht="19" customHeight="1">
      <c r="A154" s="346" t="s">
        <v>5796</v>
      </c>
      <c r="B154" s="346" t="s">
        <v>2340</v>
      </c>
      <c r="C154" s="342" t="s">
        <v>513</v>
      </c>
      <c r="D154" s="343" t="s">
        <v>2341</v>
      </c>
      <c r="E154" s="343" t="s">
        <v>5858</v>
      </c>
      <c r="F154" s="355">
        <v>12</v>
      </c>
      <c r="G154" s="357"/>
      <c r="H154" s="357"/>
      <c r="I154" s="343" t="s">
        <v>5420</v>
      </c>
      <c r="J154" s="343" t="s">
        <v>5848</v>
      </c>
      <c r="K154" s="342" t="s">
        <v>2342</v>
      </c>
      <c r="L154" s="342" t="s">
        <v>2442</v>
      </c>
      <c r="M154" s="342" t="s">
        <v>2239</v>
      </c>
      <c r="N154" s="342" t="s">
        <v>2235</v>
      </c>
      <c r="O154" s="342" t="s">
        <v>2443</v>
      </c>
      <c r="P154" s="342" t="s">
        <v>5853</v>
      </c>
      <c r="Q154" s="402" t="s">
        <v>6787</v>
      </c>
      <c r="R154" s="402" t="s">
        <v>6845</v>
      </c>
      <c r="S154" s="402" t="s">
        <v>6845</v>
      </c>
      <c r="T154" s="402" t="s">
        <v>6836</v>
      </c>
      <c r="U154" s="403">
        <f t="shared" si="2"/>
        <v>7.1999999999999993</v>
      </c>
    </row>
    <row r="155" spans="1:21" ht="19" customHeight="1">
      <c r="A155" s="346" t="s">
        <v>5796</v>
      </c>
      <c r="B155" s="346" t="s">
        <v>2343</v>
      </c>
      <c r="C155" s="342" t="s">
        <v>513</v>
      </c>
      <c r="D155" s="343" t="s">
        <v>2344</v>
      </c>
      <c r="E155" s="343" t="s">
        <v>5859</v>
      </c>
      <c r="F155" s="355">
        <v>5</v>
      </c>
      <c r="G155" s="357"/>
      <c r="H155" s="357"/>
      <c r="I155" s="343" t="s">
        <v>5421</v>
      </c>
      <c r="J155" s="343" t="s">
        <v>5860</v>
      </c>
      <c r="K155" s="342" t="s">
        <v>2345</v>
      </c>
      <c r="L155" s="342" t="s">
        <v>2442</v>
      </c>
      <c r="M155" s="342" t="s">
        <v>2234</v>
      </c>
      <c r="N155" s="342" t="s">
        <v>2235</v>
      </c>
      <c r="O155" s="342" t="s">
        <v>2443</v>
      </c>
      <c r="P155" s="342" t="s">
        <v>5798</v>
      </c>
      <c r="Q155" s="402" t="s">
        <v>6787</v>
      </c>
      <c r="R155" s="402" t="s">
        <v>6845</v>
      </c>
      <c r="S155" s="402" t="s">
        <v>6845</v>
      </c>
      <c r="T155" s="402" t="s">
        <v>6836</v>
      </c>
      <c r="U155" s="403">
        <f t="shared" si="2"/>
        <v>3</v>
      </c>
    </row>
    <row r="156" spans="1:21" ht="19" customHeight="1">
      <c r="A156" s="346" t="s">
        <v>5796</v>
      </c>
      <c r="B156" s="346" t="s">
        <v>2346</v>
      </c>
      <c r="C156" s="342" t="s">
        <v>513</v>
      </c>
      <c r="D156" s="343" t="s">
        <v>2347</v>
      </c>
      <c r="E156" s="343" t="s">
        <v>5861</v>
      </c>
      <c r="F156" s="355">
        <v>5</v>
      </c>
      <c r="G156" s="357"/>
      <c r="H156" s="357"/>
      <c r="I156" s="343" t="s">
        <v>5422</v>
      </c>
      <c r="J156" s="343" t="s">
        <v>5848</v>
      </c>
      <c r="K156" s="342" t="s">
        <v>2348</v>
      </c>
      <c r="L156" s="342" t="s">
        <v>2442</v>
      </c>
      <c r="M156" s="342" t="s">
        <v>2234</v>
      </c>
      <c r="N156" s="342" t="s">
        <v>2235</v>
      </c>
      <c r="O156" s="342" t="s">
        <v>2443</v>
      </c>
      <c r="P156" s="342" t="s">
        <v>5798</v>
      </c>
      <c r="Q156" s="402" t="s">
        <v>6787</v>
      </c>
      <c r="R156" s="402" t="s">
        <v>6845</v>
      </c>
      <c r="S156" s="402" t="s">
        <v>6845</v>
      </c>
      <c r="T156" s="402" t="s">
        <v>6836</v>
      </c>
      <c r="U156" s="403">
        <f t="shared" si="2"/>
        <v>3</v>
      </c>
    </row>
    <row r="157" spans="1:21" ht="19" customHeight="1">
      <c r="A157" s="346" t="s">
        <v>5796</v>
      </c>
      <c r="B157" s="346" t="s">
        <v>2349</v>
      </c>
      <c r="C157" s="342" t="s">
        <v>513</v>
      </c>
      <c r="D157" s="343" t="s">
        <v>2350</v>
      </c>
      <c r="E157" s="343" t="s">
        <v>5862</v>
      </c>
      <c r="F157" s="355">
        <v>9</v>
      </c>
      <c r="G157" s="357"/>
      <c r="H157" s="357"/>
      <c r="I157" s="343" t="s">
        <v>5423</v>
      </c>
      <c r="J157" s="343" t="s">
        <v>5863</v>
      </c>
      <c r="K157" s="342" t="s">
        <v>2345</v>
      </c>
      <c r="L157" s="342" t="s">
        <v>2442</v>
      </c>
      <c r="M157" s="342" t="s">
        <v>2239</v>
      </c>
      <c r="N157" s="342" t="s">
        <v>2311</v>
      </c>
      <c r="O157" s="342" t="s">
        <v>2443</v>
      </c>
      <c r="P157" s="342" t="s">
        <v>5812</v>
      </c>
      <c r="Q157" s="402" t="s">
        <v>6787</v>
      </c>
      <c r="R157" s="402" t="s">
        <v>6845</v>
      </c>
      <c r="S157" s="402" t="s">
        <v>6845</v>
      </c>
      <c r="T157" s="402" t="s">
        <v>6836</v>
      </c>
      <c r="U157" s="403">
        <f t="shared" si="2"/>
        <v>5.3999999999999995</v>
      </c>
    </row>
    <row r="158" spans="1:21" ht="19" customHeight="1">
      <c r="A158" s="346" t="s">
        <v>5796</v>
      </c>
      <c r="B158" s="346" t="s">
        <v>2464</v>
      </c>
      <c r="C158" s="342" t="s">
        <v>513</v>
      </c>
      <c r="D158" s="343" t="s">
        <v>2465</v>
      </c>
      <c r="E158" s="343" t="s">
        <v>5864</v>
      </c>
      <c r="F158" s="355">
        <v>10</v>
      </c>
      <c r="G158" s="357"/>
      <c r="H158" s="357"/>
      <c r="I158" s="343" t="s">
        <v>5424</v>
      </c>
      <c r="J158" s="343" t="s">
        <v>5865</v>
      </c>
      <c r="K158" s="342" t="s">
        <v>2258</v>
      </c>
      <c r="L158" s="342" t="s">
        <v>2442</v>
      </c>
      <c r="M158" s="342" t="s">
        <v>2234</v>
      </c>
      <c r="N158" s="342" t="s">
        <v>2448</v>
      </c>
      <c r="O158" s="342" t="s">
        <v>2466</v>
      </c>
      <c r="P158" s="342" t="s">
        <v>5812</v>
      </c>
      <c r="Q158" s="402" t="s">
        <v>6787</v>
      </c>
      <c r="R158" s="402" t="s">
        <v>6845</v>
      </c>
      <c r="S158" s="402" t="s">
        <v>6845</v>
      </c>
      <c r="T158" s="402" t="s">
        <v>6836</v>
      </c>
      <c r="U158" s="403">
        <f t="shared" si="2"/>
        <v>6</v>
      </c>
    </row>
    <row r="159" spans="1:21" ht="19" customHeight="1">
      <c r="A159" s="346" t="s">
        <v>5796</v>
      </c>
      <c r="B159" s="346" t="s">
        <v>2467</v>
      </c>
      <c r="C159" s="342" t="s">
        <v>513</v>
      </c>
      <c r="D159" s="343" t="s">
        <v>2468</v>
      </c>
      <c r="E159" s="343" t="s">
        <v>5866</v>
      </c>
      <c r="F159" s="355">
        <v>6</v>
      </c>
      <c r="G159" s="357"/>
      <c r="H159" s="357"/>
      <c r="I159" s="343" t="s">
        <v>5425</v>
      </c>
      <c r="J159" s="343" t="s">
        <v>5848</v>
      </c>
      <c r="K159" s="342" t="s">
        <v>2258</v>
      </c>
      <c r="L159" s="342" t="s">
        <v>2442</v>
      </c>
      <c r="M159" s="342" t="s">
        <v>2234</v>
      </c>
      <c r="N159" s="342" t="s">
        <v>2448</v>
      </c>
      <c r="O159" s="342" t="s">
        <v>2469</v>
      </c>
      <c r="P159" s="342" t="s">
        <v>5798</v>
      </c>
      <c r="Q159" s="402" t="s">
        <v>6787</v>
      </c>
      <c r="R159" s="402" t="s">
        <v>6845</v>
      </c>
      <c r="S159" s="402" t="s">
        <v>6845</v>
      </c>
      <c r="T159" s="402" t="s">
        <v>6836</v>
      </c>
      <c r="U159" s="403">
        <f t="shared" si="2"/>
        <v>3.5999999999999996</v>
      </c>
    </row>
    <row r="160" spans="1:21" ht="19" customHeight="1">
      <c r="A160" s="346" t="s">
        <v>5796</v>
      </c>
      <c r="B160" s="346" t="s">
        <v>2470</v>
      </c>
      <c r="C160" s="342" t="s">
        <v>513</v>
      </c>
      <c r="D160" s="343" t="s">
        <v>2471</v>
      </c>
      <c r="E160" s="343" t="s">
        <v>5867</v>
      </c>
      <c r="F160" s="355">
        <v>8</v>
      </c>
      <c r="G160" s="357"/>
      <c r="H160" s="357"/>
      <c r="I160" s="343" t="s">
        <v>5426</v>
      </c>
      <c r="J160" s="343" t="s">
        <v>5848</v>
      </c>
      <c r="K160" s="342" t="s">
        <v>2258</v>
      </c>
      <c r="L160" s="342" t="s">
        <v>2442</v>
      </c>
      <c r="M160" s="342" t="s">
        <v>2234</v>
      </c>
      <c r="N160" s="342" t="s">
        <v>2448</v>
      </c>
      <c r="O160" s="342" t="s">
        <v>2472</v>
      </c>
      <c r="P160" s="342" t="s">
        <v>5798</v>
      </c>
      <c r="Q160" s="402" t="s">
        <v>6787</v>
      </c>
      <c r="R160" s="402" t="s">
        <v>6845</v>
      </c>
      <c r="S160" s="402" t="s">
        <v>6845</v>
      </c>
      <c r="T160" s="402" t="s">
        <v>6836</v>
      </c>
      <c r="U160" s="403">
        <f t="shared" si="2"/>
        <v>4.8</v>
      </c>
    </row>
    <row r="161" spans="1:21" ht="19" customHeight="1">
      <c r="A161" s="346" t="s">
        <v>5796</v>
      </c>
      <c r="B161" s="346" t="s">
        <v>5369</v>
      </c>
      <c r="C161" s="342" t="s">
        <v>513</v>
      </c>
      <c r="D161" s="343" t="s">
        <v>5370</v>
      </c>
      <c r="E161" s="343" t="s">
        <v>5868</v>
      </c>
      <c r="F161" s="355">
        <v>8</v>
      </c>
      <c r="G161" s="357"/>
      <c r="H161" s="357"/>
      <c r="I161" s="343" t="s">
        <v>5374</v>
      </c>
      <c r="J161" s="343" t="s">
        <v>5848</v>
      </c>
      <c r="K161" s="342" t="s">
        <v>2258</v>
      </c>
      <c r="L161" s="342" t="s">
        <v>2442</v>
      </c>
      <c r="M161" s="342" t="s">
        <v>5371</v>
      </c>
      <c r="N161" s="342" t="s">
        <v>5372</v>
      </c>
      <c r="O161" s="342" t="s">
        <v>5373</v>
      </c>
      <c r="P161" s="342" t="s">
        <v>5812</v>
      </c>
      <c r="Q161" s="402" t="s">
        <v>6787</v>
      </c>
      <c r="R161" s="402" t="s">
        <v>6845</v>
      </c>
      <c r="S161" s="402" t="s">
        <v>6845</v>
      </c>
      <c r="T161" s="402" t="s">
        <v>6836</v>
      </c>
      <c r="U161" s="403">
        <f t="shared" si="2"/>
        <v>4.8</v>
      </c>
    </row>
    <row r="162" spans="1:21" ht="19" customHeight="1">
      <c r="A162" s="346" t="s">
        <v>5796</v>
      </c>
      <c r="B162" s="346" t="s">
        <v>2351</v>
      </c>
      <c r="C162" s="342" t="s">
        <v>517</v>
      </c>
      <c r="D162" s="343" t="s">
        <v>2352</v>
      </c>
      <c r="E162" s="343" t="s">
        <v>5869</v>
      </c>
      <c r="F162" s="355">
        <v>12</v>
      </c>
      <c r="G162" s="357"/>
      <c r="H162" s="357"/>
      <c r="I162" s="343" t="s">
        <v>5427</v>
      </c>
      <c r="J162" s="343" t="s">
        <v>2232</v>
      </c>
      <c r="K162" s="342" t="s">
        <v>2258</v>
      </c>
      <c r="L162" s="342" t="s">
        <v>2442</v>
      </c>
      <c r="M162" s="342" t="s">
        <v>2234</v>
      </c>
      <c r="N162" s="342" t="s">
        <v>2235</v>
      </c>
      <c r="O162" s="342" t="s">
        <v>2443</v>
      </c>
      <c r="P162" s="342" t="s">
        <v>5812</v>
      </c>
      <c r="Q162" s="402" t="s">
        <v>6787</v>
      </c>
      <c r="R162" s="402" t="s">
        <v>6845</v>
      </c>
      <c r="S162" s="402" t="s">
        <v>6845</v>
      </c>
      <c r="T162" s="402" t="s">
        <v>6836</v>
      </c>
      <c r="U162" s="403">
        <f t="shared" si="2"/>
        <v>7.1999999999999993</v>
      </c>
    </row>
    <row r="163" spans="1:21" ht="19" customHeight="1">
      <c r="A163" s="346" t="s">
        <v>5796</v>
      </c>
      <c r="B163" s="346" t="s">
        <v>2353</v>
      </c>
      <c r="C163" s="342" t="s">
        <v>517</v>
      </c>
      <c r="D163" s="343" t="s">
        <v>2354</v>
      </c>
      <c r="E163" s="343" t="s">
        <v>5870</v>
      </c>
      <c r="F163" s="355">
        <v>6</v>
      </c>
      <c r="G163" s="357"/>
      <c r="H163" s="357"/>
      <c r="I163" s="343" t="s">
        <v>5428</v>
      </c>
      <c r="J163" s="343" t="s">
        <v>2355</v>
      </c>
      <c r="K163" s="342" t="s">
        <v>2275</v>
      </c>
      <c r="L163" s="342" t="s">
        <v>2442</v>
      </c>
      <c r="M163" s="342" t="s">
        <v>2234</v>
      </c>
      <c r="N163" s="342" t="s">
        <v>2235</v>
      </c>
      <c r="O163" s="342" t="s">
        <v>2443</v>
      </c>
      <c r="P163" s="342" t="s">
        <v>5798</v>
      </c>
      <c r="Q163" s="402" t="s">
        <v>6787</v>
      </c>
      <c r="R163" s="402" t="s">
        <v>6845</v>
      </c>
      <c r="S163" s="402" t="s">
        <v>6845</v>
      </c>
      <c r="T163" s="402" t="s">
        <v>6836</v>
      </c>
      <c r="U163" s="403">
        <f t="shared" si="2"/>
        <v>3.5999999999999996</v>
      </c>
    </row>
    <row r="164" spans="1:21" ht="19" customHeight="1">
      <c r="A164" s="346" t="s">
        <v>5796</v>
      </c>
      <c r="B164" s="346" t="s">
        <v>2356</v>
      </c>
      <c r="C164" s="342" t="s">
        <v>517</v>
      </c>
      <c r="D164" s="343" t="s">
        <v>2357</v>
      </c>
      <c r="E164" s="343" t="s">
        <v>5871</v>
      </c>
      <c r="F164" s="355">
        <v>22</v>
      </c>
      <c r="G164" s="357"/>
      <c r="H164" s="357"/>
      <c r="I164" s="343" t="s">
        <v>5429</v>
      </c>
      <c r="J164" s="343" t="s">
        <v>2358</v>
      </c>
      <c r="K164" s="342" t="s">
        <v>2265</v>
      </c>
      <c r="L164" s="342" t="s">
        <v>2442</v>
      </c>
      <c r="M164" s="342" t="s">
        <v>2234</v>
      </c>
      <c r="N164" s="342" t="s">
        <v>2235</v>
      </c>
      <c r="O164" s="342" t="s">
        <v>2443</v>
      </c>
      <c r="P164" s="342" t="s">
        <v>5810</v>
      </c>
      <c r="Q164" s="402" t="s">
        <v>6787</v>
      </c>
      <c r="R164" s="402" t="s">
        <v>6845</v>
      </c>
      <c r="S164" s="402" t="s">
        <v>6845</v>
      </c>
      <c r="T164" s="402" t="s">
        <v>6836</v>
      </c>
      <c r="U164" s="403">
        <f t="shared" si="2"/>
        <v>13.2</v>
      </c>
    </row>
    <row r="165" spans="1:21" ht="19" customHeight="1">
      <c r="A165" s="346" t="s">
        <v>5796</v>
      </c>
      <c r="B165" s="346" t="s">
        <v>2359</v>
      </c>
      <c r="C165" s="342" t="s">
        <v>517</v>
      </c>
      <c r="D165" s="343" t="s">
        <v>2360</v>
      </c>
      <c r="E165" s="343" t="s">
        <v>5872</v>
      </c>
      <c r="F165" s="355">
        <v>12</v>
      </c>
      <c r="G165" s="357"/>
      <c r="H165" s="357"/>
      <c r="I165" s="343" t="s">
        <v>5430</v>
      </c>
      <c r="J165" s="343" t="s">
        <v>2362</v>
      </c>
      <c r="K165" s="342" t="s">
        <v>2361</v>
      </c>
      <c r="L165" s="342" t="s">
        <v>2442</v>
      </c>
      <c r="M165" s="342" t="s">
        <v>2234</v>
      </c>
      <c r="N165" s="342" t="s">
        <v>2235</v>
      </c>
      <c r="O165" s="342" t="s">
        <v>2443</v>
      </c>
      <c r="P165" s="342" t="s">
        <v>5812</v>
      </c>
      <c r="Q165" s="402" t="s">
        <v>6787</v>
      </c>
      <c r="R165" s="402" t="s">
        <v>6845</v>
      </c>
      <c r="S165" s="402" t="s">
        <v>6845</v>
      </c>
      <c r="T165" s="402" t="s">
        <v>6836</v>
      </c>
      <c r="U165" s="403">
        <f t="shared" si="2"/>
        <v>7.1999999999999993</v>
      </c>
    </row>
    <row r="166" spans="1:21" ht="19" customHeight="1">
      <c r="A166" s="346" t="s">
        <v>5796</v>
      </c>
      <c r="B166" s="346" t="s">
        <v>2363</v>
      </c>
      <c r="C166" s="342" t="s">
        <v>517</v>
      </c>
      <c r="D166" s="343" t="s">
        <v>2364</v>
      </c>
      <c r="E166" s="343" t="s">
        <v>5873</v>
      </c>
      <c r="F166" s="355">
        <v>5</v>
      </c>
      <c r="G166" s="357"/>
      <c r="H166" s="357"/>
      <c r="I166" s="343" t="s">
        <v>5431</v>
      </c>
      <c r="J166" s="343" t="s">
        <v>2365</v>
      </c>
      <c r="K166" s="342" t="s">
        <v>2258</v>
      </c>
      <c r="L166" s="342" t="s">
        <v>2442</v>
      </c>
      <c r="M166" s="342" t="s">
        <v>2234</v>
      </c>
      <c r="N166" s="342" t="s">
        <v>2235</v>
      </c>
      <c r="O166" s="342" t="s">
        <v>2443</v>
      </c>
      <c r="P166" s="342" t="s">
        <v>5798</v>
      </c>
      <c r="Q166" s="402" t="s">
        <v>6787</v>
      </c>
      <c r="R166" s="402" t="s">
        <v>6845</v>
      </c>
      <c r="S166" s="402" t="s">
        <v>6845</v>
      </c>
      <c r="T166" s="402" t="s">
        <v>6836</v>
      </c>
      <c r="U166" s="403">
        <f t="shared" si="2"/>
        <v>3</v>
      </c>
    </row>
    <row r="167" spans="1:21" ht="19" customHeight="1">
      <c r="A167" s="346" t="s">
        <v>5796</v>
      </c>
      <c r="B167" s="346" t="s">
        <v>2366</v>
      </c>
      <c r="C167" s="342" t="s">
        <v>517</v>
      </c>
      <c r="D167" s="343" t="s">
        <v>2367</v>
      </c>
      <c r="E167" s="343" t="s">
        <v>5874</v>
      </c>
      <c r="F167" s="355">
        <v>22</v>
      </c>
      <c r="G167" s="357"/>
      <c r="H167" s="357"/>
      <c r="I167" s="343" t="s">
        <v>5432</v>
      </c>
      <c r="J167" s="343" t="s">
        <v>2368</v>
      </c>
      <c r="K167" s="342" t="s">
        <v>2342</v>
      </c>
      <c r="L167" s="342" t="s">
        <v>2442</v>
      </c>
      <c r="M167" s="342" t="s">
        <v>2234</v>
      </c>
      <c r="N167" s="342" t="s">
        <v>2235</v>
      </c>
      <c r="O167" s="342" t="s">
        <v>2443</v>
      </c>
      <c r="P167" s="342" t="s">
        <v>5810</v>
      </c>
      <c r="Q167" s="402" t="s">
        <v>6787</v>
      </c>
      <c r="R167" s="402" t="s">
        <v>6845</v>
      </c>
      <c r="S167" s="402" t="s">
        <v>6845</v>
      </c>
      <c r="T167" s="402" t="s">
        <v>6836</v>
      </c>
      <c r="U167" s="403">
        <f t="shared" si="2"/>
        <v>13.2</v>
      </c>
    </row>
    <row r="168" spans="1:21" ht="19" customHeight="1">
      <c r="A168" s="346" t="s">
        <v>5796</v>
      </c>
      <c r="B168" s="346" t="s">
        <v>2369</v>
      </c>
      <c r="C168" s="342" t="s">
        <v>517</v>
      </c>
      <c r="D168" s="343" t="s">
        <v>2370</v>
      </c>
      <c r="E168" s="343" t="s">
        <v>5875</v>
      </c>
      <c r="F168" s="355">
        <v>10</v>
      </c>
      <c r="G168" s="357"/>
      <c r="H168" s="357"/>
      <c r="I168" s="343" t="s">
        <v>5433</v>
      </c>
      <c r="J168" s="343" t="s">
        <v>2259</v>
      </c>
      <c r="K168" s="342" t="s">
        <v>2258</v>
      </c>
      <c r="L168" s="342" t="s">
        <v>2442</v>
      </c>
      <c r="M168" s="342" t="s">
        <v>2234</v>
      </c>
      <c r="N168" s="342" t="s">
        <v>2235</v>
      </c>
      <c r="O168" s="342" t="s">
        <v>2443</v>
      </c>
      <c r="P168" s="342" t="s">
        <v>5812</v>
      </c>
      <c r="Q168" s="402" t="s">
        <v>6787</v>
      </c>
      <c r="R168" s="402" t="s">
        <v>6845</v>
      </c>
      <c r="S168" s="402" t="s">
        <v>6845</v>
      </c>
      <c r="T168" s="402" t="s">
        <v>6836</v>
      </c>
      <c r="U168" s="403">
        <f t="shared" si="2"/>
        <v>6</v>
      </c>
    </row>
    <row r="169" spans="1:21" ht="19" customHeight="1">
      <c r="A169" s="346" t="s">
        <v>5796</v>
      </c>
      <c r="B169" s="346" t="s">
        <v>2371</v>
      </c>
      <c r="C169" s="342" t="s">
        <v>517</v>
      </c>
      <c r="D169" s="343" t="s">
        <v>2372</v>
      </c>
      <c r="E169" s="343" t="s">
        <v>5876</v>
      </c>
      <c r="F169" s="355">
        <v>5</v>
      </c>
      <c r="G169" s="357"/>
      <c r="H169" s="357"/>
      <c r="I169" s="343" t="s">
        <v>5434</v>
      </c>
      <c r="J169" s="343" t="s">
        <v>2229</v>
      </c>
      <c r="K169" s="342" t="s">
        <v>2231</v>
      </c>
      <c r="L169" s="342" t="s">
        <v>2442</v>
      </c>
      <c r="M169" s="342" t="s">
        <v>2234</v>
      </c>
      <c r="N169" s="342" t="s">
        <v>2235</v>
      </c>
      <c r="O169" s="342" t="s">
        <v>2443</v>
      </c>
      <c r="P169" s="342" t="s">
        <v>5798</v>
      </c>
      <c r="Q169" s="402" t="s">
        <v>6787</v>
      </c>
      <c r="R169" s="402" t="s">
        <v>6845</v>
      </c>
      <c r="S169" s="402" t="s">
        <v>6845</v>
      </c>
      <c r="T169" s="402" t="s">
        <v>6836</v>
      </c>
      <c r="U169" s="403">
        <f t="shared" si="2"/>
        <v>3</v>
      </c>
    </row>
    <row r="170" spans="1:21" ht="19" customHeight="1">
      <c r="A170" s="346" t="s">
        <v>5796</v>
      </c>
      <c r="B170" s="346" t="s">
        <v>2373</v>
      </c>
      <c r="C170" s="342" t="s">
        <v>517</v>
      </c>
      <c r="D170" s="343" t="s">
        <v>2374</v>
      </c>
      <c r="E170" s="343" t="s">
        <v>5877</v>
      </c>
      <c r="F170" s="355">
        <v>9</v>
      </c>
      <c r="G170" s="357"/>
      <c r="H170" s="357"/>
      <c r="I170" s="343" t="s">
        <v>5435</v>
      </c>
      <c r="J170" s="343" t="s">
        <v>2334</v>
      </c>
      <c r="K170" s="342" t="s">
        <v>2375</v>
      </c>
      <c r="L170" s="342" t="s">
        <v>2442</v>
      </c>
      <c r="M170" s="342" t="s">
        <v>2234</v>
      </c>
      <c r="N170" s="342" t="s">
        <v>2235</v>
      </c>
      <c r="O170" s="342" t="s">
        <v>2443</v>
      </c>
      <c r="P170" s="342" t="s">
        <v>5812</v>
      </c>
      <c r="Q170" s="402" t="s">
        <v>6787</v>
      </c>
      <c r="R170" s="402" t="s">
        <v>6845</v>
      </c>
      <c r="S170" s="402" t="s">
        <v>6845</v>
      </c>
      <c r="T170" s="402" t="s">
        <v>6836</v>
      </c>
      <c r="U170" s="403">
        <f t="shared" si="2"/>
        <v>5.3999999999999995</v>
      </c>
    </row>
    <row r="171" spans="1:21" ht="19" customHeight="1">
      <c r="A171" s="346" t="s">
        <v>5796</v>
      </c>
      <c r="B171" s="346" t="s">
        <v>2376</v>
      </c>
      <c r="C171" s="342" t="s">
        <v>517</v>
      </c>
      <c r="D171" s="343" t="s">
        <v>2377</v>
      </c>
      <c r="E171" s="343" t="s">
        <v>5878</v>
      </c>
      <c r="F171" s="355">
        <v>10</v>
      </c>
      <c r="G171" s="357"/>
      <c r="H171" s="357"/>
      <c r="I171" s="343" t="s">
        <v>5436</v>
      </c>
      <c r="J171" s="343" t="s">
        <v>2378</v>
      </c>
      <c r="K171" s="342" t="s">
        <v>2268</v>
      </c>
      <c r="L171" s="342" t="s">
        <v>2442</v>
      </c>
      <c r="M171" s="342" t="s">
        <v>2234</v>
      </c>
      <c r="N171" s="342" t="s">
        <v>2311</v>
      </c>
      <c r="O171" s="342" t="s">
        <v>2443</v>
      </c>
      <c r="P171" s="342" t="s">
        <v>5812</v>
      </c>
      <c r="Q171" s="402" t="s">
        <v>6787</v>
      </c>
      <c r="R171" s="402" t="s">
        <v>6845</v>
      </c>
      <c r="S171" s="402" t="s">
        <v>6845</v>
      </c>
      <c r="T171" s="402" t="s">
        <v>6836</v>
      </c>
      <c r="U171" s="403">
        <f t="shared" si="2"/>
        <v>6</v>
      </c>
    </row>
    <row r="172" spans="1:21" ht="19" customHeight="1">
      <c r="A172" s="346" t="s">
        <v>5796</v>
      </c>
      <c r="B172" s="346" t="s">
        <v>2379</v>
      </c>
      <c r="C172" s="342" t="s">
        <v>517</v>
      </c>
      <c r="D172" s="343" t="s">
        <v>1441</v>
      </c>
      <c r="E172" s="343" t="s">
        <v>5879</v>
      </c>
      <c r="F172" s="355">
        <v>5</v>
      </c>
      <c r="G172" s="357"/>
      <c r="H172" s="357"/>
      <c r="I172" s="343" t="s">
        <v>5437</v>
      </c>
      <c r="J172" s="343" t="s">
        <v>2294</v>
      </c>
      <c r="K172" s="342" t="s">
        <v>2380</v>
      </c>
      <c r="L172" s="342" t="s">
        <v>2442</v>
      </c>
      <c r="M172" s="342" t="s">
        <v>2239</v>
      </c>
      <c r="N172" s="342" t="s">
        <v>2311</v>
      </c>
      <c r="O172" s="342" t="s">
        <v>2443</v>
      </c>
      <c r="P172" s="342" t="s">
        <v>5798</v>
      </c>
      <c r="Q172" s="402" t="s">
        <v>6787</v>
      </c>
      <c r="R172" s="402" t="s">
        <v>6845</v>
      </c>
      <c r="S172" s="402" t="s">
        <v>6845</v>
      </c>
      <c r="T172" s="402" t="s">
        <v>6836</v>
      </c>
      <c r="U172" s="403">
        <f t="shared" si="2"/>
        <v>3</v>
      </c>
    </row>
    <row r="173" spans="1:21" ht="19" customHeight="1">
      <c r="A173" s="346" t="s">
        <v>5796</v>
      </c>
      <c r="B173" s="346" t="s">
        <v>2473</v>
      </c>
      <c r="C173" s="342" t="s">
        <v>517</v>
      </c>
      <c r="D173" s="343" t="s">
        <v>2474</v>
      </c>
      <c r="E173" s="343" t="s">
        <v>5880</v>
      </c>
      <c r="F173" s="355">
        <v>10</v>
      </c>
      <c r="G173" s="357"/>
      <c r="H173" s="357"/>
      <c r="I173" s="343" t="s">
        <v>5438</v>
      </c>
      <c r="J173" s="343" t="s">
        <v>2351</v>
      </c>
      <c r="K173" s="342" t="s">
        <v>2268</v>
      </c>
      <c r="L173" s="342" t="s">
        <v>2442</v>
      </c>
      <c r="M173" s="342" t="s">
        <v>2234</v>
      </c>
      <c r="N173" s="342" t="s">
        <v>2448</v>
      </c>
      <c r="O173" s="342" t="s">
        <v>1086</v>
      </c>
      <c r="P173" s="342" t="s">
        <v>5812</v>
      </c>
      <c r="Q173" s="402" t="s">
        <v>6787</v>
      </c>
      <c r="R173" s="402" t="s">
        <v>6845</v>
      </c>
      <c r="S173" s="402" t="s">
        <v>6845</v>
      </c>
      <c r="T173" s="402" t="s">
        <v>6836</v>
      </c>
      <c r="U173" s="403">
        <f t="shared" si="2"/>
        <v>6</v>
      </c>
    </row>
    <row r="174" spans="1:21" ht="19" customHeight="1">
      <c r="A174" s="346" t="s">
        <v>5796</v>
      </c>
      <c r="B174" s="346" t="s">
        <v>2475</v>
      </c>
      <c r="C174" s="342" t="s">
        <v>517</v>
      </c>
      <c r="D174" s="343" t="s">
        <v>2476</v>
      </c>
      <c r="E174" s="343" t="s">
        <v>5881</v>
      </c>
      <c r="F174" s="355">
        <v>9</v>
      </c>
      <c r="G174" s="357"/>
      <c r="H174" s="357"/>
      <c r="I174" s="343" t="s">
        <v>5439</v>
      </c>
      <c r="J174" s="343" t="s">
        <v>2395</v>
      </c>
      <c r="K174" s="342" t="s">
        <v>2414</v>
      </c>
      <c r="L174" s="342" t="s">
        <v>2442</v>
      </c>
      <c r="M174" s="342" t="s">
        <v>2234</v>
      </c>
      <c r="N174" s="342" t="s">
        <v>2448</v>
      </c>
      <c r="O174" s="342" t="s">
        <v>2477</v>
      </c>
      <c r="P174" s="342" t="s">
        <v>5812</v>
      </c>
      <c r="Q174" s="402" t="s">
        <v>6787</v>
      </c>
      <c r="R174" s="402" t="s">
        <v>6845</v>
      </c>
      <c r="S174" s="402" t="s">
        <v>6845</v>
      </c>
      <c r="T174" s="402" t="s">
        <v>6836</v>
      </c>
      <c r="U174" s="403">
        <f t="shared" si="2"/>
        <v>5.3999999999999995</v>
      </c>
    </row>
    <row r="175" spans="1:21" ht="19" customHeight="1">
      <c r="A175" s="346" t="s">
        <v>5796</v>
      </c>
      <c r="B175" s="346" t="s">
        <v>2478</v>
      </c>
      <c r="C175" s="342" t="s">
        <v>517</v>
      </c>
      <c r="D175" s="343" t="s">
        <v>2479</v>
      </c>
      <c r="E175" s="343" t="s">
        <v>5882</v>
      </c>
      <c r="F175" s="355">
        <v>9</v>
      </c>
      <c r="G175" s="357"/>
      <c r="H175" s="357"/>
      <c r="I175" s="343" t="s">
        <v>5440</v>
      </c>
      <c r="J175" s="343" t="s">
        <v>2366</v>
      </c>
      <c r="K175" s="342" t="s">
        <v>2324</v>
      </c>
      <c r="L175" s="342" t="s">
        <v>2442</v>
      </c>
      <c r="M175" s="342" t="s">
        <v>2234</v>
      </c>
      <c r="N175" s="342" t="s">
        <v>2448</v>
      </c>
      <c r="O175" s="342" t="s">
        <v>2480</v>
      </c>
      <c r="P175" s="342" t="s">
        <v>5812</v>
      </c>
      <c r="Q175" s="402" t="s">
        <v>6787</v>
      </c>
      <c r="R175" s="402" t="s">
        <v>6845</v>
      </c>
      <c r="S175" s="402" t="s">
        <v>6845</v>
      </c>
      <c r="T175" s="402" t="s">
        <v>6836</v>
      </c>
      <c r="U175" s="403">
        <f t="shared" si="2"/>
        <v>5.3999999999999995</v>
      </c>
    </row>
    <row r="176" spans="1:21" ht="19" customHeight="1">
      <c r="A176" s="346" t="s">
        <v>5796</v>
      </c>
      <c r="B176" s="346" t="s">
        <v>2481</v>
      </c>
      <c r="C176" s="342" t="s">
        <v>517</v>
      </c>
      <c r="D176" s="343" t="s">
        <v>2482</v>
      </c>
      <c r="E176" s="343" t="s">
        <v>5883</v>
      </c>
      <c r="F176" s="355">
        <v>10</v>
      </c>
      <c r="G176" s="357"/>
      <c r="H176" s="357"/>
      <c r="I176" s="343" t="s">
        <v>5441</v>
      </c>
      <c r="J176" s="343" t="s">
        <v>2369</v>
      </c>
      <c r="K176" s="342" t="s">
        <v>2254</v>
      </c>
      <c r="L176" s="342" t="s">
        <v>2442</v>
      </c>
      <c r="M176" s="342" t="s">
        <v>2234</v>
      </c>
      <c r="N176" s="342" t="s">
        <v>2448</v>
      </c>
      <c r="O176" s="342" t="s">
        <v>1087</v>
      </c>
      <c r="P176" s="342" t="s">
        <v>5812</v>
      </c>
      <c r="Q176" s="402" t="s">
        <v>6787</v>
      </c>
      <c r="R176" s="402" t="s">
        <v>6845</v>
      </c>
      <c r="S176" s="402" t="s">
        <v>6845</v>
      </c>
      <c r="T176" s="402" t="s">
        <v>6836</v>
      </c>
      <c r="U176" s="403">
        <f t="shared" si="2"/>
        <v>6</v>
      </c>
    </row>
    <row r="177" spans="1:21" ht="19" customHeight="1">
      <c r="A177" s="346" t="s">
        <v>5796</v>
      </c>
      <c r="B177" s="346" t="s">
        <v>5480</v>
      </c>
      <c r="C177" s="342" t="s">
        <v>517</v>
      </c>
      <c r="D177" s="343" t="s">
        <v>5481</v>
      </c>
      <c r="E177" s="343" t="s">
        <v>5884</v>
      </c>
      <c r="F177" s="355">
        <v>10</v>
      </c>
      <c r="G177" s="357"/>
      <c r="H177" s="357"/>
      <c r="I177" s="343" t="s">
        <v>5484</v>
      </c>
      <c r="J177" s="343" t="s">
        <v>2359</v>
      </c>
      <c r="K177" s="342" t="s">
        <v>2361</v>
      </c>
      <c r="L177" s="342" t="s">
        <v>2442</v>
      </c>
      <c r="M177" s="342" t="s">
        <v>2239</v>
      </c>
      <c r="N177" s="342" t="s">
        <v>5482</v>
      </c>
      <c r="O177" s="342" t="s">
        <v>5483</v>
      </c>
      <c r="P177" s="342" t="s">
        <v>5885</v>
      </c>
      <c r="Q177" s="402" t="s">
        <v>6787</v>
      </c>
      <c r="R177" s="402" t="s">
        <v>6845</v>
      </c>
      <c r="S177" s="402" t="s">
        <v>6845</v>
      </c>
      <c r="T177" s="402" t="s">
        <v>6836</v>
      </c>
      <c r="U177" s="403">
        <f t="shared" si="2"/>
        <v>6</v>
      </c>
    </row>
    <row r="178" spans="1:21" ht="19" customHeight="1">
      <c r="A178" s="346" t="s">
        <v>5796</v>
      </c>
      <c r="B178" s="346" t="s">
        <v>5656</v>
      </c>
      <c r="C178" s="342" t="s">
        <v>517</v>
      </c>
      <c r="D178" s="343" t="s">
        <v>5657</v>
      </c>
      <c r="E178" s="343" t="s">
        <v>5886</v>
      </c>
      <c r="F178" s="355">
        <v>6</v>
      </c>
      <c r="G178" s="357"/>
      <c r="H178" s="357"/>
      <c r="I178" s="343" t="s">
        <v>5659</v>
      </c>
      <c r="J178" s="343" t="s">
        <v>5658</v>
      </c>
      <c r="K178" s="342" t="s">
        <v>2300</v>
      </c>
      <c r="L178" s="342" t="s">
        <v>2442</v>
      </c>
      <c r="M178" s="342" t="s">
        <v>2234</v>
      </c>
      <c r="N178" s="342" t="s">
        <v>5654</v>
      </c>
      <c r="O178" s="342" t="s">
        <v>2674</v>
      </c>
      <c r="P178" s="342" t="s">
        <v>5812</v>
      </c>
      <c r="Q178" s="402" t="s">
        <v>6787</v>
      </c>
      <c r="R178" s="402" t="s">
        <v>6845</v>
      </c>
      <c r="S178" s="402" t="s">
        <v>6845</v>
      </c>
      <c r="T178" s="402" t="s">
        <v>6836</v>
      </c>
      <c r="U178" s="403">
        <f t="shared" si="2"/>
        <v>3.5999999999999996</v>
      </c>
    </row>
    <row r="179" spans="1:21" ht="19" customHeight="1">
      <c r="A179" s="346" t="s">
        <v>5796</v>
      </c>
      <c r="B179" s="346" t="s">
        <v>2381</v>
      </c>
      <c r="C179" s="342" t="s">
        <v>519</v>
      </c>
      <c r="D179" s="343" t="s">
        <v>2382</v>
      </c>
      <c r="E179" s="343" t="s">
        <v>5887</v>
      </c>
      <c r="F179" s="355">
        <v>10</v>
      </c>
      <c r="G179" s="357"/>
      <c r="H179" s="357"/>
      <c r="I179" s="343" t="s">
        <v>5442</v>
      </c>
      <c r="J179" s="343" t="s">
        <v>2383</v>
      </c>
      <c r="K179" s="342" t="s">
        <v>2345</v>
      </c>
      <c r="L179" s="342" t="s">
        <v>2442</v>
      </c>
      <c r="M179" s="342" t="s">
        <v>2234</v>
      </c>
      <c r="N179" s="342" t="s">
        <v>2235</v>
      </c>
      <c r="O179" s="342" t="s">
        <v>2443</v>
      </c>
      <c r="P179" s="342" t="s">
        <v>5812</v>
      </c>
      <c r="Q179" s="402" t="s">
        <v>6787</v>
      </c>
      <c r="R179" s="402" t="s">
        <v>6845</v>
      </c>
      <c r="S179" s="402" t="s">
        <v>6845</v>
      </c>
      <c r="T179" s="402" t="s">
        <v>6836</v>
      </c>
      <c r="U179" s="403">
        <f t="shared" si="2"/>
        <v>6</v>
      </c>
    </row>
    <row r="180" spans="1:21" ht="19" customHeight="1">
      <c r="A180" s="346" t="s">
        <v>5796</v>
      </c>
      <c r="B180" s="346" t="s">
        <v>2384</v>
      </c>
      <c r="C180" s="342" t="s">
        <v>519</v>
      </c>
      <c r="D180" s="343" t="s">
        <v>2385</v>
      </c>
      <c r="E180" s="343" t="s">
        <v>5888</v>
      </c>
      <c r="F180" s="355">
        <v>12</v>
      </c>
      <c r="G180" s="357"/>
      <c r="H180" s="357"/>
      <c r="I180" s="343" t="s">
        <v>5443</v>
      </c>
      <c r="J180" s="343" t="s">
        <v>5889</v>
      </c>
      <c r="K180" s="342" t="s">
        <v>2342</v>
      </c>
      <c r="L180" s="342" t="s">
        <v>2442</v>
      </c>
      <c r="M180" s="342" t="s">
        <v>2239</v>
      </c>
      <c r="N180" s="342" t="s">
        <v>2235</v>
      </c>
      <c r="O180" s="342" t="s">
        <v>2443</v>
      </c>
      <c r="P180" s="342" t="s">
        <v>5890</v>
      </c>
      <c r="Q180" s="402" t="s">
        <v>6787</v>
      </c>
      <c r="R180" s="402" t="s">
        <v>6845</v>
      </c>
      <c r="S180" s="402" t="s">
        <v>6845</v>
      </c>
      <c r="T180" s="402" t="s">
        <v>6836</v>
      </c>
      <c r="U180" s="403">
        <f t="shared" si="2"/>
        <v>7.1999999999999993</v>
      </c>
    </row>
    <row r="181" spans="1:21" ht="19" customHeight="1">
      <c r="A181" s="346" t="s">
        <v>5796</v>
      </c>
      <c r="B181" s="346" t="s">
        <v>2386</v>
      </c>
      <c r="C181" s="342" t="s">
        <v>519</v>
      </c>
      <c r="D181" s="343" t="s">
        <v>2387</v>
      </c>
      <c r="E181" s="343" t="s">
        <v>5891</v>
      </c>
      <c r="F181" s="355">
        <v>12</v>
      </c>
      <c r="G181" s="357"/>
      <c r="H181" s="357"/>
      <c r="I181" s="343" t="s">
        <v>5444</v>
      </c>
      <c r="J181" s="343" t="s">
        <v>5892</v>
      </c>
      <c r="K181" s="342" t="s">
        <v>2258</v>
      </c>
      <c r="L181" s="342" t="s">
        <v>2442</v>
      </c>
      <c r="M181" s="342" t="s">
        <v>2234</v>
      </c>
      <c r="N181" s="342" t="s">
        <v>2235</v>
      </c>
      <c r="O181" s="342" t="s">
        <v>2443</v>
      </c>
      <c r="P181" s="342" t="s">
        <v>5812</v>
      </c>
      <c r="Q181" s="402" t="s">
        <v>6787</v>
      </c>
      <c r="R181" s="402" t="s">
        <v>6845</v>
      </c>
      <c r="S181" s="402" t="s">
        <v>6845</v>
      </c>
      <c r="T181" s="402" t="s">
        <v>6836</v>
      </c>
      <c r="U181" s="403">
        <f t="shared" si="2"/>
        <v>7.1999999999999993</v>
      </c>
    </row>
    <row r="182" spans="1:21" ht="19" customHeight="1">
      <c r="A182" s="346" t="s">
        <v>5796</v>
      </c>
      <c r="B182" s="346" t="s">
        <v>2388</v>
      </c>
      <c r="C182" s="342" t="s">
        <v>519</v>
      </c>
      <c r="D182" s="343" t="s">
        <v>2389</v>
      </c>
      <c r="E182" s="343" t="s">
        <v>5893</v>
      </c>
      <c r="F182" s="355">
        <v>15</v>
      </c>
      <c r="G182" s="357"/>
      <c r="H182" s="357"/>
      <c r="I182" s="343" t="s">
        <v>5445</v>
      </c>
      <c r="J182" s="343" t="s">
        <v>5894</v>
      </c>
      <c r="K182" s="342" t="s">
        <v>2300</v>
      </c>
      <c r="L182" s="342" t="s">
        <v>2442</v>
      </c>
      <c r="M182" s="342" t="s">
        <v>2234</v>
      </c>
      <c r="N182" s="342" t="s">
        <v>2235</v>
      </c>
      <c r="O182" s="342" t="s">
        <v>2443</v>
      </c>
      <c r="P182" s="342" t="s">
        <v>5812</v>
      </c>
      <c r="Q182" s="402" t="s">
        <v>6787</v>
      </c>
      <c r="R182" s="402" t="s">
        <v>6845</v>
      </c>
      <c r="S182" s="402" t="s">
        <v>6845</v>
      </c>
      <c r="T182" s="402" t="s">
        <v>6836</v>
      </c>
      <c r="U182" s="403">
        <f t="shared" si="2"/>
        <v>9</v>
      </c>
    </row>
    <row r="183" spans="1:21" ht="19" customHeight="1">
      <c r="A183" s="346" t="s">
        <v>5796</v>
      </c>
      <c r="B183" s="346" t="s">
        <v>2390</v>
      </c>
      <c r="C183" s="342" t="s">
        <v>519</v>
      </c>
      <c r="D183" s="343" t="s">
        <v>2391</v>
      </c>
      <c r="E183" s="343" t="s">
        <v>5895</v>
      </c>
      <c r="F183" s="355">
        <v>5</v>
      </c>
      <c r="G183" s="357"/>
      <c r="H183" s="357"/>
      <c r="I183" s="343" t="s">
        <v>5446</v>
      </c>
      <c r="J183" s="343" t="s">
        <v>2392</v>
      </c>
      <c r="K183" s="342" t="s">
        <v>2342</v>
      </c>
      <c r="L183" s="342" t="s">
        <v>2442</v>
      </c>
      <c r="M183" s="342" t="s">
        <v>2234</v>
      </c>
      <c r="N183" s="342" t="s">
        <v>2235</v>
      </c>
      <c r="O183" s="342" t="s">
        <v>2443</v>
      </c>
      <c r="P183" s="342" t="s">
        <v>5798</v>
      </c>
      <c r="Q183" s="402" t="s">
        <v>6787</v>
      </c>
      <c r="R183" s="402" t="s">
        <v>6845</v>
      </c>
      <c r="S183" s="402" t="s">
        <v>6845</v>
      </c>
      <c r="T183" s="402" t="s">
        <v>6836</v>
      </c>
      <c r="U183" s="403">
        <f t="shared" si="2"/>
        <v>3</v>
      </c>
    </row>
    <row r="184" spans="1:21" ht="19" customHeight="1">
      <c r="A184" s="346" t="s">
        <v>5796</v>
      </c>
      <c r="B184" s="346" t="s">
        <v>2483</v>
      </c>
      <c r="C184" s="342" t="s">
        <v>519</v>
      </c>
      <c r="D184" s="343" t="s">
        <v>2484</v>
      </c>
      <c r="E184" s="343" t="s">
        <v>5896</v>
      </c>
      <c r="F184" s="355">
        <v>5</v>
      </c>
      <c r="G184" s="357"/>
      <c r="H184" s="357"/>
      <c r="I184" s="343" t="s">
        <v>5447</v>
      </c>
      <c r="J184" s="343" t="s">
        <v>2255</v>
      </c>
      <c r="K184" s="342" t="s">
        <v>2258</v>
      </c>
      <c r="L184" s="342" t="s">
        <v>2442</v>
      </c>
      <c r="M184" s="342" t="s">
        <v>2234</v>
      </c>
      <c r="N184" s="342" t="s">
        <v>2448</v>
      </c>
      <c r="O184" s="342" t="s">
        <v>1127</v>
      </c>
      <c r="P184" s="342" t="s">
        <v>5798</v>
      </c>
      <c r="Q184" s="402" t="s">
        <v>6787</v>
      </c>
      <c r="R184" s="402" t="s">
        <v>6845</v>
      </c>
      <c r="S184" s="402" t="s">
        <v>6845</v>
      </c>
      <c r="T184" s="402" t="s">
        <v>6836</v>
      </c>
      <c r="U184" s="403">
        <f t="shared" si="2"/>
        <v>3</v>
      </c>
    </row>
    <row r="185" spans="1:21" ht="26" customHeight="1">
      <c r="A185" s="342" t="s">
        <v>5796</v>
      </c>
      <c r="B185" s="342" t="s">
        <v>2485</v>
      </c>
      <c r="C185" s="342" t="s">
        <v>519</v>
      </c>
      <c r="D185" s="343" t="s">
        <v>2486</v>
      </c>
      <c r="E185" s="343" t="s">
        <v>5897</v>
      </c>
      <c r="F185" s="355">
        <v>8</v>
      </c>
      <c r="G185" s="343"/>
      <c r="H185" s="343"/>
      <c r="I185" s="343" t="s">
        <v>5448</v>
      </c>
      <c r="J185" s="342" t="s">
        <v>2259</v>
      </c>
      <c r="K185" s="342" t="s">
        <v>2345</v>
      </c>
      <c r="L185" s="342" t="s">
        <v>2442</v>
      </c>
      <c r="M185" s="342" t="s">
        <v>2234</v>
      </c>
      <c r="N185" s="342" t="s">
        <v>2448</v>
      </c>
      <c r="O185" s="342" t="s">
        <v>1128</v>
      </c>
      <c r="P185" s="342" t="s">
        <v>5798</v>
      </c>
      <c r="Q185" s="402" t="s">
        <v>6787</v>
      </c>
      <c r="R185" s="402" t="s">
        <v>6845</v>
      </c>
      <c r="S185" s="402" t="s">
        <v>6845</v>
      </c>
      <c r="T185" s="402" t="s">
        <v>6836</v>
      </c>
      <c r="U185" s="403">
        <f t="shared" si="2"/>
        <v>4.8</v>
      </c>
    </row>
    <row r="186" spans="1:21" ht="26" customHeight="1">
      <c r="A186" s="342" t="s">
        <v>5796</v>
      </c>
      <c r="B186" s="342" t="s">
        <v>2487</v>
      </c>
      <c r="C186" s="342" t="s">
        <v>519</v>
      </c>
      <c r="D186" s="343" t="s">
        <v>2488</v>
      </c>
      <c r="E186" s="343" t="s">
        <v>5898</v>
      </c>
      <c r="F186" s="355">
        <v>8</v>
      </c>
      <c r="G186" s="343"/>
      <c r="H186" s="343"/>
      <c r="I186" s="343" t="s">
        <v>5449</v>
      </c>
      <c r="J186" s="342" t="s">
        <v>2395</v>
      </c>
      <c r="K186" s="342" t="s">
        <v>2342</v>
      </c>
      <c r="L186" s="342" t="s">
        <v>2442</v>
      </c>
      <c r="M186" s="342" t="s">
        <v>2234</v>
      </c>
      <c r="N186" s="342" t="s">
        <v>2448</v>
      </c>
      <c r="O186" s="342" t="s">
        <v>1129</v>
      </c>
      <c r="P186" s="342" t="s">
        <v>5798</v>
      </c>
      <c r="Q186" s="402" t="s">
        <v>6787</v>
      </c>
      <c r="R186" s="402" t="s">
        <v>6845</v>
      </c>
      <c r="S186" s="402" t="s">
        <v>6845</v>
      </c>
      <c r="T186" s="402" t="s">
        <v>6836</v>
      </c>
      <c r="U186" s="403">
        <f t="shared" si="2"/>
        <v>4.8</v>
      </c>
    </row>
    <row r="187" spans="1:21" ht="26" customHeight="1">
      <c r="A187" s="346" t="s">
        <v>5796</v>
      </c>
      <c r="B187" s="342" t="s">
        <v>2489</v>
      </c>
      <c r="C187" s="342" t="s">
        <v>519</v>
      </c>
      <c r="D187" s="343" t="s">
        <v>2490</v>
      </c>
      <c r="E187" s="343" t="s">
        <v>5899</v>
      </c>
      <c r="F187" s="355">
        <v>6</v>
      </c>
      <c r="G187" s="343"/>
      <c r="H187" s="343"/>
      <c r="I187" s="343" t="s">
        <v>5450</v>
      </c>
      <c r="J187" s="342" t="s">
        <v>2384</v>
      </c>
      <c r="K187" s="342" t="s">
        <v>2324</v>
      </c>
      <c r="L187" s="342" t="s">
        <v>2442</v>
      </c>
      <c r="M187" s="342" t="s">
        <v>2234</v>
      </c>
      <c r="N187" s="342" t="s">
        <v>2448</v>
      </c>
      <c r="O187" s="342" t="s">
        <v>1132</v>
      </c>
      <c r="P187" s="342" t="s">
        <v>5798</v>
      </c>
      <c r="Q187" s="402" t="s">
        <v>6787</v>
      </c>
      <c r="R187" s="402" t="s">
        <v>6845</v>
      </c>
      <c r="S187" s="402" t="s">
        <v>6845</v>
      </c>
      <c r="T187" s="402" t="s">
        <v>6836</v>
      </c>
      <c r="U187" s="403">
        <f t="shared" si="2"/>
        <v>3.5999999999999996</v>
      </c>
    </row>
    <row r="188" spans="1:21" ht="26" customHeight="1">
      <c r="A188" s="342" t="s">
        <v>5796</v>
      </c>
      <c r="B188" s="342" t="s">
        <v>2491</v>
      </c>
      <c r="C188" s="342" t="s">
        <v>519</v>
      </c>
      <c r="D188" s="343" t="s">
        <v>2492</v>
      </c>
      <c r="E188" s="343" t="s">
        <v>5900</v>
      </c>
      <c r="F188" s="355">
        <v>10</v>
      </c>
      <c r="G188" s="343"/>
      <c r="H188" s="343"/>
      <c r="I188" s="343" t="s">
        <v>5451</v>
      </c>
      <c r="J188" s="342" t="s">
        <v>2386</v>
      </c>
      <c r="K188" s="342" t="s">
        <v>2258</v>
      </c>
      <c r="L188" s="342" t="s">
        <v>2442</v>
      </c>
      <c r="M188" s="342" t="s">
        <v>2234</v>
      </c>
      <c r="N188" s="342" t="s">
        <v>2448</v>
      </c>
      <c r="O188" s="342" t="s">
        <v>2493</v>
      </c>
      <c r="P188" s="342" t="s">
        <v>5812</v>
      </c>
      <c r="Q188" s="402" t="s">
        <v>6787</v>
      </c>
      <c r="R188" s="402" t="s">
        <v>6845</v>
      </c>
      <c r="S188" s="402" t="s">
        <v>6845</v>
      </c>
      <c r="T188" s="402" t="s">
        <v>6836</v>
      </c>
      <c r="U188" s="403">
        <f t="shared" si="2"/>
        <v>6</v>
      </c>
    </row>
    <row r="189" spans="1:21" ht="26" customHeight="1">
      <c r="A189" s="342" t="s">
        <v>5796</v>
      </c>
      <c r="B189" s="342" t="s">
        <v>2494</v>
      </c>
      <c r="C189" s="342" t="s">
        <v>519</v>
      </c>
      <c r="D189" s="343" t="s">
        <v>2495</v>
      </c>
      <c r="E189" s="343" t="s">
        <v>5901</v>
      </c>
      <c r="F189" s="355">
        <v>8</v>
      </c>
      <c r="G189" s="343"/>
      <c r="H189" s="343"/>
      <c r="I189" s="343" t="s">
        <v>5452</v>
      </c>
      <c r="J189" s="342" t="s">
        <v>2496</v>
      </c>
      <c r="K189" s="342" t="s">
        <v>2265</v>
      </c>
      <c r="L189" s="342" t="s">
        <v>2442</v>
      </c>
      <c r="M189" s="342" t="s">
        <v>2234</v>
      </c>
      <c r="N189" s="342" t="s">
        <v>2448</v>
      </c>
      <c r="O189" s="342" t="s">
        <v>2497</v>
      </c>
      <c r="P189" s="342" t="s">
        <v>5798</v>
      </c>
      <c r="Q189" s="402" t="s">
        <v>6787</v>
      </c>
      <c r="R189" s="402" t="s">
        <v>6845</v>
      </c>
      <c r="S189" s="402" t="s">
        <v>6845</v>
      </c>
      <c r="T189" s="402" t="s">
        <v>6836</v>
      </c>
      <c r="U189" s="403">
        <f t="shared" si="2"/>
        <v>4.8</v>
      </c>
    </row>
    <row r="190" spans="1:21" ht="26" customHeight="1">
      <c r="A190" s="342" t="s">
        <v>5796</v>
      </c>
      <c r="B190" s="342" t="s">
        <v>2498</v>
      </c>
      <c r="C190" s="342" t="s">
        <v>519</v>
      </c>
      <c r="D190" s="343" t="s">
        <v>2499</v>
      </c>
      <c r="E190" s="343" t="s">
        <v>5902</v>
      </c>
      <c r="F190" s="355">
        <v>3</v>
      </c>
      <c r="G190" s="343"/>
      <c r="H190" s="343"/>
      <c r="I190" s="343" t="s">
        <v>5453</v>
      </c>
      <c r="J190" s="342" t="s">
        <v>2384</v>
      </c>
      <c r="K190" s="342" t="s">
        <v>2324</v>
      </c>
      <c r="L190" s="342" t="s">
        <v>2442</v>
      </c>
      <c r="M190" s="342" t="s">
        <v>2234</v>
      </c>
      <c r="N190" s="342" t="s">
        <v>2448</v>
      </c>
      <c r="O190" s="342" t="s">
        <v>2500</v>
      </c>
      <c r="P190" s="342" t="s">
        <v>5798</v>
      </c>
      <c r="Q190" s="402" t="s">
        <v>6787</v>
      </c>
      <c r="R190" s="402" t="s">
        <v>6845</v>
      </c>
      <c r="S190" s="402" t="s">
        <v>6845</v>
      </c>
      <c r="T190" s="402" t="s">
        <v>6836</v>
      </c>
      <c r="U190" s="403">
        <f t="shared" si="2"/>
        <v>1.7999999999999998</v>
      </c>
    </row>
    <row r="191" spans="1:21" ht="26" customHeight="1">
      <c r="A191" s="342" t="s">
        <v>5796</v>
      </c>
      <c r="B191" s="342" t="s">
        <v>2331</v>
      </c>
      <c r="C191" s="342" t="s">
        <v>2393</v>
      </c>
      <c r="D191" s="343" t="s">
        <v>2394</v>
      </c>
      <c r="E191" s="343" t="s">
        <v>5903</v>
      </c>
      <c r="F191" s="355">
        <v>22</v>
      </c>
      <c r="G191" s="343"/>
      <c r="H191" s="343"/>
      <c r="I191" s="343" t="s">
        <v>5454</v>
      </c>
      <c r="J191" s="342" t="s">
        <v>2233</v>
      </c>
      <c r="K191" s="342" t="s">
        <v>2258</v>
      </c>
      <c r="L191" s="342" t="s">
        <v>2442</v>
      </c>
      <c r="M191" s="342" t="s">
        <v>2234</v>
      </c>
      <c r="N191" s="342" t="s">
        <v>2235</v>
      </c>
      <c r="O191" s="342" t="s">
        <v>2443</v>
      </c>
      <c r="P191" s="342" t="s">
        <v>5810</v>
      </c>
      <c r="Q191" s="402" t="s">
        <v>6787</v>
      </c>
      <c r="R191" s="402" t="s">
        <v>6845</v>
      </c>
      <c r="S191" s="402" t="s">
        <v>6845</v>
      </c>
      <c r="T191" s="402" t="s">
        <v>6836</v>
      </c>
      <c r="U191" s="403">
        <f t="shared" si="2"/>
        <v>13.2</v>
      </c>
    </row>
    <row r="192" spans="1:21" ht="26" customHeight="1">
      <c r="A192" s="342" t="s">
        <v>5796</v>
      </c>
      <c r="B192" s="342" t="s">
        <v>2395</v>
      </c>
      <c r="C192" s="342" t="s">
        <v>2393</v>
      </c>
      <c r="D192" s="343" t="s">
        <v>2396</v>
      </c>
      <c r="E192" s="343" t="s">
        <v>5904</v>
      </c>
      <c r="F192" s="355">
        <v>14</v>
      </c>
      <c r="G192" s="343"/>
      <c r="H192" s="343"/>
      <c r="I192" s="343" t="s">
        <v>5455</v>
      </c>
      <c r="J192" s="342" t="s">
        <v>2331</v>
      </c>
      <c r="K192" s="342" t="s">
        <v>2258</v>
      </c>
      <c r="L192" s="342" t="s">
        <v>2442</v>
      </c>
      <c r="M192" s="342" t="s">
        <v>2234</v>
      </c>
      <c r="N192" s="342" t="s">
        <v>2235</v>
      </c>
      <c r="O192" s="342" t="s">
        <v>2443</v>
      </c>
      <c r="P192" s="342" t="s">
        <v>5812</v>
      </c>
      <c r="Q192" s="402" t="s">
        <v>6787</v>
      </c>
      <c r="R192" s="402" t="s">
        <v>6845</v>
      </c>
      <c r="S192" s="402" t="s">
        <v>6845</v>
      </c>
      <c r="T192" s="402" t="s">
        <v>6836</v>
      </c>
      <c r="U192" s="403">
        <f t="shared" si="2"/>
        <v>8.4</v>
      </c>
    </row>
    <row r="193" spans="1:21" ht="26" customHeight="1">
      <c r="A193" s="342" t="s">
        <v>5796</v>
      </c>
      <c r="B193" s="342" t="s">
        <v>2501</v>
      </c>
      <c r="C193" s="342" t="s">
        <v>2393</v>
      </c>
      <c r="D193" s="343" t="s">
        <v>2502</v>
      </c>
      <c r="E193" s="343" t="s">
        <v>5905</v>
      </c>
      <c r="F193" s="355">
        <v>12</v>
      </c>
      <c r="G193" s="343"/>
      <c r="H193" s="343"/>
      <c r="I193" s="343" t="s">
        <v>5456</v>
      </c>
      <c r="J193" s="342" t="s">
        <v>2395</v>
      </c>
      <c r="K193" s="342" t="s">
        <v>2258</v>
      </c>
      <c r="L193" s="342" t="s">
        <v>2442</v>
      </c>
      <c r="M193" s="342" t="s">
        <v>2234</v>
      </c>
      <c r="N193" s="342" t="s">
        <v>2448</v>
      </c>
      <c r="O193" s="342" t="s">
        <v>1210</v>
      </c>
      <c r="P193" s="342" t="s">
        <v>5812</v>
      </c>
      <c r="Q193" s="402" t="s">
        <v>6787</v>
      </c>
      <c r="R193" s="402" t="s">
        <v>6845</v>
      </c>
      <c r="S193" s="402" t="s">
        <v>6845</v>
      </c>
      <c r="T193" s="402" t="s">
        <v>6836</v>
      </c>
      <c r="U193" s="403">
        <f t="shared" si="2"/>
        <v>7.1999999999999993</v>
      </c>
    </row>
    <row r="194" spans="1:21" ht="26" customHeight="1">
      <c r="A194" s="342" t="s">
        <v>5796</v>
      </c>
      <c r="B194" s="342" t="s">
        <v>2383</v>
      </c>
      <c r="C194" s="342" t="s">
        <v>2397</v>
      </c>
      <c r="D194" s="343" t="s">
        <v>2398</v>
      </c>
      <c r="E194" s="343" t="s">
        <v>5906</v>
      </c>
      <c r="F194" s="355">
        <v>13</v>
      </c>
      <c r="G194" s="343"/>
      <c r="H194" s="343"/>
      <c r="I194" s="343" t="s">
        <v>5457</v>
      </c>
      <c r="J194" s="342" t="s">
        <v>2255</v>
      </c>
      <c r="K194" s="342" t="s">
        <v>2399</v>
      </c>
      <c r="L194" s="342" t="s">
        <v>2442</v>
      </c>
      <c r="M194" s="342" t="s">
        <v>2234</v>
      </c>
      <c r="N194" s="342" t="s">
        <v>2235</v>
      </c>
      <c r="O194" s="342" t="s">
        <v>2443</v>
      </c>
      <c r="P194" s="342" t="s">
        <v>5812</v>
      </c>
      <c r="Q194" s="402" t="s">
        <v>6787</v>
      </c>
      <c r="R194" s="402" t="s">
        <v>6845</v>
      </c>
      <c r="S194" s="402" t="s">
        <v>6845</v>
      </c>
      <c r="T194" s="402" t="s">
        <v>6836</v>
      </c>
      <c r="U194" s="403">
        <f t="shared" si="2"/>
        <v>7.8</v>
      </c>
    </row>
    <row r="195" spans="1:21" ht="26" customHeight="1">
      <c r="A195" s="342" t="s">
        <v>5796</v>
      </c>
      <c r="B195" s="342" t="s">
        <v>2362</v>
      </c>
      <c r="C195" s="342" t="s">
        <v>2397</v>
      </c>
      <c r="D195" s="343" t="s">
        <v>2400</v>
      </c>
      <c r="E195" s="343" t="s">
        <v>5907</v>
      </c>
      <c r="F195" s="355">
        <v>13</v>
      </c>
      <c r="G195" s="343"/>
      <c r="H195" s="343"/>
      <c r="I195" s="343" t="s">
        <v>5458</v>
      </c>
      <c r="J195" s="342" t="s">
        <v>2401</v>
      </c>
      <c r="K195" s="342" t="s">
        <v>2258</v>
      </c>
      <c r="L195" s="342" t="s">
        <v>2442</v>
      </c>
      <c r="M195" s="342" t="s">
        <v>2234</v>
      </c>
      <c r="N195" s="342" t="s">
        <v>2235</v>
      </c>
      <c r="O195" s="342" t="s">
        <v>2443</v>
      </c>
      <c r="P195" s="342" t="s">
        <v>5812</v>
      </c>
      <c r="Q195" s="402" t="s">
        <v>6787</v>
      </c>
      <c r="R195" s="402" t="s">
        <v>6845</v>
      </c>
      <c r="S195" s="402" t="s">
        <v>6845</v>
      </c>
      <c r="T195" s="402" t="s">
        <v>6836</v>
      </c>
      <c r="U195" s="403">
        <f t="shared" si="2"/>
        <v>7.8</v>
      </c>
    </row>
    <row r="196" spans="1:21" ht="26" customHeight="1">
      <c r="A196" s="342" t="s">
        <v>5796</v>
      </c>
      <c r="B196" s="342" t="s">
        <v>2402</v>
      </c>
      <c r="C196" s="342" t="s">
        <v>2397</v>
      </c>
      <c r="D196" s="343" t="s">
        <v>2403</v>
      </c>
      <c r="E196" s="343" t="s">
        <v>5908</v>
      </c>
      <c r="F196" s="355">
        <v>25</v>
      </c>
      <c r="G196" s="343"/>
      <c r="H196" s="343"/>
      <c r="I196" s="343" t="s">
        <v>5459</v>
      </c>
      <c r="J196" s="342" t="s">
        <v>2404</v>
      </c>
      <c r="K196" s="342" t="s">
        <v>2324</v>
      </c>
      <c r="L196" s="342" t="s">
        <v>2442</v>
      </c>
      <c r="M196" s="342" t="s">
        <v>2234</v>
      </c>
      <c r="N196" s="342" t="s">
        <v>2235</v>
      </c>
      <c r="O196" s="342" t="s">
        <v>2443</v>
      </c>
      <c r="P196" s="342" t="s">
        <v>5810</v>
      </c>
      <c r="Q196" s="402" t="s">
        <v>6787</v>
      </c>
      <c r="R196" s="402" t="s">
        <v>6845</v>
      </c>
      <c r="S196" s="402" t="s">
        <v>6845</v>
      </c>
      <c r="T196" s="402" t="s">
        <v>6836</v>
      </c>
      <c r="U196" s="403">
        <f t="shared" si="2"/>
        <v>15</v>
      </c>
    </row>
    <row r="197" spans="1:21" ht="26" customHeight="1">
      <c r="A197" s="342" t="s">
        <v>5796</v>
      </c>
      <c r="B197" s="342" t="s">
        <v>2405</v>
      </c>
      <c r="C197" s="342" t="s">
        <v>2397</v>
      </c>
      <c r="D197" s="343" t="s">
        <v>2406</v>
      </c>
      <c r="E197" s="343" t="s">
        <v>5909</v>
      </c>
      <c r="F197" s="355">
        <v>12</v>
      </c>
      <c r="G197" s="343"/>
      <c r="H197" s="343"/>
      <c r="I197" s="343" t="s">
        <v>5460</v>
      </c>
      <c r="J197" s="342" t="s">
        <v>2407</v>
      </c>
      <c r="K197" s="342" t="s">
        <v>2268</v>
      </c>
      <c r="L197" s="342" t="s">
        <v>2442</v>
      </c>
      <c r="M197" s="342" t="s">
        <v>2234</v>
      </c>
      <c r="N197" s="342" t="s">
        <v>2235</v>
      </c>
      <c r="O197" s="342" t="s">
        <v>2443</v>
      </c>
      <c r="P197" s="342" t="s">
        <v>5812</v>
      </c>
      <c r="Q197" s="402" t="s">
        <v>6787</v>
      </c>
      <c r="R197" s="402" t="s">
        <v>6845</v>
      </c>
      <c r="S197" s="402" t="s">
        <v>6845</v>
      </c>
      <c r="T197" s="402" t="s">
        <v>6836</v>
      </c>
      <c r="U197" s="403">
        <f t="shared" si="2"/>
        <v>7.1999999999999993</v>
      </c>
    </row>
    <row r="198" spans="1:21" ht="26" customHeight="1">
      <c r="A198" s="342" t="s">
        <v>5796</v>
      </c>
      <c r="B198" s="342" t="s">
        <v>2408</v>
      </c>
      <c r="C198" s="342" t="s">
        <v>2397</v>
      </c>
      <c r="D198" s="343" t="s">
        <v>2409</v>
      </c>
      <c r="E198" s="343" t="s">
        <v>5910</v>
      </c>
      <c r="F198" s="355">
        <v>11</v>
      </c>
      <c r="G198" s="343"/>
      <c r="H198" s="343"/>
      <c r="I198" s="343" t="s">
        <v>5461</v>
      </c>
      <c r="J198" s="342" t="s">
        <v>2383</v>
      </c>
      <c r="K198" s="342" t="s">
        <v>2268</v>
      </c>
      <c r="L198" s="342" t="s">
        <v>2442</v>
      </c>
      <c r="M198" s="342" t="s">
        <v>2234</v>
      </c>
      <c r="N198" s="342" t="s">
        <v>2235</v>
      </c>
      <c r="O198" s="342" t="s">
        <v>2443</v>
      </c>
      <c r="P198" s="342" t="s">
        <v>5812</v>
      </c>
      <c r="Q198" s="402" t="s">
        <v>6787</v>
      </c>
      <c r="R198" s="402" t="s">
        <v>6845</v>
      </c>
      <c r="S198" s="402" t="s">
        <v>6845</v>
      </c>
      <c r="T198" s="402" t="s">
        <v>6836</v>
      </c>
      <c r="U198" s="403">
        <f t="shared" si="2"/>
        <v>6.6</v>
      </c>
    </row>
    <row r="199" spans="1:21" ht="26" customHeight="1">
      <c r="A199" s="342" t="s">
        <v>5796</v>
      </c>
      <c r="B199" s="342" t="s">
        <v>2410</v>
      </c>
      <c r="C199" s="342" t="s">
        <v>2397</v>
      </c>
      <c r="D199" s="343" t="s">
        <v>1440</v>
      </c>
      <c r="E199" s="343" t="s">
        <v>5911</v>
      </c>
      <c r="F199" s="355">
        <v>10</v>
      </c>
      <c r="G199" s="343"/>
      <c r="H199" s="343"/>
      <c r="I199" s="343" t="s">
        <v>5462</v>
      </c>
      <c r="J199" s="342" t="s">
        <v>2411</v>
      </c>
      <c r="K199" s="342" t="s">
        <v>2380</v>
      </c>
      <c r="L199" s="342" t="s">
        <v>2442</v>
      </c>
      <c r="M199" s="342" t="s">
        <v>2234</v>
      </c>
      <c r="N199" s="342" t="s">
        <v>2311</v>
      </c>
      <c r="O199" s="342" t="s">
        <v>2443</v>
      </c>
      <c r="P199" s="342" t="s">
        <v>5812</v>
      </c>
      <c r="Q199" s="402" t="s">
        <v>6787</v>
      </c>
      <c r="R199" s="402" t="s">
        <v>6845</v>
      </c>
      <c r="S199" s="402" t="s">
        <v>6845</v>
      </c>
      <c r="T199" s="402" t="s">
        <v>6836</v>
      </c>
      <c r="U199" s="403">
        <f t="shared" ref="U199:U222" si="3">IF($A199="③ 構築（DU）",$F199*0.6,$F199)</f>
        <v>6</v>
      </c>
    </row>
    <row r="200" spans="1:21" ht="26" customHeight="1">
      <c r="A200" s="342" t="s">
        <v>5796</v>
      </c>
      <c r="B200" s="342" t="s">
        <v>2412</v>
      </c>
      <c r="C200" s="342" t="s">
        <v>2397</v>
      </c>
      <c r="D200" s="343" t="s">
        <v>2413</v>
      </c>
      <c r="E200" s="343" t="s">
        <v>5912</v>
      </c>
      <c r="F200" s="355">
        <v>5</v>
      </c>
      <c r="G200" s="343"/>
      <c r="H200" s="343"/>
      <c r="I200" s="343" t="s">
        <v>5463</v>
      </c>
      <c r="J200" s="342" t="s">
        <v>2331</v>
      </c>
      <c r="K200" s="342" t="s">
        <v>2414</v>
      </c>
      <c r="L200" s="342" t="s">
        <v>2442</v>
      </c>
      <c r="M200" s="342" t="s">
        <v>2234</v>
      </c>
      <c r="N200" s="342" t="s">
        <v>2311</v>
      </c>
      <c r="O200" s="342" t="s">
        <v>2443</v>
      </c>
      <c r="P200" s="342" t="s">
        <v>5798</v>
      </c>
      <c r="Q200" s="402" t="s">
        <v>6787</v>
      </c>
      <c r="R200" s="402" t="s">
        <v>6845</v>
      </c>
      <c r="S200" s="402" t="s">
        <v>6845</v>
      </c>
      <c r="T200" s="402" t="s">
        <v>6836</v>
      </c>
      <c r="U200" s="403">
        <f t="shared" si="3"/>
        <v>3</v>
      </c>
    </row>
    <row r="201" spans="1:21" ht="38">
      <c r="A201" s="342" t="s">
        <v>5796</v>
      </c>
      <c r="B201" s="342" t="s">
        <v>2503</v>
      </c>
      <c r="C201" s="342" t="s">
        <v>2397</v>
      </c>
      <c r="D201" s="343" t="s">
        <v>2504</v>
      </c>
      <c r="E201" s="343" t="s">
        <v>5913</v>
      </c>
      <c r="F201" s="355">
        <v>8</v>
      </c>
      <c r="G201" s="343"/>
      <c r="H201" s="343"/>
      <c r="I201" s="343" t="s">
        <v>5464</v>
      </c>
      <c r="J201" s="342" t="s">
        <v>2383</v>
      </c>
      <c r="K201" s="342" t="s">
        <v>2399</v>
      </c>
      <c r="L201" s="342" t="s">
        <v>2442</v>
      </c>
      <c r="M201" s="342" t="s">
        <v>2234</v>
      </c>
      <c r="N201" s="342" t="s">
        <v>2448</v>
      </c>
      <c r="O201" s="342" t="s">
        <v>2505</v>
      </c>
      <c r="P201" s="342" t="s">
        <v>5798</v>
      </c>
      <c r="Q201" s="402" t="s">
        <v>6787</v>
      </c>
      <c r="R201" s="402" t="s">
        <v>6845</v>
      </c>
      <c r="S201" s="402" t="s">
        <v>6845</v>
      </c>
      <c r="T201" s="402" t="s">
        <v>6836</v>
      </c>
      <c r="U201" s="403">
        <f t="shared" si="3"/>
        <v>4.8</v>
      </c>
    </row>
    <row r="202" spans="1:21" ht="57">
      <c r="A202" s="342" t="s">
        <v>5796</v>
      </c>
      <c r="B202" s="342" t="s">
        <v>2506</v>
      </c>
      <c r="C202" s="342" t="s">
        <v>2397</v>
      </c>
      <c r="D202" s="343" t="s">
        <v>2507</v>
      </c>
      <c r="E202" s="343" t="s">
        <v>5914</v>
      </c>
      <c r="F202" s="355">
        <v>5</v>
      </c>
      <c r="G202" s="343"/>
      <c r="H202" s="343"/>
      <c r="I202" s="343" t="s">
        <v>5465</v>
      </c>
      <c r="J202" s="342" t="s">
        <v>2362</v>
      </c>
      <c r="K202" s="342" t="s">
        <v>2324</v>
      </c>
      <c r="L202" s="342" t="s">
        <v>2442</v>
      </c>
      <c r="M202" s="342" t="s">
        <v>2508</v>
      </c>
      <c r="N202" s="342" t="s">
        <v>2448</v>
      </c>
      <c r="O202" s="342" t="s">
        <v>2509</v>
      </c>
      <c r="P202" s="342" t="s">
        <v>5798</v>
      </c>
      <c r="Q202" s="402" t="s">
        <v>6787</v>
      </c>
      <c r="R202" s="402" t="s">
        <v>6845</v>
      </c>
      <c r="S202" s="402" t="s">
        <v>6845</v>
      </c>
      <c r="T202" s="402" t="s">
        <v>6836</v>
      </c>
      <c r="U202" s="403">
        <f t="shared" si="3"/>
        <v>3</v>
      </c>
    </row>
    <row r="203" spans="1:21" ht="38">
      <c r="A203" s="342" t="s">
        <v>5796</v>
      </c>
      <c r="B203" s="342" t="s">
        <v>5652</v>
      </c>
      <c r="C203" s="342" t="s">
        <v>2397</v>
      </c>
      <c r="D203" s="343" t="s">
        <v>5653</v>
      </c>
      <c r="E203" s="343" t="s">
        <v>5915</v>
      </c>
      <c r="F203" s="355">
        <v>8</v>
      </c>
      <c r="G203" s="343"/>
      <c r="H203" s="343"/>
      <c r="I203" s="343" t="s">
        <v>5655</v>
      </c>
      <c r="J203" s="342" t="s">
        <v>2395</v>
      </c>
      <c r="K203" s="342" t="s">
        <v>2361</v>
      </c>
      <c r="L203" s="342" t="s">
        <v>2442</v>
      </c>
      <c r="M203" s="342" t="s">
        <v>2234</v>
      </c>
      <c r="N203" s="342" t="s">
        <v>5654</v>
      </c>
      <c r="O203" s="342" t="s">
        <v>2677</v>
      </c>
      <c r="P203" s="342" t="s">
        <v>5812</v>
      </c>
      <c r="Q203" s="402" t="s">
        <v>6787</v>
      </c>
      <c r="R203" s="402" t="s">
        <v>6845</v>
      </c>
      <c r="S203" s="402" t="s">
        <v>6845</v>
      </c>
      <c r="T203" s="402" t="s">
        <v>6836</v>
      </c>
      <c r="U203" s="403">
        <f t="shared" si="3"/>
        <v>4.8</v>
      </c>
    </row>
    <row r="204" spans="1:21" ht="57">
      <c r="A204" s="342" t="s">
        <v>5796</v>
      </c>
      <c r="B204" s="342" t="s">
        <v>2415</v>
      </c>
      <c r="C204" s="342" t="s">
        <v>1241</v>
      </c>
      <c r="D204" s="343" t="s">
        <v>2416</v>
      </c>
      <c r="E204" s="343" t="s">
        <v>5916</v>
      </c>
      <c r="F204" s="355">
        <v>14</v>
      </c>
      <c r="G204" s="343"/>
      <c r="H204" s="343"/>
      <c r="I204" s="343" t="s">
        <v>5466</v>
      </c>
      <c r="J204" s="342" t="s">
        <v>2418</v>
      </c>
      <c r="K204" s="342" t="s">
        <v>2417</v>
      </c>
      <c r="L204" s="342" t="s">
        <v>2442</v>
      </c>
      <c r="M204" s="342" t="s">
        <v>2234</v>
      </c>
      <c r="N204" s="342" t="s">
        <v>2235</v>
      </c>
      <c r="O204" s="342" t="s">
        <v>2443</v>
      </c>
      <c r="P204" s="342" t="s">
        <v>5812</v>
      </c>
      <c r="Q204" s="402" t="s">
        <v>6787</v>
      </c>
      <c r="R204" s="402" t="s">
        <v>6845</v>
      </c>
      <c r="S204" s="402" t="s">
        <v>6845</v>
      </c>
      <c r="T204" s="402" t="s">
        <v>6836</v>
      </c>
      <c r="U204" s="403">
        <f t="shared" si="3"/>
        <v>8.4</v>
      </c>
    </row>
    <row r="205" spans="1:21" ht="76">
      <c r="A205" s="342" t="s">
        <v>5796</v>
      </c>
      <c r="B205" s="342" t="s">
        <v>2294</v>
      </c>
      <c r="C205" s="342" t="s">
        <v>1241</v>
      </c>
      <c r="D205" s="343" t="s">
        <v>2419</v>
      </c>
      <c r="E205" s="343" t="s">
        <v>5917</v>
      </c>
      <c r="F205" s="355">
        <v>24</v>
      </c>
      <c r="G205" s="343"/>
      <c r="H205" s="343"/>
      <c r="I205" s="343" t="s">
        <v>5467</v>
      </c>
      <c r="J205" s="342" t="s">
        <v>2420</v>
      </c>
      <c r="K205" s="342" t="s">
        <v>2265</v>
      </c>
      <c r="L205" s="342" t="s">
        <v>2442</v>
      </c>
      <c r="M205" s="342" t="s">
        <v>2234</v>
      </c>
      <c r="N205" s="342" t="s">
        <v>2235</v>
      </c>
      <c r="O205" s="342" t="s">
        <v>2443</v>
      </c>
      <c r="P205" s="342" t="s">
        <v>5810</v>
      </c>
      <c r="Q205" s="402" t="s">
        <v>6787</v>
      </c>
      <c r="R205" s="402" t="s">
        <v>6845</v>
      </c>
      <c r="S205" s="402" t="s">
        <v>6845</v>
      </c>
      <c r="T205" s="402" t="s">
        <v>6836</v>
      </c>
      <c r="U205" s="403">
        <f t="shared" si="3"/>
        <v>14.399999999999999</v>
      </c>
    </row>
    <row r="206" spans="1:21" ht="38">
      <c r="A206" s="342" t="s">
        <v>5796</v>
      </c>
      <c r="B206" s="342" t="s">
        <v>2421</v>
      </c>
      <c r="C206" s="342" t="s">
        <v>1241</v>
      </c>
      <c r="D206" s="343" t="s">
        <v>2422</v>
      </c>
      <c r="E206" s="343" t="s">
        <v>5918</v>
      </c>
      <c r="F206" s="355">
        <v>12</v>
      </c>
      <c r="G206" s="343"/>
      <c r="H206" s="343"/>
      <c r="I206" s="343" t="s">
        <v>5468</v>
      </c>
      <c r="J206" s="342" t="s">
        <v>2294</v>
      </c>
      <c r="K206" s="342" t="s">
        <v>2265</v>
      </c>
      <c r="L206" s="342" t="s">
        <v>2442</v>
      </c>
      <c r="M206" s="342" t="s">
        <v>2234</v>
      </c>
      <c r="N206" s="342" t="s">
        <v>2235</v>
      </c>
      <c r="O206" s="342" t="s">
        <v>2443</v>
      </c>
      <c r="P206" s="342" t="s">
        <v>5812</v>
      </c>
      <c r="Q206" s="402" t="s">
        <v>6787</v>
      </c>
      <c r="R206" s="402" t="s">
        <v>6845</v>
      </c>
      <c r="S206" s="402" t="s">
        <v>6845</v>
      </c>
      <c r="T206" s="402" t="s">
        <v>6836</v>
      </c>
      <c r="U206" s="403">
        <f t="shared" si="3"/>
        <v>7.1999999999999993</v>
      </c>
    </row>
    <row r="207" spans="1:21" ht="57">
      <c r="A207" s="342" t="s">
        <v>5796</v>
      </c>
      <c r="B207" s="342" t="s">
        <v>2423</v>
      </c>
      <c r="C207" s="342" t="s">
        <v>1241</v>
      </c>
      <c r="D207" s="343" t="s">
        <v>2424</v>
      </c>
      <c r="E207" s="343" t="s">
        <v>5919</v>
      </c>
      <c r="F207" s="355">
        <v>0</v>
      </c>
      <c r="G207" s="343"/>
      <c r="H207" s="343"/>
      <c r="I207" s="343" t="s">
        <v>5476</v>
      </c>
      <c r="J207" s="342" t="s">
        <v>2269</v>
      </c>
      <c r="K207" s="342" t="s">
        <v>2425</v>
      </c>
      <c r="L207" s="342" t="s">
        <v>2442</v>
      </c>
      <c r="M207" s="342" t="s">
        <v>5478</v>
      </c>
      <c r="N207" s="342" t="s">
        <v>2235</v>
      </c>
      <c r="O207" s="342" t="s">
        <v>2443</v>
      </c>
      <c r="P207" s="342" t="s">
        <v>5812</v>
      </c>
      <c r="Q207" s="402" t="s">
        <v>6787</v>
      </c>
      <c r="R207" s="402" t="s">
        <v>6845</v>
      </c>
      <c r="S207" s="402" t="s">
        <v>6845</v>
      </c>
      <c r="T207" s="402" t="s">
        <v>6836</v>
      </c>
      <c r="U207" s="403">
        <f t="shared" si="3"/>
        <v>0</v>
      </c>
    </row>
    <row r="208" spans="1:21" ht="38">
      <c r="A208" s="342" t="s">
        <v>5796</v>
      </c>
      <c r="B208" s="342" t="s">
        <v>2426</v>
      </c>
      <c r="C208" s="342" t="s">
        <v>1241</v>
      </c>
      <c r="D208" s="343" t="s">
        <v>2427</v>
      </c>
      <c r="E208" s="343" t="s">
        <v>5920</v>
      </c>
      <c r="F208" s="355">
        <v>5</v>
      </c>
      <c r="G208" s="343"/>
      <c r="H208" s="343"/>
      <c r="I208" s="343" t="s">
        <v>5469</v>
      </c>
      <c r="J208" s="342" t="s">
        <v>2273</v>
      </c>
      <c r="K208" s="342" t="s">
        <v>2324</v>
      </c>
      <c r="L208" s="342" t="s">
        <v>2442</v>
      </c>
      <c r="M208" s="342" t="s">
        <v>2239</v>
      </c>
      <c r="N208" s="342" t="s">
        <v>2235</v>
      </c>
      <c r="O208" s="342" t="s">
        <v>2443</v>
      </c>
      <c r="P208" s="342" t="s">
        <v>5798</v>
      </c>
      <c r="Q208" s="402" t="s">
        <v>6787</v>
      </c>
      <c r="R208" s="402" t="s">
        <v>6845</v>
      </c>
      <c r="S208" s="402" t="s">
        <v>6845</v>
      </c>
      <c r="T208" s="402" t="s">
        <v>6836</v>
      </c>
      <c r="U208" s="403">
        <f t="shared" si="3"/>
        <v>3</v>
      </c>
    </row>
    <row r="209" spans="1:21" ht="38">
      <c r="A209" s="342" t="s">
        <v>5796</v>
      </c>
      <c r="B209" s="342" t="s">
        <v>2428</v>
      </c>
      <c r="C209" s="342" t="s">
        <v>1241</v>
      </c>
      <c r="D209" s="343" t="s">
        <v>2429</v>
      </c>
      <c r="E209" s="343" t="s">
        <v>5921</v>
      </c>
      <c r="F209" s="355">
        <v>6</v>
      </c>
      <c r="G209" s="343"/>
      <c r="H209" s="343"/>
      <c r="I209" s="343" t="s">
        <v>5470</v>
      </c>
      <c r="J209" s="342" t="s">
        <v>2326</v>
      </c>
      <c r="K209" s="342" t="s">
        <v>2425</v>
      </c>
      <c r="L209" s="342" t="s">
        <v>2442</v>
      </c>
      <c r="M209" s="342" t="s">
        <v>2234</v>
      </c>
      <c r="N209" s="342" t="s">
        <v>2235</v>
      </c>
      <c r="O209" s="342" t="s">
        <v>2443</v>
      </c>
      <c r="P209" s="342" t="s">
        <v>5798</v>
      </c>
      <c r="Q209" s="402" t="s">
        <v>6787</v>
      </c>
      <c r="R209" s="402" t="s">
        <v>6845</v>
      </c>
      <c r="S209" s="402" t="s">
        <v>6845</v>
      </c>
      <c r="T209" s="402" t="s">
        <v>6836</v>
      </c>
      <c r="U209" s="403">
        <f t="shared" si="3"/>
        <v>3.5999999999999996</v>
      </c>
    </row>
    <row r="210" spans="1:21" ht="38">
      <c r="A210" s="342" t="s">
        <v>5796</v>
      </c>
      <c r="B210" s="342" t="s">
        <v>2430</v>
      </c>
      <c r="C210" s="342" t="s">
        <v>1241</v>
      </c>
      <c r="D210" s="343" t="s">
        <v>2431</v>
      </c>
      <c r="E210" s="343" t="s">
        <v>5922</v>
      </c>
      <c r="F210" s="355">
        <v>4</v>
      </c>
      <c r="G210" s="343"/>
      <c r="H210" s="343"/>
      <c r="I210" s="343" t="s">
        <v>5471</v>
      </c>
      <c r="J210" s="342" t="s">
        <v>2273</v>
      </c>
      <c r="K210" s="342" t="s">
        <v>2324</v>
      </c>
      <c r="L210" s="342" t="s">
        <v>2442</v>
      </c>
      <c r="M210" s="342" t="s">
        <v>2239</v>
      </c>
      <c r="N210" s="342" t="s">
        <v>2311</v>
      </c>
      <c r="O210" s="342" t="s">
        <v>2443</v>
      </c>
      <c r="P210" s="342" t="s">
        <v>5798</v>
      </c>
      <c r="Q210" s="402" t="s">
        <v>6787</v>
      </c>
      <c r="R210" s="402" t="s">
        <v>6845</v>
      </c>
      <c r="S210" s="402" t="s">
        <v>6845</v>
      </c>
      <c r="T210" s="402" t="s">
        <v>6836</v>
      </c>
      <c r="U210" s="403">
        <f t="shared" si="3"/>
        <v>2.4</v>
      </c>
    </row>
    <row r="211" spans="1:21" ht="57">
      <c r="A211" s="342" t="s">
        <v>5796</v>
      </c>
      <c r="B211" s="342" t="s">
        <v>2510</v>
      </c>
      <c r="C211" s="342" t="s">
        <v>1241</v>
      </c>
      <c r="D211" s="343" t="s">
        <v>2511</v>
      </c>
      <c r="E211" s="343" t="s">
        <v>5923</v>
      </c>
      <c r="F211" s="355">
        <v>12</v>
      </c>
      <c r="G211" s="343"/>
      <c r="H211" s="343"/>
      <c r="I211" s="343" t="s">
        <v>5472</v>
      </c>
      <c r="J211" s="342" t="s">
        <v>2415</v>
      </c>
      <c r="K211" s="342" t="s">
        <v>2324</v>
      </c>
      <c r="L211" s="342" t="s">
        <v>2442</v>
      </c>
      <c r="M211" s="342" t="s">
        <v>2234</v>
      </c>
      <c r="N211" s="342" t="s">
        <v>2448</v>
      </c>
      <c r="O211" s="342" t="s">
        <v>1245</v>
      </c>
      <c r="P211" s="342" t="s">
        <v>5812</v>
      </c>
      <c r="Q211" s="402" t="s">
        <v>6787</v>
      </c>
      <c r="R211" s="402" t="s">
        <v>6845</v>
      </c>
      <c r="S211" s="402" t="s">
        <v>6845</v>
      </c>
      <c r="T211" s="402" t="s">
        <v>6836</v>
      </c>
      <c r="U211" s="403">
        <f t="shared" si="3"/>
        <v>7.1999999999999993</v>
      </c>
    </row>
    <row r="212" spans="1:21" ht="38">
      <c r="A212" s="342" t="s">
        <v>5796</v>
      </c>
      <c r="B212" s="342" t="s">
        <v>2512</v>
      </c>
      <c r="C212" s="342" t="s">
        <v>1241</v>
      </c>
      <c r="D212" s="343" t="s">
        <v>2513</v>
      </c>
      <c r="E212" s="343" t="s">
        <v>5924</v>
      </c>
      <c r="F212" s="355">
        <v>5</v>
      </c>
      <c r="G212" s="343"/>
      <c r="H212" s="343"/>
      <c r="I212" s="343" t="s">
        <v>5473</v>
      </c>
      <c r="J212" s="342" t="s">
        <v>2415</v>
      </c>
      <c r="K212" s="342" t="s">
        <v>2305</v>
      </c>
      <c r="L212" s="342" t="s">
        <v>2442</v>
      </c>
      <c r="M212" s="342" t="s">
        <v>2234</v>
      </c>
      <c r="N212" s="342" t="s">
        <v>2448</v>
      </c>
      <c r="O212" s="342" t="s">
        <v>1246</v>
      </c>
      <c r="P212" s="342" t="s">
        <v>5798</v>
      </c>
      <c r="Q212" s="402" t="s">
        <v>6787</v>
      </c>
      <c r="R212" s="402" t="s">
        <v>6845</v>
      </c>
      <c r="S212" s="402" t="s">
        <v>6845</v>
      </c>
      <c r="T212" s="402" t="s">
        <v>6836</v>
      </c>
      <c r="U212" s="403">
        <f t="shared" si="3"/>
        <v>3</v>
      </c>
    </row>
    <row r="213" spans="1:21" ht="38">
      <c r="A213" s="342" t="s">
        <v>5796</v>
      </c>
      <c r="B213" s="342" t="s">
        <v>2514</v>
      </c>
      <c r="C213" s="342" t="s">
        <v>1241</v>
      </c>
      <c r="D213" s="343" t="s">
        <v>2515</v>
      </c>
      <c r="E213" s="343" t="s">
        <v>5925</v>
      </c>
      <c r="F213" s="355">
        <v>6</v>
      </c>
      <c r="G213" s="343"/>
      <c r="H213" s="343"/>
      <c r="I213" s="343" t="s">
        <v>5474</v>
      </c>
      <c r="J213" s="342" t="s">
        <v>2294</v>
      </c>
      <c r="K213" s="342" t="s">
        <v>2231</v>
      </c>
      <c r="L213" s="342" t="s">
        <v>2442</v>
      </c>
      <c r="M213" s="342" t="s">
        <v>2234</v>
      </c>
      <c r="N213" s="342" t="s">
        <v>2448</v>
      </c>
      <c r="O213" s="342" t="s">
        <v>2516</v>
      </c>
      <c r="P213" s="342" t="s">
        <v>5798</v>
      </c>
      <c r="Q213" s="402" t="s">
        <v>6787</v>
      </c>
      <c r="R213" s="402" t="s">
        <v>6845</v>
      </c>
      <c r="S213" s="402" t="s">
        <v>6845</v>
      </c>
      <c r="T213" s="402" t="s">
        <v>6836</v>
      </c>
      <c r="U213" s="403">
        <f t="shared" si="3"/>
        <v>3.5999999999999996</v>
      </c>
    </row>
    <row r="214" spans="1:21" ht="76">
      <c r="A214" s="342" t="s">
        <v>5796</v>
      </c>
      <c r="B214" s="342" t="s">
        <v>2517</v>
      </c>
      <c r="C214" s="342" t="s">
        <v>1241</v>
      </c>
      <c r="D214" s="343" t="s">
        <v>2518</v>
      </c>
      <c r="E214" s="343" t="s">
        <v>5926</v>
      </c>
      <c r="F214" s="355">
        <v>0</v>
      </c>
      <c r="G214" s="343"/>
      <c r="H214" s="343"/>
      <c r="I214" s="343" t="s">
        <v>5477</v>
      </c>
      <c r="J214" s="342" t="s">
        <v>2423</v>
      </c>
      <c r="K214" s="342" t="s">
        <v>2244</v>
      </c>
      <c r="L214" s="342" t="s">
        <v>2446</v>
      </c>
      <c r="M214" s="342" t="s">
        <v>5479</v>
      </c>
      <c r="N214" s="342" t="s">
        <v>2448</v>
      </c>
      <c r="O214" s="342" t="s">
        <v>4083</v>
      </c>
      <c r="P214" s="342" t="s">
        <v>5798</v>
      </c>
      <c r="Q214" s="402" t="s">
        <v>6787</v>
      </c>
      <c r="R214" s="402" t="s">
        <v>6845</v>
      </c>
      <c r="S214" s="402" t="s">
        <v>6845</v>
      </c>
      <c r="T214" s="402" t="s">
        <v>6836</v>
      </c>
      <c r="U214" s="403">
        <f t="shared" si="3"/>
        <v>0</v>
      </c>
    </row>
    <row r="215" spans="1:21" ht="38">
      <c r="A215" s="342" t="s">
        <v>5927</v>
      </c>
      <c r="B215" s="342" t="s">
        <v>5660</v>
      </c>
      <c r="C215" s="342" t="s">
        <v>5661</v>
      </c>
      <c r="D215" s="343" t="s">
        <v>5662</v>
      </c>
      <c r="E215" s="343" t="s">
        <v>5928</v>
      </c>
      <c r="F215" s="355">
        <v>10</v>
      </c>
      <c r="G215" s="343"/>
      <c r="H215" s="343"/>
      <c r="I215" s="343" t="s">
        <v>5665</v>
      </c>
      <c r="J215" s="342" t="s">
        <v>2233</v>
      </c>
      <c r="K215" s="342" t="s">
        <v>2305</v>
      </c>
      <c r="L215" s="342" t="s">
        <v>2442</v>
      </c>
      <c r="M215" s="342" t="s">
        <v>2234</v>
      </c>
      <c r="N215" s="342" t="s">
        <v>5663</v>
      </c>
      <c r="O215" s="342" t="s">
        <v>5664</v>
      </c>
      <c r="P215" s="342" t="s">
        <v>5810</v>
      </c>
      <c r="Q215" s="402" t="s">
        <v>6787</v>
      </c>
      <c r="R215" s="402" t="s">
        <v>6845</v>
      </c>
      <c r="S215" s="402" t="s">
        <v>6845</v>
      </c>
      <c r="T215" s="402" t="s">
        <v>6836</v>
      </c>
      <c r="U215" s="403">
        <f t="shared" si="3"/>
        <v>10</v>
      </c>
    </row>
    <row r="216" spans="1:21" ht="38">
      <c r="A216" s="342" t="s">
        <v>5927</v>
      </c>
      <c r="B216" s="342" t="s">
        <v>5666</v>
      </c>
      <c r="C216" s="342" t="s">
        <v>5661</v>
      </c>
      <c r="D216" s="343" t="s">
        <v>5667</v>
      </c>
      <c r="E216" s="343" t="s">
        <v>5929</v>
      </c>
      <c r="F216" s="355">
        <v>12</v>
      </c>
      <c r="G216" s="343"/>
      <c r="H216" s="343"/>
      <c r="I216" s="343" t="s">
        <v>5668</v>
      </c>
      <c r="J216" s="342" t="s">
        <v>5660</v>
      </c>
      <c r="K216" s="342" t="s">
        <v>2380</v>
      </c>
      <c r="L216" s="342" t="s">
        <v>2442</v>
      </c>
      <c r="M216" s="342" t="s">
        <v>2234</v>
      </c>
      <c r="N216" s="342" t="s">
        <v>5663</v>
      </c>
      <c r="O216" s="342" t="s">
        <v>5664</v>
      </c>
      <c r="P216" s="342" t="s">
        <v>5810</v>
      </c>
      <c r="Q216" s="402" t="s">
        <v>6787</v>
      </c>
      <c r="R216" s="402" t="s">
        <v>6845</v>
      </c>
      <c r="S216" s="402" t="s">
        <v>6845</v>
      </c>
      <c r="T216" s="402" t="s">
        <v>6836</v>
      </c>
      <c r="U216" s="403">
        <f t="shared" si="3"/>
        <v>12</v>
      </c>
    </row>
    <row r="217" spans="1:21" ht="38">
      <c r="A217" s="342" t="s">
        <v>5927</v>
      </c>
      <c r="B217" s="342" t="s">
        <v>5669</v>
      </c>
      <c r="C217" s="342" t="s">
        <v>5661</v>
      </c>
      <c r="D217" s="343" t="s">
        <v>5670</v>
      </c>
      <c r="E217" s="343" t="s">
        <v>5930</v>
      </c>
      <c r="F217" s="355">
        <v>25</v>
      </c>
      <c r="G217" s="343"/>
      <c r="H217" s="343"/>
      <c r="I217" s="343" t="s">
        <v>5671</v>
      </c>
      <c r="J217" s="342" t="s">
        <v>5666</v>
      </c>
      <c r="K217" s="342" t="s">
        <v>2233</v>
      </c>
      <c r="L217" s="342" t="s">
        <v>2442</v>
      </c>
      <c r="M217" s="342" t="s">
        <v>2234</v>
      </c>
      <c r="N217" s="342" t="s">
        <v>5663</v>
      </c>
      <c r="O217" s="342" t="s">
        <v>5664</v>
      </c>
      <c r="P217" s="342" t="s">
        <v>5810</v>
      </c>
      <c r="Q217" s="402" t="s">
        <v>6787</v>
      </c>
      <c r="R217" s="402" t="s">
        <v>6845</v>
      </c>
      <c r="S217" s="402" t="s">
        <v>6845</v>
      </c>
      <c r="T217" s="402" t="s">
        <v>6836</v>
      </c>
      <c r="U217" s="403">
        <f t="shared" si="3"/>
        <v>25</v>
      </c>
    </row>
    <row r="218" spans="1:21" ht="38">
      <c r="A218" s="342" t="s">
        <v>5927</v>
      </c>
      <c r="B218" s="342" t="s">
        <v>5672</v>
      </c>
      <c r="C218" s="342" t="s">
        <v>5661</v>
      </c>
      <c r="D218" s="343" t="s">
        <v>5673</v>
      </c>
      <c r="E218" s="343" t="s">
        <v>5931</v>
      </c>
      <c r="F218" s="355">
        <v>30</v>
      </c>
      <c r="G218" s="343"/>
      <c r="H218" s="343"/>
      <c r="I218" s="343" t="s">
        <v>5674</v>
      </c>
      <c r="J218" s="342" t="s">
        <v>2233</v>
      </c>
      <c r="K218" s="342" t="s">
        <v>2233</v>
      </c>
      <c r="L218" s="342" t="s">
        <v>2442</v>
      </c>
      <c r="M218" s="342" t="s">
        <v>2234</v>
      </c>
      <c r="N218" s="342" t="s">
        <v>5663</v>
      </c>
      <c r="O218" s="342" t="s">
        <v>5664</v>
      </c>
      <c r="P218" s="342" t="s">
        <v>5810</v>
      </c>
      <c r="Q218" s="402" t="s">
        <v>6787</v>
      </c>
      <c r="R218" s="402" t="s">
        <v>6845</v>
      </c>
      <c r="S218" s="402" t="s">
        <v>6845</v>
      </c>
      <c r="T218" s="402" t="s">
        <v>6836</v>
      </c>
      <c r="U218" s="403">
        <f t="shared" si="3"/>
        <v>30</v>
      </c>
    </row>
    <row r="219" spans="1:21" ht="38">
      <c r="A219" s="342" t="s">
        <v>5927</v>
      </c>
      <c r="B219" s="342" t="s">
        <v>5675</v>
      </c>
      <c r="C219" s="342" t="s">
        <v>5661</v>
      </c>
      <c r="D219" s="343" t="s">
        <v>5676</v>
      </c>
      <c r="E219" s="343" t="s">
        <v>5932</v>
      </c>
      <c r="F219" s="355">
        <v>10</v>
      </c>
      <c r="G219" s="343"/>
      <c r="H219" s="343"/>
      <c r="I219" s="343" t="s">
        <v>5677</v>
      </c>
      <c r="J219" s="342" t="s">
        <v>2475</v>
      </c>
      <c r="K219" s="342" t="s">
        <v>2233</v>
      </c>
      <c r="L219" s="342" t="s">
        <v>2442</v>
      </c>
      <c r="M219" s="342" t="s">
        <v>2234</v>
      </c>
      <c r="N219" s="342" t="s">
        <v>5663</v>
      </c>
      <c r="O219" s="342" t="s">
        <v>5664</v>
      </c>
      <c r="P219" s="342" t="s">
        <v>5810</v>
      </c>
      <c r="Q219" s="402" t="s">
        <v>6787</v>
      </c>
      <c r="R219" s="402" t="s">
        <v>6845</v>
      </c>
      <c r="S219" s="402" t="s">
        <v>6845</v>
      </c>
      <c r="T219" s="402" t="s">
        <v>6836</v>
      </c>
      <c r="U219" s="403">
        <f t="shared" si="3"/>
        <v>10</v>
      </c>
    </row>
    <row r="220" spans="1:21" ht="38">
      <c r="A220" s="342" t="s">
        <v>5927</v>
      </c>
      <c r="B220" s="342" t="s">
        <v>5678</v>
      </c>
      <c r="C220" s="342" t="s">
        <v>5661</v>
      </c>
      <c r="D220" s="343" t="s">
        <v>5679</v>
      </c>
      <c r="E220" s="343" t="s">
        <v>5933</v>
      </c>
      <c r="F220" s="355">
        <v>8</v>
      </c>
      <c r="G220" s="343"/>
      <c r="H220" s="343"/>
      <c r="I220" s="343" t="s">
        <v>5680</v>
      </c>
      <c r="J220" s="342" t="s">
        <v>2233</v>
      </c>
      <c r="K220" s="342" t="s">
        <v>2324</v>
      </c>
      <c r="L220" s="342" t="s">
        <v>2442</v>
      </c>
      <c r="M220" s="342" t="s">
        <v>2234</v>
      </c>
      <c r="N220" s="342" t="s">
        <v>5663</v>
      </c>
      <c r="O220" s="342" t="s">
        <v>5664</v>
      </c>
      <c r="P220" s="342" t="s">
        <v>5812</v>
      </c>
      <c r="Q220" s="402" t="s">
        <v>6787</v>
      </c>
      <c r="R220" s="402" t="s">
        <v>6845</v>
      </c>
      <c r="S220" s="402" t="s">
        <v>6845</v>
      </c>
      <c r="T220" s="402" t="s">
        <v>6836</v>
      </c>
      <c r="U220" s="403">
        <f t="shared" si="3"/>
        <v>8</v>
      </c>
    </row>
    <row r="221" spans="1:21" ht="38">
      <c r="A221" s="342" t="s">
        <v>5927</v>
      </c>
      <c r="B221" s="342" t="s">
        <v>5681</v>
      </c>
      <c r="C221" s="342" t="s">
        <v>5661</v>
      </c>
      <c r="D221" s="343" t="s">
        <v>5682</v>
      </c>
      <c r="E221" s="343" t="s">
        <v>5934</v>
      </c>
      <c r="F221" s="355">
        <v>10</v>
      </c>
      <c r="G221" s="343"/>
      <c r="H221" s="343"/>
      <c r="I221" s="343" t="s">
        <v>5683</v>
      </c>
      <c r="J221" s="342" t="s">
        <v>5678</v>
      </c>
      <c r="K221" s="342" t="s">
        <v>2375</v>
      </c>
      <c r="L221" s="342" t="s">
        <v>2442</v>
      </c>
      <c r="M221" s="342" t="s">
        <v>2234</v>
      </c>
      <c r="N221" s="342" t="s">
        <v>5663</v>
      </c>
      <c r="O221" s="342" t="s">
        <v>5664</v>
      </c>
      <c r="P221" s="342" t="s">
        <v>5810</v>
      </c>
      <c r="Q221" s="402" t="s">
        <v>6787</v>
      </c>
      <c r="R221" s="402" t="s">
        <v>6845</v>
      </c>
      <c r="S221" s="402" t="s">
        <v>6845</v>
      </c>
      <c r="T221" s="402" t="s">
        <v>6836</v>
      </c>
      <c r="U221" s="403">
        <f t="shared" si="3"/>
        <v>10</v>
      </c>
    </row>
    <row r="222" spans="1:21" ht="38">
      <c r="A222" s="342" t="s">
        <v>5927</v>
      </c>
      <c r="B222" s="342" t="s">
        <v>5684</v>
      </c>
      <c r="C222" s="342" t="s">
        <v>5661</v>
      </c>
      <c r="D222" s="343" t="s">
        <v>5685</v>
      </c>
      <c r="E222" s="343" t="s">
        <v>5935</v>
      </c>
      <c r="F222" s="355">
        <v>12</v>
      </c>
      <c r="G222" s="343"/>
      <c r="H222" s="343"/>
      <c r="I222" s="343" t="s">
        <v>5686</v>
      </c>
      <c r="J222" s="342" t="s">
        <v>2233</v>
      </c>
      <c r="K222" s="342" t="s">
        <v>2233</v>
      </c>
      <c r="L222" s="342" t="s">
        <v>2442</v>
      </c>
      <c r="M222" s="342" t="s">
        <v>2234</v>
      </c>
      <c r="N222" s="342" t="s">
        <v>5663</v>
      </c>
      <c r="O222" s="342" t="s">
        <v>5664</v>
      </c>
      <c r="P222" s="342" t="s">
        <v>5810</v>
      </c>
      <c r="Q222" s="402" t="s">
        <v>6787</v>
      </c>
      <c r="R222" s="402" t="s">
        <v>6845</v>
      </c>
      <c r="S222" s="402" t="s">
        <v>6845</v>
      </c>
      <c r="T222" s="402" t="s">
        <v>6836</v>
      </c>
      <c r="U222" s="403">
        <f t="shared" si="3"/>
        <v>12</v>
      </c>
    </row>
  </sheetData>
  <autoFilter ref="A5:U222" xr:uid="{299E7693-5B40-0444-B227-D6033B94776C}"/>
  <phoneticPr fontId="3"/>
  <conditionalFormatting sqref="A6:P222">
    <cfRule type="expression" dxfId="40" priority="1">
      <formula>LEFT($B6,3)="DDK"</formula>
    </cfRule>
    <cfRule type="expression" dxfId="39" priority="2">
      <formula>LEFT($B6,3)="DDB"</formula>
    </cfRule>
  </conditionalFormatting>
  <conditionalFormatting sqref="G6:G222">
    <cfRule type="expression" dxfId="38" priority="4">
      <formula>AND($G6&lt;&gt;"横断",$G6&lt;&gt;"")</formula>
    </cfRule>
  </conditionalFormatting>
  <conditionalFormatting sqref="G6:H222">
    <cfRule type="expression" dxfId="37" priority="3">
      <formula>$G6="横断"</formula>
    </cfRule>
  </conditionalFormatting>
  <conditionalFormatting sqref="M6:M222">
    <cfRule type="expression" dxfId="36" priority="5">
      <formula>$M6="完了"</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73" t="s">
        <v>6868</v>
      </c>
      <c r="B1" s="374"/>
      <c r="C1" s="374"/>
      <c r="D1" s="373" t="s">
        <v>6861</v>
      </c>
      <c r="E1" s="374">
        <f>SUM('WBS(基本設計)'!$J$7:$J$106)</f>
        <v>157</v>
      </c>
      <c r="F1" s="374"/>
      <c r="G1" s="374"/>
      <c r="H1" s="374"/>
      <c r="I1" s="374"/>
      <c r="J1" s="374"/>
      <c r="K1" s="374"/>
      <c r="L1" s="374"/>
      <c r="M1" s="374"/>
      <c r="N1" s="374"/>
    </row>
    <row r="2" spans="1:14">
      <c r="A2" s="349" t="s">
        <v>5569</v>
      </c>
      <c r="B2" s="374"/>
      <c r="C2" s="374"/>
      <c r="D2" s="373" t="s">
        <v>6862</v>
      </c>
      <c r="E2" s="374">
        <f>SUM('WBS(詳細設計_製造)'!$U$6:$U$222)</f>
        <v>1216.4000000000003</v>
      </c>
      <c r="F2" s="374"/>
      <c r="G2" s="374"/>
      <c r="H2" s="374"/>
      <c r="I2" s="374"/>
      <c r="J2" s="374"/>
      <c r="K2" s="374"/>
      <c r="L2" s="374"/>
      <c r="M2" s="374"/>
      <c r="N2" s="374"/>
    </row>
    <row r="3" spans="1:14">
      <c r="A3" s="360" t="s">
        <v>6869</v>
      </c>
      <c r="B3" s="374"/>
      <c r="C3" s="374"/>
      <c r="D3" s="373" t="s">
        <v>6863</v>
      </c>
      <c r="E3" s="374">
        <f>SUM($E$6:$E$59)</f>
        <v>429</v>
      </c>
      <c r="F3" s="374"/>
      <c r="G3" s="374"/>
      <c r="H3" s="374"/>
      <c r="I3" s="374"/>
      <c r="J3" s="374"/>
      <c r="K3" s="374"/>
      <c r="L3" s="374"/>
      <c r="M3" s="374"/>
      <c r="N3" s="374"/>
    </row>
    <row r="4" spans="1:14">
      <c r="A4" s="348" t="s">
        <v>6870</v>
      </c>
      <c r="B4" s="374"/>
      <c r="C4" s="374"/>
      <c r="D4" s="373"/>
      <c r="E4" s="374">
        <f>SUM(E1:E3)</f>
        <v>1802.4000000000003</v>
      </c>
      <c r="F4" s="374">
        <f>E4/20</f>
        <v>90.120000000000019</v>
      </c>
      <c r="G4" s="374">
        <f>F4*160</f>
        <v>14419.200000000003</v>
      </c>
      <c r="H4" s="374"/>
      <c r="I4" s="374"/>
      <c r="J4" s="374"/>
      <c r="K4" s="374"/>
      <c r="L4" s="374"/>
      <c r="M4" s="374"/>
      <c r="N4" s="374"/>
    </row>
    <row r="5" spans="1:14" ht="24" customHeight="1">
      <c r="A5" s="174" t="s">
        <v>1</v>
      </c>
      <c r="B5" s="175" t="s">
        <v>9</v>
      </c>
      <c r="C5" s="175" t="s">
        <v>2730</v>
      </c>
      <c r="D5" s="175" t="s">
        <v>2736</v>
      </c>
      <c r="E5" s="175" t="s">
        <v>2521</v>
      </c>
      <c r="F5" s="175" t="s">
        <v>2737</v>
      </c>
      <c r="G5" s="401" t="s">
        <v>2728</v>
      </c>
      <c r="H5" s="376" t="s">
        <v>5491</v>
      </c>
      <c r="I5" s="376" t="s">
        <v>3573</v>
      </c>
      <c r="J5" s="135" t="s">
        <v>6421</v>
      </c>
      <c r="K5" s="135" t="s">
        <v>6251</v>
      </c>
      <c r="L5" s="135" t="s">
        <v>6850</v>
      </c>
      <c r="M5" s="135" t="s">
        <v>6852</v>
      </c>
      <c r="N5" s="135" t="s">
        <v>6834</v>
      </c>
    </row>
    <row r="6" spans="1:14">
      <c r="A6" s="377" t="s">
        <v>2738</v>
      </c>
      <c r="B6" s="378" t="s">
        <v>2739</v>
      </c>
      <c r="C6" s="378" t="s">
        <v>2740</v>
      </c>
      <c r="D6" s="379" t="s">
        <v>2741</v>
      </c>
      <c r="E6" s="379">
        <v>6</v>
      </c>
      <c r="F6" s="378" t="s">
        <v>2742</v>
      </c>
      <c r="G6" s="380" t="s">
        <v>2743</v>
      </c>
      <c r="H6" s="354" t="s">
        <v>5492</v>
      </c>
      <c r="I6" s="375" t="s">
        <v>6797</v>
      </c>
      <c r="J6" s="375" t="s">
        <v>6252</v>
      </c>
      <c r="K6" s="375" t="s">
        <v>6252</v>
      </c>
      <c r="L6" s="375" t="s">
        <v>6845</v>
      </c>
      <c r="M6" s="375" t="s">
        <v>6845</v>
      </c>
      <c r="N6" s="375" t="s">
        <v>6839</v>
      </c>
    </row>
    <row r="7" spans="1:14">
      <c r="A7" s="377" t="s">
        <v>2738</v>
      </c>
      <c r="B7" s="378" t="s">
        <v>2744</v>
      </c>
      <c r="C7" s="378" t="s">
        <v>2745</v>
      </c>
      <c r="D7" s="379" t="s">
        <v>2746</v>
      </c>
      <c r="E7" s="379">
        <v>6</v>
      </c>
      <c r="F7" s="378" t="s">
        <v>2747</v>
      </c>
      <c r="G7" s="380" t="s">
        <v>2743</v>
      </c>
      <c r="H7" s="354" t="s">
        <v>5493</v>
      </c>
      <c r="I7" s="375" t="s">
        <v>6797</v>
      </c>
      <c r="J7" s="375" t="s">
        <v>6431</v>
      </c>
      <c r="K7" s="375" t="s">
        <v>6276</v>
      </c>
      <c r="L7" s="375" t="s">
        <v>6845</v>
      </c>
      <c r="M7" s="375" t="s">
        <v>5168</v>
      </c>
      <c r="N7" s="375" t="s">
        <v>6839</v>
      </c>
    </row>
    <row r="8" spans="1:14">
      <c r="A8" s="377" t="s">
        <v>2738</v>
      </c>
      <c r="B8" s="378" t="s">
        <v>2748</v>
      </c>
      <c r="C8" s="378" t="s">
        <v>2749</v>
      </c>
      <c r="D8" s="379" t="s">
        <v>2750</v>
      </c>
      <c r="E8" s="379">
        <v>6</v>
      </c>
      <c r="F8" s="378" t="s">
        <v>2751</v>
      </c>
      <c r="G8" s="380" t="s">
        <v>2743</v>
      </c>
      <c r="H8" s="354" t="s">
        <v>5494</v>
      </c>
      <c r="I8" s="375" t="s">
        <v>6797</v>
      </c>
      <c r="J8" s="375" t="s">
        <v>6459</v>
      </c>
      <c r="K8" s="375" t="s">
        <v>6306</v>
      </c>
      <c r="L8" s="375" t="s">
        <v>6845</v>
      </c>
      <c r="M8" s="375" t="s">
        <v>5168</v>
      </c>
      <c r="N8" s="375" t="s">
        <v>6837</v>
      </c>
    </row>
    <row r="9" spans="1:14">
      <c r="A9" s="377" t="s">
        <v>2738</v>
      </c>
      <c r="B9" s="378" t="s">
        <v>2752</v>
      </c>
      <c r="C9" s="378" t="s">
        <v>2753</v>
      </c>
      <c r="D9" s="379" t="s">
        <v>2754</v>
      </c>
      <c r="E9" s="379">
        <v>5</v>
      </c>
      <c r="F9" s="378" t="s">
        <v>2755</v>
      </c>
      <c r="G9" s="380" t="s">
        <v>2743</v>
      </c>
      <c r="H9" s="354" t="s">
        <v>5495</v>
      </c>
      <c r="I9" s="375" t="s">
        <v>6797</v>
      </c>
      <c r="J9" s="375" t="s">
        <v>6454</v>
      </c>
      <c r="K9" s="375" t="s">
        <v>6455</v>
      </c>
      <c r="L9" s="375" t="s">
        <v>6847</v>
      </c>
      <c r="M9" s="375" t="s">
        <v>5168</v>
      </c>
      <c r="N9" s="375" t="s">
        <v>6839</v>
      </c>
    </row>
    <row r="10" spans="1:14">
      <c r="A10" s="377" t="s">
        <v>2738</v>
      </c>
      <c r="B10" s="378" t="s">
        <v>2756</v>
      </c>
      <c r="C10" s="378" t="s">
        <v>2757</v>
      </c>
      <c r="D10" s="379" t="s">
        <v>2758</v>
      </c>
      <c r="E10" s="379">
        <v>5</v>
      </c>
      <c r="F10" s="378" t="s">
        <v>2759</v>
      </c>
      <c r="G10" s="380" t="s">
        <v>2743</v>
      </c>
      <c r="H10" s="354" t="s">
        <v>5496</v>
      </c>
      <c r="I10" s="375" t="s">
        <v>6797</v>
      </c>
      <c r="J10" s="375" t="s">
        <v>6435</v>
      </c>
      <c r="K10" s="375" t="s">
        <v>6282</v>
      </c>
      <c r="L10" s="375" t="s">
        <v>5168</v>
      </c>
      <c r="M10" s="375" t="s">
        <v>5168</v>
      </c>
      <c r="N10" s="375" t="s">
        <v>6839</v>
      </c>
    </row>
    <row r="11" spans="1:14">
      <c r="A11" s="377" t="s">
        <v>2738</v>
      </c>
      <c r="B11" s="378" t="s">
        <v>2760</v>
      </c>
      <c r="C11" s="378" t="s">
        <v>2761</v>
      </c>
      <c r="D11" s="379" t="s">
        <v>2762</v>
      </c>
      <c r="E11" s="379">
        <v>6</v>
      </c>
      <c r="F11" s="378" t="s">
        <v>2763</v>
      </c>
      <c r="G11" s="380" t="s">
        <v>2743</v>
      </c>
      <c r="H11" s="354" t="s">
        <v>5497</v>
      </c>
      <c r="I11" s="375" t="s">
        <v>6866</v>
      </c>
      <c r="J11" s="375" t="s">
        <v>6424</v>
      </c>
      <c r="K11" s="375" t="s">
        <v>6257</v>
      </c>
      <c r="L11" s="375" t="s">
        <v>6845</v>
      </c>
      <c r="M11" s="375" t="s">
        <v>6845</v>
      </c>
      <c r="N11" s="375" t="s">
        <v>6839</v>
      </c>
    </row>
    <row r="12" spans="1:14">
      <c r="A12" s="377" t="s">
        <v>2738</v>
      </c>
      <c r="B12" s="378" t="s">
        <v>2764</v>
      </c>
      <c r="C12" s="378" t="s">
        <v>2765</v>
      </c>
      <c r="D12" s="379" t="s">
        <v>2766</v>
      </c>
      <c r="E12" s="379">
        <v>4</v>
      </c>
      <c r="F12" s="378" t="s">
        <v>2767</v>
      </c>
      <c r="G12" s="380" t="s">
        <v>2743</v>
      </c>
      <c r="H12" s="354" t="s">
        <v>5498</v>
      </c>
      <c r="I12" s="375" t="s">
        <v>6797</v>
      </c>
      <c r="J12" s="375" t="s">
        <v>6445</v>
      </c>
      <c r="K12" s="375" t="s">
        <v>6259</v>
      </c>
      <c r="L12" s="375" t="s">
        <v>6847</v>
      </c>
      <c r="M12" s="375" t="s">
        <v>5168</v>
      </c>
      <c r="N12" s="375" t="s">
        <v>6839</v>
      </c>
    </row>
    <row r="13" spans="1:14" ht="38">
      <c r="A13" s="381" t="s">
        <v>2738</v>
      </c>
      <c r="B13" s="382" t="s">
        <v>5536</v>
      </c>
      <c r="C13" s="382" t="s">
        <v>5537</v>
      </c>
      <c r="D13" s="383" t="s">
        <v>5538</v>
      </c>
      <c r="E13" s="383">
        <v>5</v>
      </c>
      <c r="F13" s="382" t="s">
        <v>5539</v>
      </c>
      <c r="G13" s="384" t="s">
        <v>2743</v>
      </c>
      <c r="H13" s="385" t="s">
        <v>5540</v>
      </c>
      <c r="I13" s="375" t="s">
        <v>6797</v>
      </c>
      <c r="J13" s="375" t="s">
        <v>6252</v>
      </c>
      <c r="K13" s="375" t="s">
        <v>6252</v>
      </c>
      <c r="L13" s="375" t="s">
        <v>6845</v>
      </c>
      <c r="M13" s="375" t="s">
        <v>6845</v>
      </c>
      <c r="N13" s="375" t="s">
        <v>6839</v>
      </c>
    </row>
    <row r="14" spans="1:14" ht="38">
      <c r="A14" s="381" t="s">
        <v>2738</v>
      </c>
      <c r="B14" s="382" t="s">
        <v>5541</v>
      </c>
      <c r="C14" s="382" t="s">
        <v>5542</v>
      </c>
      <c r="D14" s="383" t="s">
        <v>5543</v>
      </c>
      <c r="E14" s="383">
        <v>4</v>
      </c>
      <c r="F14" s="382" t="s">
        <v>5544</v>
      </c>
      <c r="G14" s="384" t="s">
        <v>2743</v>
      </c>
      <c r="H14" s="385" t="s">
        <v>5545</v>
      </c>
      <c r="I14" s="375" t="s">
        <v>6797</v>
      </c>
      <c r="J14" s="375" t="s">
        <v>6252</v>
      </c>
      <c r="K14" s="375" t="s">
        <v>6252</v>
      </c>
      <c r="L14" s="375" t="s">
        <v>6845</v>
      </c>
      <c r="M14" s="375" t="s">
        <v>6845</v>
      </c>
      <c r="N14" s="375" t="s">
        <v>6839</v>
      </c>
    </row>
    <row r="15" spans="1:14" ht="38">
      <c r="A15" s="377" t="s">
        <v>2768</v>
      </c>
      <c r="B15" s="378" t="s">
        <v>2769</v>
      </c>
      <c r="C15" s="378" t="s">
        <v>2770</v>
      </c>
      <c r="D15" s="379" t="s">
        <v>2771</v>
      </c>
      <c r="E15" s="379">
        <v>12</v>
      </c>
      <c r="F15" s="378" t="s">
        <v>2772</v>
      </c>
      <c r="G15" s="380" t="s">
        <v>2743</v>
      </c>
      <c r="H15" s="354" t="s">
        <v>5499</v>
      </c>
      <c r="I15" s="375" t="s">
        <v>6797</v>
      </c>
      <c r="J15" s="375" t="s">
        <v>6422</v>
      </c>
      <c r="K15" s="375" t="s">
        <v>6262</v>
      </c>
      <c r="L15" s="375" t="s">
        <v>6845</v>
      </c>
      <c r="M15" s="375" t="s">
        <v>6845</v>
      </c>
      <c r="N15" s="375" t="s">
        <v>6838</v>
      </c>
    </row>
    <row r="16" spans="1:14" ht="38">
      <c r="A16" s="377" t="s">
        <v>2768</v>
      </c>
      <c r="B16" s="378" t="s">
        <v>2773</v>
      </c>
      <c r="C16" s="378" t="s">
        <v>2774</v>
      </c>
      <c r="D16" s="379" t="s">
        <v>2775</v>
      </c>
      <c r="E16" s="379">
        <v>10</v>
      </c>
      <c r="F16" s="378" t="s">
        <v>2776</v>
      </c>
      <c r="G16" s="380" t="s">
        <v>2743</v>
      </c>
      <c r="H16" s="354" t="s">
        <v>5500</v>
      </c>
      <c r="I16" s="375" t="s">
        <v>6797</v>
      </c>
      <c r="J16" s="375" t="s">
        <v>6425</v>
      </c>
      <c r="K16" s="375" t="s">
        <v>6260</v>
      </c>
      <c r="L16" s="375" t="s">
        <v>6845</v>
      </c>
      <c r="M16" s="375" t="s">
        <v>6845</v>
      </c>
      <c r="N16" s="375" t="s">
        <v>6839</v>
      </c>
    </row>
    <row r="17" spans="1:14">
      <c r="A17" s="377" t="s">
        <v>2768</v>
      </c>
      <c r="B17" s="378" t="s">
        <v>2777</v>
      </c>
      <c r="C17" s="378" t="s">
        <v>2778</v>
      </c>
      <c r="D17" s="379" t="s">
        <v>2779</v>
      </c>
      <c r="E17" s="379">
        <v>12</v>
      </c>
      <c r="F17" s="378" t="s">
        <v>2780</v>
      </c>
      <c r="G17" s="380" t="s">
        <v>2743</v>
      </c>
      <c r="H17" s="354" t="s">
        <v>5501</v>
      </c>
      <c r="I17" s="375" t="s">
        <v>6797</v>
      </c>
      <c r="J17" s="375" t="s">
        <v>6430</v>
      </c>
      <c r="K17" s="375" t="s">
        <v>6274</v>
      </c>
      <c r="L17" s="375" t="s">
        <v>6845</v>
      </c>
      <c r="M17" s="375" t="s">
        <v>5168</v>
      </c>
      <c r="N17" s="375" t="s">
        <v>6839</v>
      </c>
    </row>
    <row r="18" spans="1:14" ht="38">
      <c r="A18" s="377" t="s">
        <v>2768</v>
      </c>
      <c r="B18" s="378" t="s">
        <v>2781</v>
      </c>
      <c r="C18" s="378" t="s">
        <v>2782</v>
      </c>
      <c r="D18" s="379" t="s">
        <v>2783</v>
      </c>
      <c r="E18" s="379">
        <v>10</v>
      </c>
      <c r="F18" s="378" t="s">
        <v>2784</v>
      </c>
      <c r="G18" s="380" t="s">
        <v>2743</v>
      </c>
      <c r="H18" s="354" t="s">
        <v>5502</v>
      </c>
      <c r="I18" s="375" t="s">
        <v>6797</v>
      </c>
      <c r="J18" s="375" t="s">
        <v>6433</v>
      </c>
      <c r="K18" s="375" t="s">
        <v>6279</v>
      </c>
      <c r="L18" s="375" t="s">
        <v>6845</v>
      </c>
      <c r="M18" s="375" t="s">
        <v>5168</v>
      </c>
      <c r="N18" s="375" t="s">
        <v>6839</v>
      </c>
    </row>
    <row r="19" spans="1:14">
      <c r="A19" s="377" t="s">
        <v>2768</v>
      </c>
      <c r="B19" s="378" t="s">
        <v>2785</v>
      </c>
      <c r="C19" s="378" t="s">
        <v>2786</v>
      </c>
      <c r="D19" s="379" t="s">
        <v>2787</v>
      </c>
      <c r="E19" s="379">
        <v>12</v>
      </c>
      <c r="F19" s="378" t="s">
        <v>2731</v>
      </c>
      <c r="G19" s="380" t="s">
        <v>2743</v>
      </c>
      <c r="H19" s="354" t="s">
        <v>5503</v>
      </c>
      <c r="I19" s="375" t="s">
        <v>6797</v>
      </c>
      <c r="J19" s="375" t="s">
        <v>6448</v>
      </c>
      <c r="K19" s="375" t="s">
        <v>6449</v>
      </c>
      <c r="L19" s="375" t="s">
        <v>6845</v>
      </c>
      <c r="M19" s="375" t="s">
        <v>5168</v>
      </c>
      <c r="N19" s="375" t="s">
        <v>6839</v>
      </c>
    </row>
    <row r="20" spans="1:14">
      <c r="A20" s="377" t="s">
        <v>2768</v>
      </c>
      <c r="B20" s="378" t="s">
        <v>2788</v>
      </c>
      <c r="C20" s="378" t="s">
        <v>2789</v>
      </c>
      <c r="D20" s="379" t="s">
        <v>2790</v>
      </c>
      <c r="E20" s="379">
        <v>8</v>
      </c>
      <c r="F20" s="378" t="s">
        <v>2732</v>
      </c>
      <c r="G20" s="380" t="s">
        <v>2743</v>
      </c>
      <c r="H20" s="354" t="s">
        <v>5504</v>
      </c>
      <c r="I20" s="375" t="s">
        <v>6797</v>
      </c>
      <c r="J20" s="375" t="s">
        <v>6446</v>
      </c>
      <c r="K20" s="375" t="s">
        <v>6298</v>
      </c>
      <c r="L20" s="375" t="s">
        <v>5168</v>
      </c>
      <c r="M20" s="375" t="s">
        <v>5168</v>
      </c>
      <c r="N20" s="375" t="s">
        <v>6839</v>
      </c>
    </row>
    <row r="21" spans="1:14">
      <c r="A21" s="377" t="s">
        <v>2768</v>
      </c>
      <c r="B21" s="378" t="s">
        <v>2791</v>
      </c>
      <c r="C21" s="378" t="s">
        <v>2792</v>
      </c>
      <c r="D21" s="379" t="s">
        <v>2793</v>
      </c>
      <c r="E21" s="379">
        <v>12</v>
      </c>
      <c r="F21" s="378" t="s">
        <v>2794</v>
      </c>
      <c r="G21" s="380" t="s">
        <v>2743</v>
      </c>
      <c r="H21" s="354" t="s">
        <v>5505</v>
      </c>
      <c r="I21" s="375" t="s">
        <v>6797</v>
      </c>
      <c r="J21" s="375" t="s">
        <v>6436</v>
      </c>
      <c r="K21" s="375" t="s">
        <v>6254</v>
      </c>
      <c r="L21" s="375" t="s">
        <v>6847</v>
      </c>
      <c r="M21" s="375" t="s">
        <v>5168</v>
      </c>
      <c r="N21" s="375" t="s">
        <v>6839</v>
      </c>
    </row>
    <row r="22" spans="1:14">
      <c r="A22" s="377" t="s">
        <v>2768</v>
      </c>
      <c r="B22" s="378" t="s">
        <v>2795</v>
      </c>
      <c r="C22" s="378" t="s">
        <v>2796</v>
      </c>
      <c r="D22" s="379" t="s">
        <v>2797</v>
      </c>
      <c r="E22" s="379">
        <v>6</v>
      </c>
      <c r="F22" s="378" t="s">
        <v>2798</v>
      </c>
      <c r="G22" s="380" t="s">
        <v>2743</v>
      </c>
      <c r="H22" s="354" t="s">
        <v>5506</v>
      </c>
      <c r="I22" s="375" t="s">
        <v>6797</v>
      </c>
      <c r="J22" s="375" t="s">
        <v>6423</v>
      </c>
      <c r="K22" s="375" t="s">
        <v>6263</v>
      </c>
      <c r="L22" s="375" t="s">
        <v>6845</v>
      </c>
      <c r="M22" s="375" t="s">
        <v>5168</v>
      </c>
      <c r="N22" s="375" t="s">
        <v>6839</v>
      </c>
    </row>
    <row r="23" spans="1:14">
      <c r="A23" s="377" t="s">
        <v>2768</v>
      </c>
      <c r="B23" s="378" t="s">
        <v>2799</v>
      </c>
      <c r="C23" s="378" t="s">
        <v>2800</v>
      </c>
      <c r="D23" s="379" t="s">
        <v>2801</v>
      </c>
      <c r="E23" s="379">
        <v>5</v>
      </c>
      <c r="F23" s="378" t="s">
        <v>2802</v>
      </c>
      <c r="G23" s="380" t="s">
        <v>2743</v>
      </c>
      <c r="H23" s="354" t="s">
        <v>5507</v>
      </c>
      <c r="I23" s="375" t="s">
        <v>6797</v>
      </c>
      <c r="J23" s="375" t="s">
        <v>6447</v>
      </c>
      <c r="K23" s="375" t="s">
        <v>6253</v>
      </c>
      <c r="L23" s="375" t="s">
        <v>6847</v>
      </c>
      <c r="M23" s="375" t="s">
        <v>5168</v>
      </c>
      <c r="N23" s="375" t="s">
        <v>6839</v>
      </c>
    </row>
    <row r="24" spans="1:14">
      <c r="A24" s="377" t="s">
        <v>2803</v>
      </c>
      <c r="B24" s="378" t="s">
        <v>2804</v>
      </c>
      <c r="C24" s="378" t="s">
        <v>2805</v>
      </c>
      <c r="D24" s="379" t="s">
        <v>2806</v>
      </c>
      <c r="E24" s="379">
        <v>10</v>
      </c>
      <c r="F24" s="378" t="s">
        <v>2807</v>
      </c>
      <c r="G24" s="380" t="s">
        <v>1522</v>
      </c>
      <c r="H24" s="354" t="s">
        <v>5508</v>
      </c>
      <c r="I24" s="375" t="s">
        <v>6797</v>
      </c>
      <c r="J24" s="375" t="s">
        <v>6424</v>
      </c>
      <c r="K24" s="375" t="s">
        <v>6257</v>
      </c>
      <c r="L24" s="375" t="s">
        <v>6845</v>
      </c>
      <c r="M24" s="375" t="s">
        <v>6845</v>
      </c>
      <c r="N24" s="375" t="s">
        <v>6839</v>
      </c>
    </row>
    <row r="25" spans="1:14">
      <c r="A25" s="377" t="s">
        <v>2803</v>
      </c>
      <c r="B25" s="378" t="s">
        <v>2808</v>
      </c>
      <c r="C25" s="378" t="s">
        <v>2809</v>
      </c>
      <c r="D25" s="379" t="s">
        <v>2810</v>
      </c>
      <c r="E25" s="379">
        <v>8</v>
      </c>
      <c r="F25" s="378" t="s">
        <v>2811</v>
      </c>
      <c r="G25" s="380" t="s">
        <v>1522</v>
      </c>
      <c r="H25" s="354" t="s">
        <v>5509</v>
      </c>
      <c r="I25" s="375" t="s">
        <v>6797</v>
      </c>
      <c r="J25" s="375" t="s">
        <v>6424</v>
      </c>
      <c r="K25" s="375" t="s">
        <v>6257</v>
      </c>
      <c r="L25" s="375" t="s">
        <v>6845</v>
      </c>
      <c r="M25" s="375" t="s">
        <v>6845</v>
      </c>
      <c r="N25" s="375" t="s">
        <v>6839</v>
      </c>
    </row>
    <row r="26" spans="1:14">
      <c r="A26" s="377" t="s">
        <v>2803</v>
      </c>
      <c r="B26" s="378" t="s">
        <v>2812</v>
      </c>
      <c r="C26" s="378" t="s">
        <v>2813</v>
      </c>
      <c r="D26" s="379" t="s">
        <v>2814</v>
      </c>
      <c r="E26" s="379">
        <v>12</v>
      </c>
      <c r="F26" s="378" t="s">
        <v>2815</v>
      </c>
      <c r="G26" s="380" t="s">
        <v>1522</v>
      </c>
      <c r="H26" s="354" t="s">
        <v>5510</v>
      </c>
      <c r="I26" s="375" t="s">
        <v>6797</v>
      </c>
      <c r="J26" s="375" t="s">
        <v>6452</v>
      </c>
      <c r="K26" s="375" t="s">
        <v>6313</v>
      </c>
      <c r="L26" s="375" t="s">
        <v>6845</v>
      </c>
      <c r="M26" s="375" t="s">
        <v>5168</v>
      </c>
      <c r="N26" s="375" t="s">
        <v>6839</v>
      </c>
    </row>
    <row r="27" spans="1:14">
      <c r="A27" s="377" t="s">
        <v>2803</v>
      </c>
      <c r="B27" s="378" t="s">
        <v>2816</v>
      </c>
      <c r="C27" s="378" t="s">
        <v>2817</v>
      </c>
      <c r="D27" s="379" t="s">
        <v>2818</v>
      </c>
      <c r="E27" s="379">
        <v>8</v>
      </c>
      <c r="F27" s="378" t="s">
        <v>2819</v>
      </c>
      <c r="G27" s="380" t="s">
        <v>1522</v>
      </c>
      <c r="H27" s="354" t="s">
        <v>5511</v>
      </c>
      <c r="I27" s="375" t="s">
        <v>6797</v>
      </c>
      <c r="J27" s="375" t="s">
        <v>6431</v>
      </c>
      <c r="K27" s="375" t="s">
        <v>6276</v>
      </c>
      <c r="L27" s="375" t="s">
        <v>6845</v>
      </c>
      <c r="M27" s="375" t="s">
        <v>5168</v>
      </c>
      <c r="N27" s="375" t="s">
        <v>6839</v>
      </c>
    </row>
    <row r="28" spans="1:14" ht="38">
      <c r="A28" s="377" t="s">
        <v>2820</v>
      </c>
      <c r="B28" s="378" t="s">
        <v>2821</v>
      </c>
      <c r="C28" s="378" t="s">
        <v>2822</v>
      </c>
      <c r="D28" s="379" t="s">
        <v>2823</v>
      </c>
      <c r="E28" s="379">
        <v>18</v>
      </c>
      <c r="F28" s="378" t="s">
        <v>5535</v>
      </c>
      <c r="G28" s="380" t="s">
        <v>2743</v>
      </c>
      <c r="H28" s="354" t="s">
        <v>5512</v>
      </c>
      <c r="I28" s="375" t="s">
        <v>6797</v>
      </c>
      <c r="J28" s="375" t="s">
        <v>6252</v>
      </c>
      <c r="K28" s="375" t="s">
        <v>6252</v>
      </c>
      <c r="L28" s="375" t="s">
        <v>6845</v>
      </c>
      <c r="M28" s="375" t="s">
        <v>6845</v>
      </c>
      <c r="N28" s="375" t="s">
        <v>6839</v>
      </c>
    </row>
    <row r="29" spans="1:14">
      <c r="A29" s="377" t="s">
        <v>2820</v>
      </c>
      <c r="B29" s="378" t="s">
        <v>2824</v>
      </c>
      <c r="C29" s="378" t="s">
        <v>2825</v>
      </c>
      <c r="D29" s="379" t="s">
        <v>2826</v>
      </c>
      <c r="E29" s="379">
        <v>14</v>
      </c>
      <c r="F29" s="378" t="s">
        <v>5701</v>
      </c>
      <c r="G29" s="380" t="s">
        <v>2743</v>
      </c>
      <c r="H29" s="354" t="s">
        <v>5513</v>
      </c>
      <c r="I29" s="375" t="s">
        <v>6797</v>
      </c>
      <c r="J29" s="375" t="s">
        <v>6423</v>
      </c>
      <c r="K29" s="375" t="s">
        <v>6263</v>
      </c>
      <c r="L29" s="375" t="s">
        <v>6845</v>
      </c>
      <c r="M29" s="375" t="s">
        <v>5168</v>
      </c>
      <c r="N29" s="375" t="s">
        <v>6839</v>
      </c>
    </row>
    <row r="30" spans="1:14">
      <c r="A30" s="377" t="s">
        <v>2820</v>
      </c>
      <c r="B30" s="378" t="s">
        <v>2827</v>
      </c>
      <c r="C30" s="378" t="s">
        <v>2828</v>
      </c>
      <c r="D30" s="379" t="s">
        <v>2829</v>
      </c>
      <c r="E30" s="379">
        <v>12</v>
      </c>
      <c r="F30" s="378" t="s">
        <v>5702</v>
      </c>
      <c r="G30" s="380" t="s">
        <v>2743</v>
      </c>
      <c r="H30" s="354" t="s">
        <v>5514</v>
      </c>
      <c r="I30" s="375" t="s">
        <v>6797</v>
      </c>
      <c r="J30" s="375" t="s">
        <v>6431</v>
      </c>
      <c r="K30" s="375" t="s">
        <v>6276</v>
      </c>
      <c r="L30" s="375" t="s">
        <v>6845</v>
      </c>
      <c r="M30" s="375" t="s">
        <v>5168</v>
      </c>
      <c r="N30" s="375" t="s">
        <v>6839</v>
      </c>
    </row>
    <row r="31" spans="1:14">
      <c r="A31" s="377" t="s">
        <v>2820</v>
      </c>
      <c r="B31" s="378" t="s">
        <v>2830</v>
      </c>
      <c r="C31" s="378" t="s">
        <v>2831</v>
      </c>
      <c r="D31" s="379" t="s">
        <v>2832</v>
      </c>
      <c r="E31" s="379">
        <v>8</v>
      </c>
      <c r="F31" s="378" t="s">
        <v>5703</v>
      </c>
      <c r="G31" s="380" t="s">
        <v>2743</v>
      </c>
      <c r="H31" s="354" t="s">
        <v>5515</v>
      </c>
      <c r="I31" s="375" t="s">
        <v>6797</v>
      </c>
      <c r="J31" s="375" t="s">
        <v>6252</v>
      </c>
      <c r="K31" s="375" t="s">
        <v>6252</v>
      </c>
      <c r="L31" s="375" t="s">
        <v>6845</v>
      </c>
      <c r="M31" s="375" t="s">
        <v>6845</v>
      </c>
      <c r="N31" s="375" t="s">
        <v>6839</v>
      </c>
    </row>
    <row r="32" spans="1:14">
      <c r="A32" s="377" t="s">
        <v>2820</v>
      </c>
      <c r="B32" s="378" t="s">
        <v>2833</v>
      </c>
      <c r="C32" s="378" t="s">
        <v>2834</v>
      </c>
      <c r="D32" s="379" t="s">
        <v>2835</v>
      </c>
      <c r="E32" s="379">
        <v>6</v>
      </c>
      <c r="F32" s="378" t="s">
        <v>5704</v>
      </c>
      <c r="G32" s="380" t="s">
        <v>2743</v>
      </c>
      <c r="H32" s="354" t="s">
        <v>5516</v>
      </c>
      <c r="I32" s="375" t="s">
        <v>6797</v>
      </c>
      <c r="J32" s="375" t="s">
        <v>6252</v>
      </c>
      <c r="K32" s="375" t="s">
        <v>6252</v>
      </c>
      <c r="L32" s="375" t="s">
        <v>6845</v>
      </c>
      <c r="M32" s="375" t="s">
        <v>6845</v>
      </c>
      <c r="N32" s="375" t="s">
        <v>6839</v>
      </c>
    </row>
    <row r="33" spans="1:14">
      <c r="A33" s="377" t="s">
        <v>2820</v>
      </c>
      <c r="B33" s="378" t="s">
        <v>2836</v>
      </c>
      <c r="C33" s="378" t="s">
        <v>2837</v>
      </c>
      <c r="D33" s="379" t="s">
        <v>2838</v>
      </c>
      <c r="E33" s="379">
        <v>6</v>
      </c>
      <c r="F33" s="378" t="s">
        <v>5705</v>
      </c>
      <c r="G33" s="380" t="s">
        <v>2743</v>
      </c>
      <c r="H33" s="354" t="s">
        <v>5517</v>
      </c>
      <c r="I33" s="375" t="s">
        <v>6797</v>
      </c>
      <c r="J33" s="375" t="s">
        <v>6443</v>
      </c>
      <c r="K33" s="375" t="s">
        <v>6296</v>
      </c>
      <c r="L33" s="375" t="s">
        <v>6847</v>
      </c>
      <c r="M33" s="375" t="s">
        <v>6845</v>
      </c>
      <c r="N33" s="375" t="s">
        <v>6839</v>
      </c>
    </row>
    <row r="34" spans="1:14">
      <c r="A34" s="377" t="s">
        <v>2820</v>
      </c>
      <c r="B34" s="378" t="s">
        <v>6326</v>
      </c>
      <c r="C34" s="378" t="s">
        <v>6327</v>
      </c>
      <c r="D34" s="379" t="s">
        <v>6328</v>
      </c>
      <c r="E34" s="379">
        <v>2</v>
      </c>
      <c r="F34" s="378" t="s">
        <v>6329</v>
      </c>
      <c r="G34" s="380" t="s">
        <v>2743</v>
      </c>
      <c r="H34" s="354" t="s">
        <v>6330</v>
      </c>
      <c r="I34" s="375" t="s">
        <v>6797</v>
      </c>
      <c r="J34" s="375" t="s">
        <v>6422</v>
      </c>
      <c r="K34" s="375" t="s">
        <v>6262</v>
      </c>
      <c r="L34" s="375" t="s">
        <v>6845</v>
      </c>
      <c r="M34" s="375" t="s">
        <v>6845</v>
      </c>
      <c r="N34" s="375" t="s">
        <v>6838</v>
      </c>
    </row>
    <row r="35" spans="1:14">
      <c r="A35" s="377" t="s">
        <v>2820</v>
      </c>
      <c r="B35" s="378" t="s">
        <v>6331</v>
      </c>
      <c r="C35" s="378" t="s">
        <v>6332</v>
      </c>
      <c r="D35" s="379" t="s">
        <v>2826</v>
      </c>
      <c r="E35" s="379">
        <v>2</v>
      </c>
      <c r="F35" s="378" t="s">
        <v>6333</v>
      </c>
      <c r="G35" s="380" t="s">
        <v>2743</v>
      </c>
      <c r="H35" s="354" t="s">
        <v>6334</v>
      </c>
      <c r="I35" s="375" t="s">
        <v>6797</v>
      </c>
      <c r="J35" s="375" t="s">
        <v>6442</v>
      </c>
      <c r="K35" s="375" t="s">
        <v>6294</v>
      </c>
      <c r="L35" s="375" t="s">
        <v>6845</v>
      </c>
      <c r="M35" s="375" t="s">
        <v>5168</v>
      </c>
      <c r="N35" s="375" t="s">
        <v>6839</v>
      </c>
    </row>
    <row r="36" spans="1:14">
      <c r="A36" s="377" t="s">
        <v>2820</v>
      </c>
      <c r="B36" s="378" t="s">
        <v>6335</v>
      </c>
      <c r="C36" s="378" t="s">
        <v>6336</v>
      </c>
      <c r="D36" s="379" t="s">
        <v>2733</v>
      </c>
      <c r="E36" s="379">
        <v>1</v>
      </c>
      <c r="F36" s="378" t="s">
        <v>6337</v>
      </c>
      <c r="G36" s="380" t="s">
        <v>2743</v>
      </c>
      <c r="H36" s="354" t="s">
        <v>6338</v>
      </c>
      <c r="I36" s="375" t="s">
        <v>6797</v>
      </c>
      <c r="J36" s="375" t="s">
        <v>2733</v>
      </c>
      <c r="K36" s="375" t="s">
        <v>6252</v>
      </c>
      <c r="L36" s="375" t="s">
        <v>6845</v>
      </c>
      <c r="M36" s="375" t="s">
        <v>6845</v>
      </c>
      <c r="N36" s="375" t="s">
        <v>6839</v>
      </c>
    </row>
    <row r="37" spans="1:14">
      <c r="A37" s="377" t="s">
        <v>2839</v>
      </c>
      <c r="B37" s="378" t="s">
        <v>2840</v>
      </c>
      <c r="C37" s="378" t="s">
        <v>2841</v>
      </c>
      <c r="D37" s="379" t="s">
        <v>2842</v>
      </c>
      <c r="E37" s="379">
        <v>12</v>
      </c>
      <c r="F37" s="378" t="s">
        <v>5706</v>
      </c>
      <c r="G37" s="380" t="s">
        <v>2743</v>
      </c>
      <c r="H37" s="354" t="s">
        <v>5518</v>
      </c>
      <c r="I37" s="375" t="s">
        <v>6867</v>
      </c>
      <c r="J37" s="375" t="s">
        <v>6252</v>
      </c>
      <c r="K37" s="375" t="s">
        <v>6252</v>
      </c>
      <c r="L37" s="375" t="s">
        <v>6845</v>
      </c>
      <c r="M37" s="375" t="s">
        <v>6845</v>
      </c>
      <c r="N37" s="375" t="s">
        <v>6839</v>
      </c>
    </row>
    <row r="38" spans="1:14">
      <c r="A38" s="377" t="s">
        <v>2839</v>
      </c>
      <c r="B38" s="378" t="s">
        <v>2843</v>
      </c>
      <c r="C38" s="378" t="s">
        <v>2844</v>
      </c>
      <c r="D38" s="379" t="s">
        <v>2845</v>
      </c>
      <c r="E38" s="379">
        <v>8</v>
      </c>
      <c r="F38" s="378" t="s">
        <v>5707</v>
      </c>
      <c r="G38" s="380" t="s">
        <v>2743</v>
      </c>
      <c r="H38" s="354" t="s">
        <v>5519</v>
      </c>
      <c r="I38" s="375" t="s">
        <v>6797</v>
      </c>
      <c r="J38" s="375" t="s">
        <v>6252</v>
      </c>
      <c r="K38" s="375" t="s">
        <v>6252</v>
      </c>
      <c r="L38" s="375" t="s">
        <v>6845</v>
      </c>
      <c r="M38" s="375" t="s">
        <v>6845</v>
      </c>
      <c r="N38" s="375" t="s">
        <v>6839</v>
      </c>
    </row>
    <row r="39" spans="1:14">
      <c r="A39" s="377" t="s">
        <v>2839</v>
      </c>
      <c r="B39" s="378" t="s">
        <v>2846</v>
      </c>
      <c r="C39" s="378" t="s">
        <v>2847</v>
      </c>
      <c r="D39" s="379" t="s">
        <v>2848</v>
      </c>
      <c r="E39" s="379">
        <v>8</v>
      </c>
      <c r="F39" s="378" t="s">
        <v>5708</v>
      </c>
      <c r="G39" s="380" t="s">
        <v>2743</v>
      </c>
      <c r="H39" s="354" t="s">
        <v>5520</v>
      </c>
      <c r="I39" s="375" t="s">
        <v>6797</v>
      </c>
      <c r="J39" s="375" t="s">
        <v>6252</v>
      </c>
      <c r="K39" s="375" t="s">
        <v>6252</v>
      </c>
      <c r="L39" s="375" t="s">
        <v>6845</v>
      </c>
      <c r="M39" s="375" t="s">
        <v>6845</v>
      </c>
      <c r="N39" s="375" t="s">
        <v>6839</v>
      </c>
    </row>
    <row r="40" spans="1:14">
      <c r="A40" s="377" t="s">
        <v>2839</v>
      </c>
      <c r="B40" s="378" t="s">
        <v>2849</v>
      </c>
      <c r="C40" s="378" t="s">
        <v>2850</v>
      </c>
      <c r="D40" s="379" t="s">
        <v>2851</v>
      </c>
      <c r="E40" s="379">
        <v>6</v>
      </c>
      <c r="F40" s="378" t="s">
        <v>5709</v>
      </c>
      <c r="G40" s="380" t="s">
        <v>2743</v>
      </c>
      <c r="H40" s="354" t="s">
        <v>5521</v>
      </c>
      <c r="I40" s="375" t="s">
        <v>6866</v>
      </c>
      <c r="J40" s="375" t="s">
        <v>6459</v>
      </c>
      <c r="K40" s="375" t="s">
        <v>6306</v>
      </c>
      <c r="L40" s="375" t="s">
        <v>6845</v>
      </c>
      <c r="M40" s="375" t="s">
        <v>5168</v>
      </c>
      <c r="N40" s="375" t="s">
        <v>6837</v>
      </c>
    </row>
    <row r="41" spans="1:14">
      <c r="A41" s="377" t="s">
        <v>2839</v>
      </c>
      <c r="B41" s="378" t="s">
        <v>2852</v>
      </c>
      <c r="C41" s="378" t="s">
        <v>2853</v>
      </c>
      <c r="D41" s="379" t="s">
        <v>2854</v>
      </c>
      <c r="E41" s="379">
        <v>6</v>
      </c>
      <c r="F41" s="378" t="s">
        <v>5710</v>
      </c>
      <c r="G41" s="380" t="s">
        <v>2743</v>
      </c>
      <c r="H41" s="354" t="s">
        <v>5522</v>
      </c>
      <c r="I41" s="375" t="s">
        <v>6797</v>
      </c>
      <c r="J41" s="375" t="s">
        <v>6445</v>
      </c>
      <c r="K41" s="375" t="s">
        <v>6259</v>
      </c>
      <c r="L41" s="375" t="s">
        <v>6847</v>
      </c>
      <c r="M41" s="375" t="s">
        <v>5168</v>
      </c>
      <c r="N41" s="375" t="s">
        <v>6839</v>
      </c>
    </row>
    <row r="42" spans="1:14">
      <c r="A42" s="377" t="s">
        <v>2855</v>
      </c>
      <c r="B42" s="378" t="s">
        <v>2856</v>
      </c>
      <c r="C42" s="378" t="s">
        <v>2857</v>
      </c>
      <c r="D42" s="379" t="s">
        <v>2858</v>
      </c>
      <c r="E42" s="379">
        <v>15</v>
      </c>
      <c r="F42" s="378" t="s">
        <v>2859</v>
      </c>
      <c r="G42" s="380" t="s">
        <v>1522</v>
      </c>
      <c r="H42" s="354" t="s">
        <v>5523</v>
      </c>
      <c r="I42" s="375" t="s">
        <v>6797</v>
      </c>
      <c r="J42" s="375" t="s">
        <v>6252</v>
      </c>
      <c r="K42" s="375" t="s">
        <v>6252</v>
      </c>
      <c r="L42" s="375" t="s">
        <v>6845</v>
      </c>
      <c r="M42" s="375" t="s">
        <v>6845</v>
      </c>
      <c r="N42" s="375" t="s">
        <v>6839</v>
      </c>
    </row>
    <row r="43" spans="1:14">
      <c r="A43" s="377" t="s">
        <v>2855</v>
      </c>
      <c r="B43" s="378" t="s">
        <v>2860</v>
      </c>
      <c r="C43" s="378" t="s">
        <v>2861</v>
      </c>
      <c r="D43" s="379" t="s">
        <v>2862</v>
      </c>
      <c r="E43" s="379">
        <v>8</v>
      </c>
      <c r="F43" s="378" t="s">
        <v>2863</v>
      </c>
      <c r="G43" s="380" t="s">
        <v>2743</v>
      </c>
      <c r="H43" s="354" t="s">
        <v>5524</v>
      </c>
      <c r="I43" s="375" t="s">
        <v>6797</v>
      </c>
      <c r="J43" s="375" t="s">
        <v>6427</v>
      </c>
      <c r="K43" s="375" t="s">
        <v>6273</v>
      </c>
      <c r="L43" s="375" t="s">
        <v>6845</v>
      </c>
      <c r="M43" s="375" t="s">
        <v>6845</v>
      </c>
      <c r="N43" s="375" t="s">
        <v>6835</v>
      </c>
    </row>
    <row r="44" spans="1:14">
      <c r="A44" s="377" t="s">
        <v>2855</v>
      </c>
      <c r="B44" s="378" t="s">
        <v>2864</v>
      </c>
      <c r="C44" s="378" t="s">
        <v>2865</v>
      </c>
      <c r="D44" s="379" t="s">
        <v>2866</v>
      </c>
      <c r="E44" s="379">
        <v>6</v>
      </c>
      <c r="F44" s="378" t="s">
        <v>2867</v>
      </c>
      <c r="G44" s="380" t="s">
        <v>2743</v>
      </c>
      <c r="H44" s="354" t="s">
        <v>5525</v>
      </c>
      <c r="I44" s="375" t="s">
        <v>6797</v>
      </c>
      <c r="J44" s="375" t="s">
        <v>6460</v>
      </c>
      <c r="K44" s="375" t="s">
        <v>6308</v>
      </c>
      <c r="L44" s="375" t="s">
        <v>6845</v>
      </c>
      <c r="M44" s="375" t="s">
        <v>6845</v>
      </c>
      <c r="N44" s="375" t="s">
        <v>6837</v>
      </c>
    </row>
    <row r="45" spans="1:14">
      <c r="A45" s="377" t="s">
        <v>2855</v>
      </c>
      <c r="B45" s="378" t="s">
        <v>2868</v>
      </c>
      <c r="C45" s="378" t="s">
        <v>2869</v>
      </c>
      <c r="D45" s="379" t="s">
        <v>2870</v>
      </c>
      <c r="E45" s="379">
        <v>5</v>
      </c>
      <c r="F45" s="378" t="s">
        <v>2871</v>
      </c>
      <c r="G45" s="380" t="s">
        <v>2743</v>
      </c>
      <c r="H45" s="354" t="s">
        <v>5526</v>
      </c>
      <c r="I45" s="375" t="s">
        <v>6797</v>
      </c>
      <c r="J45" s="375" t="s">
        <v>6252</v>
      </c>
      <c r="K45" s="375" t="s">
        <v>6252</v>
      </c>
      <c r="L45" s="375" t="s">
        <v>6845</v>
      </c>
      <c r="M45" s="375" t="s">
        <v>6845</v>
      </c>
      <c r="N45" s="375" t="s">
        <v>6839</v>
      </c>
    </row>
    <row r="46" spans="1:14">
      <c r="A46" s="377" t="s">
        <v>2855</v>
      </c>
      <c r="B46" s="378" t="s">
        <v>2872</v>
      </c>
      <c r="C46" s="378" t="s">
        <v>2873</v>
      </c>
      <c r="D46" s="379" t="s">
        <v>2874</v>
      </c>
      <c r="E46" s="379">
        <v>4</v>
      </c>
      <c r="F46" s="378" t="s">
        <v>2875</v>
      </c>
      <c r="G46" s="380" t="s">
        <v>2743</v>
      </c>
      <c r="H46" s="354" t="s">
        <v>5527</v>
      </c>
      <c r="I46" s="375" t="s">
        <v>6797</v>
      </c>
      <c r="J46" s="375" t="s">
        <v>6448</v>
      </c>
      <c r="K46" s="375" t="s">
        <v>6449</v>
      </c>
      <c r="L46" s="375" t="s">
        <v>6845</v>
      </c>
      <c r="M46" s="375" t="s">
        <v>5168</v>
      </c>
      <c r="N46" s="375" t="s">
        <v>6839</v>
      </c>
    </row>
    <row r="47" spans="1:14" ht="38">
      <c r="A47" s="381" t="s">
        <v>2855</v>
      </c>
      <c r="B47" s="382" t="s">
        <v>5546</v>
      </c>
      <c r="C47" s="382" t="s">
        <v>5547</v>
      </c>
      <c r="D47" s="383" t="s">
        <v>5548</v>
      </c>
      <c r="E47" s="383">
        <v>5</v>
      </c>
      <c r="F47" s="382" t="s">
        <v>5549</v>
      </c>
      <c r="G47" s="384" t="s">
        <v>2743</v>
      </c>
      <c r="H47" s="385" t="s">
        <v>5550</v>
      </c>
      <c r="I47" s="375" t="s">
        <v>6797</v>
      </c>
      <c r="J47" s="375" t="s">
        <v>6456</v>
      </c>
      <c r="K47" s="375" t="s">
        <v>6303</v>
      </c>
      <c r="L47" s="375" t="s">
        <v>6845</v>
      </c>
      <c r="M47" s="375" t="s">
        <v>5168</v>
      </c>
      <c r="N47" s="375" t="s">
        <v>6839</v>
      </c>
    </row>
    <row r="48" spans="1:14">
      <c r="A48" s="377" t="s">
        <v>2876</v>
      </c>
      <c r="B48" s="378" t="s">
        <v>2877</v>
      </c>
      <c r="C48" s="378" t="s">
        <v>2878</v>
      </c>
      <c r="D48" s="379" t="s">
        <v>2879</v>
      </c>
      <c r="E48" s="379">
        <v>10</v>
      </c>
      <c r="F48" s="378" t="s">
        <v>2880</v>
      </c>
      <c r="G48" s="380" t="s">
        <v>2743</v>
      </c>
      <c r="H48" s="354" t="s">
        <v>5528</v>
      </c>
      <c r="I48" s="375" t="s">
        <v>6797</v>
      </c>
      <c r="J48" s="375" t="s">
        <v>6456</v>
      </c>
      <c r="K48" s="375" t="s">
        <v>6303</v>
      </c>
      <c r="L48" s="375" t="s">
        <v>6845</v>
      </c>
      <c r="M48" s="375" t="s">
        <v>5168</v>
      </c>
      <c r="N48" s="375" t="s">
        <v>6839</v>
      </c>
    </row>
    <row r="49" spans="1:14">
      <c r="A49" s="377" t="s">
        <v>2876</v>
      </c>
      <c r="B49" s="378" t="s">
        <v>2881</v>
      </c>
      <c r="C49" s="378" t="s">
        <v>2882</v>
      </c>
      <c r="D49" s="379" t="s">
        <v>2883</v>
      </c>
      <c r="E49" s="379">
        <v>12</v>
      </c>
      <c r="F49" s="378" t="s">
        <v>2884</v>
      </c>
      <c r="G49" s="380" t="s">
        <v>2743</v>
      </c>
      <c r="H49" s="354" t="s">
        <v>5529</v>
      </c>
      <c r="I49" s="375" t="s">
        <v>6797</v>
      </c>
      <c r="J49" s="375" t="s">
        <v>6252</v>
      </c>
      <c r="K49" s="375" t="s">
        <v>6252</v>
      </c>
      <c r="L49" s="375" t="s">
        <v>6845</v>
      </c>
      <c r="M49" s="375" t="s">
        <v>6845</v>
      </c>
      <c r="N49" s="375" t="s">
        <v>6839</v>
      </c>
    </row>
    <row r="50" spans="1:14">
      <c r="A50" s="377" t="s">
        <v>2876</v>
      </c>
      <c r="B50" s="378" t="s">
        <v>2885</v>
      </c>
      <c r="C50" s="378" t="s">
        <v>2886</v>
      </c>
      <c r="D50" s="379" t="s">
        <v>2887</v>
      </c>
      <c r="E50" s="379">
        <v>8</v>
      </c>
      <c r="F50" s="378" t="s">
        <v>2888</v>
      </c>
      <c r="G50" s="380" t="s">
        <v>2743</v>
      </c>
      <c r="H50" s="354" t="s">
        <v>5530</v>
      </c>
      <c r="I50" s="375" t="s">
        <v>6797</v>
      </c>
      <c r="J50" s="375" t="s">
        <v>6481</v>
      </c>
      <c r="K50" s="375" t="s">
        <v>6314</v>
      </c>
      <c r="L50" s="375" t="s">
        <v>6845</v>
      </c>
      <c r="M50" s="375" t="s">
        <v>6845</v>
      </c>
      <c r="N50" s="375" t="s">
        <v>6839</v>
      </c>
    </row>
    <row r="51" spans="1:14">
      <c r="A51" s="377" t="s">
        <v>2876</v>
      </c>
      <c r="B51" s="378" t="s">
        <v>2889</v>
      </c>
      <c r="C51" s="378" t="s">
        <v>2890</v>
      </c>
      <c r="D51" s="379" t="s">
        <v>2891</v>
      </c>
      <c r="E51" s="379">
        <v>6</v>
      </c>
      <c r="F51" s="378" t="s">
        <v>2892</v>
      </c>
      <c r="G51" s="380" t="s">
        <v>2743</v>
      </c>
      <c r="H51" s="354" t="s">
        <v>5531</v>
      </c>
      <c r="I51" s="375" t="s">
        <v>6797</v>
      </c>
      <c r="J51" s="375" t="s">
        <v>6443</v>
      </c>
      <c r="K51" s="375" t="s">
        <v>6296</v>
      </c>
      <c r="L51" s="375" t="s">
        <v>6847</v>
      </c>
      <c r="M51" s="375" t="s">
        <v>6845</v>
      </c>
      <c r="N51" s="375" t="s">
        <v>6839</v>
      </c>
    </row>
    <row r="52" spans="1:14">
      <c r="A52" s="377" t="s">
        <v>2876</v>
      </c>
      <c r="B52" s="378" t="s">
        <v>6339</v>
      </c>
      <c r="C52" s="378" t="s">
        <v>6340</v>
      </c>
      <c r="D52" s="379" t="s">
        <v>6341</v>
      </c>
      <c r="E52" s="379">
        <v>3</v>
      </c>
      <c r="F52" s="378" t="s">
        <v>6342</v>
      </c>
      <c r="G52" s="380" t="s">
        <v>2743</v>
      </c>
      <c r="H52" s="354" t="s">
        <v>6343</v>
      </c>
      <c r="I52" s="375" t="s">
        <v>6797</v>
      </c>
      <c r="J52" s="375" t="s">
        <v>2733</v>
      </c>
      <c r="K52" s="375" t="s">
        <v>6252</v>
      </c>
      <c r="L52" s="375" t="s">
        <v>6845</v>
      </c>
      <c r="M52" s="375" t="s">
        <v>6845</v>
      </c>
      <c r="N52" s="375" t="s">
        <v>6839</v>
      </c>
    </row>
    <row r="53" spans="1:14">
      <c r="A53" s="377" t="s">
        <v>2893</v>
      </c>
      <c r="B53" s="378" t="s">
        <v>2894</v>
      </c>
      <c r="C53" s="378" t="s">
        <v>2895</v>
      </c>
      <c r="D53" s="379" t="s">
        <v>2896</v>
      </c>
      <c r="E53" s="379">
        <v>8</v>
      </c>
      <c r="F53" s="378" t="s">
        <v>2897</v>
      </c>
      <c r="G53" s="380" t="s">
        <v>2743</v>
      </c>
      <c r="H53" s="354" t="s">
        <v>5532</v>
      </c>
      <c r="I53" s="375" t="s">
        <v>6797</v>
      </c>
      <c r="J53" s="375" t="s">
        <v>6436</v>
      </c>
      <c r="K53" s="375" t="s">
        <v>6254</v>
      </c>
      <c r="L53" s="375" t="s">
        <v>6847</v>
      </c>
      <c r="M53" s="375" t="s">
        <v>5168</v>
      </c>
      <c r="N53" s="375" t="s">
        <v>6839</v>
      </c>
    </row>
    <row r="54" spans="1:14">
      <c r="A54" s="377" t="s">
        <v>2893</v>
      </c>
      <c r="B54" s="378" t="s">
        <v>2898</v>
      </c>
      <c r="C54" s="378" t="s">
        <v>2899</v>
      </c>
      <c r="D54" s="379" t="s">
        <v>2900</v>
      </c>
      <c r="E54" s="379">
        <v>6</v>
      </c>
      <c r="F54" s="378" t="s">
        <v>2901</v>
      </c>
      <c r="G54" s="380" t="s">
        <v>2743</v>
      </c>
      <c r="H54" s="354" t="s">
        <v>5533</v>
      </c>
      <c r="I54" s="375" t="s">
        <v>6797</v>
      </c>
      <c r="J54" s="375" t="s">
        <v>6422</v>
      </c>
      <c r="K54" s="375" t="s">
        <v>6262</v>
      </c>
      <c r="L54" s="375" t="s">
        <v>6845</v>
      </c>
      <c r="M54" s="375" t="s">
        <v>6845</v>
      </c>
      <c r="N54" s="375" t="s">
        <v>6838</v>
      </c>
    </row>
    <row r="55" spans="1:14">
      <c r="A55" s="386" t="s">
        <v>2893</v>
      </c>
      <c r="B55" s="387" t="s">
        <v>2902</v>
      </c>
      <c r="C55" s="387" t="s">
        <v>2903</v>
      </c>
      <c r="D55" s="388" t="s">
        <v>2904</v>
      </c>
      <c r="E55" s="388">
        <v>8</v>
      </c>
      <c r="F55" s="387" t="s">
        <v>2905</v>
      </c>
      <c r="G55" s="389" t="s">
        <v>2743</v>
      </c>
      <c r="H55" s="354" t="s">
        <v>5534</v>
      </c>
      <c r="I55" s="375" t="s">
        <v>6797</v>
      </c>
      <c r="J55" s="375" t="s">
        <v>6424</v>
      </c>
      <c r="K55" s="375" t="s">
        <v>6257</v>
      </c>
      <c r="L55" s="375" t="s">
        <v>6845</v>
      </c>
      <c r="M55" s="375" t="s">
        <v>6845</v>
      </c>
      <c r="N55" s="375" t="s">
        <v>6839</v>
      </c>
    </row>
    <row r="56" spans="1:14" ht="38">
      <c r="A56" s="390" t="s">
        <v>5551</v>
      </c>
      <c r="B56" s="391" t="s">
        <v>5552</v>
      </c>
      <c r="C56" s="391" t="s">
        <v>5553</v>
      </c>
      <c r="D56" s="392" t="s">
        <v>2733</v>
      </c>
      <c r="E56" s="392">
        <v>12</v>
      </c>
      <c r="F56" s="391" t="s">
        <v>5554</v>
      </c>
      <c r="G56" s="393" t="s">
        <v>2743</v>
      </c>
      <c r="H56" s="394" t="s">
        <v>5555</v>
      </c>
      <c r="I56" s="375" t="s">
        <v>6797</v>
      </c>
      <c r="J56" s="375" t="s">
        <v>6252</v>
      </c>
      <c r="K56" s="375" t="s">
        <v>6252</v>
      </c>
      <c r="L56" s="375" t="s">
        <v>6845</v>
      </c>
      <c r="M56" s="375" t="s">
        <v>6845</v>
      </c>
      <c r="N56" s="375" t="s">
        <v>6839</v>
      </c>
    </row>
    <row r="57" spans="1:14" ht="38">
      <c r="A57" s="390" t="s">
        <v>5551</v>
      </c>
      <c r="B57" s="391" t="s">
        <v>5556</v>
      </c>
      <c r="C57" s="391" t="s">
        <v>5557</v>
      </c>
      <c r="D57" s="392" t="s">
        <v>2733</v>
      </c>
      <c r="E57" s="392">
        <v>10</v>
      </c>
      <c r="F57" s="391" t="s">
        <v>5558</v>
      </c>
      <c r="G57" s="393" t="s">
        <v>2743</v>
      </c>
      <c r="H57" s="394" t="s">
        <v>5559</v>
      </c>
      <c r="I57" s="375" t="s">
        <v>6797</v>
      </c>
      <c r="J57" s="375" t="s">
        <v>6252</v>
      </c>
      <c r="K57" s="375" t="s">
        <v>6252</v>
      </c>
      <c r="L57" s="375" t="s">
        <v>6845</v>
      </c>
      <c r="M57" s="375" t="s">
        <v>6845</v>
      </c>
      <c r="N57" s="375" t="s">
        <v>6839</v>
      </c>
    </row>
    <row r="58" spans="1:14">
      <c r="A58" s="390" t="s">
        <v>5551</v>
      </c>
      <c r="B58" s="391" t="s">
        <v>5560</v>
      </c>
      <c r="C58" s="391" t="s">
        <v>5561</v>
      </c>
      <c r="D58" s="392" t="s">
        <v>2733</v>
      </c>
      <c r="E58" s="392">
        <v>12</v>
      </c>
      <c r="F58" s="391" t="s">
        <v>5562</v>
      </c>
      <c r="G58" s="393" t="s">
        <v>2743</v>
      </c>
      <c r="H58" s="394" t="s">
        <v>5563</v>
      </c>
      <c r="I58" s="375" t="s">
        <v>6797</v>
      </c>
      <c r="J58" s="375" t="s">
        <v>6252</v>
      </c>
      <c r="K58" s="375" t="s">
        <v>6252</v>
      </c>
      <c r="L58" s="375" t="s">
        <v>6845</v>
      </c>
      <c r="M58" s="375" t="s">
        <v>6845</v>
      </c>
      <c r="N58" s="375" t="s">
        <v>6839</v>
      </c>
    </row>
    <row r="59" spans="1:14" ht="57">
      <c r="A59" s="390" t="s">
        <v>5564</v>
      </c>
      <c r="B59" s="391" t="s">
        <v>5565</v>
      </c>
      <c r="C59" s="391" t="s">
        <v>5566</v>
      </c>
      <c r="D59" s="392" t="s">
        <v>2733</v>
      </c>
      <c r="E59" s="392">
        <v>10</v>
      </c>
      <c r="F59" s="391" t="s">
        <v>5567</v>
      </c>
      <c r="G59" s="393" t="s">
        <v>2743</v>
      </c>
      <c r="H59" s="394" t="s">
        <v>5568</v>
      </c>
      <c r="I59" s="375" t="s">
        <v>6797</v>
      </c>
      <c r="J59" s="375" t="s">
        <v>6252</v>
      </c>
      <c r="K59" s="375" t="s">
        <v>6252</v>
      </c>
      <c r="L59" s="375" t="s">
        <v>6845</v>
      </c>
      <c r="M59" s="375" t="s">
        <v>6845</v>
      </c>
      <c r="N59" s="375" t="s">
        <v>6839</v>
      </c>
    </row>
    <row r="60" spans="1:14">
      <c r="A60" s="374"/>
      <c r="B60" s="374"/>
      <c r="C60" s="374"/>
      <c r="D60" s="374"/>
      <c r="E60" s="374"/>
      <c r="F60" s="374"/>
      <c r="G60" s="374"/>
      <c r="H60" s="354"/>
      <c r="I60" s="374"/>
      <c r="J60" s="374"/>
      <c r="K60" s="374"/>
      <c r="L60" s="374"/>
      <c r="M60" s="374"/>
      <c r="N60" s="374"/>
    </row>
    <row r="61" spans="1:14">
      <c r="A61" s="374"/>
      <c r="B61" s="374"/>
      <c r="C61" s="374"/>
      <c r="D61" s="374"/>
      <c r="E61" s="374"/>
      <c r="F61" s="374"/>
      <c r="G61" s="374"/>
      <c r="H61" s="374"/>
      <c r="I61" s="374"/>
      <c r="J61" s="374"/>
      <c r="K61" s="374"/>
      <c r="L61" s="374"/>
      <c r="M61" s="374"/>
      <c r="N61" s="374"/>
    </row>
    <row r="62" spans="1:14">
      <c r="A62" s="374" t="s">
        <v>5570</v>
      </c>
      <c r="B62" s="374"/>
      <c r="C62" s="374"/>
      <c r="D62" s="374"/>
      <c r="E62" s="374"/>
      <c r="F62" s="374"/>
      <c r="G62" s="374"/>
      <c r="H62" s="374"/>
      <c r="I62" s="374"/>
      <c r="J62" s="374"/>
      <c r="K62" s="374"/>
      <c r="L62" s="374"/>
      <c r="M62" s="374"/>
      <c r="N62" s="374"/>
    </row>
    <row r="63" spans="1:14">
      <c r="A63" s="268" t="s">
        <v>1</v>
      </c>
      <c r="B63" s="269" t="s">
        <v>2734</v>
      </c>
      <c r="C63" s="269" t="s">
        <v>5348</v>
      </c>
      <c r="D63" s="279" t="s">
        <v>5346</v>
      </c>
      <c r="E63" s="134" t="s">
        <v>2729</v>
      </c>
      <c r="F63" s="374"/>
      <c r="G63" s="374"/>
      <c r="H63" s="374"/>
      <c r="I63" s="374"/>
      <c r="J63" s="374"/>
      <c r="K63" s="374"/>
      <c r="L63" s="374"/>
      <c r="M63" s="374"/>
      <c r="N63" s="374"/>
    </row>
    <row r="64" spans="1:14">
      <c r="A64" s="395" t="s">
        <v>2738</v>
      </c>
      <c r="B64" s="396">
        <f t="shared" ref="B64:B73" si="0">COUNTIFS($A$6:$A$59,$A64)</f>
        <v>9</v>
      </c>
      <c r="C64" s="396">
        <f t="shared" ref="C64:C73" si="1">SUMIFS($E$6:$E$59,$A$6:$A$59,$A64)</f>
        <v>47</v>
      </c>
      <c r="D64" s="397">
        <v>47</v>
      </c>
      <c r="E64" s="374">
        <f t="shared" ref="E64:E74" si="2">C64-D64</f>
        <v>0</v>
      </c>
      <c r="F64" s="374"/>
      <c r="G64" s="374"/>
      <c r="H64" s="374"/>
      <c r="I64" s="374"/>
      <c r="J64" s="374"/>
      <c r="K64" s="374"/>
      <c r="L64" s="374"/>
      <c r="M64" s="374"/>
      <c r="N64" s="374"/>
    </row>
    <row r="65" spans="1:14">
      <c r="A65" s="395" t="s">
        <v>2768</v>
      </c>
      <c r="B65" s="396">
        <f t="shared" si="0"/>
        <v>9</v>
      </c>
      <c r="C65" s="396">
        <f t="shared" si="1"/>
        <v>87</v>
      </c>
      <c r="D65" s="397">
        <v>87</v>
      </c>
      <c r="E65" s="374">
        <f t="shared" si="2"/>
        <v>0</v>
      </c>
      <c r="F65" s="374"/>
      <c r="G65" s="374"/>
      <c r="H65" s="374"/>
      <c r="I65" s="374"/>
      <c r="J65" s="374"/>
      <c r="K65" s="374"/>
      <c r="L65" s="374"/>
      <c r="M65" s="374"/>
      <c r="N65" s="374"/>
    </row>
    <row r="66" spans="1:14">
      <c r="A66" s="395" t="s">
        <v>2803</v>
      </c>
      <c r="B66" s="396">
        <f t="shared" si="0"/>
        <v>4</v>
      </c>
      <c r="C66" s="396">
        <f t="shared" si="1"/>
        <v>38</v>
      </c>
      <c r="D66" s="397">
        <v>38</v>
      </c>
      <c r="E66" s="374">
        <f t="shared" si="2"/>
        <v>0</v>
      </c>
      <c r="F66" s="374"/>
      <c r="G66" s="374"/>
      <c r="H66" s="374"/>
      <c r="I66" s="374"/>
      <c r="J66" s="374"/>
      <c r="K66" s="374"/>
      <c r="L66" s="374"/>
      <c r="M66" s="374"/>
      <c r="N66" s="374"/>
    </row>
    <row r="67" spans="1:14">
      <c r="A67" s="395" t="s">
        <v>2820</v>
      </c>
      <c r="B67" s="396">
        <f t="shared" si="0"/>
        <v>9</v>
      </c>
      <c r="C67" s="396">
        <f t="shared" si="1"/>
        <v>69</v>
      </c>
      <c r="D67" s="397">
        <v>69</v>
      </c>
      <c r="E67" s="374">
        <f t="shared" si="2"/>
        <v>0</v>
      </c>
      <c r="F67" s="374"/>
      <c r="G67" s="374"/>
      <c r="H67" s="374"/>
      <c r="I67" s="374"/>
      <c r="J67" s="374"/>
      <c r="K67" s="374"/>
      <c r="L67" s="374"/>
      <c r="M67" s="374"/>
      <c r="N67" s="374"/>
    </row>
    <row r="68" spans="1:14">
      <c r="A68" s="395" t="s">
        <v>2839</v>
      </c>
      <c r="B68" s="396">
        <f t="shared" si="0"/>
        <v>5</v>
      </c>
      <c r="C68" s="396">
        <f t="shared" si="1"/>
        <v>40</v>
      </c>
      <c r="D68" s="397">
        <v>40</v>
      </c>
      <c r="E68" s="374">
        <f t="shared" si="2"/>
        <v>0</v>
      </c>
      <c r="F68" s="374"/>
      <c r="G68" s="374"/>
      <c r="H68" s="374"/>
      <c r="I68" s="374"/>
      <c r="J68" s="374"/>
      <c r="K68" s="374"/>
      <c r="L68" s="374"/>
      <c r="M68" s="374"/>
      <c r="N68" s="374"/>
    </row>
    <row r="69" spans="1:14">
      <c r="A69" s="395" t="s">
        <v>2855</v>
      </c>
      <c r="B69" s="396">
        <f t="shared" si="0"/>
        <v>6</v>
      </c>
      <c r="C69" s="396">
        <f t="shared" si="1"/>
        <v>43</v>
      </c>
      <c r="D69" s="397">
        <v>43</v>
      </c>
      <c r="E69" s="374">
        <f t="shared" si="2"/>
        <v>0</v>
      </c>
      <c r="F69" s="374"/>
      <c r="G69" s="374"/>
      <c r="H69" s="374"/>
      <c r="I69" s="374"/>
      <c r="J69" s="374"/>
      <c r="K69" s="374"/>
      <c r="L69" s="374"/>
      <c r="M69" s="374"/>
      <c r="N69" s="374"/>
    </row>
    <row r="70" spans="1:14">
      <c r="A70" s="395" t="s">
        <v>2876</v>
      </c>
      <c r="B70" s="396">
        <f t="shared" si="0"/>
        <v>5</v>
      </c>
      <c r="C70" s="396">
        <f t="shared" si="1"/>
        <v>39</v>
      </c>
      <c r="D70" s="397">
        <v>39</v>
      </c>
      <c r="E70" s="374">
        <f t="shared" si="2"/>
        <v>0</v>
      </c>
      <c r="F70" s="374"/>
      <c r="G70" s="374"/>
      <c r="H70" s="374"/>
      <c r="I70" s="374"/>
      <c r="J70" s="374"/>
      <c r="K70" s="374"/>
      <c r="L70" s="374"/>
      <c r="M70" s="374"/>
      <c r="N70" s="374"/>
    </row>
    <row r="71" spans="1:14">
      <c r="A71" s="395" t="s">
        <v>2893</v>
      </c>
      <c r="B71" s="396">
        <f t="shared" si="0"/>
        <v>3</v>
      </c>
      <c r="C71" s="396">
        <f t="shared" si="1"/>
        <v>22</v>
      </c>
      <c r="D71" s="397">
        <v>22</v>
      </c>
      <c r="E71" s="374">
        <f t="shared" si="2"/>
        <v>0</v>
      </c>
      <c r="F71" s="374"/>
      <c r="G71" s="374"/>
      <c r="H71" s="374"/>
      <c r="I71" s="374"/>
      <c r="J71" s="374"/>
      <c r="K71" s="374"/>
      <c r="L71" s="374"/>
      <c r="M71" s="374"/>
      <c r="N71" s="374"/>
    </row>
    <row r="72" spans="1:14">
      <c r="A72" s="395" t="s">
        <v>5551</v>
      </c>
      <c r="B72" s="396">
        <f t="shared" si="0"/>
        <v>3</v>
      </c>
      <c r="C72" s="396">
        <f t="shared" si="1"/>
        <v>34</v>
      </c>
      <c r="D72" s="397">
        <v>34</v>
      </c>
      <c r="E72" s="374">
        <f t="shared" si="2"/>
        <v>0</v>
      </c>
      <c r="F72" s="374"/>
      <c r="G72" s="374"/>
      <c r="H72" s="374"/>
      <c r="I72" s="374"/>
      <c r="J72" s="374"/>
      <c r="K72" s="374"/>
      <c r="L72" s="374"/>
      <c r="M72" s="374"/>
      <c r="N72" s="374"/>
    </row>
    <row r="73" spans="1:14">
      <c r="A73" s="395" t="s">
        <v>5564</v>
      </c>
      <c r="B73" s="396">
        <f t="shared" si="0"/>
        <v>1</v>
      </c>
      <c r="C73" s="396">
        <f t="shared" si="1"/>
        <v>10</v>
      </c>
      <c r="D73" s="397">
        <v>10</v>
      </c>
      <c r="E73" s="374">
        <f t="shared" si="2"/>
        <v>0</v>
      </c>
      <c r="F73" s="374"/>
      <c r="G73" s="374"/>
      <c r="H73" s="374"/>
      <c r="I73" s="374"/>
      <c r="J73" s="374"/>
      <c r="K73" s="374"/>
      <c r="L73" s="374"/>
      <c r="M73" s="374"/>
      <c r="N73" s="374"/>
    </row>
    <row r="74" spans="1:14">
      <c r="A74" s="398" t="s">
        <v>7</v>
      </c>
      <c r="B74" s="399">
        <f>SUM(B64:B73)</f>
        <v>54</v>
      </c>
      <c r="C74" s="399">
        <f>SUM(C64:C73)</f>
        <v>429</v>
      </c>
      <c r="D74" s="400">
        <v>429</v>
      </c>
      <c r="E74" s="374">
        <f t="shared" si="2"/>
        <v>0</v>
      </c>
      <c r="F74" s="374"/>
      <c r="G74" s="374"/>
      <c r="H74" s="374"/>
      <c r="I74" s="374"/>
      <c r="J74" s="374"/>
      <c r="K74" s="374"/>
      <c r="L74" s="374"/>
      <c r="M74" s="374"/>
      <c r="N74" s="374"/>
    </row>
  </sheetData>
  <autoFilter ref="A5:N59" xr:uid="{513185A0-2764-294B-9250-00ECB5CCB839}"/>
  <phoneticPr fontId="3"/>
  <conditionalFormatting sqref="A6:G59">
    <cfRule type="expression" dxfId="35" priority="1">
      <formula>$G6="外部待ち"</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34" priority="4">
      <formula>$A6&lt;&gt;""</formula>
    </cfRule>
  </conditionalFormatting>
  <conditionalFormatting sqref="B6:C48">
    <cfRule type="expression" dxfId="33" priority="5">
      <formula>$C6="G 事例・構成レビュー"</formula>
    </cfRule>
    <cfRule type="expression" dxfId="32" priority="6">
      <formula>$C6="B RHBK本体・SPI"</formula>
    </cfRule>
    <cfRule type="expression" dxfId="31" priority="7">
      <formula>$C6="D セキュリティ"</formula>
    </cfRule>
    <cfRule type="expression" dxfId="30" priority="8">
      <formula>$C6="F 運用・監視"</formula>
    </cfRule>
  </conditionalFormatting>
  <conditionalFormatting sqref="D6:D48">
    <cfRule type="expression" dxfId="29" priority="1">
      <formula>$D6="最優先"</formula>
    </cfRule>
    <cfRule type="expression" dxfId="28" priority="2">
      <formula>$D6="通常"</formula>
    </cfRule>
    <cfRule type="expression" dxfId="27" priority="3">
      <formula>$D6="後回し可"</formula>
    </cfRule>
  </conditionalFormatting>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26" priority="10">
      <formula>$A7="QA-BIND-06"</formula>
    </cfRule>
  </conditionalFormatting>
  <conditionalFormatting sqref="B7:B13">
    <cfRule type="expression" dxfId="25" priority="4">
      <formula>$B7="アプリチーム"</formula>
    </cfRule>
    <cfRule type="expression" dxfId="24" priority="5">
      <formula>$B7="事業側"</formula>
    </cfRule>
  </conditionalFormatting>
  <conditionalFormatting sqref="C7:C13">
    <cfRule type="expression" priority="1"/>
    <cfRule type="expression" dxfId="23" priority="2">
      <formula>$C7="最優先"</formula>
    </cfRule>
    <cfRule type="expression" dxfId="22" priority="3">
      <formula>$C7="通常"</formula>
    </cfRule>
  </conditionalFormatting>
  <conditionalFormatting sqref="I7:I13">
    <cfRule type="expression" dxfId="21" priority="7">
      <formula>$I7="採用"</formula>
    </cfRule>
    <cfRule type="expression" dxfId="20" priority="8">
      <formula>$I7="現行維持"</formula>
    </cfRule>
    <cfRule type="expression" dxfId="19" priority="9">
      <formula>$I7="保留"</formula>
    </cfRule>
  </conditionalFormatting>
  <conditionalFormatting sqref="M7:M13">
    <cfRule type="expression" dxfId="18" priority="6">
      <formula>LEFT($M7,1)&lt;&gt;"—"</formula>
    </cfRule>
  </conditionalFormatting>
  <conditionalFormatting sqref="N7:N13">
    <cfRule type="expression" dxfId="17" priority="11">
      <formula>$N7="転記済み"</formula>
    </cfRule>
    <cfRule type="expression" dxfId="16"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6408</v>
      </c>
      <c r="B1" s="30"/>
      <c r="C1" s="30"/>
      <c r="D1" s="30"/>
      <c r="E1" s="30"/>
      <c r="F1" s="30"/>
    </row>
    <row r="2" spans="1:7">
      <c r="A2" s="55" t="s">
        <v>5634</v>
      </c>
      <c r="B2" s="30"/>
      <c r="C2" s="30"/>
      <c r="D2" s="30"/>
      <c r="E2" s="30"/>
      <c r="F2" s="30"/>
    </row>
    <row r="3" spans="1:7">
      <c r="A3" s="267" t="s">
        <v>6409</v>
      </c>
      <c r="B3" s="30"/>
      <c r="C3" s="30"/>
      <c r="D3" s="30"/>
      <c r="E3" s="30"/>
      <c r="F3" s="30"/>
    </row>
    <row r="4" spans="1:7">
      <c r="A4" s="267" t="s">
        <v>5635</v>
      </c>
      <c r="B4" s="30"/>
      <c r="C4" s="30"/>
      <c r="D4" s="30"/>
      <c r="E4" s="30"/>
      <c r="F4" s="30"/>
    </row>
    <row r="5" spans="1:7">
      <c r="A5" s="267" t="s">
        <v>6410</v>
      </c>
      <c r="B5" s="30"/>
      <c r="C5" s="30"/>
      <c r="D5" s="30"/>
      <c r="E5" s="30"/>
      <c r="F5" s="30"/>
    </row>
    <row r="6" spans="1:7">
      <c r="A6" s="267" t="s">
        <v>5700</v>
      </c>
      <c r="B6" s="30"/>
      <c r="C6" s="30"/>
      <c r="D6" s="30"/>
      <c r="E6" s="30"/>
      <c r="F6" s="30"/>
    </row>
    <row r="7" spans="1:7">
      <c r="A7" s="268" t="s">
        <v>2520</v>
      </c>
      <c r="B7" s="269" t="s">
        <v>5318</v>
      </c>
      <c r="C7" s="269" t="s">
        <v>5319</v>
      </c>
      <c r="D7" s="269" t="s">
        <v>5320</v>
      </c>
      <c r="E7" s="269" t="s">
        <v>5355</v>
      </c>
      <c r="F7" s="279" t="s">
        <v>666</v>
      </c>
      <c r="G7" s="359" t="s">
        <v>6786</v>
      </c>
    </row>
    <row r="8" spans="1:7" ht="40" customHeight="1">
      <c r="A8" s="296" t="s">
        <v>5636</v>
      </c>
      <c r="B8" s="128" t="s">
        <v>5321</v>
      </c>
      <c r="C8" s="273" t="s">
        <v>6399</v>
      </c>
      <c r="D8" s="273" t="s">
        <v>2233</v>
      </c>
      <c r="E8" s="128">
        <v>0</v>
      </c>
      <c r="F8" s="288" t="s">
        <v>5298</v>
      </c>
      <c r="G8" t="s">
        <v>6787</v>
      </c>
    </row>
    <row r="9" spans="1:7" ht="40" customHeight="1">
      <c r="A9" s="296" t="s">
        <v>5636</v>
      </c>
      <c r="B9" s="128" t="s">
        <v>5322</v>
      </c>
      <c r="C9" s="273" t="s">
        <v>6389</v>
      </c>
      <c r="D9" s="273" t="s">
        <v>6390</v>
      </c>
      <c r="E9" s="128">
        <v>5</v>
      </c>
      <c r="F9" s="288"/>
      <c r="G9" t="s">
        <v>6787</v>
      </c>
    </row>
    <row r="10" spans="1:7" ht="40" customHeight="1">
      <c r="A10" s="296" t="s">
        <v>5636</v>
      </c>
      <c r="B10" s="128" t="s">
        <v>5323</v>
      </c>
      <c r="C10" s="273" t="s">
        <v>6391</v>
      </c>
      <c r="D10" s="273" t="s">
        <v>6392</v>
      </c>
      <c r="E10" s="128">
        <v>3</v>
      </c>
      <c r="F10" s="288"/>
      <c r="G10" t="s">
        <v>6787</v>
      </c>
    </row>
    <row r="11" spans="1:7" ht="40" customHeight="1">
      <c r="A11" s="296" t="s">
        <v>5636</v>
      </c>
      <c r="B11" s="128" t="s">
        <v>5324</v>
      </c>
      <c r="C11" s="273" t="s">
        <v>6393</v>
      </c>
      <c r="D11" s="273" t="s">
        <v>6394</v>
      </c>
      <c r="E11" s="128">
        <v>3</v>
      </c>
      <c r="F11" s="288"/>
      <c r="G11" t="s">
        <v>6787</v>
      </c>
    </row>
    <row r="12" spans="1:7" ht="40" customHeight="1">
      <c r="A12" s="296" t="s">
        <v>5636</v>
      </c>
      <c r="B12" s="128" t="s">
        <v>5325</v>
      </c>
      <c r="C12" s="273" t="s">
        <v>6395</v>
      </c>
      <c r="D12" s="273" t="s">
        <v>6396</v>
      </c>
      <c r="E12" s="128">
        <v>2</v>
      </c>
      <c r="F12" s="288"/>
      <c r="G12" t="s">
        <v>6787</v>
      </c>
    </row>
    <row r="13" spans="1:7" ht="40" customHeight="1">
      <c r="A13" s="296" t="s">
        <v>5636</v>
      </c>
      <c r="B13" s="128" t="s">
        <v>5326</v>
      </c>
      <c r="C13" s="273" t="s">
        <v>6400</v>
      </c>
      <c r="D13" s="273" t="s">
        <v>2233</v>
      </c>
      <c r="E13" s="128">
        <v>0</v>
      </c>
      <c r="F13" s="288" t="s">
        <v>5298</v>
      </c>
      <c r="G13" t="s">
        <v>6787</v>
      </c>
    </row>
    <row r="14" spans="1:7" ht="40" customHeight="1">
      <c r="A14" s="296" t="s">
        <v>5636</v>
      </c>
      <c r="B14" s="128" t="s">
        <v>5327</v>
      </c>
      <c r="C14" s="273" t="s">
        <v>6397</v>
      </c>
      <c r="D14" s="273" t="s">
        <v>6398</v>
      </c>
      <c r="E14" s="128">
        <v>6</v>
      </c>
      <c r="F14" s="288"/>
      <c r="G14" t="s">
        <v>6787</v>
      </c>
    </row>
    <row r="15" spans="1:7" ht="40" customHeight="1">
      <c r="A15" s="296" t="s">
        <v>5636</v>
      </c>
      <c r="B15" s="128" t="s">
        <v>6401</v>
      </c>
      <c r="C15" s="273" t="s">
        <v>6402</v>
      </c>
      <c r="D15" s="273" t="s">
        <v>6403</v>
      </c>
      <c r="E15" s="128">
        <v>4</v>
      </c>
      <c r="F15" s="288"/>
      <c r="G15" t="s">
        <v>6787</v>
      </c>
    </row>
    <row r="16" spans="1:7" ht="40" customHeight="1">
      <c r="A16" s="296" t="s">
        <v>5636</v>
      </c>
      <c r="B16" s="128" t="s">
        <v>6404</v>
      </c>
      <c r="C16" s="273" t="s">
        <v>6405</v>
      </c>
      <c r="D16" s="273" t="s">
        <v>6406</v>
      </c>
      <c r="E16" s="128">
        <v>6</v>
      </c>
      <c r="F16" s="288"/>
      <c r="G16" t="s">
        <v>6787</v>
      </c>
    </row>
    <row r="17" spans="1:7" ht="40" customHeight="1">
      <c r="A17" s="296" t="s">
        <v>5636</v>
      </c>
      <c r="B17" s="128" t="s">
        <v>5328</v>
      </c>
      <c r="C17" s="273" t="s">
        <v>6414</v>
      </c>
      <c r="D17" s="273" t="s">
        <v>5329</v>
      </c>
      <c r="E17" s="128">
        <v>6</v>
      </c>
      <c r="F17" s="288" t="s">
        <v>5344</v>
      </c>
      <c r="G17" t="s">
        <v>6787</v>
      </c>
    </row>
    <row r="18" spans="1:7" ht="40" customHeight="1">
      <c r="A18" s="296" t="s">
        <v>5636</v>
      </c>
      <c r="B18" s="128" t="s">
        <v>5330</v>
      </c>
      <c r="C18" s="273" t="s">
        <v>6415</v>
      </c>
      <c r="D18" s="273" t="s">
        <v>5331</v>
      </c>
      <c r="E18" s="128">
        <v>3</v>
      </c>
      <c r="F18" s="288" t="s">
        <v>5344</v>
      </c>
      <c r="G18" t="s">
        <v>6787</v>
      </c>
    </row>
    <row r="19" spans="1:7" ht="40" customHeight="1">
      <c r="A19" s="296" t="s">
        <v>5636</v>
      </c>
      <c r="B19" s="128" t="s">
        <v>5332</v>
      </c>
      <c r="C19" s="273" t="s">
        <v>6416</v>
      </c>
      <c r="D19" s="273" t="s">
        <v>5333</v>
      </c>
      <c r="E19" s="128">
        <v>2</v>
      </c>
      <c r="F19" s="288" t="s">
        <v>5344</v>
      </c>
      <c r="G19" t="s">
        <v>6787</v>
      </c>
    </row>
    <row r="20" spans="1:7" ht="40" customHeight="1">
      <c r="A20" s="296" t="s">
        <v>5636</v>
      </c>
      <c r="B20" s="128" t="s">
        <v>5334</v>
      </c>
      <c r="C20" s="273" t="s">
        <v>6417</v>
      </c>
      <c r="D20" s="273" t="s">
        <v>5637</v>
      </c>
      <c r="E20" s="128">
        <v>1</v>
      </c>
      <c r="F20" s="288" t="s">
        <v>5344</v>
      </c>
      <c r="G20" t="s">
        <v>6787</v>
      </c>
    </row>
    <row r="21" spans="1:7" ht="40" customHeight="1">
      <c r="A21" s="296" t="s">
        <v>5636</v>
      </c>
      <c r="B21" s="128" t="s">
        <v>5335</v>
      </c>
      <c r="C21" s="273" t="s">
        <v>6350</v>
      </c>
      <c r="D21" s="273" t="s">
        <v>6351</v>
      </c>
      <c r="E21" s="128">
        <v>5</v>
      </c>
      <c r="F21" s="288" t="s">
        <v>6354</v>
      </c>
      <c r="G21" t="s">
        <v>6788</v>
      </c>
    </row>
    <row r="22" spans="1:7" ht="40" customHeight="1">
      <c r="A22" s="296" t="s">
        <v>5636</v>
      </c>
      <c r="B22" s="128" t="s">
        <v>5336</v>
      </c>
      <c r="C22" s="273" t="s">
        <v>6352</v>
      </c>
      <c r="D22" s="273" t="s">
        <v>6353</v>
      </c>
      <c r="E22" s="128">
        <v>8</v>
      </c>
      <c r="F22" s="288" t="s">
        <v>5344</v>
      </c>
      <c r="G22" t="s">
        <v>6787</v>
      </c>
    </row>
    <row r="23" spans="1:7" ht="40" customHeight="1">
      <c r="A23" s="296" t="s">
        <v>5636</v>
      </c>
      <c r="B23" s="128" t="s">
        <v>5337</v>
      </c>
      <c r="C23" s="273" t="s">
        <v>6418</v>
      </c>
      <c r="D23" s="273" t="s">
        <v>5338</v>
      </c>
      <c r="E23" s="128">
        <v>8</v>
      </c>
      <c r="F23" s="288" t="s">
        <v>5344</v>
      </c>
      <c r="G23" t="s">
        <v>6787</v>
      </c>
    </row>
    <row r="24" spans="1:7" ht="40" customHeight="1">
      <c r="A24" s="296" t="s">
        <v>5636</v>
      </c>
      <c r="B24" s="128" t="s">
        <v>5339</v>
      </c>
      <c r="C24" s="273" t="s">
        <v>6419</v>
      </c>
      <c r="D24" s="273" t="s">
        <v>5340</v>
      </c>
      <c r="E24" s="128">
        <v>2</v>
      </c>
      <c r="F24" s="288" t="s">
        <v>5344</v>
      </c>
      <c r="G24" t="s">
        <v>6787</v>
      </c>
    </row>
    <row r="25" spans="1:7" ht="40" customHeight="1">
      <c r="A25" s="296" t="s">
        <v>5636</v>
      </c>
      <c r="B25" s="128" t="s">
        <v>5341</v>
      </c>
      <c r="C25" s="273" t="s">
        <v>5342</v>
      </c>
      <c r="D25" s="273" t="s">
        <v>5343</v>
      </c>
      <c r="E25" s="128">
        <v>3</v>
      </c>
      <c r="F25" s="288" t="s">
        <v>5344</v>
      </c>
      <c r="G25" t="s">
        <v>6787</v>
      </c>
    </row>
    <row r="26" spans="1:7" ht="40" customHeight="1">
      <c r="A26" s="296" t="s">
        <v>5638</v>
      </c>
      <c r="B26" s="128" t="s">
        <v>5356</v>
      </c>
      <c r="C26" s="273" t="s">
        <v>5357</v>
      </c>
      <c r="D26" s="273" t="s">
        <v>5358</v>
      </c>
      <c r="E26" s="128">
        <v>20</v>
      </c>
      <c r="F26" s="288" t="s">
        <v>5344</v>
      </c>
      <c r="G26" t="s">
        <v>6787</v>
      </c>
    </row>
    <row r="27" spans="1:7" ht="40" customHeight="1">
      <c r="A27" s="296" t="s">
        <v>5638</v>
      </c>
      <c r="B27" s="128" t="s">
        <v>5359</v>
      </c>
      <c r="C27" s="273" t="s">
        <v>6229</v>
      </c>
      <c r="D27" s="273" t="s">
        <v>6230</v>
      </c>
      <c r="E27" s="128">
        <v>18</v>
      </c>
      <c r="F27" s="288" t="s">
        <v>5344</v>
      </c>
      <c r="G27" t="s">
        <v>6787</v>
      </c>
    </row>
    <row r="28" spans="1:7" ht="40" customHeight="1">
      <c r="A28" s="296" t="s">
        <v>5638</v>
      </c>
      <c r="B28" s="128" t="s">
        <v>5360</v>
      </c>
      <c r="C28" s="273" t="s">
        <v>5361</v>
      </c>
      <c r="D28" s="273" t="s">
        <v>5362</v>
      </c>
      <c r="E28" s="128">
        <v>9</v>
      </c>
      <c r="F28" s="288" t="s">
        <v>5344</v>
      </c>
      <c r="G28" t="s">
        <v>6787</v>
      </c>
    </row>
    <row r="29" spans="1:7" ht="40" customHeight="1">
      <c r="A29" s="296" t="s">
        <v>5638</v>
      </c>
      <c r="B29" s="128" t="s">
        <v>5363</v>
      </c>
      <c r="C29" s="273" t="s">
        <v>5364</v>
      </c>
      <c r="D29" s="273" t="s">
        <v>5365</v>
      </c>
      <c r="E29" s="128">
        <v>15</v>
      </c>
      <c r="F29" s="288" t="s">
        <v>5344</v>
      </c>
      <c r="G29" t="s">
        <v>6787</v>
      </c>
    </row>
    <row r="30" spans="1:7" ht="40" customHeight="1">
      <c r="A30" s="296" t="s">
        <v>5638</v>
      </c>
      <c r="B30" s="128" t="s">
        <v>5366</v>
      </c>
      <c r="C30" s="273" t="s">
        <v>5367</v>
      </c>
      <c r="D30" s="273" t="s">
        <v>5368</v>
      </c>
      <c r="E30" s="128">
        <v>25</v>
      </c>
      <c r="F30" s="288" t="s">
        <v>5344</v>
      </c>
      <c r="G30" t="s">
        <v>6787</v>
      </c>
    </row>
    <row r="31" spans="1:7" ht="40" customHeight="1">
      <c r="A31" s="296" t="s">
        <v>5639</v>
      </c>
      <c r="B31" s="128" t="s">
        <v>5485</v>
      </c>
      <c r="C31" s="273" t="s">
        <v>5640</v>
      </c>
      <c r="D31" s="273" t="s">
        <v>5641</v>
      </c>
      <c r="E31" s="128">
        <v>15</v>
      </c>
      <c r="F31" s="288" t="s">
        <v>5344</v>
      </c>
      <c r="G31" t="s">
        <v>6787</v>
      </c>
    </row>
    <row r="32" spans="1:7" ht="40" customHeight="1">
      <c r="A32" s="296" t="s">
        <v>5639</v>
      </c>
      <c r="B32" s="128" t="s">
        <v>5486</v>
      </c>
      <c r="C32" s="273" t="s">
        <v>5642</v>
      </c>
      <c r="D32" s="273" t="s">
        <v>5643</v>
      </c>
      <c r="E32" s="128">
        <v>20</v>
      </c>
      <c r="F32" s="288" t="s">
        <v>5344</v>
      </c>
      <c r="G32" t="s">
        <v>6787</v>
      </c>
    </row>
    <row r="33" spans="1:7" ht="40" customHeight="1">
      <c r="A33" s="296" t="s">
        <v>5639</v>
      </c>
      <c r="B33" s="128" t="s">
        <v>5487</v>
      </c>
      <c r="C33" s="273" t="s">
        <v>5688</v>
      </c>
      <c r="D33" s="273" t="s">
        <v>5645</v>
      </c>
      <c r="E33" s="128">
        <v>12</v>
      </c>
      <c r="F33" s="288" t="s">
        <v>5344</v>
      </c>
      <c r="G33" t="s">
        <v>6787</v>
      </c>
    </row>
    <row r="34" spans="1:7" ht="40" customHeight="1">
      <c r="A34" s="296" t="s">
        <v>5639</v>
      </c>
      <c r="B34" s="128" t="s">
        <v>5488</v>
      </c>
      <c r="C34" s="273" t="s">
        <v>5689</v>
      </c>
      <c r="D34" s="273" t="s">
        <v>5690</v>
      </c>
      <c r="E34" s="128">
        <v>8</v>
      </c>
      <c r="F34" s="288" t="s">
        <v>5344</v>
      </c>
      <c r="G34" t="s">
        <v>6787</v>
      </c>
    </row>
    <row r="35" spans="1:7" ht="40" customHeight="1">
      <c r="A35" s="296" t="s">
        <v>5639</v>
      </c>
      <c r="B35" s="128" t="s">
        <v>5489</v>
      </c>
      <c r="C35" s="273" t="s">
        <v>5691</v>
      </c>
      <c r="D35" s="273" t="s">
        <v>5692</v>
      </c>
      <c r="E35" s="128">
        <v>8</v>
      </c>
      <c r="F35" s="288" t="s">
        <v>5344</v>
      </c>
      <c r="G35" t="s">
        <v>6787</v>
      </c>
    </row>
    <row r="36" spans="1:7" ht="40" customHeight="1">
      <c r="A36" s="296" t="s">
        <v>5639</v>
      </c>
      <c r="B36" s="128" t="s">
        <v>5490</v>
      </c>
      <c r="C36" s="273" t="s">
        <v>5646</v>
      </c>
      <c r="D36" s="273" t="s">
        <v>5647</v>
      </c>
      <c r="E36" s="128">
        <v>10</v>
      </c>
      <c r="F36" s="288" t="s">
        <v>5344</v>
      </c>
      <c r="G36" t="s">
        <v>6787</v>
      </c>
    </row>
    <row r="37" spans="1:7" ht="40" customHeight="1">
      <c r="A37" s="296" t="s">
        <v>5639</v>
      </c>
      <c r="B37" s="128" t="s">
        <v>5693</v>
      </c>
      <c r="C37" s="273" t="s">
        <v>5694</v>
      </c>
      <c r="D37" s="273" t="s">
        <v>5695</v>
      </c>
      <c r="E37" s="128">
        <v>15</v>
      </c>
      <c r="F37" s="288" t="s">
        <v>5344</v>
      </c>
      <c r="G37" t="s">
        <v>6787</v>
      </c>
    </row>
    <row r="38" spans="1:7" ht="40" customHeight="1">
      <c r="A38" s="296" t="s">
        <v>5639</v>
      </c>
      <c r="B38" s="128" t="s">
        <v>5696</v>
      </c>
      <c r="C38" s="273" t="s">
        <v>5697</v>
      </c>
      <c r="D38" s="273" t="s">
        <v>5698</v>
      </c>
      <c r="E38" s="128">
        <v>10</v>
      </c>
      <c r="F38" s="288" t="s">
        <v>5344</v>
      </c>
      <c r="G38" t="s">
        <v>6787</v>
      </c>
    </row>
    <row r="39" spans="1:7" ht="40" customHeight="1">
      <c r="A39" s="296" t="s">
        <v>2523</v>
      </c>
      <c r="B39" s="128" t="s">
        <v>5571</v>
      </c>
      <c r="C39" s="273" t="s">
        <v>5572</v>
      </c>
      <c r="D39" s="273" t="s">
        <v>5573</v>
      </c>
      <c r="E39" s="128">
        <v>10</v>
      </c>
      <c r="F39" s="288" t="s">
        <v>5344</v>
      </c>
      <c r="G39" t="s">
        <v>6787</v>
      </c>
    </row>
    <row r="40" spans="1:7" ht="40" customHeight="1">
      <c r="A40" s="296" t="s">
        <v>2523</v>
      </c>
      <c r="B40" s="128" t="s">
        <v>5574</v>
      </c>
      <c r="C40" s="273" t="s">
        <v>6344</v>
      </c>
      <c r="D40" s="273" t="s">
        <v>6345</v>
      </c>
      <c r="E40" s="128">
        <v>25</v>
      </c>
      <c r="F40" s="288" t="s">
        <v>6346</v>
      </c>
      <c r="G40" t="s">
        <v>6787</v>
      </c>
    </row>
    <row r="41" spans="1:7" ht="40" customHeight="1">
      <c r="A41" s="296" t="s">
        <v>2523</v>
      </c>
      <c r="B41" s="128" t="s">
        <v>5575</v>
      </c>
      <c r="C41" s="273" t="s">
        <v>5644</v>
      </c>
      <c r="D41" s="273" t="s">
        <v>5576</v>
      </c>
      <c r="E41" s="128">
        <v>6</v>
      </c>
      <c r="F41" s="288" t="s">
        <v>5344</v>
      </c>
      <c r="G41" t="s">
        <v>6788</v>
      </c>
    </row>
    <row r="42" spans="1:7" ht="40" customHeight="1">
      <c r="A42" s="296" t="s">
        <v>2523</v>
      </c>
      <c r="B42" s="128" t="s">
        <v>5577</v>
      </c>
      <c r="C42" s="273" t="s">
        <v>5578</v>
      </c>
      <c r="D42" s="273" t="s">
        <v>5579</v>
      </c>
      <c r="E42" s="128">
        <v>8</v>
      </c>
      <c r="F42" s="288" t="s">
        <v>5344</v>
      </c>
      <c r="G42" t="s">
        <v>6787</v>
      </c>
    </row>
    <row r="43" spans="1:7" ht="40" customHeight="1">
      <c r="A43" s="296" t="s">
        <v>2523</v>
      </c>
      <c r="B43" s="128" t="s">
        <v>5580</v>
      </c>
      <c r="C43" s="273" t="s">
        <v>5581</v>
      </c>
      <c r="D43" s="273" t="s">
        <v>5582</v>
      </c>
      <c r="E43" s="128">
        <v>6</v>
      </c>
      <c r="F43" s="288" t="s">
        <v>5344</v>
      </c>
      <c r="G43" t="s">
        <v>6787</v>
      </c>
    </row>
    <row r="44" spans="1:7" ht="40" customHeight="1">
      <c r="A44" s="297" t="s">
        <v>2523</v>
      </c>
      <c r="B44" s="289" t="s">
        <v>5583</v>
      </c>
      <c r="C44" s="276" t="s">
        <v>5648</v>
      </c>
      <c r="D44" s="276" t="s">
        <v>5584</v>
      </c>
      <c r="E44" s="289">
        <v>8</v>
      </c>
      <c r="F44" s="290" t="s">
        <v>5344</v>
      </c>
      <c r="G44" t="s">
        <v>6787</v>
      </c>
    </row>
    <row r="45" spans="1:7">
      <c r="A45" s="30"/>
      <c r="B45" s="30"/>
      <c r="C45" s="30"/>
      <c r="D45" s="30"/>
      <c r="E45" s="30"/>
      <c r="F45" s="30"/>
    </row>
    <row r="46" spans="1:7">
      <c r="A46" s="229" t="s">
        <v>5649</v>
      </c>
      <c r="B46" s="30"/>
      <c r="C46" s="30"/>
      <c r="D46" s="30"/>
      <c r="E46" s="30"/>
      <c r="F46" s="30"/>
    </row>
    <row r="47" spans="1:7">
      <c r="A47" s="268" t="s">
        <v>2520</v>
      </c>
      <c r="B47" s="269" t="s">
        <v>5348</v>
      </c>
      <c r="C47" s="279" t="s">
        <v>5346</v>
      </c>
      <c r="D47" s="30"/>
      <c r="E47" s="30"/>
      <c r="F47" s="30"/>
      <c r="G47" t="s">
        <v>6787</v>
      </c>
    </row>
    <row r="48" spans="1:7">
      <c r="A48" s="291" t="s">
        <v>6407</v>
      </c>
      <c r="B48" s="292">
        <f>SUMIF($A$8:$A$45,"① 設計",$E$8:$E$45)</f>
        <v>67</v>
      </c>
      <c r="C48" s="293">
        <v>67</v>
      </c>
      <c r="D48" s="30"/>
      <c r="E48" s="30"/>
      <c r="F48" s="30"/>
      <c r="G48" t="s">
        <v>6787</v>
      </c>
    </row>
    <row r="49" spans="1:7">
      <c r="A49" s="291" t="s">
        <v>5650</v>
      </c>
      <c r="B49" s="292">
        <f>SUMIF($A$8:$A$45,"① 設計(H)",$E$8:$E$45)</f>
        <v>87</v>
      </c>
      <c r="C49" s="293">
        <v>87</v>
      </c>
      <c r="D49" s="30"/>
      <c r="E49" s="30"/>
      <c r="F49" s="30"/>
      <c r="G49" t="s">
        <v>6787</v>
      </c>
    </row>
    <row r="50" spans="1:7">
      <c r="A50" s="291" t="s">
        <v>5699</v>
      </c>
      <c r="B50" s="292">
        <f>SUMIF($A$8:$A$45,"③ 構築",$E$8:$E$45)</f>
        <v>98</v>
      </c>
      <c r="C50" s="293">
        <v>98</v>
      </c>
      <c r="D50" s="30"/>
      <c r="E50" s="30"/>
      <c r="F50" s="30"/>
      <c r="G50" t="s">
        <v>6787</v>
      </c>
    </row>
    <row r="51" spans="1:7">
      <c r="A51" s="291" t="s">
        <v>5651</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6411</v>
      </c>
      <c r="B54" s="30"/>
      <c r="C54" s="30"/>
      <c r="D54" s="30"/>
      <c r="E54" s="30"/>
      <c r="F54" s="30"/>
    </row>
    <row r="55" spans="1:7">
      <c r="A55" s="281" t="s">
        <v>5795</v>
      </c>
    </row>
  </sheetData>
  <autoFilter ref="A7:F44" xr:uid="{69BC7312-1107-2C44-8AAA-D11AA53C6FA5}"/>
  <phoneticPr fontId="3"/>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D22" sqref="D2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5959</v>
      </c>
      <c r="B1" s="30"/>
      <c r="C1" s="30"/>
      <c r="D1" s="30"/>
      <c r="E1" s="30"/>
      <c r="F1" s="30"/>
      <c r="G1" s="30"/>
      <c r="H1" s="30"/>
    </row>
    <row r="2" spans="1:8">
      <c r="A2" s="55" t="s">
        <v>5960</v>
      </c>
      <c r="B2" s="30"/>
      <c r="C2" s="30"/>
      <c r="D2" s="30"/>
      <c r="E2" s="30"/>
      <c r="F2" s="30"/>
      <c r="G2" s="30"/>
      <c r="H2" s="30"/>
    </row>
    <row r="3" spans="1:8">
      <c r="A3" s="267" t="s">
        <v>5961</v>
      </c>
      <c r="B3" s="30"/>
      <c r="C3" s="30"/>
      <c r="D3" s="30"/>
      <c r="E3" s="30"/>
      <c r="F3" s="30"/>
      <c r="G3" s="30"/>
      <c r="H3" s="30"/>
    </row>
    <row r="4" spans="1:8">
      <c r="A4" s="281" t="s">
        <v>5962</v>
      </c>
      <c r="B4" s="30"/>
      <c r="C4" s="30"/>
      <c r="D4" s="30"/>
      <c r="E4" s="30"/>
      <c r="F4" s="30"/>
      <c r="G4" s="30"/>
      <c r="H4" s="30"/>
    </row>
    <row r="5" spans="1:8">
      <c r="A5" s="267" t="s">
        <v>6243</v>
      </c>
      <c r="B5" s="30"/>
      <c r="C5" s="30"/>
      <c r="D5" s="30"/>
      <c r="E5" s="30"/>
      <c r="F5" s="30"/>
      <c r="G5" s="30"/>
      <c r="H5" s="30"/>
    </row>
    <row r="6" spans="1:8">
      <c r="A6" s="268" t="s">
        <v>5963</v>
      </c>
      <c r="B6" s="269" t="s">
        <v>665</v>
      </c>
      <c r="C6" s="269" t="s">
        <v>5964</v>
      </c>
      <c r="D6" s="269" t="s">
        <v>5965</v>
      </c>
      <c r="E6" s="269" t="s">
        <v>5966</v>
      </c>
      <c r="F6" s="269" t="s">
        <v>5967</v>
      </c>
      <c r="G6" s="269" t="s">
        <v>5968</v>
      </c>
      <c r="H6" s="279" t="s">
        <v>666</v>
      </c>
    </row>
    <row r="7" spans="1:8" ht="26" customHeight="1">
      <c r="A7" s="296" t="s">
        <v>5969</v>
      </c>
      <c r="B7" s="128" t="s">
        <v>5970</v>
      </c>
      <c r="C7" s="273" t="s">
        <v>5971</v>
      </c>
      <c r="D7" s="273" t="s">
        <v>5972</v>
      </c>
      <c r="E7" s="128" t="s">
        <v>5944</v>
      </c>
      <c r="F7" s="128" t="s">
        <v>5973</v>
      </c>
      <c r="G7" s="128" t="s">
        <v>5974</v>
      </c>
      <c r="H7" s="288" t="s">
        <v>4</v>
      </c>
    </row>
    <row r="8" spans="1:8" ht="26" customHeight="1">
      <c r="A8" s="296" t="s">
        <v>5975</v>
      </c>
      <c r="B8" s="128" t="s">
        <v>5970</v>
      </c>
      <c r="C8" s="273" t="s">
        <v>5976</v>
      </c>
      <c r="D8" s="273" t="s">
        <v>5977</v>
      </c>
      <c r="E8" s="128" t="s">
        <v>5944</v>
      </c>
      <c r="F8" s="128" t="s">
        <v>5973</v>
      </c>
      <c r="G8" s="128" t="s">
        <v>5974</v>
      </c>
      <c r="H8" s="288" t="s">
        <v>4</v>
      </c>
    </row>
    <row r="9" spans="1:8" ht="26" customHeight="1">
      <c r="A9" s="296" t="s">
        <v>5978</v>
      </c>
      <c r="B9" s="128" t="s">
        <v>5970</v>
      </c>
      <c r="C9" s="273" t="s">
        <v>5979</v>
      </c>
      <c r="D9" s="273" t="s">
        <v>5980</v>
      </c>
      <c r="E9" s="128" t="s">
        <v>5944</v>
      </c>
      <c r="F9" s="128"/>
      <c r="G9" s="128" t="s">
        <v>5974</v>
      </c>
      <c r="H9" s="288" t="s">
        <v>4</v>
      </c>
    </row>
    <row r="10" spans="1:8" ht="26" customHeight="1">
      <c r="A10" s="296" t="s">
        <v>5981</v>
      </c>
      <c r="B10" s="128" t="s">
        <v>5970</v>
      </c>
      <c r="C10" s="273" t="s">
        <v>5982</v>
      </c>
      <c r="D10" s="273" t="s">
        <v>5983</v>
      </c>
      <c r="E10" s="128" t="s">
        <v>5944</v>
      </c>
      <c r="F10" s="128"/>
      <c r="G10" s="128" t="s">
        <v>5974</v>
      </c>
      <c r="H10" s="288" t="s">
        <v>4</v>
      </c>
    </row>
    <row r="11" spans="1:8" ht="26" customHeight="1">
      <c r="A11" s="296" t="s">
        <v>5984</v>
      </c>
      <c r="B11" s="128" t="s">
        <v>5970</v>
      </c>
      <c r="C11" s="273" t="s">
        <v>5985</v>
      </c>
      <c r="D11" s="273" t="s">
        <v>5986</v>
      </c>
      <c r="E11" s="128" t="s">
        <v>5944</v>
      </c>
      <c r="F11" s="128" t="s">
        <v>5973</v>
      </c>
      <c r="G11" s="128" t="s">
        <v>5987</v>
      </c>
      <c r="H11" s="288" t="s">
        <v>4</v>
      </c>
    </row>
    <row r="12" spans="1:8" ht="26" customHeight="1">
      <c r="A12" s="296" t="s">
        <v>5988</v>
      </c>
      <c r="B12" s="128" t="s">
        <v>5970</v>
      </c>
      <c r="C12" s="273" t="s">
        <v>5989</v>
      </c>
      <c r="D12" s="273" t="s">
        <v>5990</v>
      </c>
      <c r="E12" s="128" t="s">
        <v>5944</v>
      </c>
      <c r="F12" s="128" t="s">
        <v>5973</v>
      </c>
      <c r="G12" s="128" t="s">
        <v>5987</v>
      </c>
      <c r="H12" s="288" t="s">
        <v>4</v>
      </c>
    </row>
    <row r="13" spans="1:8" ht="26" customHeight="1">
      <c r="A13" s="296" t="s">
        <v>5991</v>
      </c>
      <c r="B13" s="128" t="s">
        <v>5970</v>
      </c>
      <c r="C13" s="273" t="s">
        <v>5992</v>
      </c>
      <c r="D13" s="273" t="s">
        <v>5993</v>
      </c>
      <c r="E13" s="128" t="s">
        <v>5944</v>
      </c>
      <c r="F13" s="128" t="s">
        <v>5973</v>
      </c>
      <c r="G13" s="128" t="s">
        <v>5987</v>
      </c>
      <c r="H13" s="288" t="s">
        <v>4</v>
      </c>
    </row>
    <row r="14" spans="1:8" ht="26" customHeight="1">
      <c r="A14" s="296" t="s">
        <v>5994</v>
      </c>
      <c r="B14" s="128" t="s">
        <v>5970</v>
      </c>
      <c r="C14" s="273" t="s">
        <v>5995</v>
      </c>
      <c r="D14" s="273" t="s">
        <v>5996</v>
      </c>
      <c r="E14" s="128" t="s">
        <v>5944</v>
      </c>
      <c r="F14" s="128"/>
      <c r="G14" s="128" t="s">
        <v>5987</v>
      </c>
      <c r="H14" s="288" t="s">
        <v>4</v>
      </c>
    </row>
    <row r="15" spans="1:8" ht="26" customHeight="1">
      <c r="A15" s="296" t="s">
        <v>5997</v>
      </c>
      <c r="B15" s="128" t="s">
        <v>5970</v>
      </c>
      <c r="C15" s="273" t="s">
        <v>5998</v>
      </c>
      <c r="D15" s="273" t="s">
        <v>5999</v>
      </c>
      <c r="E15" s="128" t="s">
        <v>5944</v>
      </c>
      <c r="F15" s="128" t="s">
        <v>5973</v>
      </c>
      <c r="G15" s="128" t="s">
        <v>5987</v>
      </c>
      <c r="H15" s="288" t="s">
        <v>4</v>
      </c>
    </row>
    <row r="16" spans="1:8" ht="26" customHeight="1">
      <c r="A16" s="296" t="s">
        <v>6000</v>
      </c>
      <c r="B16" s="128" t="s">
        <v>5970</v>
      </c>
      <c r="C16" s="273" t="s">
        <v>6001</v>
      </c>
      <c r="D16" s="273" t="s">
        <v>6002</v>
      </c>
      <c r="E16" s="128" t="s">
        <v>5944</v>
      </c>
      <c r="F16" s="128"/>
      <c r="G16" s="128" t="s">
        <v>6003</v>
      </c>
      <c r="H16" s="288" t="s">
        <v>4</v>
      </c>
    </row>
    <row r="17" spans="1:8" ht="26" customHeight="1">
      <c r="A17" s="296" t="s">
        <v>6004</v>
      </c>
      <c r="B17" s="128" t="s">
        <v>5970</v>
      </c>
      <c r="C17" s="273" t="s">
        <v>6005</v>
      </c>
      <c r="D17" s="273" t="s">
        <v>6002</v>
      </c>
      <c r="E17" s="128" t="s">
        <v>5944</v>
      </c>
      <c r="F17" s="128" t="s">
        <v>5973</v>
      </c>
      <c r="G17" s="128" t="s">
        <v>6003</v>
      </c>
      <c r="H17" s="288" t="s">
        <v>4</v>
      </c>
    </row>
    <row r="18" spans="1:8" ht="26" customHeight="1">
      <c r="A18" s="296" t="s">
        <v>6006</v>
      </c>
      <c r="B18" s="128" t="s">
        <v>5970</v>
      </c>
      <c r="C18" s="273" t="s">
        <v>6007</v>
      </c>
      <c r="D18" s="273" t="s">
        <v>6008</v>
      </c>
      <c r="E18" s="128" t="s">
        <v>5944</v>
      </c>
      <c r="F18" s="128"/>
      <c r="G18" s="128" t="s">
        <v>6003</v>
      </c>
      <c r="H18" s="288" t="s">
        <v>4</v>
      </c>
    </row>
    <row r="19" spans="1:8" ht="26" customHeight="1">
      <c r="A19" s="296" t="s">
        <v>6009</v>
      </c>
      <c r="B19" s="128" t="s">
        <v>5970</v>
      </c>
      <c r="C19" s="273" t="s">
        <v>6010</v>
      </c>
      <c r="D19" s="273" t="s">
        <v>6008</v>
      </c>
      <c r="E19" s="128" t="s">
        <v>5944</v>
      </c>
      <c r="F19" s="128"/>
      <c r="G19" s="128" t="s">
        <v>6003</v>
      </c>
      <c r="H19" s="288" t="s">
        <v>4</v>
      </c>
    </row>
    <row r="20" spans="1:8" ht="26" customHeight="1">
      <c r="A20" s="296" t="s">
        <v>6011</v>
      </c>
      <c r="B20" s="128" t="s">
        <v>5970</v>
      </c>
      <c r="C20" s="273" t="s">
        <v>6012</v>
      </c>
      <c r="D20" s="273" t="s">
        <v>1430</v>
      </c>
      <c r="E20" s="128" t="s">
        <v>5944</v>
      </c>
      <c r="F20" s="128"/>
      <c r="G20" s="128" t="s">
        <v>6003</v>
      </c>
      <c r="H20" s="288" t="s">
        <v>4</v>
      </c>
    </row>
    <row r="21" spans="1:8" ht="26" customHeight="1">
      <c r="A21" s="296" t="s">
        <v>6013</v>
      </c>
      <c r="B21" s="128" t="s">
        <v>5970</v>
      </c>
      <c r="C21" s="273" t="s">
        <v>6014</v>
      </c>
      <c r="D21" s="273" t="s">
        <v>1432</v>
      </c>
      <c r="E21" s="128" t="s">
        <v>5944</v>
      </c>
      <c r="F21" s="128"/>
      <c r="G21" s="128" t="s">
        <v>6015</v>
      </c>
      <c r="H21" s="288" t="s">
        <v>4</v>
      </c>
    </row>
    <row r="22" spans="1:8" ht="26" customHeight="1">
      <c r="A22" s="296" t="s">
        <v>6016</v>
      </c>
      <c r="B22" s="128" t="s">
        <v>5970</v>
      </c>
      <c r="C22" s="273" t="s">
        <v>6017</v>
      </c>
      <c r="D22" s="273" t="s">
        <v>1432</v>
      </c>
      <c r="E22" s="128" t="s">
        <v>5944</v>
      </c>
      <c r="F22" s="128"/>
      <c r="G22" s="128" t="s">
        <v>6015</v>
      </c>
      <c r="H22" s="288" t="s">
        <v>4</v>
      </c>
    </row>
    <row r="23" spans="1:8" ht="26" customHeight="1">
      <c r="A23" s="296" t="s">
        <v>6018</v>
      </c>
      <c r="B23" s="128" t="s">
        <v>5970</v>
      </c>
      <c r="C23" s="273" t="s">
        <v>6019</v>
      </c>
      <c r="D23" s="273" t="s">
        <v>6020</v>
      </c>
      <c r="E23" s="128" t="s">
        <v>5944</v>
      </c>
      <c r="F23" s="128"/>
      <c r="G23" s="128" t="s">
        <v>6015</v>
      </c>
      <c r="H23" s="288" t="s">
        <v>4</v>
      </c>
    </row>
    <row r="24" spans="1:8" ht="26" customHeight="1">
      <c r="A24" s="296" t="s">
        <v>6021</v>
      </c>
      <c r="B24" s="128" t="s">
        <v>5970</v>
      </c>
      <c r="C24" s="273" t="s">
        <v>6022</v>
      </c>
      <c r="D24" s="273" t="s">
        <v>40</v>
      </c>
      <c r="E24" s="128" t="s">
        <v>5944</v>
      </c>
      <c r="F24" s="128"/>
      <c r="G24" s="128" t="s">
        <v>6015</v>
      </c>
      <c r="H24" s="288" t="s">
        <v>4</v>
      </c>
    </row>
    <row r="25" spans="1:8" ht="26" customHeight="1">
      <c r="A25" s="296" t="s">
        <v>6023</v>
      </c>
      <c r="B25" s="128" t="s">
        <v>5970</v>
      </c>
      <c r="C25" s="273" t="s">
        <v>6024</v>
      </c>
      <c r="D25" s="273" t="s">
        <v>6002</v>
      </c>
      <c r="E25" s="128" t="s">
        <v>5944</v>
      </c>
      <c r="F25" s="128"/>
      <c r="G25" s="128" t="s">
        <v>6015</v>
      </c>
      <c r="H25" s="288" t="s">
        <v>4</v>
      </c>
    </row>
    <row r="26" spans="1:8" ht="26" customHeight="1">
      <c r="A26" s="296" t="s">
        <v>6025</v>
      </c>
      <c r="B26" s="128" t="s">
        <v>5970</v>
      </c>
      <c r="C26" s="273" t="s">
        <v>6026</v>
      </c>
      <c r="D26" s="273" t="s">
        <v>6027</v>
      </c>
      <c r="E26" s="128" t="s">
        <v>5944</v>
      </c>
      <c r="F26" s="128"/>
      <c r="G26" s="128" t="s">
        <v>6028</v>
      </c>
      <c r="H26" s="288" t="s">
        <v>4</v>
      </c>
    </row>
    <row r="27" spans="1:8" ht="26" customHeight="1">
      <c r="A27" s="296" t="s">
        <v>6029</v>
      </c>
      <c r="B27" s="128" t="s">
        <v>5970</v>
      </c>
      <c r="C27" s="273" t="s">
        <v>6030</v>
      </c>
      <c r="D27" s="273" t="s">
        <v>6031</v>
      </c>
      <c r="E27" s="128" t="s">
        <v>5944</v>
      </c>
      <c r="F27" s="128"/>
      <c r="G27" s="128" t="s">
        <v>6028</v>
      </c>
      <c r="H27" s="288" t="s">
        <v>4</v>
      </c>
    </row>
    <row r="28" spans="1:8" ht="26" customHeight="1">
      <c r="A28" s="296" t="s">
        <v>6032</v>
      </c>
      <c r="B28" s="128" t="s">
        <v>5970</v>
      </c>
      <c r="C28" s="273" t="s">
        <v>6033</v>
      </c>
      <c r="D28" s="273" t="s">
        <v>2606</v>
      </c>
      <c r="E28" s="128" t="s">
        <v>5944</v>
      </c>
      <c r="F28" s="128"/>
      <c r="G28" s="128" t="s">
        <v>6028</v>
      </c>
      <c r="H28" s="288" t="s">
        <v>4</v>
      </c>
    </row>
    <row r="29" spans="1:8" ht="26" customHeight="1">
      <c r="A29" s="296" t="s">
        <v>6034</v>
      </c>
      <c r="B29" s="128" t="s">
        <v>6035</v>
      </c>
      <c r="C29" s="273" t="s">
        <v>6036</v>
      </c>
      <c r="D29" s="273" t="s">
        <v>6037</v>
      </c>
      <c r="E29" s="128" t="s">
        <v>5944</v>
      </c>
      <c r="F29" s="128" t="s">
        <v>5973</v>
      </c>
      <c r="G29" s="128" t="s">
        <v>6038</v>
      </c>
      <c r="H29" s="288" t="s">
        <v>4</v>
      </c>
    </row>
    <row r="30" spans="1:8" ht="26" customHeight="1">
      <c r="A30" s="296" t="s">
        <v>6039</v>
      </c>
      <c r="B30" s="128" t="s">
        <v>6035</v>
      </c>
      <c r="C30" s="273" t="s">
        <v>6040</v>
      </c>
      <c r="D30" s="273" t="s">
        <v>6041</v>
      </c>
      <c r="E30" s="128" t="s">
        <v>5944</v>
      </c>
      <c r="F30" s="128"/>
      <c r="G30" s="128" t="s">
        <v>6038</v>
      </c>
      <c r="H30" s="288" t="s">
        <v>4</v>
      </c>
    </row>
    <row r="31" spans="1:8" ht="26" customHeight="1">
      <c r="A31" s="296" t="s">
        <v>6042</v>
      </c>
      <c r="B31" s="128" t="s">
        <v>6035</v>
      </c>
      <c r="C31" s="273" t="s">
        <v>6043</v>
      </c>
      <c r="D31" s="273" t="s">
        <v>6044</v>
      </c>
      <c r="E31" s="128" t="s">
        <v>5944</v>
      </c>
      <c r="F31" s="128" t="s">
        <v>5973</v>
      </c>
      <c r="G31" s="128" t="s">
        <v>6045</v>
      </c>
      <c r="H31" s="288" t="s">
        <v>4</v>
      </c>
    </row>
    <row r="32" spans="1:8" ht="26" customHeight="1">
      <c r="A32" s="296" t="s">
        <v>6046</v>
      </c>
      <c r="B32" s="128" t="s">
        <v>6035</v>
      </c>
      <c r="C32" s="273" t="s">
        <v>6047</v>
      </c>
      <c r="D32" s="273" t="s">
        <v>6048</v>
      </c>
      <c r="E32" s="128" t="s">
        <v>5944</v>
      </c>
      <c r="F32" s="128" t="s">
        <v>5973</v>
      </c>
      <c r="G32" s="128" t="s">
        <v>6045</v>
      </c>
      <c r="H32" s="288" t="s">
        <v>4</v>
      </c>
    </row>
    <row r="33" spans="1:8" ht="26" customHeight="1">
      <c r="A33" s="296" t="s">
        <v>6049</v>
      </c>
      <c r="B33" s="128" t="s">
        <v>6035</v>
      </c>
      <c r="C33" s="273" t="s">
        <v>6050</v>
      </c>
      <c r="D33" s="273" t="s">
        <v>6051</v>
      </c>
      <c r="E33" s="128" t="s">
        <v>5944</v>
      </c>
      <c r="F33" s="128" t="s">
        <v>5973</v>
      </c>
      <c r="G33" s="128" t="s">
        <v>6045</v>
      </c>
      <c r="H33" s="288" t="s">
        <v>4</v>
      </c>
    </row>
    <row r="34" spans="1:8" ht="26" customHeight="1">
      <c r="A34" s="296" t="s">
        <v>6052</v>
      </c>
      <c r="B34" s="128" t="s">
        <v>6035</v>
      </c>
      <c r="C34" s="273" t="s">
        <v>6053</v>
      </c>
      <c r="D34" s="273" t="s">
        <v>511</v>
      </c>
      <c r="E34" s="128" t="s">
        <v>5944</v>
      </c>
      <c r="F34" s="128"/>
      <c r="G34" s="128" t="s">
        <v>6045</v>
      </c>
      <c r="H34" s="288" t="s">
        <v>4</v>
      </c>
    </row>
    <row r="35" spans="1:8" ht="26" customHeight="1">
      <c r="A35" s="296" t="s">
        <v>6054</v>
      </c>
      <c r="B35" s="128" t="s">
        <v>6035</v>
      </c>
      <c r="C35" s="273" t="s">
        <v>6055</v>
      </c>
      <c r="D35" s="273" t="s">
        <v>2583</v>
      </c>
      <c r="E35" s="128" t="s">
        <v>5947</v>
      </c>
      <c r="F35" s="128"/>
      <c r="G35" s="128" t="s">
        <v>6045</v>
      </c>
      <c r="H35" s="288" t="s">
        <v>4</v>
      </c>
    </row>
    <row r="36" spans="1:8" ht="26" customHeight="1">
      <c r="A36" s="296" t="s">
        <v>6056</v>
      </c>
      <c r="B36" s="128" t="s">
        <v>6035</v>
      </c>
      <c r="C36" s="273" t="s">
        <v>6057</v>
      </c>
      <c r="D36" s="273" t="s">
        <v>914</v>
      </c>
      <c r="E36" s="128" t="s">
        <v>5944</v>
      </c>
      <c r="F36" s="128" t="s">
        <v>5973</v>
      </c>
      <c r="G36" s="128" t="s">
        <v>6058</v>
      </c>
      <c r="H36" s="288" t="s">
        <v>4</v>
      </c>
    </row>
    <row r="37" spans="1:8" ht="26" customHeight="1">
      <c r="A37" s="296" t="s">
        <v>6059</v>
      </c>
      <c r="B37" s="128" t="s">
        <v>6035</v>
      </c>
      <c r="C37" s="273" t="s">
        <v>6060</v>
      </c>
      <c r="D37" s="273" t="s">
        <v>909</v>
      </c>
      <c r="E37" s="128" t="s">
        <v>5944</v>
      </c>
      <c r="F37" s="128" t="s">
        <v>5973</v>
      </c>
      <c r="G37" s="128" t="s">
        <v>6058</v>
      </c>
      <c r="H37" s="288" t="s">
        <v>4</v>
      </c>
    </row>
    <row r="38" spans="1:8" ht="26" customHeight="1">
      <c r="A38" s="296" t="s">
        <v>6061</v>
      </c>
      <c r="B38" s="128" t="s">
        <v>6035</v>
      </c>
      <c r="C38" s="273" t="s">
        <v>6062</v>
      </c>
      <c r="D38" s="273" t="s">
        <v>6063</v>
      </c>
      <c r="E38" s="128" t="s">
        <v>5944</v>
      </c>
      <c r="F38" s="128" t="s">
        <v>5973</v>
      </c>
      <c r="G38" s="128" t="s">
        <v>6064</v>
      </c>
      <c r="H38" s="288" t="s">
        <v>4</v>
      </c>
    </row>
    <row r="39" spans="1:8" ht="26" customHeight="1">
      <c r="A39" s="296" t="s">
        <v>6065</v>
      </c>
      <c r="B39" s="128" t="s">
        <v>6035</v>
      </c>
      <c r="C39" s="273" t="s">
        <v>6066</v>
      </c>
      <c r="D39" s="273" t="s">
        <v>6067</v>
      </c>
      <c r="E39" s="128" t="s">
        <v>5944</v>
      </c>
      <c r="F39" s="128" t="s">
        <v>5973</v>
      </c>
      <c r="G39" s="128" t="s">
        <v>6064</v>
      </c>
      <c r="H39" s="288" t="s">
        <v>4</v>
      </c>
    </row>
    <row r="40" spans="1:8" ht="26" customHeight="1">
      <c r="A40" s="296" t="s">
        <v>6068</v>
      </c>
      <c r="B40" s="128" t="s">
        <v>6035</v>
      </c>
      <c r="C40" s="273" t="s">
        <v>6069</v>
      </c>
      <c r="D40" s="273" t="s">
        <v>2497</v>
      </c>
      <c r="E40" s="128" t="s">
        <v>5944</v>
      </c>
      <c r="F40" s="128" t="s">
        <v>5973</v>
      </c>
      <c r="G40" s="128" t="s">
        <v>6064</v>
      </c>
      <c r="H40" s="288" t="s">
        <v>4</v>
      </c>
    </row>
    <row r="41" spans="1:8" ht="26" customHeight="1">
      <c r="A41" s="296" t="s">
        <v>6070</v>
      </c>
      <c r="B41" s="128" t="s">
        <v>6035</v>
      </c>
      <c r="C41" s="273" t="s">
        <v>2454</v>
      </c>
      <c r="D41" s="273" t="s">
        <v>2453</v>
      </c>
      <c r="E41" s="128" t="s">
        <v>5944</v>
      </c>
      <c r="F41" s="128"/>
      <c r="G41" s="128" t="s">
        <v>6064</v>
      </c>
      <c r="H41" s="288" t="s">
        <v>4</v>
      </c>
    </row>
    <row r="42" spans="1:8" ht="26" customHeight="1">
      <c r="A42" s="296" t="s">
        <v>6071</v>
      </c>
      <c r="B42" s="128" t="s">
        <v>6035</v>
      </c>
      <c r="C42" s="273" t="s">
        <v>6072</v>
      </c>
      <c r="D42" s="273" t="s">
        <v>6073</v>
      </c>
      <c r="E42" s="128" t="s">
        <v>5944</v>
      </c>
      <c r="F42" s="128"/>
      <c r="G42" s="128" t="s">
        <v>6074</v>
      </c>
      <c r="H42" s="288" t="s">
        <v>4</v>
      </c>
    </row>
    <row r="43" spans="1:8" ht="26" customHeight="1">
      <c r="A43" s="296" t="s">
        <v>6075</v>
      </c>
      <c r="B43" s="128" t="s">
        <v>6035</v>
      </c>
      <c r="C43" s="273" t="s">
        <v>6076</v>
      </c>
      <c r="D43" s="273" t="s">
        <v>2685</v>
      </c>
      <c r="E43" s="128" t="s">
        <v>5944</v>
      </c>
      <c r="F43" s="128"/>
      <c r="G43" s="128" t="s">
        <v>6074</v>
      </c>
      <c r="H43" s="288" t="s">
        <v>4</v>
      </c>
    </row>
    <row r="44" spans="1:8" ht="26" customHeight="1">
      <c r="A44" s="296" t="s">
        <v>6077</v>
      </c>
      <c r="B44" s="128" t="s">
        <v>6035</v>
      </c>
      <c r="C44" s="273" t="s">
        <v>6078</v>
      </c>
      <c r="D44" s="273" t="s">
        <v>6079</v>
      </c>
      <c r="E44" s="128" t="s">
        <v>5944</v>
      </c>
      <c r="F44" s="128"/>
      <c r="G44" s="128" t="s">
        <v>6074</v>
      </c>
      <c r="H44" s="288" t="s">
        <v>4</v>
      </c>
    </row>
    <row r="45" spans="1:8" ht="26" customHeight="1">
      <c r="A45" s="296" t="s">
        <v>6080</v>
      </c>
      <c r="B45" s="128" t="s">
        <v>6035</v>
      </c>
      <c r="C45" s="273" t="s">
        <v>6081</v>
      </c>
      <c r="D45" s="273" t="s">
        <v>6082</v>
      </c>
      <c r="E45" s="128" t="s">
        <v>5944</v>
      </c>
      <c r="F45" s="128" t="s">
        <v>5973</v>
      </c>
      <c r="G45" s="128" t="s">
        <v>6074</v>
      </c>
      <c r="H45" s="288" t="s">
        <v>4</v>
      </c>
    </row>
    <row r="46" spans="1:8" ht="26" customHeight="1">
      <c r="A46" s="296" t="s">
        <v>6083</v>
      </c>
      <c r="B46" s="128" t="s">
        <v>6084</v>
      </c>
      <c r="C46" s="273" t="s">
        <v>6085</v>
      </c>
      <c r="D46" s="273" t="s">
        <v>2614</v>
      </c>
      <c r="E46" s="128" t="s">
        <v>5944</v>
      </c>
      <c r="F46" s="128" t="s">
        <v>5973</v>
      </c>
      <c r="G46" s="128" t="s">
        <v>6086</v>
      </c>
      <c r="H46" s="288" t="s">
        <v>4</v>
      </c>
    </row>
    <row r="47" spans="1:8" ht="26" customHeight="1">
      <c r="A47" s="296" t="s">
        <v>6087</v>
      </c>
      <c r="B47" s="128" t="s">
        <v>6084</v>
      </c>
      <c r="C47" s="273" t="s">
        <v>6088</v>
      </c>
      <c r="D47" s="273" t="s">
        <v>2614</v>
      </c>
      <c r="E47" s="128" t="s">
        <v>5944</v>
      </c>
      <c r="F47" s="128"/>
      <c r="G47" s="128" t="s">
        <v>6086</v>
      </c>
      <c r="H47" s="288" t="s">
        <v>4</v>
      </c>
    </row>
    <row r="48" spans="1:8" ht="26" customHeight="1">
      <c r="A48" s="296" t="s">
        <v>6089</v>
      </c>
      <c r="B48" s="128" t="s">
        <v>6084</v>
      </c>
      <c r="C48" s="273" t="s">
        <v>6090</v>
      </c>
      <c r="D48" s="273" t="s">
        <v>6091</v>
      </c>
      <c r="E48" s="128" t="s">
        <v>5944</v>
      </c>
      <c r="F48" s="128" t="s">
        <v>5973</v>
      </c>
      <c r="G48" s="128" t="s">
        <v>6086</v>
      </c>
      <c r="H48" s="288" t="s">
        <v>4</v>
      </c>
    </row>
    <row r="49" spans="1:8" ht="26" customHeight="1">
      <c r="A49" s="296" t="s">
        <v>6092</v>
      </c>
      <c r="B49" s="128" t="s">
        <v>6084</v>
      </c>
      <c r="C49" s="273" t="s">
        <v>6093</v>
      </c>
      <c r="D49" s="273" t="s">
        <v>2614</v>
      </c>
      <c r="E49" s="128" t="s">
        <v>5944</v>
      </c>
      <c r="F49" s="128" t="s">
        <v>5973</v>
      </c>
      <c r="G49" s="128" t="s">
        <v>6086</v>
      </c>
      <c r="H49" s="288" t="s">
        <v>4</v>
      </c>
    </row>
    <row r="50" spans="1:8" ht="26" customHeight="1">
      <c r="A50" s="296" t="s">
        <v>6094</v>
      </c>
      <c r="B50" s="128" t="s">
        <v>6084</v>
      </c>
      <c r="C50" s="273" t="s">
        <v>6095</v>
      </c>
      <c r="D50" s="273" t="s">
        <v>2614</v>
      </c>
      <c r="E50" s="128" t="s">
        <v>5944</v>
      </c>
      <c r="F50" s="128" t="s">
        <v>5973</v>
      </c>
      <c r="G50" s="128" t="s">
        <v>6086</v>
      </c>
      <c r="H50" s="288" t="s">
        <v>4</v>
      </c>
    </row>
    <row r="51" spans="1:8" ht="26" customHeight="1">
      <c r="A51" s="296" t="s">
        <v>6096</v>
      </c>
      <c r="B51" s="128" t="s">
        <v>6084</v>
      </c>
      <c r="C51" s="273" t="s">
        <v>6097</v>
      </c>
      <c r="D51" s="273" t="s">
        <v>2497</v>
      </c>
      <c r="E51" s="128" t="s">
        <v>5944</v>
      </c>
      <c r="F51" s="128" t="s">
        <v>5973</v>
      </c>
      <c r="G51" s="128" t="s">
        <v>6086</v>
      </c>
      <c r="H51" s="288" t="s">
        <v>4</v>
      </c>
    </row>
    <row r="52" spans="1:8" ht="26" customHeight="1">
      <c r="A52" s="296" t="s">
        <v>6098</v>
      </c>
      <c r="B52" s="128" t="s">
        <v>6084</v>
      </c>
      <c r="C52" s="273" t="s">
        <v>6099</v>
      </c>
      <c r="D52" s="273" t="s">
        <v>2614</v>
      </c>
      <c r="E52" s="128" t="s">
        <v>5944</v>
      </c>
      <c r="F52" s="128"/>
      <c r="G52" s="128" t="s">
        <v>6100</v>
      </c>
      <c r="H52" s="288" t="s">
        <v>4</v>
      </c>
    </row>
    <row r="53" spans="1:8" ht="26" customHeight="1">
      <c r="A53" s="296" t="s">
        <v>6101</v>
      </c>
      <c r="B53" s="128" t="s">
        <v>6084</v>
      </c>
      <c r="C53" s="273" t="s">
        <v>6102</v>
      </c>
      <c r="D53" s="273" t="s">
        <v>6103</v>
      </c>
      <c r="E53" s="128" t="s">
        <v>5944</v>
      </c>
      <c r="F53" s="128"/>
      <c r="G53" s="128" t="s">
        <v>6100</v>
      </c>
      <c r="H53" s="288" t="s">
        <v>4</v>
      </c>
    </row>
    <row r="54" spans="1:8" ht="26" customHeight="1">
      <c r="A54" s="296" t="s">
        <v>6104</v>
      </c>
      <c r="B54" s="128" t="s">
        <v>6084</v>
      </c>
      <c r="C54" s="273" t="s">
        <v>6105</v>
      </c>
      <c r="D54" s="273" t="s">
        <v>2614</v>
      </c>
      <c r="E54" s="128" t="s">
        <v>5944</v>
      </c>
      <c r="F54" s="128"/>
      <c r="G54" s="128" t="s">
        <v>6100</v>
      </c>
      <c r="H54" s="288" t="s">
        <v>4</v>
      </c>
    </row>
    <row r="55" spans="1:8" ht="26" customHeight="1">
      <c r="A55" s="296" t="s">
        <v>6106</v>
      </c>
      <c r="B55" s="128" t="s">
        <v>6084</v>
      </c>
      <c r="C55" s="273" t="s">
        <v>6107</v>
      </c>
      <c r="D55" s="273" t="s">
        <v>6108</v>
      </c>
      <c r="E55" s="128" t="s">
        <v>5944</v>
      </c>
      <c r="F55" s="128"/>
      <c r="G55" s="128" t="s">
        <v>6100</v>
      </c>
      <c r="H55" s="288" t="s">
        <v>4</v>
      </c>
    </row>
    <row r="56" spans="1:8" ht="26" customHeight="1">
      <c r="A56" s="296" t="s">
        <v>6109</v>
      </c>
      <c r="B56" s="128" t="s">
        <v>6084</v>
      </c>
      <c r="C56" s="273" t="s">
        <v>6110</v>
      </c>
      <c r="D56" s="273" t="s">
        <v>6111</v>
      </c>
      <c r="E56" s="128" t="s">
        <v>5944</v>
      </c>
      <c r="F56" s="128" t="s">
        <v>5973</v>
      </c>
      <c r="G56" s="128" t="s">
        <v>6112</v>
      </c>
      <c r="H56" s="288" t="s">
        <v>4</v>
      </c>
    </row>
    <row r="57" spans="1:8" ht="26" customHeight="1">
      <c r="A57" s="296" t="s">
        <v>6113</v>
      </c>
      <c r="B57" s="128" t="s">
        <v>6084</v>
      </c>
      <c r="C57" s="273" t="s">
        <v>6114</v>
      </c>
      <c r="D57" s="273" t="s">
        <v>6115</v>
      </c>
      <c r="E57" s="128" t="s">
        <v>5944</v>
      </c>
      <c r="F57" s="128" t="s">
        <v>5973</v>
      </c>
      <c r="G57" s="128" t="s">
        <v>6112</v>
      </c>
      <c r="H57" s="288" t="s">
        <v>4</v>
      </c>
    </row>
    <row r="58" spans="1:8" ht="26" customHeight="1">
      <c r="A58" s="296" t="s">
        <v>6116</v>
      </c>
      <c r="B58" s="128" t="s">
        <v>6084</v>
      </c>
      <c r="C58" s="273" t="s">
        <v>6117</v>
      </c>
      <c r="D58" s="273" t="s">
        <v>2614</v>
      </c>
      <c r="E58" s="128" t="s">
        <v>5944</v>
      </c>
      <c r="F58" s="128"/>
      <c r="G58" s="128" t="s">
        <v>6112</v>
      </c>
      <c r="H58" s="288" t="s">
        <v>4</v>
      </c>
    </row>
    <row r="59" spans="1:8" ht="26" customHeight="1">
      <c r="A59" s="296" t="s">
        <v>6118</v>
      </c>
      <c r="B59" s="128" t="s">
        <v>6084</v>
      </c>
      <c r="C59" s="273" t="s">
        <v>6119</v>
      </c>
      <c r="D59" s="273" t="s">
        <v>886</v>
      </c>
      <c r="E59" s="128" t="s">
        <v>5944</v>
      </c>
      <c r="F59" s="128"/>
      <c r="G59" s="128" t="s">
        <v>6120</v>
      </c>
      <c r="H59" s="288" t="s">
        <v>4</v>
      </c>
    </row>
    <row r="60" spans="1:8" ht="26" customHeight="1">
      <c r="A60" s="296" t="s">
        <v>6121</v>
      </c>
      <c r="B60" s="128" t="s">
        <v>6084</v>
      </c>
      <c r="C60" s="273" t="s">
        <v>6122</v>
      </c>
      <c r="D60" s="273" t="s">
        <v>886</v>
      </c>
      <c r="E60" s="128" t="s">
        <v>5944</v>
      </c>
      <c r="F60" s="128"/>
      <c r="G60" s="128" t="s">
        <v>6120</v>
      </c>
      <c r="H60" s="288" t="s">
        <v>4</v>
      </c>
    </row>
    <row r="61" spans="1:8" ht="26" customHeight="1">
      <c r="A61" s="296" t="s">
        <v>6123</v>
      </c>
      <c r="B61" s="128" t="s">
        <v>6084</v>
      </c>
      <c r="C61" s="273" t="s">
        <v>6124</v>
      </c>
      <c r="D61" s="273" t="s">
        <v>1211</v>
      </c>
      <c r="E61" s="128" t="s">
        <v>5944</v>
      </c>
      <c r="F61" s="128" t="s">
        <v>5973</v>
      </c>
      <c r="G61" s="128" t="s">
        <v>6120</v>
      </c>
      <c r="H61" s="288" t="s">
        <v>4</v>
      </c>
    </row>
    <row r="62" spans="1:8" ht="26" customHeight="1">
      <c r="A62" s="296" t="s">
        <v>6125</v>
      </c>
      <c r="B62" s="128" t="s">
        <v>6084</v>
      </c>
      <c r="C62" s="273" t="s">
        <v>6126</v>
      </c>
      <c r="D62" s="273" t="s">
        <v>6127</v>
      </c>
      <c r="E62" s="128" t="s">
        <v>5944</v>
      </c>
      <c r="F62" s="128"/>
      <c r="G62" s="128" t="s">
        <v>6120</v>
      </c>
      <c r="H62" s="288" t="s">
        <v>4</v>
      </c>
    </row>
    <row r="63" spans="1:8" ht="26" customHeight="1">
      <c r="A63" s="296" t="s">
        <v>6128</v>
      </c>
      <c r="B63" s="128" t="s">
        <v>6084</v>
      </c>
      <c r="C63" s="273" t="s">
        <v>6129</v>
      </c>
      <c r="D63" s="273" t="s">
        <v>6130</v>
      </c>
      <c r="E63" s="128" t="s">
        <v>5944</v>
      </c>
      <c r="F63" s="128"/>
      <c r="G63" s="128" t="s">
        <v>6131</v>
      </c>
      <c r="H63" s="288" t="s">
        <v>4</v>
      </c>
    </row>
    <row r="64" spans="1:8" ht="26" customHeight="1">
      <c r="A64" s="296" t="s">
        <v>6132</v>
      </c>
      <c r="B64" s="128" t="s">
        <v>6084</v>
      </c>
      <c r="C64" s="273" t="s">
        <v>6133</v>
      </c>
      <c r="D64" s="273" t="s">
        <v>1439</v>
      </c>
      <c r="E64" s="128" t="s">
        <v>5944</v>
      </c>
      <c r="F64" s="128"/>
      <c r="G64" s="128" t="s">
        <v>6131</v>
      </c>
      <c r="H64" s="288" t="s">
        <v>4</v>
      </c>
    </row>
    <row r="65" spans="1:8" ht="26" customHeight="1">
      <c r="A65" s="296" t="s">
        <v>6134</v>
      </c>
      <c r="B65" s="128" t="s">
        <v>6084</v>
      </c>
      <c r="C65" s="273" t="s">
        <v>6135</v>
      </c>
      <c r="D65" s="273" t="s">
        <v>6136</v>
      </c>
      <c r="E65" s="128" t="s">
        <v>5944</v>
      </c>
      <c r="F65" s="128"/>
      <c r="G65" s="128" t="s">
        <v>6131</v>
      </c>
      <c r="H65" s="288" t="s">
        <v>4</v>
      </c>
    </row>
    <row r="66" spans="1:8" ht="26" customHeight="1">
      <c r="A66" s="296" t="s">
        <v>6137</v>
      </c>
      <c r="B66" s="128" t="s">
        <v>6084</v>
      </c>
      <c r="C66" s="273" t="s">
        <v>6138</v>
      </c>
      <c r="D66" s="273" t="s">
        <v>6139</v>
      </c>
      <c r="E66" s="128" t="s">
        <v>5944</v>
      </c>
      <c r="F66" s="128"/>
      <c r="G66" s="128" t="s">
        <v>6131</v>
      </c>
      <c r="H66" s="288" t="s">
        <v>4</v>
      </c>
    </row>
    <row r="67" spans="1:8" ht="26" customHeight="1">
      <c r="A67" s="296" t="s">
        <v>6140</v>
      </c>
      <c r="B67" s="128" t="s">
        <v>6084</v>
      </c>
      <c r="C67" s="273" t="s">
        <v>6141</v>
      </c>
      <c r="D67" s="273" t="s">
        <v>1437</v>
      </c>
      <c r="E67" s="128" t="s">
        <v>5944</v>
      </c>
      <c r="F67" s="128"/>
      <c r="G67" s="128" t="s">
        <v>6131</v>
      </c>
      <c r="H67" s="288" t="s">
        <v>4</v>
      </c>
    </row>
    <row r="68" spans="1:8" ht="26" customHeight="1">
      <c r="A68" s="296" t="s">
        <v>6142</v>
      </c>
      <c r="B68" s="128" t="s">
        <v>6143</v>
      </c>
      <c r="C68" s="273" t="s">
        <v>6144</v>
      </c>
      <c r="D68" s="273" t="s">
        <v>6145</v>
      </c>
      <c r="E68" s="128" t="s">
        <v>5944</v>
      </c>
      <c r="F68" s="128" t="s">
        <v>5973</v>
      </c>
      <c r="G68" s="128" t="s">
        <v>6146</v>
      </c>
      <c r="H68" s="288" t="s">
        <v>4</v>
      </c>
    </row>
    <row r="69" spans="1:8" ht="26" customHeight="1">
      <c r="A69" s="296" t="s">
        <v>6147</v>
      </c>
      <c r="B69" s="128" t="s">
        <v>6143</v>
      </c>
      <c r="C69" s="273" t="s">
        <v>6148</v>
      </c>
      <c r="D69" s="273" t="s">
        <v>1049</v>
      </c>
      <c r="E69" s="128" t="s">
        <v>5944</v>
      </c>
      <c r="F69" s="128"/>
      <c r="G69" s="128" t="s">
        <v>6146</v>
      </c>
      <c r="H69" s="288" t="s">
        <v>4</v>
      </c>
    </row>
    <row r="70" spans="1:8" ht="26" customHeight="1">
      <c r="A70" s="296" t="s">
        <v>6149</v>
      </c>
      <c r="B70" s="128" t="s">
        <v>6143</v>
      </c>
      <c r="C70" s="273" t="s">
        <v>6150</v>
      </c>
      <c r="D70" s="273" t="s">
        <v>913</v>
      </c>
      <c r="E70" s="128" t="s">
        <v>5944</v>
      </c>
      <c r="F70" s="128" t="s">
        <v>5973</v>
      </c>
      <c r="G70" s="128" t="s">
        <v>6146</v>
      </c>
      <c r="H70" s="288" t="s">
        <v>4</v>
      </c>
    </row>
    <row r="71" spans="1:8" ht="26" customHeight="1">
      <c r="A71" s="296" t="s">
        <v>6151</v>
      </c>
      <c r="B71" s="128" t="s">
        <v>6143</v>
      </c>
      <c r="C71" s="273" t="s">
        <v>6152</v>
      </c>
      <c r="D71" s="273" t="s">
        <v>6153</v>
      </c>
      <c r="E71" s="128" t="s">
        <v>5944</v>
      </c>
      <c r="F71" s="128"/>
      <c r="G71" s="128" t="s">
        <v>6146</v>
      </c>
      <c r="H71" s="288" t="s">
        <v>4</v>
      </c>
    </row>
    <row r="72" spans="1:8" ht="26" customHeight="1">
      <c r="A72" s="296" t="s">
        <v>6154</v>
      </c>
      <c r="B72" s="128" t="s">
        <v>6143</v>
      </c>
      <c r="C72" s="273" t="s">
        <v>6155</v>
      </c>
      <c r="D72" s="273" t="s">
        <v>6156</v>
      </c>
      <c r="E72" s="128" t="s">
        <v>5944</v>
      </c>
      <c r="F72" s="128" t="s">
        <v>5973</v>
      </c>
      <c r="G72" s="128" t="s">
        <v>6157</v>
      </c>
      <c r="H72" s="288" t="s">
        <v>4</v>
      </c>
    </row>
    <row r="73" spans="1:8" ht="26" customHeight="1">
      <c r="A73" s="296" t="s">
        <v>6158</v>
      </c>
      <c r="B73" s="128" t="s">
        <v>6143</v>
      </c>
      <c r="C73" s="273" t="s">
        <v>6159</v>
      </c>
      <c r="D73" s="273" t="s">
        <v>2614</v>
      </c>
      <c r="E73" s="128" t="s">
        <v>5944</v>
      </c>
      <c r="F73" s="128" t="s">
        <v>5973</v>
      </c>
      <c r="G73" s="128" t="s">
        <v>6157</v>
      </c>
      <c r="H73" s="288" t="s">
        <v>4</v>
      </c>
    </row>
    <row r="74" spans="1:8" ht="26" customHeight="1">
      <c r="A74" s="296" t="s">
        <v>6160</v>
      </c>
      <c r="B74" s="128" t="s">
        <v>6143</v>
      </c>
      <c r="C74" s="273" t="s">
        <v>6161</v>
      </c>
      <c r="D74" s="273" t="s">
        <v>6162</v>
      </c>
      <c r="E74" s="128" t="s">
        <v>5944</v>
      </c>
      <c r="F74" s="128"/>
      <c r="G74" s="128" t="s">
        <v>6157</v>
      </c>
      <c r="H74" s="288" t="s">
        <v>4</v>
      </c>
    </row>
    <row r="75" spans="1:8" ht="26" customHeight="1">
      <c r="A75" s="296" t="s">
        <v>6163</v>
      </c>
      <c r="B75" s="128" t="s">
        <v>6143</v>
      </c>
      <c r="C75" s="273" t="s">
        <v>6164</v>
      </c>
      <c r="D75" s="273" t="s">
        <v>6165</v>
      </c>
      <c r="E75" s="128" t="s">
        <v>5944</v>
      </c>
      <c r="F75" s="128"/>
      <c r="G75" s="128" t="s">
        <v>6157</v>
      </c>
      <c r="H75" s="288" t="s">
        <v>4</v>
      </c>
    </row>
    <row r="76" spans="1:8" ht="26" customHeight="1">
      <c r="A76" s="296" t="s">
        <v>6166</v>
      </c>
      <c r="B76" s="128" t="s">
        <v>6143</v>
      </c>
      <c r="C76" s="273" t="s">
        <v>6167</v>
      </c>
      <c r="D76" s="273" t="s">
        <v>1439</v>
      </c>
      <c r="E76" s="128" t="s">
        <v>5944</v>
      </c>
      <c r="F76" s="128"/>
      <c r="G76" s="128" t="s">
        <v>6157</v>
      </c>
      <c r="H76" s="288" t="s">
        <v>4</v>
      </c>
    </row>
    <row r="77" spans="1:8" ht="26" customHeight="1">
      <c r="A77" s="296" t="s">
        <v>6168</v>
      </c>
      <c r="B77" s="128" t="s">
        <v>6169</v>
      </c>
      <c r="C77" s="273" t="s">
        <v>6170</v>
      </c>
      <c r="D77" s="273" t="s">
        <v>2578</v>
      </c>
      <c r="E77" s="128" t="s">
        <v>5944</v>
      </c>
      <c r="F77" s="128" t="s">
        <v>5973</v>
      </c>
      <c r="G77" s="128" t="s">
        <v>6171</v>
      </c>
      <c r="H77" s="288" t="s">
        <v>4</v>
      </c>
    </row>
    <row r="78" spans="1:8" ht="26" customHeight="1">
      <c r="A78" s="296" t="s">
        <v>6172</v>
      </c>
      <c r="B78" s="128" t="s">
        <v>6169</v>
      </c>
      <c r="C78" s="273" t="s">
        <v>6173</v>
      </c>
      <c r="D78" s="273" t="s">
        <v>6174</v>
      </c>
      <c r="E78" s="128" t="s">
        <v>5944</v>
      </c>
      <c r="F78" s="128"/>
      <c r="G78" s="128" t="s">
        <v>6171</v>
      </c>
      <c r="H78" s="288" t="s">
        <v>4</v>
      </c>
    </row>
    <row r="79" spans="1:8" ht="26" customHeight="1">
      <c r="A79" s="296" t="s">
        <v>6175</v>
      </c>
      <c r="B79" s="128" t="s">
        <v>6169</v>
      </c>
      <c r="C79" s="273" t="s">
        <v>6176</v>
      </c>
      <c r="D79" s="273" t="s">
        <v>2516</v>
      </c>
      <c r="E79" s="128" t="s">
        <v>5944</v>
      </c>
      <c r="F79" s="128"/>
      <c r="G79" s="128" t="s">
        <v>6171</v>
      </c>
      <c r="H79" s="288" t="s">
        <v>4</v>
      </c>
    </row>
    <row r="80" spans="1:8" ht="26" customHeight="1">
      <c r="A80" s="296" t="s">
        <v>6177</v>
      </c>
      <c r="B80" s="128" t="s">
        <v>6169</v>
      </c>
      <c r="C80" s="273" t="s">
        <v>6178</v>
      </c>
      <c r="D80" s="273" t="s">
        <v>1254</v>
      </c>
      <c r="E80" s="128" t="s">
        <v>5944</v>
      </c>
      <c r="F80" s="128" t="s">
        <v>5973</v>
      </c>
      <c r="G80" s="128" t="s">
        <v>6179</v>
      </c>
      <c r="H80" s="288" t="s">
        <v>4</v>
      </c>
    </row>
    <row r="81" spans="1:8" ht="26" customHeight="1">
      <c r="A81" s="296" t="s">
        <v>6180</v>
      </c>
      <c r="B81" s="128" t="s">
        <v>6169</v>
      </c>
      <c r="C81" s="273" t="s">
        <v>6181</v>
      </c>
      <c r="D81" s="273" t="s">
        <v>2497</v>
      </c>
      <c r="E81" s="128" t="s">
        <v>5944</v>
      </c>
      <c r="F81" s="128"/>
      <c r="G81" s="128" t="s">
        <v>6179</v>
      </c>
      <c r="H81" s="288" t="s">
        <v>4</v>
      </c>
    </row>
    <row r="82" spans="1:8" ht="26" customHeight="1">
      <c r="A82" s="296" t="s">
        <v>6182</v>
      </c>
      <c r="B82" s="128" t="s">
        <v>6169</v>
      </c>
      <c r="C82" s="273" t="s">
        <v>6183</v>
      </c>
      <c r="D82" s="273" t="s">
        <v>2685</v>
      </c>
      <c r="E82" s="128" t="s">
        <v>5944</v>
      </c>
      <c r="F82" s="128"/>
      <c r="G82" s="128" t="s">
        <v>6179</v>
      </c>
      <c r="H82" s="288" t="s">
        <v>4</v>
      </c>
    </row>
    <row r="83" spans="1:8" ht="26" customHeight="1">
      <c r="A83" s="296" t="s">
        <v>6184</v>
      </c>
      <c r="B83" s="128" t="s">
        <v>6169</v>
      </c>
      <c r="C83" s="273" t="s">
        <v>6185</v>
      </c>
      <c r="D83" s="273" t="s">
        <v>6186</v>
      </c>
      <c r="E83" s="128" t="s">
        <v>5944</v>
      </c>
      <c r="F83" s="128"/>
      <c r="G83" s="128" t="s">
        <v>6187</v>
      </c>
      <c r="H83" s="288" t="s">
        <v>4</v>
      </c>
    </row>
    <row r="84" spans="1:8" ht="26" customHeight="1">
      <c r="A84" s="296" t="s">
        <v>6188</v>
      </c>
      <c r="B84" s="128" t="s">
        <v>6169</v>
      </c>
      <c r="C84" s="273" t="s">
        <v>6189</v>
      </c>
      <c r="D84" s="273" t="s">
        <v>6190</v>
      </c>
      <c r="E84" s="128" t="s">
        <v>5944</v>
      </c>
      <c r="F84" s="128" t="s">
        <v>5973</v>
      </c>
      <c r="G84" s="128" t="s">
        <v>6187</v>
      </c>
      <c r="H84" s="288" t="s">
        <v>4</v>
      </c>
    </row>
    <row r="85" spans="1:8" ht="26" customHeight="1">
      <c r="A85" s="296" t="s">
        <v>6191</v>
      </c>
      <c r="B85" s="128" t="s">
        <v>6169</v>
      </c>
      <c r="C85" s="273" t="s">
        <v>6192</v>
      </c>
      <c r="D85" s="273" t="s">
        <v>2671</v>
      </c>
      <c r="E85" s="128" t="s">
        <v>5944</v>
      </c>
      <c r="F85" s="128"/>
      <c r="G85" s="128" t="s">
        <v>6187</v>
      </c>
      <c r="H85" s="288" t="s">
        <v>4</v>
      </c>
    </row>
    <row r="86" spans="1:8" ht="26" customHeight="1">
      <c r="A86" s="296" t="s">
        <v>6193</v>
      </c>
      <c r="B86" s="128" t="s">
        <v>6169</v>
      </c>
      <c r="C86" s="273" t="s">
        <v>6194</v>
      </c>
      <c r="D86" s="273" t="s">
        <v>2677</v>
      </c>
      <c r="E86" s="128" t="s">
        <v>5944</v>
      </c>
      <c r="F86" s="128"/>
      <c r="G86" s="128" t="s">
        <v>6187</v>
      </c>
      <c r="H86" s="288" t="s">
        <v>4</v>
      </c>
    </row>
    <row r="87" spans="1:8" ht="26" customHeight="1">
      <c r="A87" s="296" t="s">
        <v>6195</v>
      </c>
      <c r="B87" s="128" t="s">
        <v>6169</v>
      </c>
      <c r="C87" s="273" t="s">
        <v>6196</v>
      </c>
      <c r="D87" s="273" t="s">
        <v>6197</v>
      </c>
      <c r="E87" s="128" t="s">
        <v>5944</v>
      </c>
      <c r="F87" s="128"/>
      <c r="G87" s="128" t="s">
        <v>6187</v>
      </c>
      <c r="H87" s="288" t="s">
        <v>4</v>
      </c>
    </row>
    <row r="88" spans="1:8" ht="26" customHeight="1">
      <c r="A88" s="296" t="s">
        <v>6198</v>
      </c>
      <c r="B88" s="128" t="s">
        <v>6169</v>
      </c>
      <c r="C88" s="273" t="s">
        <v>6199</v>
      </c>
      <c r="D88" s="273" t="s">
        <v>6200</v>
      </c>
      <c r="E88" s="128" t="s">
        <v>5947</v>
      </c>
      <c r="F88" s="128"/>
      <c r="G88" s="128" t="s">
        <v>6187</v>
      </c>
      <c r="H88" s="288" t="s">
        <v>4</v>
      </c>
    </row>
    <row r="89" spans="1:8" ht="26" customHeight="1">
      <c r="A89" s="296" t="s">
        <v>6201</v>
      </c>
      <c r="B89" s="128" t="s">
        <v>6202</v>
      </c>
      <c r="C89" s="273" t="s">
        <v>6203</v>
      </c>
      <c r="D89" s="273" t="s">
        <v>6204</v>
      </c>
      <c r="E89" s="128" t="s">
        <v>5944</v>
      </c>
      <c r="F89" s="128" t="s">
        <v>5973</v>
      </c>
      <c r="G89" s="128" t="s">
        <v>6205</v>
      </c>
      <c r="H89" s="288" t="s">
        <v>4</v>
      </c>
    </row>
    <row r="90" spans="1:8" ht="26" customHeight="1">
      <c r="A90" s="296" t="s">
        <v>6206</v>
      </c>
      <c r="B90" s="128" t="s">
        <v>6202</v>
      </c>
      <c r="C90" s="273" t="s">
        <v>6207</v>
      </c>
      <c r="D90" s="273" t="s">
        <v>2497</v>
      </c>
      <c r="E90" s="128" t="s">
        <v>5944</v>
      </c>
      <c r="F90" s="128" t="s">
        <v>5973</v>
      </c>
      <c r="G90" s="128" t="s">
        <v>6205</v>
      </c>
      <c r="H90" s="288" t="s">
        <v>4</v>
      </c>
    </row>
    <row r="91" spans="1:8" ht="26" customHeight="1">
      <c r="A91" s="296" t="s">
        <v>6208</v>
      </c>
      <c r="B91" s="128" t="s">
        <v>6202</v>
      </c>
      <c r="C91" s="273" t="s">
        <v>6209</v>
      </c>
      <c r="D91" s="273" t="s">
        <v>6210</v>
      </c>
      <c r="E91" s="128" t="s">
        <v>5944</v>
      </c>
      <c r="F91" s="128"/>
      <c r="G91" s="128" t="s">
        <v>6205</v>
      </c>
      <c r="H91" s="288" t="s">
        <v>4</v>
      </c>
    </row>
    <row r="92" spans="1:8" ht="26" customHeight="1">
      <c r="A92" s="296" t="s">
        <v>6211</v>
      </c>
      <c r="B92" s="128" t="s">
        <v>6202</v>
      </c>
      <c r="C92" s="273" t="s">
        <v>6212</v>
      </c>
      <c r="D92" s="273" t="s">
        <v>6213</v>
      </c>
      <c r="E92" s="128" t="s">
        <v>5944</v>
      </c>
      <c r="F92" s="128"/>
      <c r="G92" s="128" t="s">
        <v>6214</v>
      </c>
      <c r="H92" s="288" t="s">
        <v>4</v>
      </c>
    </row>
    <row r="93" spans="1:8" ht="26" customHeight="1">
      <c r="A93" s="296" t="s">
        <v>6215</v>
      </c>
      <c r="B93" s="128" t="s">
        <v>6202</v>
      </c>
      <c r="C93" s="273" t="s">
        <v>6216</v>
      </c>
      <c r="D93" s="273" t="s">
        <v>6217</v>
      </c>
      <c r="E93" s="128" t="s">
        <v>5944</v>
      </c>
      <c r="F93" s="128"/>
      <c r="G93" s="128" t="s">
        <v>6214</v>
      </c>
      <c r="H93" s="288" t="s">
        <v>4</v>
      </c>
    </row>
    <row r="94" spans="1:8" ht="26" customHeight="1">
      <c r="A94" s="296" t="s">
        <v>6218</v>
      </c>
      <c r="B94" s="128" t="s">
        <v>6202</v>
      </c>
      <c r="C94" s="273" t="s">
        <v>6219</v>
      </c>
      <c r="D94" s="273" t="s">
        <v>1437</v>
      </c>
      <c r="E94" s="128" t="s">
        <v>5944</v>
      </c>
      <c r="F94" s="128"/>
      <c r="G94" s="128" t="s">
        <v>6214</v>
      </c>
      <c r="H94" s="288" t="s">
        <v>4</v>
      </c>
    </row>
    <row r="95" spans="1:8" ht="26" customHeight="1">
      <c r="A95" s="296" t="s">
        <v>6220</v>
      </c>
      <c r="B95" s="128" t="s">
        <v>6202</v>
      </c>
      <c r="C95" s="273" t="s">
        <v>6221</v>
      </c>
      <c r="D95" s="273" t="s">
        <v>609</v>
      </c>
      <c r="E95" s="128" t="s">
        <v>5944</v>
      </c>
      <c r="F95" s="128"/>
      <c r="G95" s="128" t="s">
        <v>6214</v>
      </c>
      <c r="H95" s="288" t="s">
        <v>4</v>
      </c>
    </row>
    <row r="96" spans="1:8" ht="26" customHeight="1">
      <c r="A96" s="296" t="s">
        <v>6222</v>
      </c>
      <c r="B96" s="128" t="s">
        <v>6202</v>
      </c>
      <c r="C96" s="273" t="s">
        <v>6223</v>
      </c>
      <c r="D96" s="273" t="s">
        <v>1439</v>
      </c>
      <c r="E96" s="128" t="s">
        <v>5944</v>
      </c>
      <c r="F96" s="128"/>
      <c r="G96" s="128" t="s">
        <v>6214</v>
      </c>
      <c r="H96" s="288" t="s">
        <v>4</v>
      </c>
    </row>
    <row r="97" spans="1:8" ht="26" customHeight="1">
      <c r="A97" s="297" t="s">
        <v>6224</v>
      </c>
      <c r="B97" s="289" t="s">
        <v>6202</v>
      </c>
      <c r="C97" s="276" t="s">
        <v>6225</v>
      </c>
      <c r="D97" s="276" t="s">
        <v>6226</v>
      </c>
      <c r="E97" s="289" t="s">
        <v>5947</v>
      </c>
      <c r="F97" s="289"/>
      <c r="G97" s="289" t="s">
        <v>6205</v>
      </c>
      <c r="H97" s="290" t="s">
        <v>4</v>
      </c>
    </row>
  </sheetData>
  <autoFilter ref="A6:H97" xr:uid="{AFC42794-AC73-9346-B99D-3DE21002119D}"/>
  <phoneticPr fontId="3"/>
  <conditionalFormatting sqref="A7:H97">
    <cfRule type="expression" dxfId="15" priority="2">
      <formula>$F7="🔴"</formula>
    </cfRule>
  </conditionalFormatting>
  <conditionalFormatting sqref="B7:B97">
    <cfRule type="expression" dxfId="14" priority="3">
      <formula>$B7="認証系"</formula>
    </cfRule>
    <cfRule type="expression" dxfId="13" priority="4">
      <formula>$B7="プロビジョニング系"</formula>
    </cfRule>
    <cfRule type="expression" dxfId="12" priority="5">
      <formula>$B7="管理コントロールプレーン系"</formula>
    </cfRule>
    <cfRule type="expression" dxfId="11" priority="6">
      <formula>$B7="認可系"</formula>
    </cfRule>
    <cfRule type="expression" dxfId="10" priority="7">
      <formula>$B7="連携系"</formula>
    </cfRule>
    <cfRule type="expression" dxfId="9" priority="8">
      <formula>$B7="バッチ系"</formula>
    </cfRule>
  </conditionalFormatting>
  <conditionalFormatting sqref="E7:E97">
    <cfRule type="expression" dxfId="8" priority="1">
      <formula>$E7="P2"</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2" t="s">
        <v>6362</v>
      </c>
    </row>
    <row r="2" spans="1:9">
      <c r="A2" s="313" t="s">
        <v>6363</v>
      </c>
    </row>
    <row r="4" spans="1:9">
      <c r="A4" s="3" t="s">
        <v>5163</v>
      </c>
      <c r="B4" s="3" t="s">
        <v>6364</v>
      </c>
      <c r="C4" s="3" t="s">
        <v>6365</v>
      </c>
      <c r="D4" s="3" t="s">
        <v>5112</v>
      </c>
      <c r="E4" s="3" t="s">
        <v>6366</v>
      </c>
      <c r="F4" s="3" t="s">
        <v>6367</v>
      </c>
      <c r="G4" s="3" t="s">
        <v>6368</v>
      </c>
      <c r="H4" s="3" t="s">
        <v>6369</v>
      </c>
      <c r="I4" s="3" t="s">
        <v>666</v>
      </c>
    </row>
    <row r="5" spans="1:9" ht="110" customHeight="1">
      <c r="A5" s="314" t="s">
        <v>6370</v>
      </c>
      <c r="B5" s="326">
        <v>46261</v>
      </c>
      <c r="C5" s="315"/>
      <c r="D5" s="316" t="s">
        <v>6371</v>
      </c>
      <c r="E5" s="316" t="s">
        <v>6372</v>
      </c>
      <c r="F5" s="316" t="s">
        <v>6373</v>
      </c>
      <c r="G5" s="316" t="s">
        <v>6374</v>
      </c>
      <c r="H5" s="316" t="s">
        <v>2233</v>
      </c>
      <c r="I5" s="317" t="s">
        <v>6375</v>
      </c>
    </row>
    <row r="6" spans="1:9" ht="110" customHeight="1">
      <c r="A6" s="318" t="s">
        <v>6376</v>
      </c>
      <c r="B6" s="327">
        <v>46261</v>
      </c>
      <c r="C6" s="319"/>
      <c r="D6" s="320" t="s">
        <v>6377</v>
      </c>
      <c r="E6" s="320" t="s">
        <v>6378</v>
      </c>
      <c r="F6" s="320" t="s">
        <v>6379</v>
      </c>
      <c r="G6" s="320" t="s">
        <v>6380</v>
      </c>
      <c r="H6" s="320" t="s">
        <v>6381</v>
      </c>
      <c r="I6" s="321" t="s">
        <v>6375</v>
      </c>
    </row>
    <row r="7" spans="1:9" ht="110" customHeight="1">
      <c r="A7" s="322" t="s">
        <v>6382</v>
      </c>
      <c r="B7" s="328">
        <v>46261</v>
      </c>
      <c r="C7" s="323"/>
      <c r="D7" s="324" t="s">
        <v>6383</v>
      </c>
      <c r="E7" s="324" t="s">
        <v>6384</v>
      </c>
      <c r="F7" s="324" t="s">
        <v>6385</v>
      </c>
      <c r="G7" s="324" t="s">
        <v>6386</v>
      </c>
      <c r="H7" s="324" t="s">
        <v>5167</v>
      </c>
      <c r="I7" s="325" t="s">
        <v>6375</v>
      </c>
    </row>
    <row r="8" spans="1:9">
      <c r="B8" s="329"/>
    </row>
    <row r="9" spans="1:9">
      <c r="B9" s="329"/>
    </row>
    <row r="10" spans="1:9">
      <c r="B10" s="329"/>
    </row>
    <row r="11" spans="1:9">
      <c r="B11" s="329"/>
    </row>
    <row r="12" spans="1:9">
      <c r="B12" s="329"/>
    </row>
    <row r="13" spans="1:9">
      <c r="B13" s="329"/>
    </row>
    <row r="14" spans="1:9">
      <c r="B14" s="329"/>
    </row>
    <row r="15" spans="1:9">
      <c r="B15" s="329"/>
    </row>
    <row r="16" spans="1:9">
      <c r="B16" s="329"/>
    </row>
    <row r="17" spans="2:2">
      <c r="B17" s="329"/>
    </row>
    <row r="18" spans="2:2">
      <c r="B18" s="329"/>
    </row>
    <row r="19" spans="2:2">
      <c r="B19" s="329"/>
    </row>
    <row r="20" spans="2:2">
      <c r="B20" s="329"/>
    </row>
    <row r="21" spans="2:2">
      <c r="B21" s="329"/>
    </row>
    <row r="22" spans="2:2">
      <c r="B22" s="329"/>
    </row>
    <row r="23" spans="2:2">
      <c r="B23" s="329"/>
    </row>
    <row r="24" spans="2:2">
      <c r="B24" s="329"/>
    </row>
    <row r="25" spans="2:2">
      <c r="B25" s="329"/>
    </row>
    <row r="26" spans="2:2">
      <c r="B26" s="329"/>
    </row>
    <row r="27" spans="2:2">
      <c r="B27" s="329"/>
    </row>
    <row r="28" spans="2:2">
      <c r="B28" s="329"/>
    </row>
    <row r="29" spans="2:2">
      <c r="B29" s="329"/>
    </row>
    <row r="30" spans="2:2">
      <c r="B30" s="329"/>
    </row>
    <row r="31" spans="2:2">
      <c r="B31" s="329"/>
    </row>
    <row r="32" spans="2:2">
      <c r="B32" s="329"/>
    </row>
    <row r="33" spans="2:2">
      <c r="B33" s="329"/>
    </row>
    <row r="34" spans="2:2">
      <c r="B34" s="329"/>
    </row>
    <row r="35" spans="2:2">
      <c r="B35" s="329"/>
    </row>
    <row r="36" spans="2:2">
      <c r="B36" s="329"/>
    </row>
    <row r="37" spans="2:2">
      <c r="B37" s="329"/>
    </row>
    <row r="38" spans="2:2">
      <c r="B38" s="329"/>
    </row>
    <row r="39" spans="2:2">
      <c r="B39" s="329"/>
    </row>
    <row r="40" spans="2:2">
      <c r="B40" s="329"/>
    </row>
    <row r="41" spans="2:2">
      <c r="B41" s="329"/>
    </row>
    <row r="42" spans="2:2">
      <c r="B42" s="329"/>
    </row>
    <row r="43" spans="2:2">
      <c r="B43" s="329"/>
    </row>
    <row r="44" spans="2:2">
      <c r="B44" s="329"/>
    </row>
    <row r="45" spans="2:2">
      <c r="B45" s="329"/>
    </row>
    <row r="46" spans="2:2">
      <c r="B46" s="329"/>
    </row>
    <row r="47" spans="2:2">
      <c r="B47" s="329"/>
    </row>
    <row r="48" spans="2:2">
      <c r="B48" s="329"/>
    </row>
    <row r="49" spans="2:2">
      <c r="B49" s="329"/>
    </row>
    <row r="50" spans="2:2">
      <c r="B50" s="329"/>
    </row>
    <row r="51" spans="2:2">
      <c r="B51" s="329"/>
    </row>
    <row r="52" spans="2:2">
      <c r="B52" s="329"/>
    </row>
    <row r="53" spans="2:2">
      <c r="B53" s="329"/>
    </row>
    <row r="54" spans="2:2">
      <c r="B54" s="329"/>
    </row>
    <row r="55" spans="2:2">
      <c r="B55" s="329"/>
    </row>
    <row r="56" spans="2:2">
      <c r="B56" s="329"/>
    </row>
    <row r="57" spans="2:2">
      <c r="B57" s="329"/>
    </row>
    <row r="58" spans="2:2">
      <c r="B58" s="329"/>
    </row>
    <row r="59" spans="2:2">
      <c r="B59" s="329"/>
    </row>
    <row r="60" spans="2:2">
      <c r="B60" s="329"/>
    </row>
    <row r="61" spans="2:2">
      <c r="B61" s="329"/>
    </row>
    <row r="62" spans="2:2">
      <c r="B62" s="329"/>
    </row>
    <row r="63" spans="2:2">
      <c r="B63" s="329"/>
    </row>
    <row r="64" spans="2:2">
      <c r="B64" s="329"/>
    </row>
    <row r="65" spans="2:2">
      <c r="B65" s="329"/>
    </row>
    <row r="66" spans="2:2">
      <c r="B66" s="329"/>
    </row>
    <row r="67" spans="2:2">
      <c r="B67" s="329"/>
    </row>
    <row r="68" spans="2:2">
      <c r="B68" s="329"/>
    </row>
    <row r="69" spans="2:2">
      <c r="B69" s="329"/>
    </row>
    <row r="70" spans="2:2">
      <c r="B70" s="329"/>
    </row>
    <row r="71" spans="2:2">
      <c r="B71" s="329"/>
    </row>
    <row r="72" spans="2:2">
      <c r="B72" s="329"/>
    </row>
    <row r="73" spans="2:2">
      <c r="B73" s="329"/>
    </row>
    <row r="74" spans="2:2">
      <c r="B74" s="329"/>
    </row>
    <row r="75" spans="2:2">
      <c r="B75" s="329"/>
    </row>
    <row r="76" spans="2:2">
      <c r="B76" s="329"/>
    </row>
    <row r="77" spans="2:2">
      <c r="B77" s="329"/>
    </row>
    <row r="78" spans="2:2">
      <c r="B78" s="329"/>
    </row>
    <row r="79" spans="2:2">
      <c r="B79" s="329"/>
    </row>
    <row r="80" spans="2:2">
      <c r="B80" s="329"/>
    </row>
    <row r="81" spans="2:2">
      <c r="B81" s="329"/>
    </row>
    <row r="82" spans="2:2">
      <c r="B82" s="329"/>
    </row>
    <row r="83" spans="2:2">
      <c r="B83" s="329"/>
    </row>
    <row r="84" spans="2:2">
      <c r="B84" s="329"/>
    </row>
    <row r="85" spans="2:2">
      <c r="B85" s="329"/>
    </row>
    <row r="86" spans="2:2">
      <c r="B86" s="329"/>
    </row>
    <row r="87" spans="2:2">
      <c r="B87" s="329"/>
    </row>
    <row r="88" spans="2:2">
      <c r="B88" s="329"/>
    </row>
    <row r="89" spans="2:2">
      <c r="B89" s="329"/>
    </row>
    <row r="90" spans="2:2">
      <c r="B90" s="329"/>
    </row>
    <row r="91" spans="2:2">
      <c r="B91" s="329"/>
    </row>
    <row r="92" spans="2:2">
      <c r="B92" s="329"/>
    </row>
    <row r="93" spans="2:2">
      <c r="B93" s="329"/>
    </row>
    <row r="94" spans="2:2">
      <c r="B94" s="329"/>
    </row>
    <row r="95" spans="2:2">
      <c r="B95" s="329"/>
    </row>
    <row r="96" spans="2:2">
      <c r="B96" s="329"/>
    </row>
    <row r="97" spans="2:2">
      <c r="B97" s="329"/>
    </row>
    <row r="98" spans="2:2">
      <c r="B98" s="329"/>
    </row>
    <row r="99" spans="2:2">
      <c r="B99" s="329"/>
    </row>
    <row r="100" spans="2:2">
      <c r="B100" s="329"/>
    </row>
    <row r="101" spans="2:2">
      <c r="B101" s="329"/>
    </row>
    <row r="102" spans="2:2">
      <c r="B102" s="329"/>
    </row>
    <row r="103" spans="2:2">
      <c r="B103" s="329"/>
    </row>
    <row r="104" spans="2:2">
      <c r="B104" s="329"/>
    </row>
    <row r="105" spans="2:2">
      <c r="B105" s="329"/>
    </row>
    <row r="106" spans="2:2">
      <c r="B106" s="329"/>
    </row>
    <row r="107" spans="2:2">
      <c r="B107" s="329"/>
    </row>
    <row r="108" spans="2:2">
      <c r="B108" s="329"/>
    </row>
    <row r="109" spans="2:2">
      <c r="B109" s="329"/>
    </row>
    <row r="110" spans="2:2">
      <c r="B110" s="329"/>
    </row>
    <row r="111" spans="2:2">
      <c r="B111" s="329"/>
    </row>
    <row r="112" spans="2:2">
      <c r="B112" s="329"/>
    </row>
    <row r="113" spans="2:2">
      <c r="B113" s="329"/>
    </row>
    <row r="114" spans="2:2">
      <c r="B114" s="329"/>
    </row>
    <row r="115" spans="2:2">
      <c r="B115" s="329"/>
    </row>
    <row r="116" spans="2:2">
      <c r="B116" s="329"/>
    </row>
    <row r="117" spans="2:2">
      <c r="B117" s="329"/>
    </row>
    <row r="118" spans="2:2">
      <c r="B118" s="329"/>
    </row>
    <row r="119" spans="2:2">
      <c r="B119" s="329"/>
    </row>
    <row r="120" spans="2:2">
      <c r="B120" s="329"/>
    </row>
    <row r="121" spans="2:2">
      <c r="B121" s="329"/>
    </row>
    <row r="122" spans="2:2">
      <c r="B122" s="329"/>
    </row>
    <row r="123" spans="2:2">
      <c r="B123" s="329"/>
    </row>
    <row r="124" spans="2:2">
      <c r="B124" s="329"/>
    </row>
    <row r="125" spans="2:2">
      <c r="B125" s="329"/>
    </row>
    <row r="126" spans="2:2">
      <c r="B126" s="329"/>
    </row>
    <row r="127" spans="2:2">
      <c r="B127" s="329"/>
    </row>
    <row r="128" spans="2:2">
      <c r="B128" s="329"/>
    </row>
    <row r="129" spans="2:2">
      <c r="B129" s="329"/>
    </row>
    <row r="130" spans="2:2">
      <c r="B130" s="329"/>
    </row>
    <row r="131" spans="2:2">
      <c r="B131" s="329"/>
    </row>
    <row r="132" spans="2:2">
      <c r="B132" s="329"/>
    </row>
    <row r="133" spans="2:2">
      <c r="B133" s="329"/>
    </row>
    <row r="134" spans="2:2">
      <c r="B134" s="329"/>
    </row>
    <row r="135" spans="2:2">
      <c r="B135" s="329"/>
    </row>
    <row r="136" spans="2:2">
      <c r="B136" s="329"/>
    </row>
    <row r="137" spans="2:2">
      <c r="B137" s="329"/>
    </row>
    <row r="138" spans="2:2">
      <c r="B138" s="329"/>
    </row>
    <row r="139" spans="2:2">
      <c r="B139" s="329"/>
    </row>
    <row r="140" spans="2:2">
      <c r="B140" s="329"/>
    </row>
    <row r="141" spans="2:2">
      <c r="B141" s="329"/>
    </row>
    <row r="142" spans="2:2">
      <c r="B142" s="329"/>
    </row>
    <row r="143" spans="2:2">
      <c r="B143" s="329"/>
    </row>
    <row r="144" spans="2:2">
      <c r="B144" s="329"/>
    </row>
    <row r="145" spans="2:2">
      <c r="B145" s="329"/>
    </row>
    <row r="146" spans="2:2">
      <c r="B146" s="329"/>
    </row>
    <row r="147" spans="2:2">
      <c r="B147" s="329"/>
    </row>
    <row r="148" spans="2:2">
      <c r="B148" s="329"/>
    </row>
    <row r="149" spans="2:2">
      <c r="B149" s="329"/>
    </row>
    <row r="150" spans="2:2">
      <c r="B150" s="329"/>
    </row>
    <row r="151" spans="2:2">
      <c r="B151" s="329"/>
    </row>
    <row r="152" spans="2:2">
      <c r="B152" s="329"/>
    </row>
    <row r="153" spans="2:2">
      <c r="B153" s="329"/>
    </row>
    <row r="154" spans="2:2">
      <c r="B154" s="329"/>
    </row>
    <row r="155" spans="2:2">
      <c r="B155" s="329"/>
    </row>
    <row r="156" spans="2:2">
      <c r="B156" s="329"/>
    </row>
    <row r="157" spans="2:2">
      <c r="B157" s="329"/>
    </row>
    <row r="158" spans="2:2">
      <c r="B158" s="329"/>
    </row>
    <row r="159" spans="2:2">
      <c r="B159" s="329"/>
    </row>
    <row r="160" spans="2:2">
      <c r="B160" s="329"/>
    </row>
    <row r="161" spans="2:2">
      <c r="B161" s="329"/>
    </row>
    <row r="162" spans="2:2">
      <c r="B162" s="329"/>
    </row>
    <row r="163" spans="2:2">
      <c r="B163" s="329"/>
    </row>
    <row r="164" spans="2:2">
      <c r="B164" s="329"/>
    </row>
    <row r="165" spans="2:2">
      <c r="B165" s="329"/>
    </row>
    <row r="166" spans="2:2">
      <c r="B166" s="329"/>
    </row>
    <row r="167" spans="2:2">
      <c r="B167" s="329"/>
    </row>
    <row r="168" spans="2:2">
      <c r="B168" s="329"/>
    </row>
    <row r="169" spans="2:2">
      <c r="B169" s="329"/>
    </row>
    <row r="170" spans="2:2">
      <c r="B170" s="329"/>
    </row>
    <row r="171" spans="2:2">
      <c r="B171" s="329"/>
    </row>
    <row r="172" spans="2:2">
      <c r="B172" s="329"/>
    </row>
    <row r="173" spans="2:2">
      <c r="B173" s="329"/>
    </row>
    <row r="174" spans="2:2">
      <c r="B174" s="329"/>
    </row>
    <row r="175" spans="2:2">
      <c r="B175" s="329"/>
    </row>
    <row r="176" spans="2:2">
      <c r="B176" s="329"/>
    </row>
    <row r="177" spans="2:2">
      <c r="B177" s="329"/>
    </row>
    <row r="178" spans="2:2">
      <c r="B178" s="329"/>
    </row>
    <row r="179" spans="2:2">
      <c r="B179" s="329"/>
    </row>
    <row r="180" spans="2:2">
      <c r="B180" s="329"/>
    </row>
    <row r="181" spans="2:2">
      <c r="B181" s="329"/>
    </row>
    <row r="182" spans="2:2">
      <c r="B182" s="329"/>
    </row>
    <row r="183" spans="2:2">
      <c r="B183" s="329"/>
    </row>
    <row r="184" spans="2:2">
      <c r="B184" s="329"/>
    </row>
    <row r="185" spans="2:2">
      <c r="B185" s="329"/>
    </row>
    <row r="186" spans="2:2">
      <c r="B186" s="329"/>
    </row>
    <row r="187" spans="2:2">
      <c r="B187" s="329"/>
    </row>
    <row r="188" spans="2:2">
      <c r="B188" s="329"/>
    </row>
    <row r="189" spans="2:2">
      <c r="B189" s="329"/>
    </row>
    <row r="190" spans="2:2">
      <c r="B190" s="329"/>
    </row>
    <row r="191" spans="2:2">
      <c r="B191" s="329"/>
    </row>
    <row r="192" spans="2:2">
      <c r="B192" s="329"/>
    </row>
    <row r="193" spans="2:2">
      <c r="B193" s="329"/>
    </row>
    <row r="194" spans="2:2">
      <c r="B194" s="329"/>
    </row>
    <row r="195" spans="2:2">
      <c r="B195" s="329"/>
    </row>
    <row r="196" spans="2:2">
      <c r="B196" s="329"/>
    </row>
    <row r="197" spans="2:2">
      <c r="B197" s="329"/>
    </row>
    <row r="198" spans="2:2">
      <c r="B198" s="329"/>
    </row>
    <row r="199" spans="2:2">
      <c r="B199" s="329"/>
    </row>
    <row r="200" spans="2:2">
      <c r="B200" s="329"/>
    </row>
  </sheetData>
  <phoneticPr fontId="3"/>
  <conditionalFormatting sqref="I5:I200">
    <cfRule type="expression" dxfId="7" priority="1">
      <formula>$I5="回答確定"</formula>
    </cfRule>
    <cfRule type="expression" dxfId="6" priority="2">
      <formula>$I5="検討中"</formula>
    </cfRule>
    <cfRule type="expression" dxfId="5"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2" t="s">
        <v>6808</v>
      </c>
      <c r="Y1" s="308" t="s">
        <v>6818</v>
      </c>
      <c r="Z1" s="308"/>
    </row>
    <row r="2" spans="1:26">
      <c r="A2" s="308" t="s">
        <v>6809</v>
      </c>
      <c r="Y2" s="369" t="s">
        <v>6420</v>
      </c>
      <c r="Z2" s="369" t="s">
        <v>665</v>
      </c>
    </row>
    <row r="3" spans="1:26">
      <c r="Y3" t="s">
        <v>6422</v>
      </c>
      <c r="Z3" t="s">
        <v>6819</v>
      </c>
    </row>
    <row r="4" spans="1:26">
      <c r="A4" s="363" t="s">
        <v>6810</v>
      </c>
      <c r="Y4" t="s">
        <v>6423</v>
      </c>
      <c r="Z4" t="s">
        <v>6819</v>
      </c>
    </row>
    <row r="5" spans="1:26">
      <c r="A5" s="3" t="s">
        <v>6811</v>
      </c>
      <c r="B5" s="3" t="s">
        <v>6812</v>
      </c>
      <c r="C5" s="3" t="s">
        <v>6813</v>
      </c>
      <c r="D5" s="3" t="s">
        <v>6814</v>
      </c>
      <c r="E5" s="3" t="s">
        <v>6815</v>
      </c>
      <c r="F5" s="3" t="s">
        <v>6816</v>
      </c>
      <c r="Y5" t="s">
        <v>6424</v>
      </c>
      <c r="Z5" t="s">
        <v>6819</v>
      </c>
    </row>
    <row r="6" spans="1:26">
      <c r="A6" t="s">
        <v>6751</v>
      </c>
      <c r="B6" s="365">
        <f>COUNTIFS('WBS(基本設計)'!$K$7:$K$106,$A6)</f>
        <v>0</v>
      </c>
      <c r="C6" s="365">
        <f>SUMIFS('WBS(基本設計)'!$J$7:$J$106,'WBS(基本設計)'!$K$7:$K$106,$A6)</f>
        <v>0</v>
      </c>
      <c r="D6" s="365" cm="1">
        <f t="array" ref="D6">SUMPRODUCT(('WBS(基本設計)'!$K$7:$K$106=$A6)*(NOT(ISNUMBER(SEARCH("（不採用）",'WBS(基本設計)'!$O$7:$O$106))))*('WBS(基本設計)'!$A$7:$A$106&lt;&gt;""))</f>
        <v>0</v>
      </c>
      <c r="E6" s="365" cm="1">
        <f t="array" ref="E6">SUMPRODUCT(('WBS(基本設計)'!$K$7:$K$106=$A6)*(NOT(ISNUMBER(SEARCH("（不採用）",'WBS(基本設計)'!$O$7:$O$106))))*'WBS(基本設計)'!$J$7:$J$106)</f>
        <v>0</v>
      </c>
      <c r="F6" s="4">
        <f>IFERROR($E6/$E$10,0)</f>
        <v>0</v>
      </c>
      <c r="Y6" t="s">
        <v>6425</v>
      </c>
      <c r="Z6" t="s">
        <v>6819</v>
      </c>
    </row>
    <row r="7" spans="1:26">
      <c r="A7" t="s">
        <v>6753</v>
      </c>
      <c r="B7" s="365">
        <f>COUNTIFS('WBS(基本設計)'!$K$7:$K$106,$A7)</f>
        <v>0</v>
      </c>
      <c r="C7" s="365">
        <f>SUMIFS('WBS(基本設計)'!$J$7:$J$106,'WBS(基本設計)'!$K$7:$K$106,$A7)</f>
        <v>0</v>
      </c>
      <c r="D7" s="365" cm="1">
        <f t="array" ref="D7">SUMPRODUCT(('WBS(基本設計)'!$K$7:$K$106=$A7)*(NOT(ISNUMBER(SEARCH("（不採用）",'WBS(基本設計)'!$O$7:$O$106))))*('WBS(基本設計)'!$A$7:$A$106&lt;&gt;""))</f>
        <v>0</v>
      </c>
      <c r="E7" s="365" cm="1">
        <f t="array" ref="E7">SUMPRODUCT(('WBS(基本設計)'!$K$7:$K$106=$A7)*(NOT(ISNUMBER(SEARCH("（不採用）",'WBS(基本設計)'!$O$7:$O$106))))*'WBS(基本設計)'!$J$7:$J$106)</f>
        <v>0</v>
      </c>
      <c r="F7" s="4">
        <f>IFERROR($E7/$E$10,0)</f>
        <v>0</v>
      </c>
      <c r="Y7" t="s">
        <v>6426</v>
      </c>
      <c r="Z7" t="s">
        <v>6819</v>
      </c>
    </row>
    <row r="8" spans="1:26">
      <c r="A8" t="s">
        <v>6750</v>
      </c>
      <c r="B8" s="365">
        <f>COUNTIFS('WBS(基本設計)'!$K$7:$K$106,$A8)</f>
        <v>0</v>
      </c>
      <c r="C8" s="365">
        <f>SUMIFS('WBS(基本設計)'!$J$7:$J$106,'WBS(基本設計)'!$K$7:$K$106,$A8)</f>
        <v>0</v>
      </c>
      <c r="D8" s="365" cm="1">
        <f t="array" ref="D8">SUMPRODUCT(('WBS(基本設計)'!$K$7:$K$106=$A8)*(NOT(ISNUMBER(SEARCH("（不採用）",'WBS(基本設計)'!$O$7:$O$106))))*('WBS(基本設計)'!$A$7:$A$106&lt;&gt;""))</f>
        <v>0</v>
      </c>
      <c r="E8" s="365" cm="1">
        <f t="array" ref="E8">SUMPRODUCT(('WBS(基本設計)'!$K$7:$K$106=$A8)*(NOT(ISNUMBER(SEARCH("（不採用）",'WBS(基本設計)'!$O$7:$O$106))))*'WBS(基本設計)'!$J$7:$J$106)</f>
        <v>0</v>
      </c>
      <c r="F8" s="4">
        <f>IFERROR($E8/$E$10,0)</f>
        <v>0</v>
      </c>
      <c r="Y8" t="s">
        <v>6427</v>
      </c>
      <c r="Z8" t="s">
        <v>6819</v>
      </c>
    </row>
    <row r="9" spans="1:26">
      <c r="A9" t="s">
        <v>6752</v>
      </c>
      <c r="B9" s="365">
        <f>COUNTIFS('WBS(基本設計)'!$K$7:$K$106,$A9)</f>
        <v>0</v>
      </c>
      <c r="C9" s="365">
        <f>SUMIFS('WBS(基本設計)'!$J$7:$J$106,'WBS(基本設計)'!$K$7:$K$106,$A9)</f>
        <v>0</v>
      </c>
      <c r="D9" s="365" cm="1">
        <f t="array" ref="D9">SUMPRODUCT(('WBS(基本設計)'!$K$7:$K$106=$A9)*(NOT(ISNUMBER(SEARCH("（不採用）",'WBS(基本設計)'!$O$7:$O$106))))*('WBS(基本設計)'!$A$7:$A$106&lt;&gt;""))</f>
        <v>0</v>
      </c>
      <c r="E9" s="365" cm="1">
        <f t="array" ref="E9">SUMPRODUCT(('WBS(基本設計)'!$K$7:$K$106=$A9)*(NOT(ISNUMBER(SEARCH("（不採用）",'WBS(基本設計)'!$O$7:$O$106))))*'WBS(基本設計)'!$J$7:$J$106)</f>
        <v>0</v>
      </c>
      <c r="F9" s="4">
        <f>IFERROR($E9/$E$10,0)</f>
        <v>0</v>
      </c>
      <c r="Y9" t="s">
        <v>6430</v>
      </c>
      <c r="Z9" t="s">
        <v>477</v>
      </c>
    </row>
    <row r="10" spans="1:26">
      <c r="A10" s="364" t="s">
        <v>7</v>
      </c>
      <c r="B10" s="366">
        <f>SUM(B6:B9)</f>
        <v>0</v>
      </c>
      <c r="C10" s="366">
        <f>SUM(C6:C9)</f>
        <v>0</v>
      </c>
      <c r="D10" s="366">
        <f>SUM(D6:D9)</f>
        <v>0</v>
      </c>
      <c r="E10" s="366">
        <f>SUM(E6:E9)</f>
        <v>0</v>
      </c>
      <c r="F10" s="367">
        <f>SUM(F6:F9)</f>
        <v>0</v>
      </c>
      <c r="Y10" t="s">
        <v>6431</v>
      </c>
      <c r="Z10" t="s">
        <v>477</v>
      </c>
    </row>
    <row r="11" spans="1:26">
      <c r="A11" s="368" t="s">
        <v>6817</v>
      </c>
      <c r="Y11" t="s">
        <v>6432</v>
      </c>
      <c r="Z11" t="s">
        <v>477</v>
      </c>
    </row>
    <row r="12" spans="1:26">
      <c r="Y12" t="s">
        <v>6433</v>
      </c>
      <c r="Z12" t="s">
        <v>477</v>
      </c>
    </row>
    <row r="13" spans="1:26">
      <c r="A13" s="363" t="s">
        <v>6824</v>
      </c>
      <c r="Y13" t="s">
        <v>6435</v>
      </c>
      <c r="Z13" t="s">
        <v>477</v>
      </c>
    </row>
    <row r="14" spans="1:26">
      <c r="A14" s="333" t="s">
        <v>665</v>
      </c>
      <c r="B14" s="333" t="s">
        <v>6751</v>
      </c>
      <c r="C14" s="333" t="s">
        <v>6753</v>
      </c>
      <c r="D14" s="333" t="s">
        <v>6750</v>
      </c>
      <c r="E14" s="333" t="s">
        <v>6752</v>
      </c>
      <c r="F14" s="333" t="s">
        <v>6825</v>
      </c>
      <c r="Y14" t="s">
        <v>6495</v>
      </c>
      <c r="Z14" t="s">
        <v>477</v>
      </c>
    </row>
    <row r="15" spans="1:26">
      <c r="A15" s="295" t="s">
        <v>2733</v>
      </c>
      <c r="B15" s="370" cm="1">
        <f t="array" ref="B15">SUMPRODUCT((IFERROR(VLOOKUP('WBS(基本設計)'!$E$7:$E$106,$Y$3:$Z$42,2,FALSE),"横断")="横断")*('WBS(基本設計)'!$K$7:$K$106="基盤")*(NOT(ISNUMBER(SEARCH("（不採用）",'WBS(基本設計)'!$O$7:$O$106))))*'WBS(基本設計)'!$J$7:$J$106)</f>
        <v>0</v>
      </c>
      <c r="C15" s="370" cm="1">
        <f t="array" ref="C15">SUMPRODUCT((IFERROR(VLOOKUP('WBS(基本設計)'!$E$7:$E$106,$Y$3:$Z$42,2,FALSE),"横断")="横断")*('WBS(基本設計)'!$K$7:$K$106="基盤（縮小）")*(NOT(ISNUMBER(SEARCH("（不採用）",'WBS(基本設計)'!$O$7:$O$106))))*'WBS(基本設計)'!$J$7:$J$106)</f>
        <v>0</v>
      </c>
      <c r="D15" s="370" cm="1">
        <f t="array" ref="D15">SUMPRODUCT((IFERROR(VLOOKUP('WBS(基本設計)'!$E$7:$E$106,$Y$3:$Z$42,2,FALSE),"横断")="横断")*('WBS(基本設計)'!$K$7:$K$106="アプリ移管")*(NOT(ISNUMBER(SEARCH("（不採用）",'WBS(基本設計)'!$O$7:$O$106))))*'WBS(基本設計)'!$J$7:$J$106)</f>
        <v>0</v>
      </c>
      <c r="E15" s="370" cm="1">
        <f t="array" ref="E15">SUMPRODUCT((IFERROR(VLOOKUP('WBS(基本設計)'!$E$7:$E$106,$Y$3:$Z$42,2,FALSE),"横断")="横断")*('WBS(基本設計)'!$K$7:$K$106="追加移管候補")*(NOT(ISNUMBER(SEARCH("（不採用）",'WBS(基本設計)'!$O$7:$O$106))))*'WBS(基本設計)'!$J$7:$J$106)</f>
        <v>0</v>
      </c>
      <c r="F15" s="370">
        <f t="shared" ref="F15:F21" si="0">SUM(B15:E15)</f>
        <v>0</v>
      </c>
      <c r="Y15" t="s">
        <v>6497</v>
      </c>
      <c r="Z15" t="s">
        <v>477</v>
      </c>
    </row>
    <row r="16" spans="1:26">
      <c r="A16" s="295" t="s">
        <v>6819</v>
      </c>
      <c r="B16" s="370" cm="1">
        <f t="array" ref="B16">SUMPRODUCT((IFERROR(VLOOKUP('WBS(基本設計)'!$E$7:$E$106,$Y$3:$Z$42,2,FALSE),"横断")=$A16)*('WBS(基本設計)'!$K$7:$K$106="基盤")*(NOT(ISNUMBER(SEARCH("（不採用）",'WBS(基本設計)'!$O$7:$O$106))))*'WBS(基本設計)'!$J$7:$J$106)</f>
        <v>0</v>
      </c>
      <c r="C16" s="370" cm="1">
        <f t="array" ref="C16">SUMPRODUCT((IFERROR(VLOOKUP('WBS(基本設計)'!$E$7:$E$106,$Y$3:$Z$42,2,FALSE),"横断")=$A16)*('WBS(基本設計)'!$K$7:$K$106="基盤（縮小）")*(NOT(ISNUMBER(SEARCH("（不採用）",'WBS(基本設計)'!$O$7:$O$106))))*'WBS(基本設計)'!$J$7:$J$106)</f>
        <v>0</v>
      </c>
      <c r="D16" s="370" cm="1">
        <f t="array" ref="D16">SUMPRODUCT((IFERROR(VLOOKUP('WBS(基本設計)'!$E$7:$E$106,$Y$3:$Z$42,2,FALSE),"横断")=$A16)*('WBS(基本設計)'!$K$7:$K$106="アプリ移管")*(NOT(ISNUMBER(SEARCH("（不採用）",'WBS(基本設計)'!$O$7:$O$106))))*'WBS(基本設計)'!$J$7:$J$106)</f>
        <v>0</v>
      </c>
      <c r="E16" s="370" cm="1">
        <f t="array" ref="E16">SUMPRODUCT((IFERROR(VLOOKUP('WBS(基本設計)'!$E$7:$E$106,$Y$3:$Z$42,2,FALSE),"横断")=$A16)*('WBS(基本設計)'!$K$7:$K$106="追加移管候補")*(NOT(ISNUMBER(SEARCH("（不採用）",'WBS(基本設計)'!$O$7:$O$106))))*'WBS(基本設計)'!$J$7:$J$106)</f>
        <v>0</v>
      </c>
      <c r="F16" s="370">
        <f t="shared" si="0"/>
        <v>0</v>
      </c>
      <c r="Y16" t="s">
        <v>6436</v>
      </c>
      <c r="Z16" t="s">
        <v>6820</v>
      </c>
    </row>
    <row r="17" spans="1:26">
      <c r="A17" s="295" t="s">
        <v>477</v>
      </c>
      <c r="B17" s="370" cm="1">
        <f t="array" ref="B17">SUMPRODUCT((IFERROR(VLOOKUP('WBS(基本設計)'!$E$7:$E$106,$Y$3:$Z$42,2,FALSE),"横断")=$A17)*('WBS(基本設計)'!$K$7:$K$106="基盤")*(NOT(ISNUMBER(SEARCH("（不採用）",'WBS(基本設計)'!$O$7:$O$106))))*'WBS(基本設計)'!$J$7:$J$106)</f>
        <v>0</v>
      </c>
      <c r="C17" s="370" cm="1">
        <f t="array" ref="C17">SUMPRODUCT((IFERROR(VLOOKUP('WBS(基本設計)'!$E$7:$E$106,$Y$3:$Z$42,2,FALSE),"横断")=$A17)*('WBS(基本設計)'!$K$7:$K$106="基盤（縮小）")*(NOT(ISNUMBER(SEARCH("（不採用）",'WBS(基本設計)'!$O$7:$O$106))))*'WBS(基本設計)'!$J$7:$J$106)</f>
        <v>0</v>
      </c>
      <c r="D17" s="370" cm="1">
        <f t="array" ref="D17">SUMPRODUCT((IFERROR(VLOOKUP('WBS(基本設計)'!$E$7:$E$106,$Y$3:$Z$42,2,FALSE),"横断")=$A17)*('WBS(基本設計)'!$K$7:$K$106="アプリ移管")*(NOT(ISNUMBER(SEARCH("（不採用）",'WBS(基本設計)'!$O$7:$O$106))))*'WBS(基本設計)'!$J$7:$J$106)</f>
        <v>0</v>
      </c>
      <c r="E17" s="370" cm="1">
        <f t="array" ref="E17">SUMPRODUCT((IFERROR(VLOOKUP('WBS(基本設計)'!$E$7:$E$106,$Y$3:$Z$42,2,FALSE),"横断")=$A17)*('WBS(基本設計)'!$K$7:$K$106="追加移管候補")*(NOT(ISNUMBER(SEARCH("（不採用）",'WBS(基本設計)'!$O$7:$O$106))))*'WBS(基本設計)'!$J$7:$J$106)</f>
        <v>0</v>
      </c>
      <c r="F17" s="370">
        <f t="shared" si="0"/>
        <v>0</v>
      </c>
      <c r="Y17" t="s">
        <v>6437</v>
      </c>
      <c r="Z17" t="s">
        <v>6820</v>
      </c>
    </row>
    <row r="18" spans="1:26">
      <c r="A18" s="295" t="s">
        <v>6820</v>
      </c>
      <c r="B18" s="370" cm="1">
        <f t="array" ref="B18">SUMPRODUCT((IFERROR(VLOOKUP('WBS(基本設計)'!$E$7:$E$106,$Y$3:$Z$42,2,FALSE),"横断")=$A18)*('WBS(基本設計)'!$K$7:$K$106="基盤")*(NOT(ISNUMBER(SEARCH("（不採用）",'WBS(基本設計)'!$O$7:$O$106))))*'WBS(基本設計)'!$J$7:$J$106)</f>
        <v>0</v>
      </c>
      <c r="C18" s="370" cm="1">
        <f t="array" ref="C18">SUMPRODUCT((IFERROR(VLOOKUP('WBS(基本設計)'!$E$7:$E$106,$Y$3:$Z$42,2,FALSE),"横断")=$A18)*('WBS(基本設計)'!$K$7:$K$106="基盤（縮小）")*(NOT(ISNUMBER(SEARCH("（不採用）",'WBS(基本設計)'!$O$7:$O$106))))*'WBS(基本設計)'!$J$7:$J$106)</f>
        <v>0</v>
      </c>
      <c r="D18" s="370" cm="1">
        <f t="array" ref="D18">SUMPRODUCT((IFERROR(VLOOKUP('WBS(基本設計)'!$E$7:$E$106,$Y$3:$Z$42,2,FALSE),"横断")=$A18)*('WBS(基本設計)'!$K$7:$K$106="アプリ移管")*(NOT(ISNUMBER(SEARCH("（不採用）",'WBS(基本設計)'!$O$7:$O$106))))*'WBS(基本設計)'!$J$7:$J$106)</f>
        <v>0</v>
      </c>
      <c r="E18" s="370" cm="1">
        <f t="array" ref="E18">SUMPRODUCT((IFERROR(VLOOKUP('WBS(基本設計)'!$E$7:$E$106,$Y$3:$Z$42,2,FALSE),"横断")=$A18)*('WBS(基本設計)'!$K$7:$K$106="追加移管候補")*(NOT(ISNUMBER(SEARCH("（不採用）",'WBS(基本設計)'!$O$7:$O$106))))*'WBS(基本設計)'!$J$7:$J$106)</f>
        <v>0</v>
      </c>
      <c r="F18" s="370">
        <f t="shared" si="0"/>
        <v>0</v>
      </c>
      <c r="Y18" t="s">
        <v>6438</v>
      </c>
      <c r="Z18" t="s">
        <v>6820</v>
      </c>
    </row>
    <row r="19" spans="1:26">
      <c r="A19" s="295" t="s">
        <v>6821</v>
      </c>
      <c r="B19" s="370" cm="1">
        <f t="array" ref="B19">SUMPRODUCT((IFERROR(VLOOKUP('WBS(基本設計)'!$E$7:$E$106,$Y$3:$Z$42,2,FALSE),"横断")=$A19)*('WBS(基本設計)'!$K$7:$K$106="基盤")*(NOT(ISNUMBER(SEARCH("（不採用）",'WBS(基本設計)'!$O$7:$O$106))))*'WBS(基本設計)'!$J$7:$J$106)</f>
        <v>0</v>
      </c>
      <c r="C19" s="370" cm="1">
        <f t="array" ref="C19">SUMPRODUCT((IFERROR(VLOOKUP('WBS(基本設計)'!$E$7:$E$106,$Y$3:$Z$42,2,FALSE),"横断")=$A19)*('WBS(基本設計)'!$K$7:$K$106="基盤（縮小）")*(NOT(ISNUMBER(SEARCH("（不採用）",'WBS(基本設計)'!$O$7:$O$106))))*'WBS(基本設計)'!$J$7:$J$106)</f>
        <v>0</v>
      </c>
      <c r="D19" s="370" cm="1">
        <f t="array" ref="D19">SUMPRODUCT((IFERROR(VLOOKUP('WBS(基本設計)'!$E$7:$E$106,$Y$3:$Z$42,2,FALSE),"横断")=$A19)*('WBS(基本設計)'!$K$7:$K$106="アプリ移管")*(NOT(ISNUMBER(SEARCH("（不採用）",'WBS(基本設計)'!$O$7:$O$106))))*'WBS(基本設計)'!$J$7:$J$106)</f>
        <v>0</v>
      </c>
      <c r="E19" s="370" cm="1">
        <f t="array" ref="E19">SUMPRODUCT((IFERROR(VLOOKUP('WBS(基本設計)'!$E$7:$E$106,$Y$3:$Z$42,2,FALSE),"横断")=$A19)*('WBS(基本設計)'!$K$7:$K$106="追加移管候補")*(NOT(ISNUMBER(SEARCH("（不採用）",'WBS(基本設計)'!$O$7:$O$106))))*'WBS(基本設計)'!$J$7:$J$106)</f>
        <v>0</v>
      </c>
      <c r="F19" s="370">
        <f t="shared" si="0"/>
        <v>0</v>
      </c>
      <c r="Y19" t="s">
        <v>6439</v>
      </c>
      <c r="Z19" t="s">
        <v>6820</v>
      </c>
    </row>
    <row r="20" spans="1:26">
      <c r="A20" s="295" t="s">
        <v>6822</v>
      </c>
      <c r="B20" s="370" cm="1">
        <f t="array" ref="B20">SUMPRODUCT((IFERROR(VLOOKUP('WBS(基本設計)'!$E$7:$E$106,$Y$3:$Z$42,2,FALSE),"横断")=$A20)*('WBS(基本設計)'!$K$7:$K$106="基盤")*(NOT(ISNUMBER(SEARCH("（不採用）",'WBS(基本設計)'!$O$7:$O$106))))*'WBS(基本設計)'!$J$7:$J$106)</f>
        <v>0</v>
      </c>
      <c r="C20" s="370" cm="1">
        <f t="array" ref="C20">SUMPRODUCT((IFERROR(VLOOKUP('WBS(基本設計)'!$E$7:$E$106,$Y$3:$Z$42,2,FALSE),"横断")=$A20)*('WBS(基本設計)'!$K$7:$K$106="基盤（縮小）")*(NOT(ISNUMBER(SEARCH("（不採用）",'WBS(基本設計)'!$O$7:$O$106))))*'WBS(基本設計)'!$J$7:$J$106)</f>
        <v>0</v>
      </c>
      <c r="D20" s="370" cm="1">
        <f t="array" ref="D20">SUMPRODUCT((IFERROR(VLOOKUP('WBS(基本設計)'!$E$7:$E$106,$Y$3:$Z$42,2,FALSE),"横断")=$A20)*('WBS(基本設計)'!$K$7:$K$106="アプリ移管")*(NOT(ISNUMBER(SEARCH("（不採用）",'WBS(基本設計)'!$O$7:$O$106))))*'WBS(基本設計)'!$J$7:$J$106)</f>
        <v>0</v>
      </c>
      <c r="E20" s="370" cm="1">
        <f t="array" ref="E20">SUMPRODUCT((IFERROR(VLOOKUP('WBS(基本設計)'!$E$7:$E$106,$Y$3:$Z$42,2,FALSE),"横断")=$A20)*('WBS(基本設計)'!$K$7:$K$106="追加移管候補")*(NOT(ISNUMBER(SEARCH("（不採用）",'WBS(基本設計)'!$O$7:$O$106))))*'WBS(基本設計)'!$J$7:$J$106)</f>
        <v>0</v>
      </c>
      <c r="F20" s="370">
        <f t="shared" si="0"/>
        <v>0</v>
      </c>
      <c r="Y20" t="s">
        <v>6442</v>
      </c>
      <c r="Z20" t="s">
        <v>6820</v>
      </c>
    </row>
    <row r="21" spans="1:26">
      <c r="A21" s="295" t="s">
        <v>6823</v>
      </c>
      <c r="B21" s="370" cm="1">
        <f t="array" ref="B21">SUMPRODUCT((IFERROR(VLOOKUP('WBS(基本設計)'!$E$7:$E$106,$Y$3:$Z$42,2,FALSE),"横断")=$A21)*('WBS(基本設計)'!$K$7:$K$106="基盤")*(NOT(ISNUMBER(SEARCH("（不採用）",'WBS(基本設計)'!$O$7:$O$106))))*'WBS(基本設計)'!$J$7:$J$106)</f>
        <v>0</v>
      </c>
      <c r="C21" s="370" cm="1">
        <f t="array" ref="C21">SUMPRODUCT((IFERROR(VLOOKUP('WBS(基本設計)'!$E$7:$E$106,$Y$3:$Z$42,2,FALSE),"横断")=$A21)*('WBS(基本設計)'!$K$7:$K$106="基盤（縮小）")*(NOT(ISNUMBER(SEARCH("（不採用）",'WBS(基本設計)'!$O$7:$O$106))))*'WBS(基本設計)'!$J$7:$J$106)</f>
        <v>0</v>
      </c>
      <c r="D21" s="370" cm="1">
        <f t="array" ref="D21">SUMPRODUCT((IFERROR(VLOOKUP('WBS(基本設計)'!$E$7:$E$106,$Y$3:$Z$42,2,FALSE),"横断")=$A21)*('WBS(基本設計)'!$K$7:$K$106="アプリ移管")*(NOT(ISNUMBER(SEARCH("（不採用）",'WBS(基本設計)'!$O$7:$O$106))))*'WBS(基本設計)'!$J$7:$J$106)</f>
        <v>0</v>
      </c>
      <c r="E21" s="370" cm="1">
        <f t="array" ref="E21">SUMPRODUCT((IFERROR(VLOOKUP('WBS(基本設計)'!$E$7:$E$106,$Y$3:$Z$42,2,FALSE),"横断")=$A21)*('WBS(基本設計)'!$K$7:$K$106="追加移管候補")*(NOT(ISNUMBER(SEARCH("（不採用）",'WBS(基本設計)'!$O$7:$O$106))))*'WBS(基本設計)'!$J$7:$J$106)</f>
        <v>0</v>
      </c>
      <c r="F21" s="370">
        <f t="shared" si="0"/>
        <v>0</v>
      </c>
      <c r="Y21" t="s">
        <v>6443</v>
      </c>
      <c r="Z21" t="s">
        <v>6820</v>
      </c>
    </row>
    <row r="22" spans="1:26">
      <c r="A22" s="371" t="s">
        <v>7</v>
      </c>
      <c r="B22" s="372">
        <f>SUM(B15:B21)</f>
        <v>0</v>
      </c>
      <c r="C22" s="372">
        <f>SUM(C15:C21)</f>
        <v>0</v>
      </c>
      <c r="D22" s="372">
        <f>SUM(D15:D21)</f>
        <v>0</v>
      </c>
      <c r="E22" s="372">
        <f>SUM(E15:E21)</f>
        <v>0</v>
      </c>
      <c r="F22" s="372">
        <f>SUM(F15:F21)</f>
        <v>0</v>
      </c>
      <c r="Y22" t="s">
        <v>6486</v>
      </c>
      <c r="Z22" t="s">
        <v>6820</v>
      </c>
    </row>
    <row r="23" spans="1:26">
      <c r="A23" s="368" t="s">
        <v>6826</v>
      </c>
      <c r="Y23" t="s">
        <v>6491</v>
      </c>
      <c r="Z23" t="s">
        <v>6820</v>
      </c>
    </row>
    <row r="24" spans="1:26">
      <c r="Y24" t="s">
        <v>6445</v>
      </c>
      <c r="Z24" t="s">
        <v>6821</v>
      </c>
    </row>
    <row r="25" spans="1:26">
      <c r="A25" s="363" t="s">
        <v>6827</v>
      </c>
      <c r="Y25" t="s">
        <v>6446</v>
      </c>
      <c r="Z25" t="s">
        <v>6821</v>
      </c>
    </row>
    <row r="26" spans="1:26">
      <c r="A26" s="333" t="s">
        <v>665</v>
      </c>
      <c r="B26" s="333" t="s">
        <v>6420</v>
      </c>
      <c r="C26" s="333" t="s">
        <v>6828</v>
      </c>
      <c r="D26" s="333" t="s">
        <v>2521</v>
      </c>
      <c r="E26" s="333" t="s">
        <v>6829</v>
      </c>
      <c r="F26" s="333" t="s">
        <v>6830</v>
      </c>
      <c r="G26" s="333" t="s">
        <v>6811</v>
      </c>
      <c r="Y26" t="s">
        <v>6447</v>
      </c>
      <c r="Z26" t="s">
        <v>6821</v>
      </c>
    </row>
    <row r="27" spans="1:26">
      <c r="A27" s="295" t="str">
        <f t="shared" ref="A27:A57" si="1">IFERROR(VLOOKUP($B27,$Y$3:$Z$42,2,FALSE),"横断")</f>
        <v>認証</v>
      </c>
      <c r="B27" s="295" t="s">
        <v>6424</v>
      </c>
      <c r="C27" s="370" cm="1">
        <f t="array" ref="C27">SUMPRODUCT(('WBS(基本設計)'!$E$7:$E$106=$B27)*(NOT(ISNUMBER(SEARCH("（不採用）",'WBS(基本設計)'!$O$7:$O$106))))*('WBS(基本設計)'!$A$7:$A$106&lt;&gt;""))</f>
        <v>0</v>
      </c>
      <c r="D27" s="370" cm="1">
        <f t="array" ref="D27">SUMPRODUCT(('WBS(基本設計)'!$E$7:$E$106=$B27)*(NOT(ISNUMBER(SEARCH("（不採用）",'WBS(基本設計)'!$O$7:$O$106))))*'WBS(基本設計)'!$J$7:$J$106)</f>
        <v>0</v>
      </c>
      <c r="E27" s="370" cm="1">
        <f t="array" ref="E27">SUMPRODUCT(('WBS(基本設計)'!$E$7:$E$106=$B27)*(LEFT('WBS(基本設計)'!$K$7:$K$106,2)="基盤")*(NOT(ISNUMBER(SEARCH("（不採用）",'WBS(基本設計)'!$O$7:$O$106))))*'WBS(基本設計)'!$J$7:$J$106)</f>
        <v>0</v>
      </c>
      <c r="F27" s="370" cm="1">
        <f t="array" ref="F27">SUMPRODUCT(('WBS(基本設計)'!$E$7:$E$106=$B27)*('WBS(基本設計)'!$K$7:$K$106="アプリ移管")*(NOT(ISNUMBER(SEARCH("（不採用）",'WBS(基本設計)'!$O$7:$O$106))))*'WBS(基本設計)'!$J$7:$J$106)</f>
        <v>0</v>
      </c>
      <c r="G27" s="295" t="str">
        <f t="shared" ref="G27:G58" si="2">IF($D27=0,"—",IF($F27=0,"基盤",IF($E27=0,"アプリ移管","混在")))</f>
        <v>—</v>
      </c>
      <c r="Y27" t="s">
        <v>6448</v>
      </c>
      <c r="Z27" t="s">
        <v>6821</v>
      </c>
    </row>
    <row r="28" spans="1:26">
      <c r="A28" s="295" t="str">
        <f t="shared" si="1"/>
        <v>管理</v>
      </c>
      <c r="B28" s="295" t="s">
        <v>6443</v>
      </c>
      <c r="C28" s="370" cm="1">
        <f t="array" ref="C28">SUMPRODUCT(('WBS(基本設計)'!$E$7:$E$106=$B28)*(NOT(ISNUMBER(SEARCH("（不採用）",'WBS(基本設計)'!$O$7:$O$106))))*('WBS(基本設計)'!$A$7:$A$106&lt;&gt;""))</f>
        <v>0</v>
      </c>
      <c r="D28" s="370" cm="1">
        <f t="array" ref="D28">SUMPRODUCT(('WBS(基本設計)'!$E$7:$E$106=$B28)*(NOT(ISNUMBER(SEARCH("（不採用）",'WBS(基本設計)'!$O$7:$O$106))))*'WBS(基本設計)'!$J$7:$J$106)</f>
        <v>0</v>
      </c>
      <c r="E28" s="370" cm="1">
        <f t="array" ref="E28">SUMPRODUCT(('WBS(基本設計)'!$E$7:$E$106=$B28)*(LEFT('WBS(基本設計)'!$K$7:$K$106,2)="基盤")*(NOT(ISNUMBER(SEARCH("（不採用）",'WBS(基本設計)'!$O$7:$O$106))))*'WBS(基本設計)'!$J$7:$J$106)</f>
        <v>0</v>
      </c>
      <c r="F28" s="370" cm="1">
        <f t="array" ref="F28">SUMPRODUCT(('WBS(基本設計)'!$E$7:$E$106=$B28)*('WBS(基本設計)'!$K$7:$K$106="アプリ移管")*(NOT(ISNUMBER(SEARCH("（不採用）",'WBS(基本設計)'!$O$7:$O$106))))*'WBS(基本設計)'!$J$7:$J$106)</f>
        <v>0</v>
      </c>
      <c r="G28" s="295" t="str">
        <f t="shared" si="2"/>
        <v>—</v>
      </c>
      <c r="Y28" t="s">
        <v>6451</v>
      </c>
      <c r="Z28" t="s">
        <v>6821</v>
      </c>
    </row>
    <row r="29" spans="1:26">
      <c r="A29" s="295" t="str">
        <f t="shared" si="1"/>
        <v>管理</v>
      </c>
      <c r="B29" s="295" t="s">
        <v>6438</v>
      </c>
      <c r="C29" s="370" cm="1">
        <f t="array" ref="C29">SUMPRODUCT(('WBS(基本設計)'!$E$7:$E$106=$B29)*(NOT(ISNUMBER(SEARCH("（不採用）",'WBS(基本設計)'!$O$7:$O$106))))*('WBS(基本設計)'!$A$7:$A$106&lt;&gt;""))</f>
        <v>1</v>
      </c>
      <c r="D29" s="370" cm="1">
        <f t="array" ref="D29">SUMPRODUCT(('WBS(基本設計)'!$E$7:$E$106=$B29)*(NOT(ISNUMBER(SEARCH("（不採用）",'WBS(基本設計)'!$O$7:$O$106))))*'WBS(基本設計)'!$J$7:$J$106)</f>
        <v>2</v>
      </c>
      <c r="E29" s="370" cm="1">
        <f t="array" ref="E29">SUMPRODUCT(('WBS(基本設計)'!$E$7:$E$106=$B29)*(LEFT('WBS(基本設計)'!$K$7:$K$106,2)="基盤")*(NOT(ISNUMBER(SEARCH("（不採用）",'WBS(基本設計)'!$O$7:$O$106))))*'WBS(基本設計)'!$J$7:$J$106)</f>
        <v>0</v>
      </c>
      <c r="F29" s="370" cm="1">
        <f t="array" ref="F29">SUMPRODUCT(('WBS(基本設計)'!$E$7:$E$106=$B29)*('WBS(基本設計)'!$K$7:$K$106="アプリ移管")*(NOT(ISNUMBER(SEARCH("（不採用）",'WBS(基本設計)'!$O$7:$O$106))))*'WBS(基本設計)'!$J$7:$J$106)</f>
        <v>0</v>
      </c>
      <c r="G29" s="295" t="str">
        <f t="shared" si="2"/>
        <v>基盤</v>
      </c>
      <c r="Y29" t="s">
        <v>6488</v>
      </c>
      <c r="Z29" t="s">
        <v>6821</v>
      </c>
    </row>
    <row r="30" spans="1:26">
      <c r="A30" s="295" t="str">
        <f t="shared" si="1"/>
        <v>管理</v>
      </c>
      <c r="B30" s="295" t="s">
        <v>6442</v>
      </c>
      <c r="C30" s="370" cm="1">
        <f t="array" ref="C30">SUMPRODUCT(('WBS(基本設計)'!$E$7:$E$106=$B30)*(NOT(ISNUMBER(SEARCH("（不採用）",'WBS(基本設計)'!$O$7:$O$106))))*('WBS(基本設計)'!$A$7:$A$106&lt;&gt;""))</f>
        <v>0</v>
      </c>
      <c r="D30" s="370" cm="1">
        <f t="array" ref="D30">SUMPRODUCT(('WBS(基本設計)'!$E$7:$E$106=$B30)*(NOT(ISNUMBER(SEARCH("（不採用）",'WBS(基本設計)'!$O$7:$O$106))))*'WBS(基本設計)'!$J$7:$J$106)</f>
        <v>0</v>
      </c>
      <c r="E30" s="370" cm="1">
        <f t="array" ref="E30">SUMPRODUCT(('WBS(基本設計)'!$E$7:$E$106=$B30)*(LEFT('WBS(基本設計)'!$K$7:$K$106,2)="基盤")*(NOT(ISNUMBER(SEARCH("（不採用）",'WBS(基本設計)'!$O$7:$O$106))))*'WBS(基本設計)'!$J$7:$J$106)</f>
        <v>0</v>
      </c>
      <c r="F30" s="370" cm="1">
        <f t="array" ref="F30">SUMPRODUCT(('WBS(基本設計)'!$E$7:$E$106=$B30)*('WBS(基本設計)'!$K$7:$K$106="アプリ移管")*(NOT(ISNUMBER(SEARCH("（不採用）",'WBS(基本設計)'!$O$7:$O$106))))*'WBS(基本設計)'!$J$7:$J$106)</f>
        <v>0</v>
      </c>
      <c r="G30" s="295" t="str">
        <f t="shared" si="2"/>
        <v>—</v>
      </c>
      <c r="Y30" t="s">
        <v>6452</v>
      </c>
      <c r="Z30" t="s">
        <v>6822</v>
      </c>
    </row>
    <row r="31" spans="1:26">
      <c r="A31" s="295" t="str">
        <f t="shared" si="1"/>
        <v>認可</v>
      </c>
      <c r="B31" s="295" t="s">
        <v>6447</v>
      </c>
      <c r="C31" s="370" cm="1">
        <f t="array" ref="C31">SUMPRODUCT(('WBS(基本設計)'!$E$7:$E$106=$B31)*(NOT(ISNUMBER(SEARCH("（不採用）",'WBS(基本設計)'!$O$7:$O$106))))*('WBS(基本設計)'!$A$7:$A$106&lt;&gt;""))</f>
        <v>0</v>
      </c>
      <c r="D31" s="370" cm="1">
        <f t="array" ref="D31">SUMPRODUCT(('WBS(基本設計)'!$E$7:$E$106=$B31)*(NOT(ISNUMBER(SEARCH("（不採用）",'WBS(基本設計)'!$O$7:$O$106))))*'WBS(基本設計)'!$J$7:$J$106)</f>
        <v>0</v>
      </c>
      <c r="E31" s="370" cm="1">
        <f t="array" ref="E31">SUMPRODUCT(('WBS(基本設計)'!$E$7:$E$106=$B31)*(LEFT('WBS(基本設計)'!$K$7:$K$106,2)="基盤")*(NOT(ISNUMBER(SEARCH("（不採用）",'WBS(基本設計)'!$O$7:$O$106))))*'WBS(基本設計)'!$J$7:$J$106)</f>
        <v>0</v>
      </c>
      <c r="F31" s="370" cm="1">
        <f t="array" ref="F31">SUMPRODUCT(('WBS(基本設計)'!$E$7:$E$106=$B31)*('WBS(基本設計)'!$K$7:$K$106="アプリ移管")*(NOT(ISNUMBER(SEARCH("（不採用）",'WBS(基本設計)'!$O$7:$O$106))))*'WBS(基本設計)'!$J$7:$J$106)</f>
        <v>0</v>
      </c>
      <c r="G31" s="295" t="str">
        <f t="shared" si="2"/>
        <v>—</v>
      </c>
      <c r="Y31" t="s">
        <v>6453</v>
      </c>
      <c r="Z31" t="s">
        <v>6822</v>
      </c>
    </row>
    <row r="32" spans="1:26">
      <c r="A32" s="295" t="str">
        <f t="shared" si="1"/>
        <v>認証</v>
      </c>
      <c r="B32" s="295" t="s">
        <v>6423</v>
      </c>
      <c r="C32" s="370" cm="1">
        <f t="array" ref="C32">SUMPRODUCT(('WBS(基本設計)'!$E$7:$E$106=$B32)*(NOT(ISNUMBER(SEARCH("（不採用）",'WBS(基本設計)'!$O$7:$O$106))))*('WBS(基本設計)'!$A$7:$A$106&lt;&gt;""))</f>
        <v>0</v>
      </c>
      <c r="D32" s="370" cm="1">
        <f t="array" ref="D32">SUMPRODUCT(('WBS(基本設計)'!$E$7:$E$106=$B32)*(NOT(ISNUMBER(SEARCH("（不採用）",'WBS(基本設計)'!$O$7:$O$106))))*'WBS(基本設計)'!$J$7:$J$106)</f>
        <v>0</v>
      </c>
      <c r="E32" s="370" cm="1">
        <f t="array" ref="E32">SUMPRODUCT(('WBS(基本設計)'!$E$7:$E$106=$B32)*(LEFT('WBS(基本設計)'!$K$7:$K$106,2)="基盤")*(NOT(ISNUMBER(SEARCH("（不採用）",'WBS(基本設計)'!$O$7:$O$106))))*'WBS(基本設計)'!$J$7:$J$106)</f>
        <v>0</v>
      </c>
      <c r="F32" s="370" cm="1">
        <f t="array" ref="F32">SUMPRODUCT(('WBS(基本設計)'!$E$7:$E$106=$B32)*('WBS(基本設計)'!$K$7:$K$106="アプリ移管")*(NOT(ISNUMBER(SEARCH("（不採用）",'WBS(基本設計)'!$O$7:$O$106))))*'WBS(基本設計)'!$J$7:$J$106)</f>
        <v>0</v>
      </c>
      <c r="G32" s="295" t="str">
        <f t="shared" si="2"/>
        <v>—</v>
      </c>
      <c r="Y32" t="s">
        <v>6454</v>
      </c>
      <c r="Z32" t="s">
        <v>6822</v>
      </c>
    </row>
    <row r="33" spans="1:26">
      <c r="A33" s="295" t="str">
        <f t="shared" si="1"/>
        <v>管理</v>
      </c>
      <c r="B33" s="295" t="s">
        <v>6436</v>
      </c>
      <c r="C33" s="370" cm="1">
        <f t="array" ref="C33">SUMPRODUCT(('WBS(基本設計)'!$E$7:$E$106=$B33)*(NOT(ISNUMBER(SEARCH("（不採用）",'WBS(基本設計)'!$O$7:$O$106))))*('WBS(基本設計)'!$A$7:$A$106&lt;&gt;""))</f>
        <v>0</v>
      </c>
      <c r="D33" s="370" cm="1">
        <f t="array" ref="D33">SUMPRODUCT(('WBS(基本設計)'!$E$7:$E$106=$B33)*(NOT(ISNUMBER(SEARCH("（不採用）",'WBS(基本設計)'!$O$7:$O$106))))*'WBS(基本設計)'!$J$7:$J$106)</f>
        <v>0</v>
      </c>
      <c r="E33" s="370" cm="1">
        <f t="array" ref="E33">SUMPRODUCT(('WBS(基本設計)'!$E$7:$E$106=$B33)*(LEFT('WBS(基本設計)'!$K$7:$K$106,2)="基盤")*(NOT(ISNUMBER(SEARCH("（不採用）",'WBS(基本設計)'!$O$7:$O$106))))*'WBS(基本設計)'!$J$7:$J$106)</f>
        <v>0</v>
      </c>
      <c r="F33" s="370" cm="1">
        <f t="array" ref="F33">SUMPRODUCT(('WBS(基本設計)'!$E$7:$E$106=$B33)*('WBS(基本設計)'!$K$7:$K$106="アプリ移管")*(NOT(ISNUMBER(SEARCH("（不採用）",'WBS(基本設計)'!$O$7:$O$106))))*'WBS(基本設計)'!$J$7:$J$106)</f>
        <v>0</v>
      </c>
      <c r="G33" s="295" t="str">
        <f t="shared" si="2"/>
        <v>—</v>
      </c>
      <c r="Y33" t="s">
        <v>6456</v>
      </c>
      <c r="Z33" t="s">
        <v>6822</v>
      </c>
    </row>
    <row r="34" spans="1:26">
      <c r="A34" s="295" t="str">
        <f t="shared" si="1"/>
        <v>プロビジョニング</v>
      </c>
      <c r="B34" s="295" t="s">
        <v>6432</v>
      </c>
      <c r="C34" s="370" cm="1">
        <f t="array" ref="C34">SUMPRODUCT(('WBS(基本設計)'!$E$7:$E$106=$B34)*(NOT(ISNUMBER(SEARCH("（不採用）",'WBS(基本設計)'!$O$7:$O$106))))*('WBS(基本設計)'!$A$7:$A$106&lt;&gt;""))</f>
        <v>0</v>
      </c>
      <c r="D34" s="370" cm="1">
        <f t="array" ref="D34">SUMPRODUCT(('WBS(基本設計)'!$E$7:$E$106=$B34)*(NOT(ISNUMBER(SEARCH("（不採用）",'WBS(基本設計)'!$O$7:$O$106))))*'WBS(基本設計)'!$J$7:$J$106)</f>
        <v>0</v>
      </c>
      <c r="E34" s="370" cm="1">
        <f t="array" ref="E34">SUMPRODUCT(('WBS(基本設計)'!$E$7:$E$106=$B34)*(LEFT('WBS(基本設計)'!$K$7:$K$106,2)="基盤")*(NOT(ISNUMBER(SEARCH("（不採用）",'WBS(基本設計)'!$O$7:$O$106))))*'WBS(基本設計)'!$J$7:$J$106)</f>
        <v>0</v>
      </c>
      <c r="F34" s="370" cm="1">
        <f t="array" ref="F34">SUMPRODUCT(('WBS(基本設計)'!$E$7:$E$106=$B34)*('WBS(基本設計)'!$K$7:$K$106="アプリ移管")*(NOT(ISNUMBER(SEARCH("（不採用）",'WBS(基本設計)'!$O$7:$O$106))))*'WBS(基本設計)'!$J$7:$J$106)</f>
        <v>0</v>
      </c>
      <c r="G34" s="295" t="str">
        <f t="shared" si="2"/>
        <v>—</v>
      </c>
      <c r="Y34" t="s">
        <v>6457</v>
      </c>
      <c r="Z34" t="s">
        <v>6822</v>
      </c>
    </row>
    <row r="35" spans="1:26">
      <c r="A35" s="295" t="str">
        <f t="shared" si="1"/>
        <v>認証</v>
      </c>
      <c r="B35" s="295" t="s">
        <v>6425</v>
      </c>
      <c r="C35" s="370" cm="1">
        <f t="array" ref="C35">SUMPRODUCT(('WBS(基本設計)'!$E$7:$E$106=$B35)*(NOT(ISNUMBER(SEARCH("（不採用）",'WBS(基本設計)'!$O$7:$O$106))))*('WBS(基本設計)'!$A$7:$A$106&lt;&gt;""))</f>
        <v>2</v>
      </c>
      <c r="D35" s="370" cm="1">
        <f t="array" ref="D35">SUMPRODUCT(('WBS(基本設計)'!$E$7:$E$106=$B35)*(NOT(ISNUMBER(SEARCH("（不採用）",'WBS(基本設計)'!$O$7:$O$106))))*'WBS(基本設計)'!$J$7:$J$106)</f>
        <v>1</v>
      </c>
      <c r="E35" s="370" cm="1">
        <f t="array" ref="E35">SUMPRODUCT(('WBS(基本設計)'!$E$7:$E$106=$B35)*(LEFT('WBS(基本設計)'!$K$7:$K$106,2)="基盤")*(NOT(ISNUMBER(SEARCH("（不採用）",'WBS(基本設計)'!$O$7:$O$106))))*'WBS(基本設計)'!$J$7:$J$106)</f>
        <v>1</v>
      </c>
      <c r="F35" s="370" cm="1">
        <f t="array" ref="F35">SUMPRODUCT(('WBS(基本設計)'!$E$7:$E$106=$B35)*('WBS(基本設計)'!$K$7:$K$106="アプリ移管")*(NOT(ISNUMBER(SEARCH("（不採用）",'WBS(基本設計)'!$O$7:$O$106))))*'WBS(基本設計)'!$J$7:$J$106)</f>
        <v>0</v>
      </c>
      <c r="G35" s="295" t="str">
        <f t="shared" si="2"/>
        <v>基盤</v>
      </c>
      <c r="Y35" t="s">
        <v>6494</v>
      </c>
      <c r="Z35" t="s">
        <v>6822</v>
      </c>
    </row>
    <row r="36" spans="1:26">
      <c r="A36" s="295" t="str">
        <f t="shared" si="1"/>
        <v>連携</v>
      </c>
      <c r="B36" s="295" t="s">
        <v>6456</v>
      </c>
      <c r="C36" s="370" cm="1">
        <f t="array" ref="C36">SUMPRODUCT(('WBS(基本設計)'!$E$7:$E$106=$B36)*(NOT(ISNUMBER(SEARCH("（不採用）",'WBS(基本設計)'!$O$7:$O$106))))*('WBS(基本設計)'!$A$7:$A$106&lt;&gt;""))</f>
        <v>0</v>
      </c>
      <c r="D36" s="370" cm="1">
        <f t="array" ref="D36">SUMPRODUCT(('WBS(基本設計)'!$E$7:$E$106=$B36)*(NOT(ISNUMBER(SEARCH("（不採用）",'WBS(基本設計)'!$O$7:$O$106))))*'WBS(基本設計)'!$J$7:$J$106)</f>
        <v>0</v>
      </c>
      <c r="E36" s="370" cm="1">
        <f t="array" ref="E36">SUMPRODUCT(('WBS(基本設計)'!$E$7:$E$106=$B36)*(LEFT('WBS(基本設計)'!$K$7:$K$106,2)="基盤")*(NOT(ISNUMBER(SEARCH("（不採用）",'WBS(基本設計)'!$O$7:$O$106))))*'WBS(基本設計)'!$J$7:$J$106)</f>
        <v>0</v>
      </c>
      <c r="F36" s="370" cm="1">
        <f t="array" ref="F36">SUMPRODUCT(('WBS(基本設計)'!$E$7:$E$106=$B36)*('WBS(基本設計)'!$K$7:$K$106="アプリ移管")*(NOT(ISNUMBER(SEARCH("（不採用）",'WBS(基本設計)'!$O$7:$O$106))))*'WBS(基本設計)'!$J$7:$J$106)</f>
        <v>0</v>
      </c>
      <c r="G36" s="295" t="str">
        <f t="shared" si="2"/>
        <v>—</v>
      </c>
      <c r="Y36" t="s">
        <v>6481</v>
      </c>
      <c r="Z36" t="s">
        <v>6823</v>
      </c>
    </row>
    <row r="37" spans="1:26">
      <c r="A37" s="295" t="str">
        <f t="shared" si="1"/>
        <v>認可</v>
      </c>
      <c r="B37" s="295" t="s">
        <v>6445</v>
      </c>
      <c r="C37" s="370" cm="1">
        <f t="array" ref="C37">SUMPRODUCT(('WBS(基本設計)'!$E$7:$E$106=$B37)*(NOT(ISNUMBER(SEARCH("（不採用）",'WBS(基本設計)'!$O$7:$O$106))))*('WBS(基本設計)'!$A$7:$A$106&lt;&gt;""))</f>
        <v>0</v>
      </c>
      <c r="D37" s="370" cm="1">
        <f t="array" ref="D37">SUMPRODUCT(('WBS(基本設計)'!$E$7:$E$106=$B37)*(NOT(ISNUMBER(SEARCH("（不採用）",'WBS(基本設計)'!$O$7:$O$106))))*'WBS(基本設計)'!$J$7:$J$106)</f>
        <v>0</v>
      </c>
      <c r="E37" s="370" cm="1">
        <f t="array" ref="E37">SUMPRODUCT(('WBS(基本設計)'!$E$7:$E$106=$B37)*(LEFT('WBS(基本設計)'!$K$7:$K$106,2)="基盤")*(NOT(ISNUMBER(SEARCH("（不採用）",'WBS(基本設計)'!$O$7:$O$106))))*'WBS(基本設計)'!$J$7:$J$106)</f>
        <v>0</v>
      </c>
      <c r="F37" s="370" cm="1">
        <f t="array" ref="F37">SUMPRODUCT(('WBS(基本設計)'!$E$7:$E$106=$B37)*('WBS(基本設計)'!$K$7:$K$106="アプリ移管")*(NOT(ISNUMBER(SEARCH("（不採用）",'WBS(基本設計)'!$O$7:$O$106))))*'WBS(基本設計)'!$J$7:$J$106)</f>
        <v>0</v>
      </c>
      <c r="G37" s="295" t="str">
        <f t="shared" si="2"/>
        <v>—</v>
      </c>
      <c r="Y37" t="s">
        <v>6458</v>
      </c>
      <c r="Z37" t="s">
        <v>6823</v>
      </c>
    </row>
    <row r="38" spans="1:26">
      <c r="A38" s="295" t="str">
        <f t="shared" si="1"/>
        <v>連携</v>
      </c>
      <c r="B38" s="295" t="s">
        <v>6453</v>
      </c>
      <c r="C38" s="370" cm="1">
        <f t="array" ref="C38">SUMPRODUCT(('WBS(基本設計)'!$E$7:$E$106=$B38)*(NOT(ISNUMBER(SEARCH("（不採用）",'WBS(基本設計)'!$O$7:$O$106))))*('WBS(基本設計)'!$A$7:$A$106&lt;&gt;""))</f>
        <v>0</v>
      </c>
      <c r="D38" s="370" cm="1">
        <f t="array" ref="D38">SUMPRODUCT(('WBS(基本設計)'!$E$7:$E$106=$B38)*(NOT(ISNUMBER(SEARCH("（不採用）",'WBS(基本設計)'!$O$7:$O$106))))*'WBS(基本設計)'!$J$7:$J$106)</f>
        <v>0</v>
      </c>
      <c r="E38" s="370" cm="1">
        <f t="array" ref="E38">SUMPRODUCT(('WBS(基本設計)'!$E$7:$E$106=$B38)*(LEFT('WBS(基本設計)'!$K$7:$K$106,2)="基盤")*(NOT(ISNUMBER(SEARCH("（不採用）",'WBS(基本設計)'!$O$7:$O$106))))*'WBS(基本設計)'!$J$7:$J$106)</f>
        <v>0</v>
      </c>
      <c r="F38" s="370" cm="1">
        <f t="array" ref="F38">SUMPRODUCT(('WBS(基本設計)'!$E$7:$E$106=$B38)*('WBS(基本設計)'!$K$7:$K$106="アプリ移管")*(NOT(ISNUMBER(SEARCH("（不採用）",'WBS(基本設計)'!$O$7:$O$106))))*'WBS(基本設計)'!$J$7:$J$106)</f>
        <v>0</v>
      </c>
      <c r="G38" s="295" t="str">
        <f t="shared" si="2"/>
        <v>—</v>
      </c>
      <c r="Y38" t="s">
        <v>6459</v>
      </c>
      <c r="Z38" t="s">
        <v>6823</v>
      </c>
    </row>
    <row r="39" spans="1:26">
      <c r="A39" s="295" t="str">
        <f t="shared" si="1"/>
        <v>管理</v>
      </c>
      <c r="B39" s="295" t="s">
        <v>6437</v>
      </c>
      <c r="C39" s="370" cm="1">
        <f t="array" ref="C39">SUMPRODUCT(('WBS(基本設計)'!$E$7:$E$106=$B39)*(NOT(ISNUMBER(SEARCH("（不採用）",'WBS(基本設計)'!$O$7:$O$106))))*('WBS(基本設計)'!$A$7:$A$106&lt;&gt;""))</f>
        <v>0</v>
      </c>
      <c r="D39" s="370" cm="1">
        <f t="array" ref="D39">SUMPRODUCT(('WBS(基本設計)'!$E$7:$E$106=$B39)*(NOT(ISNUMBER(SEARCH("（不採用）",'WBS(基本設計)'!$O$7:$O$106))))*'WBS(基本設計)'!$J$7:$J$106)</f>
        <v>0</v>
      </c>
      <c r="E39" s="370" cm="1">
        <f t="array" ref="E39">SUMPRODUCT(('WBS(基本設計)'!$E$7:$E$106=$B39)*(LEFT('WBS(基本設計)'!$K$7:$K$106,2)="基盤")*(NOT(ISNUMBER(SEARCH("（不採用）",'WBS(基本設計)'!$O$7:$O$106))))*'WBS(基本設計)'!$J$7:$J$106)</f>
        <v>0</v>
      </c>
      <c r="F39" s="370" cm="1">
        <f t="array" ref="F39">SUMPRODUCT(('WBS(基本設計)'!$E$7:$E$106=$B39)*('WBS(基本設計)'!$K$7:$K$106="アプリ移管")*(NOT(ISNUMBER(SEARCH("（不採用）",'WBS(基本設計)'!$O$7:$O$106))))*'WBS(基本設計)'!$J$7:$J$106)</f>
        <v>0</v>
      </c>
      <c r="G39" s="295" t="str">
        <f t="shared" si="2"/>
        <v>—</v>
      </c>
      <c r="Y39" t="s">
        <v>6460</v>
      </c>
      <c r="Z39" t="s">
        <v>6823</v>
      </c>
    </row>
    <row r="40" spans="1:26">
      <c r="A40" s="295" t="str">
        <f t="shared" si="1"/>
        <v>プロビジョニング</v>
      </c>
      <c r="B40" s="295" t="s">
        <v>6433</v>
      </c>
      <c r="C40" s="370" cm="1">
        <f t="array" ref="C40">SUMPRODUCT(('WBS(基本設計)'!$E$7:$E$106=$B40)*(NOT(ISNUMBER(SEARCH("（不採用）",'WBS(基本設計)'!$O$7:$O$106))))*('WBS(基本設計)'!$A$7:$A$106&lt;&gt;""))</f>
        <v>0</v>
      </c>
      <c r="D40" s="370" cm="1">
        <f t="array" ref="D40">SUMPRODUCT(('WBS(基本設計)'!$E$7:$E$106=$B40)*(NOT(ISNUMBER(SEARCH("（不採用）",'WBS(基本設計)'!$O$7:$O$106))))*'WBS(基本設計)'!$J$7:$J$106)</f>
        <v>0</v>
      </c>
      <c r="E40" s="370" cm="1">
        <f t="array" ref="E40">SUMPRODUCT(('WBS(基本設計)'!$E$7:$E$106=$B40)*(LEFT('WBS(基本設計)'!$K$7:$K$106,2)="基盤")*(NOT(ISNUMBER(SEARCH("（不採用）",'WBS(基本設計)'!$O$7:$O$106))))*'WBS(基本設計)'!$J$7:$J$106)</f>
        <v>0</v>
      </c>
      <c r="F40" s="370" cm="1">
        <f t="array" ref="F40">SUMPRODUCT(('WBS(基本設計)'!$E$7:$E$106=$B40)*('WBS(基本設計)'!$K$7:$K$106="アプリ移管")*(NOT(ISNUMBER(SEARCH("（不採用）",'WBS(基本設計)'!$O$7:$O$106))))*'WBS(基本設計)'!$J$7:$J$106)</f>
        <v>0</v>
      </c>
      <c r="G40" s="295" t="str">
        <f t="shared" si="2"/>
        <v>—</v>
      </c>
      <c r="Y40" t="s">
        <v>6461</v>
      </c>
      <c r="Z40" t="s">
        <v>6823</v>
      </c>
    </row>
    <row r="41" spans="1:26">
      <c r="A41" s="295" t="str">
        <f t="shared" si="1"/>
        <v>連携</v>
      </c>
      <c r="B41" s="295" t="s">
        <v>6452</v>
      </c>
      <c r="C41" s="370" cm="1">
        <f t="array" ref="C41">SUMPRODUCT(('WBS(基本設計)'!$E$7:$E$106=$B41)*(NOT(ISNUMBER(SEARCH("（不採用）",'WBS(基本設計)'!$O$7:$O$106))))*('WBS(基本設計)'!$A$7:$A$106&lt;&gt;""))</f>
        <v>0</v>
      </c>
      <c r="D41" s="370" cm="1">
        <f t="array" ref="D41">SUMPRODUCT(('WBS(基本設計)'!$E$7:$E$106=$B41)*(NOT(ISNUMBER(SEARCH("（不採用）",'WBS(基本設計)'!$O$7:$O$106))))*'WBS(基本設計)'!$J$7:$J$106)</f>
        <v>0</v>
      </c>
      <c r="E41" s="370" cm="1">
        <f t="array" ref="E41">SUMPRODUCT(('WBS(基本設計)'!$E$7:$E$106=$B41)*(LEFT('WBS(基本設計)'!$K$7:$K$106,2)="基盤")*(NOT(ISNUMBER(SEARCH("（不採用）",'WBS(基本設計)'!$O$7:$O$106))))*'WBS(基本設計)'!$J$7:$J$106)</f>
        <v>0</v>
      </c>
      <c r="F41" s="370" cm="1">
        <f t="array" ref="F41">SUMPRODUCT(('WBS(基本設計)'!$E$7:$E$106=$B41)*('WBS(基本設計)'!$K$7:$K$106="アプリ移管")*(NOT(ISNUMBER(SEARCH("（不採用）",'WBS(基本設計)'!$O$7:$O$106))))*'WBS(基本設計)'!$J$7:$J$106)</f>
        <v>0</v>
      </c>
      <c r="G41" s="295" t="str">
        <f t="shared" si="2"/>
        <v>—</v>
      </c>
      <c r="Y41" t="s">
        <v>6469</v>
      </c>
      <c r="Z41" t="s">
        <v>6819</v>
      </c>
    </row>
    <row r="42" spans="1:26">
      <c r="A42" s="295" t="str">
        <f t="shared" si="1"/>
        <v>プロビジョニング</v>
      </c>
      <c r="B42" s="295" t="s">
        <v>6435</v>
      </c>
      <c r="C42" s="370" cm="1">
        <f t="array" ref="C42">SUMPRODUCT(('WBS(基本設計)'!$E$7:$E$106=$B42)*(NOT(ISNUMBER(SEARCH("（不採用）",'WBS(基本設計)'!$O$7:$O$106))))*('WBS(基本設計)'!$A$7:$A$106&lt;&gt;""))</f>
        <v>0</v>
      </c>
      <c r="D42" s="370" cm="1">
        <f t="array" ref="D42">SUMPRODUCT(('WBS(基本設計)'!$E$7:$E$106=$B42)*(NOT(ISNUMBER(SEARCH("（不採用）",'WBS(基本設計)'!$O$7:$O$106))))*'WBS(基本設計)'!$J$7:$J$106)</f>
        <v>0</v>
      </c>
      <c r="E42" s="370" cm="1">
        <f t="array" ref="E42">SUMPRODUCT(('WBS(基本設計)'!$E$7:$E$106=$B42)*(LEFT('WBS(基本設計)'!$K$7:$K$106,2)="基盤")*(NOT(ISNUMBER(SEARCH("（不採用）",'WBS(基本設計)'!$O$7:$O$106))))*'WBS(基本設計)'!$J$7:$J$106)</f>
        <v>0</v>
      </c>
      <c r="F42" s="370" cm="1">
        <f t="array" ref="F42">SUMPRODUCT(('WBS(基本設計)'!$E$7:$E$106=$B42)*('WBS(基本設計)'!$K$7:$K$106="アプリ移管")*(NOT(ISNUMBER(SEARCH("（不採用）",'WBS(基本設計)'!$O$7:$O$106))))*'WBS(基本設計)'!$J$7:$J$106)</f>
        <v>0</v>
      </c>
      <c r="G42" s="295" t="str">
        <f t="shared" si="2"/>
        <v>—</v>
      </c>
      <c r="Y42" t="s">
        <v>6483</v>
      </c>
      <c r="Z42" t="s">
        <v>6819</v>
      </c>
    </row>
    <row r="43" spans="1:26">
      <c r="A43" s="295" t="str">
        <f t="shared" si="1"/>
        <v>認証</v>
      </c>
      <c r="B43" s="295" t="s">
        <v>6426</v>
      </c>
      <c r="C43" s="370" cm="1">
        <f t="array" ref="C43">SUMPRODUCT(('WBS(基本設計)'!$E$7:$E$106=$B43)*(NOT(ISNUMBER(SEARCH("（不採用）",'WBS(基本設計)'!$O$7:$O$106))))*('WBS(基本設計)'!$A$7:$A$106&lt;&gt;""))</f>
        <v>0</v>
      </c>
      <c r="D43" s="370" cm="1">
        <f t="array" ref="D43">SUMPRODUCT(('WBS(基本設計)'!$E$7:$E$106=$B43)*(NOT(ISNUMBER(SEARCH("（不採用）",'WBS(基本設計)'!$O$7:$O$106))))*'WBS(基本設計)'!$J$7:$J$106)</f>
        <v>0</v>
      </c>
      <c r="E43" s="370" cm="1">
        <f t="array" ref="E43">SUMPRODUCT(('WBS(基本設計)'!$E$7:$E$106=$B43)*(LEFT('WBS(基本設計)'!$K$7:$K$106,2)="基盤")*(NOT(ISNUMBER(SEARCH("（不採用）",'WBS(基本設計)'!$O$7:$O$106))))*'WBS(基本設計)'!$J$7:$J$106)</f>
        <v>0</v>
      </c>
      <c r="F43" s="370" cm="1">
        <f t="array" ref="F43">SUMPRODUCT(('WBS(基本設計)'!$E$7:$E$106=$B43)*('WBS(基本設計)'!$K$7:$K$106="アプリ移管")*(NOT(ISNUMBER(SEARCH("（不採用）",'WBS(基本設計)'!$O$7:$O$106))))*'WBS(基本設計)'!$J$7:$J$106)</f>
        <v>0</v>
      </c>
      <c r="G43" s="295" t="str">
        <f t="shared" si="2"/>
        <v>—</v>
      </c>
    </row>
    <row r="44" spans="1:26">
      <c r="A44" s="295" t="str">
        <f t="shared" si="1"/>
        <v>プロビジョニング</v>
      </c>
      <c r="B44" s="295" t="s">
        <v>6431</v>
      </c>
      <c r="C44" s="370" cm="1">
        <f t="array" ref="C44">SUMPRODUCT(('WBS(基本設計)'!$E$7:$E$106=$B44)*(NOT(ISNUMBER(SEARCH("（不採用）",'WBS(基本設計)'!$O$7:$O$106))))*('WBS(基本設計)'!$A$7:$A$106&lt;&gt;""))</f>
        <v>0</v>
      </c>
      <c r="D44" s="370" cm="1">
        <f t="array" ref="D44">SUMPRODUCT(('WBS(基本設計)'!$E$7:$E$106=$B44)*(NOT(ISNUMBER(SEARCH("（不採用）",'WBS(基本設計)'!$O$7:$O$106))))*'WBS(基本設計)'!$J$7:$J$106)</f>
        <v>0</v>
      </c>
      <c r="E44" s="370" cm="1">
        <f t="array" ref="E44">SUMPRODUCT(('WBS(基本設計)'!$E$7:$E$106=$B44)*(LEFT('WBS(基本設計)'!$K$7:$K$106,2)="基盤")*(NOT(ISNUMBER(SEARCH("（不採用）",'WBS(基本設計)'!$O$7:$O$106))))*'WBS(基本設計)'!$J$7:$J$106)</f>
        <v>0</v>
      </c>
      <c r="F44" s="370" cm="1">
        <f t="array" ref="F44">SUMPRODUCT(('WBS(基本設計)'!$E$7:$E$106=$B44)*('WBS(基本設計)'!$K$7:$K$106="アプリ移管")*(NOT(ISNUMBER(SEARCH("（不採用）",'WBS(基本設計)'!$O$7:$O$106))))*'WBS(基本設計)'!$J$7:$J$106)</f>
        <v>0</v>
      </c>
      <c r="G44" s="295" t="str">
        <f t="shared" si="2"/>
        <v>—</v>
      </c>
    </row>
    <row r="45" spans="1:26">
      <c r="A45" s="295" t="str">
        <f t="shared" si="1"/>
        <v>管理</v>
      </c>
      <c r="B45" s="295" t="s">
        <v>6439</v>
      </c>
      <c r="C45" s="370" cm="1">
        <f t="array" ref="C45">SUMPRODUCT(('WBS(基本設計)'!$E$7:$E$106=$B45)*(NOT(ISNUMBER(SEARCH("（不採用）",'WBS(基本設計)'!$O$7:$O$106))))*('WBS(基本設計)'!$A$7:$A$106&lt;&gt;""))</f>
        <v>0</v>
      </c>
      <c r="D45" s="370" cm="1">
        <f t="array" ref="D45">SUMPRODUCT(('WBS(基本設計)'!$E$7:$E$106=$B45)*(NOT(ISNUMBER(SEARCH("（不採用）",'WBS(基本設計)'!$O$7:$O$106))))*'WBS(基本設計)'!$J$7:$J$106)</f>
        <v>0</v>
      </c>
      <c r="E45" s="370" cm="1">
        <f t="array" ref="E45">SUMPRODUCT(('WBS(基本設計)'!$E$7:$E$106=$B45)*(LEFT('WBS(基本設計)'!$K$7:$K$106,2)="基盤")*(NOT(ISNUMBER(SEARCH("（不採用）",'WBS(基本設計)'!$O$7:$O$106))))*'WBS(基本設計)'!$J$7:$J$106)</f>
        <v>0</v>
      </c>
      <c r="F45" s="370" cm="1">
        <f t="array" ref="F45">SUMPRODUCT(('WBS(基本設計)'!$E$7:$E$106=$B45)*('WBS(基本設計)'!$K$7:$K$106="アプリ移管")*(NOT(ISNUMBER(SEARCH("（不採用）",'WBS(基本設計)'!$O$7:$O$106))))*'WBS(基本設計)'!$J$7:$J$106)</f>
        <v>0</v>
      </c>
      <c r="G45" s="295" t="str">
        <f t="shared" si="2"/>
        <v>—</v>
      </c>
    </row>
    <row r="46" spans="1:26">
      <c r="A46" s="295" t="str">
        <f t="shared" si="1"/>
        <v>認証</v>
      </c>
      <c r="B46" s="295" t="s">
        <v>6422</v>
      </c>
      <c r="C46" s="370" cm="1">
        <f t="array" ref="C46">SUMPRODUCT(('WBS(基本設計)'!$E$7:$E$106=$B46)*(NOT(ISNUMBER(SEARCH("（不採用）",'WBS(基本設計)'!$O$7:$O$106))))*('WBS(基本設計)'!$A$7:$A$106&lt;&gt;""))</f>
        <v>0</v>
      </c>
      <c r="D46" s="370" cm="1">
        <f t="array" ref="D46">SUMPRODUCT(('WBS(基本設計)'!$E$7:$E$106=$B46)*(NOT(ISNUMBER(SEARCH("（不採用）",'WBS(基本設計)'!$O$7:$O$106))))*'WBS(基本設計)'!$J$7:$J$106)</f>
        <v>0</v>
      </c>
      <c r="E46" s="370" cm="1">
        <f t="array" ref="E46">SUMPRODUCT(('WBS(基本設計)'!$E$7:$E$106=$B46)*(LEFT('WBS(基本設計)'!$K$7:$K$106,2)="基盤")*(NOT(ISNUMBER(SEARCH("（不採用）",'WBS(基本設計)'!$O$7:$O$106))))*'WBS(基本設計)'!$J$7:$J$106)</f>
        <v>0</v>
      </c>
      <c r="F46" s="370" cm="1">
        <f t="array" ref="F46">SUMPRODUCT(('WBS(基本設計)'!$E$7:$E$106=$B46)*('WBS(基本設計)'!$K$7:$K$106="アプリ移管")*(NOT(ISNUMBER(SEARCH("（不採用）",'WBS(基本設計)'!$O$7:$O$106))))*'WBS(基本設計)'!$J$7:$J$106)</f>
        <v>0</v>
      </c>
      <c r="G46" s="295" t="str">
        <f t="shared" si="2"/>
        <v>—</v>
      </c>
    </row>
    <row r="47" spans="1:26">
      <c r="A47" s="295" t="str">
        <f t="shared" si="1"/>
        <v>認可</v>
      </c>
      <c r="B47" s="295" t="s">
        <v>6448</v>
      </c>
      <c r="C47" s="370" cm="1">
        <f t="array" ref="C47">SUMPRODUCT(('WBS(基本設計)'!$E$7:$E$106=$B47)*(NOT(ISNUMBER(SEARCH("（不採用）",'WBS(基本設計)'!$O$7:$O$106))))*('WBS(基本設計)'!$A$7:$A$106&lt;&gt;""))</f>
        <v>0</v>
      </c>
      <c r="D47" s="370" cm="1">
        <f t="array" ref="D47">SUMPRODUCT(('WBS(基本設計)'!$E$7:$E$106=$B47)*(NOT(ISNUMBER(SEARCH("（不採用）",'WBS(基本設計)'!$O$7:$O$106))))*'WBS(基本設計)'!$J$7:$J$106)</f>
        <v>0</v>
      </c>
      <c r="E47" s="370" cm="1">
        <f t="array" ref="E47">SUMPRODUCT(('WBS(基本設計)'!$E$7:$E$106=$B47)*(LEFT('WBS(基本設計)'!$K$7:$K$106,2)="基盤")*(NOT(ISNUMBER(SEARCH("（不採用）",'WBS(基本設計)'!$O$7:$O$106))))*'WBS(基本設計)'!$J$7:$J$106)</f>
        <v>0</v>
      </c>
      <c r="F47" s="370" cm="1">
        <f t="array" ref="F47">SUMPRODUCT(('WBS(基本設計)'!$E$7:$E$106=$B47)*('WBS(基本設計)'!$K$7:$K$106="アプリ移管")*(NOT(ISNUMBER(SEARCH("（不採用）",'WBS(基本設計)'!$O$7:$O$106))))*'WBS(基本設計)'!$J$7:$J$106)</f>
        <v>0</v>
      </c>
      <c r="G47" s="295" t="str">
        <f t="shared" si="2"/>
        <v>—</v>
      </c>
    </row>
    <row r="48" spans="1:26">
      <c r="A48" s="295" t="str">
        <f t="shared" si="1"/>
        <v>認証</v>
      </c>
      <c r="B48" s="295" t="s">
        <v>6427</v>
      </c>
      <c r="C48" s="370" cm="1">
        <f t="array" ref="C48">SUMPRODUCT(('WBS(基本設計)'!$E$7:$E$106=$B48)*(NOT(ISNUMBER(SEARCH("（不採用）",'WBS(基本設計)'!$O$7:$O$106))))*('WBS(基本設計)'!$A$7:$A$106&lt;&gt;""))</f>
        <v>0</v>
      </c>
      <c r="D48" s="370" cm="1">
        <f t="array" ref="D48">SUMPRODUCT(('WBS(基本設計)'!$E$7:$E$106=$B48)*(NOT(ISNUMBER(SEARCH("（不採用）",'WBS(基本設計)'!$O$7:$O$106))))*'WBS(基本設計)'!$J$7:$J$106)</f>
        <v>0</v>
      </c>
      <c r="E48" s="370" cm="1">
        <f t="array" ref="E48">SUMPRODUCT(('WBS(基本設計)'!$E$7:$E$106=$B48)*(LEFT('WBS(基本設計)'!$K$7:$K$106,2)="基盤")*(NOT(ISNUMBER(SEARCH("（不採用）",'WBS(基本設計)'!$O$7:$O$106))))*'WBS(基本設計)'!$J$7:$J$106)</f>
        <v>0</v>
      </c>
      <c r="F48" s="370" cm="1">
        <f t="array" ref="F48">SUMPRODUCT(('WBS(基本設計)'!$E$7:$E$106=$B48)*('WBS(基本設計)'!$K$7:$K$106="アプリ移管")*(NOT(ISNUMBER(SEARCH("（不採用）",'WBS(基本設計)'!$O$7:$O$106))))*'WBS(基本設計)'!$J$7:$J$106)</f>
        <v>0</v>
      </c>
      <c r="G48" s="295" t="str">
        <f t="shared" si="2"/>
        <v>—</v>
      </c>
    </row>
    <row r="49" spans="1:7">
      <c r="A49" s="295" t="str">
        <f t="shared" si="1"/>
        <v>バッチ</v>
      </c>
      <c r="B49" s="295" t="s">
        <v>6460</v>
      </c>
      <c r="C49" s="370" cm="1">
        <f t="array" ref="C49">SUMPRODUCT(('WBS(基本設計)'!$E$7:$E$106=$B49)*(NOT(ISNUMBER(SEARCH("（不採用）",'WBS(基本設計)'!$O$7:$O$106))))*('WBS(基本設計)'!$A$7:$A$106&lt;&gt;""))</f>
        <v>0</v>
      </c>
      <c r="D49" s="370" cm="1">
        <f t="array" ref="D49">SUMPRODUCT(('WBS(基本設計)'!$E$7:$E$106=$B49)*(NOT(ISNUMBER(SEARCH("（不採用）",'WBS(基本設計)'!$O$7:$O$106))))*'WBS(基本設計)'!$J$7:$J$106)</f>
        <v>0</v>
      </c>
      <c r="E49" s="370" cm="1">
        <f t="array" ref="E49">SUMPRODUCT(('WBS(基本設計)'!$E$7:$E$106=$B49)*(LEFT('WBS(基本設計)'!$K$7:$K$106,2)="基盤")*(NOT(ISNUMBER(SEARCH("（不採用）",'WBS(基本設計)'!$O$7:$O$106))))*'WBS(基本設計)'!$J$7:$J$106)</f>
        <v>0</v>
      </c>
      <c r="F49" s="370" cm="1">
        <f t="array" ref="F49">SUMPRODUCT(('WBS(基本設計)'!$E$7:$E$106=$B49)*('WBS(基本設計)'!$K$7:$K$106="アプリ移管")*(NOT(ISNUMBER(SEARCH("（不採用）",'WBS(基本設計)'!$O$7:$O$106))))*'WBS(基本設計)'!$J$7:$J$106)</f>
        <v>0</v>
      </c>
      <c r="G49" s="295" t="str">
        <f t="shared" si="2"/>
        <v>—</v>
      </c>
    </row>
    <row r="50" spans="1:7">
      <c r="A50" s="295" t="str">
        <f t="shared" si="1"/>
        <v>プロビジョニング</v>
      </c>
      <c r="B50" s="295" t="s">
        <v>6430</v>
      </c>
      <c r="C50" s="370" cm="1">
        <f t="array" ref="C50">SUMPRODUCT(('WBS(基本設計)'!$E$7:$E$106=$B50)*(NOT(ISNUMBER(SEARCH("（不採用）",'WBS(基本設計)'!$O$7:$O$106))))*('WBS(基本設計)'!$A$7:$A$106&lt;&gt;""))</f>
        <v>0</v>
      </c>
      <c r="D50" s="370" cm="1">
        <f t="array" ref="D50">SUMPRODUCT(('WBS(基本設計)'!$E$7:$E$106=$B50)*(NOT(ISNUMBER(SEARCH("（不採用）",'WBS(基本設計)'!$O$7:$O$106))))*'WBS(基本設計)'!$J$7:$J$106)</f>
        <v>0</v>
      </c>
      <c r="E50" s="370" cm="1">
        <f t="array" ref="E50">SUMPRODUCT(('WBS(基本設計)'!$E$7:$E$106=$B50)*(LEFT('WBS(基本設計)'!$K$7:$K$106,2)="基盤")*(NOT(ISNUMBER(SEARCH("（不採用）",'WBS(基本設計)'!$O$7:$O$106))))*'WBS(基本設計)'!$J$7:$J$106)</f>
        <v>0</v>
      </c>
      <c r="F50" s="370" cm="1">
        <f t="array" ref="F50">SUMPRODUCT(('WBS(基本設計)'!$E$7:$E$106=$B50)*('WBS(基本設計)'!$K$7:$K$106="アプリ移管")*(NOT(ISNUMBER(SEARCH("（不採用）",'WBS(基本設計)'!$O$7:$O$106))))*'WBS(基本設計)'!$J$7:$J$106)</f>
        <v>0</v>
      </c>
      <c r="G50" s="295" t="str">
        <f t="shared" si="2"/>
        <v>—</v>
      </c>
    </row>
    <row r="51" spans="1:7">
      <c r="A51" s="295" t="str">
        <f t="shared" si="1"/>
        <v>認可</v>
      </c>
      <c r="B51" s="295" t="s">
        <v>6446</v>
      </c>
      <c r="C51" s="370" cm="1">
        <f t="array" ref="C51">SUMPRODUCT(('WBS(基本設計)'!$E$7:$E$106=$B51)*(NOT(ISNUMBER(SEARCH("（不採用）",'WBS(基本設計)'!$O$7:$O$106))))*('WBS(基本設計)'!$A$7:$A$106&lt;&gt;""))</f>
        <v>0</v>
      </c>
      <c r="D51" s="370" cm="1">
        <f t="array" ref="D51">SUMPRODUCT(('WBS(基本設計)'!$E$7:$E$106=$B51)*(NOT(ISNUMBER(SEARCH("（不採用）",'WBS(基本設計)'!$O$7:$O$106))))*'WBS(基本設計)'!$J$7:$J$106)</f>
        <v>0</v>
      </c>
      <c r="E51" s="370" cm="1">
        <f t="array" ref="E51">SUMPRODUCT(('WBS(基本設計)'!$E$7:$E$106=$B51)*(LEFT('WBS(基本設計)'!$K$7:$K$106,2)="基盤")*(NOT(ISNUMBER(SEARCH("（不採用）",'WBS(基本設計)'!$O$7:$O$106))))*'WBS(基本設計)'!$J$7:$J$106)</f>
        <v>0</v>
      </c>
      <c r="F51" s="370" cm="1">
        <f t="array" ref="F51">SUMPRODUCT(('WBS(基本設計)'!$E$7:$E$106=$B51)*('WBS(基本設計)'!$K$7:$K$106="アプリ移管")*(NOT(ISNUMBER(SEARCH("（不採用）",'WBS(基本設計)'!$O$7:$O$106))))*'WBS(基本設計)'!$J$7:$J$106)</f>
        <v>0</v>
      </c>
      <c r="G51" s="295" t="str">
        <f t="shared" si="2"/>
        <v>—</v>
      </c>
    </row>
    <row r="52" spans="1:7">
      <c r="A52" s="295" t="str">
        <f t="shared" si="1"/>
        <v>バッチ</v>
      </c>
      <c r="B52" s="295" t="s">
        <v>6458</v>
      </c>
      <c r="C52" s="370" cm="1">
        <f t="array" ref="C52">SUMPRODUCT(('WBS(基本設計)'!$E$7:$E$106=$B52)*(NOT(ISNUMBER(SEARCH("（不採用）",'WBS(基本設計)'!$O$7:$O$106))))*('WBS(基本設計)'!$A$7:$A$106&lt;&gt;""))</f>
        <v>0</v>
      </c>
      <c r="D52" s="370" cm="1">
        <f t="array" ref="D52">SUMPRODUCT(('WBS(基本設計)'!$E$7:$E$106=$B52)*(NOT(ISNUMBER(SEARCH("（不採用）",'WBS(基本設計)'!$O$7:$O$106))))*'WBS(基本設計)'!$J$7:$J$106)</f>
        <v>0</v>
      </c>
      <c r="E52" s="370" cm="1">
        <f t="array" ref="E52">SUMPRODUCT(('WBS(基本設計)'!$E$7:$E$106=$B52)*(LEFT('WBS(基本設計)'!$K$7:$K$106,2)="基盤")*(NOT(ISNUMBER(SEARCH("（不採用）",'WBS(基本設計)'!$O$7:$O$106))))*'WBS(基本設計)'!$J$7:$J$106)</f>
        <v>0</v>
      </c>
      <c r="F52" s="370" cm="1">
        <f t="array" ref="F52">SUMPRODUCT(('WBS(基本設計)'!$E$7:$E$106=$B52)*('WBS(基本設計)'!$K$7:$K$106="アプリ移管")*(NOT(ISNUMBER(SEARCH("（不採用）",'WBS(基本設計)'!$O$7:$O$106))))*'WBS(基本設計)'!$J$7:$J$106)</f>
        <v>0</v>
      </c>
      <c r="G52" s="295" t="str">
        <f t="shared" si="2"/>
        <v>—</v>
      </c>
    </row>
    <row r="53" spans="1:7">
      <c r="A53" s="295" t="str">
        <f t="shared" si="1"/>
        <v>認可</v>
      </c>
      <c r="B53" s="295" t="s">
        <v>6451</v>
      </c>
      <c r="C53" s="370" cm="1">
        <f t="array" ref="C53">SUMPRODUCT(('WBS(基本設計)'!$E$7:$E$106=$B53)*(NOT(ISNUMBER(SEARCH("（不採用）",'WBS(基本設計)'!$O$7:$O$106))))*('WBS(基本設計)'!$A$7:$A$106&lt;&gt;""))</f>
        <v>0</v>
      </c>
      <c r="D53" s="370" cm="1">
        <f t="array" ref="D53">SUMPRODUCT(('WBS(基本設計)'!$E$7:$E$106=$B53)*(NOT(ISNUMBER(SEARCH("（不採用）",'WBS(基本設計)'!$O$7:$O$106))))*'WBS(基本設計)'!$J$7:$J$106)</f>
        <v>0</v>
      </c>
      <c r="E53" s="370" cm="1">
        <f t="array" ref="E53">SUMPRODUCT(('WBS(基本設計)'!$E$7:$E$106=$B53)*(LEFT('WBS(基本設計)'!$K$7:$K$106,2)="基盤")*(NOT(ISNUMBER(SEARCH("（不採用）",'WBS(基本設計)'!$O$7:$O$106))))*'WBS(基本設計)'!$J$7:$J$106)</f>
        <v>0</v>
      </c>
      <c r="F53" s="370" cm="1">
        <f t="array" ref="F53">SUMPRODUCT(('WBS(基本設計)'!$E$7:$E$106=$B53)*('WBS(基本設計)'!$K$7:$K$106="アプリ移管")*(NOT(ISNUMBER(SEARCH("（不採用）",'WBS(基本設計)'!$O$7:$O$106))))*'WBS(基本設計)'!$J$7:$J$106)</f>
        <v>0</v>
      </c>
      <c r="G53" s="295" t="str">
        <f t="shared" si="2"/>
        <v>—</v>
      </c>
    </row>
    <row r="54" spans="1:7">
      <c r="A54" s="295" t="str">
        <f t="shared" si="1"/>
        <v>連携</v>
      </c>
      <c r="B54" s="295" t="s">
        <v>6457</v>
      </c>
      <c r="C54" s="370" cm="1">
        <f t="array" ref="C54">SUMPRODUCT(('WBS(基本設計)'!$E$7:$E$106=$B54)*(NOT(ISNUMBER(SEARCH("（不採用）",'WBS(基本設計)'!$O$7:$O$106))))*('WBS(基本設計)'!$A$7:$A$106&lt;&gt;""))</f>
        <v>0</v>
      </c>
      <c r="D54" s="370" cm="1">
        <f t="array" ref="D54">SUMPRODUCT(('WBS(基本設計)'!$E$7:$E$106=$B54)*(NOT(ISNUMBER(SEARCH("（不採用）",'WBS(基本設計)'!$O$7:$O$106))))*'WBS(基本設計)'!$J$7:$J$106)</f>
        <v>0</v>
      </c>
      <c r="E54" s="370" cm="1">
        <f t="array" ref="E54">SUMPRODUCT(('WBS(基本設計)'!$E$7:$E$106=$B54)*(LEFT('WBS(基本設計)'!$K$7:$K$106,2)="基盤")*(NOT(ISNUMBER(SEARCH("（不採用）",'WBS(基本設計)'!$O$7:$O$106))))*'WBS(基本設計)'!$J$7:$J$106)</f>
        <v>0</v>
      </c>
      <c r="F54" s="370" cm="1">
        <f t="array" ref="F54">SUMPRODUCT(('WBS(基本設計)'!$E$7:$E$106=$B54)*('WBS(基本設計)'!$K$7:$K$106="アプリ移管")*(NOT(ISNUMBER(SEARCH("（不採用）",'WBS(基本設計)'!$O$7:$O$106))))*'WBS(基本設計)'!$J$7:$J$106)</f>
        <v>0</v>
      </c>
      <c r="G54" s="295" t="str">
        <f t="shared" si="2"/>
        <v>—</v>
      </c>
    </row>
    <row r="55" spans="1:7">
      <c r="A55" s="295" t="str">
        <f t="shared" si="1"/>
        <v>連携</v>
      </c>
      <c r="B55" s="295" t="s">
        <v>6454</v>
      </c>
      <c r="C55" s="370" cm="1">
        <f t="array" ref="C55">SUMPRODUCT(('WBS(基本設計)'!$E$7:$E$106=$B55)*(NOT(ISNUMBER(SEARCH("（不採用）",'WBS(基本設計)'!$O$7:$O$106))))*('WBS(基本設計)'!$A$7:$A$106&lt;&gt;""))</f>
        <v>0</v>
      </c>
      <c r="D55" s="370" cm="1">
        <f t="array" ref="D55">SUMPRODUCT(('WBS(基本設計)'!$E$7:$E$106=$B55)*(NOT(ISNUMBER(SEARCH("（不採用）",'WBS(基本設計)'!$O$7:$O$106))))*'WBS(基本設計)'!$J$7:$J$106)</f>
        <v>0</v>
      </c>
      <c r="E55" s="370" cm="1">
        <f t="array" ref="E55">SUMPRODUCT(('WBS(基本設計)'!$E$7:$E$106=$B55)*(LEFT('WBS(基本設計)'!$K$7:$K$106,2)="基盤")*(NOT(ISNUMBER(SEARCH("（不採用）",'WBS(基本設計)'!$O$7:$O$106))))*'WBS(基本設計)'!$J$7:$J$106)</f>
        <v>0</v>
      </c>
      <c r="F55" s="370" cm="1">
        <f t="array" ref="F55">SUMPRODUCT(('WBS(基本設計)'!$E$7:$E$106=$B55)*('WBS(基本設計)'!$K$7:$K$106="アプリ移管")*(NOT(ISNUMBER(SEARCH("（不採用）",'WBS(基本設計)'!$O$7:$O$106))))*'WBS(基本設計)'!$J$7:$J$106)</f>
        <v>0</v>
      </c>
      <c r="G55" s="295" t="str">
        <f t="shared" si="2"/>
        <v>—</v>
      </c>
    </row>
    <row r="56" spans="1:7">
      <c r="A56" s="295" t="str">
        <f t="shared" si="1"/>
        <v>バッチ</v>
      </c>
      <c r="B56" s="295" t="s">
        <v>6459</v>
      </c>
      <c r="C56" s="370" cm="1">
        <f t="array" ref="C56">SUMPRODUCT(('WBS(基本設計)'!$E$7:$E$106=$B56)*(NOT(ISNUMBER(SEARCH("（不採用）",'WBS(基本設計)'!$O$7:$O$106))))*('WBS(基本設計)'!$A$7:$A$106&lt;&gt;""))</f>
        <v>0</v>
      </c>
      <c r="D56" s="370" cm="1">
        <f t="array" ref="D56">SUMPRODUCT(('WBS(基本設計)'!$E$7:$E$106=$B56)*(NOT(ISNUMBER(SEARCH("（不採用）",'WBS(基本設計)'!$O$7:$O$106))))*'WBS(基本設計)'!$J$7:$J$106)</f>
        <v>0</v>
      </c>
      <c r="E56" s="370" cm="1">
        <f t="array" ref="E56">SUMPRODUCT(('WBS(基本設計)'!$E$7:$E$106=$B56)*(LEFT('WBS(基本設計)'!$K$7:$K$106,2)="基盤")*(NOT(ISNUMBER(SEARCH("（不採用）",'WBS(基本設計)'!$O$7:$O$106))))*'WBS(基本設計)'!$J$7:$J$106)</f>
        <v>0</v>
      </c>
      <c r="F56" s="370" cm="1">
        <f t="array" ref="F56">SUMPRODUCT(('WBS(基本設計)'!$E$7:$E$106=$B56)*('WBS(基本設計)'!$K$7:$K$106="アプリ移管")*(NOT(ISNUMBER(SEARCH("（不採用）",'WBS(基本設計)'!$O$7:$O$106))))*'WBS(基本設計)'!$J$7:$J$106)</f>
        <v>0</v>
      </c>
      <c r="G56" s="295" t="str">
        <f t="shared" si="2"/>
        <v>—</v>
      </c>
    </row>
    <row r="57" spans="1:7">
      <c r="A57" s="295" t="str">
        <f t="shared" si="1"/>
        <v>バッチ</v>
      </c>
      <c r="B57" s="295" t="s">
        <v>6461</v>
      </c>
      <c r="C57" s="370" cm="1">
        <f t="array" ref="C57">SUMPRODUCT(('WBS(基本設計)'!$E$7:$E$106=$B57)*(NOT(ISNUMBER(SEARCH("（不採用）",'WBS(基本設計)'!$O$7:$O$106))))*('WBS(基本設計)'!$A$7:$A$106&lt;&gt;""))</f>
        <v>0</v>
      </c>
      <c r="D57" s="370" cm="1">
        <f t="array" ref="D57">SUMPRODUCT(('WBS(基本設計)'!$E$7:$E$106=$B57)*(NOT(ISNUMBER(SEARCH("（不採用）",'WBS(基本設計)'!$O$7:$O$106))))*'WBS(基本設計)'!$J$7:$J$106)</f>
        <v>0</v>
      </c>
      <c r="E57" s="370" cm="1">
        <f t="array" ref="E57">SUMPRODUCT(('WBS(基本設計)'!$E$7:$E$106=$B57)*(LEFT('WBS(基本設計)'!$K$7:$K$106,2)="基盤")*(NOT(ISNUMBER(SEARCH("（不採用）",'WBS(基本設計)'!$O$7:$O$106))))*'WBS(基本設計)'!$J$7:$J$106)</f>
        <v>0</v>
      </c>
      <c r="F57" s="370" cm="1">
        <f t="array" ref="F57">SUMPRODUCT(('WBS(基本設計)'!$E$7:$E$106=$B57)*('WBS(基本設計)'!$K$7:$K$106="アプリ移管")*(NOT(ISNUMBER(SEARCH("（不採用）",'WBS(基本設計)'!$O$7:$O$106))))*'WBS(基本設計)'!$J$7:$J$106)</f>
        <v>0</v>
      </c>
      <c r="G57" s="295" t="str">
        <f t="shared" si="2"/>
        <v>—</v>
      </c>
    </row>
    <row r="58" spans="1:7">
      <c r="A58" s="371" t="s">
        <v>7</v>
      </c>
      <c r="B58" s="371"/>
      <c r="C58" s="372">
        <f>SUM(C27:C57)</f>
        <v>3</v>
      </c>
      <c r="D58" s="372">
        <f>SUM(D27:D57)</f>
        <v>3</v>
      </c>
      <c r="E58" s="372">
        <f>SUM(E27:E57)</f>
        <v>1</v>
      </c>
      <c r="F58" s="372">
        <f>SUM(F27:F57)</f>
        <v>0</v>
      </c>
      <c r="G58" s="371" t="str">
        <f t="shared" si="2"/>
        <v>基盤</v>
      </c>
    </row>
    <row r="61" spans="1:7">
      <c r="A61" s="363" t="s">
        <v>6831</v>
      </c>
    </row>
    <row r="62" spans="1:7">
      <c r="A62" s="3" t="s">
        <v>6792</v>
      </c>
      <c r="B62" s="3" t="s">
        <v>6828</v>
      </c>
      <c r="C62" s="3" t="s">
        <v>2521</v>
      </c>
      <c r="D62" s="3" t="s">
        <v>5687</v>
      </c>
    </row>
    <row r="63" spans="1:7">
      <c r="A63" t="s">
        <v>6794</v>
      </c>
      <c r="B63" s="365">
        <f>COUNTIFS('WBS(基本設計)'!$O$7:$O$106,$A63)</f>
        <v>0</v>
      </c>
      <c r="C63" s="365">
        <f>SUMIFS('WBS(基本設計)'!$J$7:$J$106,'WBS(基本設計)'!$O$7:$O$106,$A63)</f>
        <v>0</v>
      </c>
      <c r="D63" t="str">
        <f t="shared" ref="D63:D71" si="3">IF(ISNUMBER(SEARCH("（不採用）",$A63)),"🔴 対象外",IF(ISNUMBER(SEARCH("（未判断）",$A63)),"未判断",IF(ISNUMBER(SEARCH("（採用）",$A63)),"採用",IF(ISNUMBER(SEARCH("選べない",$A63)),"選べない","—"))))</f>
        <v>—</v>
      </c>
    </row>
    <row r="64" spans="1:7">
      <c r="A64" t="s">
        <v>6798</v>
      </c>
      <c r="B64" s="365">
        <f>COUNTIFS('WBS(基本設計)'!$O$7:$O$106,$A64)</f>
        <v>0</v>
      </c>
      <c r="C64" s="365">
        <f>SUMIFS('WBS(基本設計)'!$J$7:$J$106,'WBS(基本設計)'!$O$7:$O$106,$A64)</f>
        <v>0</v>
      </c>
      <c r="D64" t="str">
        <f t="shared" si="3"/>
        <v>採用</v>
      </c>
    </row>
    <row r="65" spans="1:4">
      <c r="A65" t="s">
        <v>6804</v>
      </c>
      <c r="B65" s="365">
        <f>COUNTIFS('WBS(基本設計)'!$O$7:$O$106,$A65)</f>
        <v>0</v>
      </c>
      <c r="C65" s="365">
        <f>SUMIFS('WBS(基本設計)'!$J$7:$J$106,'WBS(基本設計)'!$O$7:$O$106,$A65)</f>
        <v>0</v>
      </c>
      <c r="D65" t="str">
        <f t="shared" si="3"/>
        <v>🔴 対象外</v>
      </c>
    </row>
    <row r="66" spans="1:4">
      <c r="A66" t="s">
        <v>6800</v>
      </c>
      <c r="B66" s="365">
        <f>COUNTIFS('WBS(基本設計)'!$O$7:$O$106,$A66)</f>
        <v>0</v>
      </c>
      <c r="C66" s="365">
        <f>SUMIFS('WBS(基本設計)'!$J$7:$J$106,'WBS(基本設計)'!$O$7:$O$106,$A66)</f>
        <v>0</v>
      </c>
      <c r="D66" t="str">
        <f t="shared" si="3"/>
        <v>🔴 対象外</v>
      </c>
    </row>
    <row r="67" spans="1:4">
      <c r="A67" t="s">
        <v>6803</v>
      </c>
      <c r="B67" s="365">
        <f>COUNTIFS('WBS(基本設計)'!$O$7:$O$106,$A67)</f>
        <v>0</v>
      </c>
      <c r="C67" s="365">
        <f>SUMIFS('WBS(基本設計)'!$J$7:$J$106,'WBS(基本設計)'!$O$7:$O$106,$A67)</f>
        <v>0</v>
      </c>
      <c r="D67" t="str">
        <f t="shared" si="3"/>
        <v>選べない</v>
      </c>
    </row>
    <row r="68" spans="1:4">
      <c r="A68" t="s">
        <v>6801</v>
      </c>
      <c r="B68" s="365">
        <f>COUNTIFS('WBS(基本設計)'!$O$7:$O$106,$A68)</f>
        <v>0</v>
      </c>
      <c r="C68" s="365">
        <f>SUMIFS('WBS(基本設計)'!$J$7:$J$106,'WBS(基本設計)'!$O$7:$O$106,$A68)</f>
        <v>0</v>
      </c>
      <c r="D68" t="str">
        <f t="shared" si="3"/>
        <v>選べない</v>
      </c>
    </row>
    <row r="69" spans="1:4">
      <c r="A69" t="s">
        <v>6799</v>
      </c>
      <c r="B69" s="365">
        <f>COUNTIFS('WBS(基本設計)'!$O$7:$O$106,$A69)</f>
        <v>0</v>
      </c>
      <c r="C69" s="365">
        <f>SUMIFS('WBS(基本設計)'!$J$7:$J$106,'WBS(基本設計)'!$O$7:$O$106,$A69)</f>
        <v>0</v>
      </c>
      <c r="D69" t="str">
        <f t="shared" si="3"/>
        <v>採用</v>
      </c>
    </row>
    <row r="70" spans="1:4">
      <c r="A70" t="s">
        <v>6802</v>
      </c>
      <c r="B70" s="365">
        <f>COUNTIFS('WBS(基本設計)'!$O$7:$O$106,$A70)</f>
        <v>0</v>
      </c>
      <c r="C70" s="365">
        <f>SUMIFS('WBS(基本設計)'!$J$7:$J$106,'WBS(基本設計)'!$O$7:$O$106,$A70)</f>
        <v>0</v>
      </c>
      <c r="D70" t="str">
        <f t="shared" si="3"/>
        <v>未判断</v>
      </c>
    </row>
    <row r="71" spans="1:4">
      <c r="A71" s="364" t="s">
        <v>7</v>
      </c>
      <c r="B71" s="366">
        <f>SUM(B63:B70)</f>
        <v>0</v>
      </c>
      <c r="C71" s="366">
        <f>SUM(C63:C70)</f>
        <v>0</v>
      </c>
      <c r="D71" t="str">
        <f t="shared" si="3"/>
        <v>—</v>
      </c>
    </row>
    <row r="72" spans="1:4">
      <c r="A72" s="368" t="str" cm="1">
        <f t="array" ref="A72">"★『（不採用）』の "&amp;TEXT(SUMPRODUCT(('WBS(基本設計)'!$O$7:$O$106&lt;&gt;"")*(ISNUMBER(SEARCH("（不採用）",'WBS(基本設計)'!$O$7:$O$106)))*'WBS(基本設計)'!$J$7:$J$106),"0.#")&amp;"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63" t="s">
        <v>6832</v>
      </c>
    </row>
    <row r="75" spans="1:4">
      <c r="A75" s="3" t="s">
        <v>6764</v>
      </c>
      <c r="B75" s="3" t="s">
        <v>6828</v>
      </c>
      <c r="C75" s="3" t="s">
        <v>2521</v>
      </c>
    </row>
    <row r="76" spans="1:4">
      <c r="A76" t="s">
        <v>6766</v>
      </c>
      <c r="B76" s="365" cm="1">
        <f t="array" ref="B76">SUMPRODUCT(('WBS(基本設計)'!$M$7:$M$106=$A76)*(NOT(ISNUMBER(SEARCH("（不採用）",'WBS(基本設計)'!$O$7:$O$106))))*('WBS(基本設計)'!$A$7:$A$106&lt;&gt;""))</f>
        <v>21</v>
      </c>
      <c r="C76" s="365" cm="1">
        <f t="array" ref="C76">SUMPRODUCT(('WBS(基本設計)'!$M$7:$M$106=$A76)*(NOT(ISNUMBER(SEARCH("（不採用）",'WBS(基本設計)'!$O$7:$O$106))))*'WBS(基本設計)'!$J$7:$J$106)</f>
        <v>38.5</v>
      </c>
    </row>
    <row r="77" spans="1:4">
      <c r="A77" t="s">
        <v>6770</v>
      </c>
      <c r="B77" s="365" cm="1">
        <f t="array" ref="B77">SUMPRODUCT(('WBS(基本設計)'!$M$7:$M$106=$A77)*(NOT(ISNUMBER(SEARCH("（不採用）",'WBS(基本設計)'!$O$7:$O$106))))*('WBS(基本設計)'!$A$7:$A$106&lt;&gt;""))</f>
        <v>5</v>
      </c>
      <c r="C77" s="365" cm="1">
        <f t="array" ref="C77">SUMPRODUCT(('WBS(基本設計)'!$M$7:$M$106=$A77)*(NOT(ISNUMBER(SEARCH("（不採用）",'WBS(基本設計)'!$O$7:$O$106))))*'WBS(基本設計)'!$J$7:$J$106)</f>
        <v>3.5</v>
      </c>
    </row>
    <row r="78" spans="1:4">
      <c r="A78" t="s">
        <v>6768</v>
      </c>
      <c r="B78" s="365" cm="1">
        <f t="array" ref="B78">SUMPRODUCT(('WBS(基本設計)'!$M$7:$M$106=$A78)*(NOT(ISNUMBER(SEARCH("（不採用）",'WBS(基本設計)'!$O$7:$O$106))))*('WBS(基本設計)'!$A$7:$A$106&lt;&gt;""))</f>
        <v>7</v>
      </c>
      <c r="C78" s="365" cm="1">
        <f t="array" ref="C78">SUMPRODUCT(('WBS(基本設計)'!$M$7:$M$106=$A78)*(NOT(ISNUMBER(SEARCH("（不採用）",'WBS(基本設計)'!$O$7:$O$106))))*'WBS(基本設計)'!$J$7:$J$106)</f>
        <v>9</v>
      </c>
    </row>
    <row r="79" spans="1:4">
      <c r="A79" t="s">
        <v>6777</v>
      </c>
      <c r="B79" s="365" cm="1">
        <f t="array" ref="B79">SUMPRODUCT(('WBS(基本設計)'!$M$7:$M$106=$A79)*(NOT(ISNUMBER(SEARCH("（不採用）",'WBS(基本設計)'!$O$7:$O$106))))*('WBS(基本設計)'!$A$7:$A$106&lt;&gt;""))</f>
        <v>2</v>
      </c>
      <c r="C79" s="365" cm="1">
        <f t="array" ref="C79">SUMPRODUCT(('WBS(基本設計)'!$M$7:$M$106=$A79)*(NOT(ISNUMBER(SEARCH("（不採用）",'WBS(基本設計)'!$O$7:$O$106))))*'WBS(基本設計)'!$J$7:$J$106)</f>
        <v>5</v>
      </c>
    </row>
    <row r="80" spans="1:4">
      <c r="A80" t="s">
        <v>6775</v>
      </c>
      <c r="B80" s="365" cm="1">
        <f t="array" ref="B80">SUMPRODUCT(('WBS(基本設計)'!$M$7:$M$106=$A80)*(NOT(ISNUMBER(SEARCH("（不採用）",'WBS(基本設計)'!$O$7:$O$106))))*('WBS(基本設計)'!$A$7:$A$106&lt;&gt;""))</f>
        <v>0</v>
      </c>
      <c r="C80" s="365" cm="1">
        <f t="array" ref="C80">SUMPRODUCT(('WBS(基本設計)'!$M$7:$M$106=$A80)*(NOT(ISNUMBER(SEARCH("（不採用）",'WBS(基本設計)'!$O$7:$O$106))))*'WBS(基本設計)'!$J$7:$J$106)</f>
        <v>0</v>
      </c>
    </row>
    <row r="81" spans="1:3">
      <c r="A81" t="s">
        <v>6776</v>
      </c>
      <c r="B81" s="365" cm="1">
        <f t="array" ref="B81">SUMPRODUCT(('WBS(基本設計)'!$M$7:$M$106=$A81)*(NOT(ISNUMBER(SEARCH("（不採用）",'WBS(基本設計)'!$O$7:$O$106))))*('WBS(基本設計)'!$A$7:$A$106&lt;&gt;""))</f>
        <v>3</v>
      </c>
      <c r="C81" s="365" cm="1">
        <f t="array" ref="C81">SUMPRODUCT(('WBS(基本設計)'!$M$7:$M$106=$A81)*(NOT(ISNUMBER(SEARCH("（不採用）",'WBS(基本設計)'!$O$7:$O$106))))*'WBS(基本設計)'!$J$7:$J$106)</f>
        <v>4</v>
      </c>
    </row>
    <row r="82" spans="1:3">
      <c r="A82" t="s">
        <v>6779</v>
      </c>
      <c r="B82" s="365" cm="1">
        <f t="array" ref="B82">SUMPRODUCT(('WBS(基本設計)'!$M$7:$M$106=$A82)*(NOT(ISNUMBER(SEARCH("（不採用）",'WBS(基本設計)'!$O$7:$O$106))))*('WBS(基本設計)'!$A$7:$A$106&lt;&gt;""))</f>
        <v>12</v>
      </c>
      <c r="C82" s="365" cm="1">
        <f t="array" ref="C82">SUMPRODUCT(('WBS(基本設計)'!$M$7:$M$106=$A82)*(NOT(ISNUMBER(SEARCH("（不採用）",'WBS(基本設計)'!$O$7:$O$106))))*'WBS(基本設計)'!$J$7:$J$106)</f>
        <v>14</v>
      </c>
    </row>
    <row r="83" spans="1:3">
      <c r="A83" t="s">
        <v>6774</v>
      </c>
      <c r="B83" s="365" cm="1">
        <f t="array" ref="B83">SUMPRODUCT(('WBS(基本設計)'!$M$7:$M$106=$A83)*(NOT(ISNUMBER(SEARCH("（不採用）",'WBS(基本設計)'!$O$7:$O$106))))*('WBS(基本設計)'!$A$7:$A$106&lt;&gt;""))</f>
        <v>0</v>
      </c>
      <c r="C83" s="365" cm="1">
        <f t="array" ref="C83">SUMPRODUCT(('WBS(基本設計)'!$M$7:$M$106=$A83)*(NOT(ISNUMBER(SEARCH("（不採用）",'WBS(基本設計)'!$O$7:$O$106))))*'WBS(基本設計)'!$J$7:$J$106)</f>
        <v>0</v>
      </c>
    </row>
    <row r="84" spans="1:3">
      <c r="A84" t="s">
        <v>6772</v>
      </c>
      <c r="B84" s="365" cm="1">
        <f t="array" ref="B84">SUMPRODUCT(('WBS(基本設計)'!$M$7:$M$106=$A84)*(NOT(ISNUMBER(SEARCH("（不採用）",'WBS(基本設計)'!$O$7:$O$106))))*('WBS(基本設計)'!$A$7:$A$106&lt;&gt;""))</f>
        <v>1</v>
      </c>
      <c r="C84" s="365" cm="1">
        <f t="array" ref="C84">SUMPRODUCT(('WBS(基本設計)'!$M$7:$M$106=$A84)*(NOT(ISNUMBER(SEARCH("（不採用）",'WBS(基本設計)'!$O$7:$O$106))))*'WBS(基本設計)'!$J$7:$J$106)</f>
        <v>2</v>
      </c>
    </row>
    <row r="85" spans="1:3">
      <c r="A85" t="s">
        <v>6773</v>
      </c>
      <c r="B85" s="365" cm="1">
        <f t="array" ref="B85">SUMPRODUCT(('WBS(基本設計)'!$M$7:$M$106=$A85)*(NOT(ISNUMBER(SEARCH("（不採用）",'WBS(基本設計)'!$O$7:$O$106))))*('WBS(基本設計)'!$A$7:$A$106&lt;&gt;""))</f>
        <v>4</v>
      </c>
      <c r="C85" s="365" cm="1">
        <f t="array" ref="C85">SUMPRODUCT(('WBS(基本設計)'!$M$7:$M$106=$A85)*(NOT(ISNUMBER(SEARCH("（不採用）",'WBS(基本設計)'!$O$7:$O$106))))*'WBS(基本設計)'!$J$7:$J$106)</f>
        <v>5</v>
      </c>
    </row>
    <row r="86" spans="1:3">
      <c r="A86" t="s">
        <v>6771</v>
      </c>
      <c r="B86" s="365" cm="1">
        <f t="array" ref="B86">SUMPRODUCT(('WBS(基本設計)'!$M$7:$M$106=$A86)*(NOT(ISNUMBER(SEARCH("（不採用）",'WBS(基本設計)'!$O$7:$O$106))))*('WBS(基本設計)'!$A$7:$A$106&lt;&gt;""))</f>
        <v>0</v>
      </c>
      <c r="C86" s="365" cm="1">
        <f t="array" ref="C86">SUMPRODUCT(('WBS(基本設計)'!$M$7:$M$106=$A86)*(NOT(ISNUMBER(SEARCH("（不採用）",'WBS(基本設計)'!$O$7:$O$106))))*'WBS(基本設計)'!$J$7:$J$106)</f>
        <v>0</v>
      </c>
    </row>
    <row r="87" spans="1:3">
      <c r="A87" t="s">
        <v>6767</v>
      </c>
      <c r="B87" s="365" cm="1">
        <f t="array" ref="B87">SUMPRODUCT(('WBS(基本設計)'!$M$7:$M$106=$A87)*(NOT(ISNUMBER(SEARCH("（不採用）",'WBS(基本設計)'!$O$7:$O$106))))*('WBS(基本設計)'!$A$7:$A$106&lt;&gt;""))</f>
        <v>2</v>
      </c>
      <c r="C87" s="365" cm="1">
        <f t="array" ref="C87">SUMPRODUCT(('WBS(基本設計)'!$M$7:$M$106=$A87)*(NOT(ISNUMBER(SEARCH("（不採用）",'WBS(基本設計)'!$O$7:$O$106))))*'WBS(基本設計)'!$J$7:$J$106)</f>
        <v>6</v>
      </c>
    </row>
    <row r="88" spans="1:3">
      <c r="A88" t="s">
        <v>6769</v>
      </c>
      <c r="B88" s="365" cm="1">
        <f t="array" ref="B88">SUMPRODUCT(('WBS(基本設計)'!$M$7:$M$106=$A88)*(NOT(ISNUMBER(SEARCH("（不採用）",'WBS(基本設計)'!$O$7:$O$106))))*('WBS(基本設計)'!$A$7:$A$106&lt;&gt;""))</f>
        <v>0</v>
      </c>
      <c r="C88" s="365" cm="1">
        <f t="array" ref="C88">SUMPRODUCT(('WBS(基本設計)'!$M$7:$M$106=$A88)*(NOT(ISNUMBER(SEARCH("（不採用）",'WBS(基本設計)'!$O$7:$O$106))))*'WBS(基本設計)'!$J$7:$J$106)</f>
        <v>0</v>
      </c>
    </row>
    <row r="89" spans="1:3">
      <c r="A89" t="s">
        <v>6778</v>
      </c>
      <c r="B89" s="365" cm="1">
        <f t="array" ref="B89">SUMPRODUCT(('WBS(基本設計)'!$M$7:$M$106=$A89)*(NOT(ISNUMBER(SEARCH("（不採用）",'WBS(基本設計)'!$O$7:$O$106))))*('WBS(基本設計)'!$A$7:$A$106&lt;&gt;""))</f>
        <v>17</v>
      </c>
      <c r="C89" s="365" cm="1">
        <f t="array" ref="C89">SUMPRODUCT(('WBS(基本設計)'!$M$7:$M$106=$A89)*(NOT(ISNUMBER(SEARCH("（不採用）",'WBS(基本設計)'!$O$7:$O$106))))*'WBS(基本設計)'!$J$7:$J$106)</f>
        <v>31.5</v>
      </c>
    </row>
    <row r="90" spans="1:3">
      <c r="A90" t="s">
        <v>6781</v>
      </c>
      <c r="B90" s="365" cm="1">
        <f t="array" ref="B90">SUMPRODUCT(('WBS(基本設計)'!$M$7:$M$106=$A90)*(NOT(ISNUMBER(SEARCH("（不採用）",'WBS(基本設計)'!$O$7:$O$106))))*('WBS(基本設計)'!$A$7:$A$106&lt;&gt;""))</f>
        <v>17</v>
      </c>
      <c r="C90" s="365" cm="1">
        <f t="array" ref="C90">SUMPRODUCT(('WBS(基本設計)'!$M$7:$M$106=$A90)*(NOT(ISNUMBER(SEARCH("（不採用）",'WBS(基本設計)'!$O$7:$O$106))))*'WBS(基本設計)'!$J$7:$J$106)</f>
        <v>24.5</v>
      </c>
    </row>
    <row r="91" spans="1:3">
      <c r="A91" t="s">
        <v>6780</v>
      </c>
      <c r="B91" s="365" cm="1">
        <f t="array" ref="B91">SUMPRODUCT(('WBS(基本設計)'!$M$7:$M$106=$A91)*(NOT(ISNUMBER(SEARCH("（不採用）",'WBS(基本設計)'!$O$7:$O$106))))*('WBS(基本設計)'!$A$7:$A$106&lt;&gt;""))</f>
        <v>0</v>
      </c>
      <c r="C91" s="365" cm="1">
        <f t="array" ref="C91">SUMPRODUCT(('WBS(基本設計)'!$M$7:$M$106=$A91)*(NOT(ISNUMBER(SEARCH("（不採用）",'WBS(基本設計)'!$O$7:$O$106))))*'WBS(基本設計)'!$J$7:$J$106)</f>
        <v>0</v>
      </c>
    </row>
    <row r="92" spans="1:3">
      <c r="A92" s="364" t="s">
        <v>6793</v>
      </c>
      <c r="B92" s="366" cm="1">
        <f t="array" ref="B92">SUMPRODUCT(('WBS(基本設計)'!$M$7:$M$106=$A92)*(NOT(ISNUMBER(SEARCH("（不採用）",'WBS(基本設計)'!$O$7:$O$106))))*('WBS(基本設計)'!$A$7:$A$106&lt;&gt;""))</f>
        <v>1</v>
      </c>
      <c r="C92" s="366" cm="1">
        <f t="array" ref="C92">SUMPRODUCT(('WBS(基本設計)'!$M$7:$M$106=$A92)*(NOT(ISNUMBER(SEARCH("（不採用）",'WBS(基本設計)'!$O$7:$O$106))))*'WBS(基本設計)'!$J$7:$J$106)</f>
        <v>2</v>
      </c>
    </row>
    <row r="93" spans="1:3">
      <c r="A93" t="s">
        <v>7</v>
      </c>
      <c r="B93">
        <f>SUM(B76:B92)</f>
        <v>92</v>
      </c>
      <c r="C93">
        <f>SUM(C76:C92)</f>
        <v>145</v>
      </c>
    </row>
  </sheetData>
  <phoneticPr fontId="3"/>
  <conditionalFormatting sqref="A76:C91">
    <cfRule type="expression" dxfId="4" priority="5">
      <formula>$A76="利用者が 1 箇所になり不要"</formula>
    </cfRule>
  </conditionalFormatting>
  <conditionalFormatting sqref="A63:D70">
    <cfRule type="expression" dxfId="3" priority="1">
      <formula>ISNUMBER(SEARCH("（不採用）",$A63))</formula>
    </cfRule>
    <cfRule type="expression" dxfId="2" priority="2">
      <formula>ISNUMBER(SEARCH("（未判断）",$A63))</formula>
    </cfRule>
  </conditionalFormatting>
  <conditionalFormatting sqref="A27:G57">
    <cfRule type="expression" dxfId="1" priority="3">
      <formula>$G27="アプリ移管"</formula>
    </cfRule>
    <cfRule type="expression" dxfId="0" priority="4">
      <formula>$G27="混在"</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Z200"/>
  <sheetViews>
    <sheetView workbookViewId="0">
      <pane ySplit="1" topLeftCell="A2" activePane="bottomLeft" state="frozen"/>
      <selection pane="bottomLeft" activeCell="C2" sqref="C2:C42"/>
    </sheetView>
  </sheetViews>
  <sheetFormatPr baseColWidth="10" defaultRowHeight="18"/>
  <cols>
    <col min="1" max="1" width="31.42578125" style="30" customWidth="1"/>
    <col min="2" max="2" width="10" style="30" customWidth="1"/>
    <col min="3" max="3" width="60" style="30" customWidth="1"/>
    <col min="4" max="5" width="7.85546875" style="30" customWidth="1"/>
    <col min="6" max="8" width="11.42578125" style="30" customWidth="1"/>
    <col min="9" max="16384" width="10.7109375" style="30"/>
  </cols>
  <sheetData>
    <row r="1" spans="1:26" ht="20">
      <c r="A1" s="409" t="s">
        <v>6420</v>
      </c>
      <c r="B1" s="409" t="s">
        <v>665</v>
      </c>
      <c r="C1" s="409" t="s">
        <v>10</v>
      </c>
      <c r="D1" s="409" t="s">
        <v>7240</v>
      </c>
      <c r="E1" s="409" t="s">
        <v>2521</v>
      </c>
      <c r="F1" s="408" t="s">
        <v>7244</v>
      </c>
      <c r="G1" s="408" t="s">
        <v>7245</v>
      </c>
      <c r="H1" s="408" t="s">
        <v>7246</v>
      </c>
      <c r="I1"/>
      <c r="J1"/>
      <c r="K1"/>
      <c r="L1"/>
      <c r="M1"/>
      <c r="N1"/>
      <c r="O1"/>
      <c r="P1"/>
      <c r="Q1"/>
      <c r="R1"/>
      <c r="S1"/>
      <c r="T1"/>
      <c r="U1"/>
      <c r="V1"/>
      <c r="W1"/>
      <c r="X1"/>
      <c r="Y1"/>
      <c r="Z1"/>
    </row>
    <row r="2" spans="1:26" ht="20">
      <c r="A2" s="406" t="s">
        <v>7249</v>
      </c>
      <c r="B2" s="406" t="s">
        <v>6819</v>
      </c>
      <c r="C2" s="406" t="s">
        <v>7250</v>
      </c>
      <c r="D2" s="411">
        <v>9</v>
      </c>
      <c r="E2" s="411">
        <v>10.5</v>
      </c>
      <c r="F2">
        <f>COUNTIF('WBS(基本設計)'!$E$7:$E$106,$A2)</f>
        <v>0</v>
      </c>
      <c r="G2">
        <f>SUMIF('WBS(基本設計)'!$E$7:$E$106,$A2,'WBS(基本設計)'!$J$7:$J$106)</f>
        <v>0</v>
      </c>
      <c r="H2" t="str">
        <f>IF(AND(F2=D2,G2=E2),"","要確認")</f>
        <v>要確認</v>
      </c>
      <c r="I2"/>
      <c r="J2"/>
      <c r="K2"/>
      <c r="L2"/>
      <c r="M2"/>
      <c r="N2"/>
      <c r="O2"/>
      <c r="P2"/>
      <c r="Q2"/>
      <c r="R2"/>
      <c r="S2"/>
      <c r="T2"/>
      <c r="U2"/>
      <c r="V2"/>
      <c r="W2"/>
      <c r="X2"/>
      <c r="Y2"/>
      <c r="Z2"/>
    </row>
    <row r="3" spans="1:26" ht="20">
      <c r="A3" s="406" t="s">
        <v>7251</v>
      </c>
      <c r="B3" s="406" t="s">
        <v>6819</v>
      </c>
      <c r="C3" s="406" t="s">
        <v>7252</v>
      </c>
      <c r="D3" s="411">
        <v>27</v>
      </c>
      <c r="E3" s="411">
        <v>50</v>
      </c>
      <c r="F3">
        <f>COUNTIF('WBS(基本設計)'!$E$7:$E$469,$A3)</f>
        <v>12</v>
      </c>
      <c r="G3">
        <f>SUMIF('WBS(基本設計)'!$E$7:$E$469,$A3,'WBS(基本設計)'!$J$7:$J$469)</f>
        <v>22</v>
      </c>
      <c r="H3" t="str">
        <f t="shared" ref="H3:H34" si="0">IF(AND(F3=D3,G3=E3),"","要確認")</f>
        <v>要確認</v>
      </c>
      <c r="I3"/>
      <c r="J3"/>
      <c r="K3"/>
      <c r="L3"/>
      <c r="M3"/>
      <c r="N3"/>
      <c r="O3"/>
      <c r="P3"/>
      <c r="Q3"/>
      <c r="R3"/>
      <c r="S3"/>
      <c r="T3"/>
      <c r="U3"/>
      <c r="V3"/>
      <c r="W3"/>
      <c r="X3"/>
      <c r="Y3"/>
      <c r="Z3"/>
    </row>
    <row r="4" spans="1:26" ht="20">
      <c r="A4" s="406" t="s">
        <v>7253</v>
      </c>
      <c r="B4" s="406" t="s">
        <v>6819</v>
      </c>
      <c r="C4" s="406" t="s">
        <v>7254</v>
      </c>
      <c r="D4" s="411">
        <v>8</v>
      </c>
      <c r="E4" s="411">
        <v>10.75</v>
      </c>
      <c r="F4">
        <f>COUNTIF('WBS(基本設計)'!$E$7:$E$469,$A4)</f>
        <v>2</v>
      </c>
      <c r="G4">
        <f>SUMIF('WBS(基本設計)'!$E$7:$E$469,$A4,'WBS(基本設計)'!$J$7:$J$469)</f>
        <v>2.5</v>
      </c>
      <c r="H4" t="str">
        <f t="shared" si="0"/>
        <v>要確認</v>
      </c>
      <c r="I4"/>
      <c r="J4"/>
      <c r="K4"/>
      <c r="L4"/>
      <c r="M4"/>
      <c r="N4"/>
      <c r="O4"/>
      <c r="P4"/>
      <c r="Q4"/>
      <c r="R4"/>
      <c r="S4"/>
      <c r="T4"/>
      <c r="U4"/>
      <c r="V4"/>
      <c r="W4"/>
      <c r="X4"/>
      <c r="Y4"/>
      <c r="Z4"/>
    </row>
    <row r="5" spans="1:26" ht="20">
      <c r="A5" s="406" t="s">
        <v>6425</v>
      </c>
      <c r="B5" s="406" t="s">
        <v>6819</v>
      </c>
      <c r="C5" s="406" t="s">
        <v>7255</v>
      </c>
      <c r="D5" s="411">
        <v>14</v>
      </c>
      <c r="E5" s="411">
        <v>12.5</v>
      </c>
      <c r="F5">
        <f>COUNTIF('WBS(基本設計)'!$E$7:$E$469,$A5)</f>
        <v>2</v>
      </c>
      <c r="G5">
        <f>SUMIF('WBS(基本設計)'!$E$7:$E$469,$A5,'WBS(基本設計)'!$J$7:$J$469)</f>
        <v>1</v>
      </c>
      <c r="H5" t="str">
        <f t="shared" si="0"/>
        <v>要確認</v>
      </c>
      <c r="I5"/>
      <c r="J5"/>
      <c r="K5"/>
      <c r="L5"/>
      <c r="M5"/>
      <c r="N5"/>
      <c r="O5"/>
      <c r="P5"/>
      <c r="Q5"/>
      <c r="R5"/>
      <c r="S5"/>
      <c r="T5"/>
      <c r="U5"/>
      <c r="V5"/>
      <c r="W5"/>
      <c r="X5"/>
      <c r="Y5"/>
      <c r="Z5"/>
    </row>
    <row r="6" spans="1:26" ht="20">
      <c r="A6" s="406" t="s">
        <v>7256</v>
      </c>
      <c r="B6" s="406" t="s">
        <v>6819</v>
      </c>
      <c r="C6" s="406" t="s">
        <v>7257</v>
      </c>
      <c r="D6" s="411">
        <v>12</v>
      </c>
      <c r="E6" s="411">
        <v>8.5</v>
      </c>
      <c r="F6">
        <f>COUNTIF('WBS(基本設計)'!$E$7:$E$469,$A6)</f>
        <v>0</v>
      </c>
      <c r="G6">
        <f>SUMIF('WBS(基本設計)'!$E$7:$E$469,$A6,'WBS(基本設計)'!$J$7:$J$469)</f>
        <v>0</v>
      </c>
      <c r="H6" t="str">
        <f t="shared" si="0"/>
        <v>要確認</v>
      </c>
      <c r="I6"/>
      <c r="J6"/>
      <c r="K6"/>
      <c r="L6"/>
      <c r="M6"/>
      <c r="N6"/>
      <c r="O6"/>
      <c r="P6"/>
      <c r="Q6"/>
      <c r="R6"/>
      <c r="S6"/>
      <c r="T6"/>
      <c r="U6"/>
      <c r="V6"/>
      <c r="W6"/>
      <c r="X6"/>
      <c r="Y6"/>
      <c r="Z6"/>
    </row>
    <row r="7" spans="1:26" ht="20">
      <c r="A7" s="406" t="s">
        <v>6427</v>
      </c>
      <c r="B7" s="406" t="s">
        <v>6819</v>
      </c>
      <c r="C7" s="406" t="s">
        <v>7258</v>
      </c>
      <c r="D7" s="411">
        <v>6</v>
      </c>
      <c r="E7" s="411">
        <v>5.5</v>
      </c>
      <c r="F7">
        <f>COUNTIF('WBS(基本設計)'!$E$7:$E$469,$A7)</f>
        <v>0</v>
      </c>
      <c r="G7">
        <f>SUMIF('WBS(基本設計)'!$E$7:$E$469,$A7,'WBS(基本設計)'!$J$7:$J$469)</f>
        <v>0</v>
      </c>
      <c r="H7" t="str">
        <f t="shared" si="0"/>
        <v>要確認</v>
      </c>
      <c r="I7"/>
      <c r="J7"/>
      <c r="K7"/>
      <c r="L7"/>
      <c r="M7"/>
      <c r="N7"/>
      <c r="O7"/>
      <c r="P7"/>
      <c r="Q7"/>
      <c r="R7"/>
      <c r="S7"/>
      <c r="T7"/>
      <c r="U7"/>
      <c r="V7"/>
      <c r="W7"/>
      <c r="X7"/>
      <c r="Y7"/>
      <c r="Z7"/>
    </row>
    <row r="8" spans="1:26" ht="20">
      <c r="A8" s="406" t="s">
        <v>7259</v>
      </c>
      <c r="B8" s="406" t="s">
        <v>6819</v>
      </c>
      <c r="C8" s="406" t="s">
        <v>7260</v>
      </c>
      <c r="D8" s="411">
        <v>9</v>
      </c>
      <c r="E8" s="411">
        <v>16</v>
      </c>
      <c r="F8">
        <f>COUNTIF('WBS(基本設計)'!$E$7:$E$469,$A8)</f>
        <v>5</v>
      </c>
      <c r="G8">
        <f>SUMIF('WBS(基本設計)'!$E$7:$E$469,$A8,'WBS(基本設計)'!$J$7:$J$469)</f>
        <v>9</v>
      </c>
      <c r="H8" t="str">
        <f t="shared" si="0"/>
        <v>要確認</v>
      </c>
      <c r="I8"/>
      <c r="J8"/>
      <c r="K8"/>
      <c r="L8"/>
      <c r="M8"/>
      <c r="N8"/>
      <c r="O8"/>
      <c r="P8"/>
      <c r="Q8"/>
      <c r="R8"/>
      <c r="S8"/>
      <c r="T8"/>
      <c r="U8"/>
      <c r="V8"/>
      <c r="W8"/>
      <c r="X8"/>
      <c r="Y8"/>
      <c r="Z8"/>
    </row>
    <row r="9" spans="1:26" ht="20">
      <c r="A9" s="406" t="s">
        <v>7261</v>
      </c>
      <c r="B9" s="406" t="s">
        <v>6819</v>
      </c>
      <c r="C9" s="406" t="s">
        <v>7262</v>
      </c>
      <c r="D9" s="411">
        <v>5</v>
      </c>
      <c r="E9" s="411">
        <v>7.5</v>
      </c>
      <c r="F9">
        <f>COUNTIF('WBS(基本設計)'!$E$7:$E$469,$A9)</f>
        <v>0</v>
      </c>
      <c r="G9">
        <f>SUMIF('WBS(基本設計)'!$E$7:$E$469,$A9,'WBS(基本設計)'!$J$7:$J$469)</f>
        <v>0</v>
      </c>
      <c r="H9" t="str">
        <f t="shared" si="0"/>
        <v>要確認</v>
      </c>
      <c r="I9"/>
      <c r="J9"/>
      <c r="K9"/>
      <c r="L9"/>
      <c r="M9"/>
      <c r="N9"/>
      <c r="O9"/>
      <c r="P9"/>
      <c r="Q9"/>
      <c r="R9"/>
      <c r="S9"/>
      <c r="T9"/>
      <c r="U9"/>
      <c r="V9"/>
      <c r="W9"/>
      <c r="X9"/>
      <c r="Y9"/>
      <c r="Z9"/>
    </row>
    <row r="10" spans="1:26" ht="20">
      <c r="A10" s="406" t="s">
        <v>1502</v>
      </c>
      <c r="B10" s="406" t="s">
        <v>6819</v>
      </c>
      <c r="C10" s="406" t="s">
        <v>7263</v>
      </c>
      <c r="D10" s="411">
        <v>2</v>
      </c>
      <c r="E10" s="411">
        <v>2.5</v>
      </c>
      <c r="F10">
        <f>COUNTIF('WBS(基本設計)'!$E$7:$E$469,$A10)</f>
        <v>0</v>
      </c>
      <c r="G10">
        <f>SUMIF('WBS(基本設計)'!$E$7:$E$469,$A10,'WBS(基本設計)'!$J$7:$J$469)</f>
        <v>0</v>
      </c>
      <c r="H10" t="str">
        <f t="shared" si="0"/>
        <v>要確認</v>
      </c>
      <c r="I10"/>
      <c r="J10"/>
      <c r="K10"/>
      <c r="L10"/>
      <c r="M10"/>
      <c r="N10"/>
      <c r="O10"/>
      <c r="P10"/>
      <c r="Q10"/>
      <c r="R10"/>
      <c r="S10"/>
      <c r="T10"/>
      <c r="U10"/>
      <c r="V10"/>
      <c r="W10"/>
      <c r="X10"/>
      <c r="Y10"/>
      <c r="Z10"/>
    </row>
    <row r="11" spans="1:26" ht="20">
      <c r="A11" s="406" t="s">
        <v>7264</v>
      </c>
      <c r="B11" s="406" t="s">
        <v>7265</v>
      </c>
      <c r="C11" s="406" t="s">
        <v>7266</v>
      </c>
      <c r="D11" s="411">
        <v>9</v>
      </c>
      <c r="E11" s="411">
        <v>17.75</v>
      </c>
      <c r="F11">
        <f>COUNTIF('WBS(基本設計)'!$E$7:$E$469,$A11)</f>
        <v>0</v>
      </c>
      <c r="G11">
        <f>SUMIF('WBS(基本設計)'!$E$7:$E$469,$A11,'WBS(基本設計)'!$J$7:$J$469)</f>
        <v>0</v>
      </c>
      <c r="H11" t="str">
        <f t="shared" si="0"/>
        <v>要確認</v>
      </c>
      <c r="I11"/>
      <c r="J11"/>
      <c r="K11"/>
      <c r="L11"/>
      <c r="M11"/>
      <c r="N11"/>
      <c r="O11"/>
      <c r="P11"/>
      <c r="Q11"/>
      <c r="R11"/>
      <c r="S11"/>
      <c r="T11"/>
      <c r="U11"/>
      <c r="V11"/>
      <c r="W11"/>
      <c r="X11"/>
      <c r="Y11"/>
      <c r="Z11"/>
    </row>
    <row r="12" spans="1:26" ht="20">
      <c r="A12" s="406" t="s">
        <v>7267</v>
      </c>
      <c r="B12" s="406" t="s">
        <v>7265</v>
      </c>
      <c r="C12" s="406" t="s">
        <v>7268</v>
      </c>
      <c r="D12" s="411">
        <v>10</v>
      </c>
      <c r="E12" s="411">
        <v>18.75</v>
      </c>
      <c r="F12">
        <f>COUNTIF('WBS(基本設計)'!$E$7:$E$469,$A12)</f>
        <v>0</v>
      </c>
      <c r="G12">
        <f>SUMIF('WBS(基本設計)'!$E$7:$E$469,$A12,'WBS(基本設計)'!$J$7:$J$469)</f>
        <v>0</v>
      </c>
      <c r="H12" t="str">
        <f t="shared" si="0"/>
        <v>要確認</v>
      </c>
      <c r="I12"/>
      <c r="J12"/>
      <c r="K12"/>
      <c r="L12"/>
      <c r="M12"/>
      <c r="N12"/>
      <c r="O12"/>
      <c r="P12"/>
      <c r="Q12"/>
      <c r="R12"/>
      <c r="S12"/>
      <c r="T12"/>
      <c r="U12"/>
      <c r="V12"/>
      <c r="W12"/>
      <c r="X12"/>
      <c r="Y12"/>
      <c r="Z12"/>
    </row>
    <row r="13" spans="1:26" ht="20">
      <c r="A13" s="406" t="s">
        <v>7269</v>
      </c>
      <c r="B13" s="406" t="s">
        <v>7265</v>
      </c>
      <c r="C13" s="406" t="s">
        <v>7270</v>
      </c>
      <c r="D13" s="411">
        <v>16</v>
      </c>
      <c r="E13" s="411">
        <v>23.25</v>
      </c>
      <c r="F13">
        <f>COUNTIF('WBS(基本設計)'!$E$7:$E$469,$A13)</f>
        <v>0</v>
      </c>
      <c r="G13">
        <f>SUMIF('WBS(基本設計)'!$E$7:$E$469,$A13,'WBS(基本設計)'!$J$7:$J$469)</f>
        <v>0</v>
      </c>
      <c r="H13" t="str">
        <f t="shared" si="0"/>
        <v>要確認</v>
      </c>
      <c r="I13"/>
      <c r="J13"/>
      <c r="K13"/>
      <c r="L13"/>
      <c r="M13"/>
      <c r="N13"/>
      <c r="O13"/>
      <c r="P13"/>
      <c r="Q13"/>
      <c r="R13"/>
      <c r="S13"/>
      <c r="T13"/>
      <c r="U13"/>
      <c r="V13"/>
      <c r="W13"/>
      <c r="X13"/>
      <c r="Y13"/>
      <c r="Z13"/>
    </row>
    <row r="14" spans="1:26" ht="20">
      <c r="A14" s="406" t="s">
        <v>7271</v>
      </c>
      <c r="B14" s="406" t="s">
        <v>7265</v>
      </c>
      <c r="C14" s="406" t="s">
        <v>7272</v>
      </c>
      <c r="D14" s="411">
        <v>30</v>
      </c>
      <c r="E14" s="411">
        <v>22.75</v>
      </c>
      <c r="F14">
        <f>COUNTIF('WBS(基本設計)'!$E$7:$E$469,$A14)</f>
        <v>0</v>
      </c>
      <c r="G14">
        <f>SUMIF('WBS(基本設計)'!$E$7:$E$469,$A14,'WBS(基本設計)'!$J$7:$J$469)</f>
        <v>0</v>
      </c>
      <c r="H14" t="str">
        <f t="shared" si="0"/>
        <v>要確認</v>
      </c>
      <c r="I14"/>
      <c r="J14"/>
      <c r="K14"/>
      <c r="L14"/>
      <c r="M14"/>
      <c r="N14"/>
      <c r="O14"/>
      <c r="P14"/>
      <c r="Q14"/>
      <c r="R14"/>
      <c r="S14"/>
      <c r="T14"/>
      <c r="U14"/>
      <c r="V14"/>
      <c r="W14"/>
      <c r="X14"/>
      <c r="Y14"/>
      <c r="Z14"/>
    </row>
    <row r="15" spans="1:26" ht="20">
      <c r="A15" s="406" t="s">
        <v>7273</v>
      </c>
      <c r="B15" s="406" t="s">
        <v>7265</v>
      </c>
      <c r="C15" s="406" t="s">
        <v>7274</v>
      </c>
      <c r="D15" s="411">
        <v>10</v>
      </c>
      <c r="E15" s="411">
        <v>7.5</v>
      </c>
      <c r="F15">
        <f>COUNTIF('WBS(基本設計)'!$E$7:$E$469,$A15)</f>
        <v>1</v>
      </c>
      <c r="G15">
        <f>SUMIF('WBS(基本設計)'!$E$7:$E$469,$A15,'WBS(基本設計)'!$J$7:$J$469)</f>
        <v>1</v>
      </c>
      <c r="H15" t="str">
        <f t="shared" si="0"/>
        <v>要確認</v>
      </c>
      <c r="I15"/>
      <c r="J15"/>
      <c r="K15"/>
      <c r="L15"/>
      <c r="M15"/>
      <c r="N15"/>
      <c r="O15"/>
      <c r="P15"/>
      <c r="Q15"/>
      <c r="R15"/>
      <c r="S15"/>
      <c r="T15"/>
      <c r="U15"/>
      <c r="V15"/>
      <c r="W15"/>
      <c r="X15"/>
      <c r="Y15"/>
      <c r="Z15"/>
    </row>
    <row r="16" spans="1:26" ht="20">
      <c r="A16" s="406" t="s">
        <v>7275</v>
      </c>
      <c r="B16" s="406" t="s">
        <v>7265</v>
      </c>
      <c r="C16" s="406" t="s">
        <v>7276</v>
      </c>
      <c r="D16" s="411">
        <v>18</v>
      </c>
      <c r="E16" s="411">
        <v>19.75</v>
      </c>
      <c r="F16">
        <f>COUNTIF('WBS(基本設計)'!$E$7:$E$469,$A16)</f>
        <v>1</v>
      </c>
      <c r="G16">
        <f>SUMIF('WBS(基本設計)'!$E$7:$E$469,$A16,'WBS(基本設計)'!$J$7:$J$469)</f>
        <v>3</v>
      </c>
      <c r="H16" t="str">
        <f t="shared" si="0"/>
        <v>要確認</v>
      </c>
      <c r="I16"/>
      <c r="J16"/>
      <c r="K16"/>
      <c r="L16"/>
      <c r="M16"/>
      <c r="N16"/>
      <c r="O16"/>
      <c r="P16"/>
      <c r="Q16"/>
      <c r="R16"/>
      <c r="S16"/>
      <c r="T16"/>
      <c r="U16"/>
      <c r="V16"/>
      <c r="W16"/>
      <c r="X16"/>
      <c r="Y16"/>
      <c r="Z16"/>
    </row>
    <row r="17" spans="1:26" ht="20">
      <c r="A17" s="406" t="s">
        <v>6438</v>
      </c>
      <c r="B17" s="406" t="s">
        <v>7277</v>
      </c>
      <c r="C17" s="406" t="s">
        <v>7278</v>
      </c>
      <c r="D17" s="411">
        <v>26</v>
      </c>
      <c r="E17" s="411">
        <v>22.25</v>
      </c>
      <c r="F17">
        <f>COUNTIF('WBS(基本設計)'!$E$7:$E$469,$A17)</f>
        <v>1</v>
      </c>
      <c r="G17">
        <f>SUMIF('WBS(基本設計)'!$E$7:$E$469,$A17,'WBS(基本設計)'!$J$7:$J$469)</f>
        <v>2</v>
      </c>
      <c r="H17" t="str">
        <f t="shared" si="0"/>
        <v>要確認</v>
      </c>
      <c r="I17"/>
      <c r="J17"/>
      <c r="K17"/>
      <c r="L17"/>
      <c r="M17"/>
      <c r="N17"/>
      <c r="O17"/>
      <c r="P17"/>
      <c r="Q17"/>
      <c r="R17"/>
      <c r="S17"/>
      <c r="T17"/>
      <c r="U17"/>
      <c r="V17"/>
      <c r="W17"/>
      <c r="X17"/>
      <c r="Y17"/>
      <c r="Z17"/>
    </row>
    <row r="18" spans="1:26" ht="20">
      <c r="A18" s="406" t="s">
        <v>7279</v>
      </c>
      <c r="B18" s="406" t="s">
        <v>7277</v>
      </c>
      <c r="C18" s="406" t="s">
        <v>7280</v>
      </c>
      <c r="D18" s="411">
        <v>26</v>
      </c>
      <c r="E18" s="411">
        <v>46.75</v>
      </c>
      <c r="F18">
        <f>COUNTIF('WBS(基本設計)'!$E$7:$E$469,$A18)</f>
        <v>4</v>
      </c>
      <c r="G18">
        <f>SUMIF('WBS(基本設計)'!$E$7:$E$469,$A18,'WBS(基本設計)'!$J$7:$J$469)</f>
        <v>5</v>
      </c>
      <c r="H18" t="str">
        <f t="shared" si="0"/>
        <v>要確認</v>
      </c>
      <c r="I18"/>
      <c r="J18"/>
      <c r="K18"/>
      <c r="L18"/>
      <c r="M18"/>
      <c r="N18"/>
      <c r="O18"/>
      <c r="P18"/>
      <c r="Q18"/>
      <c r="R18"/>
      <c r="S18"/>
      <c r="T18"/>
      <c r="U18"/>
      <c r="V18"/>
      <c r="W18"/>
      <c r="X18"/>
      <c r="Y18"/>
      <c r="Z18"/>
    </row>
    <row r="19" spans="1:26" ht="20">
      <c r="A19" s="406" t="s">
        <v>7281</v>
      </c>
      <c r="B19" s="406" t="s">
        <v>7277</v>
      </c>
      <c r="C19" s="406" t="s">
        <v>7241</v>
      </c>
      <c r="D19" s="411">
        <v>5</v>
      </c>
      <c r="E19" s="411">
        <v>6</v>
      </c>
      <c r="F19">
        <f>COUNTIF('WBS(基本設計)'!$E$7:$E$469,$A19)</f>
        <v>0</v>
      </c>
      <c r="G19">
        <f>SUMIF('WBS(基本設計)'!$E$7:$E$469,$A19,'WBS(基本設計)'!$J$7:$J$469)</f>
        <v>0</v>
      </c>
      <c r="H19" t="str">
        <f t="shared" si="0"/>
        <v>要確認</v>
      </c>
      <c r="I19"/>
      <c r="J19"/>
      <c r="K19"/>
      <c r="L19"/>
      <c r="M19"/>
      <c r="N19"/>
      <c r="O19"/>
      <c r="P19"/>
      <c r="Q19"/>
      <c r="R19"/>
      <c r="S19"/>
      <c r="T19"/>
      <c r="U19"/>
      <c r="V19"/>
      <c r="W19"/>
      <c r="X19"/>
      <c r="Y19"/>
      <c r="Z19"/>
    </row>
    <row r="20" spans="1:26" ht="20">
      <c r="A20" s="406" t="s">
        <v>7282</v>
      </c>
      <c r="B20" s="406" t="s">
        <v>6822</v>
      </c>
      <c r="C20" s="406" t="s">
        <v>7242</v>
      </c>
      <c r="D20" s="411">
        <v>15</v>
      </c>
      <c r="E20" s="411">
        <v>27</v>
      </c>
      <c r="F20">
        <f>COUNTIF('WBS(基本設計)'!$E$7:$E$469,$A20)</f>
        <v>1</v>
      </c>
      <c r="G20">
        <f>SUMIF('WBS(基本設計)'!$E$7:$E$469,$A20,'WBS(基本設計)'!$J$7:$J$469)</f>
        <v>1</v>
      </c>
      <c r="H20" t="str">
        <f t="shared" si="0"/>
        <v>要確認</v>
      </c>
      <c r="I20"/>
      <c r="J20"/>
      <c r="K20"/>
      <c r="L20"/>
      <c r="M20"/>
      <c r="N20"/>
      <c r="O20"/>
      <c r="P20"/>
      <c r="Q20"/>
      <c r="R20"/>
      <c r="S20"/>
      <c r="T20"/>
      <c r="U20"/>
      <c r="V20"/>
      <c r="W20"/>
      <c r="X20"/>
      <c r="Y20"/>
      <c r="Z20"/>
    </row>
    <row r="21" spans="1:26" ht="20">
      <c r="A21" s="406" t="s">
        <v>7283</v>
      </c>
      <c r="B21" s="406" t="s">
        <v>6822</v>
      </c>
      <c r="C21" s="406" t="s">
        <v>7284</v>
      </c>
      <c r="D21" s="411">
        <v>6</v>
      </c>
      <c r="E21" s="411">
        <v>13</v>
      </c>
      <c r="F21">
        <f>COUNTIF('WBS(基本設計)'!$E$7:$E$469,$A21)</f>
        <v>0</v>
      </c>
      <c r="G21">
        <f>SUMIF('WBS(基本設計)'!$E$7:$E$469,$A21,'WBS(基本設計)'!$J$7:$J$469)</f>
        <v>0</v>
      </c>
      <c r="H21" t="str">
        <f t="shared" si="0"/>
        <v>要確認</v>
      </c>
      <c r="I21"/>
      <c r="J21"/>
      <c r="K21"/>
      <c r="L21"/>
      <c r="M21"/>
      <c r="N21"/>
      <c r="O21"/>
      <c r="P21"/>
      <c r="Q21"/>
      <c r="R21"/>
      <c r="S21"/>
      <c r="T21"/>
      <c r="U21"/>
      <c r="V21"/>
      <c r="W21"/>
      <c r="X21"/>
      <c r="Y21"/>
      <c r="Z21"/>
    </row>
    <row r="22" spans="1:26" ht="20">
      <c r="A22" s="406" t="s">
        <v>7285</v>
      </c>
      <c r="B22" s="406" t="s">
        <v>7286</v>
      </c>
      <c r="C22" s="406" t="s">
        <v>7287</v>
      </c>
      <c r="D22" s="411">
        <v>18</v>
      </c>
      <c r="E22" s="411">
        <v>28</v>
      </c>
      <c r="F22">
        <f>COUNTIF('WBS(基本設計)'!$E$7:$E$469,$A22)</f>
        <v>4</v>
      </c>
      <c r="G22">
        <f>SUMIF('WBS(基本設計)'!$E$7:$E$469,$A22,'WBS(基本設計)'!$J$7:$J$469)</f>
        <v>5</v>
      </c>
      <c r="H22" t="str">
        <f t="shared" si="0"/>
        <v>要確認</v>
      </c>
      <c r="I22"/>
      <c r="J22"/>
      <c r="K22"/>
      <c r="L22"/>
      <c r="M22"/>
      <c r="N22"/>
      <c r="O22"/>
      <c r="P22"/>
      <c r="Q22"/>
      <c r="R22"/>
      <c r="S22"/>
      <c r="T22"/>
      <c r="U22"/>
      <c r="V22"/>
      <c r="W22"/>
      <c r="X22"/>
      <c r="Y22"/>
      <c r="Z22"/>
    </row>
    <row r="23" spans="1:26" ht="20">
      <c r="A23" s="406" t="s">
        <v>7288</v>
      </c>
      <c r="B23" s="406" t="s">
        <v>7286</v>
      </c>
      <c r="C23" s="406" t="s">
        <v>7289</v>
      </c>
      <c r="D23" s="411">
        <v>5</v>
      </c>
      <c r="E23" s="411">
        <v>5.5</v>
      </c>
      <c r="F23">
        <f>COUNTIF('WBS(基本設計)'!$E$7:$E$469,$A23)</f>
        <v>4</v>
      </c>
      <c r="G23">
        <f>SUMIF('WBS(基本設計)'!$E$7:$E$469,$A23,'WBS(基本設計)'!$J$7:$J$469)</f>
        <v>3.5</v>
      </c>
      <c r="H23" t="str">
        <f t="shared" si="0"/>
        <v>要確認</v>
      </c>
      <c r="I23"/>
      <c r="J23"/>
      <c r="K23"/>
      <c r="L23"/>
      <c r="M23"/>
      <c r="N23"/>
      <c r="O23"/>
      <c r="P23"/>
      <c r="Q23"/>
      <c r="R23"/>
      <c r="S23"/>
      <c r="T23"/>
      <c r="U23"/>
      <c r="V23"/>
      <c r="W23"/>
      <c r="X23"/>
      <c r="Y23"/>
      <c r="Z23"/>
    </row>
    <row r="24" spans="1:26" ht="20">
      <c r="A24" s="406" t="s">
        <v>7290</v>
      </c>
      <c r="B24" s="406" t="s">
        <v>7286</v>
      </c>
      <c r="C24" s="406" t="s">
        <v>7291</v>
      </c>
      <c r="D24" s="411">
        <v>3</v>
      </c>
      <c r="E24" s="411">
        <v>3.25</v>
      </c>
      <c r="F24">
        <f>COUNTIF('WBS(基本設計)'!$E$7:$E$469,$A24)</f>
        <v>0</v>
      </c>
      <c r="G24">
        <f>SUMIF('WBS(基本設計)'!$E$7:$E$469,$A24,'WBS(基本設計)'!$J$7:$J$469)</f>
        <v>0</v>
      </c>
      <c r="H24" t="str">
        <f t="shared" si="0"/>
        <v>要確認</v>
      </c>
      <c r="I24"/>
      <c r="J24"/>
      <c r="K24"/>
      <c r="L24"/>
      <c r="M24"/>
      <c r="N24"/>
      <c r="O24"/>
      <c r="P24"/>
      <c r="Q24"/>
      <c r="R24"/>
      <c r="S24"/>
      <c r="T24"/>
      <c r="U24"/>
      <c r="V24"/>
      <c r="W24"/>
      <c r="X24"/>
      <c r="Y24"/>
      <c r="Z24"/>
    </row>
    <row r="25" spans="1:26" ht="20">
      <c r="A25" s="406" t="s">
        <v>6456</v>
      </c>
      <c r="B25" s="406" t="s">
        <v>7286</v>
      </c>
      <c r="C25" s="406" t="s">
        <v>7292</v>
      </c>
      <c r="D25" s="411">
        <v>8</v>
      </c>
      <c r="E25" s="411">
        <v>9.5</v>
      </c>
      <c r="F25">
        <f>COUNTIF('WBS(基本設計)'!$E$7:$E$469,$A25)</f>
        <v>0</v>
      </c>
      <c r="G25">
        <f>SUMIF('WBS(基本設計)'!$E$7:$E$469,$A25,'WBS(基本設計)'!$J$7:$J$469)</f>
        <v>0</v>
      </c>
      <c r="H25" t="str">
        <f t="shared" si="0"/>
        <v>要確認</v>
      </c>
      <c r="I25"/>
      <c r="J25"/>
      <c r="K25"/>
      <c r="L25"/>
      <c r="M25"/>
      <c r="N25"/>
      <c r="O25"/>
      <c r="P25"/>
      <c r="Q25"/>
      <c r="R25"/>
      <c r="S25"/>
      <c r="T25"/>
      <c r="U25"/>
      <c r="V25"/>
      <c r="W25"/>
      <c r="X25"/>
      <c r="Y25"/>
      <c r="Z25"/>
    </row>
    <row r="26" spans="1:26" ht="20">
      <c r="A26" s="406" t="s">
        <v>7293</v>
      </c>
      <c r="B26" s="406" t="s">
        <v>7294</v>
      </c>
      <c r="C26" s="406" t="s">
        <v>7295</v>
      </c>
      <c r="D26" s="411">
        <v>22</v>
      </c>
      <c r="E26" s="411">
        <v>40</v>
      </c>
      <c r="F26">
        <f>COUNTIF('WBS(基本設計)'!$E$7:$E$469,$A26)</f>
        <v>7</v>
      </c>
      <c r="G26">
        <f>SUMIF('WBS(基本設計)'!$E$7:$E$469,$A26,'WBS(基本設計)'!$J$7:$J$469)</f>
        <v>13</v>
      </c>
      <c r="H26" t="str">
        <f t="shared" si="0"/>
        <v>要確認</v>
      </c>
      <c r="I26"/>
      <c r="J26"/>
      <c r="K26"/>
      <c r="L26"/>
      <c r="M26"/>
      <c r="N26"/>
      <c r="O26"/>
      <c r="P26"/>
      <c r="Q26"/>
      <c r="R26"/>
      <c r="S26"/>
      <c r="T26"/>
      <c r="U26"/>
      <c r="V26"/>
      <c r="W26"/>
      <c r="X26"/>
      <c r="Y26"/>
      <c r="Z26"/>
    </row>
    <row r="27" spans="1:26" ht="20">
      <c r="A27" s="406" t="s">
        <v>7296</v>
      </c>
      <c r="B27" s="406" t="s">
        <v>7294</v>
      </c>
      <c r="C27" s="406" t="s">
        <v>7297</v>
      </c>
      <c r="D27" s="411">
        <v>11</v>
      </c>
      <c r="E27" s="411">
        <v>22</v>
      </c>
      <c r="F27">
        <f>COUNTIF('WBS(基本設計)'!$E$7:$E$469,$A27)</f>
        <v>7</v>
      </c>
      <c r="G27">
        <f>SUMIF('WBS(基本設計)'!$E$7:$E$469,$A27,'WBS(基本設計)'!$J$7:$J$469)</f>
        <v>16</v>
      </c>
      <c r="H27" t="str">
        <f t="shared" si="0"/>
        <v>要確認</v>
      </c>
      <c r="I27"/>
      <c r="J27"/>
      <c r="K27"/>
      <c r="L27"/>
      <c r="M27"/>
      <c r="N27"/>
      <c r="O27"/>
      <c r="P27"/>
      <c r="Q27"/>
      <c r="R27"/>
      <c r="S27"/>
      <c r="T27"/>
      <c r="U27"/>
      <c r="V27"/>
      <c r="W27"/>
      <c r="X27"/>
      <c r="Y27"/>
      <c r="Z27"/>
    </row>
    <row r="28" spans="1:26" ht="20">
      <c r="A28" s="406" t="s">
        <v>7298</v>
      </c>
      <c r="B28" s="406" t="s">
        <v>7294</v>
      </c>
      <c r="C28" s="406" t="s">
        <v>7299</v>
      </c>
      <c r="D28" s="411">
        <v>15</v>
      </c>
      <c r="E28" s="411">
        <v>29</v>
      </c>
      <c r="F28">
        <f>COUNTIF('WBS(基本設計)'!$E$7:$E$469,$A28)</f>
        <v>9</v>
      </c>
      <c r="G28">
        <f>SUMIF('WBS(基本設計)'!$E$7:$E$469,$A28,'WBS(基本設計)'!$J$7:$J$469)</f>
        <v>14.5</v>
      </c>
      <c r="H28" t="str">
        <f t="shared" si="0"/>
        <v>要確認</v>
      </c>
      <c r="I28"/>
      <c r="J28"/>
      <c r="K28"/>
      <c r="L28"/>
      <c r="M28"/>
      <c r="N28"/>
      <c r="O28"/>
      <c r="P28"/>
      <c r="Q28"/>
      <c r="R28"/>
      <c r="S28"/>
      <c r="T28"/>
      <c r="U28"/>
      <c r="V28"/>
      <c r="W28"/>
      <c r="X28"/>
      <c r="Y28"/>
      <c r="Z28"/>
    </row>
    <row r="29" spans="1:26" ht="20">
      <c r="A29" s="406" t="s">
        <v>7300</v>
      </c>
      <c r="B29" s="406" t="s">
        <v>7294</v>
      </c>
      <c r="C29" s="406" t="s">
        <v>7301</v>
      </c>
      <c r="D29" s="411">
        <v>14</v>
      </c>
      <c r="E29" s="411">
        <v>22.5</v>
      </c>
      <c r="F29">
        <f>COUNTIF('WBS(基本設計)'!$E$7:$E$469,$A29)</f>
        <v>6</v>
      </c>
      <c r="G29">
        <f>SUMIF('WBS(基本設計)'!$E$7:$E$469,$A29,'WBS(基本設計)'!$J$7:$J$469)</f>
        <v>10</v>
      </c>
      <c r="H29" t="str">
        <f t="shared" si="0"/>
        <v>要確認</v>
      </c>
      <c r="I29"/>
      <c r="J29"/>
      <c r="K29"/>
      <c r="L29"/>
      <c r="M29"/>
      <c r="N29"/>
      <c r="O29"/>
      <c r="P29"/>
      <c r="Q29"/>
      <c r="R29"/>
      <c r="S29"/>
      <c r="T29"/>
      <c r="U29"/>
      <c r="V29"/>
      <c r="W29"/>
      <c r="X29"/>
      <c r="Y29"/>
      <c r="Z29"/>
    </row>
    <row r="30" spans="1:26" ht="20">
      <c r="A30" s="406" t="s">
        <v>7302</v>
      </c>
      <c r="B30" s="406" t="s">
        <v>7294</v>
      </c>
      <c r="C30" s="406" t="s">
        <v>7303</v>
      </c>
      <c r="D30" s="411">
        <v>23</v>
      </c>
      <c r="E30" s="411">
        <v>46</v>
      </c>
      <c r="F30">
        <f>COUNTIF('WBS(基本設計)'!$E$7:$E$469,$A30)</f>
        <v>8</v>
      </c>
      <c r="G30">
        <f>SUMIF('WBS(基本設計)'!$E$7:$E$469,$A30,'WBS(基本設計)'!$J$7:$J$469)</f>
        <v>10</v>
      </c>
      <c r="H30" t="str">
        <f t="shared" si="0"/>
        <v>要確認</v>
      </c>
      <c r="I30"/>
      <c r="J30"/>
      <c r="K30"/>
      <c r="L30"/>
      <c r="M30"/>
      <c r="N30"/>
      <c r="O30"/>
      <c r="P30"/>
      <c r="Q30"/>
      <c r="R30"/>
      <c r="S30"/>
      <c r="T30"/>
      <c r="U30"/>
      <c r="V30"/>
      <c r="W30"/>
      <c r="X30"/>
      <c r="Y30"/>
      <c r="Z30"/>
    </row>
    <row r="31" spans="1:26" ht="20">
      <c r="A31" s="406" t="s">
        <v>7304</v>
      </c>
      <c r="B31" s="406" t="s">
        <v>7294</v>
      </c>
      <c r="C31" s="406" t="s">
        <v>7305</v>
      </c>
      <c r="D31" s="411">
        <v>8</v>
      </c>
      <c r="E31" s="411">
        <v>17</v>
      </c>
      <c r="F31">
        <f>COUNTIF('WBS(基本設計)'!$E$7:$E$469,$A31)</f>
        <v>3</v>
      </c>
      <c r="G31">
        <f>SUMIF('WBS(基本設計)'!$E$7:$E$469,$A31,'WBS(基本設計)'!$J$7:$J$469)</f>
        <v>3</v>
      </c>
      <c r="H31" t="str">
        <f t="shared" si="0"/>
        <v>要確認</v>
      </c>
      <c r="I31"/>
      <c r="J31"/>
      <c r="K31"/>
      <c r="L31"/>
      <c r="M31"/>
      <c r="N31"/>
      <c r="O31"/>
      <c r="P31"/>
      <c r="Q31"/>
      <c r="R31"/>
      <c r="S31"/>
      <c r="T31"/>
      <c r="U31"/>
      <c r="V31"/>
      <c r="W31"/>
      <c r="X31"/>
      <c r="Y31"/>
      <c r="Z31"/>
    </row>
    <row r="32" spans="1:26" ht="20">
      <c r="A32" s="406" t="s">
        <v>7306</v>
      </c>
      <c r="B32" s="406" t="s">
        <v>7294</v>
      </c>
      <c r="C32" s="406" t="s">
        <v>7307</v>
      </c>
      <c r="D32" s="411">
        <v>25</v>
      </c>
      <c r="E32" s="411">
        <v>47</v>
      </c>
      <c r="F32">
        <f>COUNTIF('WBS(基本設計)'!$E$7:$E$469,$A32)</f>
        <v>5</v>
      </c>
      <c r="G32">
        <f>SUMIF('WBS(基本設計)'!$E$7:$E$469,$A32,'WBS(基本設計)'!$J$7:$J$469)</f>
        <v>7</v>
      </c>
      <c r="H32" t="str">
        <f t="shared" si="0"/>
        <v>要確認</v>
      </c>
      <c r="I32"/>
      <c r="J32"/>
      <c r="K32"/>
      <c r="L32"/>
      <c r="M32"/>
      <c r="N32"/>
      <c r="O32"/>
      <c r="P32"/>
      <c r="Q32"/>
      <c r="R32"/>
      <c r="S32"/>
      <c r="T32"/>
      <c r="U32"/>
      <c r="V32"/>
      <c r="W32"/>
      <c r="X32"/>
      <c r="Y32"/>
      <c r="Z32"/>
    </row>
    <row r="33" spans="1:26" ht="20">
      <c r="A33" s="406" t="s">
        <v>7308</v>
      </c>
      <c r="B33" s="406" t="s">
        <v>7294</v>
      </c>
      <c r="C33" s="406" t="s">
        <v>7309</v>
      </c>
      <c r="D33" s="411">
        <v>39</v>
      </c>
      <c r="E33" s="411">
        <v>96</v>
      </c>
      <c r="F33">
        <f>COUNTIF('WBS(基本設計)'!$E$7:$E$469,$A33)</f>
        <v>15</v>
      </c>
      <c r="G33">
        <f>SUMIF('WBS(基本設計)'!$E$7:$E$469,$A33,'WBS(基本設計)'!$J$7:$J$469)</f>
        <v>24.5</v>
      </c>
      <c r="H33" t="str">
        <f t="shared" si="0"/>
        <v>要確認</v>
      </c>
      <c r="I33"/>
      <c r="J33"/>
      <c r="K33"/>
      <c r="L33"/>
      <c r="M33"/>
      <c r="N33"/>
      <c r="O33"/>
      <c r="P33"/>
      <c r="Q33"/>
      <c r="R33"/>
      <c r="S33"/>
      <c r="T33"/>
      <c r="U33"/>
      <c r="V33"/>
      <c r="W33"/>
      <c r="X33"/>
      <c r="Y33"/>
      <c r="Z33"/>
    </row>
    <row r="34" spans="1:26" ht="20">
      <c r="A34" s="406" t="s">
        <v>7310</v>
      </c>
      <c r="B34" s="406" t="s">
        <v>7294</v>
      </c>
      <c r="C34" s="406" t="s">
        <v>7311</v>
      </c>
      <c r="D34" s="411">
        <v>9</v>
      </c>
      <c r="E34" s="411">
        <v>21</v>
      </c>
      <c r="F34">
        <f>COUNTIF('WBS(基本設計)'!$E$7:$E$469,$A34)</f>
        <v>3</v>
      </c>
      <c r="G34">
        <f>SUMIF('WBS(基本設計)'!$E$7:$E$469,$A34,'WBS(基本設計)'!$J$7:$J$469)</f>
        <v>4</v>
      </c>
      <c r="H34" t="str">
        <f t="shared" si="0"/>
        <v>要確認</v>
      </c>
      <c r="I34"/>
      <c r="J34"/>
      <c r="K34"/>
      <c r="L34"/>
      <c r="M34"/>
      <c r="N34"/>
      <c r="O34"/>
      <c r="P34"/>
      <c r="Q34"/>
      <c r="R34"/>
      <c r="S34"/>
      <c r="T34"/>
      <c r="U34"/>
      <c r="V34"/>
      <c r="W34"/>
      <c r="X34"/>
      <c r="Y34"/>
      <c r="Z34"/>
    </row>
    <row r="35" spans="1:26" ht="20">
      <c r="A35"/>
      <c r="B35"/>
      <c r="C35"/>
      <c r="D35"/>
      <c r="E35"/>
      <c r="F35"/>
      <c r="G35"/>
      <c r="H35"/>
      <c r="I35"/>
      <c r="J35"/>
      <c r="K35"/>
      <c r="L35"/>
      <c r="M35"/>
      <c r="N35"/>
      <c r="O35"/>
      <c r="P35"/>
      <c r="Q35"/>
      <c r="R35"/>
      <c r="S35"/>
      <c r="T35"/>
      <c r="U35"/>
      <c r="V35"/>
      <c r="W35"/>
      <c r="X35"/>
      <c r="Y35"/>
      <c r="Z35"/>
    </row>
    <row r="36" spans="1:26" ht="20">
      <c r="A36"/>
      <c r="B36"/>
      <c r="C36"/>
      <c r="D36"/>
      <c r="E36"/>
      <c r="F36"/>
      <c r="G36"/>
      <c r="H36"/>
      <c r="I36"/>
      <c r="J36"/>
      <c r="K36"/>
      <c r="L36"/>
      <c r="M36"/>
      <c r="N36"/>
      <c r="O36"/>
      <c r="P36"/>
      <c r="Q36"/>
      <c r="R36"/>
      <c r="S36"/>
      <c r="T36"/>
      <c r="U36"/>
      <c r="V36"/>
      <c r="W36"/>
      <c r="X36"/>
      <c r="Y36"/>
      <c r="Z36"/>
    </row>
    <row r="37" spans="1:26" ht="20">
      <c r="A37"/>
      <c r="B37"/>
      <c r="C37"/>
      <c r="D37"/>
      <c r="E37"/>
      <c r="F37"/>
      <c r="G37"/>
      <c r="H37"/>
      <c r="I37"/>
      <c r="J37"/>
      <c r="K37"/>
      <c r="L37"/>
      <c r="M37"/>
      <c r="N37"/>
      <c r="O37"/>
      <c r="P37"/>
      <c r="Q37"/>
      <c r="R37"/>
      <c r="S37"/>
      <c r="T37"/>
      <c r="U37"/>
      <c r="V37"/>
      <c r="W37"/>
      <c r="X37"/>
      <c r="Y37"/>
      <c r="Z37"/>
    </row>
    <row r="38" spans="1:26" ht="20">
      <c r="A38"/>
      <c r="B38"/>
      <c r="C38"/>
      <c r="D38"/>
      <c r="E38"/>
      <c r="F38"/>
      <c r="G38"/>
      <c r="H38"/>
      <c r="I38"/>
      <c r="J38"/>
      <c r="K38"/>
      <c r="L38"/>
      <c r="M38"/>
      <c r="N38"/>
      <c r="O38"/>
      <c r="P38"/>
      <c r="Q38"/>
      <c r="R38"/>
      <c r="S38"/>
      <c r="T38"/>
      <c r="U38"/>
      <c r="V38"/>
      <c r="W38"/>
      <c r="X38"/>
      <c r="Y38"/>
      <c r="Z38"/>
    </row>
    <row r="39" spans="1:26" ht="20">
      <c r="A39"/>
      <c r="B39"/>
      <c r="C39"/>
      <c r="D39"/>
      <c r="E39"/>
      <c r="F39"/>
      <c r="G39"/>
      <c r="H39"/>
      <c r="I39"/>
      <c r="J39"/>
      <c r="K39"/>
      <c r="L39"/>
      <c r="M39"/>
      <c r="N39"/>
      <c r="O39"/>
      <c r="P39"/>
      <c r="Q39"/>
      <c r="R39"/>
      <c r="S39"/>
      <c r="T39"/>
      <c r="U39"/>
      <c r="V39"/>
      <c r="W39"/>
      <c r="X39"/>
      <c r="Y39"/>
      <c r="Z39"/>
    </row>
    <row r="40" spans="1:26" ht="20">
      <c r="A40"/>
      <c r="B40"/>
      <c r="C40"/>
      <c r="D40"/>
      <c r="E40"/>
      <c r="F40"/>
      <c r="G40"/>
      <c r="H40"/>
      <c r="I40"/>
      <c r="J40"/>
      <c r="K40"/>
      <c r="L40"/>
      <c r="M40"/>
      <c r="N40"/>
      <c r="O40"/>
      <c r="P40"/>
      <c r="Q40"/>
      <c r="R40"/>
      <c r="S40"/>
      <c r="T40"/>
      <c r="U40"/>
      <c r="V40"/>
      <c r="W40"/>
      <c r="X40"/>
      <c r="Y40"/>
      <c r="Z40"/>
    </row>
    <row r="41" spans="1:26" ht="20">
      <c r="A41"/>
      <c r="B41"/>
      <c r="C41"/>
      <c r="D41"/>
      <c r="E41"/>
      <c r="F41"/>
      <c r="G41"/>
      <c r="H41"/>
      <c r="I41"/>
      <c r="J41"/>
      <c r="K41"/>
      <c r="L41"/>
      <c r="M41"/>
      <c r="N41"/>
      <c r="O41"/>
      <c r="P41"/>
      <c r="Q41"/>
      <c r="R41"/>
      <c r="S41"/>
      <c r="T41"/>
      <c r="U41"/>
      <c r="V41"/>
      <c r="W41"/>
      <c r="X41"/>
      <c r="Y41"/>
      <c r="Z41"/>
    </row>
    <row r="42" spans="1:26" ht="20">
      <c r="A42"/>
      <c r="B42"/>
      <c r="C42"/>
      <c r="D42"/>
      <c r="E42"/>
      <c r="F42"/>
      <c r="G42"/>
      <c r="H42"/>
      <c r="I42"/>
      <c r="J42"/>
      <c r="K42"/>
      <c r="L42"/>
      <c r="M42"/>
      <c r="N42"/>
      <c r="O42"/>
      <c r="P42"/>
      <c r="Q42"/>
      <c r="R42"/>
      <c r="S42"/>
      <c r="T42"/>
      <c r="U42"/>
      <c r="V42"/>
      <c r="W42"/>
      <c r="X42"/>
      <c r="Y42"/>
      <c r="Z42"/>
    </row>
    <row r="43" spans="1:26" ht="20">
      <c r="A43"/>
      <c r="B43"/>
      <c r="C43"/>
      <c r="D43"/>
      <c r="E43"/>
      <c r="F43"/>
      <c r="G43"/>
      <c r="H43"/>
      <c r="I43"/>
      <c r="J43"/>
      <c r="K43"/>
      <c r="L43"/>
      <c r="M43"/>
      <c r="N43"/>
      <c r="O43"/>
      <c r="P43"/>
      <c r="Q43"/>
      <c r="R43"/>
      <c r="S43"/>
      <c r="T43"/>
      <c r="U43"/>
      <c r="V43"/>
      <c r="W43"/>
      <c r="X43"/>
      <c r="Y43"/>
      <c r="Z43"/>
    </row>
    <row r="44" spans="1:26" ht="20">
      <c r="A44"/>
      <c r="B44"/>
      <c r="C44"/>
      <c r="D44"/>
      <c r="E44"/>
      <c r="F44"/>
      <c r="G44"/>
      <c r="H44"/>
      <c r="I44"/>
      <c r="J44"/>
      <c r="K44"/>
      <c r="L44"/>
      <c r="M44"/>
      <c r="N44"/>
      <c r="O44"/>
      <c r="P44"/>
      <c r="Q44"/>
      <c r="R44"/>
      <c r="S44"/>
      <c r="T44"/>
      <c r="U44"/>
      <c r="V44"/>
      <c r="W44"/>
      <c r="X44"/>
      <c r="Y44"/>
      <c r="Z44"/>
    </row>
    <row r="45" spans="1:26" ht="20">
      <c r="A45"/>
      <c r="B45"/>
      <c r="C45"/>
      <c r="D45"/>
      <c r="E45"/>
      <c r="F45"/>
      <c r="G45"/>
      <c r="H45"/>
      <c r="I45"/>
      <c r="J45"/>
      <c r="K45"/>
      <c r="L45"/>
      <c r="M45"/>
      <c r="N45"/>
      <c r="O45"/>
      <c r="P45"/>
      <c r="Q45"/>
      <c r="R45"/>
      <c r="S45"/>
      <c r="T45"/>
      <c r="U45"/>
      <c r="V45"/>
      <c r="W45"/>
      <c r="X45"/>
      <c r="Y45"/>
      <c r="Z45"/>
    </row>
    <row r="46" spans="1:26" ht="20">
      <c r="A46"/>
      <c r="B46"/>
      <c r="C46"/>
      <c r="D46"/>
      <c r="E46"/>
      <c r="F46"/>
      <c r="G46"/>
      <c r="H46"/>
      <c r="I46"/>
      <c r="J46"/>
      <c r="K46"/>
      <c r="L46"/>
      <c r="M46"/>
      <c r="N46"/>
      <c r="O46"/>
      <c r="P46"/>
      <c r="Q46"/>
      <c r="R46"/>
      <c r="S46"/>
      <c r="T46"/>
      <c r="U46"/>
      <c r="V46"/>
      <c r="W46"/>
      <c r="X46"/>
      <c r="Y46"/>
      <c r="Z46"/>
    </row>
    <row r="47" spans="1:26" ht="20">
      <c r="A47"/>
      <c r="B47"/>
      <c r="C47"/>
      <c r="D47"/>
      <c r="E47"/>
      <c r="F47"/>
      <c r="G47"/>
      <c r="H47"/>
      <c r="I47"/>
      <c r="J47"/>
      <c r="K47"/>
      <c r="L47"/>
      <c r="M47"/>
      <c r="N47"/>
      <c r="O47"/>
      <c r="P47"/>
      <c r="Q47"/>
      <c r="R47"/>
      <c r="S47"/>
      <c r="T47"/>
      <c r="U47"/>
      <c r="V47"/>
      <c r="W47"/>
      <c r="X47"/>
      <c r="Y47"/>
      <c r="Z47"/>
    </row>
    <row r="48" spans="1:26" ht="20">
      <c r="A48"/>
      <c r="B48"/>
      <c r="C48"/>
      <c r="D48"/>
      <c r="E48"/>
      <c r="F48"/>
      <c r="G48"/>
      <c r="H48"/>
      <c r="I48"/>
      <c r="J48"/>
      <c r="K48"/>
      <c r="L48"/>
      <c r="M48"/>
      <c r="N48"/>
      <c r="O48"/>
      <c r="P48"/>
      <c r="Q48"/>
      <c r="R48"/>
      <c r="S48"/>
      <c r="T48"/>
      <c r="U48"/>
      <c r="V48"/>
      <c r="W48"/>
      <c r="X48"/>
      <c r="Y48"/>
      <c r="Z48"/>
    </row>
    <row r="49" spans="1:26" ht="20">
      <c r="A49"/>
      <c r="B49"/>
      <c r="C49"/>
      <c r="D49"/>
      <c r="E49"/>
      <c r="F49"/>
      <c r="G49"/>
      <c r="H49"/>
      <c r="I49"/>
      <c r="J49"/>
      <c r="K49"/>
      <c r="L49"/>
      <c r="M49"/>
      <c r="N49"/>
      <c r="O49"/>
      <c r="P49"/>
      <c r="Q49"/>
      <c r="R49"/>
      <c r="S49"/>
      <c r="T49"/>
      <c r="U49"/>
      <c r="V49"/>
      <c r="W49"/>
      <c r="X49"/>
      <c r="Y49"/>
      <c r="Z49"/>
    </row>
    <row r="50" spans="1:26" ht="20">
      <c r="A50"/>
      <c r="B50"/>
      <c r="C50"/>
      <c r="D50"/>
      <c r="E50"/>
      <c r="F50"/>
      <c r="G50"/>
      <c r="H50"/>
      <c r="I50"/>
      <c r="J50"/>
      <c r="K50"/>
      <c r="L50"/>
      <c r="M50"/>
      <c r="N50"/>
      <c r="O50"/>
      <c r="P50"/>
      <c r="Q50"/>
      <c r="R50"/>
      <c r="S50"/>
      <c r="T50"/>
      <c r="U50"/>
      <c r="V50"/>
      <c r="W50"/>
      <c r="X50"/>
      <c r="Y50"/>
      <c r="Z50"/>
    </row>
    <row r="51" spans="1:26" ht="20">
      <c r="A51"/>
      <c r="B51"/>
      <c r="C51"/>
      <c r="D51"/>
      <c r="E51"/>
      <c r="F51"/>
      <c r="G51"/>
      <c r="H51"/>
      <c r="I51"/>
      <c r="J51"/>
      <c r="K51"/>
      <c r="L51"/>
      <c r="M51"/>
      <c r="N51"/>
      <c r="O51"/>
      <c r="P51"/>
      <c r="Q51"/>
      <c r="R51"/>
      <c r="S51"/>
      <c r="T51"/>
      <c r="U51"/>
      <c r="V51"/>
      <c r="W51"/>
      <c r="X51"/>
      <c r="Y51"/>
      <c r="Z51"/>
    </row>
    <row r="52" spans="1:26" ht="20">
      <c r="A52"/>
      <c r="B52"/>
      <c r="C52"/>
      <c r="D52"/>
      <c r="E52"/>
      <c r="F52"/>
      <c r="G52"/>
      <c r="H52"/>
      <c r="I52"/>
      <c r="J52"/>
      <c r="K52"/>
      <c r="L52"/>
      <c r="M52"/>
      <c r="N52"/>
      <c r="O52"/>
      <c r="P52"/>
      <c r="Q52"/>
      <c r="R52"/>
      <c r="S52"/>
      <c r="T52"/>
      <c r="U52"/>
      <c r="V52"/>
      <c r="W52"/>
      <c r="X52"/>
      <c r="Y52"/>
      <c r="Z52"/>
    </row>
    <row r="53" spans="1:26" ht="20">
      <c r="A53"/>
      <c r="B53"/>
      <c r="C53"/>
      <c r="D53"/>
      <c r="E53"/>
      <c r="F53"/>
      <c r="G53"/>
      <c r="H53"/>
      <c r="I53"/>
      <c r="J53"/>
      <c r="K53"/>
      <c r="L53"/>
      <c r="M53"/>
      <c r="N53"/>
      <c r="O53"/>
      <c r="P53"/>
      <c r="Q53"/>
      <c r="R53"/>
      <c r="S53"/>
      <c r="T53"/>
      <c r="U53"/>
      <c r="V53"/>
      <c r="W53"/>
      <c r="X53"/>
      <c r="Y53"/>
      <c r="Z53"/>
    </row>
    <row r="54" spans="1:26" ht="20">
      <c r="A54"/>
      <c r="B54"/>
      <c r="C54"/>
      <c r="D54"/>
      <c r="E54"/>
      <c r="F54"/>
      <c r="G54"/>
      <c r="H54"/>
      <c r="I54"/>
      <c r="J54"/>
      <c r="K54"/>
      <c r="L54"/>
      <c r="M54"/>
      <c r="N54"/>
      <c r="O54"/>
      <c r="P54"/>
      <c r="Q54"/>
      <c r="R54"/>
      <c r="S54"/>
      <c r="T54"/>
      <c r="U54"/>
      <c r="V54"/>
      <c r="W54"/>
      <c r="X54"/>
      <c r="Y54"/>
      <c r="Z54"/>
    </row>
    <row r="55" spans="1:26" ht="20">
      <c r="A55"/>
      <c r="B55"/>
      <c r="C55"/>
      <c r="D55"/>
      <c r="E55"/>
      <c r="F55"/>
      <c r="G55"/>
      <c r="H55"/>
      <c r="I55"/>
      <c r="J55"/>
      <c r="K55"/>
      <c r="L55"/>
      <c r="M55"/>
      <c r="N55"/>
      <c r="O55"/>
      <c r="P55"/>
      <c r="Q55"/>
      <c r="R55"/>
      <c r="S55"/>
      <c r="T55"/>
      <c r="U55"/>
      <c r="V55"/>
      <c r="W55"/>
      <c r="X55"/>
      <c r="Y55"/>
      <c r="Z55"/>
    </row>
    <row r="56" spans="1:26" ht="20">
      <c r="A56"/>
      <c r="B56"/>
      <c r="C56"/>
      <c r="D56"/>
      <c r="E56"/>
      <c r="F56"/>
      <c r="G56"/>
      <c r="H56"/>
      <c r="I56"/>
      <c r="J56"/>
      <c r="K56"/>
      <c r="L56"/>
      <c r="M56"/>
      <c r="N56"/>
      <c r="O56"/>
      <c r="P56"/>
      <c r="Q56"/>
      <c r="R56"/>
      <c r="S56"/>
      <c r="T56"/>
      <c r="U56"/>
      <c r="V56"/>
      <c r="W56"/>
      <c r="X56"/>
      <c r="Y56"/>
      <c r="Z56"/>
    </row>
    <row r="57" spans="1:26" ht="20">
      <c r="A57"/>
      <c r="B57"/>
      <c r="C57"/>
      <c r="D57"/>
      <c r="E57"/>
      <c r="F57"/>
      <c r="G57"/>
      <c r="H57"/>
      <c r="I57"/>
      <c r="J57"/>
      <c r="K57"/>
      <c r="L57"/>
      <c r="M57"/>
      <c r="N57"/>
      <c r="O57"/>
      <c r="P57"/>
      <c r="Q57"/>
      <c r="R57"/>
      <c r="S57"/>
      <c r="T57"/>
      <c r="U57"/>
      <c r="V57"/>
      <c r="W57"/>
      <c r="X57"/>
      <c r="Y57"/>
      <c r="Z57"/>
    </row>
    <row r="58" spans="1:26" ht="20">
      <c r="A58"/>
      <c r="B58"/>
      <c r="C58"/>
      <c r="D58"/>
      <c r="E58"/>
      <c r="F58"/>
      <c r="G58"/>
      <c r="H58"/>
      <c r="I58"/>
      <c r="J58"/>
      <c r="K58"/>
      <c r="L58"/>
      <c r="M58"/>
      <c r="N58"/>
      <c r="O58"/>
      <c r="P58"/>
      <c r="Q58"/>
      <c r="R58"/>
      <c r="S58"/>
      <c r="T58"/>
      <c r="U58"/>
      <c r="V58"/>
      <c r="W58"/>
      <c r="X58"/>
      <c r="Y58"/>
      <c r="Z58"/>
    </row>
    <row r="59" spans="1:26" ht="20">
      <c r="A59"/>
      <c r="B59"/>
      <c r="C59"/>
      <c r="D59"/>
      <c r="E59"/>
      <c r="F59"/>
      <c r="G59"/>
      <c r="H59"/>
      <c r="I59"/>
      <c r="J59"/>
      <c r="K59"/>
      <c r="L59"/>
      <c r="M59"/>
      <c r="N59"/>
      <c r="O59"/>
      <c r="P59"/>
      <c r="Q59"/>
      <c r="R59"/>
      <c r="S59"/>
      <c r="T59"/>
      <c r="U59"/>
      <c r="V59"/>
      <c r="W59"/>
      <c r="X59"/>
      <c r="Y59"/>
      <c r="Z59"/>
    </row>
    <row r="60" spans="1:26" ht="20">
      <c r="A60"/>
      <c r="B60"/>
      <c r="C60"/>
      <c r="D60"/>
      <c r="E60"/>
      <c r="F60"/>
      <c r="G60"/>
      <c r="H60"/>
      <c r="I60"/>
      <c r="J60"/>
      <c r="K60"/>
      <c r="L60"/>
      <c r="M60"/>
      <c r="N60"/>
      <c r="O60"/>
      <c r="P60"/>
      <c r="Q60"/>
      <c r="R60"/>
      <c r="S60"/>
      <c r="T60"/>
      <c r="U60"/>
      <c r="V60"/>
      <c r="W60"/>
      <c r="X60"/>
      <c r="Y60"/>
      <c r="Z60"/>
    </row>
    <row r="61" spans="1:26" ht="20">
      <c r="A61"/>
      <c r="B61"/>
      <c r="C61"/>
      <c r="D61"/>
      <c r="E61"/>
      <c r="F61"/>
      <c r="G61"/>
      <c r="H61"/>
      <c r="I61"/>
      <c r="J61"/>
      <c r="K61"/>
      <c r="L61"/>
      <c r="M61"/>
      <c r="N61"/>
      <c r="O61"/>
      <c r="P61"/>
      <c r="Q61"/>
      <c r="R61"/>
      <c r="S61"/>
      <c r="T61"/>
      <c r="U61"/>
      <c r="V61"/>
      <c r="W61"/>
      <c r="X61"/>
      <c r="Y61"/>
      <c r="Z61"/>
    </row>
    <row r="62" spans="1:26" ht="20">
      <c r="A62"/>
      <c r="B62"/>
      <c r="C62"/>
      <c r="D62"/>
      <c r="E62"/>
      <c r="F62"/>
      <c r="G62"/>
      <c r="H62"/>
      <c r="I62"/>
      <c r="J62"/>
      <c r="K62"/>
      <c r="L62"/>
      <c r="M62"/>
      <c r="N62"/>
      <c r="O62"/>
      <c r="P62"/>
      <c r="Q62"/>
      <c r="R62"/>
      <c r="S62"/>
      <c r="T62"/>
      <c r="U62"/>
      <c r="V62"/>
      <c r="W62"/>
      <c r="X62"/>
      <c r="Y62"/>
      <c r="Z62"/>
    </row>
    <row r="63" spans="1:26" ht="20">
      <c r="A63"/>
      <c r="B63"/>
      <c r="C63"/>
      <c r="D63"/>
      <c r="E63"/>
      <c r="F63"/>
      <c r="G63"/>
      <c r="H63"/>
      <c r="I63"/>
      <c r="J63"/>
      <c r="K63"/>
      <c r="L63"/>
      <c r="M63"/>
      <c r="N63"/>
      <c r="O63"/>
      <c r="P63"/>
      <c r="Q63"/>
      <c r="R63"/>
      <c r="S63"/>
      <c r="T63"/>
      <c r="U63"/>
      <c r="V63"/>
      <c r="W63"/>
      <c r="X63"/>
      <c r="Y63"/>
      <c r="Z63"/>
    </row>
    <row r="64" spans="1:26" ht="20">
      <c r="A64"/>
      <c r="B64"/>
      <c r="C64"/>
      <c r="D64"/>
      <c r="E64"/>
      <c r="F64"/>
      <c r="G64"/>
      <c r="H64"/>
      <c r="I64"/>
      <c r="J64"/>
      <c r="K64"/>
      <c r="L64"/>
      <c r="M64"/>
      <c r="N64"/>
      <c r="O64"/>
      <c r="P64"/>
      <c r="Q64"/>
      <c r="R64"/>
      <c r="S64"/>
      <c r="T64"/>
      <c r="U64"/>
      <c r="V64"/>
      <c r="W64"/>
      <c r="X64"/>
      <c r="Y64"/>
      <c r="Z64"/>
    </row>
    <row r="65" spans="1:26" ht="20">
      <c r="A65"/>
      <c r="B65"/>
      <c r="C65"/>
      <c r="D65"/>
      <c r="E65"/>
      <c r="F65"/>
      <c r="G65"/>
      <c r="H65"/>
      <c r="I65"/>
      <c r="J65"/>
      <c r="K65"/>
      <c r="L65"/>
      <c r="M65"/>
      <c r="N65"/>
      <c r="O65"/>
      <c r="P65"/>
      <c r="Q65"/>
      <c r="R65"/>
      <c r="S65"/>
      <c r="T65"/>
      <c r="U65"/>
      <c r="V65"/>
      <c r="W65"/>
      <c r="X65"/>
      <c r="Y65"/>
      <c r="Z65"/>
    </row>
    <row r="66" spans="1:26" ht="20">
      <c r="A66"/>
      <c r="B66"/>
      <c r="C66"/>
      <c r="D66"/>
      <c r="E66"/>
      <c r="F66"/>
      <c r="G66"/>
      <c r="H66"/>
      <c r="I66"/>
      <c r="J66"/>
      <c r="K66"/>
      <c r="L66"/>
      <c r="M66"/>
      <c r="N66"/>
      <c r="O66"/>
      <c r="P66"/>
      <c r="Q66"/>
      <c r="R66"/>
      <c r="S66"/>
      <c r="T66"/>
      <c r="U66"/>
      <c r="V66"/>
      <c r="W66"/>
      <c r="X66"/>
      <c r="Y66"/>
      <c r="Z66"/>
    </row>
    <row r="67" spans="1:26" ht="20">
      <c r="A67"/>
      <c r="B67"/>
      <c r="C67"/>
      <c r="D67"/>
      <c r="E67"/>
      <c r="F67"/>
      <c r="G67"/>
      <c r="H67"/>
      <c r="I67"/>
      <c r="J67"/>
      <c r="K67"/>
      <c r="L67"/>
      <c r="M67"/>
      <c r="N67"/>
      <c r="O67"/>
      <c r="P67"/>
      <c r="Q67"/>
      <c r="R67"/>
      <c r="S67"/>
      <c r="T67"/>
      <c r="U67"/>
      <c r="V67"/>
      <c r="W67"/>
      <c r="X67"/>
      <c r="Y67"/>
      <c r="Z67"/>
    </row>
    <row r="68" spans="1:26" ht="20">
      <c r="A68"/>
      <c r="B68"/>
      <c r="C68"/>
      <c r="D68"/>
      <c r="E68"/>
      <c r="F68"/>
      <c r="G68"/>
      <c r="H68"/>
      <c r="I68"/>
      <c r="J68"/>
      <c r="K68"/>
      <c r="L68"/>
      <c r="M68"/>
      <c r="N68"/>
      <c r="O68"/>
      <c r="P68"/>
      <c r="Q68"/>
      <c r="R68"/>
      <c r="S68"/>
      <c r="T68"/>
      <c r="U68"/>
      <c r="V68"/>
      <c r="W68"/>
      <c r="X68"/>
      <c r="Y68"/>
      <c r="Z68"/>
    </row>
    <row r="69" spans="1:26" ht="20">
      <c r="A69"/>
      <c r="B69"/>
      <c r="C69"/>
      <c r="D69"/>
      <c r="E69"/>
      <c r="F69"/>
      <c r="G69"/>
      <c r="H69"/>
      <c r="I69"/>
      <c r="J69"/>
      <c r="K69"/>
      <c r="L69"/>
      <c r="M69"/>
      <c r="N69"/>
      <c r="O69"/>
      <c r="P69"/>
      <c r="Q69"/>
      <c r="R69"/>
      <c r="S69"/>
      <c r="T69"/>
      <c r="U69"/>
      <c r="V69"/>
      <c r="W69"/>
      <c r="X69"/>
      <c r="Y69"/>
      <c r="Z69"/>
    </row>
    <row r="70" spans="1:26" ht="20">
      <c r="A70"/>
      <c r="B70"/>
      <c r="C70"/>
      <c r="D70"/>
      <c r="E70"/>
      <c r="F70"/>
      <c r="G70"/>
      <c r="H70"/>
      <c r="I70"/>
      <c r="J70"/>
      <c r="K70"/>
      <c r="L70"/>
      <c r="M70"/>
      <c r="N70"/>
      <c r="O70"/>
      <c r="P70"/>
      <c r="Q70"/>
      <c r="R70"/>
      <c r="S70"/>
      <c r="T70"/>
      <c r="U70"/>
      <c r="V70"/>
      <c r="W70"/>
      <c r="X70"/>
      <c r="Y70"/>
      <c r="Z70"/>
    </row>
    <row r="71" spans="1:26" ht="20">
      <c r="A71"/>
      <c r="B71"/>
      <c r="C71"/>
      <c r="D71"/>
      <c r="E71"/>
      <c r="F71"/>
      <c r="G71"/>
      <c r="H71"/>
      <c r="I71"/>
      <c r="J71"/>
      <c r="K71"/>
      <c r="L71"/>
      <c r="M71"/>
      <c r="N71"/>
      <c r="O71"/>
      <c r="P71"/>
      <c r="Q71"/>
      <c r="R71"/>
      <c r="S71"/>
      <c r="T71"/>
      <c r="U71"/>
      <c r="V71"/>
      <c r="W71"/>
      <c r="X71"/>
      <c r="Y71"/>
      <c r="Z71"/>
    </row>
    <row r="72" spans="1:26" ht="20">
      <c r="A72"/>
      <c r="B72"/>
      <c r="C72"/>
      <c r="D72"/>
      <c r="E72"/>
      <c r="F72"/>
      <c r="G72"/>
      <c r="H72"/>
      <c r="I72"/>
      <c r="J72"/>
      <c r="K72"/>
      <c r="L72"/>
      <c r="M72"/>
      <c r="N72"/>
      <c r="O72"/>
      <c r="P72"/>
      <c r="Q72"/>
      <c r="R72"/>
      <c r="S72"/>
      <c r="T72"/>
      <c r="U72"/>
      <c r="V72"/>
      <c r="W72"/>
      <c r="X72"/>
      <c r="Y72"/>
      <c r="Z72"/>
    </row>
    <row r="73" spans="1:26" ht="20">
      <c r="A73"/>
      <c r="B73"/>
      <c r="C73"/>
      <c r="D73"/>
      <c r="E73"/>
      <c r="F73"/>
      <c r="G73"/>
      <c r="H73"/>
      <c r="I73"/>
      <c r="J73"/>
      <c r="K73"/>
      <c r="L73"/>
      <c r="M73"/>
      <c r="N73"/>
      <c r="O73"/>
      <c r="P73"/>
      <c r="Q73"/>
      <c r="R73"/>
      <c r="S73"/>
      <c r="T73"/>
      <c r="U73"/>
      <c r="V73"/>
      <c r="W73"/>
      <c r="X73"/>
      <c r="Y73"/>
      <c r="Z73"/>
    </row>
    <row r="74" spans="1:26" ht="20">
      <c r="A74"/>
      <c r="B74"/>
      <c r="C74"/>
      <c r="D74"/>
      <c r="E74"/>
      <c r="F74"/>
      <c r="G74"/>
      <c r="H74"/>
      <c r="I74"/>
      <c r="J74"/>
      <c r="K74"/>
      <c r="L74"/>
      <c r="M74"/>
      <c r="N74"/>
      <c r="O74"/>
      <c r="P74"/>
      <c r="Q74"/>
      <c r="R74"/>
      <c r="S74"/>
      <c r="T74"/>
      <c r="U74"/>
      <c r="V74"/>
      <c r="W74"/>
      <c r="X74"/>
      <c r="Y74"/>
      <c r="Z74"/>
    </row>
    <row r="75" spans="1:26" ht="20">
      <c r="A75"/>
      <c r="B75"/>
      <c r="C75"/>
      <c r="D75"/>
      <c r="E75"/>
      <c r="F75"/>
      <c r="G75"/>
      <c r="H75"/>
      <c r="I75"/>
      <c r="J75"/>
      <c r="K75"/>
      <c r="L75"/>
      <c r="M75"/>
      <c r="N75"/>
      <c r="O75"/>
      <c r="P75"/>
      <c r="Q75"/>
      <c r="R75"/>
      <c r="S75"/>
      <c r="T75"/>
      <c r="U75"/>
      <c r="V75"/>
      <c r="W75"/>
      <c r="X75"/>
      <c r="Y75"/>
      <c r="Z75"/>
    </row>
    <row r="76" spans="1:26" ht="20">
      <c r="A76"/>
      <c r="B76"/>
      <c r="C76"/>
      <c r="D76"/>
      <c r="E76"/>
      <c r="F76"/>
      <c r="G76"/>
      <c r="H76"/>
      <c r="I76"/>
      <c r="J76"/>
      <c r="K76"/>
      <c r="L76"/>
      <c r="M76"/>
      <c r="N76"/>
      <c r="O76"/>
      <c r="P76"/>
      <c r="Q76"/>
      <c r="R76"/>
      <c r="S76"/>
      <c r="T76"/>
      <c r="U76"/>
      <c r="V76"/>
      <c r="W76"/>
      <c r="X76"/>
      <c r="Y76"/>
      <c r="Z76"/>
    </row>
    <row r="77" spans="1:26" ht="20">
      <c r="A77"/>
      <c r="B77"/>
      <c r="C77"/>
      <c r="D77"/>
      <c r="E77"/>
      <c r="F77"/>
      <c r="G77"/>
      <c r="H77"/>
      <c r="I77"/>
      <c r="J77"/>
      <c r="K77"/>
      <c r="L77"/>
      <c r="M77"/>
      <c r="N77"/>
      <c r="O77"/>
      <c r="P77"/>
      <c r="Q77"/>
      <c r="R77"/>
      <c r="S77"/>
      <c r="T77"/>
      <c r="U77"/>
      <c r="V77"/>
      <c r="W77"/>
      <c r="X77"/>
      <c r="Y77"/>
      <c r="Z77"/>
    </row>
    <row r="78" spans="1:26" ht="20">
      <c r="A78"/>
      <c r="B78"/>
      <c r="C78"/>
      <c r="D78"/>
      <c r="E78"/>
      <c r="F78"/>
      <c r="G78"/>
      <c r="H78"/>
      <c r="I78"/>
      <c r="J78"/>
      <c r="K78"/>
      <c r="L78"/>
      <c r="M78"/>
      <c r="N78"/>
      <c r="O78"/>
      <c r="P78"/>
      <c r="Q78"/>
      <c r="R78"/>
      <c r="S78"/>
      <c r="T78"/>
      <c r="U78"/>
      <c r="V78"/>
      <c r="W78"/>
      <c r="X78"/>
      <c r="Y78"/>
      <c r="Z78"/>
    </row>
    <row r="79" spans="1:26" ht="20">
      <c r="A79"/>
      <c r="B79"/>
      <c r="C79"/>
      <c r="D79"/>
      <c r="E79"/>
      <c r="F79"/>
      <c r="G79"/>
      <c r="H79"/>
      <c r="I79"/>
      <c r="J79"/>
      <c r="K79"/>
      <c r="L79"/>
      <c r="M79"/>
      <c r="N79"/>
      <c r="O79"/>
      <c r="P79"/>
      <c r="Q79"/>
      <c r="R79"/>
      <c r="S79"/>
      <c r="T79"/>
      <c r="U79"/>
      <c r="V79"/>
      <c r="W79"/>
      <c r="X79"/>
      <c r="Y79"/>
      <c r="Z79"/>
    </row>
    <row r="80" spans="1:26" ht="20">
      <c r="A80"/>
      <c r="B80"/>
      <c r="C80"/>
      <c r="D80"/>
      <c r="E80"/>
      <c r="F80"/>
      <c r="G80"/>
      <c r="H80"/>
      <c r="I80"/>
      <c r="J80"/>
      <c r="K80"/>
      <c r="L80"/>
      <c r="M80"/>
      <c r="N80"/>
      <c r="O80"/>
      <c r="P80"/>
      <c r="Q80"/>
      <c r="R80"/>
      <c r="S80"/>
      <c r="T80"/>
      <c r="U80"/>
      <c r="V80"/>
      <c r="W80"/>
      <c r="X80"/>
      <c r="Y80"/>
      <c r="Z80"/>
    </row>
    <row r="81" spans="1:26" ht="20">
      <c r="A81"/>
      <c r="B81"/>
      <c r="C81"/>
      <c r="D81"/>
      <c r="E81"/>
      <c r="F81"/>
      <c r="G81"/>
      <c r="H81"/>
      <c r="I81"/>
      <c r="J81"/>
      <c r="K81"/>
      <c r="L81"/>
      <c r="M81"/>
      <c r="N81"/>
      <c r="O81"/>
      <c r="P81"/>
      <c r="Q81"/>
      <c r="R81"/>
      <c r="S81"/>
      <c r="T81"/>
      <c r="U81"/>
      <c r="V81"/>
      <c r="W81"/>
      <c r="X81"/>
      <c r="Y81"/>
      <c r="Z81"/>
    </row>
    <row r="82" spans="1:26" ht="20">
      <c r="A82"/>
      <c r="B82"/>
      <c r="C82"/>
      <c r="D82"/>
      <c r="E82"/>
      <c r="F82"/>
      <c r="G82"/>
      <c r="H82"/>
      <c r="I82"/>
      <c r="J82"/>
      <c r="K82"/>
      <c r="L82"/>
      <c r="M82"/>
      <c r="N82"/>
      <c r="O82"/>
      <c r="P82"/>
      <c r="Q82"/>
      <c r="R82"/>
      <c r="S82"/>
      <c r="T82"/>
      <c r="U82"/>
      <c r="V82"/>
      <c r="W82"/>
      <c r="X82"/>
      <c r="Y82"/>
      <c r="Z82"/>
    </row>
    <row r="83" spans="1:26" ht="20">
      <c r="A83"/>
      <c r="B83"/>
      <c r="C83"/>
      <c r="D83"/>
      <c r="E83"/>
      <c r="F83"/>
      <c r="G83"/>
      <c r="H83"/>
      <c r="I83"/>
      <c r="J83"/>
      <c r="K83"/>
      <c r="L83"/>
      <c r="M83"/>
      <c r="N83"/>
      <c r="O83"/>
      <c r="P83"/>
      <c r="Q83"/>
      <c r="R83"/>
      <c r="S83"/>
      <c r="T83"/>
      <c r="U83"/>
      <c r="V83"/>
      <c r="W83"/>
      <c r="X83"/>
      <c r="Y83"/>
      <c r="Z83"/>
    </row>
    <row r="84" spans="1:26" ht="20">
      <c r="A84"/>
      <c r="B84"/>
      <c r="C84"/>
      <c r="D84"/>
      <c r="E84"/>
      <c r="F84"/>
      <c r="G84"/>
      <c r="H84"/>
      <c r="I84"/>
      <c r="J84"/>
      <c r="K84"/>
      <c r="L84"/>
      <c r="M84"/>
      <c r="N84"/>
      <c r="O84"/>
      <c r="P84"/>
      <c r="Q84"/>
      <c r="R84"/>
      <c r="S84"/>
      <c r="T84"/>
      <c r="U84"/>
      <c r="V84"/>
      <c r="W84"/>
      <c r="X84"/>
      <c r="Y84"/>
      <c r="Z84"/>
    </row>
    <row r="85" spans="1:26" ht="20">
      <c r="A85"/>
      <c r="B85"/>
      <c r="C85"/>
      <c r="D85"/>
      <c r="E85"/>
      <c r="F85"/>
      <c r="G85"/>
      <c r="H85"/>
      <c r="I85"/>
      <c r="J85"/>
      <c r="K85"/>
      <c r="L85"/>
      <c r="M85"/>
      <c r="N85"/>
      <c r="O85"/>
      <c r="P85"/>
      <c r="Q85"/>
      <c r="R85"/>
      <c r="S85"/>
      <c r="T85"/>
      <c r="U85"/>
      <c r="V85"/>
      <c r="W85"/>
      <c r="X85"/>
      <c r="Y85"/>
      <c r="Z85"/>
    </row>
    <row r="86" spans="1:26" ht="20">
      <c r="A86"/>
      <c r="B86"/>
      <c r="C86"/>
      <c r="D86"/>
      <c r="E86"/>
      <c r="F86"/>
      <c r="G86"/>
      <c r="H86"/>
      <c r="I86"/>
      <c r="J86"/>
      <c r="K86"/>
      <c r="L86"/>
      <c r="M86"/>
      <c r="N86"/>
      <c r="O86"/>
      <c r="P86"/>
      <c r="Q86"/>
      <c r="R86"/>
      <c r="S86"/>
      <c r="T86"/>
      <c r="U86"/>
      <c r="V86"/>
      <c r="W86"/>
      <c r="X86"/>
      <c r="Y86"/>
      <c r="Z86"/>
    </row>
    <row r="87" spans="1:26" ht="20">
      <c r="A87"/>
      <c r="B87"/>
      <c r="C87"/>
      <c r="D87"/>
      <c r="E87"/>
      <c r="F87"/>
      <c r="G87"/>
      <c r="H87"/>
      <c r="I87"/>
      <c r="J87"/>
      <c r="K87"/>
      <c r="L87"/>
      <c r="M87"/>
      <c r="N87"/>
      <c r="O87"/>
      <c r="P87"/>
      <c r="Q87"/>
      <c r="R87"/>
      <c r="S87"/>
      <c r="T87"/>
      <c r="U87"/>
      <c r="V87"/>
      <c r="W87"/>
      <c r="X87"/>
      <c r="Y87"/>
      <c r="Z87"/>
    </row>
    <row r="88" spans="1:26" ht="20">
      <c r="A88"/>
      <c r="B88"/>
      <c r="C88"/>
      <c r="D88"/>
      <c r="E88"/>
      <c r="F88"/>
      <c r="G88"/>
      <c r="H88"/>
      <c r="I88"/>
      <c r="J88"/>
      <c r="K88"/>
      <c r="L88"/>
      <c r="M88"/>
      <c r="N88"/>
      <c r="O88"/>
      <c r="P88"/>
      <c r="Q88"/>
      <c r="R88"/>
      <c r="S88"/>
      <c r="T88"/>
      <c r="U88"/>
      <c r="V88"/>
      <c r="W88"/>
      <c r="X88"/>
      <c r="Y88"/>
      <c r="Z88"/>
    </row>
    <row r="89" spans="1:26" ht="20">
      <c r="A89"/>
      <c r="B89"/>
      <c r="C89"/>
      <c r="D89"/>
      <c r="E89"/>
      <c r="F89"/>
      <c r="G89"/>
      <c r="H89"/>
      <c r="I89"/>
      <c r="J89"/>
      <c r="K89"/>
      <c r="L89"/>
      <c r="M89"/>
      <c r="N89"/>
      <c r="O89"/>
      <c r="P89"/>
      <c r="Q89"/>
      <c r="R89"/>
      <c r="S89"/>
      <c r="T89"/>
      <c r="U89"/>
      <c r="V89"/>
      <c r="W89"/>
      <c r="X89"/>
      <c r="Y89"/>
      <c r="Z89"/>
    </row>
    <row r="90" spans="1:26" ht="20">
      <c r="A90"/>
      <c r="B90"/>
      <c r="C90"/>
      <c r="D90"/>
      <c r="E90"/>
      <c r="F90"/>
      <c r="G90"/>
      <c r="H90"/>
      <c r="I90"/>
      <c r="J90"/>
      <c r="K90"/>
      <c r="L90"/>
      <c r="M90"/>
      <c r="N90"/>
      <c r="O90"/>
      <c r="P90"/>
      <c r="Q90"/>
      <c r="R90"/>
      <c r="S90"/>
      <c r="T90"/>
      <c r="U90"/>
      <c r="V90"/>
      <c r="W90"/>
      <c r="X90"/>
      <c r="Y90"/>
      <c r="Z90"/>
    </row>
    <row r="91" spans="1:26" ht="20">
      <c r="A91"/>
      <c r="B91"/>
      <c r="C91"/>
      <c r="D91"/>
      <c r="E91"/>
      <c r="F91"/>
      <c r="G91"/>
      <c r="H91"/>
      <c r="I91"/>
      <c r="J91"/>
      <c r="K91"/>
      <c r="L91"/>
      <c r="M91"/>
      <c r="N91"/>
      <c r="O91"/>
      <c r="P91"/>
      <c r="Q91"/>
      <c r="R91"/>
      <c r="S91"/>
      <c r="T91"/>
      <c r="U91"/>
      <c r="V91"/>
      <c r="W91"/>
      <c r="X91"/>
      <c r="Y91"/>
      <c r="Z91"/>
    </row>
    <row r="92" spans="1:26" ht="20">
      <c r="A92"/>
      <c r="B92"/>
      <c r="C92"/>
      <c r="D92"/>
      <c r="E92"/>
      <c r="F92"/>
      <c r="G92"/>
      <c r="H92"/>
      <c r="I92"/>
      <c r="J92"/>
      <c r="K92"/>
      <c r="L92"/>
      <c r="M92"/>
      <c r="N92"/>
      <c r="O92"/>
      <c r="P92"/>
      <c r="Q92"/>
      <c r="R92"/>
      <c r="S92"/>
      <c r="T92"/>
      <c r="U92"/>
      <c r="V92"/>
      <c r="W92"/>
      <c r="X92"/>
      <c r="Y92"/>
      <c r="Z92"/>
    </row>
    <row r="93" spans="1:26" ht="20">
      <c r="A93"/>
      <c r="B93"/>
      <c r="C93"/>
      <c r="D93"/>
      <c r="E93"/>
      <c r="F93"/>
      <c r="G93"/>
      <c r="H93"/>
      <c r="I93"/>
      <c r="J93"/>
      <c r="K93"/>
      <c r="L93"/>
      <c r="M93"/>
      <c r="N93"/>
      <c r="O93"/>
      <c r="P93"/>
      <c r="Q93"/>
      <c r="R93"/>
      <c r="S93"/>
      <c r="T93"/>
      <c r="U93"/>
      <c r="V93"/>
      <c r="W93"/>
      <c r="X93"/>
      <c r="Y93"/>
      <c r="Z93"/>
    </row>
    <row r="94" spans="1:26" ht="20">
      <c r="A94"/>
      <c r="B94"/>
      <c r="C94"/>
      <c r="D94"/>
      <c r="E94"/>
      <c r="F94"/>
      <c r="G94"/>
      <c r="H94"/>
      <c r="I94"/>
      <c r="J94"/>
      <c r="K94"/>
      <c r="L94"/>
      <c r="M94"/>
      <c r="N94"/>
      <c r="O94"/>
      <c r="P94"/>
      <c r="Q94"/>
      <c r="R94"/>
      <c r="S94"/>
      <c r="T94"/>
      <c r="U94"/>
      <c r="V94"/>
      <c r="W94"/>
      <c r="X94"/>
      <c r="Y94"/>
      <c r="Z94"/>
    </row>
    <row r="95" spans="1:26" ht="20">
      <c r="A95"/>
      <c r="B95"/>
      <c r="C95"/>
      <c r="D95"/>
      <c r="E95"/>
      <c r="F95"/>
      <c r="G95"/>
      <c r="H95"/>
      <c r="I95"/>
      <c r="J95"/>
      <c r="K95"/>
      <c r="L95"/>
      <c r="M95"/>
      <c r="N95"/>
      <c r="O95"/>
      <c r="P95"/>
      <c r="Q95"/>
      <c r="R95"/>
      <c r="S95"/>
      <c r="T95"/>
      <c r="U95"/>
      <c r="V95"/>
      <c r="W95"/>
      <c r="X95"/>
      <c r="Y95"/>
      <c r="Z95"/>
    </row>
    <row r="96" spans="1:26" ht="20">
      <c r="A96"/>
      <c r="B96"/>
      <c r="C96"/>
      <c r="D96"/>
      <c r="E96"/>
      <c r="F96"/>
      <c r="G96"/>
      <c r="H96"/>
      <c r="I96"/>
      <c r="J96"/>
      <c r="K96"/>
      <c r="L96"/>
      <c r="M96"/>
      <c r="N96"/>
      <c r="O96"/>
      <c r="P96"/>
      <c r="Q96"/>
      <c r="R96"/>
      <c r="S96"/>
      <c r="T96"/>
      <c r="U96"/>
      <c r="V96"/>
      <c r="W96"/>
      <c r="X96"/>
      <c r="Y96"/>
      <c r="Z96"/>
    </row>
    <row r="97" spans="1:26" ht="20">
      <c r="A97"/>
      <c r="B97"/>
      <c r="C97"/>
      <c r="D97"/>
      <c r="E97"/>
      <c r="F97"/>
      <c r="G97"/>
      <c r="H97"/>
      <c r="I97"/>
      <c r="J97"/>
      <c r="K97"/>
      <c r="L97"/>
      <c r="M97"/>
      <c r="N97"/>
      <c r="O97"/>
      <c r="P97"/>
      <c r="Q97"/>
      <c r="R97"/>
      <c r="S97"/>
      <c r="T97"/>
      <c r="U97"/>
      <c r="V97"/>
      <c r="W97"/>
      <c r="X97"/>
      <c r="Y97"/>
      <c r="Z97"/>
    </row>
    <row r="98" spans="1:26" ht="20">
      <c r="A98"/>
      <c r="B98"/>
      <c r="C98"/>
      <c r="D98"/>
      <c r="E98"/>
      <c r="F98"/>
      <c r="G98"/>
      <c r="H98"/>
      <c r="I98"/>
      <c r="J98"/>
      <c r="K98"/>
      <c r="L98"/>
      <c r="M98"/>
      <c r="N98"/>
      <c r="O98"/>
      <c r="P98"/>
      <c r="Q98"/>
      <c r="R98"/>
      <c r="S98"/>
      <c r="T98"/>
      <c r="U98"/>
      <c r="V98"/>
      <c r="W98"/>
      <c r="X98"/>
      <c r="Y98"/>
      <c r="Z98"/>
    </row>
    <row r="99" spans="1:26" ht="20">
      <c r="A99"/>
      <c r="B99"/>
      <c r="C99"/>
      <c r="D99"/>
      <c r="E99"/>
      <c r="F99"/>
      <c r="G99"/>
      <c r="H99"/>
      <c r="I99"/>
      <c r="J99"/>
      <c r="K99"/>
      <c r="L99"/>
      <c r="M99"/>
      <c r="N99"/>
      <c r="O99"/>
      <c r="P99"/>
      <c r="Q99"/>
      <c r="R99"/>
      <c r="S99"/>
      <c r="T99"/>
      <c r="U99"/>
      <c r="V99"/>
      <c r="W99"/>
      <c r="X99"/>
      <c r="Y99"/>
      <c r="Z99"/>
    </row>
    <row r="100" spans="1:26" ht="20">
      <c r="A100"/>
      <c r="B100"/>
      <c r="C100"/>
      <c r="D100"/>
      <c r="E100"/>
      <c r="F100"/>
      <c r="G100"/>
      <c r="H100"/>
      <c r="I100"/>
      <c r="J100"/>
      <c r="K100"/>
      <c r="L100"/>
      <c r="M100"/>
      <c r="N100"/>
      <c r="O100"/>
      <c r="P100"/>
      <c r="Q100"/>
      <c r="R100"/>
      <c r="S100"/>
      <c r="T100"/>
      <c r="U100"/>
      <c r="V100"/>
      <c r="W100"/>
      <c r="X100"/>
      <c r="Y100"/>
      <c r="Z100"/>
    </row>
    <row r="101" spans="1:26" ht="20">
      <c r="A101"/>
      <c r="B101"/>
      <c r="C101"/>
      <c r="D101"/>
      <c r="E101"/>
      <c r="F101"/>
      <c r="G101"/>
      <c r="H101"/>
      <c r="I101"/>
      <c r="J101"/>
      <c r="K101"/>
      <c r="L101"/>
      <c r="M101"/>
      <c r="N101"/>
      <c r="O101"/>
      <c r="P101"/>
      <c r="Q101"/>
      <c r="R101"/>
      <c r="S101"/>
      <c r="T101"/>
      <c r="U101"/>
      <c r="V101"/>
      <c r="W101"/>
      <c r="X101"/>
      <c r="Y101"/>
      <c r="Z101"/>
    </row>
    <row r="102" spans="1:26" ht="20">
      <c r="A102"/>
      <c r="B102"/>
      <c r="C102"/>
      <c r="D102"/>
      <c r="E102"/>
      <c r="F102"/>
      <c r="G102"/>
      <c r="H102"/>
      <c r="I102"/>
      <c r="J102"/>
      <c r="K102"/>
      <c r="L102"/>
      <c r="M102"/>
      <c r="N102"/>
      <c r="O102"/>
      <c r="P102"/>
      <c r="Q102"/>
      <c r="R102"/>
      <c r="S102"/>
      <c r="T102"/>
      <c r="U102"/>
      <c r="V102"/>
      <c r="W102"/>
      <c r="X102"/>
      <c r="Y102"/>
      <c r="Z102"/>
    </row>
    <row r="103" spans="1:26" ht="20">
      <c r="A103"/>
      <c r="B103"/>
      <c r="C103"/>
      <c r="D103"/>
      <c r="E103"/>
      <c r="F103"/>
      <c r="G103"/>
      <c r="H103"/>
      <c r="I103"/>
      <c r="J103"/>
      <c r="K103"/>
      <c r="L103"/>
      <c r="M103"/>
      <c r="N103"/>
      <c r="O103"/>
      <c r="P103"/>
      <c r="Q103"/>
      <c r="R103"/>
      <c r="S103"/>
      <c r="T103"/>
      <c r="U103"/>
      <c r="V103"/>
      <c r="W103"/>
      <c r="X103"/>
      <c r="Y103"/>
      <c r="Z103"/>
    </row>
    <row r="104" spans="1:26" ht="20">
      <c r="A104"/>
      <c r="B104"/>
      <c r="C104"/>
      <c r="D104"/>
      <c r="E104"/>
      <c r="F104"/>
      <c r="G104"/>
      <c r="H104"/>
      <c r="I104"/>
      <c r="J104"/>
      <c r="K104"/>
      <c r="L104"/>
      <c r="M104"/>
      <c r="N104"/>
      <c r="O104"/>
      <c r="P104"/>
      <c r="Q104"/>
      <c r="R104"/>
      <c r="S104"/>
      <c r="T104"/>
      <c r="U104"/>
      <c r="V104"/>
      <c r="W104"/>
      <c r="X104"/>
      <c r="Y104"/>
      <c r="Z104"/>
    </row>
    <row r="105" spans="1:26" ht="20">
      <c r="A105"/>
      <c r="B105"/>
      <c r="C105"/>
      <c r="D105"/>
      <c r="E105"/>
      <c r="F105"/>
      <c r="G105"/>
      <c r="H105"/>
      <c r="I105"/>
      <c r="J105"/>
      <c r="K105"/>
      <c r="L105"/>
      <c r="M105"/>
      <c r="N105"/>
      <c r="O105"/>
      <c r="P105"/>
      <c r="Q105"/>
      <c r="R105"/>
      <c r="S105"/>
      <c r="T105"/>
      <c r="U105"/>
      <c r="V105"/>
      <c r="W105"/>
      <c r="X105"/>
      <c r="Y105"/>
      <c r="Z105"/>
    </row>
    <row r="106" spans="1:26" ht="20">
      <c r="A106"/>
      <c r="B106"/>
      <c r="C106"/>
      <c r="D106"/>
      <c r="E106"/>
      <c r="F106"/>
      <c r="G106"/>
      <c r="H106"/>
      <c r="I106"/>
      <c r="J106"/>
      <c r="K106"/>
      <c r="L106"/>
      <c r="M106"/>
      <c r="N106"/>
      <c r="O106"/>
      <c r="P106"/>
      <c r="Q106"/>
      <c r="R106"/>
      <c r="S106"/>
      <c r="T106"/>
      <c r="U106"/>
      <c r="V106"/>
      <c r="W106"/>
      <c r="X106"/>
      <c r="Y106"/>
      <c r="Z106"/>
    </row>
    <row r="107" spans="1:26" ht="20">
      <c r="A107"/>
      <c r="B107"/>
      <c r="C107"/>
      <c r="D107"/>
      <c r="E107"/>
      <c r="F107"/>
      <c r="G107"/>
      <c r="H107"/>
      <c r="I107"/>
      <c r="J107"/>
      <c r="K107"/>
      <c r="L107"/>
      <c r="M107"/>
      <c r="N107"/>
      <c r="O107"/>
      <c r="P107"/>
      <c r="Q107"/>
      <c r="R107"/>
      <c r="S107"/>
      <c r="T107"/>
      <c r="U107"/>
      <c r="V107"/>
      <c r="W107"/>
      <c r="X107"/>
      <c r="Y107"/>
      <c r="Z107"/>
    </row>
    <row r="108" spans="1:26" ht="20">
      <c r="A108"/>
      <c r="B108"/>
      <c r="C108"/>
      <c r="D108"/>
      <c r="E108"/>
      <c r="F108"/>
      <c r="G108"/>
      <c r="H108"/>
      <c r="I108"/>
      <c r="J108"/>
      <c r="K108"/>
      <c r="L108"/>
      <c r="M108"/>
      <c r="N108"/>
      <c r="O108"/>
      <c r="P108"/>
      <c r="Q108"/>
      <c r="R108"/>
      <c r="S108"/>
      <c r="T108"/>
      <c r="U108"/>
      <c r="V108"/>
      <c r="W108"/>
      <c r="X108"/>
      <c r="Y108"/>
      <c r="Z108"/>
    </row>
    <row r="109" spans="1:26" ht="20">
      <c r="A109"/>
      <c r="B109"/>
      <c r="C109"/>
      <c r="D109"/>
      <c r="E109"/>
      <c r="F109"/>
      <c r="G109"/>
      <c r="H109"/>
      <c r="I109"/>
      <c r="J109"/>
      <c r="K109"/>
      <c r="L109"/>
      <c r="M109"/>
      <c r="N109"/>
      <c r="O109"/>
      <c r="P109"/>
      <c r="Q109"/>
      <c r="R109"/>
      <c r="S109"/>
      <c r="T109"/>
      <c r="U109"/>
      <c r="V109"/>
      <c r="W109"/>
      <c r="X109"/>
      <c r="Y109"/>
      <c r="Z109"/>
    </row>
    <row r="110" spans="1:26" ht="20">
      <c r="A110"/>
      <c r="B110"/>
      <c r="C110"/>
      <c r="D110"/>
      <c r="E110"/>
      <c r="F110"/>
      <c r="G110"/>
      <c r="H110"/>
      <c r="I110"/>
      <c r="J110"/>
      <c r="K110"/>
      <c r="L110"/>
      <c r="M110"/>
      <c r="N110"/>
      <c r="O110"/>
      <c r="P110"/>
      <c r="Q110"/>
      <c r="R110"/>
      <c r="S110"/>
      <c r="T110"/>
      <c r="U110"/>
      <c r="V110"/>
      <c r="W110"/>
      <c r="X110"/>
      <c r="Y110"/>
      <c r="Z110"/>
    </row>
    <row r="111" spans="1:26" ht="20">
      <c r="A111"/>
      <c r="B111"/>
      <c r="C111"/>
      <c r="D111"/>
      <c r="E111"/>
      <c r="F111"/>
      <c r="G111"/>
      <c r="H111"/>
      <c r="I111"/>
      <c r="J111"/>
      <c r="K111"/>
      <c r="L111"/>
      <c r="M111"/>
      <c r="N111"/>
      <c r="O111"/>
      <c r="P111"/>
      <c r="Q111"/>
      <c r="R111"/>
      <c r="S111"/>
      <c r="T111"/>
      <c r="U111"/>
      <c r="V111"/>
      <c r="W111"/>
      <c r="X111"/>
      <c r="Y111"/>
      <c r="Z111"/>
    </row>
    <row r="112" spans="1:26" ht="20">
      <c r="A112"/>
      <c r="B112"/>
      <c r="C112"/>
      <c r="D112"/>
      <c r="E112"/>
      <c r="F112"/>
      <c r="G112"/>
      <c r="H112"/>
      <c r="I112"/>
      <c r="J112"/>
      <c r="K112"/>
      <c r="L112"/>
      <c r="M112"/>
      <c r="N112"/>
      <c r="O112"/>
      <c r="P112"/>
      <c r="Q112"/>
      <c r="R112"/>
      <c r="S112"/>
      <c r="T112"/>
      <c r="U112"/>
      <c r="V112"/>
      <c r="W112"/>
      <c r="X112"/>
      <c r="Y112"/>
      <c r="Z112"/>
    </row>
    <row r="113" spans="1:26" ht="20">
      <c r="A113"/>
      <c r="B113"/>
      <c r="C113"/>
      <c r="D113"/>
      <c r="E113"/>
      <c r="F113"/>
      <c r="G113"/>
      <c r="H113"/>
      <c r="I113"/>
      <c r="J113"/>
      <c r="K113"/>
      <c r="L113"/>
      <c r="M113"/>
      <c r="N113"/>
      <c r="O113"/>
      <c r="P113"/>
      <c r="Q113"/>
      <c r="R113"/>
      <c r="S113"/>
      <c r="T113"/>
      <c r="U113"/>
      <c r="V113"/>
      <c r="W113"/>
      <c r="X113"/>
      <c r="Y113"/>
      <c r="Z113"/>
    </row>
    <row r="114" spans="1:26" ht="20">
      <c r="A114"/>
      <c r="B114"/>
      <c r="C114"/>
      <c r="D114"/>
      <c r="E114"/>
      <c r="F114"/>
      <c r="G114"/>
      <c r="H114"/>
      <c r="I114"/>
      <c r="J114"/>
      <c r="K114"/>
      <c r="L114"/>
      <c r="M114"/>
      <c r="N114"/>
      <c r="O114"/>
      <c r="P114"/>
      <c r="Q114"/>
      <c r="R114"/>
      <c r="S114"/>
      <c r="T114"/>
      <c r="U114"/>
      <c r="V114"/>
      <c r="W114"/>
      <c r="X114"/>
      <c r="Y114"/>
      <c r="Z114"/>
    </row>
    <row r="115" spans="1:26" ht="20">
      <c r="A115"/>
      <c r="B115"/>
      <c r="C115"/>
      <c r="D115"/>
      <c r="E115"/>
      <c r="F115"/>
      <c r="G115"/>
      <c r="H115"/>
      <c r="I115"/>
      <c r="J115"/>
      <c r="K115"/>
      <c r="L115"/>
      <c r="M115"/>
      <c r="N115"/>
      <c r="O115"/>
      <c r="P115"/>
      <c r="Q115"/>
      <c r="R115"/>
      <c r="S115"/>
      <c r="T115"/>
      <c r="U115"/>
      <c r="V115"/>
      <c r="W115"/>
      <c r="X115"/>
      <c r="Y115"/>
      <c r="Z115"/>
    </row>
    <row r="116" spans="1:26" ht="20">
      <c r="A116"/>
      <c r="B116"/>
      <c r="C116"/>
      <c r="D116"/>
      <c r="E116"/>
      <c r="F116"/>
      <c r="G116"/>
      <c r="H116"/>
      <c r="I116"/>
      <c r="J116"/>
      <c r="K116"/>
      <c r="L116"/>
      <c r="M116"/>
      <c r="N116"/>
      <c r="O116"/>
      <c r="P116"/>
      <c r="Q116"/>
      <c r="R116"/>
      <c r="S116"/>
      <c r="T116"/>
      <c r="U116"/>
      <c r="V116"/>
      <c r="W116"/>
      <c r="X116"/>
      <c r="Y116"/>
      <c r="Z116"/>
    </row>
    <row r="117" spans="1:26" ht="20">
      <c r="A117"/>
      <c r="B117"/>
      <c r="C117"/>
      <c r="D117"/>
      <c r="E117"/>
      <c r="F117"/>
      <c r="G117"/>
      <c r="H117"/>
      <c r="I117"/>
      <c r="J117"/>
      <c r="K117"/>
      <c r="L117"/>
      <c r="M117"/>
      <c r="N117"/>
      <c r="O117"/>
      <c r="P117"/>
      <c r="Q117"/>
      <c r="R117"/>
      <c r="S117"/>
      <c r="T117"/>
      <c r="U117"/>
      <c r="V117"/>
      <c r="W117"/>
      <c r="X117"/>
      <c r="Y117"/>
      <c r="Z117"/>
    </row>
    <row r="118" spans="1:26" ht="20">
      <c r="A118"/>
      <c r="B118"/>
      <c r="C118"/>
      <c r="D118"/>
      <c r="E118"/>
      <c r="F118"/>
      <c r="G118"/>
      <c r="H118"/>
      <c r="I118"/>
      <c r="J118"/>
      <c r="K118"/>
      <c r="L118"/>
      <c r="M118"/>
      <c r="N118"/>
      <c r="O118"/>
      <c r="P118"/>
      <c r="Q118"/>
      <c r="R118"/>
      <c r="S118"/>
      <c r="T118"/>
      <c r="U118"/>
      <c r="V118"/>
      <c r="W118"/>
      <c r="X118"/>
      <c r="Y118"/>
      <c r="Z118"/>
    </row>
    <row r="119" spans="1:26" ht="20">
      <c r="A119"/>
      <c r="B119"/>
      <c r="C119"/>
      <c r="D119"/>
      <c r="E119"/>
      <c r="F119"/>
      <c r="G119"/>
      <c r="H119"/>
      <c r="I119"/>
      <c r="J119"/>
      <c r="K119"/>
      <c r="L119"/>
      <c r="M119"/>
      <c r="N119"/>
      <c r="O119"/>
      <c r="P119"/>
      <c r="Q119"/>
      <c r="R119"/>
      <c r="S119"/>
      <c r="T119"/>
      <c r="U119"/>
      <c r="V119"/>
      <c r="W119"/>
      <c r="X119"/>
      <c r="Y119"/>
      <c r="Z119"/>
    </row>
    <row r="120" spans="1:26" ht="20">
      <c r="A120"/>
      <c r="B120"/>
      <c r="C120"/>
      <c r="D120"/>
      <c r="E120"/>
      <c r="F120"/>
      <c r="G120"/>
      <c r="H120"/>
      <c r="I120"/>
      <c r="J120"/>
      <c r="K120"/>
      <c r="L120"/>
      <c r="M120"/>
      <c r="N120"/>
      <c r="O120"/>
      <c r="P120"/>
      <c r="Q120"/>
      <c r="R120"/>
      <c r="S120"/>
      <c r="T120"/>
      <c r="U120"/>
      <c r="V120"/>
      <c r="W120"/>
      <c r="X120"/>
      <c r="Y120"/>
      <c r="Z120"/>
    </row>
    <row r="121" spans="1:26" ht="20">
      <c r="A121"/>
      <c r="B121"/>
      <c r="C121"/>
      <c r="D121"/>
      <c r="E121"/>
      <c r="F121"/>
      <c r="G121"/>
      <c r="H121"/>
      <c r="I121"/>
      <c r="J121"/>
      <c r="K121"/>
      <c r="L121"/>
      <c r="M121"/>
      <c r="N121"/>
      <c r="O121"/>
      <c r="P121"/>
      <c r="Q121"/>
      <c r="R121"/>
      <c r="S121"/>
      <c r="T121"/>
      <c r="U121"/>
      <c r="V121"/>
      <c r="W121"/>
      <c r="X121"/>
      <c r="Y121"/>
      <c r="Z121"/>
    </row>
    <row r="122" spans="1:26" ht="20">
      <c r="A122"/>
      <c r="B122"/>
      <c r="C122"/>
      <c r="D122"/>
      <c r="E122"/>
      <c r="F122"/>
      <c r="G122"/>
      <c r="H122"/>
      <c r="I122"/>
      <c r="J122"/>
      <c r="K122"/>
      <c r="L122"/>
      <c r="M122"/>
      <c r="N122"/>
      <c r="O122"/>
      <c r="P122"/>
      <c r="Q122"/>
      <c r="R122"/>
      <c r="S122"/>
      <c r="T122"/>
      <c r="U122"/>
      <c r="V122"/>
      <c r="W122"/>
      <c r="X122"/>
      <c r="Y122"/>
      <c r="Z122"/>
    </row>
    <row r="123" spans="1:26" ht="20">
      <c r="A123"/>
      <c r="B123"/>
      <c r="C123"/>
      <c r="D123"/>
      <c r="E123"/>
      <c r="F123"/>
      <c r="G123"/>
      <c r="H123"/>
      <c r="I123"/>
      <c r="J123"/>
      <c r="K123"/>
      <c r="L123"/>
      <c r="M123"/>
      <c r="N123"/>
      <c r="O123"/>
      <c r="P123"/>
      <c r="Q123"/>
      <c r="R123"/>
      <c r="S123"/>
      <c r="T123"/>
      <c r="U123"/>
      <c r="V123"/>
      <c r="W123"/>
      <c r="X123"/>
      <c r="Y123"/>
      <c r="Z123"/>
    </row>
    <row r="124" spans="1:26" ht="20">
      <c r="A124"/>
      <c r="B124"/>
      <c r="C124"/>
      <c r="D124"/>
      <c r="E124"/>
      <c r="F124"/>
      <c r="G124"/>
      <c r="H124"/>
      <c r="I124"/>
      <c r="J124"/>
      <c r="K124"/>
      <c r="L124"/>
      <c r="M124"/>
      <c r="N124"/>
      <c r="O124"/>
      <c r="P124"/>
      <c r="Q124"/>
      <c r="R124"/>
      <c r="S124"/>
      <c r="T124"/>
      <c r="U124"/>
      <c r="V124"/>
      <c r="W124"/>
      <c r="X124"/>
      <c r="Y124"/>
      <c r="Z124"/>
    </row>
    <row r="125" spans="1:26" ht="20">
      <c r="A125"/>
      <c r="B125"/>
      <c r="C125"/>
      <c r="D125"/>
      <c r="E125"/>
      <c r="F125"/>
      <c r="G125"/>
      <c r="H125"/>
      <c r="I125"/>
      <c r="J125"/>
      <c r="K125"/>
      <c r="L125"/>
      <c r="M125"/>
      <c r="N125"/>
      <c r="O125"/>
      <c r="P125"/>
      <c r="Q125"/>
      <c r="R125"/>
      <c r="S125"/>
      <c r="T125"/>
      <c r="U125"/>
      <c r="V125"/>
      <c r="W125"/>
      <c r="X125"/>
      <c r="Y125"/>
      <c r="Z125"/>
    </row>
    <row r="126" spans="1:26" ht="20">
      <c r="A126"/>
      <c r="B126"/>
      <c r="C126"/>
      <c r="D126"/>
      <c r="E126"/>
      <c r="F126"/>
      <c r="G126"/>
      <c r="H126"/>
      <c r="I126"/>
      <c r="J126"/>
      <c r="K126"/>
      <c r="L126"/>
      <c r="M126"/>
      <c r="N126"/>
      <c r="O126"/>
      <c r="P126"/>
      <c r="Q126"/>
      <c r="R126"/>
      <c r="S126"/>
      <c r="T126"/>
      <c r="U126"/>
      <c r="V126"/>
      <c r="W126"/>
      <c r="X126"/>
      <c r="Y126"/>
      <c r="Z126"/>
    </row>
    <row r="127" spans="1:26" ht="20">
      <c r="A127"/>
      <c r="B127"/>
      <c r="C127"/>
      <c r="D127"/>
      <c r="E127"/>
      <c r="F127"/>
      <c r="G127"/>
      <c r="H127"/>
      <c r="I127"/>
      <c r="J127"/>
      <c r="K127"/>
      <c r="L127"/>
      <c r="M127"/>
      <c r="N127"/>
      <c r="O127"/>
      <c r="P127"/>
      <c r="Q127"/>
      <c r="R127"/>
      <c r="S127"/>
      <c r="T127"/>
      <c r="U127"/>
      <c r="V127"/>
      <c r="W127"/>
      <c r="X127"/>
      <c r="Y127"/>
      <c r="Z127"/>
    </row>
    <row r="128" spans="1:26" ht="20">
      <c r="A128"/>
      <c r="B128"/>
      <c r="C128"/>
      <c r="D128"/>
      <c r="E128"/>
      <c r="F128"/>
      <c r="G128"/>
      <c r="H128"/>
      <c r="I128"/>
      <c r="J128"/>
      <c r="K128"/>
      <c r="L128"/>
      <c r="M128"/>
      <c r="N128"/>
      <c r="O128"/>
      <c r="P128"/>
      <c r="Q128"/>
      <c r="R128"/>
      <c r="S128"/>
      <c r="T128"/>
      <c r="U128"/>
      <c r="V128"/>
      <c r="W128"/>
      <c r="X128"/>
      <c r="Y128"/>
      <c r="Z128"/>
    </row>
    <row r="129" spans="1:26" ht="20">
      <c r="A129"/>
      <c r="B129"/>
      <c r="C129"/>
      <c r="D129"/>
      <c r="E129"/>
      <c r="F129"/>
      <c r="G129"/>
      <c r="H129"/>
      <c r="I129"/>
      <c r="J129"/>
      <c r="K129"/>
      <c r="L129"/>
      <c r="M129"/>
      <c r="N129"/>
      <c r="O129"/>
      <c r="P129"/>
      <c r="Q129"/>
      <c r="R129"/>
      <c r="S129"/>
      <c r="T129"/>
      <c r="U129"/>
      <c r="V129"/>
      <c r="W129"/>
      <c r="X129"/>
      <c r="Y129"/>
      <c r="Z129"/>
    </row>
    <row r="130" spans="1:26" ht="20">
      <c r="A130"/>
      <c r="B130"/>
      <c r="C130"/>
      <c r="D130"/>
      <c r="E130"/>
      <c r="F130"/>
      <c r="G130"/>
      <c r="H130"/>
      <c r="I130"/>
      <c r="J130"/>
      <c r="K130"/>
      <c r="L130"/>
      <c r="M130"/>
      <c r="N130"/>
      <c r="O130"/>
      <c r="P130"/>
      <c r="Q130"/>
      <c r="R130"/>
      <c r="S130"/>
      <c r="T130"/>
      <c r="U130"/>
      <c r="V130"/>
      <c r="W130"/>
      <c r="X130"/>
      <c r="Y130"/>
      <c r="Z130"/>
    </row>
    <row r="131" spans="1:26" ht="20">
      <c r="A131"/>
      <c r="B131"/>
      <c r="C131"/>
      <c r="D131"/>
      <c r="E131"/>
      <c r="F131"/>
      <c r="G131"/>
      <c r="H131"/>
      <c r="I131"/>
      <c r="J131"/>
      <c r="K131"/>
      <c r="L131"/>
      <c r="M131"/>
      <c r="N131"/>
      <c r="O131"/>
      <c r="P131"/>
      <c r="Q131"/>
      <c r="R131"/>
      <c r="S131"/>
      <c r="T131"/>
      <c r="U131"/>
      <c r="V131"/>
      <c r="W131"/>
      <c r="X131"/>
      <c r="Y131"/>
      <c r="Z131"/>
    </row>
    <row r="132" spans="1:26" ht="20">
      <c r="A132"/>
      <c r="B132"/>
      <c r="C132"/>
      <c r="D132"/>
      <c r="E132"/>
      <c r="F132"/>
      <c r="G132"/>
      <c r="H132"/>
      <c r="I132"/>
      <c r="J132"/>
      <c r="K132"/>
      <c r="L132"/>
      <c r="M132"/>
      <c r="N132"/>
      <c r="O132"/>
      <c r="P132"/>
      <c r="Q132"/>
      <c r="R132"/>
      <c r="S132"/>
      <c r="T132"/>
      <c r="U132"/>
      <c r="V132"/>
      <c r="W132"/>
      <c r="X132"/>
      <c r="Y132"/>
      <c r="Z132"/>
    </row>
    <row r="133" spans="1:26" ht="20">
      <c r="A133"/>
      <c r="B133"/>
      <c r="C133"/>
      <c r="D133"/>
      <c r="E133"/>
      <c r="F133"/>
      <c r="G133"/>
      <c r="H133"/>
      <c r="I133"/>
      <c r="J133"/>
      <c r="K133"/>
      <c r="L133"/>
      <c r="M133"/>
      <c r="N133"/>
      <c r="O133"/>
      <c r="P133"/>
      <c r="Q133"/>
      <c r="R133"/>
      <c r="S133"/>
      <c r="T133"/>
      <c r="U133"/>
      <c r="V133"/>
      <c r="W133"/>
      <c r="X133"/>
      <c r="Y133"/>
      <c r="Z133"/>
    </row>
    <row r="134" spans="1:26" ht="20">
      <c r="A134"/>
      <c r="B134"/>
      <c r="C134"/>
      <c r="D134"/>
      <c r="E134"/>
      <c r="F134"/>
      <c r="G134"/>
      <c r="H134"/>
      <c r="I134"/>
      <c r="J134"/>
      <c r="K134"/>
      <c r="L134"/>
      <c r="M134"/>
      <c r="N134"/>
      <c r="O134"/>
      <c r="P134"/>
      <c r="Q134"/>
      <c r="R134"/>
      <c r="S134"/>
      <c r="T134"/>
      <c r="U134"/>
      <c r="V134"/>
      <c r="W134"/>
      <c r="X134"/>
      <c r="Y134"/>
      <c r="Z134"/>
    </row>
    <row r="135" spans="1:26" ht="20">
      <c r="A135"/>
      <c r="B135"/>
      <c r="C135"/>
      <c r="D135"/>
      <c r="E135"/>
      <c r="F135"/>
      <c r="G135"/>
      <c r="H135"/>
      <c r="I135"/>
      <c r="J135"/>
      <c r="K135"/>
      <c r="L135"/>
      <c r="M135"/>
      <c r="N135"/>
      <c r="O135"/>
      <c r="P135"/>
      <c r="Q135"/>
      <c r="R135"/>
      <c r="S135"/>
      <c r="T135"/>
      <c r="U135"/>
      <c r="V135"/>
      <c r="W135"/>
      <c r="X135"/>
      <c r="Y135"/>
      <c r="Z135"/>
    </row>
    <row r="136" spans="1:26" ht="20">
      <c r="A136"/>
      <c r="B136"/>
      <c r="C136"/>
      <c r="D136"/>
      <c r="E136"/>
      <c r="F136"/>
      <c r="G136"/>
      <c r="H136"/>
      <c r="I136"/>
      <c r="J136"/>
      <c r="K136"/>
      <c r="L136"/>
      <c r="M136"/>
      <c r="N136"/>
      <c r="O136"/>
      <c r="P136"/>
      <c r="Q136"/>
      <c r="R136"/>
      <c r="S136"/>
      <c r="T136"/>
      <c r="U136"/>
      <c r="V136"/>
      <c r="W136"/>
      <c r="X136"/>
      <c r="Y136"/>
      <c r="Z136"/>
    </row>
    <row r="137" spans="1:26" ht="20">
      <c r="A137"/>
      <c r="B137"/>
      <c r="C137"/>
      <c r="D137"/>
      <c r="E137"/>
      <c r="F137"/>
      <c r="G137"/>
      <c r="H137"/>
      <c r="I137"/>
      <c r="J137"/>
      <c r="K137"/>
      <c r="L137"/>
      <c r="M137"/>
      <c r="N137"/>
      <c r="O137"/>
      <c r="P137"/>
      <c r="Q137"/>
      <c r="R137"/>
      <c r="S137"/>
      <c r="T137"/>
      <c r="U137"/>
      <c r="V137"/>
      <c r="W137"/>
      <c r="X137"/>
      <c r="Y137"/>
      <c r="Z137"/>
    </row>
    <row r="138" spans="1:26" ht="20">
      <c r="A138"/>
      <c r="B138"/>
      <c r="C138"/>
      <c r="D138"/>
      <c r="E138"/>
      <c r="F138"/>
      <c r="G138"/>
      <c r="H138"/>
      <c r="I138"/>
      <c r="J138"/>
      <c r="K138"/>
      <c r="L138"/>
      <c r="M138"/>
      <c r="N138"/>
      <c r="O138"/>
      <c r="P138"/>
      <c r="Q138"/>
      <c r="R138"/>
      <c r="S138"/>
      <c r="T138"/>
      <c r="U138"/>
      <c r="V138"/>
      <c r="W138"/>
      <c r="X138"/>
      <c r="Y138"/>
      <c r="Z138"/>
    </row>
    <row r="139" spans="1:26" ht="20">
      <c r="A139"/>
      <c r="B139"/>
      <c r="C139"/>
      <c r="D139"/>
      <c r="E139"/>
      <c r="F139"/>
      <c r="G139"/>
      <c r="H139"/>
      <c r="I139"/>
      <c r="J139"/>
      <c r="K139"/>
      <c r="L139"/>
      <c r="M139"/>
      <c r="N139"/>
      <c r="O139"/>
      <c r="P139"/>
      <c r="Q139"/>
      <c r="R139"/>
      <c r="S139"/>
      <c r="T139"/>
      <c r="U139"/>
      <c r="V139"/>
      <c r="W139"/>
      <c r="X139"/>
      <c r="Y139"/>
      <c r="Z139"/>
    </row>
    <row r="140" spans="1:26" ht="20">
      <c r="A140"/>
      <c r="B140"/>
      <c r="C140"/>
      <c r="D140"/>
      <c r="E140"/>
      <c r="F140"/>
      <c r="G140"/>
      <c r="H140"/>
      <c r="I140"/>
      <c r="J140"/>
      <c r="K140"/>
      <c r="L140"/>
      <c r="M140"/>
      <c r="N140"/>
      <c r="O140"/>
      <c r="P140"/>
      <c r="Q140"/>
      <c r="R140"/>
      <c r="S140"/>
      <c r="T140"/>
      <c r="U140"/>
      <c r="V140"/>
      <c r="W140"/>
      <c r="X140"/>
      <c r="Y140"/>
      <c r="Z140"/>
    </row>
    <row r="141" spans="1:26" ht="20">
      <c r="A141"/>
      <c r="B141"/>
      <c r="C141"/>
      <c r="D141"/>
      <c r="E141"/>
      <c r="F141"/>
      <c r="G141"/>
      <c r="H141"/>
      <c r="I141"/>
      <c r="J141"/>
      <c r="K141"/>
      <c r="L141"/>
      <c r="M141"/>
      <c r="N141"/>
      <c r="O141"/>
      <c r="P141"/>
      <c r="Q141"/>
      <c r="R141"/>
      <c r="S141"/>
      <c r="T141"/>
      <c r="U141"/>
      <c r="V141"/>
      <c r="W141"/>
      <c r="X141"/>
      <c r="Y141"/>
      <c r="Z141"/>
    </row>
    <row r="142" spans="1:26" ht="20">
      <c r="A142"/>
      <c r="B142"/>
      <c r="C142"/>
      <c r="D142"/>
      <c r="E142"/>
      <c r="F142"/>
      <c r="G142"/>
      <c r="H142"/>
      <c r="I142"/>
      <c r="J142"/>
      <c r="K142"/>
      <c r="L142"/>
      <c r="M142"/>
      <c r="N142"/>
      <c r="O142"/>
      <c r="P142"/>
      <c r="Q142"/>
      <c r="R142"/>
      <c r="S142"/>
      <c r="T142"/>
      <c r="U142"/>
      <c r="V142"/>
      <c r="W142"/>
      <c r="X142"/>
      <c r="Y142"/>
      <c r="Z142"/>
    </row>
    <row r="143" spans="1:26" ht="20">
      <c r="A143"/>
      <c r="B143"/>
      <c r="C143"/>
      <c r="D143"/>
      <c r="E143"/>
      <c r="F143"/>
      <c r="G143"/>
      <c r="H143"/>
      <c r="I143"/>
      <c r="J143"/>
      <c r="K143"/>
      <c r="L143"/>
      <c r="M143"/>
      <c r="N143"/>
      <c r="O143"/>
      <c r="P143"/>
      <c r="Q143"/>
      <c r="R143"/>
      <c r="S143"/>
      <c r="T143"/>
      <c r="U143"/>
      <c r="V143"/>
      <c r="W143"/>
      <c r="X143"/>
      <c r="Y143"/>
      <c r="Z143"/>
    </row>
    <row r="144" spans="1:26" ht="20">
      <c r="A144"/>
      <c r="B144"/>
      <c r="C144"/>
      <c r="D144"/>
      <c r="E144"/>
      <c r="F144"/>
      <c r="G144"/>
      <c r="H144"/>
      <c r="I144"/>
      <c r="J144"/>
      <c r="K144"/>
      <c r="L144"/>
      <c r="M144"/>
      <c r="N144"/>
      <c r="O144"/>
      <c r="P144"/>
      <c r="Q144"/>
      <c r="R144"/>
      <c r="S144"/>
      <c r="T144"/>
      <c r="U144"/>
      <c r="V144"/>
      <c r="W144"/>
      <c r="X144"/>
      <c r="Y144"/>
      <c r="Z144"/>
    </row>
    <row r="145" spans="1:26" ht="20">
      <c r="A145"/>
      <c r="B145"/>
      <c r="C145"/>
      <c r="D145"/>
      <c r="E145"/>
      <c r="F145"/>
      <c r="G145"/>
      <c r="H145"/>
      <c r="I145"/>
      <c r="J145"/>
      <c r="K145"/>
      <c r="L145"/>
      <c r="M145"/>
      <c r="N145"/>
      <c r="O145"/>
      <c r="P145"/>
      <c r="Q145"/>
      <c r="R145"/>
      <c r="S145"/>
      <c r="T145"/>
      <c r="U145"/>
      <c r="V145"/>
      <c r="W145"/>
      <c r="X145"/>
      <c r="Y145"/>
      <c r="Z145"/>
    </row>
    <row r="146" spans="1:26" ht="20">
      <c r="A146"/>
      <c r="B146"/>
      <c r="C146"/>
      <c r="D146"/>
      <c r="E146"/>
      <c r="F146"/>
      <c r="G146"/>
      <c r="H146"/>
      <c r="I146"/>
      <c r="J146"/>
      <c r="K146"/>
      <c r="L146"/>
      <c r="M146"/>
      <c r="N146"/>
      <c r="O146"/>
      <c r="P146"/>
      <c r="Q146"/>
      <c r="R146"/>
      <c r="S146"/>
      <c r="T146"/>
      <c r="U146"/>
      <c r="V146"/>
      <c r="W146"/>
      <c r="X146"/>
      <c r="Y146"/>
      <c r="Z146"/>
    </row>
    <row r="147" spans="1:26" ht="20">
      <c r="A147"/>
      <c r="B147"/>
      <c r="C147"/>
      <c r="D147"/>
      <c r="E147"/>
      <c r="F147"/>
      <c r="G147"/>
      <c r="H147"/>
      <c r="I147"/>
      <c r="J147"/>
      <c r="K147"/>
      <c r="L147"/>
      <c r="M147"/>
      <c r="N147"/>
      <c r="O147"/>
      <c r="P147"/>
      <c r="Q147"/>
      <c r="R147"/>
      <c r="S147"/>
      <c r="T147"/>
      <c r="U147"/>
      <c r="V147"/>
      <c r="W147"/>
      <c r="X147"/>
      <c r="Y147"/>
      <c r="Z147"/>
    </row>
    <row r="148" spans="1:26" ht="20">
      <c r="A148"/>
      <c r="B148"/>
      <c r="C148"/>
      <c r="D148"/>
      <c r="E148"/>
      <c r="F148"/>
      <c r="G148"/>
      <c r="H148"/>
      <c r="I148"/>
      <c r="J148"/>
      <c r="K148"/>
      <c r="L148"/>
      <c r="M148"/>
      <c r="N148"/>
      <c r="O148"/>
      <c r="P148"/>
      <c r="Q148"/>
      <c r="R148"/>
      <c r="S148"/>
      <c r="T148"/>
      <c r="U148"/>
      <c r="V148"/>
      <c r="W148"/>
      <c r="X148"/>
      <c r="Y148"/>
      <c r="Z148"/>
    </row>
    <row r="149" spans="1:26" ht="20">
      <c r="A149"/>
      <c r="B149"/>
      <c r="C149"/>
      <c r="D149"/>
      <c r="E149"/>
      <c r="F149"/>
      <c r="G149"/>
      <c r="H149"/>
      <c r="I149"/>
      <c r="J149"/>
      <c r="K149"/>
      <c r="L149"/>
      <c r="M149"/>
      <c r="N149"/>
      <c r="O149"/>
      <c r="P149"/>
      <c r="Q149"/>
      <c r="R149"/>
      <c r="S149"/>
      <c r="T149"/>
      <c r="U149"/>
      <c r="V149"/>
      <c r="W149"/>
      <c r="X149"/>
      <c r="Y149"/>
      <c r="Z149"/>
    </row>
    <row r="150" spans="1:26" ht="20">
      <c r="A150"/>
      <c r="B150"/>
      <c r="C150"/>
      <c r="D150"/>
      <c r="E150"/>
      <c r="F150"/>
      <c r="G150"/>
      <c r="H150"/>
      <c r="I150"/>
      <c r="J150"/>
      <c r="K150"/>
      <c r="L150"/>
      <c r="M150"/>
      <c r="N150"/>
      <c r="O150"/>
      <c r="P150"/>
      <c r="Q150"/>
      <c r="R150"/>
      <c r="S150"/>
      <c r="T150"/>
      <c r="U150"/>
      <c r="V150"/>
      <c r="W150"/>
      <c r="X150"/>
      <c r="Y150"/>
      <c r="Z150"/>
    </row>
    <row r="151" spans="1:26" ht="20">
      <c r="A151"/>
      <c r="B151"/>
      <c r="C151"/>
      <c r="D151"/>
      <c r="E151"/>
      <c r="F151"/>
      <c r="G151"/>
      <c r="H151"/>
      <c r="I151"/>
      <c r="J151"/>
      <c r="K151"/>
      <c r="L151"/>
      <c r="M151"/>
      <c r="N151"/>
      <c r="O151"/>
      <c r="P151"/>
      <c r="Q151"/>
      <c r="R151"/>
      <c r="S151"/>
      <c r="T151"/>
      <c r="U151"/>
      <c r="V151"/>
      <c r="W151"/>
      <c r="X151"/>
      <c r="Y151"/>
      <c r="Z151"/>
    </row>
    <row r="152" spans="1:26" ht="20">
      <c r="A152"/>
      <c r="B152"/>
      <c r="C152"/>
      <c r="D152"/>
      <c r="E152"/>
      <c r="F152"/>
      <c r="G152"/>
      <c r="H152"/>
      <c r="I152"/>
      <c r="J152"/>
      <c r="K152"/>
      <c r="L152"/>
      <c r="M152"/>
      <c r="N152"/>
      <c r="O152"/>
      <c r="P152"/>
      <c r="Q152"/>
      <c r="R152"/>
      <c r="S152"/>
      <c r="T152"/>
      <c r="U152"/>
      <c r="V152"/>
      <c r="W152"/>
      <c r="X152"/>
      <c r="Y152"/>
      <c r="Z152"/>
    </row>
    <row r="153" spans="1:26" ht="20">
      <c r="A153"/>
      <c r="B153"/>
      <c r="C153"/>
      <c r="D153"/>
      <c r="E153"/>
      <c r="F153"/>
      <c r="G153"/>
      <c r="H153"/>
      <c r="I153"/>
      <c r="J153"/>
      <c r="K153"/>
      <c r="L153"/>
      <c r="M153"/>
      <c r="N153"/>
      <c r="O153"/>
      <c r="P153"/>
      <c r="Q153"/>
      <c r="R153"/>
      <c r="S153"/>
      <c r="T153"/>
      <c r="U153"/>
      <c r="V153"/>
      <c r="W153"/>
      <c r="X153"/>
      <c r="Y153"/>
      <c r="Z153"/>
    </row>
    <row r="154" spans="1:26" ht="20">
      <c r="A154"/>
      <c r="B154"/>
      <c r="C154"/>
      <c r="D154"/>
      <c r="E154"/>
      <c r="F154"/>
      <c r="G154"/>
      <c r="H154"/>
      <c r="I154"/>
      <c r="J154"/>
      <c r="K154"/>
      <c r="L154"/>
      <c r="M154"/>
      <c r="N154"/>
      <c r="O154"/>
      <c r="P154"/>
      <c r="Q154"/>
      <c r="R154"/>
      <c r="S154"/>
      <c r="T154"/>
      <c r="U154"/>
      <c r="V154"/>
      <c r="W154"/>
      <c r="X154"/>
      <c r="Y154"/>
      <c r="Z154"/>
    </row>
    <row r="155" spans="1:26" ht="20">
      <c r="A155"/>
      <c r="B155"/>
      <c r="C155"/>
      <c r="D155"/>
      <c r="E155"/>
      <c r="F155"/>
      <c r="G155"/>
      <c r="H155"/>
      <c r="I155"/>
      <c r="J155"/>
      <c r="K155"/>
      <c r="L155"/>
      <c r="M155"/>
      <c r="N155"/>
      <c r="O155"/>
      <c r="P155"/>
      <c r="Q155"/>
      <c r="R155"/>
      <c r="S155"/>
      <c r="T155"/>
      <c r="U155"/>
      <c r="V155"/>
      <c r="W155"/>
      <c r="X155"/>
      <c r="Y155"/>
      <c r="Z155"/>
    </row>
    <row r="156" spans="1:26" ht="20">
      <c r="A156"/>
      <c r="B156"/>
      <c r="C156"/>
      <c r="D156"/>
      <c r="E156"/>
      <c r="F156"/>
      <c r="G156"/>
      <c r="H156"/>
      <c r="I156"/>
      <c r="J156"/>
      <c r="K156"/>
      <c r="L156"/>
      <c r="M156"/>
      <c r="N156"/>
      <c r="O156"/>
      <c r="P156"/>
      <c r="Q156"/>
      <c r="R156"/>
      <c r="S156"/>
      <c r="T156"/>
      <c r="U156"/>
      <c r="V156"/>
      <c r="W156"/>
      <c r="X156"/>
      <c r="Y156"/>
      <c r="Z156"/>
    </row>
    <row r="157" spans="1:26" ht="20">
      <c r="A157"/>
      <c r="B157"/>
      <c r="C157"/>
      <c r="D157"/>
      <c r="E157"/>
      <c r="F157"/>
      <c r="G157"/>
      <c r="H157"/>
      <c r="I157"/>
      <c r="J157"/>
      <c r="K157"/>
      <c r="L157"/>
      <c r="M157"/>
      <c r="N157"/>
      <c r="O157"/>
      <c r="P157"/>
      <c r="Q157"/>
      <c r="R157"/>
      <c r="S157"/>
      <c r="T157"/>
      <c r="U157"/>
      <c r="V157"/>
      <c r="W157"/>
      <c r="X157"/>
      <c r="Y157"/>
      <c r="Z157"/>
    </row>
    <row r="158" spans="1:26" ht="20">
      <c r="A158"/>
      <c r="B158"/>
      <c r="C158"/>
      <c r="D158"/>
      <c r="E158"/>
      <c r="F158"/>
      <c r="G158"/>
      <c r="H158"/>
      <c r="I158"/>
      <c r="J158"/>
      <c r="K158"/>
      <c r="L158"/>
      <c r="M158"/>
      <c r="N158"/>
      <c r="O158"/>
      <c r="P158"/>
      <c r="Q158"/>
      <c r="R158"/>
      <c r="S158"/>
      <c r="T158"/>
      <c r="U158"/>
      <c r="V158"/>
      <c r="W158"/>
      <c r="X158"/>
      <c r="Y158"/>
      <c r="Z158"/>
    </row>
    <row r="159" spans="1:26" ht="20">
      <c r="A159"/>
      <c r="B159"/>
      <c r="C159"/>
      <c r="D159"/>
      <c r="E159"/>
      <c r="F159"/>
      <c r="G159"/>
      <c r="H159"/>
      <c r="I159"/>
      <c r="J159"/>
      <c r="K159"/>
      <c r="L159"/>
      <c r="M159"/>
      <c r="N159"/>
      <c r="O159"/>
      <c r="P159"/>
      <c r="Q159"/>
      <c r="R159"/>
      <c r="S159"/>
      <c r="T159"/>
      <c r="U159"/>
      <c r="V159"/>
      <c r="W159"/>
      <c r="X159"/>
      <c r="Y159"/>
      <c r="Z159"/>
    </row>
    <row r="160" spans="1:26" ht="20">
      <c r="A160"/>
      <c r="B160"/>
      <c r="C160"/>
      <c r="D160"/>
      <c r="E160"/>
      <c r="F160"/>
      <c r="G160"/>
      <c r="H160"/>
      <c r="I160"/>
      <c r="J160"/>
      <c r="K160"/>
      <c r="L160"/>
      <c r="M160"/>
      <c r="N160"/>
      <c r="O160"/>
      <c r="P160"/>
      <c r="Q160"/>
      <c r="R160"/>
      <c r="S160"/>
      <c r="T160"/>
      <c r="U160"/>
      <c r="V160"/>
      <c r="W160"/>
      <c r="X160"/>
      <c r="Y160"/>
      <c r="Z160"/>
    </row>
    <row r="161" spans="1:26" ht="20">
      <c r="A161"/>
      <c r="B161"/>
      <c r="C161"/>
      <c r="D161"/>
      <c r="E161"/>
      <c r="F161"/>
      <c r="G161"/>
      <c r="H161"/>
      <c r="I161"/>
      <c r="J161"/>
      <c r="K161"/>
      <c r="L161"/>
      <c r="M161"/>
      <c r="N161"/>
      <c r="O161"/>
      <c r="P161"/>
      <c r="Q161"/>
      <c r="R161"/>
      <c r="S161"/>
      <c r="T161"/>
      <c r="U161"/>
      <c r="V161"/>
      <c r="W161"/>
      <c r="X161"/>
      <c r="Y161"/>
      <c r="Z161"/>
    </row>
    <row r="162" spans="1:26" ht="20">
      <c r="A162"/>
      <c r="B162"/>
      <c r="C162"/>
      <c r="D162"/>
      <c r="E162"/>
      <c r="F162"/>
      <c r="G162"/>
      <c r="H162"/>
      <c r="I162"/>
      <c r="J162"/>
      <c r="K162"/>
      <c r="L162"/>
      <c r="M162"/>
      <c r="N162"/>
      <c r="O162"/>
      <c r="P162"/>
      <c r="Q162"/>
      <c r="R162"/>
      <c r="S162"/>
      <c r="T162"/>
      <c r="U162"/>
      <c r="V162"/>
      <c r="W162"/>
      <c r="X162"/>
      <c r="Y162"/>
      <c r="Z162"/>
    </row>
    <row r="163" spans="1:26" ht="20">
      <c r="A163"/>
      <c r="B163"/>
      <c r="C163"/>
      <c r="D163"/>
      <c r="E163"/>
      <c r="F163"/>
      <c r="G163"/>
      <c r="H163"/>
      <c r="I163"/>
      <c r="J163"/>
      <c r="K163"/>
      <c r="L163"/>
      <c r="M163"/>
      <c r="N163"/>
      <c r="O163"/>
      <c r="P163"/>
      <c r="Q163"/>
      <c r="R163"/>
      <c r="S163"/>
      <c r="T163"/>
      <c r="U163"/>
      <c r="V163"/>
      <c r="W163"/>
      <c r="X163"/>
      <c r="Y163"/>
      <c r="Z163"/>
    </row>
    <row r="164" spans="1:26" ht="20">
      <c r="A164"/>
      <c r="B164"/>
      <c r="C164"/>
      <c r="D164"/>
      <c r="E164"/>
      <c r="F164"/>
      <c r="G164"/>
      <c r="H164"/>
      <c r="I164"/>
      <c r="J164"/>
      <c r="K164"/>
      <c r="L164"/>
      <c r="M164"/>
      <c r="N164"/>
      <c r="O164"/>
      <c r="P164"/>
      <c r="Q164"/>
      <c r="R164"/>
      <c r="S164"/>
      <c r="T164"/>
      <c r="U164"/>
      <c r="V164"/>
      <c r="W164"/>
      <c r="X164"/>
      <c r="Y164"/>
      <c r="Z164"/>
    </row>
    <row r="165" spans="1:26" ht="20">
      <c r="A165"/>
      <c r="B165"/>
      <c r="C165"/>
      <c r="D165"/>
      <c r="E165"/>
      <c r="F165"/>
      <c r="G165"/>
      <c r="H165"/>
      <c r="I165"/>
      <c r="J165"/>
      <c r="K165"/>
      <c r="L165"/>
      <c r="M165"/>
      <c r="N165"/>
      <c r="O165"/>
      <c r="P165"/>
      <c r="Q165"/>
      <c r="R165"/>
      <c r="S165"/>
      <c r="T165"/>
      <c r="U165"/>
      <c r="V165"/>
      <c r="W165"/>
      <c r="X165"/>
      <c r="Y165"/>
      <c r="Z165"/>
    </row>
    <row r="166" spans="1:26" ht="20">
      <c r="A166"/>
      <c r="B166"/>
      <c r="C166"/>
      <c r="D166"/>
      <c r="E166"/>
      <c r="F166"/>
      <c r="G166"/>
      <c r="H166"/>
      <c r="I166"/>
      <c r="J166"/>
      <c r="K166"/>
      <c r="L166"/>
      <c r="M166"/>
      <c r="N166"/>
      <c r="O166"/>
      <c r="P166"/>
      <c r="Q166"/>
      <c r="R166"/>
      <c r="S166"/>
      <c r="T166"/>
      <c r="U166"/>
      <c r="V166"/>
      <c r="W166"/>
      <c r="X166"/>
      <c r="Y166"/>
      <c r="Z166"/>
    </row>
    <row r="167" spans="1:26" ht="20">
      <c r="A167"/>
      <c r="B167"/>
      <c r="C167"/>
      <c r="D167"/>
      <c r="E167"/>
      <c r="F167"/>
      <c r="G167"/>
      <c r="H167"/>
      <c r="I167"/>
      <c r="J167"/>
      <c r="K167"/>
      <c r="L167"/>
      <c r="M167"/>
      <c r="N167"/>
      <c r="O167"/>
      <c r="P167"/>
      <c r="Q167"/>
      <c r="R167"/>
      <c r="S167"/>
      <c r="T167"/>
      <c r="U167"/>
      <c r="V167"/>
      <c r="W167"/>
      <c r="X167"/>
      <c r="Y167"/>
      <c r="Z167"/>
    </row>
    <row r="168" spans="1:26" ht="20">
      <c r="A168"/>
      <c r="B168"/>
      <c r="C168"/>
      <c r="D168"/>
      <c r="E168"/>
      <c r="F168"/>
      <c r="G168"/>
      <c r="H168"/>
      <c r="I168"/>
      <c r="J168"/>
      <c r="K168"/>
      <c r="L168"/>
      <c r="M168"/>
      <c r="N168"/>
      <c r="O168"/>
      <c r="P168"/>
      <c r="Q168"/>
      <c r="R168"/>
      <c r="S168"/>
      <c r="T168"/>
      <c r="U168"/>
      <c r="V168"/>
      <c r="W168"/>
      <c r="X168"/>
      <c r="Y168"/>
      <c r="Z168"/>
    </row>
    <row r="169" spans="1:26" ht="20">
      <c r="A169"/>
      <c r="B169"/>
      <c r="C169"/>
      <c r="D169"/>
      <c r="E169"/>
      <c r="F169"/>
      <c r="G169"/>
      <c r="H169"/>
      <c r="I169"/>
      <c r="J169"/>
      <c r="K169"/>
      <c r="L169"/>
      <c r="M169"/>
      <c r="N169"/>
      <c r="O169"/>
      <c r="P169"/>
      <c r="Q169"/>
      <c r="R169"/>
      <c r="S169"/>
      <c r="T169"/>
      <c r="U169"/>
      <c r="V169"/>
      <c r="W169"/>
      <c r="X169"/>
      <c r="Y169"/>
      <c r="Z169"/>
    </row>
    <row r="170" spans="1:26" ht="20">
      <c r="A170"/>
      <c r="B170"/>
      <c r="C170"/>
      <c r="D170"/>
      <c r="E170"/>
      <c r="F170"/>
      <c r="G170"/>
      <c r="H170"/>
      <c r="I170"/>
      <c r="J170"/>
      <c r="K170"/>
      <c r="L170"/>
      <c r="M170"/>
      <c r="N170"/>
      <c r="O170"/>
      <c r="P170"/>
      <c r="Q170"/>
      <c r="R170"/>
      <c r="S170"/>
      <c r="T170"/>
      <c r="U170"/>
      <c r="V170"/>
      <c r="W170"/>
      <c r="X170"/>
      <c r="Y170"/>
      <c r="Z170"/>
    </row>
    <row r="171" spans="1:26" ht="20">
      <c r="A171"/>
      <c r="B171"/>
      <c r="C171"/>
      <c r="D171"/>
      <c r="E171"/>
      <c r="F171"/>
      <c r="G171"/>
      <c r="H171"/>
      <c r="I171"/>
      <c r="J171"/>
      <c r="K171"/>
      <c r="L171"/>
      <c r="M171"/>
      <c r="N171"/>
      <c r="O171"/>
      <c r="P171"/>
      <c r="Q171"/>
      <c r="R171"/>
      <c r="S171"/>
      <c r="T171"/>
      <c r="U171"/>
      <c r="V171"/>
      <c r="W171"/>
      <c r="X171"/>
      <c r="Y171"/>
      <c r="Z171"/>
    </row>
    <row r="172" spans="1:26" ht="20">
      <c r="A172"/>
      <c r="B172"/>
      <c r="C172"/>
      <c r="D172"/>
      <c r="E172"/>
      <c r="F172"/>
      <c r="G172"/>
      <c r="H172"/>
      <c r="I172"/>
      <c r="J172"/>
      <c r="K172"/>
      <c r="L172"/>
      <c r="M172"/>
      <c r="N172"/>
      <c r="O172"/>
      <c r="P172"/>
      <c r="Q172"/>
      <c r="R172"/>
      <c r="S172"/>
      <c r="T172"/>
      <c r="U172"/>
      <c r="V172"/>
      <c r="W172"/>
      <c r="X172"/>
      <c r="Y172"/>
      <c r="Z172"/>
    </row>
    <row r="173" spans="1:26" ht="20">
      <c r="A173"/>
      <c r="B173"/>
      <c r="C173"/>
      <c r="D173"/>
      <c r="E173"/>
      <c r="F173"/>
      <c r="G173"/>
      <c r="H173"/>
      <c r="I173"/>
      <c r="J173"/>
      <c r="K173"/>
      <c r="L173"/>
      <c r="M173"/>
      <c r="N173"/>
      <c r="O173"/>
      <c r="P173"/>
      <c r="Q173"/>
      <c r="R173"/>
      <c r="S173"/>
      <c r="T173"/>
      <c r="U173"/>
      <c r="V173"/>
      <c r="W173"/>
      <c r="X173"/>
      <c r="Y173"/>
      <c r="Z173"/>
    </row>
    <row r="174" spans="1:26" ht="20">
      <c r="A174"/>
      <c r="B174"/>
      <c r="C174"/>
      <c r="D174"/>
      <c r="E174"/>
      <c r="F174"/>
      <c r="G174"/>
      <c r="H174"/>
      <c r="I174"/>
      <c r="J174"/>
      <c r="K174"/>
      <c r="L174"/>
      <c r="M174"/>
      <c r="N174"/>
      <c r="O174"/>
      <c r="P174"/>
      <c r="Q174"/>
      <c r="R174"/>
      <c r="S174"/>
      <c r="T174"/>
      <c r="U174"/>
      <c r="V174"/>
      <c r="W174"/>
      <c r="X174"/>
      <c r="Y174"/>
      <c r="Z174"/>
    </row>
    <row r="175" spans="1:26" ht="20">
      <c r="A175"/>
      <c r="B175"/>
      <c r="C175"/>
      <c r="D175"/>
      <c r="E175"/>
      <c r="F175"/>
      <c r="G175"/>
      <c r="H175"/>
      <c r="I175"/>
      <c r="J175"/>
      <c r="K175"/>
      <c r="L175"/>
      <c r="M175"/>
      <c r="N175"/>
      <c r="O175"/>
      <c r="P175"/>
      <c r="Q175"/>
      <c r="R175"/>
      <c r="S175"/>
      <c r="T175"/>
      <c r="U175"/>
      <c r="V175"/>
      <c r="W175"/>
      <c r="X175"/>
      <c r="Y175"/>
      <c r="Z175"/>
    </row>
    <row r="176" spans="1:26" ht="20">
      <c r="A176"/>
      <c r="B176"/>
      <c r="C176"/>
      <c r="D176"/>
      <c r="E176"/>
      <c r="F176"/>
      <c r="G176"/>
      <c r="H176"/>
      <c r="I176"/>
      <c r="J176"/>
      <c r="K176"/>
      <c r="L176"/>
      <c r="M176"/>
      <c r="N176"/>
      <c r="O176"/>
      <c r="P176"/>
      <c r="Q176"/>
      <c r="R176"/>
      <c r="S176"/>
      <c r="T176"/>
      <c r="U176"/>
      <c r="V176"/>
      <c r="W176"/>
      <c r="X176"/>
      <c r="Y176"/>
      <c r="Z176"/>
    </row>
    <row r="177" spans="1:26" ht="20">
      <c r="A177"/>
      <c r="B177"/>
      <c r="C177"/>
      <c r="D177"/>
      <c r="E177"/>
      <c r="F177"/>
      <c r="G177"/>
      <c r="H177"/>
      <c r="I177"/>
      <c r="J177"/>
      <c r="K177"/>
      <c r="L177"/>
      <c r="M177"/>
      <c r="N177"/>
      <c r="O177"/>
      <c r="P177"/>
      <c r="Q177"/>
      <c r="R177"/>
      <c r="S177"/>
      <c r="T177"/>
      <c r="U177"/>
      <c r="V177"/>
      <c r="W177"/>
      <c r="X177"/>
      <c r="Y177"/>
      <c r="Z177"/>
    </row>
    <row r="178" spans="1:26" ht="20">
      <c r="A178"/>
      <c r="B178"/>
      <c r="C178"/>
      <c r="D178"/>
      <c r="E178"/>
      <c r="F178"/>
      <c r="G178"/>
      <c r="H178"/>
      <c r="I178"/>
      <c r="J178"/>
      <c r="K178"/>
      <c r="L178"/>
      <c r="M178"/>
      <c r="N178"/>
      <c r="O178"/>
      <c r="P178"/>
      <c r="Q178"/>
      <c r="R178"/>
      <c r="S178"/>
      <c r="T178"/>
      <c r="U178"/>
      <c r="V178"/>
      <c r="W178"/>
      <c r="X178"/>
      <c r="Y178"/>
      <c r="Z178"/>
    </row>
    <row r="179" spans="1:26" ht="20">
      <c r="A179"/>
      <c r="B179"/>
      <c r="C179"/>
      <c r="D179"/>
      <c r="E179"/>
      <c r="F179"/>
      <c r="G179"/>
      <c r="H179"/>
      <c r="I179"/>
      <c r="J179"/>
      <c r="K179"/>
      <c r="L179"/>
      <c r="M179"/>
      <c r="N179"/>
      <c r="O179"/>
      <c r="P179"/>
      <c r="Q179"/>
      <c r="R179"/>
      <c r="S179"/>
      <c r="T179"/>
      <c r="U179"/>
      <c r="V179"/>
      <c r="W179"/>
      <c r="X179"/>
      <c r="Y179"/>
      <c r="Z179"/>
    </row>
    <row r="180" spans="1:26" ht="20">
      <c r="A180"/>
      <c r="B180"/>
      <c r="C180"/>
      <c r="D180"/>
      <c r="E180"/>
      <c r="F180"/>
      <c r="G180"/>
      <c r="H180"/>
      <c r="I180"/>
      <c r="J180"/>
      <c r="K180"/>
      <c r="L180"/>
      <c r="M180"/>
      <c r="N180"/>
      <c r="O180"/>
      <c r="P180"/>
      <c r="Q180"/>
      <c r="R180"/>
      <c r="S180"/>
      <c r="T180"/>
      <c r="U180"/>
      <c r="V180"/>
      <c r="W180"/>
      <c r="X180"/>
      <c r="Y180"/>
      <c r="Z180"/>
    </row>
    <row r="181" spans="1:26" ht="20">
      <c r="A181"/>
      <c r="B181"/>
      <c r="C181"/>
      <c r="D181"/>
      <c r="E181"/>
      <c r="F181"/>
      <c r="G181"/>
      <c r="H181"/>
      <c r="I181"/>
      <c r="J181"/>
      <c r="K181"/>
      <c r="L181"/>
      <c r="M181"/>
      <c r="N181"/>
      <c r="O181"/>
      <c r="P181"/>
      <c r="Q181"/>
      <c r="R181"/>
      <c r="S181"/>
      <c r="T181"/>
      <c r="U181"/>
      <c r="V181"/>
      <c r="W181"/>
      <c r="X181"/>
      <c r="Y181"/>
      <c r="Z181"/>
    </row>
    <row r="182" spans="1:26" ht="20">
      <c r="A182"/>
      <c r="B182"/>
      <c r="C182"/>
      <c r="D182"/>
      <c r="E182"/>
      <c r="F182"/>
      <c r="G182"/>
      <c r="H182"/>
      <c r="I182"/>
      <c r="J182"/>
      <c r="K182"/>
      <c r="L182"/>
      <c r="M182"/>
      <c r="N182"/>
      <c r="O182"/>
      <c r="P182"/>
      <c r="Q182"/>
      <c r="R182"/>
      <c r="S182"/>
      <c r="T182"/>
      <c r="U182"/>
      <c r="V182"/>
      <c r="W182"/>
      <c r="X182"/>
      <c r="Y182"/>
      <c r="Z182"/>
    </row>
    <row r="183" spans="1:26" ht="20">
      <c r="A183"/>
      <c r="B183"/>
      <c r="C183"/>
      <c r="D183"/>
      <c r="E183"/>
      <c r="F183"/>
      <c r="G183"/>
      <c r="H183"/>
      <c r="I183"/>
      <c r="J183"/>
      <c r="K183"/>
      <c r="L183"/>
      <c r="M183"/>
      <c r="N183"/>
      <c r="O183"/>
      <c r="P183"/>
      <c r="Q183"/>
      <c r="R183"/>
      <c r="S183"/>
      <c r="T183"/>
      <c r="U183"/>
      <c r="V183"/>
      <c r="W183"/>
      <c r="X183"/>
      <c r="Y183"/>
      <c r="Z183"/>
    </row>
    <row r="184" spans="1:26" ht="20">
      <c r="A184"/>
      <c r="B184"/>
      <c r="C184"/>
      <c r="D184"/>
      <c r="E184"/>
      <c r="F184"/>
      <c r="G184"/>
      <c r="H184"/>
      <c r="I184"/>
      <c r="J184"/>
      <c r="K184"/>
      <c r="L184"/>
      <c r="M184"/>
      <c r="N184"/>
      <c r="O184"/>
      <c r="P184"/>
      <c r="Q184"/>
      <c r="R184"/>
      <c r="S184"/>
      <c r="T184"/>
      <c r="U184"/>
      <c r="V184"/>
      <c r="W184"/>
      <c r="X184"/>
      <c r="Y184"/>
      <c r="Z184"/>
    </row>
    <row r="185" spans="1:26" ht="20">
      <c r="A185"/>
      <c r="B185"/>
      <c r="C185"/>
      <c r="D185"/>
      <c r="E185"/>
      <c r="F185"/>
      <c r="G185"/>
      <c r="H185"/>
      <c r="I185"/>
      <c r="J185"/>
      <c r="K185"/>
      <c r="L185"/>
      <c r="M185"/>
      <c r="N185"/>
      <c r="O185"/>
      <c r="P185"/>
      <c r="Q185"/>
      <c r="R185"/>
      <c r="S185"/>
      <c r="T185"/>
      <c r="U185"/>
      <c r="V185"/>
      <c r="W185"/>
      <c r="X185"/>
      <c r="Y185"/>
      <c r="Z185"/>
    </row>
    <row r="186" spans="1:26" ht="20">
      <c r="A186"/>
      <c r="B186"/>
      <c r="C186"/>
      <c r="D186"/>
      <c r="E186"/>
      <c r="F186"/>
      <c r="G186"/>
      <c r="H186"/>
      <c r="I186"/>
      <c r="J186"/>
      <c r="K186"/>
      <c r="L186"/>
      <c r="M186"/>
      <c r="N186"/>
      <c r="O186"/>
      <c r="P186"/>
      <c r="Q186"/>
      <c r="R186"/>
      <c r="S186"/>
      <c r="T186"/>
      <c r="U186"/>
      <c r="V186"/>
      <c r="W186"/>
      <c r="X186"/>
      <c r="Y186"/>
      <c r="Z186"/>
    </row>
    <row r="187" spans="1:26" ht="20">
      <c r="A187"/>
      <c r="B187"/>
      <c r="C187"/>
      <c r="D187"/>
      <c r="E187"/>
      <c r="F187"/>
      <c r="G187"/>
      <c r="H187"/>
      <c r="I187"/>
      <c r="J187"/>
      <c r="K187"/>
      <c r="L187"/>
      <c r="M187"/>
      <c r="N187"/>
      <c r="O187"/>
      <c r="P187"/>
      <c r="Q187"/>
      <c r="R187"/>
      <c r="S187"/>
      <c r="T187"/>
      <c r="U187"/>
      <c r="V187"/>
      <c r="W187"/>
      <c r="X187"/>
      <c r="Y187"/>
      <c r="Z187"/>
    </row>
    <row r="188" spans="1:26" ht="20">
      <c r="A188"/>
      <c r="B188"/>
      <c r="C188"/>
      <c r="D188"/>
      <c r="E188"/>
      <c r="F188"/>
      <c r="G188"/>
      <c r="H188"/>
      <c r="I188"/>
      <c r="J188"/>
      <c r="K188"/>
      <c r="L188"/>
      <c r="M188"/>
      <c r="N188"/>
      <c r="O188"/>
      <c r="P188"/>
      <c r="Q188"/>
      <c r="R188"/>
      <c r="S188"/>
      <c r="T188"/>
      <c r="U188"/>
      <c r="V188"/>
      <c r="W188"/>
      <c r="X188"/>
      <c r="Y188"/>
      <c r="Z188"/>
    </row>
    <row r="189" spans="1:26" ht="20">
      <c r="A189"/>
      <c r="B189"/>
      <c r="C189"/>
      <c r="D189"/>
      <c r="E189"/>
      <c r="F189"/>
      <c r="G189"/>
      <c r="H189"/>
      <c r="I189"/>
      <c r="J189"/>
      <c r="K189"/>
      <c r="L189"/>
      <c r="M189"/>
      <c r="N189"/>
      <c r="O189"/>
      <c r="P189"/>
      <c r="Q189"/>
      <c r="R189"/>
      <c r="S189"/>
      <c r="T189"/>
      <c r="U189"/>
      <c r="V189"/>
      <c r="W189"/>
      <c r="X189"/>
      <c r="Y189"/>
      <c r="Z189"/>
    </row>
    <row r="190" spans="1:26" ht="20">
      <c r="A190"/>
      <c r="B190"/>
      <c r="C190"/>
      <c r="D190"/>
      <c r="E190"/>
      <c r="F190"/>
      <c r="G190"/>
      <c r="H190"/>
      <c r="I190"/>
      <c r="J190"/>
      <c r="K190"/>
      <c r="L190"/>
      <c r="M190"/>
      <c r="N190"/>
      <c r="O190"/>
      <c r="P190"/>
      <c r="Q190"/>
      <c r="R190"/>
      <c r="S190"/>
      <c r="T190"/>
      <c r="U190"/>
      <c r="V190"/>
      <c r="W190"/>
      <c r="X190"/>
      <c r="Y190"/>
      <c r="Z190"/>
    </row>
    <row r="191" spans="1:26" ht="20">
      <c r="A191"/>
      <c r="B191"/>
      <c r="C191"/>
      <c r="D191"/>
      <c r="E191"/>
      <c r="F191"/>
      <c r="G191"/>
      <c r="H191"/>
      <c r="I191"/>
      <c r="J191"/>
      <c r="K191"/>
      <c r="L191"/>
      <c r="M191"/>
      <c r="N191"/>
      <c r="O191"/>
      <c r="P191"/>
      <c r="Q191"/>
      <c r="R191"/>
      <c r="S191"/>
      <c r="T191"/>
      <c r="U191"/>
      <c r="V191"/>
      <c r="W191"/>
      <c r="X191"/>
      <c r="Y191"/>
      <c r="Z191"/>
    </row>
    <row r="192" spans="1:26" ht="20">
      <c r="A192"/>
      <c r="B192"/>
      <c r="C192"/>
      <c r="D192"/>
      <c r="E192"/>
      <c r="F192"/>
      <c r="G192"/>
      <c r="H192"/>
      <c r="I192"/>
      <c r="J192"/>
      <c r="K192"/>
      <c r="L192"/>
      <c r="M192"/>
      <c r="N192"/>
      <c r="O192"/>
      <c r="P192"/>
      <c r="Q192"/>
      <c r="R192"/>
      <c r="S192"/>
      <c r="T192"/>
      <c r="U192"/>
      <c r="V192"/>
      <c r="W192"/>
      <c r="X192"/>
      <c r="Y192"/>
      <c r="Z192"/>
    </row>
    <row r="193" spans="1:26" ht="20">
      <c r="A193"/>
      <c r="B193"/>
      <c r="C193"/>
      <c r="D193"/>
      <c r="E193"/>
      <c r="F193"/>
      <c r="G193"/>
      <c r="H193"/>
      <c r="I193"/>
      <c r="J193"/>
      <c r="K193"/>
      <c r="L193"/>
      <c r="M193"/>
      <c r="N193"/>
      <c r="O193"/>
      <c r="P193"/>
      <c r="Q193"/>
      <c r="R193"/>
      <c r="S193"/>
      <c r="T193"/>
      <c r="U193"/>
      <c r="V193"/>
      <c r="W193"/>
      <c r="X193"/>
      <c r="Y193"/>
      <c r="Z193"/>
    </row>
    <row r="194" spans="1:26" ht="20">
      <c r="A194"/>
      <c r="B194"/>
      <c r="C194"/>
      <c r="D194"/>
      <c r="E194"/>
      <c r="F194"/>
      <c r="G194"/>
      <c r="H194"/>
      <c r="I194"/>
      <c r="J194"/>
      <c r="K194"/>
      <c r="L194"/>
      <c r="M194"/>
      <c r="N194"/>
      <c r="O194"/>
      <c r="P194"/>
      <c r="Q194"/>
      <c r="R194"/>
      <c r="S194"/>
      <c r="T194"/>
      <c r="U194"/>
      <c r="V194"/>
      <c r="W194"/>
      <c r="X194"/>
      <c r="Y194"/>
      <c r="Z194"/>
    </row>
    <row r="195" spans="1:26" ht="20">
      <c r="A195"/>
      <c r="B195"/>
      <c r="C195"/>
      <c r="D195"/>
      <c r="E195"/>
      <c r="F195"/>
      <c r="G195"/>
      <c r="H195"/>
      <c r="I195"/>
      <c r="J195"/>
      <c r="K195"/>
      <c r="L195"/>
      <c r="M195"/>
      <c r="N195"/>
      <c r="O195"/>
      <c r="P195"/>
      <c r="Q195"/>
      <c r="R195"/>
      <c r="S195"/>
      <c r="T195"/>
      <c r="U195"/>
      <c r="V195"/>
      <c r="W195"/>
      <c r="X195"/>
      <c r="Y195"/>
      <c r="Z195"/>
    </row>
    <row r="196" spans="1:26" ht="20">
      <c r="A196"/>
      <c r="B196"/>
      <c r="C196"/>
      <c r="D196"/>
      <c r="E196"/>
      <c r="F196"/>
      <c r="G196"/>
      <c r="H196"/>
      <c r="I196"/>
      <c r="J196"/>
      <c r="K196"/>
      <c r="L196"/>
      <c r="M196"/>
      <c r="N196"/>
      <c r="O196"/>
      <c r="P196"/>
      <c r="Q196"/>
      <c r="R196"/>
      <c r="S196"/>
      <c r="T196"/>
      <c r="U196"/>
      <c r="V196"/>
      <c r="W196"/>
      <c r="X196"/>
      <c r="Y196"/>
      <c r="Z196"/>
    </row>
    <row r="197" spans="1:26" ht="20">
      <c r="A197"/>
      <c r="B197"/>
      <c r="C197"/>
      <c r="D197"/>
      <c r="E197"/>
      <c r="F197"/>
      <c r="G197"/>
      <c r="H197"/>
      <c r="I197"/>
      <c r="J197"/>
      <c r="K197"/>
      <c r="L197"/>
      <c r="M197"/>
      <c r="N197"/>
      <c r="O197"/>
      <c r="P197"/>
      <c r="Q197"/>
      <c r="R197"/>
      <c r="S197"/>
      <c r="T197"/>
      <c r="U197"/>
      <c r="V197"/>
      <c r="W197"/>
      <c r="X197"/>
      <c r="Y197"/>
      <c r="Z197"/>
    </row>
    <row r="198" spans="1:26" ht="20">
      <c r="A198"/>
      <c r="B198"/>
      <c r="C198"/>
      <c r="D198"/>
      <c r="E198"/>
      <c r="F198"/>
      <c r="G198"/>
      <c r="H198"/>
      <c r="I198"/>
      <c r="J198"/>
      <c r="K198"/>
      <c r="L198"/>
      <c r="M198"/>
      <c r="N198"/>
      <c r="O198"/>
      <c r="P198"/>
      <c r="Q198"/>
      <c r="R198"/>
      <c r="S198"/>
      <c r="T198"/>
      <c r="U198"/>
      <c r="V198"/>
      <c r="W198"/>
      <c r="X198"/>
      <c r="Y198"/>
      <c r="Z198"/>
    </row>
    <row r="199" spans="1:26" ht="20">
      <c r="A199"/>
      <c r="B199"/>
      <c r="C199"/>
      <c r="D199"/>
      <c r="E199"/>
      <c r="F199"/>
      <c r="G199"/>
      <c r="H199"/>
      <c r="I199"/>
      <c r="J199"/>
      <c r="K199"/>
      <c r="L199"/>
      <c r="M199"/>
      <c r="N199"/>
      <c r="O199"/>
      <c r="P199"/>
      <c r="Q199"/>
      <c r="R199"/>
      <c r="S199"/>
      <c r="T199"/>
      <c r="U199"/>
      <c r="V199"/>
      <c r="W199"/>
      <c r="X199"/>
      <c r="Y199"/>
      <c r="Z199"/>
    </row>
    <row r="200" spans="1:26" ht="20">
      <c r="A200"/>
      <c r="B200"/>
      <c r="C200"/>
      <c r="D200"/>
      <c r="E200"/>
      <c r="F200"/>
      <c r="G200"/>
      <c r="H200"/>
      <c r="I200"/>
      <c r="J200"/>
      <c r="K200"/>
      <c r="L200"/>
      <c r="M200"/>
      <c r="N200"/>
      <c r="O200"/>
      <c r="P200"/>
      <c r="Q200"/>
      <c r="R200"/>
      <c r="S200"/>
      <c r="T200"/>
      <c r="U200"/>
      <c r="V200"/>
      <c r="W200"/>
      <c r="X200"/>
      <c r="Y200"/>
      <c r="Z200"/>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24</vt:i4>
      </vt:variant>
      <vt:variant>
        <vt:lpstr>名前付き一覧</vt:lpstr>
      </vt:variant>
      <vt:variant>
        <vt:i4>6</vt:i4>
      </vt:variant>
    </vt:vector>
  </HeadingPairs>
  <TitlesOfParts>
    <vt:vector size="30"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Sheet1</vt:lpstr>
      <vt:lpstr>機能名一覧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機能グループ一覧</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2026-09-06T07:58:42Z</dcterms:modified>
</cp:coreProperties>
</file>