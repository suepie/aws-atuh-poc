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suepie/Develop/10_project/aws-atuh-poc/doc/excel/"/>
    </mc:Choice>
  </mc:AlternateContent>
  <xr:revisionPtr revIDLastSave="0" documentId="13_ncr:1_{5A6B039D-FFB2-CD44-9E77-841D40D0B324}" xr6:coauthVersionLast="47" xr6:coauthVersionMax="47" xr10:uidLastSave="{00000000-0000-0000-0000-000000000000}"/>
  <bookViews>
    <workbookView xWindow="0" yWindow="780" windowWidth="34200" windowHeight="21460" firstSheet="1" activeTab="3" xr2:uid="{B021B529-7D79-6D49-8055-5FE1DF3A55F9}"/>
  </bookViews>
  <sheets>
    <sheet name="コスト見積もり" sheetId="12" r:id="rId1"/>
    <sheet name="設計決定一覧" sheetId="3" r:id="rId2"/>
    <sheet name="ADR一覧" sheetId="6" r:id="rId3"/>
    <sheet name="機能グループ一覧" sheetId="31" r:id="rId4"/>
    <sheet name="提供API一覧" sheetId="38" r:id="rId5"/>
    <sheet name="要件マッピング" sheetId="36" r:id="rId6"/>
    <sheet name="要件・機能対応表" sheetId="37" r:id="rId7"/>
    <sheet name="WBS(基本設計)" sheetId="9" r:id="rId8"/>
    <sheet name="WBS(詳細設計_製造)" sheetId="8" r:id="rId9"/>
    <sheet name="WBS(テスト)" sheetId="10" r:id="rId10"/>
    <sheet name="運用（定常）" sheetId="34" r:id="rId11"/>
    <sheet name="機能名一覧" sheetId="32" r:id="rId12"/>
    <sheet name="サマリ(工程別)" sheetId="33" r:id="rId13"/>
  </sheets>
  <definedNames>
    <definedName name="_xlnm._FilterDatabase" localSheetId="2" hidden="1">ADR一覧!$A$5:$E$72</definedName>
    <definedName name="_xlnm._FilterDatabase" localSheetId="9" hidden="1">'WBS(テスト)'!$A$1:$I$95</definedName>
    <definedName name="_xlnm._FilterDatabase" localSheetId="7" hidden="1">'WBS(基本設計)'!$A$1:$S$159</definedName>
    <definedName name="_xlnm._FilterDatabase" localSheetId="8" hidden="1">'WBS(詳細設計_製造)'!$A$1:$I$182</definedName>
    <definedName name="_xlnm._FilterDatabase" localSheetId="0" hidden="1">コスト見積もり!$A$24:$M$59</definedName>
    <definedName name="_xlnm._FilterDatabase" localSheetId="12" hidden="1">'サマリ(工程別)'!$A$1:$H$80</definedName>
    <definedName name="_xlnm._FilterDatabase" localSheetId="3" hidden="1">機能グループ一覧!$A$1:$E$30</definedName>
    <definedName name="_xlnm._FilterDatabase" localSheetId="11" hidden="1">機能名一覧!$A$1:$J$132</definedName>
    <definedName name="_xlnm._FilterDatabase" localSheetId="1" hidden="1">設計決定一覧!$A$4:$E$189</definedName>
    <definedName name="_xlnm._FilterDatabase" localSheetId="5" hidden="1">要件マッピング!$A$1:$O$210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2" i="33" l="1"/>
  <c r="D82" i="33"/>
  <c r="E82" i="33"/>
  <c r="F82" i="33"/>
  <c r="G82" i="33"/>
  <c r="H82" i="33"/>
  <c r="H80" i="33"/>
  <c r="F80" i="33"/>
  <c r="E80" i="33"/>
  <c r="D80" i="33"/>
  <c r="C80" i="33"/>
  <c r="G80" i="33" s="1"/>
  <c r="H79" i="33"/>
  <c r="F79" i="33"/>
  <c r="E79" i="33"/>
  <c r="D79" i="33"/>
  <c r="C79" i="33"/>
  <c r="G79" i="33" s="1"/>
  <c r="H78" i="33"/>
  <c r="F78" i="33"/>
  <c r="E78" i="33"/>
  <c r="D78" i="33"/>
  <c r="C78" i="33"/>
  <c r="G78" i="33" s="1"/>
  <c r="H77" i="33"/>
  <c r="F77" i="33"/>
  <c r="E77" i="33"/>
  <c r="D77" i="33"/>
  <c r="C77" i="33"/>
  <c r="G77" i="33" s="1"/>
  <c r="H76" i="33"/>
  <c r="F76" i="33"/>
  <c r="E76" i="33"/>
  <c r="D76" i="33"/>
  <c r="G76" i="33" s="1"/>
  <c r="C76" i="33"/>
  <c r="H75" i="33"/>
  <c r="F75" i="33"/>
  <c r="E75" i="33"/>
  <c r="D75" i="33"/>
  <c r="C75" i="33"/>
  <c r="G75" i="33" s="1"/>
  <c r="H74" i="33"/>
  <c r="F74" i="33"/>
  <c r="E74" i="33"/>
  <c r="D74" i="33"/>
  <c r="C74" i="33"/>
  <c r="G74" i="33" s="1"/>
  <c r="H73" i="33"/>
  <c r="F73" i="33"/>
  <c r="E73" i="33"/>
  <c r="D73" i="33"/>
  <c r="C73" i="33"/>
  <c r="G73" i="33" s="1"/>
  <c r="H72" i="33"/>
  <c r="F72" i="33"/>
  <c r="E72" i="33"/>
  <c r="D72" i="33"/>
  <c r="C72" i="33"/>
  <c r="G72" i="33" s="1"/>
  <c r="H71" i="33"/>
  <c r="F71" i="33"/>
  <c r="E71" i="33"/>
  <c r="D71" i="33"/>
  <c r="C71" i="33"/>
  <c r="G71" i="33" s="1"/>
  <c r="H70" i="33"/>
  <c r="G70" i="33"/>
  <c r="F70" i="33"/>
  <c r="E70" i="33"/>
  <c r="D70" i="33"/>
  <c r="C70" i="33"/>
  <c r="H69" i="33"/>
  <c r="F69" i="33"/>
  <c r="E69" i="33"/>
  <c r="D69" i="33"/>
  <c r="C69" i="33"/>
  <c r="G69" i="33" s="1"/>
  <c r="H68" i="33"/>
  <c r="F68" i="33"/>
  <c r="E68" i="33"/>
  <c r="D68" i="33"/>
  <c r="C68" i="33"/>
  <c r="G68" i="33" s="1"/>
  <c r="H67" i="33"/>
  <c r="F67" i="33"/>
  <c r="E67" i="33"/>
  <c r="D67" i="33"/>
  <c r="C67" i="33"/>
  <c r="G67" i="33" s="1"/>
  <c r="H66" i="33"/>
  <c r="G66" i="33"/>
  <c r="F66" i="33"/>
  <c r="E66" i="33"/>
  <c r="D66" i="33"/>
  <c r="C66" i="33"/>
  <c r="H65" i="33"/>
  <c r="F65" i="33"/>
  <c r="E65" i="33"/>
  <c r="D65" i="33"/>
  <c r="C65" i="33"/>
  <c r="G65" i="33" s="1"/>
  <c r="H64" i="33"/>
  <c r="F64" i="33"/>
  <c r="E64" i="33"/>
  <c r="D64" i="33"/>
  <c r="C64" i="33"/>
  <c r="G64" i="33" s="1"/>
  <c r="H63" i="33"/>
  <c r="F63" i="33"/>
  <c r="E63" i="33"/>
  <c r="D63" i="33"/>
  <c r="C63" i="33"/>
  <c r="G63" i="33" s="1"/>
  <c r="H62" i="33"/>
  <c r="G62" i="33"/>
  <c r="F62" i="33"/>
  <c r="E62" i="33"/>
  <c r="D62" i="33"/>
  <c r="C62" i="33"/>
  <c r="H61" i="33"/>
  <c r="F61" i="33"/>
  <c r="E61" i="33"/>
  <c r="D61" i="33"/>
  <c r="C61" i="33"/>
  <c r="G61" i="33" s="1"/>
  <c r="H60" i="33"/>
  <c r="F60" i="33"/>
  <c r="E60" i="33"/>
  <c r="D60" i="33"/>
  <c r="C60" i="33"/>
  <c r="G60" i="33" s="1"/>
  <c r="H59" i="33"/>
  <c r="F59" i="33"/>
  <c r="E59" i="33"/>
  <c r="D59" i="33"/>
  <c r="G59" i="33" s="1"/>
  <c r="C59" i="33"/>
  <c r="H58" i="33"/>
  <c r="G58" i="33"/>
  <c r="F58" i="33"/>
  <c r="E58" i="33"/>
  <c r="D58" i="33"/>
  <c r="C58" i="33"/>
  <c r="H57" i="33"/>
  <c r="F57" i="33"/>
  <c r="E57" i="33"/>
  <c r="D57" i="33"/>
  <c r="C57" i="33"/>
  <c r="G57" i="33" s="1"/>
  <c r="H56" i="33"/>
  <c r="F56" i="33"/>
  <c r="E56" i="33"/>
  <c r="D56" i="33"/>
  <c r="C56" i="33"/>
  <c r="G56" i="33" s="1"/>
  <c r="H55" i="33"/>
  <c r="F55" i="33"/>
  <c r="E55" i="33"/>
  <c r="D55" i="33"/>
  <c r="C55" i="33"/>
  <c r="G55" i="33" s="1"/>
  <c r="H54" i="33"/>
  <c r="F54" i="33"/>
  <c r="E54" i="33"/>
  <c r="D54" i="33"/>
  <c r="G54" i="33" s="1"/>
  <c r="C54" i="33"/>
  <c r="H53" i="33"/>
  <c r="F53" i="33"/>
  <c r="E53" i="33"/>
  <c r="D53" i="33"/>
  <c r="C53" i="33"/>
  <c r="G53" i="33" s="1"/>
  <c r="H52" i="33"/>
  <c r="F52" i="33"/>
  <c r="E52" i="33"/>
  <c r="D52" i="33"/>
  <c r="C52" i="33"/>
  <c r="G52" i="33" s="1"/>
  <c r="H51" i="33"/>
  <c r="F51" i="33"/>
  <c r="E51" i="33"/>
  <c r="D51" i="33"/>
  <c r="G51" i="33" s="1"/>
  <c r="C51" i="33"/>
  <c r="H50" i="33"/>
  <c r="F50" i="33"/>
  <c r="E50" i="33"/>
  <c r="D50" i="33"/>
  <c r="G50" i="33" s="1"/>
  <c r="C50" i="33"/>
  <c r="H49" i="33"/>
  <c r="F49" i="33"/>
  <c r="E49" i="33"/>
  <c r="D49" i="33"/>
  <c r="C49" i="33"/>
  <c r="G49" i="33" s="1"/>
  <c r="H48" i="33"/>
  <c r="F48" i="33"/>
  <c r="E48" i="33"/>
  <c r="D48" i="33"/>
  <c r="C48" i="33"/>
  <c r="G48" i="33" s="1"/>
  <c r="H47" i="33"/>
  <c r="F47" i="33"/>
  <c r="E47" i="33"/>
  <c r="D47" i="33"/>
  <c r="C47" i="33"/>
  <c r="G47" i="33" s="1"/>
  <c r="H46" i="33"/>
  <c r="F46" i="33"/>
  <c r="E46" i="33"/>
  <c r="D46" i="33"/>
  <c r="C46" i="33"/>
  <c r="G46" i="33" s="1"/>
  <c r="H45" i="33"/>
  <c r="F45" i="33"/>
  <c r="E45" i="33"/>
  <c r="D45" i="33"/>
  <c r="G45" i="33" s="1"/>
  <c r="C45" i="33"/>
  <c r="H44" i="33"/>
  <c r="F44" i="33"/>
  <c r="E44" i="33"/>
  <c r="D44" i="33"/>
  <c r="G44" i="33" s="1"/>
  <c r="C44" i="33"/>
  <c r="H43" i="33"/>
  <c r="F43" i="33"/>
  <c r="E43" i="33"/>
  <c r="D43" i="33"/>
  <c r="C43" i="33"/>
  <c r="G43" i="33" s="1"/>
  <c r="H42" i="33"/>
  <c r="F42" i="33"/>
  <c r="E42" i="33"/>
  <c r="D42" i="33"/>
  <c r="C42" i="33"/>
  <c r="G42" i="33" s="1"/>
  <c r="H41" i="33"/>
  <c r="F41" i="33"/>
  <c r="E41" i="33"/>
  <c r="D41" i="33"/>
  <c r="G41" i="33" s="1"/>
  <c r="C41" i="33"/>
  <c r="H40" i="33"/>
  <c r="F40" i="33"/>
  <c r="E40" i="33"/>
  <c r="D40" i="33"/>
  <c r="G40" i="33" s="1"/>
  <c r="C40" i="33"/>
  <c r="H39" i="33"/>
  <c r="F39" i="33"/>
  <c r="E39" i="33"/>
  <c r="D39" i="33"/>
  <c r="C39" i="33"/>
  <c r="G39" i="33" s="1"/>
  <c r="H38" i="33"/>
  <c r="F38" i="33"/>
  <c r="E38" i="33"/>
  <c r="D38" i="33"/>
  <c r="C38" i="33"/>
  <c r="G38" i="33" s="1"/>
  <c r="H37" i="33"/>
  <c r="F37" i="33"/>
  <c r="E37" i="33"/>
  <c r="D37" i="33"/>
  <c r="G37" i="33" s="1"/>
  <c r="C37" i="33"/>
  <c r="H36" i="33"/>
  <c r="F36" i="33"/>
  <c r="E36" i="33"/>
  <c r="D36" i="33"/>
  <c r="G36" i="33" s="1"/>
  <c r="C36" i="33"/>
  <c r="H35" i="33"/>
  <c r="F35" i="33"/>
  <c r="E35" i="33"/>
  <c r="D35" i="33"/>
  <c r="C35" i="33"/>
  <c r="G35" i="33" s="1"/>
  <c r="H34" i="33"/>
  <c r="F34" i="33"/>
  <c r="E34" i="33"/>
  <c r="D34" i="33"/>
  <c r="C34" i="33"/>
  <c r="G34" i="33" s="1"/>
  <c r="H33" i="33"/>
  <c r="F33" i="33"/>
  <c r="E33" i="33"/>
  <c r="D33" i="33"/>
  <c r="G33" i="33" s="1"/>
  <c r="C33" i="33"/>
  <c r="H32" i="33"/>
  <c r="F32" i="33"/>
  <c r="E32" i="33"/>
  <c r="D32" i="33"/>
  <c r="G32" i="33" s="1"/>
  <c r="C32" i="33"/>
  <c r="H31" i="33"/>
  <c r="F31" i="33"/>
  <c r="E31" i="33"/>
  <c r="D31" i="33"/>
  <c r="C31" i="33"/>
  <c r="G31" i="33" s="1"/>
  <c r="H30" i="33"/>
  <c r="F30" i="33"/>
  <c r="E30" i="33"/>
  <c r="D30" i="33"/>
  <c r="C30" i="33"/>
  <c r="G30" i="33" s="1"/>
  <c r="H29" i="33"/>
  <c r="F29" i="33"/>
  <c r="E29" i="33"/>
  <c r="D29" i="33"/>
  <c r="G29" i="33" s="1"/>
  <c r="C29" i="33"/>
  <c r="H28" i="33"/>
  <c r="F28" i="33"/>
  <c r="E28" i="33"/>
  <c r="D28" i="33"/>
  <c r="G28" i="33" s="1"/>
  <c r="C28" i="33"/>
  <c r="H27" i="33"/>
  <c r="F27" i="33"/>
  <c r="E27" i="33"/>
  <c r="D27" i="33"/>
  <c r="C27" i="33"/>
  <c r="G27" i="33" s="1"/>
  <c r="H26" i="33"/>
  <c r="F26" i="33"/>
  <c r="E26" i="33"/>
  <c r="D26" i="33"/>
  <c r="C26" i="33"/>
  <c r="G26" i="33" s="1"/>
  <c r="H25" i="33"/>
  <c r="F25" i="33"/>
  <c r="E25" i="33"/>
  <c r="D25" i="33"/>
  <c r="G25" i="33" s="1"/>
  <c r="C25" i="33"/>
  <c r="H24" i="33"/>
  <c r="F24" i="33"/>
  <c r="E24" i="33"/>
  <c r="D24" i="33"/>
  <c r="G24" i="33" s="1"/>
  <c r="C24" i="33"/>
  <c r="H23" i="33"/>
  <c r="F23" i="33"/>
  <c r="E23" i="33"/>
  <c r="D23" i="33"/>
  <c r="C23" i="33"/>
  <c r="G23" i="33" s="1"/>
  <c r="H22" i="33"/>
  <c r="F22" i="33"/>
  <c r="E22" i="33"/>
  <c r="D22" i="33"/>
  <c r="C22" i="33"/>
  <c r="G22" i="33" s="1"/>
  <c r="H21" i="33"/>
  <c r="F21" i="33"/>
  <c r="E21" i="33"/>
  <c r="D21" i="33"/>
  <c r="G21" i="33" s="1"/>
  <c r="C21" i="33"/>
  <c r="H20" i="33"/>
  <c r="F20" i="33"/>
  <c r="E20" i="33"/>
  <c r="D20" i="33"/>
  <c r="G20" i="33" s="1"/>
  <c r="C20" i="33"/>
  <c r="H19" i="33"/>
  <c r="F19" i="33"/>
  <c r="E19" i="33"/>
  <c r="D19" i="33"/>
  <c r="C19" i="33"/>
  <c r="G19" i="33" s="1"/>
  <c r="H18" i="33"/>
  <c r="F18" i="33"/>
  <c r="E18" i="33"/>
  <c r="D18" i="33"/>
  <c r="C18" i="33"/>
  <c r="G18" i="33" s="1"/>
  <c r="H17" i="33"/>
  <c r="F17" i="33"/>
  <c r="E17" i="33"/>
  <c r="D17" i="33"/>
  <c r="G17" i="33" s="1"/>
  <c r="C17" i="33"/>
  <c r="H16" i="33"/>
  <c r="F16" i="33"/>
  <c r="E16" i="33"/>
  <c r="D16" i="33"/>
  <c r="G16" i="33" s="1"/>
  <c r="C16" i="33"/>
  <c r="H15" i="33"/>
  <c r="F15" i="33"/>
  <c r="E15" i="33"/>
  <c r="D15" i="33"/>
  <c r="C15" i="33"/>
  <c r="G15" i="33" s="1"/>
  <c r="H14" i="33"/>
  <c r="F14" i="33"/>
  <c r="E14" i="33"/>
  <c r="D14" i="33"/>
  <c r="C14" i="33"/>
  <c r="G14" i="33" s="1"/>
  <c r="H13" i="33"/>
  <c r="F13" i="33"/>
  <c r="E13" i="33"/>
  <c r="D13" i="33"/>
  <c r="G13" i="33" s="1"/>
  <c r="C13" i="33"/>
  <c r="H12" i="33"/>
  <c r="F12" i="33"/>
  <c r="E12" i="33"/>
  <c r="D12" i="33"/>
  <c r="G12" i="33" s="1"/>
  <c r="C12" i="33"/>
  <c r="H11" i="33"/>
  <c r="F11" i="33"/>
  <c r="E11" i="33"/>
  <c r="D11" i="33"/>
  <c r="C11" i="33"/>
  <c r="G11" i="33" s="1"/>
  <c r="H10" i="33"/>
  <c r="F10" i="33"/>
  <c r="E10" i="33"/>
  <c r="D10" i="33"/>
  <c r="C10" i="33"/>
  <c r="G10" i="33" s="1"/>
  <c r="H9" i="33"/>
  <c r="F9" i="33"/>
  <c r="E9" i="33"/>
  <c r="D9" i="33"/>
  <c r="G9" i="33" s="1"/>
  <c r="C9" i="33"/>
  <c r="H8" i="33"/>
  <c r="F8" i="33"/>
  <c r="E8" i="33"/>
  <c r="D8" i="33"/>
  <c r="G8" i="33" s="1"/>
  <c r="C8" i="33"/>
  <c r="H7" i="33"/>
  <c r="F7" i="33"/>
  <c r="E7" i="33"/>
  <c r="D7" i="33"/>
  <c r="C7" i="33"/>
  <c r="G7" i="33" s="1"/>
  <c r="H6" i="33"/>
  <c r="F6" i="33"/>
  <c r="E6" i="33"/>
  <c r="D6" i="33"/>
  <c r="C6" i="33"/>
  <c r="G6" i="33" s="1"/>
  <c r="H5" i="33"/>
  <c r="F5" i="33"/>
  <c r="E5" i="33"/>
  <c r="D5" i="33"/>
  <c r="G5" i="33" s="1"/>
  <c r="C5" i="33"/>
  <c r="H4" i="33"/>
  <c r="F4" i="33"/>
  <c r="E4" i="33"/>
  <c r="D4" i="33"/>
  <c r="G4" i="33" s="1"/>
  <c r="C4" i="33"/>
  <c r="H3" i="33"/>
  <c r="F3" i="33"/>
  <c r="E3" i="33"/>
  <c r="D3" i="33"/>
  <c r="C3" i="33"/>
  <c r="G3" i="33" s="1"/>
  <c r="C2" i="33"/>
  <c r="G2" i="33" s="1"/>
  <c r="D2" i="33"/>
  <c r="E2" i="33"/>
  <c r="F2" i="33"/>
  <c r="H2" i="33"/>
  <c r="H134" i="32"/>
  <c r="I134" i="32"/>
  <c r="J134" i="32"/>
  <c r="N30" i="38" a="1"/>
  <c r="N30" i="38" s="1"/>
  <c r="M30" i="38" a="1"/>
  <c r="M30" i="38" s="1"/>
  <c r="L30" i="38" a="1"/>
  <c r="L30" i="38" s="1"/>
  <c r="N10" i="38" a="1"/>
  <c r="N10" i="38" s="1"/>
  <c r="M10" i="38" a="1"/>
  <c r="M10" i="38" s="1"/>
  <c r="L10" i="38" a="1"/>
  <c r="L10" i="38" s="1"/>
  <c r="M2" i="38"/>
  <c r="M3" i="38"/>
  <c r="M4" i="38"/>
  <c r="M5" i="38"/>
  <c r="J30" i="34"/>
  <c r="H30" i="34"/>
  <c r="L59" i="12"/>
  <c r="K59" i="12"/>
  <c r="J59" i="12"/>
  <c r="L58" i="12"/>
  <c r="K58" i="12"/>
  <c r="J58" i="12"/>
  <c r="L57" i="12"/>
  <c r="K57" i="12"/>
  <c r="J57" i="12"/>
  <c r="L56" i="12"/>
  <c r="K56" i="12"/>
  <c r="J56" i="12"/>
  <c r="L55" i="12"/>
  <c r="K55" i="12"/>
  <c r="J55" i="12"/>
  <c r="L54" i="12"/>
  <c r="K54" i="12"/>
  <c r="J54" i="12"/>
  <c r="L53" i="12"/>
  <c r="K53" i="12"/>
  <c r="J53" i="12"/>
  <c r="L52" i="12"/>
  <c r="K52" i="12"/>
  <c r="J52" i="12"/>
  <c r="L51" i="12"/>
  <c r="K51" i="12"/>
  <c r="J51" i="12"/>
  <c r="L50" i="12"/>
  <c r="K50" i="12"/>
  <c r="J50" i="12"/>
  <c r="L49" i="12"/>
  <c r="K49" i="12"/>
  <c r="J49" i="12"/>
  <c r="L48" i="12"/>
  <c r="K48" i="12"/>
  <c r="J48" i="12"/>
  <c r="L47" i="12"/>
  <c r="K47" i="12"/>
  <c r="J47" i="12"/>
  <c r="L46" i="12"/>
  <c r="K46" i="12"/>
  <c r="J46" i="12"/>
  <c r="L45" i="12"/>
  <c r="K45" i="12"/>
  <c r="J45" i="12"/>
  <c r="L44" i="12"/>
  <c r="K44" i="12"/>
  <c r="J44" i="12"/>
  <c r="L43" i="12"/>
  <c r="K43" i="12"/>
  <c r="J43" i="12"/>
  <c r="L42" i="12"/>
  <c r="K42" i="12"/>
  <c r="J42" i="12"/>
  <c r="L41" i="12"/>
  <c r="K41" i="12"/>
  <c r="J41" i="12"/>
  <c r="L40" i="12"/>
  <c r="K40" i="12"/>
  <c r="J40" i="12"/>
  <c r="L39" i="12"/>
  <c r="K39" i="12"/>
  <c r="J39" i="12"/>
  <c r="L38" i="12"/>
  <c r="K38" i="12"/>
  <c r="J38" i="12"/>
  <c r="L37" i="12"/>
  <c r="K37" i="12"/>
  <c r="J37" i="12"/>
  <c r="L36" i="12"/>
  <c r="K36" i="12"/>
  <c r="J36" i="12"/>
  <c r="L35" i="12"/>
  <c r="K35" i="12"/>
  <c r="J35" i="12"/>
  <c r="L34" i="12"/>
  <c r="K34" i="12"/>
  <c r="J34" i="12"/>
  <c r="L33" i="12"/>
  <c r="K33" i="12"/>
  <c r="J33" i="12"/>
  <c r="L32" i="12"/>
  <c r="K32" i="12"/>
  <c r="J32" i="12"/>
  <c r="L31" i="12"/>
  <c r="K31" i="12"/>
  <c r="J31" i="12"/>
  <c r="L30" i="12"/>
  <c r="K30" i="12"/>
  <c r="J30" i="12"/>
  <c r="L29" i="12"/>
  <c r="K29" i="12"/>
  <c r="J29" i="12"/>
  <c r="L28" i="12"/>
  <c r="K28" i="12"/>
  <c r="J28" i="12"/>
  <c r="L27" i="12"/>
  <c r="K27" i="12"/>
  <c r="J27" i="12"/>
  <c r="L26" i="12"/>
  <c r="K26" i="12"/>
  <c r="J26" i="12"/>
  <c r="L25" i="12"/>
  <c r="K25" i="12"/>
  <c r="J25" i="12"/>
  <c r="M6" i="38" l="1"/>
  <c r="A85" i="12"/>
  <c r="B64" i="12" l="1"/>
  <c r="C64" i="12"/>
  <c r="B65" i="12"/>
  <c r="B66" i="12"/>
  <c r="B67" i="12"/>
  <c r="B68" i="12"/>
  <c r="B69" i="12"/>
  <c r="N60" i="12"/>
  <c r="E65" i="12"/>
  <c r="C65" i="12"/>
  <c r="D66" i="12"/>
  <c r="E66" i="12"/>
  <c r="C66" i="12"/>
  <c r="C67" i="12"/>
  <c r="D67" i="12"/>
  <c r="E67" i="12"/>
  <c r="C68" i="12"/>
  <c r="D68" i="12"/>
  <c r="E68" i="12"/>
  <c r="C69" i="12"/>
  <c r="D69" i="12"/>
  <c r="E69" i="12"/>
  <c r="H7" i="6"/>
  <c r="H8" i="6"/>
  <c r="H9" i="6"/>
  <c r="H10" i="6"/>
  <c r="H11" i="6"/>
  <c r="H12" i="6"/>
  <c r="B70" i="12" l="1"/>
  <c r="F70" i="12" s="1"/>
  <c r="H13" i="6"/>
  <c r="I13" i="6" s="1"/>
  <c r="L60" i="12"/>
  <c r="D74" i="12" s="1"/>
  <c r="D75" i="12" s="1"/>
  <c r="D79" i="12" s="1"/>
  <c r="K60" i="12"/>
  <c r="C74" i="12" s="1"/>
  <c r="C76" i="12" s="1"/>
  <c r="C77" i="12" s="1"/>
  <c r="C78" i="12" s="1"/>
  <c r="J60" i="12"/>
  <c r="B74" i="12" s="1"/>
  <c r="B75" i="12" s="1"/>
  <c r="B79" i="12" s="1"/>
  <c r="D65" i="12"/>
  <c r="C70" i="12"/>
  <c r="E64" i="12"/>
  <c r="E70" i="12" s="1"/>
  <c r="D64" i="12"/>
  <c r="C75" i="12" l="1"/>
  <c r="C79" i="12" s="1"/>
  <c r="B76" i="12"/>
  <c r="B77" i="12" s="1"/>
  <c r="B78" i="12" s="1"/>
  <c r="D76" i="12"/>
  <c r="D77" i="12" s="1"/>
  <c r="D78" i="12" s="1"/>
  <c r="D70"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<sst xmlns="http://schemas.openxmlformats.org/spreadsheetml/2006/main" count="13660" uniqueCount="4734">
  <si>
    <t>区分</t>
  </si>
  <si>
    <t>未着手</t>
  </si>
  <si>
    <t>機能要件</t>
  </si>
  <si>
    <t>非機能要件</t>
  </si>
  <si>
    <t>合計</t>
  </si>
  <si>
    <t>概要</t>
  </si>
  <si>
    <t>出典</t>
  </si>
  <si>
    <t>FR-AUTH-002</t>
  </si>
  <si>
    <t>FR-AUTH-003</t>
  </si>
  <si>
    <t>Authorization Code + client_secret（SSR）</t>
  </si>
  <si>
    <t>FR-AUTH-004</t>
  </si>
  <si>
    <t>Client Credentials（M2M）</t>
  </si>
  <si>
    <t>FR-AUTH-005</t>
  </si>
  <si>
    <t>Token Exchange（RFC 8693）</t>
  </si>
  <si>
    <t>FR-AUTH-006</t>
  </si>
  <si>
    <t>FR-AUTH-007</t>
  </si>
  <si>
    <t>FR-AUTH-008</t>
  </si>
  <si>
    <t>ROPC（Password Grant）</t>
  </si>
  <si>
    <t>FR-AUTH-009</t>
  </si>
  <si>
    <t>パスワードポリシー（最小長・複雑性）</t>
  </si>
  <si>
    <t>FR-AUTH-010</t>
  </si>
  <si>
    <t>FR-AUTH-011</t>
  </si>
  <si>
    <t>FR-AUTH-012</t>
  </si>
  <si>
    <t>パスワード有効期限</t>
  </si>
  <si>
    <t>FR-AUTH-013</t>
  </si>
  <si>
    <t>FR-AUTH-014</t>
  </si>
  <si>
    <t>初期パスワード強制変更</t>
  </si>
  <si>
    <t>FR-FED-001</t>
  </si>
  <si>
    <t>FR-FED-002</t>
  </si>
  <si>
    <t>FR-FED-003</t>
  </si>
  <si>
    <t>FR-FED-004</t>
  </si>
  <si>
    <t>FR-FED-005</t>
  </si>
  <si>
    <t>FR-FED-006</t>
  </si>
  <si>
    <t>FR-FED-007</t>
  </si>
  <si>
    <t>LDAP / AD 直接連携</t>
  </si>
  <si>
    <t>FR-FED-014</t>
  </si>
  <si>
    <t>FR-FED-008</t>
  </si>
  <si>
    <t>FR-FED-009</t>
  </si>
  <si>
    <t>FR-FED-010</t>
  </si>
  <si>
    <t>FR-FED-011</t>
  </si>
  <si>
    <t>FR-FED-013</t>
  </si>
  <si>
    <t>FR-MFA-001</t>
  </si>
  <si>
    <t>FR-MFA-002</t>
  </si>
  <si>
    <t>WebAuthn / FIDO2（Passkeys）</t>
  </si>
  <si>
    <t>FR-MFA-003</t>
  </si>
  <si>
    <t>SMS OTP</t>
  </si>
  <si>
    <t>FR-MFA-004</t>
  </si>
  <si>
    <t>FR-MFA-005</t>
  </si>
  <si>
    <t>FR-MFA-006</t>
  </si>
  <si>
    <t>FR-MFA-007</t>
  </si>
  <si>
    <t>FR-MFA-008</t>
  </si>
  <si>
    <t>FR-MFA-009</t>
  </si>
  <si>
    <t>FR-SSO-001</t>
  </si>
  <si>
    <t>FR-SSO-002</t>
  </si>
  <si>
    <t>FR-SSO-004</t>
  </si>
  <si>
    <t>FR-SSO-005</t>
  </si>
  <si>
    <t>FR-SSO-006</t>
  </si>
  <si>
    <t>Front-Channel Logout</t>
  </si>
  <si>
    <t>FR-SSO-007</t>
  </si>
  <si>
    <t>Back-Channel Logout（RFC 8606）</t>
  </si>
  <si>
    <t>FR-SSO-008</t>
  </si>
  <si>
    <t>セッションタイムアウト設定</t>
  </si>
  <si>
    <t>FR-SSO-009</t>
  </si>
  <si>
    <t>アクセストークン強制無効化（Revocation）</t>
  </si>
  <si>
    <t>FR-AUTHZ-001</t>
  </si>
  <si>
    <t>FR-AUTHZ-003</t>
  </si>
  <si>
    <t>FR-AUTHZ-004</t>
  </si>
  <si>
    <t>ロール階層（継承）</t>
  </si>
  <si>
    <t>FR-AUTHZ-005</t>
  </si>
  <si>
    <t>FR-AUTHZ-006</t>
  </si>
  <si>
    <t>カスタムクレーム注入（任意属性）</t>
  </si>
  <si>
    <t>FR-AUTHZ-008</t>
  </si>
  <si>
    <t>FR-AUTHZ-009</t>
  </si>
  <si>
    <t>リソースレベル認可（UMA 2.0 / Fine-grained）</t>
  </si>
  <si>
    <t>FR-AUTHZ-010</t>
  </si>
  <si>
    <t>動的属性ベース認可（ABAC）</t>
  </si>
  <si>
    <t>FR-USER-005</t>
  </si>
  <si>
    <t>ユーザー検索・一覧</t>
  </si>
  <si>
    <t>FR-USER-006</t>
  </si>
  <si>
    <t>FR-USER-002</t>
  </si>
  <si>
    <t>カスタム属性（任意フィールド）</t>
  </si>
  <si>
    <t>FR-USER-007</t>
  </si>
  <si>
    <t>ユーザーグループ管理</t>
  </si>
  <si>
    <t>FR-USER-008</t>
  </si>
  <si>
    <t>ロール割り当て</t>
  </si>
  <si>
    <t>FR-USER-004</t>
  </si>
  <si>
    <t>セルフサービスプロフィール編集</t>
  </si>
  <si>
    <t>FR-USER-012</t>
  </si>
  <si>
    <t>ユーザー作成時の招待メール</t>
  </si>
  <si>
    <t>FR-USER-003</t>
  </si>
  <si>
    <t>FR-USER-009</t>
  </si>
  <si>
    <t>バルクインポート（CSV / JSON）</t>
  </si>
  <si>
    <t>FR-USER-010</t>
  </si>
  <si>
    <t>ユーザーパスワード強制リセット</t>
  </si>
  <si>
    <t>FR-ADMIN-001</t>
  </si>
  <si>
    <t>FR-ADMIN-002</t>
  </si>
  <si>
    <t>テナント追加・削除</t>
  </si>
  <si>
    <t>FR-ADMIN-003</t>
  </si>
  <si>
    <t>FR-ADMIN-004</t>
  </si>
  <si>
    <t>クライアント（App）管理</t>
  </si>
  <si>
    <t>FR-ADMIN-005</t>
  </si>
  <si>
    <t>ロール定義管理</t>
  </si>
  <si>
    <t>FR-ADMIN-009</t>
  </si>
  <si>
    <t>テナント別設定の分離</t>
  </si>
  <si>
    <t>FR-ADMIN-008</t>
  </si>
  <si>
    <t>設定変更履歴</t>
  </si>
  <si>
    <t>FR-ADMIN-006</t>
  </si>
  <si>
    <t>パーミッション管理（細粒度）</t>
  </si>
  <si>
    <t>FR-ADMIN-010</t>
  </si>
  <si>
    <t>管理者ロール（RBAC for Admin）</t>
  </si>
  <si>
    <t>FR-ADMIN-011</t>
  </si>
  <si>
    <t>テナント管理者の委譲（顧客の自社運用）</t>
  </si>
  <si>
    <t>FR-ADMIN-012</t>
  </si>
  <si>
    <t>FR-INT-001</t>
  </si>
  <si>
    <t>OIDC 1.0 / OAuth 2.0 標準準拠</t>
  </si>
  <si>
    <t>FR-INT-002</t>
  </si>
  <si>
    <t>FR-INT-003</t>
  </si>
  <si>
    <t>FR-INT-004</t>
  </si>
  <si>
    <t>SAML 2.0 メタデータ</t>
  </si>
  <si>
    <t>FR-INT-008</t>
  </si>
  <si>
    <t>監査ログ外部出力（CloudWatch / S3 / Kinesis）</t>
  </si>
  <si>
    <t>FR-INT-009</t>
  </si>
  <si>
    <t>FR-INT-005</t>
  </si>
  <si>
    <t>FR-INT-006</t>
  </si>
  <si>
    <t>FR-INT-010</t>
  </si>
  <si>
    <t>NFR-AVL-001</t>
  </si>
  <si>
    <t>NFR-AVL-002</t>
  </si>
  <si>
    <t>NFR-AVL-003</t>
  </si>
  <si>
    <t>NFR-AVL-004</t>
  </si>
  <si>
    <t>自動復旧（コンテナ障害）</t>
  </si>
  <si>
    <t>NFR-AVL-005</t>
  </si>
  <si>
    <t>単一障害点の排除</t>
  </si>
  <si>
    <t>NFR-AVL-006</t>
  </si>
  <si>
    <t>デプロイ時のダウンタイム</t>
  </si>
  <si>
    <t>NFR-PERF-001</t>
  </si>
  <si>
    <t>NFR-PERF-004</t>
  </si>
  <si>
    <t>NFR-PERF-005</t>
  </si>
  <si>
    <t>NFR-PERF-008</t>
  </si>
  <si>
    <t>NFR-PERF-002</t>
  </si>
  <si>
    <t>同時認証リクエスト処理能力</t>
  </si>
  <si>
    <t>NFR-PERF-006</t>
  </si>
  <si>
    <t>NFR-PERF-007</t>
  </si>
  <si>
    <t>認証ピーク時間帯への耐性</t>
  </si>
  <si>
    <t>NFR-SCL-001</t>
  </si>
  <si>
    <t>NFR-SCL-002</t>
  </si>
  <si>
    <t>ピーク時同時セッション数</t>
  </si>
  <si>
    <t>NFR-SCL-003</t>
  </si>
  <si>
    <t>NFR-SCL-005</t>
  </si>
  <si>
    <t>自動スケーリング</t>
  </si>
  <si>
    <t>NFR-SCL-006</t>
  </si>
  <si>
    <t>NFR-SCL-007</t>
  </si>
  <si>
    <t>データベーススケール（Keycloak）</t>
  </si>
  <si>
    <t>NFR-SEC-001</t>
  </si>
  <si>
    <t>通信暗号化</t>
  </si>
  <si>
    <t>NFR-SEC-002</t>
  </si>
  <si>
    <t>データ暗号化（at-rest）</t>
  </si>
  <si>
    <t>NFR-SEC-003</t>
  </si>
  <si>
    <t>トークン署名アルゴリズム</t>
  </si>
  <si>
    <t>NFR-SEC-009</t>
  </si>
  <si>
    <t>パスワード保管アルゴリズム</t>
  </si>
  <si>
    <t>NFR-SEC-015</t>
  </si>
  <si>
    <t>シークレット管理</t>
  </si>
  <si>
    <t>NFR-SEC-004</t>
  </si>
  <si>
    <t>Access Token TTL</t>
  </si>
  <si>
    <t>NFR-SEC-005</t>
  </si>
  <si>
    <t>Refresh Token TTL</t>
  </si>
  <si>
    <t>NFR-SEC-006</t>
  </si>
  <si>
    <t>ID Token TTL</t>
  </si>
  <si>
    <t>NFR-SEC-007</t>
  </si>
  <si>
    <t>Refresh Token Rotation</t>
  </si>
  <si>
    <t>NFR-SEC-008</t>
  </si>
  <si>
    <t>トークン失効（Revocation）</t>
  </si>
  <si>
    <t>NFR-SEC-020</t>
  </si>
  <si>
    <t>セッション固定攻撃対策</t>
  </si>
  <si>
    <t>NFR-SEC-010</t>
  </si>
  <si>
    <t>ブルートフォース対策</t>
  </si>
  <si>
    <t>NFR-SEC-010-2</t>
  </si>
  <si>
    <t>NFR-SEC-013</t>
  </si>
  <si>
    <t>ペネトレーションテスト</t>
  </si>
  <si>
    <t>NFR-SEC-014</t>
  </si>
  <si>
    <t>脆弱性スキャン</t>
  </si>
  <si>
    <t>NFR-SEC-016</t>
  </si>
  <si>
    <t>ネットワーク分離（Private Subnet）</t>
  </si>
  <si>
    <t>NFR-SEC-017</t>
  </si>
  <si>
    <t>管理画面アクセス制御</t>
  </si>
  <si>
    <t>NFR-SEC-018</t>
  </si>
  <si>
    <t>NFR-SEC-019</t>
  </si>
  <si>
    <t>NFR-DR-001</t>
  </si>
  <si>
    <t>RTO（目標復旧時間）</t>
  </si>
  <si>
    <t>NFR-DR-002</t>
  </si>
  <si>
    <t>RPO（目標復旧地点）</t>
  </si>
  <si>
    <t>NFR-DR-003</t>
  </si>
  <si>
    <t>フェイルオーバー方式</t>
  </si>
  <si>
    <t>NFR-DR-004</t>
  </si>
  <si>
    <t>バックアップ保存期間</t>
  </si>
  <si>
    <t>NFR-DR-005</t>
  </si>
  <si>
    <t>PITR（Point-in-Time Recovery）</t>
  </si>
  <si>
    <t>NFR-DR-006</t>
  </si>
  <si>
    <t>クロスリージョンバックアップ</t>
  </si>
  <si>
    <t>NFR-DR-007</t>
  </si>
  <si>
    <t>NFR-DR-008</t>
  </si>
  <si>
    <t>NFR-OPS-001</t>
  </si>
  <si>
    <t>監視・メトリクス</t>
  </si>
  <si>
    <t>NFR-OPS-002</t>
  </si>
  <si>
    <t>アラート通知</t>
  </si>
  <si>
    <t>NFR-OPS-005</t>
  </si>
  <si>
    <t>バージョンアップ方針</t>
  </si>
  <si>
    <t>NFR-OPS-006</t>
  </si>
  <si>
    <t>NFR-OPS-007</t>
  </si>
  <si>
    <t>NFR-OPS-010</t>
  </si>
  <si>
    <t>デプロイ自動化（CI/CD）</t>
  </si>
  <si>
    <t>NFR-OPS-008</t>
  </si>
  <si>
    <t>NFR-OPS-009</t>
  </si>
  <si>
    <t>運用工数（人月）</t>
  </si>
  <si>
    <t>NFR-COMP-001</t>
  </si>
  <si>
    <t>個人情報保護法対応</t>
  </si>
  <si>
    <t>NFR-COMP-002</t>
  </si>
  <si>
    <t>GDPR / CCPA（海外展開時）</t>
  </si>
  <si>
    <t>NFR-COMP-008</t>
  </si>
  <si>
    <t>データ所在地（リージョン制限）</t>
  </si>
  <si>
    <t>NFR-COMP-003</t>
  </si>
  <si>
    <t>SOC 2 Type II</t>
  </si>
  <si>
    <t>NFR-COMP-004</t>
  </si>
  <si>
    <t>ISO 27001</t>
  </si>
  <si>
    <t>NFR-COMP-005</t>
  </si>
  <si>
    <t>NFR-COMP-006</t>
  </si>
  <si>
    <t>NFR-COMP-010</t>
  </si>
  <si>
    <t>アクセス監査の追跡可能性</t>
  </si>
  <si>
    <t>NFR-COMP-009</t>
  </si>
  <si>
    <t>NFR-COMP-011</t>
  </si>
  <si>
    <t>NFR-COST-001</t>
  </si>
  <si>
    <t>初期構築費</t>
  </si>
  <si>
    <t>NFR-COST-002</t>
  </si>
  <si>
    <t>月額固定インフラ費</t>
  </si>
  <si>
    <t>NFR-COST-003</t>
  </si>
  <si>
    <t>NFR-COST-004</t>
  </si>
  <si>
    <t>NFR-COST-005</t>
  </si>
  <si>
    <t>運用人件費</t>
  </si>
  <si>
    <t>NFR-COST-006</t>
  </si>
  <si>
    <t>NFR-COST-007</t>
  </si>
  <si>
    <t>NFR-COST-008</t>
  </si>
  <si>
    <t>NFR-COST-009</t>
  </si>
  <si>
    <t>NFR-MIG-001</t>
  </si>
  <si>
    <t>既存認証システムからのユーザー移行</t>
  </si>
  <si>
    <t>NFR-MIG-002</t>
  </si>
  <si>
    <t>パスワード移行（ハッシュ持ち越し）</t>
  </si>
  <si>
    <t>NFR-MIG-003</t>
  </si>
  <si>
    <t>ベンダーロックイン回避</t>
  </si>
  <si>
    <t>NFR-MIG-004</t>
  </si>
  <si>
    <t>データエクスポート</t>
  </si>
  <si>
    <t>NFR-MIG-005</t>
  </si>
  <si>
    <t>段階的移行（並行稼働）</t>
  </si>
  <si>
    <t>不要</t>
  </si>
  <si>
    <t>D-11</t>
  </si>
  <si>
    <t>D-12</t>
  </si>
  <si>
    <t>D-15</t>
  </si>
  <si>
    <t>E-2</t>
  </si>
  <si>
    <t>E-5</t>
  </si>
  <si>
    <t>G-3</t>
  </si>
  <si>
    <t>状態</t>
  </si>
  <si>
    <t>設計決定一覧（基本設計 02〜10 の正式決定）</t>
  </si>
  <si>
    <t>要件ID</t>
  </si>
  <si>
    <t>対象外</t>
  </si>
  <si>
    <t>件数</t>
  </si>
  <si>
    <t>U4 §4.3.3</t>
    <phoneticPr fontId="2"/>
  </si>
  <si>
    <t>D-U4-03</t>
    <phoneticPr fontId="2"/>
  </si>
  <si>
    <t>D-U4-04</t>
    <phoneticPr fontId="2"/>
  </si>
  <si>
    <t>U4 §4.2.3</t>
    <phoneticPr fontId="2"/>
  </si>
  <si>
    <t>U4 §4.1.4</t>
    <phoneticPr fontId="2"/>
  </si>
  <si>
    <t>D-U7-17</t>
    <phoneticPr fontId="2"/>
  </si>
  <si>
    <t>D-U7-14</t>
    <phoneticPr fontId="2"/>
  </si>
  <si>
    <t>D-U7-13</t>
    <phoneticPr fontId="2"/>
  </si>
  <si>
    <t>D-U7-16</t>
    <phoneticPr fontId="2"/>
  </si>
  <si>
    <t>D-U7-15b</t>
    <phoneticPr fontId="2"/>
  </si>
  <si>
    <t>D-U7-05</t>
    <phoneticPr fontId="2"/>
  </si>
  <si>
    <t>D-U7-12</t>
    <phoneticPr fontId="2"/>
  </si>
  <si>
    <t>D-U8-01</t>
    <phoneticPr fontId="2"/>
  </si>
  <si>
    <t>D-U8-02</t>
    <phoneticPr fontId="2"/>
  </si>
  <si>
    <t>D-U8-04</t>
    <phoneticPr fontId="2"/>
  </si>
  <si>
    <t>D-U8-14</t>
    <phoneticPr fontId="2"/>
  </si>
  <si>
    <t>D-U8-13</t>
    <phoneticPr fontId="2"/>
  </si>
  <si>
    <t>D-U8-10</t>
    <phoneticPr fontId="2"/>
  </si>
  <si>
    <t>D-U6-13</t>
    <phoneticPr fontId="2"/>
  </si>
  <si>
    <t>D-U6-04</t>
    <phoneticPr fontId="2"/>
  </si>
  <si>
    <t>D-U6-10</t>
    <phoneticPr fontId="2"/>
  </si>
  <si>
    <t>D-U6-05</t>
    <phoneticPr fontId="2"/>
  </si>
  <si>
    <t>D-U9-05</t>
    <phoneticPr fontId="2"/>
  </si>
  <si>
    <t>D-U9-06</t>
    <phoneticPr fontId="2"/>
  </si>
  <si>
    <t>D-U9-15</t>
    <phoneticPr fontId="2"/>
  </si>
  <si>
    <t>D-U10-02</t>
    <phoneticPr fontId="2"/>
  </si>
  <si>
    <t>D-U10-12</t>
    <phoneticPr fontId="2"/>
  </si>
  <si>
    <t>D-U9-04</t>
    <phoneticPr fontId="2"/>
  </si>
  <si>
    <t>受け取り側実装ガイド: 通行証の検証（必須7点）</t>
    <phoneticPr fontId="2"/>
  </si>
  <si>
    <t>①署名方式の検証と鍵情報のキャッシュ（鍵の入れ替えに追従）②発行元の完全一致 ③有効期限と発行時刻（時刻ずれ許容60秒以内）④宛先が自分のAPI識別子を含むこと、不一致は拒否 ⑤接続元アプリを許可リストで検証 ⑥所属情報を、要求が触れる全リソースの所属範囲と一致強制（他人のデータを覗く攻撃の防御。経路やリクエスト本文の指定より通行証の値を常に優先）⑦【2026-08-12追加】ヘッダの種別が通行証用であることを検証し、別種のトークンの流用を拒否（署名が通っても種別不一致は拒否）。リソース単位の権限判定はアプリ責務</t>
    <phoneticPr fontId="2"/>
  </si>
  <si>
    <t>ADR番号</t>
  </si>
  <si>
    <t>表題</t>
  </si>
  <si>
    <t>ステータス</t>
  </si>
  <si>
    <t>ADR-065</t>
  </si>
  <si>
    <t>ADR-066</t>
  </si>
  <si>
    <t>非人間IDのガバナンス</t>
  </si>
  <si>
    <t>ADR-067</t>
  </si>
  <si>
    <t>認可判定ログ＋アクセス再認証</t>
  </si>
  <si>
    <t>継続アクセス評価</t>
  </si>
  <si>
    <t>出典: github.com/suepie/aws-atuh-poc  doc/basic-design/  commit 9511a58 ／ Gitからの派生ビュー（読み取り専用）。2026-08-12 網羅性再監査で16件追加</t>
  </si>
  <si>
    <t>セキュリティ</t>
  </si>
  <si>
    <t>コスト</t>
  </si>
  <si>
    <t>種別</t>
  </si>
  <si>
    <t>決定名（何を決めたか）</t>
    <phoneticPr fontId="2"/>
  </si>
  <si>
    <t>設計単元</t>
    <phoneticPr fontId="2"/>
  </si>
  <si>
    <t>決定内容</t>
    <phoneticPr fontId="2"/>
  </si>
  <si>
    <t>内部ID（Git内の採番）</t>
    <phoneticPr fontId="2"/>
  </si>
  <si>
    <t>出典</t>
    <phoneticPr fontId="2"/>
  </si>
  <si>
    <t>Realm構成</t>
    <phoneticPr fontId="2"/>
  </si>
  <si>
    <t>U2 Keycloak論理</t>
    <phoneticPr fontId="2"/>
  </si>
  <si>
    <t>Broker KC=単一Realm『broker』+Organizations、IdP-KC=単一Realm『idp』+Organizations。masterはKeycloak自体の管理専用で業務ユーザ・Clientを置かない。Realm名はissuer URLに埋まり変更不可のため普遍的短名</t>
    <phoneticPr fontId="2"/>
  </si>
  <si>
    <t>U2 §2.1.1</t>
    <phoneticPr fontId="2"/>
  </si>
  <si>
    <t>basic-design/02-keycloak-logical-design.md</t>
    <phoneticPr fontId="2"/>
  </si>
  <si>
    <t>Organizationsの使い方</t>
    <phoneticPr fontId="2"/>
  </si>
  <si>
    <t>Brokerは全顧客（IdPあり・なし問わず）を1顧客=1Orgで登録。顧客IdPは必ず当該顧客Orgに紐付け（グローバルIdP禁止）。IdP-KCはIdPなし顧客のみ登録。Org attributeは表示名とhrd_modeのみ、課金・契約メタは持たない</t>
    <phoneticPr fontId="2"/>
  </si>
  <si>
    <t>U2 §2.1.2</t>
    <phoneticPr fontId="2"/>
  </si>
  <si>
    <t>Org命名規則・alias規則</t>
    <phoneticPr fontId="2"/>
  </si>
  <si>
    <t>Org alias=小文字英数字2〜20文字・先頭英字・ハイフン禁止・作成後変更不可。tenant_idクレーム値とログインIDのtenantプレフィックスと完全一致。master/admin/broker/idp/api/scim/test等は予約語で使用禁止</t>
    <phoneticPr fontId="2"/>
  </si>
  <si>
    <t>U2 §2.1.3</t>
    <phoneticPr fontId="2"/>
  </si>
  <si>
    <t>IdP alias規則</t>
    <phoneticPr fontId="2"/>
  </si>
  <si>
    <t>顧客IdP alias=&lt;orgAlias&gt;-&lt;proto&gt;&lt;NN&gt;（例 acme-oidc01）。IdP製品名はdisplayNameのみに記載しaliasには含めない（製品乗換時にalias変更＝顧客側再設定を避ける）</t>
    <phoneticPr fontId="2"/>
  </si>
  <si>
    <t>U2 §2.1.4</t>
    <phoneticPr fontId="2"/>
  </si>
  <si>
    <t>2-tier間フェデの位置付け</t>
    <phoneticPr fontId="2"/>
  </si>
  <si>
    <t>Brokerから見たIdP-KCは「OIDC IdPの1つ」として登録。IdP-KC側ではBrokerをOIDC confidential clientとして登録</t>
    <phoneticPr fontId="2"/>
  </si>
  <si>
    <t>U2 §2.2.1</t>
    <phoneticPr fontId="2"/>
  </si>
  <si>
    <t>Broker側IdP登録（IdP-KC向け）</t>
    <phoneticPr fontId="2"/>
  </si>
  <si>
    <t>IdPなし顧客共通の単一OIDC IdPエントリ『idpkc-oidc01』を作り、IdPなし顧客の全Orgに紐付け。loginHint=true / hideOnLoginPage=true / trustEmail=false / syncMode=IMPORT / storeToken=false</t>
    <phoneticPr fontId="2"/>
  </si>
  <si>
    <t>U2 §2.2.2</t>
    <phoneticPr fontId="2"/>
  </si>
  <si>
    <t>IdP-KC側Client登録（Broker向け）</t>
    <phoneticPr fontId="2"/>
  </si>
  <si>
    <t>client_id=broker-rp。Confidential・Standard Flowのみ（Implicit/Direct Access/Service Account無効）。redirect URIは完全一致1本のみ（ワイルドカード禁止）。Phase 1=client_secret_post、Phase 2でprivate_key_jwtへ昇格。Web Origins/CORSなし</t>
    <phoneticPr fontId="2"/>
  </si>
  <si>
    <t>U2 §2.2.3</t>
    <phoneticPr fontId="2"/>
  </si>
  <si>
    <t>2-tier間のクレーム受け渡し</t>
    <phoneticPr fontId="2"/>
  </si>
  <si>
    <t>IdP-KC側に専用Client Scope『broker-federation』を作りMapperを集約（tenant_id / preferred_username / amr / email の4種）。JIT突合キーはtenant_id+persistent sub、emailは補助。Phase 1ではIdP-KCのrolesをBrokerへ伝播しない</t>
    <phoneticPr fontId="2"/>
  </si>
  <si>
    <t>U2 §2.2.4</t>
    <phoneticPr fontId="2"/>
  </si>
  <si>
    <t>ログアウト連鎖</t>
    <phoneticPr fontId="2"/>
  </si>
  <si>
    <t>idpkc-oidc01にbackchannelSupported=trueを設定し、Brokerのログアウト時にIdP-KCセッションも常時破棄（自社基盤のため越境問題なし）。storeToken=false下でのid_token_hint取り回しは実機確認が必要</t>
    <phoneticPr fontId="2"/>
  </si>
  <si>
    <t>U2 §2.2.5 #1</t>
    <phoneticPr fontId="2"/>
  </si>
  <si>
    <t>IdP-KC側Realmセッション TTL</t>
    <phoneticPr fontId="2"/>
  </si>
  <si>
    <t>Realm『idp』のSSO Session Idle/MaxをBroker Realmと同値（Idle 1h / Max 24h）に固定。IaCで両Realm共通変数化し独立変更を構造的に防ぐ</t>
    <phoneticPr fontId="2"/>
  </si>
  <si>
    <t>U2 §2.2.5 #2</t>
    <phoneticPr fontId="2"/>
  </si>
  <si>
    <t>ステップアップ（AAL3）の転送</t>
    <phoneticPr fontId="2"/>
  </si>
  <si>
    <t>認証元がidpkc-oidc01の場合、IdP-KCへacr_values="3"+prompt=loginを付けて再リダイレクト。IdP-KC側にもACR-to-LoAマッピング（1/2/3）を定義し、amrで返してmfa_indicator Mapper（FORCE）がBroker側acr判定に反映</t>
    <phoneticPr fontId="2"/>
  </si>
  <si>
    <t>U2 §2.2.5 #3</t>
    <phoneticPr fontId="2"/>
  </si>
  <si>
    <t>prompt=login / max_ageの転送方針</t>
    <phoneticPr fontId="2"/>
  </si>
  <si>
    <t>idpkc-oidc01経由のユーザにはprompt=login / max_age / acr_valuesをIdP-KCへ転送する。外部顧客IdPへは転送しない（挙動がIdP依存で保証できないため、Broker側max_age評価で代替）</t>
    <phoneticPr fontId="2"/>
  </si>
  <si>
    <t>U2 §2.2.5 #4</t>
    <phoneticPr fontId="2"/>
  </si>
  <si>
    <t>login_hintの書式契約</t>
    <phoneticPr fontId="2"/>
  </si>
  <si>
    <t>Broker→IdP-KCへ渡す値は&lt;userid&gt;（tenantプレフィックス除去後）のみ。IdP-KC側は完全形&lt;tenant&gt;-&lt;userid&gt;も受理して除去する寛容受理とし、誤設定でもループしない</t>
    <phoneticPr fontId="2"/>
  </si>
  <si>
    <t>U2 §2.2.5 #5</t>
    <phoneticPr fontId="2"/>
  </si>
  <si>
    <t>Flow配置の全系統共通制約</t>
    <phoneticPr fontId="2"/>
  </si>
  <si>
    <t>Keycloakは同一レベルにREQUIREDがあると同レベルのALTERNATIVEを無視するため、requiresUser()=trueのCustom SPIをtop-levelのREQUIREDに置いてはならない。必ずformsサブフロー内またはBroker Flow末尾に配置。IaCレビューのチェック項目に含める</t>
    <phoneticPr fontId="2"/>
  </si>
  <si>
    <t>U2 §2.3 共通制約</t>
    <phoneticPr fontId="2"/>
  </si>
  <si>
    <t>系統① ローカル認証（Browser Flow）</t>
    <phoneticPr fontId="2"/>
  </si>
  <si>
    <t>カスタムFlow『browser-std』。到達するのは基盤運用者P-1のみで、アクセスは踏み台/SSMのクローズド接続に限定。顧客テナント管理者P-2は対象外（フェデ化）。P-1はWebAuthn/Passkey必須。PAM L3向けにeligible/activeの2状態Composite Roleを両Realmに用意</t>
    <phoneticPr fontId="2"/>
  </si>
  <si>
    <t>U2 §2.3.1</t>
    <phoneticPr fontId="2"/>
  </si>
  <si>
    <t>系統② フェデレーション（First/Post Broker Login）</t>
    <phoneticPr fontId="2"/>
  </si>
  <si>
    <t>全IdP共通でfirst-broker-std / post-broker-stdを紐付け。Review ProfileはDISABLED（JITでユーザ入力を挟まない）。自動リンクは行わず衝突時はエラー画面+監査+管理者通知。突合キーはtenant_id+IdP persistent subでemailは使わない。初回はFirst→Postが連続発火するためSPIは冪等に実装</t>
    <phoneticPr fontId="2"/>
  </si>
  <si>
    <t>U2 §2.3.2</t>
    <phoneticPr fontId="2"/>
  </si>
  <si>
    <t>系統③ HRD（Home Realm Discovery）</t>
    <phoneticPr fontId="2"/>
  </si>
  <si>
    <t>識別子先行（&lt;tenant&gt;-&lt;userid&gt;）を主経路、メールドメインを補助経路とするハイブリッド。実装はCustom Authenticator SPI。最初のハイフンでparseしOrg→IdPを解決。顧客ごとの受入経路はOrg attribute『hrd_mode』（identifier/email/both、既定both）で宣言。IdP一覧非表示は性能成立の必須条件</t>
    <phoneticPr fontId="2"/>
  </si>
  <si>
    <t>U2 §2.3.3</t>
    <phoneticPr fontId="2"/>
  </si>
  <si>
    <t>系統④ ステップアップ認証（acr/LoA）</t>
    <phoneticPr fontId="2"/>
  </si>
  <si>
    <t>Keycloak標準のACR to LoA Mapping + Conditional Level of Authenticationを使用。acr 1/2/3をAAL1/2/3に対応。LoA3はWebAuthnのみ（Phishing-resistant）。フェデユーザの充足判定はmfa_indicator属性で行い、値がなければ未済扱い（fail-safe）。外部フェデユーザは補完せず記録・監視のみ</t>
    <phoneticPr fontId="2"/>
  </si>
  <si>
    <t>U2 §2.3.4</t>
    <phoneticPr fontId="2"/>
  </si>
  <si>
    <t>系統⑤ Adaptive認証</t>
    <phoneticPr fontId="2"/>
  </si>
  <si>
    <t>Phase 1はBrute Force Detection（Keycloak標準）と侵害クレデンシャル検出（ローカルPW=管理者のみ対象、PW変更時とログイン成功時にHIBP照合）のみ。IPレピュテーション・Impossible Travel・デバイス指紋等のフルRisk ScoringはPhase 2</t>
    <phoneticPr fontId="2"/>
  </si>
  <si>
    <t>U2 §2.3.5</t>
    <phoneticPr fontId="2"/>
  </si>
  <si>
    <t>Custom SPIの総量</t>
    <phoneticPr fontId="2"/>
  </si>
  <si>
    <t>Phase 1のCustom SPIは3JAR・4機能に限定（JIT制御Authenticator / HRD Authenticator / Event Listener / mfa_indicator正規化）。RHBKバージョン追従コストを面積で抑えるため。CI/CDは全SPIでU9の仕組みを共用</t>
    <phoneticPr fontId="2"/>
  </si>
  <si>
    <t>U2 §2.4</t>
    <phoneticPr fontId="2"/>
  </si>
  <si>
    <t>SPI① JIT制御Authenticator</t>
    <phoneticPr fontId="2"/>
  </si>
  <si>
    <t>Re-Activation分岐（scim/local-admin/app/ldapは拒否、jitのみ再有効化）+ last_login書込（debounce 1日、冪等）+ provisioned_by未設定時のみjit系属性を書込（既設定値は経路を問わず上書き禁止）。Re-Activation拒否はfail-closed、属性書込失敗はログインを失敗させない</t>
    <phoneticPr fontId="2"/>
  </si>
  <si>
    <t>U2 §2.4.1</t>
    <phoneticPr fontId="2"/>
  </si>
  <si>
    <t>SPI② HRD Authenticator</t>
    <phoneticPr fontId="2"/>
  </si>
  <si>
    <t>常にfail-openで後続Authenticatorに降格（HRDは経路解決であって認証判定ではない）。requiresUser()=false、実装50〜100行。複数IdPリンク時は先頭1件を選ばずattempted()降格してOrgセレクターに委ねる</t>
    <phoneticPr fontId="2"/>
  </si>
  <si>
    <t>U2 §2.4.2</t>
    <phoneticPr fontId="2"/>
  </si>
  <si>
    <t>Re-Activationの実装制約</t>
    <phoneticPr fontId="2"/>
  </si>
  <si>
    <t>Re-ActivationロジックはSPI①に統合し単独SPIとして分離しない（同一トランザクションで判定）。SCIM除外条件と想定外値の安全側拒否は削除不可の必須分岐とし単体テストで固定</t>
    <phoneticPr fontId="2"/>
  </si>
  <si>
    <t>U2 §2.4.3</t>
    <phoneticPr fontId="2"/>
  </si>
  <si>
    <t>mfa_indicator正規化Mapper</t>
    <phoneticPr fontId="2"/>
  </si>
  <si>
    <t>OIDC amr / SAML AuthnContextClassRef / Microsoft拡張の3方言を単一user attribute『mfa_indicator』に正規化。第一選択はKeycloak標準IdP Mapper、ホワイトリスト化が表現できない場合のみCustom。syncMode=FORCE（認証ごとに最新値で上書き）。属性不在・空・非MFA値はすべて未済扱い（fail-safe）</t>
    <phoneticPr fontId="2"/>
  </si>
  <si>
    <t>U2 §2.4.4</t>
    <phoneticPr fontId="2"/>
  </si>
  <si>
    <t>Stage 1クレーム（既定発行）</t>
    <phoneticPr fontId="2"/>
  </si>
  <si>
    <t>全アプリClientの既定発行をStage 1最小に固定（iss/exp/iat/sub/sid/azp/aud/tenant_id）。email・name等のPII系Mapperはアプリ Clientの Default Scopeから外しuserinfoまたはアプリDB参照とする。preferred_usernameも既定発行しない。provisioned_by/scim_active/last_loginはJWTに載せない</t>
    <phoneticPr fontId="2"/>
  </si>
  <si>
    <t>U2 §2.5.1</t>
    <phoneticPr fontId="2"/>
  </si>
  <si>
    <t>audience Mapper</t>
    <phoneticPr fontId="2"/>
  </si>
  <si>
    <t>アプリAPIごとに専用Client Scope『aud-&lt;api名&gt;』を作りoidc-audience-mapperを1つ載せる。フロントClientにはアクセス先APIのaud-*のみDefault付与。多重audはscopeの複数付与で表現</t>
    <phoneticPr fontId="2"/>
  </si>
  <si>
    <t>U2 §2.5.2</t>
    <phoneticPr fontId="2"/>
  </si>
  <si>
    <t>tenant_id / usernameの供給経路</t>
    <phoneticPr fontId="2"/>
  </si>
  <si>
    <t>tenant_idは3経路（フェデJIT時にBroker側で焼き込む / IdP-KC経由のAttribute Importer / 管理画面BackendのAdmin API）のいずれかで必ず設定。顧客IdPのクレームは信用しない。Broker内部username=&lt;orgAlias&gt;-&lt;userid&gt;でRealm内一意性を担保</t>
    <phoneticPr fontId="2"/>
  </si>
  <si>
    <t>U2 §2.5.3</t>
    <phoneticPr fontId="2"/>
  </si>
  <si>
    <t>roles方式とsyncMode既定</t>
    <phoneticPr fontId="2"/>
  </si>
  <si>
    <t>rolesはハイブリッドC（管理系Clientに限りrealm-role-mapperで発行、業務アプリの細粒度認可はアプリ側DB/管理画面Backend）。粗粒度認可のSSOTは管理画面Backend DBで配信は/api/me/context。syncMode既定はIMPORT、Mapper単位overrideはmfa_indicator（FORCE）のみ許可。scim_active/provisioned_by/last_loginをIdP Mapper対象にすることを禁止</t>
    <phoneticPr fontId="2"/>
  </si>
  <si>
    <t>U2 §2.5.4</t>
    <phoneticPr fontId="2"/>
  </si>
  <si>
    <t>User Profileスキーマ</t>
    <phoneticPr fontId="2"/>
  </si>
  <si>
    <t>両RealmでUser Profileを明示宣言しunmanagedAttributePolicy=DISABLED（未宣言属性は保存不可＝顧客IdPの生クレームを保存段階で物理破棄）。設定はUser Profile API経由でIaC化。宣言属性のSSOTはU3側。emailは必須にしない（email非保有顧客を収容）。realm属性でのポリシー設定は無効、JSONにコメントキーを入れると拒否される</t>
    <phoneticPr fontId="2"/>
  </si>
  <si>
    <t>U2 §2.6</t>
    <phoneticPr fontId="2"/>
  </si>
  <si>
    <t>1000+IdP制約1: バージョン固定</t>
    <phoneticPr fontId="2"/>
  </si>
  <si>
    <t>RHBK 26.x系に固定しupstream混在禁止。RHBK OperatorのOLMは手動承認とし自動更新を禁止。パッチ含む全昇格はStagingで1000 IdP合成データセットに対する回帰測定（ログインp99/Admin API p99）を通過してから本番適用</t>
    <phoneticPr fontId="2"/>
  </si>
  <si>
    <t>U2 §2.7.1</t>
    <phoneticPr fontId="2"/>
  </si>
  <si>
    <t>1000+IdP制約2: IdP一覧を出さない</t>
    <phoneticPr fontId="2"/>
  </si>
  <si>
    <t>全IdP・全期間でhideOnLoginPage=trueを必須とし（IaC既定+CI lint）、ログインテーマはIdPリストを描画しない。Account ConsoleのIdPリンク一覧は無効化または対象限定。HRD SPIはこの制約の実現手段であり性能成立の必須条件</t>
    <phoneticPr fontId="2"/>
  </si>
  <si>
    <t>U2 §2.7.2</t>
    <phoneticPr fontId="2"/>
  </si>
  <si>
    <t>1000+IdP制約3: Org紐付け必須</t>
    <phoneticPr fontId="2"/>
  </si>
  <si>
    <t>Org非紐付けのグローバルIdPの新規作成を禁止。例外はidpkc-oidc01のみ（これも各Orgに紐付けて登録）。オンボーディングパイプラインはOrg紐付けのないIdP作成要求をrejectする</t>
    <phoneticPr fontId="2"/>
  </si>
  <si>
    <t>U2 §2.7.3</t>
    <phoneticPr fontId="2"/>
  </si>
  <si>
    <t>1000+IdP制約4: realm全体export禁止</t>
    <phoneticPr fontId="2"/>
  </si>
  <si>
    <t>日常運用・バックアップ・監査のいずれでもrealm全体export（partial-export含む）を使用しない。構成の読取・変更はIdP単位/Org単位/Client単位のAdmin APIのみ。構成バックアップはIaCリポジトリとAuroraスナップショット/PITRを正とする</t>
    <phoneticPr fontId="2"/>
  </si>
  <si>
    <t>U2 §2.7.4</t>
    <phoneticPr fontId="2"/>
  </si>
  <si>
    <t>1000+IdP制約5: IaC 2層分離</t>
    <phoneticPr fontId="2"/>
  </si>
  <si>
    <t>基盤層（Realm設定/Flow/SPI配備/共通Client Scope/アプリClient/User Profile）はTerraform、テナント層（Organization/顧客IdP/IdP Mapper/リンク）は自作オンボーディングAPIによるAdmin API差分適用。keycloak-config-cliはrealm representationベースのため制約4と原理衝突し不採用に確定。単一stateに1000 IdPを置く構成は設計として不成立</t>
    <phoneticPr fontId="2"/>
  </si>
  <si>
    <t>U2 §2.7.5</t>
    <phoneticPr fontId="2"/>
  </si>
  <si>
    <t>1000+IdP制約6: キャッシュサイジング明示</t>
    <phoneticPr fontId="2"/>
  </si>
  <si>
    <t>キャッシュサイズを既定値のまま運用することを禁止し初期値を明示宣言。realmsキャッシュはmax-count 200,000 entriesを初期値（IdP 2,000×Mapper 5-6+Orgリンクで数万エントリ想定+ヘッドルーム）。usersキャッシュは10M MAU前提でU6が算定。再起動時のウォームアップ時間も測定対象</t>
    <phoneticPr fontId="2"/>
  </si>
  <si>
    <t>U2 §2.7.6</t>
    <phoneticPr fontId="2"/>
  </si>
  <si>
    <t>1000+IdP制約7: IdP数の関数としての継続監視</t>
    <phoneticPr fontId="2"/>
  </si>
  <si>
    <t>ログインフローp99・HRD解決時間・IdP系Admin API p99・IdPキャッシュhit率とエントリ数・Aurora CPUを、IdP数とOrg数を注記した時系列として継続計測。IdP追加バッチ前後で比較できるダッシュボードをU9が実装。アラート初期閾値は10 IdP時点ベースライン比+10%</t>
    <phoneticPr fontId="2"/>
  </si>
  <si>
    <t>U2 §2.7.7</t>
    <phoneticPr fontId="2"/>
  </si>
  <si>
    <t>1000社超過時の拡張パス</t>
    <phoneticPr fontId="2"/>
  </si>
  <si>
    <t>第一拡張パスはIdP-KC側のシャーディング（例 500 IdP/クラスタ）でBroker KCのIdP数を圧縮（Broker多段）。Realm分割は運用コストが復活するため次善。Custom IdP Storage SPIはPhase 2の研究テーマ</t>
    <phoneticPr fontId="2"/>
  </si>
  <si>
    <t>U2 §2.7.8</t>
    <phoneticPr fontId="2"/>
  </si>
  <si>
    <t>3階層識別子の格納先</t>
    <phoneticPr fontId="2"/>
  </si>
  <si>
    <t>U3 ID・プロビジョニング</t>
    <phoneticPr fontId="2"/>
  </si>
  <si>
    <t>Layer A=sub（user_entity.id、Keycloak採番、絶対不変、全DB FK・監査・アプリ主ID）/ Layer B=external_id（username=&lt;tenant&gt;-&lt;userid&gt; + user_attribute.external_id生値 + external_id_history改番履歴）/ Layer C=IdP側sub（federated_identity）。カスタム属性はUser Profile APIによるschema宣言+unmanagedAttributePolicy設定が必須（realm属性では効かないことを実機確認済）</t>
    <phoneticPr fontId="2"/>
  </si>
  <si>
    <t>D3-01</t>
    <phoneticPr fontId="2"/>
  </si>
  <si>
    <t>basic-design/03-identity-provisioning-design.md §3.1</t>
    <phoneticPr fontId="2"/>
  </si>
  <si>
    <t>emailは補助属性</t>
    <phoneticPr fontId="2"/>
  </si>
  <si>
    <t>JIT突合キーの第一推奨はtenant_id+persistentなIdP不変ID（OIDC sub / SAML persistent NameID / Entra oid）。emailは補助属性で突合キー・主識別子に使用禁止。email非保有ユーザーが存在しても全フローが成立する設計。復旧手段はRecovery Codes / Admin Reset / Passkey多重登録。email突合を使う顧客はデフォルトConfirm Link（Auto-LinkはTrusted IdPのみ）</t>
    <phoneticPr fontId="2"/>
  </si>
  <si>
    <t>D3-02</t>
    <phoneticPr fontId="2"/>
  </si>
  <si>
    <t>マッピングDBのスキーマ</t>
    <phoneticPr fontId="2"/>
  </si>
  <si>
    <t>per-userの少数マッピング（external_id/tenant_id等）はKeycloak user_attribute。多システムIDマッピング（経理ID/ServiceNow user_name/旧システムID等）はAurora補助スキーマ idmap（id_mapping + external_id_history、履歴行方式valid_from/valid_to）。Brokerのuser_attributeには置かずJWTにも載せない。アプリはJWT subを鍵にユーザ管理API経由で参照。FKはLayer A（sub）のみ。idmapは写像でありSoTではない</t>
    <phoneticPr fontId="2"/>
  </si>
  <si>
    <t>D3-03</t>
    <phoneticPr fontId="2"/>
  </si>
  <si>
    <t>プロビジョニング経路とprovisioned_by値体系</t>
    <phoneticPr fontId="2"/>
  </si>
  <si>
    <t>①JIT（フェデ初回ログイン、Broker、provisioned_by=jit、90日バッチ・Re-Activation対象）②SCIM受信（D2顧客IdP→Broker / D1顧客HRIS→IdP-KC、scim + scim_active=true、Re-Activation禁止）③LDAP（Phase 1対象外、ldapは将来用に予約）④管理者作成（local-admin、P-1運用者は踏み台経由）⑤アプリ発CRUD（IdP-KC、app + provisioned_app=client_id）+ Realm Import（realm_import）。未知の値・nullは常に安全側（90日バッチ=人間レビュー / Re-Activation=拒否）</t>
    <phoneticPr fontId="2"/>
  </si>
  <si>
    <t>D3-04</t>
    <phoneticPr fontId="2"/>
  </si>
  <si>
    <t>basic-design/03-identity-provisioning-design.md §3.2</t>
    <phoneticPr fontId="2"/>
  </si>
  <si>
    <t>アプリ発CRUDは専用API層経由</t>
    <phoneticPr fontId="2"/>
  </si>
  <si>
    <t>案C（専用API層）を採用。実体はADR-038の管理画面Backend（自作SPA+3層スコープ）と同一のユーザ管理APIをIdP-KC Acctに配置し、アプリにはOAuth2 Client Credentials（クライアントごとにテナント/操作スコープ限定）で開放。案B（SCIMエンドポイント経由）はSCIMのセマンティクスを壊すため明確に却下。案A（Admin API直叩き）は暫定運用としても不採用（物理削除ガードレールLayer 1が崩壊）</t>
    <phoneticPr fontId="2"/>
  </si>
  <si>
    <t>D3-05</t>
    <phoneticPr fontId="2"/>
  </si>
  <si>
    <t>appユーザのライフサイクル扱い</t>
    <phoneticPr fontId="2"/>
  </si>
  <si>
    <t>appユーザは90日バッチ対象外（アプリがSoT、削除・休眠判定はアプリ責務）+ Re-Activation禁止。ただしPCI DSS 8.2.6のシステムごと独立監査原則により、アプリは休眠検出時にAPI層のdeactivate（Soft Delete）を必ず呼ぶ義務を開発標準・契約に明記。未達アプリ向けに「90日バッチへのテナント単位オプトイン」をPhase 1設定項目として用意</t>
    <phoneticPr fontId="2"/>
  </si>
  <si>
    <t>D3-06</t>
    <phoneticPr fontId="2"/>
  </si>
  <si>
    <t>JIT/SCIM判別ロジックとCase 1-6</t>
    <phoneticPr fontId="2"/>
  </si>
  <si>
    <t>判定順序を固定: 判定1=scim_active=="true"なら削除・復活対象外（最強フラグ）→ 判定2=除外（serviceAccountClientLink / provisioned_by∈{local-admin,app,ldap} / admin role）→ 判定3=経路判定（jitのみ90日バッチ・Re-Activation対象、manual・realm_import・nullは人間レビュー）。不変条件3点: First Broker Login SPIはprovisioned_by未設定時のみjitをセット / per-Mapper syncMode=IMPORTでscim_active・provisioned_byを上書きから保護 / SPIは3系統Flow配置でdebounceは両Flow対応</t>
    <phoneticPr fontId="2"/>
  </si>
  <si>
    <t>D3-07</t>
    <phoneticPr fontId="2"/>
  </si>
  <si>
    <t>basic-design/03-identity-provisioning-design.md §3.3</t>
    <phoneticPr fontId="2"/>
  </si>
  <si>
    <t>SoTルールと混在時ポリシー</t>
    <phoneticPr fontId="2"/>
  </si>
  <si>
    <t>経路別SoT: ①JIT=顧客IdP（受動キャッシュ、削除トリガーは本基盤90日バッチ）②SCIM=顧客IdP/HRIS（SCIM Consumer、PATCH active=false / DELETE）③LDAP=顧客AD/LDAP ④local-admin=本基盤運用 ⑤app=同居アプリ。混在時ポリシーは「SCIM優先」= scim_active=trueが他のすべての判定に優先する削除禁止・復活禁止フラグ。SCIMユーザーのInactive Detectionは顧客IdP責任として契約に明記</t>
    <phoneticPr fontId="2"/>
  </si>
  <si>
    <t>D3-08</t>
    <phoneticPr fontId="2"/>
  </si>
  <si>
    <t>S1-S10状態遷移と3段階削除モデル</t>
    <phoneticPr fontId="2"/>
  </si>
  <si>
    <t>4状態機械（Active / Disabled / Deleted）。3段階削除: 第1段階=認証遮断（短命AT+RT Rotation、退職後数分〜4hで実質遮断）/ 第2段階=Soft Delete（enabled=false + not_before + Session Revoke + deprovisioned_at必須セット、Phase 1）/ 第3段階=物理削除（deprovisioned_at + retention_years経過後、S3 Glacier Deep Archive → DELETE CASCADE + idmap掃除、Phase 2）。起算はlast_loginではなくdeprovisioned_at。90日バッチはROSA infra PoolのKubernetes CronJobで実行（Lambda不採用）。jit_idp_aliasがidpkc%のもの（Broker shadow）は90日バッチ対象外</t>
    <phoneticPr fontId="2"/>
  </si>
  <si>
    <t>D3-09</t>
    <phoneticPr fontId="2"/>
  </si>
  <si>
    <t>basic-design/03-identity-provisioning-design.md §3.4</t>
    <phoneticPr fontId="2"/>
  </si>
  <si>
    <t>責任分界 L1-L3</t>
    <phoneticPr fontId="2"/>
  </si>
  <si>
    <t>L1本基盤Hygiene=90日バッチ+Soft Delete+Re-Activation+SCIM受信+Health Check（契約明記「JIT顧客のDeprovisioningは最大90日Lag。即時性が必要ならSCIM実装」）/ L2認証（本当の遮断）=顧客IdP責任（本基盤は顧客IdPのユーザ状態を操作しない）/ L3認可=アプリ（USER_DISABLED / USER_REACTIVATED / USER_DEPROVISIONEDをEventBridge→Webhookで通知、アプリはsub主ID+通知受信でRole剥奪）</t>
    <phoneticPr fontId="2"/>
  </si>
  <si>
    <t>D3-10</t>
    <phoneticPr fontId="2"/>
  </si>
  <si>
    <t>SCIM受信は自作Facade</t>
    <phoneticPr fontId="2"/>
  </si>
  <si>
    <t>Keycloak native inbound SCIMは不採用（feature有効でも404、実測）。Metatavu keycloak-scim-serverはPhase 1選定不要。Phase 1はSCIM 2.0を受けてKeycloak Admin APIに写像する自前の外部コンポーネント（SCIM Facade）を採用。エンドポイントはD2（scim-broker.&lt;domain&gt;/t/{tenant_id}/scim/v2）とD1（scim-idp.&lt;domain&gt;/t/{tenant_id}/scim/v2）の2方向。パスにテナントを含めURL+トークンの二重照合。DELETEはSoft Deleteに写像し物理削除しない。GroupsはPhase 2。認証=テナント専用の不透明Bearer（Secrets Manager保管、90日ローテ、URL不一致は403、Rate Limit初期値10 req/s）。externalId突合順序=scim_external_id → username → email（verified+matchByEmail=trueのみ）→ 新規作成</t>
    <phoneticPr fontId="2"/>
  </si>
  <si>
    <t>D3-11</t>
    <phoneticPr fontId="2"/>
  </si>
  <si>
    <t>basic-design/03-identity-provisioning-design.md §3.5</t>
    <phoneticPr fontId="2"/>
  </si>
  <si>
    <t>Re-Activationの条件仕様</t>
    <phoneticPr fontId="2"/>
  </si>
  <si>
    <t>発火点はPost Broker Login Flowが主戦場。enabled=falseで復帰ログイン時、jit→自動enabled=true + reactivated_at + deprovisioned_atクリア / scim or scim_active=true→拒否（SCIM deprovisioningの意味喪失防止、セキュリティ上重大）/ local-admin・app・未知→拒否。USER_REACTIVATEDイベント必須発行+大量発生の異常検知（ITDR）。Phase 1推奨=自動+監査+異常検知、厳格ポリシー顧客はテナント単位で手動切替可</t>
    <phoneticPr fontId="2"/>
  </si>
  <si>
    <t>D3-12</t>
    <phoneticPr fontId="2"/>
  </si>
  <si>
    <t>ゲート追跡表の一元管理</t>
    <phoneticPr fontId="2"/>
  </si>
  <si>
    <t>Phase 1契約前ゲート8項目（B-JIT-LC-1 / B-JIT-RA-1 / B-SCIM-JIT-1 / B-SCIM-JIT-3 / B-JIT-DEL-1 / B-JIT-DEL-2 / B-SCIM-HC-1 / B-TENANT-SWITCH-1・B-TENANT-EXIT-1）を本書§3.7で一元管理し、Waveごとに更新。全項目が未通過で暫定値（デフォルト）で設計継続中</t>
    <phoneticPr fontId="2"/>
  </si>
  <si>
    <t>D3-13</t>
    <phoneticPr fontId="2"/>
  </si>
  <si>
    <t>basic-design/03-identity-provisioning-design.md §3.7</t>
    <phoneticPr fontId="2"/>
  </si>
  <si>
    <t>認可境界は「粗粒度」まで</t>
    <phoneticPr fontId="2"/>
  </si>
  <si>
    <t>本基盤が持つのはL-認可2（組織コンテキスト+エンタイトルメント+機能ロール割当の器）まで。SSOT=ADR-038 Backend DB。JWTには載せずAPI pull（/api/me/context）で配信（ハイブリッドC）。アプリエンタイトルメントはフェデ系テナントにも必要。組織属性は認可に要る部分集合のみ（Minimum Storage）。機能ロール割当は器（opaque per-app文字列）のみ本基盤が持ち、意味の定義・閾値・ルーティング・リソース判定はアプリ</t>
    <phoneticPr fontId="2"/>
  </si>
  <si>
    <t>D3-14</t>
    <phoneticPr fontId="2"/>
  </si>
  <si>
    <t>basic-design/03-identity-provisioning-design.md §3.8</t>
    <phoneticPr fontId="2"/>
  </si>
  <si>
    <t>組織属性の格納と属性正準化の原則</t>
    <phoneticPr fontId="2"/>
  </si>
  <si>
    <t>単純per-user組織属性はKeycloak user attribute（User Profile宣言）: department / manager_ref / job_title / cost_center / organization / division / employment_type / hire_year。関係データ（機能ロール割当・エンタイトルメント・idmap・射影）はBackend DB。SCIM Enterprise拡張のmanagerは参照型のため直写像不可 → manager_ref=同一テナント内external_id値へ正規化する規約。属性正準化の原則: 名前・ID以外の属性は顧客IdPから素通しせず基盤の正準スキーマへ写像or基盤付与し、アプリは正準スキーマのみ受領。source解決3ケース（顧客写像 / 基盤付与 / 不要）はテナント×属性ごとに決める</t>
    <phoneticPr fontId="2"/>
  </si>
  <si>
    <t>D3-15</t>
    <phoneticPr fontId="2"/>
  </si>
  <si>
    <t>統合コンテキスト射影（/api/me/context）</t>
    <phoneticPr fontId="2"/>
  </si>
  <si>
    <t>読取元=ブランドユニット内の統合射影（read model = Option A）を1 read（Keycloak非経由・越境ゼロ）。都度join（Option B）は非IdPユーザーの読取でIdP-KC越境が必要=P-17抵触のため却下。ハイブリッド案2（部分射影: 変化の遅い組織属性・idmapは射影、変化の速いエンタイトルメントはBroker内で都度read）を選択肢として保持。即時剥奪など鮮度が命の操作は射影に頼らずBroker shadow無効化で担保。書込フィード3系統（D2 SCIM直upsert / D1 SCIM・アプリCRUD→EventBridge→upsert / 管理画面authoring直）。EventBridge at-least-once前提の冪等upsert+version最新勝ち。読取p99とストア選定はG-SCIMで実測して確定</t>
    <phoneticPr fontId="2"/>
  </si>
  <si>
    <t>D3-16</t>
    <phoneticPr fontId="2"/>
  </si>
  <si>
    <t>非IdPテナントのユーザCRUD/削除モデル</t>
    <phoneticPr fontId="2"/>
  </si>
  <si>
    <t>mode A（管理画面=SoT）単独を採用。テナント管理者がユーザ一覧/編集画面から作成・編集・削除。mode B（HRIS/D1 SCIM）・mode C（アプリ発CRUD）・非IdPの90日休眠バッチはPhase 1対象外。削除はoutboxパターンで確実伝播（①IdP-KC Soft Delete → ②projection deprovisioned + user.deprovisioned outbox行をauthz DBの1 Txで書く → ③outboxリレーがEventBridgeへ必達送信 → ④中央shadow制御LambdaがBroker shadowをenabled=false + not_before + session revoke、冪等）。遮断窓=通常数秒 / worst=リコンサイル間隔（数分）、発行済みATは最大30分有効。安全網として「IdP-KC deprovisioned_at有り ↔ Broker shadow enabled=true」を数分間隔で突合</t>
    <phoneticPr fontId="2"/>
  </si>
  <si>
    <t>D3-17</t>
    <phoneticPr fontId="2"/>
  </si>
  <si>
    <t>既定発行クレームの確定（Stage 1 + sid）</t>
    <phoneticPr fontId="2"/>
  </si>
  <si>
    <t>U5 トークン・認可</t>
    <phoneticPr fontId="2"/>
  </si>
  <si>
    <t>全アプリClientの既定発行= Stage 1の7クレーム（iss/sub/aud/azp/tenant_id/exp/iat）+ sid（Stage 1.5）に確定。sid既定発行を正式決定しADR-030の宙吊りを解消。sidはBack-Channel Logoutの突合キーで認可判定には使用禁止。Keycloakが付すjti/typ/scope/session_stateは契約外。Lightweight Access Token化はPhase 1では行わない</t>
    <phoneticPr fontId="2"/>
  </si>
  <si>
    <t>U5 §5.1.1</t>
    <phoneticPr fontId="2"/>
  </si>
  <si>
    <t>basic-design/05-token-session-authz-design.md</t>
    <phoneticPr fontId="2"/>
  </si>
  <si>
    <t>Stage 2 / Stage 3への昇格規約</t>
    <phoneticPr fontId="2"/>
  </si>
  <si>
    <t>昇格はRealm一括ではなくClient（アプリ）単位。Stage 2（scope/client_id/auth_time/jti）はToken Exchange参加・jti監査要件・ステップアップMFA利用のいずれか。Stage 3（roles）は管理系Clientのみで業務アプリへのroles発行は不可。acr/amrは常時発行せずOptional Client Scope『acr-step-up』でのみ発行</t>
    <phoneticPr fontId="2"/>
  </si>
  <si>
    <t>U5 §5.1.2</t>
    <phoneticPr fontId="2"/>
  </si>
  <si>
    <t>顧客拡張クレームの規約（ext_）</t>
    <phoneticPr fontId="2"/>
  </si>
  <si>
    <t>命名=ext_&lt;tenant&gt;_&lt;name&gt; または ext_&lt;name&gt;。該当テナント専用のOptional Client Scopeに集約しDefault Scopeへの追加禁止。PII審査必須（氏名・メール・電話・住所等の直接PIIは拒否）。供給元はUser Profile宣言済み属性のみ。拡張込みでAccess Token ≤ 1KB（base64後）を上限、groups等の可変長配列は原則拒否</t>
    <phoneticPr fontId="2"/>
  </si>
  <si>
    <t>U5 §5.1.3</t>
    <phoneticPr fontId="2"/>
  </si>
  <si>
    <t>PII非搭載原則の検証チェックリスト（C-1〜C-7）</t>
    <phoneticPr fontId="2"/>
  </si>
  <si>
    <t>C-1 AT/ID TokenにPII系クレームが含まれない / C-2 アプリClientのDefault Scopeにprofile・emailが付いていない / C-3 ライフサイクル属性がJWTに載っていない / C-4 新規クレームが直接・準識別子でない（external_id生値はJWT非搭載）/ C-5 トークンサイズ≤1KB / C-6 ログ・APMにトークン平文が出ない / C-7 userinfoがPII提供の唯一の窓口。①Mapper追加時レビュー ②CI（realm設定lint）③四半期監査の3箇所で運用</t>
    <phoneticPr fontId="2"/>
  </si>
  <si>
    <t>U5 §5.1.4</t>
    <phoneticPr fontId="2"/>
  </si>
  <si>
    <t>TTL体系の最終値とKeycloak設定マッピング</t>
    <phoneticPr fontId="2"/>
  </si>
  <si>
    <t>Access Token 30分 / ID Token 30分（ATと同一、Keycloakは共用）/ SSO Session Idle 1h / SSO Session Max 24h / Revoke Refresh Token=ON（Rotation有効）/ Refresh Token Max Reuse=0（Reuse Detection、再利用でトークンファミリー全停止）/ Client Session Idle・Maxは未設定（SSOセッション従属）/ offline_access はPhase 1無効 / 署名=ES256 / RP側の許容clock skew ≤60秒</t>
    <phoneticPr fontId="2"/>
  </si>
  <si>
    <t>U5 §5.2.1</t>
    <phoneticPr fontId="2"/>
  </si>
  <si>
    <t>「RT 30日」の解釈確定</t>
    <phoneticPr fontId="2"/>
  </si>
  <si>
    <t>P-09の「RT 30日」は設定可能上限（レンジ）を指すと解釈を確定。KeycloakではRTの寿命はSSO Session Idle/Maxに従属するためRT単独30日は成立しない。Phase 1のRT実効寿命=アイドル1hごとのRotation前提で最大24h（絶対）。NIST AAL2と完全整合し「絶対24h」と「RT 30日」の見かけの矛盾を解消。30日級の長期ログインはOffline Tokenのみで実現可能だがPhase 1無効、必要時はアプリ単位の個別審査でPhase 2以降に解禁</t>
    <phoneticPr fontId="2"/>
  </si>
  <si>
    <t>U5 §5.2.2</t>
    <phoneticPr fontId="2"/>
  </si>
  <si>
    <t>テナント別TTL短縮オプション（5-15分）</t>
    <phoneticPr fontId="2"/>
  </si>
  <si>
    <t>Keycloak標準のClient単位Access Token Lifespan overrideで実現。Client単位overrideはテナント単位ではないため短縮対象テナントには専用Clientを発行する。SSO Session Idle短縮（15-30分）も同一テナント判定で適用可。規制/PCIテナントの絶対セッション短縮（24h→8h）はSSO Session MaxがRealm単位のため専用Realm（ADR-017規制例外）で実現。カスタムTokenProvider SPI方式は不採用</t>
    <phoneticPr fontId="2"/>
  </si>
  <si>
    <t>U5 §5.2.3</t>
    <phoneticPr fontId="2"/>
  </si>
  <si>
    <t>ゾンビウィンドウの侵害シナリオ（Z-1〜Z-5）</t>
    <phoneticPr fontId="2"/>
  </si>
  <si>
    <t>ATはStateless JWTのため失効操作後も最大30分のゾンビ窓が残る。Z-1退職者SCIM削除=≤30分 / Z-2 RT盗難=Reuse Detectionでファミリー全停止（即時）/ Z-3管理者強制ログアウト=≤30分 / Z-4 ITDR L4大規模侵害=not-beforeはRPローカル検証に伝播せず≤30分 / Z-5 AT単体盗難=構造的残余リスク（Phase 2 DPoPで完全防御）。契約明示事項として顧客説明に用いる</t>
    <phoneticPr fontId="2"/>
  </si>
  <si>
    <t>U5 §5.2.4</t>
    <phoneticPr fontId="2"/>
  </si>
  <si>
    <t>Token Exchange 適用パターンの限定</t>
    <phoneticPr fontId="2"/>
  </si>
  <si>
    <t>Phase 1で有効化するのはPattern 2（Audience縮小/Downstream Token）とPattern 3（Scope縮小）の2つに限定。Pattern 5（Delegation/act連鎖）とPattern 6/7（クロスドメイン・エッジ橋渡し）はPhase 2。Pattern 4（Impersonation）は監査追跡性を損なうため不採用（テスト環境限定・本番禁止）。aud跨ぎの素通し転送は禁止。同一信頼境界内の複数API呼び出しはTEではなくaud-* scopeの複数Default付与で解決するのが第一選択</t>
    <phoneticPr fontId="2"/>
  </si>
  <si>
    <t>U5 §5.3.1</t>
    <phoneticPr fontId="2"/>
  </si>
  <si>
    <t>audience設計と命名規約</t>
    <phoneticPr fontId="2"/>
  </si>
  <si>
    <t>Token Exchangeのaudienceパラメータ値=aud-&lt;api&gt; scopeが埋めるAPI識別子と同一の名前空間（TE用に別体系を作らない）。aud値の命名は短名（Client IDと同一の&lt;api名&gt;、例 expense-api）を採用しURI形式は不採用。交換後トークンのクレームはStage 1 + sidを維持（sub=元ユーザ、azp=交換実行サービス）</t>
    <phoneticPr fontId="2"/>
  </si>
  <si>
    <t>U5 §5.3.2</t>
    <phoneticPr fontId="2"/>
  </si>
  <si>
    <t>Token Exchange の Client設定方針</t>
    <phoneticPr fontId="2"/>
  </si>
  <si>
    <t>Keycloak Standard Token Exchange（V2）のみ使用しLegacy(V1)は禁止。交換実行ClientはConfidential必須（Public ClientのTE禁止）。有効化はClientごとに個別（Realm一括禁止）でaud-* scope付与のホワイトリストとして表現。scopeは縮小のみ許可（要求scope ⊆ 元AT scope）。交換後AT TTL=15分、Refresh Tokenは発行しない。TOKEN_EXCHANGEイベントを監査ログ必須収集。IdP-KC側でのTEは提供しない</t>
    <phoneticPr fontId="2"/>
  </si>
  <si>
    <t>U5 §5.3.3</t>
    <phoneticPr fontId="2"/>
  </si>
  <si>
    <t>RT Revocation（アプリ・ユーザ起点）</t>
    <phoneticPr fontId="2"/>
  </si>
  <si>
    <t>RFC 7009準拠のRevocationエンドポイントを全RPに開放。RPはログアウト時に保持中のRTをrevokeしてから破棄することをRP実装ガイドの必須項目とする。ATのrevokeは受理されるがローカル検証RPには伝播しないため、RPには「AT revokeに依存せず短TTLを前提に設計せよ」と案内</t>
    <phoneticPr fontId="2"/>
  </si>
  <si>
    <t>U5 §5.4.1</t>
    <phoneticPr fontId="2"/>
  </si>
  <si>
    <t>管理者強制ログアウトの3粒度</t>
    <phoneticPr fontId="2"/>
  </si>
  <si>
    <t>①個別ユーザ=Admin API users/{id}/logout（全セッション削除→RT即死+L4 Back-Channel Logout発火）、入口は管理画面Backend経由のみでテナント管理者は自テナントに限定 ②テナント単位=対象Orgメンバーへの一括logout（冪等・再開可能なジョブ）③全体（緊急）=ITDR L4手順、基盤on-callのみ。全操作を監査ログ必須（操作者/対象/理由コード/粒度）。パスワード変更時の全セッション無効化は自動切断をデフォルト</t>
    <phoneticPr fontId="2"/>
  </si>
  <si>
    <t>U5 §5.4.2</t>
    <phoneticPr fontId="2"/>
  </si>
  <si>
    <t>ITDR L4連動（全Token Revoke）</t>
    <phoneticPr fontId="2"/>
  </si>
  <si>
    <t>①not-before push（Realmまたは対象Client単位）で発火時刻以前発行の全トークンを無効化 ②対象範囲の全セッション削除（RT即死+L4一斉送信）③限界の明示=ローカル署名検証のみのRPにはnot-beforeが伝播せずAT残寿命≤30分のゾンビ窓が残るため、L4発火Runbookに「30分間の追加監視」を含める ④発火判定・自動化閾値はU7のRisk Engine設計に従う。本書は実行API面の確定のみ</t>
    <phoneticPr fontId="2"/>
  </si>
  <si>
    <t>U5 §5.4.3</t>
    <phoneticPr fontId="2"/>
  </si>
  <si>
    <t>ログアウト4レイヤーの採用範囲</t>
    <phoneticPr fontId="2"/>
  </si>
  <si>
    <t>L1ローカル=Must（Cookie/トークンストア破棄+保持RTのrevoke）/ L2 RP-Initiated Logout=Must（id_token_hint必須、post_logout_redirect_uriは完全一致登録・ワイルドカード禁止）/ L3フェデ連動=既定OFF・テナントオプション、ただしidpkc-oidc01（自社IdP-KC）は既定ON / L4 Back-Channel Logout=Must（コア層OIDCアプリ標準）/ L4 Front-Channel Logout=不採用。既定の到達範囲=L1+L2+L4+IdP-KC連鎖（顧客IdPセッションは維持=顧客責任）</t>
    <phoneticPr fontId="2"/>
  </si>
  <si>
    <t>U5 §5.5.1</t>
    <phoneticPr fontId="2"/>
  </si>
  <si>
    <t>SAML SP（ServiceNow）へのSLO</t>
    <phoneticPr fontId="2"/>
  </si>
  <si>
    <t>ServiceNowへのSAML SLOはPhase 1では実装しない（オプション扱い）。根拠=SAML SLOは成功率60-80%・SOAP実装複雑で1 SPの無応答がチェーンを壊す。SNセッションはSN側アイドルタイムアウト+次回アクセス時のSAML再認証で収束し、L1 SCIM enabled=false→SAML認証拒否の遮断経路が既にある。テナントが要求した場合はSP-initiated SLOのみ検討し詳細設計はU10へ</t>
    <phoneticPr fontId="2"/>
  </si>
  <si>
    <t>U5 §5.5.2</t>
    <phoneticPr fontId="2"/>
  </si>
  <si>
    <t>SPA直構成の限界の明示</t>
    <phoneticPr fontId="2"/>
  </si>
  <si>
    <t>Back-Channel Logoutはサーバ間POSTのためバックエンドを持たないSPA直構成はL4通知を受信できない。該当アプリは①AT 30分の自然失効+次回Refresh失敗で最大30分遅れの切断を許容するか、②BFF構成へ移行してL4受信を実装するかのいずれかを選択。OIDC Session Management（iframe polling）は3rd party cookie制約により推奨しない。シェア端末を扱うアプリはBFF+L4を必須</t>
    <phoneticPr fontId="2"/>
  </si>
  <si>
    <t>U5 §5.5.3</t>
    <phoneticPr fontId="2"/>
  </si>
  <si>
    <t>Back-Channel Logoutの実装確定</t>
    <phoneticPr fontId="2"/>
  </si>
  <si>
    <t>各アプリClientにbackchannel_logout_urlを登録しBackchannel Logout Session Required=ON（Logout Tokenにsidを含める）。発火点=L2 RP-Initiated / 管理者強制ログアウト / ITDR L4のすべて。RP受信実装の必須項目=①POST /backchannel-logout ②Logout Token検証（署名/iss/aud/iat/events/nonceが無いこと）③sidでローカルセッション索引を破棄（sid不在時はsub全セッション破棄にフォールバック）④2xx応答・冪等実装。送信失敗時はベストエフォート（再送保証なし）で最終防衛線はTTL</t>
    <phoneticPr fontId="2"/>
  </si>
  <si>
    <t>U5 §5.5.4</t>
    <phoneticPr fontId="2"/>
  </si>
  <si>
    <t>RP実装ガイド: 認可リクエスト（全アプリ必須）</t>
    <phoneticPr fontId="2"/>
  </si>
  <si>
    <t>response_type=codeのみ（Implicit/Hybrid禁止）。state（128bit以上乱数）+ nonce + PKCE S256を必須。Public Client（SPA/モバイル）はPKCE必須、ConfidentialでもPKCE推奨。state/nonce/code_verifierはHttpOnly Cookie or sessionStorage（BFFはサーバセッション）でTTL 10分・1回検証で即破棄。Callbackでstate不一致は400拒否。issレスポンスパラメータ検証（mix-up対策）を推奨項目に含める</t>
    <phoneticPr fontId="2"/>
  </si>
  <si>
    <t>U5 §5.6.1</t>
    <phoneticPr fontId="2"/>
  </si>
  <si>
    <t>RP実装ガイド: BFF vs SPA直の使い分け</t>
    <phoneticPr fontId="2"/>
  </si>
  <si>
    <t>既定推奨はBFF（トークンはサーバ側保管、ブラウザにはHttpOnly+Secure+SameSite=Laxのセッションcookieのみ、L4受信可、CSRFはDouble Submit Cookie必須）。SPA直は制約の明示同意（アプリオーナー）を条件に許容（AT/RTはMemory保管のみ、localStorage/Cookie禁止、L4受信不可、CSP+escape+DOMPurify必須）。適用目安=機微データ・シェア端末・長時間業務はBFF、社内向け読み取り中心の軽量SPAはSPA直</t>
    <phoneticPr fontId="2"/>
  </si>
  <si>
    <t>U5 §5.6.2</t>
    <phoneticPr fontId="2"/>
  </si>
  <si>
    <t>U5 §5.6.3</t>
    <phoneticPr fontId="2"/>
  </si>
  <si>
    <t>RP実装ガイド: CORS / SameSite</t>
    <phoneticPr fontId="2"/>
  </si>
  <si>
    <t>APIのAccess-Control-Allow-Originは具体的RP originの許可リスト（*禁止）。Bearer方式ではAccess-Control-Allow-Credentials=false。BFFセッションCookieはHttpOnly; Secure; SameSite=Laxを既定（Strictはフェデリダイレクト帰還で切れるためLax、CSRFトークン併用で完全防御）。GETで状態変更するAPIの実装禁止</t>
    <phoneticPr fontId="2"/>
  </si>
  <si>
    <t>U5 §5.6.4</t>
    <phoneticPr fontId="2"/>
  </si>
  <si>
    <t>RP実装ガイド: ログアウト・トークンライフサイクル</t>
    <phoneticPr fontId="2"/>
  </si>
  <si>
    <t>ログアウト時はRT revoke → ローカル破棄 → L2 RP-Initiated（id_token_hint付き）の順。L4受信エンドポイント実装はBFF/SSR必須。Refresh失敗（invalid_grant）はセッション終了として再ログイン誘導（Reuse Detection発火時も同じ経路に収束）</t>
    <phoneticPr fontId="2"/>
  </si>
  <si>
    <t>U5 §5.6.5</t>
    <phoneticPr fontId="2"/>
  </si>
  <si>
    <t>RP実装ガイド: 認可失敗（403）→ Sorry誘導</t>
    <phoneticPr fontId="2"/>
  </si>
  <si>
    <t>アプリは403を検知したらlaunchpad.&lt;domain&gt;/sorry?app=&lt;カタログID&gt;&amp;reason=&lt;code&gt;へredirectする。reasonコードは固定辞書のみ（not_entitled / tenant_not_allowed / stepup_required 等、SSOTはU4）。自由文パラメータの付与は禁止（インジェクション・情報漏えい対策）。エッジ403→302集約が他組織に受諾された後も本規約は廃止しない（二重化）</t>
    <phoneticPr fontId="2"/>
  </si>
  <si>
    <t>U5 §5.6.6</t>
    <phoneticPr fontId="2"/>
  </si>
  <si>
    <t>専用API層のスコープ命名規約とPhase 1セット</t>
    <phoneticPr fontId="2"/>
  </si>
  <si>
    <t>命名=idm:&lt;resource&gt;:&lt;action&gt;（小文字・コロン区切り・複数形リソース）。Phase 1セット= idm:users:read / write / deactivate / reactivate、idm:idmap:read / write、idm:context:read、idm:assignments:write、idm:sessions:revoke、idm:orgs:read。粒度は「リソース×操作」の2軸のみとし行レベル制約はスコープで表現しない（スコープ爆発の防止）。物理削除スコープ（idm:users:delete）はPhase 1では定義しない</t>
    <phoneticPr fontId="2"/>
  </si>
  <si>
    <t>U5 §5.8.1</t>
    <phoneticPr fontId="2"/>
  </si>
  <si>
    <t>専用API層のClient発行・テナント制約・トークン設定</t>
    <phoneticPr fontId="2"/>
  </si>
  <si>
    <t>Client発行単位=利用アプリごとに1 Confidential Client（Service Account有効・Standard Flow無効、共有Client禁止）。スコープはOptional Client Scopeとして定義しアプリごとに必要最小セットのみ付与。テナント制約=Client属性allowed_tenants（カンマ区切りOrg alias）をHardcoded Claim MapperでATに焼き込み、API層は全リクエストで対象リソースのtenant ∈ allowed_tenants を強制（スコープ=リソース×操作、テナント境界=クレームの2層認可）。aud=idm-api、AT TTL=15分、azp単位のレート制限</t>
    <phoneticPr fontId="2"/>
  </si>
  <si>
    <t>U5 §5.8.2</t>
    <phoneticPr fontId="2"/>
  </si>
  <si>
    <t>ログインUX = Identifier-First 2段階</t>
    <phoneticPr fontId="2"/>
  </si>
  <si>
    <t>U4 認証体験・UX</t>
    <phoneticPr fontId="2"/>
  </si>
  <si>
    <t>画面1は識別子入力のみ（パスワード欄なし・接続先ボタンなし）。IDとメールを同一フィールドで受けHRDが判別。接続先一覧は恒久的に非表示（1000+件では性能上成立しないため必須条件）。画面1に「ここではパスワードを入力しません」の1行説明を常設し、リダイレクト直前の中間画面は設けない。統合1画面案は98%の利用者に無関係なPW欄を見せフィッシング教育上有害なため不採用</t>
    <phoneticPr fontId="2"/>
  </si>
  <si>
    <t>D-U4-01</t>
    <phoneticPr fontId="2"/>
  </si>
  <si>
    <t>basic-design/04-auth-ux-design.md §4.1</t>
    <phoneticPr fontId="2"/>
  </si>
  <si>
    <t>HRD失敗時のフォールバックUX</t>
    <phoneticPr fontId="2"/>
  </si>
  <si>
    <t>利用者の存在有無を漏らさない応答同一化を全ケースで守る。①所属不在/接続なし=無言でPW画面へ+汎用エラー+書式ヒント ②メールのドメイン未登録=同上 ③ハイフンなしの素のID=PW画面（運用者の正規経路）+恒常ヒント ④同一所属に複数接続=所属限定セレクター（displayName昇順）。ダミー遅延は入れずフォーム描画コストに吸収。「組織が見つかりません」等の表示は禁止</t>
    <phoneticPr fontId="2"/>
  </si>
  <si>
    <t>D-U4-02</t>
    <phoneticPr fontId="2"/>
  </si>
  <si>
    <t>basic-design/04-auth-ux-design.md §4.1.3</t>
    <phoneticPr fontId="2"/>
  </si>
  <si>
    <t>ブランディング = パターンA（統一テーマ1本）</t>
    <phoneticPr fontId="2"/>
  </si>
  <si>
    <t>基盤統一のニュートラルテーマ1本のみ保守。テナント別ロゴ・配色はPhase 1不採用（画面1はテナント未確定で原理的に不可能、HRD解決後も出さない）。テナント識別はテキスト表示のみ。全カスタム文言はmessagesプロパティに集約しFTL直書き禁止。標準のCSRF hiddenフィールドとsession_codeを削除・改変しないことをテーマPRレビュー必須項目に。アプリ別テーマはA'移行時に解禁、顧客別はPhase 2の顧客別URL方式で受ける</t>
    <phoneticPr fontId="2"/>
  </si>
  <si>
    <t>basic-design/04-auth-ux-design.md §4.2</t>
    <phoneticPr fontId="2"/>
  </si>
  <si>
    <t>MFA UX 4ケース（2026-07-30 D-17反映）</t>
    <phoneticPr fontId="2"/>
  </si>
  <si>
    <t>ケースA'=外部フェデ利用者（顧客IdP保有テナントの全員＋そのテナント管理者）は基盤側追加画面ゼロ、mfa_indicatorの検証・記録・監視のみでブロックも補完もしない（MFA実施は顧客IdP責任＋契約担保）/ ケースB=自社受け皿収容の利用者（非IdPテナントの一般利用者＋テナント管理者）にWebAuthn優先、実施場所は受け皿側のログイン画面 / ケースC=同対象でWebAuthn不可時にTOTP（6桁自動送信はしない）/ ケースD=基盤運用者のみPW+WebAuthn必須（TOTPへの緩和不可）。SMS OTPは不採用確定。二重MFA回避が本設計の中核価値</t>
    <phoneticPr fontId="2"/>
  </si>
  <si>
    <t>basic-design/04-auth-ux-design.md §4.3.1</t>
    <phoneticPr fontId="2"/>
  </si>
  <si>
    <t>MFAエンロールフロー（初回登録UX）</t>
    <phoneticPr fontId="2"/>
  </si>
  <si>
    <t>ケースB/C対象者は初回ログイン時にエンロール強制（猶予期間なし）。遷移=登録案内（所要1分目安）→WebAuthn登録（認証器名は自動命名、利用者入力を必須にしない）→使えない場合のフォールバックリンクでTOTP登録（QR+手動キー併記・コピーボタン付き）→Recovery Codes発行→着地。猶予期間案は「MFA漏れ利用者が常在しコンプラ主張が崩れる」ため不採用</t>
    <phoneticPr fontId="2"/>
  </si>
  <si>
    <t>U4 §4.3.2</t>
    <phoneticPr fontId="2"/>
  </si>
  <si>
    <t>basic-design/04-auth-ux-design.md §4.3.2</t>
    <phoneticPr fontId="2"/>
  </si>
  <si>
    <t>Recovery Codes（予備コード）</t>
    <phoneticPr fontId="2"/>
  </si>
  <si>
    <t>基盤側クレデンシャルを持つ全利用者（ケースB/C/D）に標準機能で発行。エンロール完了直後に自動発火し一括表示＋ダウンロード/印刷/コピー。ハッシュ化保存。残3以下でバナー再発行誘導、全消費時は再発行を強制。紛失時の自己救済不能ケースはケースB/C=顧客テナント管理者が管理画面からリセット、ケースD=自社運用ランブック（本人確認手順込み）。リセットは通常操作ではなく管理者の一時昇格承認経路のみ</t>
    <phoneticPr fontId="2"/>
  </si>
  <si>
    <t>basic-design/04-auth-ux-design.md §4.3.3</t>
    <phoneticPr fontId="2"/>
  </si>
  <si>
    <t>ステップアップ再認証UX</t>
    <phoneticPr fontId="2"/>
  </si>
  <si>
    <t>通常ログインと明確に区別された専用文言画面。AAL2=「操作の確認のため、追加の本人確認を行います」でWebAuthn/TOTP・max_age 900秒 / AAL3=同文言でフィッシング耐性のある方式のみ（TOTPは選択肢に出さない）・max_age 300秒。再認証後は元の操作画面へ復帰（操作コンテキスト保持はアプリ責務）。「再ログイン」「ログインし直してください」という表現を全画面で禁止。max_age超過時は「最後の確認から時間が経過しました」（「セッション切れ」と言わない）。外部フェデ利用者はステップアップ対象外</t>
    <phoneticPr fontId="2"/>
  </si>
  <si>
    <t>D-U4-05</t>
    <phoneticPr fontId="2"/>
  </si>
  <si>
    <t>basic-design/04-auth-ux-design.md §4.3.4</t>
    <phoneticPr fontId="2"/>
  </si>
  <si>
    <t>Landing = Pattern 1（許可サービスのみ表示）</t>
    <phoneticPr fontId="2"/>
  </si>
  <si>
    <t>Post-loginサービス選択画面を独立SPA（launchpad）として構築。許可されたサービスのみタイル表示＋申請可能セクション。表示判定は通行証のロール直読ではなく管理画面Backendのエンタイトルメント照会API（/api/me/context、フェデ系・非IdP系を問わず全テナント共通契約）。業務アプリにロール情報を発行しない決定と整合。アプリ側の認可判定はPattern 1でも必須（省略は誤った安心感）。お気に入り・最近使ったはPhase 2</t>
    <phoneticPr fontId="2"/>
  </si>
  <si>
    <t>D-U4-06</t>
    <phoneticPr fontId="2"/>
  </si>
  <si>
    <t>basic-design/04-auth-ux-design.md §4.4</t>
    <phoneticPr fontId="2"/>
  </si>
  <si>
    <t>Sorry = 基盤側SPA主実装</t>
    <phoneticPr fontId="2"/>
  </si>
  <si>
    <t>主実装=launchpad SPA内ルート/sorry（同一codebase・同一配信）。主経路=アプリが403検知時に/sorryへredirectする規約を受け取り側実装ガイドの標準要件に。追加層=エッジでの403→302集約は境界が他組織管理のため実装を保証できず、要求仕様（別紙）に降格。受諾されてもアプリ側redirect規約は廃止しない（二重化）。表示必須=認証エラーと誤認させない見出し・利用者名とテナント名・対象サービス名・理由コードの固定文言・次のアクション・リクエストIDと時刻。表示禁止=他テナント情報・スタックトレース・内部システム名・生トークン・内部ロール名</t>
    <phoneticPr fontId="2"/>
  </si>
  <si>
    <t>D-U4-07</t>
    <phoneticPr fontId="2"/>
  </si>
  <si>
    <t>basic-design/04-auth-ux-design.md §4.5</t>
    <phoneticPr fontId="2"/>
  </si>
  <si>
    <t>アクセシビリティ = WCAG 2.2 AA + JIS AA</t>
    <phoneticPr fontId="2"/>
  </si>
  <si>
    <t>全UI接点10画面を対象にWCAG 2.2 AA + JIS X 8341-3:2016 AA準拠。axe-coreをPRごとに実行しAA違反でmergeブロック（テーマは実画面をテストコンテナで起動して検査、FTL静的検査では不足）。3層検証=L1自動CI / L2手動（NVDA・VoiceOver、月1+Major改修時）/ L3当事者テスト（年1回）。拘束項目=識別子欄にautocomplete=username・TOTPにone-time-code、ステップアップで識別子を再入力させない、ヒント/エラーはrole=alert+aria-live、タイムアウトは無言の白画面禁止、ボタン44×44px以上、コントラスト・フォーカスリングはデザイントークン1セットを共通化</t>
    <phoneticPr fontId="2"/>
  </si>
  <si>
    <t>D-U4-08</t>
    <phoneticPr fontId="2"/>
  </si>
  <si>
    <t>basic-design/04-auth-ux-design.md §4.6</t>
    <phoneticPr fontId="2"/>
  </si>
  <si>
    <t>ディープリンク・着地の原則</t>
    <phoneticPr fontId="2"/>
  </si>
  <si>
    <t>redirect_uri優先（ディープリンク尊重）。認可要求に戻り先がない基盤起点ログインのみLandingに着地。接続先指定付きディープリンク（ポータル・QR・招待メール用途）は画面1をスキップする正規経路として許容し、指定が不正な場合は標準動作で画面1に降格</t>
    <phoneticPr fontId="2"/>
  </si>
  <si>
    <t>basic-design/04-auth-ux-design.md §4.1.4</t>
    <phoneticPr fontId="2"/>
  </si>
  <si>
    <t>テーマの構成と保守範囲</t>
    <phoneticPr fontId="2"/>
  </si>
  <si>
    <t>カスタマイズ対象は10ファイルに限定（識別子/PW画面・TOTP認証・TOTPエンロール・WebAuthn認証・WebAuthn登録・Recovery Codes発行/入力・所属セレクター・エラー・情報）。それ以外は標準テーマ継承のままとし製品バージョンアップ時の差分確認対象を最小化。アクセシビリティ要件をテーマの受け入れ基準に組み込む。アカウント設定画面は標準ベース＋文言/ロゴのみを暫定</t>
    <phoneticPr fontId="2"/>
  </si>
  <si>
    <t>basic-design/04-auth-ux-design.md §4.2.3</t>
    <phoneticPr fontId="2"/>
  </si>
  <si>
    <t>暗号鍵の命名規則と配置（6アカウント体系への写像）</t>
    <phoneticPr fontId="2"/>
  </si>
  <si>
    <t>U7 セキュリティ</t>
    <phoneticPr fontId="2"/>
  </si>
  <si>
    <t>3階層モデル（L1基盤共通/L2アカウント別/L3テナント別）を維持し alias/&lt;scope&gt;-&lt;purpose&gt;[-mrk] で確定。Phase 1初期セット10種を定義（監査ログ・組織証跡・Break-Glass・Broker Aurora・IdP-KC Aurora〔PWハッシュ保有〕・idmap・ITDR・Secrets・S3・テナント別）。IdP-KC侵害時にBroker側の鍵へ到達できないことをアカウント分割で構造保証。他組織アカウントへの鍵共有はゼロ。全鍵MRK化は漏洩影響を東京に限定する観点で不採用</t>
    <phoneticPr fontId="2"/>
  </si>
  <si>
    <t>D-U7-01</t>
    <phoneticPr fontId="2"/>
  </si>
  <si>
    <t>basic-design/07-security-compliance-design.md §7.1.1</t>
    <phoneticPr fontId="2"/>
  </si>
  <si>
    <t>鍵ポリシー — 管理者/利用者/監査者の職務分離</t>
    <phoneticPr fontId="2"/>
  </si>
  <si>
    <t>全鍵の Key Policy を3ロール構造で統一しTerraformテンプレート化。管理者=Security Lead+Infra Leadの2名（多要素認証必須、暗号化操作権限は付与しない、JIT昇格経由のみ）/ 利用者=サービスRole（IRSA）のみで人間への付与禁止・対象鍵限定 / 監査者=読取専用。Key Custodian Agreement は書面で法務レビュー、離職時は即日削除。鍵削除・ポリシー変更・無効化は高重要度で即時通知</t>
    <phoneticPr fontId="2"/>
  </si>
  <si>
    <t>D-U7-02</t>
    <phoneticPr fontId="2"/>
  </si>
  <si>
    <t>basic-design/07-security-compliance-design.md §7.1.2</t>
    <phoneticPr fontId="2"/>
  </si>
  <si>
    <t>JWT署名鍵はKeycloak標準管理 + 90日更新周期</t>
    <phoneticPr fontId="2"/>
  </si>
  <si>
    <t>署名鍵はKeycloak標準のRealm Keysで管理し暗号管理サービスには持ち込まない。90日で新鍵に切替、旧鍵は検証専用で30日並走（受け取り側キャッシュTTLを上回ることを保証）。緊急時は並走なしで即時無効化＋全体無効化操作＋受け取り側へ再取得の注意喚起。暗号管理サービスでの署名は該当機能がなく開発と遅延が過大なためPhase 1では見送り（金融要件発生時にPhase 2再評価）</t>
    <phoneticPr fontId="2"/>
  </si>
  <si>
    <t>D-U7-03</t>
    <phoneticPr fontId="2"/>
  </si>
  <si>
    <t>basic-design/07-security-compliance-design.md §7.1.3</t>
    <phoneticPr fontId="2"/>
  </si>
  <si>
    <t>不正検知のパイプライン構成と配置</t>
    <phoneticPr fontId="2"/>
  </si>
  <si>
    <t>イベント送出専任の仕組みでイベントバスへ送り、Broker側に判定エンジンと履歴DBを一元配置。IdP-KC側のイベント（ローカルパスワードログインが主戦場）はクロスアカウントで送出のみ。対応操作はBroker内で完結させ、IdP-KCへの逆流経路は作らない（片方向原則の維持）。判定エンジンの二重配置は履歴が分裂し将来の相関分析が不能になるため不採用。監視製品連携は後続フェーズ</t>
    <phoneticPr fontId="2"/>
  </si>
  <si>
    <t>D-U7-04</t>
    <phoneticPr fontId="2"/>
  </si>
  <si>
    <t>basic-design/07-security-compliance-design.md §7.2.1</t>
    <phoneticPr fontId="2"/>
  </si>
  <si>
    <t>Phase 1の検知範囲と閾値初期値</t>
    <phoneticPr fontId="2"/>
  </si>
  <si>
    <t>漏洩パスワード照合と総当たり検知の2領域に限定。①アカウント単位=連続5失敗で30分ロック（恒久ロックはサービス妨害化を防ぐため不使用）②横断パターン=同一送信元から10分で10利用者以上の失敗で警戒、30ユーザ以上で上位通知（Phase 1aは通知のみ）③漏洩パスワード=ログイン成功時とパスワード設定変更時に外部照合し、ヒット時は強制再認証＋変更強制/設定拒否。照合は先頭5桁のみ送信する方式で平文は送らない。外部API障害時は照合をスキップしログイン可用性を優先。リスク帯を4段階で定義</t>
    <phoneticPr fontId="2"/>
  </si>
  <si>
    <t>basic-design/07-security-compliance-design.md §7.2.2</t>
    <phoneticPr fontId="2"/>
  </si>
  <si>
    <t>誤検知の段階活性化運用</t>
    <phoneticPr fontId="2"/>
  </si>
  <si>
    <t>Phase 1a（〜3ヶ月）は検知・通知のみ（例外は漏洩パスワードヒット時の変更強制）。Phase 1bで誤検知率5%未満を実測条件として自動対応をシグナル単位で有効化。検証済み送信元の除外リストはコード管理＋四半期棚卸し。災害復旧訓練の実施ウィンドウ中は一部検知を通知のみに自動降格し、総当たり検知の感度は一段引き上げ。誤ロック解除はテナント管理者または基盤運用者が行い操作を監査記録。リリース時から全自動遮断は誤検知多発が確実なため不採用</t>
    <phoneticPr fontId="2"/>
  </si>
  <si>
    <t>D-U7-06</t>
    <phoneticPr fontId="2"/>
  </si>
  <si>
    <t>basic-design/07-security-compliance-design.md §7.2.3</t>
    <phoneticPr fontId="2"/>
  </si>
  <si>
    <t>ログの秘匿情報マスキング（収集段＋保存後スキャンの2段構え）</t>
    <phoneticPr fontId="2"/>
  </si>
  <si>
    <t>収集段マスクを主とし保存後スキャンで漏れを検知。収集は全ノード配置の軽量収集役→集約役（マスク処理を集中、Keycloak用ノードとは分離配置しCPUを食わせない）。マスキング辞書14項目を定義（旧来方式の応答/要求/中継状態、認可コード、検証子、各種トークン、セッションCookie、認証ヘッダ、ログアウトトークン等）。週1で保存後スキャンを実行し、検出時は該当トークンの強制無効化＋辞書追加。マスク処理件数もメトリクス化し突然のゼロ件はパイプライン故障として警報。配信元ログは他組織管理のため要求仕様に登録</t>
    <phoneticPr fontId="2"/>
  </si>
  <si>
    <t>D-U7-07</t>
    <phoneticPr fontId="2"/>
  </si>
  <si>
    <t>basic-design/07-security-compliance-design.md §7.3.1</t>
    <phoneticPr fontId="2"/>
  </si>
  <si>
    <t>署名鍵悪用検知はPhase 1でルールベース4シグナル</t>
    <phoneticPr fontId="2"/>
  </si>
  <si>
    <t>ベースライン学習の要否で分割。Phase 1採用=①短時間大量発行（1分100件で警戒/1000件で重大）②通常時間帯外の署名操作（深夜帯の急増）③鍵識別子の異常使用（廃止済み・未知・未指定。90日更新運用と表裏一体のため必須）④認証イベントを伴わないトークン発行（最も直接的なシグナル）。発行分布の統計逸脱と異常地理IPは3ヶ月以上の履歴が前提のためPhase 2。重大発火時は緊急鍵更新手順＋全体無効化手順に連動（Phase 1aは通知のみ）</t>
    <phoneticPr fontId="2"/>
  </si>
  <si>
    <t>D-U7-08</t>
    <phoneticPr fontId="2"/>
  </si>
  <si>
    <t>basic-design/07-security-compliance-design.md §7.4.1</t>
    <phoneticPr fontId="2"/>
  </si>
  <si>
    <t>実行主体の権限設計（IRSA）</t>
    <phoneticPr fontId="2"/>
  </si>
  <si>
    <t>Pod→AWSリソースは標準のIRSA方式で統一。命名規約 &lt;acct&gt;-irsa-&lt;namespace&gt;-&lt;serviceaccount&gt;、信頼ポリシーは完全一致（ワイルドカード禁止）、1実行主体=1ロール（共有禁止）、Broker/IdP-KCは信頼関係も完全別で相互のロールを信頼する構成を禁止。Phase 1初期セット6種を定義（Keycloak各Realm用・ログ収集・SCIM受け口・鍵更新ジョブ・判定エンジンなど）。長期の固定認証情報を排除し1時間で自動更新</t>
    <phoneticPr fontId="2"/>
  </si>
  <si>
    <t>D-U7-09</t>
    <phoneticPr fontId="2"/>
  </si>
  <si>
    <t>basic-design/07-security-compliance-design.md §7.5.1</t>
    <phoneticPr fontId="2"/>
  </si>
  <si>
    <t>Keycloakへの機械アクセスは内部から順に無秘密方式へ</t>
    <phoneticPr fontId="2"/>
  </si>
  <si>
    <t>基盤内部コンポーネントは実行環境の身分証明を使った交換方式へ移行し秘密情報を廃止（管理画面Backend・専用API層・鍵更新ジョブ・一括ログアウトジョブ）。実行環境を持たない判定エンジンと顧客側のアプリは秘密情報方式のまま（保管庫管理＋90日更新）。全クライアント一括移行は対象外が存在するため不成立。方式を2系統に限定し「野良管理される秘密情報」だけを排除する</t>
    <phoneticPr fontId="2"/>
  </si>
  <si>
    <t>D-U7-10a</t>
    <phoneticPr fontId="2"/>
  </si>
  <si>
    <t>basic-design/07-security-compliance-design.md §7.5.2</t>
    <phoneticPr fontId="2"/>
  </si>
  <si>
    <t>クライアント認証の昇格時期を確定</t>
    <phoneticPr fontId="2"/>
  </si>
  <si>
    <t>Phase 1は閉域が成立しているため送信型の秘密情報を許容。ただし①保管庫での管理＋90日自動更新 ②2世代並走で無停止更新 ③設定ファイルへの直書き禁止（CI機械検査）を必須。Phase 2開始時に鍵ペア方式へ一括昇格し、更新の自動化基盤はそのまま流用（Phase 1の投資を無駄にしない）。相互証明書方式は金融要件発生時のみでPhase 3・標準昇格パスには含めない。昇格の前提条件は方式そのものではなく更新自動化であるという判断</t>
    <phoneticPr fontId="2"/>
  </si>
  <si>
    <t>D-U7-10b</t>
    <phoneticPr fontId="2"/>
  </si>
  <si>
    <t>basic-design/07-security-compliance-design.md §7.5.3</t>
    <phoneticPr fontId="2"/>
  </si>
  <si>
    <t>ブランド単位アカウント内での認証系と権限系の強分離</t>
    <phoneticPr fontId="2"/>
  </si>
  <si>
    <t>Phase 1は単一アカウントだが、認証基盤（Keycloak）と権限系（権限DB・ID対応表・射影）をデータベース・暗号鍵・実行権限・通信許可の4軸で内部分離。両方に届く単一の実行権限や通信許可を作らない。両者をつなぐ唯一の橋渡しコンポーネントは権限を必要最小に絞り、その堅牢化を最優先（主脅威である橋渡しの乗っ取りはアカウント分割でも防げないため）。規制対象ブランドでアカウントレベル分離が要件化した場合に2アカウント分割へ移行可能な不変条件を維持</t>
    <phoneticPr fontId="2"/>
  </si>
  <si>
    <t>D-U7-19</t>
    <phoneticPr fontId="2"/>
  </si>
  <si>
    <t>basic-design/07-security-compliance-design.md §7.5.4</t>
    <phoneticPr fontId="2"/>
  </si>
  <si>
    <t>特権管理4層モデルの構成への写像</t>
    <phoneticPr fontId="2"/>
  </si>
  <si>
    <t>L1緊急用アカウント=自管理3アカウントに各1つ、専用暗号鍵＋物理金庫＋ハードウェアキー（他組織アカウント分は先方責務）。L2インフラ=6アカウント×3チームで権限セット定義、BrokerとIdP-KCへの同一人物の同時昇格を承認フローで排他。L3アプリ=昇格可能/昇格中の2状態の組み合わせ役割を両Realmに定義し最大4時間で自動剥奪、管理画面へは内部ホスト名・内部経路のみ。L4テナント特権=破壊的操作の都度承認。追加製品ゼロで実現</t>
    <phoneticPr fontId="2"/>
  </si>
  <si>
    <t>D-U7-11</t>
    <phoneticPr fontId="2"/>
  </si>
  <si>
    <t>basic-design/07-security-compliance-design.md §7.6.1</t>
    <phoneticPr fontId="2"/>
  </si>
  <si>
    <t>管理経路と監査ログ集約の整合</t>
    <phoneticPr fontId="2"/>
  </si>
  <si>
    <t>管理画面の実効防御は3層（WAF要求／自管理側での拒否＝生命線／内部ホスト名分離）で成立していることを特権管理側の前提として確定。特権セッションはセッション管理サービスのポート転送を標準としVPN併用、全操作を録画して監査アカウントへ。インターネットから管理画面へ到達する経路が存在しない構造を維持。監査アカウントを唯一の集約先とし、昇格記録7年・操作録画1年＋長期保管6年・管理イベント1年＋6年、すべて改ざん不能保管。運用者は監査アカウントに対し読取専用</t>
    <phoneticPr fontId="2"/>
  </si>
  <si>
    <t>basic-design/07-security-compliance-design.md §7.6.2</t>
    <phoneticPr fontId="2"/>
  </si>
  <si>
    <t>監査ログ保持 — 即時分析90日 + 改ざん不能7年</t>
    <phoneticPr fontId="2"/>
  </si>
  <si>
    <t>Hot層=CloudWatch Logs＋検索基盤で90日（直近3ヶ月の即時アクセス要件を充足、保持設定はコードで固定）。Cold層=監査アカウントのS3に改ざん不能モードで7年（運用者・最上位権限でも削除不可）＋長期アーカイブ移行。12ヶ月超の調査はデータレイク検索で対応。対象ログ源11種を必須セットとして列挙し、すべてマスキング通過後に保存（長期保管層に平文トークンを7年残さない）。誤設定の巻き戻し不能リスクはバケット分割と保持期間の段階設定で緩和</t>
    <phoneticPr fontId="2"/>
  </si>
  <si>
    <t>basic-design/07-security-compliance-design.md §7.7.1</t>
    <phoneticPr fontId="2"/>
  </si>
  <si>
    <t>フィッシング耐性のある追加確認を管理系に必須化</t>
    <phoneticPr fontId="2"/>
  </si>
  <si>
    <t>①基盤運用者=パスキー必須（認証アプリ不可）②テナント管理者=顧客側ID基盤保有なら顧客側の追加確認を信頼し基盤は補完しない／非保有なら自社受け皿収容でパスキー必須・初回強制登録 ③ローカル利用者=パスキー推奨・認証アプリ許容 ④外部連携利用者=顧客側の追加確認を信頼し記録・監視のみ ⑤緊急用アカウント=ハードウェアキー必須。2026-07-26改訂で外部連携利用者への基盤側補完を撤去。リスク明示: 顧客側が追加確認を実施しない場合そのテナントでは技術的に充足されないため、契約で必須条項化し実施率の監視を遵守検知手段とする</t>
    <phoneticPr fontId="2"/>
  </si>
  <si>
    <t>basic-design/07-security-compliance-design.md §7.7.2</t>
    <phoneticPr fontId="2"/>
  </si>
  <si>
    <t>漏えい等報告の標準手順（個人情報保護法）</t>
    <phoneticPr fontId="2"/>
  </si>
  <si>
    <t>7ステップで確定。①検知（不正検知・署名鍵悪用検知・ログ監査スキャン・外部通報）→②トリアージ（4類型該当判定、不正アクセス起因は1件でも報告対象、検知から24時間以内）→③封じ込め（②と並行、個別/テナント/全体の粒度＋必要時の緊急鍵更新）→④速報（知った時点から3〜5日）→⑤顧客通知（契約SLA）→⑥確報（30日以内、不正アクセス起因は60日以内）→⑦事後（是正＋監査記録7年）。Phase 1αは業務時間内対応だが重大インシデントの初動のみ緊急経路で時間外可、Phase 1βで24/7体制へ</t>
    <phoneticPr fontId="2"/>
  </si>
  <si>
    <t>D-U7-15</t>
    <phoneticPr fontId="2"/>
  </si>
  <si>
    <t>basic-design/07-security-compliance-design.md §7.7.3</t>
    <phoneticPr fontId="2"/>
  </si>
  <si>
    <t>委託先監督（個人情報保護法25条・28条）</t>
    <phoneticPr fontId="2"/>
  </si>
  <si>
    <t>Red Hat=保守要員の越境アクセスが外国第三者提供に当たる可能性があるため、データ処理契約に標準契約条項相当＋越境アクセスログ取得＋監査権を求める。技術側前提として個人データ本体をクラスタ構成情報に流入させない設計（鍵類のみ保持、個人データはデータベースに閉じ込め）。法務確認で不可なら実行基盤を再検討。AWS=リージョンを国内2拠点に限定し関連文書を整理。導入SaaSは第三者監査証跡の確認を必須プロセス化。顧客に対しては責任分担表と書面での確認を契約書内で明文提供（ポータル掲載単独では不可）</t>
    <phoneticPr fontId="2"/>
  </si>
  <si>
    <t>basic-design/07-security-compliance-design.md §7.7.4</t>
    <phoneticPr fontId="2"/>
  </si>
  <si>
    <t>外部通信を持たない構成のセキュリティ評価 — 採用推奨</t>
    <phoneticPr fontId="2"/>
  </si>
  <si>
    <t>供給網統制の観点で推奨。イメージ配布のミラーが単一の検証点になり、脆弱性スキャンと署名検証を同期パイプラインに組み込めば未検証イメージがクラスタに到達する経路が構造的に消える（取得時検証より強い事前検証モデル）。外部通信統制の観点でも自アカウントに出口が存在しなくなり未知宛先への通信経路が縮小、統制説明が容易。トレードオフはミラー同期の鮮度遅延で、重大脆弱性時の緊急同期手順を運用手順書に必須追加。最終採否はインフラ側の先方回答と運用負荷実測で決定</t>
    <phoneticPr fontId="2"/>
  </si>
  <si>
    <t>basic-design/07-security-compliance-design.md §7.7.5</t>
    <phoneticPr fontId="2"/>
  </si>
  <si>
    <t>自動化された攻撃・大量アクセスの自管理/他組織分離</t>
    <phoneticPr fontId="2"/>
  </si>
  <si>
    <t>L1ネットワーク=他組織へ要求（不正自動化対策の一般＋標的型、認証情報リスト攻撃検知、認証系への流量制限〔5分あたり2000件/送信元が初期値〕、大規模攻撃防御）＋検知ログの自社監査アカウントへの配信を新規要求。L2アプリ=人間判定はPhase 2オプションだが、L1が他組織に受け入れられない場合の埋め合わせとして前倒し検討するトリガーを追加。L3アカウント=Phase 1必須（総当たり検知5回30分、アカウント存在の有無を返さない汎用エラーと応答時間の均一化、パスワード12文字＋英数混在＋漏洩照合）。体積型の大量アクセス防御は保証せず責任分担表に明記</t>
    <phoneticPr fontId="2"/>
  </si>
  <si>
    <t>basic-design/07-security-compliance-design.md §7.8.1</t>
    <phoneticPr fontId="2"/>
  </si>
  <si>
    <t>稼働率の目標値と、直列で積み上げた成立性</t>
    <phoneticPr fontId="2"/>
  </si>
  <si>
    <t>U8 可用性・DR</t>
    <phoneticPr fontId="2"/>
  </si>
  <si>
    <t>月間の停止許容枠は43.8分（年8.76時間）。計測対象は認証処理の成功率で、計画停止（月1回・深夜2〜4時・7日前通知）と顧客側のID基盤起因の失敗は除外。自管理部分だけを積み上げると余裕をもって成立するが、律速はインターネット出入口を管理する他組織側。よってエッジ経路の可用性99.95%以上を要求仕様として明文化</t>
    <phoneticPr fontId="2"/>
  </si>
  <si>
    <t>basic-design/08-availability-dr-design.md §8.1.1</t>
    <phoneticPr fontId="2"/>
  </si>
  <si>
    <t>3拠点分散・停止許容数・自動増減の方針</t>
    <phoneticPr fontId="2"/>
  </si>
  <si>
    <t>最小3台（拠点ごとに1台以上、偏りを1に制限）。同時停止許容数を1に設定し、更新中も2拠点分の容量を維持。自動増減はCPU60%を目標。自社受け皿側はパスワード検証と実行環境の起動が遅いため、CPUではなく予兆（1台あたり毎秒8件超が3分継続）を優先トリガに。ノード障害は基盤側で自動置換され、クラスタ再編も外部の仕組みなしで自動</t>
    <phoneticPr fontId="2"/>
  </si>
  <si>
    <t>basic-design/08-availability-dr-design.md §8.1.2</t>
    <phoneticPr fontId="2"/>
  </si>
  <si>
    <t>データベースの拠点内切替</t>
    <phoneticPr fontId="2"/>
  </si>
  <si>
    <t>書込1台＋読取2台の3拠点構成。拠点内の書込障害は1分未満で自動切替。接続は書込用の窓口のみを使い、交代時は接続タイムアウトで早期切断して再接続。ただし交代中は探索用の書込が一時失敗するため、全台同時再起動を伴う操作は書込側が安定してから実施する（運用手順書の禁止事項に登録）</t>
    <phoneticPr fontId="2"/>
  </si>
  <si>
    <t>D-U8-03</t>
    <phoneticPr fontId="2"/>
  </si>
  <si>
    <t>basic-design/08-availability-dr-design.md §8.1.3</t>
    <phoneticPr fontId="2"/>
  </si>
  <si>
    <t>無停止での更新方式</t>
    <phoneticPr fontId="2"/>
  </si>
  <si>
    <t>設定変更と修正版の適用は互換判定に基づく順次再起動で無停止（セッションはデータベース保存のため入れ替えても切れない）。機能追加を伴う版数更新はデータベース移行を伴い得るため計画停止窓で実施し、事前に規模データでの回帰測定通過を必須。管理ソフト自体の更新は手動承認とし自動更新を禁止。独自機能の差し替えも修正版と同じ順次再起動</t>
    <phoneticPr fontId="2"/>
  </si>
  <si>
    <t>basic-design/08-availability-dr-design.md §8.1.4</t>
    <phoneticPr fontId="2"/>
  </si>
  <si>
    <t>復旧目標と待機形態（2026-07-30 全面転換）</t>
    <phoneticPr fontId="2"/>
  </si>
  <si>
    <t>手動での復旧・目標復旧時間およそ14日。予備地域は平時に設備を持たず、被災時に構成コードから作り直す。データ喪失許容はバックアップ方式に依存。従前の「1時間で復旧・予備地域を温めて待機」は廃止。常時稼働の二重化は東西間の遅延が公式要件の上限を超え保証できないため引き続き不採用。より短い復旧時間は常時待機が前提となるため今回は提供しない</t>
    <phoneticPr fontId="2"/>
  </si>
  <si>
    <t>D-U8-05</t>
    <phoneticPr fontId="2"/>
  </si>
  <si>
    <t>basic-design/08-availability-dr-design.md §8.2.1</t>
    <phoneticPr fontId="2"/>
  </si>
  <si>
    <t>一括書き出しを全廃し、復元経路を2系統に再定義</t>
    <phoneticPr fontId="2"/>
  </si>
  <si>
    <t>構成の一括書き出しはバックアップ・災害復旧を含む一切の用途で使用しない（接続先1000件超では出力が巨大化し運用が成立しないため）。経路1=地域障害では予備地域を作り直しデータを復元（構成もデータベースに一体で入っているため構成の再投入は不要）。経路2=論理破壊では時点復元で直前に巻き戻し、それ以降の正当な変更だけを構成コードから差分再生。全1000件超を一括再生することはしない。ランサム等で時点復元自体が消される事態に備え、変更不能な控えからの復元経路を必ず併設</t>
    <phoneticPr fontId="2"/>
  </si>
  <si>
    <t>D-U8-06</t>
    <phoneticPr fontId="2"/>
  </si>
  <si>
    <t>basic-design/08-availability-dr-design.md §8.3.1</t>
    <phoneticPr fontId="2"/>
  </si>
  <si>
    <t>データ保全の3層構造と予備地域のオンデマンド再構築</t>
    <phoneticPr fontId="2"/>
  </si>
  <si>
    <t>「計算資源は平時ゼロ、データは保全」を原則とし2つの障害シナリオを分離。L1=地域災害向けの継続複製（喪失およそ1秒）／L2=論理復元向けの時点復元（1〜35日・1秒精度、ただしサービス内に留まるため攻撃者に消される）／L3=ランサム・内部不正の最終防衛線として定期取得の控えを変更不能モードで施錠し別地域・別アカウントへ複製。重要な制約として継続バックアップは変更不能化も別地域複製もできないため、不変・隔離が要る対策は定期取得の控えに置く。施錠は一度かけると解除不可（猶予は最短3日）で、保持期間「無期限」は永久課金のため避ける。アカウント閉鎖90日で施錠も無効化される点を事業継続計画に織り込む</t>
    <phoneticPr fontId="2"/>
  </si>
  <si>
    <t>basic-design/08-availability-dr-design.md §8.3.1a</t>
    <phoneticPr fontId="2"/>
  </si>
  <si>
    <t>（廃止）予備地域を温めて待機する方式</t>
    <phoneticPr fontId="2"/>
  </si>
  <si>
    <t>2026-07-30の方針転換で廃止。予備側のデータベースは読取専用で認証製品が起動できないため「設備は温め、製品は0台で待機」としていたが、コールド化に伴いD-U8-14へ統合</t>
    <phoneticPr fontId="2"/>
  </si>
  <si>
    <t>D-U8-07</t>
    <phoneticPr fontId="2"/>
  </si>
  <si>
    <t>切替の判断基準と承認フロー</t>
    <phoneticPr fontId="2"/>
  </si>
  <si>
    <t>地域障害かどうかを判定するチェックリストを新設。判定材料はクラウド事業者の障害情報、外形監視（成功率50%未満が3分継続、予備地域からの到達性）、データベースの接続不能と拠点内切替の不成立。2系統以上該当した時点で地域障害を宣言し承認プロセスへ（単一拠点・単一部品の障害は自動復旧に委ねる）。データベースの昇格・全体切替・切り戻しは起案者から責任者への手動承認。承認は検知から15分以内を運用目標とし訓練で計測</t>
    <phoneticPr fontId="2"/>
  </si>
  <si>
    <t>D-U8-08</t>
    <phoneticPr fontId="2"/>
  </si>
  <si>
    <t>basic-design/08-availability-dr-design.md §8.4.1</t>
    <phoneticPr fontId="2"/>
  </si>
  <si>
    <t>（廃止）1時間復旧の積み上げ検証</t>
    <phoneticPr fontId="2"/>
  </si>
  <si>
    <t>2026-07-30の方針転換で廃止。旧方式（予備地域を温めて待機）を前提とした50分の積み上げと成立5条件は、コールド化に伴い無効。将来より短い復旧時間を再検討する際の出発点として本文に旧参考として保存</t>
    <phoneticPr fontId="2"/>
  </si>
  <si>
    <t>D-U8-09</t>
    <phoneticPr fontId="2"/>
  </si>
  <si>
    <t>basic-design/08-availability-dr-design.md §8.4.3</t>
    <phoneticPr fontId="2"/>
  </si>
  <si>
    <t>切替時は全利用者が再認証（セッション連続性は対象外）</t>
    <phoneticPr fontId="2"/>
  </si>
  <si>
    <t>地域間で共有されるのはデータベースのみで、ログイン途中の状態・一時的な失敗回数などのキャッシュは予備地域では空から再構築される。よって切替時は全利用者が再ログインとなることを製品仕様として明文化し、顧客との取り決めにも記載する。「再ログインだけで業務再開できる」（追加認証手段はデータベース経由で予備地域でも有効）を説明線とする。発行済みの通行証は自己完結かつ署名鍵も複製され識別子が変わらないため、切替中もアプリ側の検証は継続できる。ログイン途中の状態とパスワード再設定リンクは消失（再試行・再送で回復）。失敗回数カウンタの消失による一時的な低下は、切替後60分間の検知感度引き上げで緩和</t>
    <phoneticPr fontId="2"/>
  </si>
  <si>
    <t>basic-design/08-availability-dr-design.md §8.5.1</t>
    <phoneticPr fontId="2"/>
  </si>
  <si>
    <t>切り戻しは計画切替（データ喪失ゼロ）</t>
    <phoneticPr fontId="2"/>
  </si>
  <si>
    <t>予備地域で稼働していた期間のデータを守ることが目的。禁止3操作を冒頭に置く（旧本番のデータベースを単独で再起動しない／広域構成を削除しない／同期完了前に元へ戻さない）。手順は①復旧確認②禁止操作の周知③旧本番を予備として再参加させ全量複製の完了を確認④計画停止窓で計画切替（喪失ゼロ）⑤検証後に切り戻し⑥東西双方で構成の突合と事後レビュー。全段が手動承認で、急がない（予備地域のまま数日運用しても構成上の問題はない）</t>
    <phoneticPr fontId="2"/>
  </si>
  <si>
    <t>D-U8-12</t>
    <phoneticPr fontId="2"/>
  </si>
  <si>
    <t>basic-design/08-availability-dr-design.md §8.7.1</t>
    <phoneticPr fontId="2"/>
  </si>
  <si>
    <t>復旧訓練は年2回</t>
    <phoneticPr fontId="2"/>
  </si>
  <si>
    <t>上期＝地域災害シナリオ（構成コードによる予備地域の作り直し＋データ復元＋構成突合＋手動での経路切替、他組織にも参加を要求）。合格基準は各工程の所要時間の実測と、復元後の構成が構成コードと一致すること。下期＝論理破壊シナリオ（時点復元による細粒度の巻き戻しと、変更不能な控えからの復元の両方を検証）。通年で承認15分以内の机上検証。アプリ運用へ2週間前、顧客へ3営業日前に通知。達成率の指標も定義</t>
    <phoneticPr fontId="2"/>
  </si>
  <si>
    <t>basic-design/08-availability-dr-design.md §8.7.2</t>
    <phoneticPr fontId="2"/>
  </si>
  <si>
    <t>（廃止）予備地域の最小構成と平時同期対象</t>
    <phoneticPr fontId="2"/>
  </si>
  <si>
    <t>2026-07-30の方針転換で廃止。予備地域は平時に設備を持たない方式へ変更されD-U8-14に統合。ただし「腐らない備え」のためデータ層・イメージ・構成コード・IPレンジ予約は平時から維持する</t>
    <phoneticPr fontId="2"/>
  </si>
  <si>
    <t>D-U8-11</t>
    <phoneticPr fontId="2"/>
  </si>
  <si>
    <t>basic-design/08-availability-dr-design.md §8.6.1</t>
    <phoneticPr fontId="2"/>
  </si>
  <si>
    <t>6アカウント体系の確定</t>
    <phoneticPr fontId="2"/>
  </si>
  <si>
    <t>U6 インフラ・NW</t>
    <phoneticPr fontId="2"/>
  </si>
  <si>
    <t>ネットワーク監査（他組織管理）／ネットワーク（他組織想定・要確認）／監査（自社、証跡集約7年）／Broker（受け皿#1＋データベース＋不正検知＋管理画面裏側）／自社受け皿=ブランド単位（受け皿#2＋2系統のデータベース＋管理API。業務アプリは非同居＝パスワードハッシュの影響範囲を隔離）／アプリ用×N。本設計書は「自管理内の設計（A部）」と「他組織への要求（B部）」を明確に分離し混在させない。セキュリティの生命線は『他組織側の要求が満たされなくても自管理側単独で破られないこと』</t>
    <phoneticPr fontId="2"/>
  </si>
  <si>
    <t>D-U6-01</t>
    <phoneticPr fontId="2"/>
  </si>
  <si>
    <t>basic-design/06-infra-network-design.md §6.1.1</t>
    <phoneticPr fontId="2"/>
  </si>
  <si>
    <t>アカウント間の権限原則と許可経路8本</t>
    <phoneticPr fontId="2"/>
  </si>
  <si>
    <t>Broker と自社受け皿の間に権限の相互信頼を作らない（片方の侵害が他方の管理面に波及しない構造）。Podからクラウド資源へは実行環境の身分証明を使い一時資格は最長1時間で失効。アカウント跨ぎは8経路に限定（証跡集約×2、自動デプロイ、ID対応表更新、不正検知イベント集約、削除伝播、初回識別子通知、アプリ→Brokerは権限経路なし）。ワイルドカード指定を禁止し条件付きを必須。他組織アカウントとは権限関係を一切持たない</t>
    <phoneticPr fontId="2"/>
  </si>
  <si>
    <t>D-U6-02</t>
    <phoneticPr fontId="2"/>
  </si>
  <si>
    <t>basic-design/06-infra-network-design.md §6.1.2</t>
    <phoneticPr fontId="2"/>
  </si>
  <si>
    <t>クラスタ構成（2クラスタ）</t>
    <phoneticPr fontId="2"/>
  </si>
  <si>
    <t>管理負荷の軽い方式を採用（旧方式は新規作成期限が公式化）。基盤自体の稼働率は99.95%で目標を上回る。3拠点分散し拠点ごとに1つずつ配置。制御部分はベンダー側で自動管理され顧客の関与不要。入口は内部限定で作成し前段に自管理の負荷分散装置を置いて細かい制御を行う。各アカウントに専用の仮想ネットワークを持ち、用途別4層でアドレスを採番（構築後は変更不可のため事前確定が必須）。外部通信の形態は要決定で、外部通信を持たない構成が他組織経由の方針と噛み合うため積極検討</t>
    <phoneticPr fontId="2"/>
  </si>
  <si>
    <t>D-U6-03</t>
    <phoneticPr fontId="2"/>
  </si>
  <si>
    <t>basic-design/06-infra-network-design.md §6.2.1</t>
    <phoneticPr fontId="2"/>
  </si>
  <si>
    <t>ノード群を役割で2系統に分離</t>
    <phoneticPr fontId="2"/>
  </si>
  <si>
    <t>この基盤には専用の管理用ノードが存在せず管理系が業務ノードに同居するため、「認証製品専用」と「既定（管理系）」の2系統に分ける。既定側は入口・監視・イメージ配布・受け口などを載せ、負荷ではなく規模と監視量で準静的に調整。認証製品側は専用の隔離設定を付けて動的に増減（自動増減→保留→ノード追加の連鎖）。分離しない場合、認証側の急増が監視や入口と資源を食い合い『監視が飛ぶ・入口が詰まる』事態が確実に顕在化する。自社受け皿側はパスワード検証が支配的なため上限台数を大きく取る</t>
    <phoneticPr fontId="2"/>
  </si>
  <si>
    <t>basic-design/06-infra-network-design.md §6.2.2</t>
    <phoneticPr fontId="2"/>
  </si>
  <si>
    <t>基盤コストの概算（予備地域は平時ゼロ）</t>
    <phoneticPr fontId="2"/>
  </si>
  <si>
    <t>東京2クラスタで月額およそ2,032ドル（管理系ノードを別建て加算したことで旧試算1,678ドルから増加）。2026-07-30の方針転換で予備地域の常時クラスタ（月602ドル）を廃止し平時ゼロに。ただし切替時に認証製品が配置不能にならないよう、予備地域にも同じ隔離設定を持つ専用ノード群を台数0で事前定義しておく。10M規模のピーク帯まで伸ばした場合の増分は別途線形加算。概算±30%</t>
    <phoneticPr fontId="2"/>
  </si>
  <si>
    <t>basic-design/06-infra-network-design.md §6.2.3</t>
    <phoneticPr fontId="2"/>
  </si>
  <si>
    <t>2つの受け皿の間の裏側通信は単方向の私設経路</t>
    <phoneticPr fontId="2"/>
  </si>
  <si>
    <t>3方式を比較し、公開したサービスのみに届く単方向の私設接続を採用。自社受け皿側から Broker 側へ構造的に到達できないため、パスワードハッシュを持つ側が侵害されても横展開を経路レベルで遮断できる。中継方式は他組織依存となり内部経路まで他組織の変更管理に載るため回避。アドレス重複の制約も受けない。閉じた経路が成立するため、当面はクライアント認証に送信型の秘密情報を許容。利用者の画面遷移（表側）は他組織の入口経由となる点で裏側と分離</t>
    <phoneticPr fontId="2"/>
  </si>
  <si>
    <t>D-U6-06</t>
    <phoneticPr fontId="2"/>
  </si>
  <si>
    <t>basic-design/06-infra-network-design.md §6.3.2</t>
    <phoneticPr fontId="2"/>
  </si>
  <si>
    <t>データベースの基本構成</t>
    <phoneticPr fontId="2"/>
  </si>
  <si>
    <t>2系統に分け共有しない。東京は書込1台＋読取2台の3拠点構成。予備地域へは継続複製を維持（計算資源は平時ゼロだがデータ層は維持）＋変更不能な控えを併用。暗号鍵はアカウントごとに分離し、パスワードハッシュを持つ側はバックアップの暗号化を必須。権限系・ID対応表・射影は2026-08-07の方針変更でブランド側アカウントに配置し、認証用とは別のデータベース・別の鍵・別の権限・別の通信許可に分離</t>
    <phoneticPr fontId="2"/>
  </si>
  <si>
    <t>D-U6-07</t>
    <phoneticPr fontId="2"/>
  </si>
  <si>
    <t>basic-design/06-infra-network-design.md §6.4.1</t>
    <phoneticPr fontId="2"/>
  </si>
  <si>
    <t>接続プールの設計</t>
    <phoneticPr fontId="2"/>
  </si>
  <si>
    <t>製品の既定がデータベース経由のノード探索に変わったことを前提に設計。接続先は書込用の窓口のみとし読取分散は行わない。1台あたりの接続プールは初期値・最小・最大をすべて30に揃えて明示設定（製品既定の100を放置しない）。等値化により接続の作り直しを避け、事前準備済みの問い合わせが効いて応答のばらつきに有利。総接続数は最大810で、上限約3,300に対して大幅な余裕。交代中は探索用の書込が一時失敗するため全台同時再起動を伴う操作は書込側が安定してから実施</t>
    <phoneticPr fontId="2"/>
  </si>
  <si>
    <t>D-U6-08</t>
    <phoneticPr fontId="2"/>
  </si>
  <si>
    <t>basic-design/06-infra-network-design.md §6.4.2</t>
    <phoneticPr fontId="2"/>
  </si>
  <si>
    <t>接続の中継サービスは当面不採用</t>
    <phoneticPr fontId="2"/>
  </si>
  <si>
    <t>中継サービスの主用途は大量かつ短命な接続の束ね直しだが、本構成は長命プールで接続数が設計上固定のため恩恵がほぼない。逆に状態保持による束ね直しの無効化と遅延加算、ノード探索の経路に中間層が挟まることによるサポート切り分けの不利、費用増が生じる。よって直接続とする。復旧検証で書込側交代時の再接続時間が復旧時間を圧迫する場合のみ再評価。将来数百台規模まで分割する段階で初めて別方式を検討</t>
    <phoneticPr fontId="2"/>
  </si>
  <si>
    <t>D-U6-09</t>
    <phoneticPr fontId="2"/>
  </si>
  <si>
    <t>basic-design/06-infra-network-design.md §6.4.3</t>
    <phoneticPr fontId="2"/>
  </si>
  <si>
    <t>接続先1000件超に備えたキャッシュ初期値</t>
    <phoneticPr fontId="2"/>
  </si>
  <si>
    <t>接続先関連のキャッシュを20万件に設定（公式ベンチで1万→20万件にするとデータベースCPUが77.8%→63.8%に低下。想定1.6万件に対し10倍超の余裕）。利用者キャッシュは10万件を初期値としヒット率90%未満で増量。セッション系はデータベース永続の既定を維持。上記でノードあたり1.5〜2GBのメモリ増を見込み、割当を3GB→4GBへ引き上げられる余裕をノード群に確保。実測で補正する前提</t>
    <phoneticPr fontId="2"/>
  </si>
  <si>
    <t>basic-design/06-infra-network-design.md §6.5.5</t>
    <phoneticPr fontId="2"/>
  </si>
  <si>
    <t>管理画面保護は3層防御＋管理用ホスト名の分離</t>
    <phoneticPr fontId="2"/>
  </si>
  <si>
    <t>他組織側の入口での遮断は「あれば良い追加層」で保証しない。生命線は自管理の負荷分散装置での固定拒否ルール（最優先評価）。加えて管理画面専用の内部ホスト名を分離し、社内DNSにのみ登録して公開DNSには存在させない（公開名からは管理画面が構造的に開けない）。ただしホスト名分離単体は遮断機構ではないため必ず拒否ルールと併用。管理APIへの到達は内部限定の接続点＋送信元を絞った通信許可＋通信暗号化＋アプリ層の認証で行い、インターネットには露出しない</t>
    <phoneticPr fontId="2"/>
  </si>
  <si>
    <t>D-U6-11</t>
    <phoneticPr fontId="2"/>
  </si>
  <si>
    <t>basic-design/06-infra-network-design.md §6.6.1</t>
    <phoneticPr fontId="2"/>
  </si>
  <si>
    <t>運用者の内部アクセス経路</t>
    <phoneticPr fontId="2"/>
  </si>
  <si>
    <t>標準はクラウド標準のセッション管理サービスによる転送（踏み台不要、権限と操作ログで監査し監査アカウントへ集約）。併用として社内ネットワーク経由も認めるが、中継が他組織依存のため可用性は保証しない（断時はセッション管理サービス経路へ退避）。インターネットから管理画面へ到達する経路の新設は禁止。運用経路の二重化を必須とする</t>
    <phoneticPr fontId="2"/>
  </si>
  <si>
    <t>D-U6-12</t>
    <phoneticPr fontId="2"/>
  </si>
  <si>
    <t>basic-design/06-infra-network-design.md §6.6.2</t>
    <phoneticPr fontId="2"/>
  </si>
  <si>
    <t>外部通信の許可運用は「枠は他組織・中身は自社」の委任方式（要求案）</t>
    <phoneticPr fontId="2"/>
  </si>
  <si>
    <t>接続先1000件超では許可ドメインも1000件超となり、他組織管理のドメイン絞り込みと正面衝突する。3案を比較し、認証基盤専用の許可枠を事前合意で設置したうえで、許可リストの更新権限を自社のオンボーディング処理に委任する方式（可能なら更新APIで自動化）を第一要求とする。全更新は双方の証跡に記録し四半期で棚卸し。受け入れられない場合は都度申請の応答時間4営業時間以内の合意が必要で、それも不可なら「接続追加は翌営業日以内」という非機能要件自体の改訂へ差し戻す</t>
    <phoneticPr fontId="2"/>
  </si>
  <si>
    <t>basic-design/06-infra-network-design.md §6.7.3</t>
    <phoneticPr fontId="2"/>
  </si>
  <si>
    <t>監視の仕組みと収集役の配置</t>
    <phoneticPr fontId="2"/>
  </si>
  <si>
    <t>U9 運用・監視・IaC</t>
    <phoneticPr fontId="2"/>
  </si>
  <si>
    <t>標準的な計測フレームワークとクラウド標準の managed サービスを採用し商用の高機能監視製品は不採用（年3.2万ドル、商用比5〜8倍の削減）。収集役は両クラスタの管理系ノードに常駐させ、認証製品専用ノードの資源を食わせない（専用ノードへの配置許可設定を忘れるとログ収集と同じ落とし穴になる点を明記）。指標の集約先は監査アカウントに1か所へ寄せ、東西比較と接続先件数との相関分析を1か所で行えるようにする。予備地域にも平時から縮退構成で配備（「切替えたら監視が死んでいた」の防止）</t>
    <phoneticPr fontId="2"/>
  </si>
  <si>
    <t>D-U9-01</t>
    <phoneticPr fontId="2"/>
  </si>
  <si>
    <t>basic-design/09-operations-observability-design.md §9.1.1</t>
    <phoneticPr fontId="2"/>
  </si>
  <si>
    <t>計装ポイント14点と「接続先件数の関数」としての監視</t>
    <phoneticPr fontId="2"/>
  </si>
  <si>
    <t>認証製品の組込み指標＋独自機能内の手動計測＋イベント由来指標の3系統で計装。主要な系列は接続先件数と顧客数を注記した時系列として継続計測し、「10件時点の基準値に対して+10%」で警戒とする。キャッシュのヒット率は90%以上維持、自社受け皿は1台あたり毎秒8件超が3分継続で増設予兆、地域間の複製遅延は10秒で注意・30秒で重大。マスキング処理件数が突然ゼロになったらパイプライン故障として警報。接続先追加バッチの前後スナップショット比較を、顧客追加手順の完了条件に組み込む</t>
    <phoneticPr fontId="2"/>
  </si>
  <si>
    <t>D-U9-02</t>
    <phoneticPr fontId="2"/>
  </si>
  <si>
    <t>basic-design/09-operations-observability-design.md §9.1.2</t>
    <phoneticPr fontId="2"/>
  </si>
  <si>
    <t>指標の系列数の規約と追跡の抽出率</t>
    <phoneticPr fontId="2"/>
  </si>
  <si>
    <t>ラベルに使うのは顧客識別子・エンドポイント・メソッド・状態コード・アプリ識別子まで。利用者ID・セッションID・要求ID・IPアドレスは指標には使わない（追跡はログ側で行う）。顧客単位の系列は「ログイン系と利用者同期系のみ」に限定し、1000件超×エンドポイントで課金が爆発するのを防ぐ。詳細追跡の抽出率は正常1%・エラーと遅延100%・障害調査時は特定顧客を一時的に100%。入口が他組織管理で透過を期待できないため、追跡の起点は自管理側の負荷分散装置から</t>
    <phoneticPr fontId="2"/>
  </si>
  <si>
    <t>D-U9-03</t>
    <phoneticPr fontId="2"/>
  </si>
  <si>
    <t>basic-design/09-operations-observability-design.md §9.1.3</t>
    <phoneticPr fontId="2"/>
  </si>
  <si>
    <t>サービス別の内部目標値と、消費速度による警報</t>
    <phoneticPr fontId="2"/>
  </si>
  <si>
    <t>顧客への約束は99.9%だが、それを支える内部目標を4サービスで個別設定（認証99.9%・500ms／トークン発行99.95%・200ms／管理API 99.5%・1秒／鍵情報公開99.99%・100ms）。停止許容枠の消費速度で3段階の警報（急速消費14.4倍は即時呼出、緩慢6倍はチャット、予兆3倍は通知）。枠の50%消費で変更凍結の要否を週次レビューし、枯渇時は機能変更を凍結して信頼性作業のみ許可。消費の内訳を毎月「自管理／他組織の入口／顧客側ID基盤」に分類し、他組織起因分は定例で提示する</t>
    <phoneticPr fontId="2"/>
  </si>
  <si>
    <t>basic-design/09-operations-observability-design.md §9.2.1</t>
    <phoneticPr fontId="2"/>
  </si>
  <si>
    <t>ログ3層保管の最終形</t>
    <phoneticPr fontId="2"/>
  </si>
  <si>
    <t>収集は全ノード常駐→集約役でマスキング集中適用→3層へ。即時参照は90日（設定はコード固定でPRのみ変更可）、検索用は1年、長期は監査アカウントで変更不能モード7年（削除不可）。順序保証として「全ソースがマスキングを通過した後に保存」を厳守し、平文がどの層にも入らないようにする。予備地域にも集約役とマスキング経路を平時配備。週1の監査スキャンをダッシュボード化し、検出時の手順書に接続。入口側のログは他組織管理で回答待ちだが、未対応でも自管理2層で主要な秘匿情報は遮蔽される</t>
    <phoneticPr fontId="2"/>
  </si>
  <si>
    <t>basic-design/09-operations-observability-design.md §9.3.1</t>
    <phoneticPr fontId="2"/>
  </si>
  <si>
    <t>監視・相関に取り込むイベントセット</t>
    <phoneticPr fontId="2"/>
  </si>
  <si>
    <t>認証系（成功・失敗・アプリ認証・コード引換・更新）、トークン引換（主体・要求元・宛先・範囲付き）、取消とログアウト系、ライフサイクル系（再有効化・無効化・削除）、管理操作の全量（構成のドリフト検知の照合元も兼ねる）、基盤の証跡（6アカウント分＋クラスタ操作記録＋緊急用アカウント使用）を必須取込セットとして確定。顧客側の監視製品への提供は標準形式で次段階</t>
    <phoneticPr fontId="2"/>
  </si>
  <si>
    <t>basic-design/09-operations-observability-design.md §9.3.2</t>
    <phoneticPr fontId="2"/>
  </si>
  <si>
    <t>運用手順書 全36冊の体系と、先行必須13冊の指定</t>
    <phoneticPr fontId="2"/>
  </si>
  <si>
    <t>顧客追加/変更/離脱/同期方式切替/トークン更新/外部システム連携/通知先登録の7冊、アプリ追加系3冊、利用者操作系6冊、セキュリティ系7冊、基盤系5冊、災害復旧系6冊、移行1冊、開示請求1冊。太字の13冊（顧客追加・顧客離脱、セキュリティ系6冊、災害復旧系6冊）はリリース前に文書化と訓練を必須、残りはリリース後3ヶ月以内。全手順書に対応する監視ダッシュボードURLと警報名の記載を必須化し、年次見直しと訓練での完走率100%をKPIとする</t>
    <phoneticPr fontId="2"/>
  </si>
  <si>
    <t>D-U9-07</t>
    <phoneticPr fontId="2"/>
  </si>
  <si>
    <t>basic-design/09-operations-observability-design.md §9.4.1</t>
    <phoneticPr fontId="2"/>
  </si>
  <si>
    <t>運用禁則集 11項目と機械強制</t>
    <phoneticPr fontId="2"/>
  </si>
  <si>
    <t>K-1 構成の一括書き出し・取り込みを全用途で禁止／K-2 全ノード同時再起動はデータベース書込側の安定後／K-3 検知の一時降格は災害復旧判定手順の中でのみ操作（恒常的な降格を禁止）／K-4 切り戻し時の禁止3操作／K-5 管理画面からの直接変更禁止（緊急時のみ・事後にコードへ反映必須）／K-6 利用者を要求する独自機能を最上位の必須位置に置かない／K-7 秘密情報のコード直書き禁止／K-8 接続先一覧の非表示と所属紐付けを必須／K-9 単一の構成管理単位に1000件級を置かない／K-10 管理APIの呼び出しは内部ホスト名経由に統一／K-11 管理ソフトの自動更新禁止。可能なものは自動検査とパイプラインでの却下により機械強制する（運用者の記憶に依存させない）</t>
    <phoneticPr fontId="2"/>
  </si>
  <si>
    <t>D-U9-08</t>
    <phoneticPr fontId="2"/>
  </si>
  <si>
    <t>basic-design/09-operations-observability-design.md §9.4.2</t>
    <phoneticPr fontId="2"/>
  </si>
  <si>
    <t>構成管理の単位分割</t>
    <phoneticPr fontId="2"/>
  </si>
  <si>
    <t>「クラウドアカウント×層」で分割（Broker基盤／自社受け皿基盤／監査基盤／各受け皿の認証製品設定／予備地域の重ね合わせ）。顧客数に比例して増えるリソースは基盤層の管理単位に置かない。環境（開発・検証・本番）は別アカウント＋別管理単位。適用は自動化パイプラインのみで手元からの実行を禁止し、本番は手動承認ゲートを置く</t>
    <phoneticPr fontId="2"/>
  </si>
  <si>
    <t>D-U9-09</t>
    <phoneticPr fontId="2"/>
  </si>
  <si>
    <t>basic-design/09-operations-observability-design.md §9.5.1</t>
    <phoneticPr fontId="2"/>
  </si>
  <si>
    <t>顧客層の適用エンジンは自作（既存の設定投入ツールは不採用）</t>
    <phoneticPr fontId="2"/>
  </si>
  <si>
    <t>顧客ごとの宣言ファイルをコード管理し、自作の顧客追加APIが管理APIを個別単位で呼んで差分適用する。既存の設定投入ツールは構成一式の取り込みを中核とするため禁則K-1と原理的に衝突し、1000件超では巨大な構成ファイルの再取り込みになるため不採用と確定。冪等性は「現状取得→差分→反映」で担保し、結果・差分・実行者を監査アカウントへ記録。このエンジン自体を性能検証用の一括投入資産として実装し、検証と本番投入で同一コードを使う</t>
    <phoneticPr fontId="2"/>
  </si>
  <si>
    <t>D-U9-10</t>
    <phoneticPr fontId="2"/>
  </si>
  <si>
    <t>basic-design/09-operations-observability-design.md §9.5.2</t>
    <phoneticPr fontId="2"/>
  </si>
  <si>
    <t>構成のずれの検知（日次）</t>
    <phoneticPr fontId="2"/>
  </si>
  <si>
    <t>基盤層は日次で全管理単位の差分ゼロを確認。顧客層は管理APIの個別読取と宣言ファイルの突合スクリプトで検査し、構成の一括書き出しは使わない（禁則K-1）。検査項目に接続先一覧の非表示と所属紐付けを含める。ずれ検出時は管理操作記録と証跡を照合し、正当なら構成コードへ逆反映のPR、不正なら時点復元＋差分再生の発動判断と不正検知連携へ。予備地域も日次で検証し、訓練で「切替後の構成＝コード」を突合</t>
    <phoneticPr fontId="2"/>
  </si>
  <si>
    <t>D-U9-11</t>
    <phoneticPr fontId="2"/>
  </si>
  <si>
    <t>basic-design/09-operations-observability-design.md §9.5.3</t>
    <phoneticPr fontId="2"/>
  </si>
  <si>
    <t>退職者遮断バッチの実行基盤はクラスタ内の定期ジョブ（関数実行は不採用）</t>
    <phoneticPr fontId="2"/>
  </si>
  <si>
    <t>顧客側ID基盤の退職を本基盤は検知できないため、最終ログインを入力とした90日休眠での停止処理で代替する。管理APIが内部限定であることと実行時間の15分上限の2点から、関数実行ではなくクラスタ内の定期ジョブを採用。管理系ノードに置くのでログイン負荷の急増による自動増減の影響を受けない。多重実行対策の3点セット（重なり禁止設定・完全終了後の置換設定・データベースの排他ロック）を必須とし、停止直前に最終ログインを再取得して現役利用者の誤停止を防ぐ。停止時はセッション取消も必須（無効化だけでは既存セッションと発行済み通行証が残るため）。試走モードと1回あたりの上限件数で暴走を防止し、未知の作成経路は停止せず人間レビューへ</t>
    <phoneticPr fontId="2"/>
  </si>
  <si>
    <t>D-U9-17</t>
    <phoneticPr fontId="2"/>
  </si>
  <si>
    <t>basic-design/09-operations-observability-design.md §9.5.4</t>
    <phoneticPr fontId="2"/>
  </si>
  <si>
    <t>継続的な組み立てと配信の構成</t>
    <phoneticPr fontId="2"/>
  </si>
  <si>
    <t>組み立ては外部の自動化サービス＋一時資格による認証（長期の固定鍵なし）。コンテナ置き場は1か所へ一元化し、製品の基となるイメージも自社側へ複製して取得経路を一本化（供給網の検証点を単一化）。クラスタへの反映は基盤同梱の構成同期ツールでコードから同期し、イメージ更新はコード上の識別子書き換えで行う。秘密情報はクラウドの保管庫を正とし専用の連携部品経由でのみ供給。画面テーマの自動検査（改ざん防止項目の保持・接続先一覧を描画しない・文言集約）とアクセシビリティ自動検査、通行証への個人情報混入検査も同じ段で機械強制</t>
    <phoneticPr fontId="2"/>
  </si>
  <si>
    <t>D-U9-12</t>
    <phoneticPr fontId="2"/>
  </si>
  <si>
    <t>basic-design/09-operations-observability-design.md §9.6.1</t>
    <phoneticPr fontId="2"/>
  </si>
  <si>
    <t>独自機能の組み立て・検証・段階的投入</t>
    <phoneticPr fontId="2"/>
  </si>
  <si>
    <t>独自機能は個別配布せず、製品イメージに焼き込んだ単一イメージとして出荷（識別子＝検証単位）。脆弱性スキャン（重大24時間・高7日で対処）→署名と生成来歴の付与→クラスタ側は署名検証を必須にして未署名イメージの起動を拒否。検証段では3系統の配置回帰と1000件規模の合成データでの回帰（基準値比+10%以内）を通す。本番投入は1台目更新後に15分の様子見を置き、その間は毎分の外形ログインチェックを実施して失敗なら自動巻き戻し。セッションがデータベース保存のため利用者影響はゼロ</t>
    <phoneticPr fontId="2"/>
  </si>
  <si>
    <t>D-U9-13</t>
    <phoneticPr fontId="2"/>
  </si>
  <si>
    <t>basic-design/09-operations-observability-design.md §9.6.2</t>
    <phoneticPr fontId="2"/>
  </si>
  <si>
    <t>製品版数の固定と昇格前検証</t>
    <phoneticPr fontId="2"/>
  </si>
  <si>
    <t>版数系列を固定し、イメージはタグではなく識別子で指定（東西の一致を日次検証）。管理ソフトの更新は手動承認でコード固定。修正版を含む全昇格が、検証環境での1000件規模の合成データ回帰を通過してから本番へ（過去に修正版で性能劣化の前例があるため例外を作らない）。年1〜2回の製品リリースへの追従をカレンダー化し、独自機能の互換確認→必要修正→出荷の順で流す</t>
    <phoneticPr fontId="2"/>
  </si>
  <si>
    <t>D-U9-14</t>
    <phoneticPr fontId="2"/>
  </si>
  <si>
    <t>basic-design/09-operations-observability-design.md §9.6.3</t>
    <phoneticPr fontId="2"/>
  </si>
  <si>
    <t>管理API群と非同期処理は認証製品とは別系統のパイプライン</t>
    <phoneticPr fontId="2"/>
  </si>
  <si>
    <t>ブランド側の管理APIと非同期の連結処理（射影反映・通知配信・影ユーザ制御）は関数実行方式とし、認証製品（クラスタ＋構成同期）とは別のパイプラインで配信する。これが「認証は最優先・管理ツールは次位」という障害範囲の分離の実体。コンテナイメージ形式で同じ置き場へ送り、専用の配信ツールで2アカウントへ展開。秘密情報は保管庫＋自動更新の関数で管理（クラスタ用の連携部品は使わない）。定常バッチは日時起動サービスと組み合わせるが、退職者遮断バッチだけは管理APIが内部限定のためクラスタ内定期ジョブで別扱い</t>
    <phoneticPr fontId="2"/>
  </si>
  <si>
    <t>D-U9-18</t>
    <phoneticPr fontId="2"/>
  </si>
  <si>
    <t>basic-design/09-operations-observability-design.md §9.6.4</t>
    <phoneticPr fontId="2"/>
  </si>
  <si>
    <t>顧客追加パイプライン6ステップとリードタイム内訳</t>
    <phoneticPr fontId="2"/>
  </si>
  <si>
    <t>①申請（宣言ファイルのPR、接続情報とドメインとヒントキー）②検証（機械検査＋運用者1名レビュー、約2時間）③外部通信の許可先更新（他組織側の絞り込みリストへの反映。委任方式が合意できれば自動で約10分、都度申請なら先方の4営業時間以内）④所属と接続先の作成（全自動・約10分）⑤疎通確認（自動の情報取得約5分＋顧客と合同のテストログイン）⑥監視登録（自動・約5分）。基盤側の純作業は合計2〜3時間で「翌営業日以内」は成立するが、都度申請で先方の応答が1営業日以上になる場合は成立せず、その際は要件自体の緩和へエスカレーションする</t>
    <phoneticPr fontId="2"/>
  </si>
  <si>
    <t>basic-design/09-operations-observability-design.md §9.7.1</t>
    <phoneticPr fontId="2"/>
  </si>
  <si>
    <t>常時監視用の自動アクセスの配置変更と検知範囲</t>
    <phoneticPr fontId="2"/>
  </si>
  <si>
    <t>当初計画では入口を管理するアカウントに置く想定だったが、そのアカウントが他組織管理となったため成立せず、自社の監査アカウントへ配置変更（運用主体も自社の基盤運用へ変更）。検知範囲は「認証実装漏れの検知」を主目的とし、正当な通行証で200が返ることに加えて、通行証なし・改ざん通行証で401/403が返ることを確認する（認証チェックの欠落を直接検知）。外形での目標値計測（入口経由と内部直の2系統で切り分け）、段階投入時の様子見判定、予備地域の外形監視にも兼用する</t>
    <phoneticPr fontId="2"/>
  </si>
  <si>
    <t>D-U9-16</t>
    <phoneticPr fontId="2"/>
  </si>
  <si>
    <t>basic-design/09-operations-observability-design.md §9.8.1</t>
    <phoneticPr fontId="2"/>
  </si>
  <si>
    <t>既存業務システム連携の全体構成</t>
    <phoneticPr fontId="2"/>
  </si>
  <si>
    <t>U10 連携・移行</t>
    <phoneticPr fontId="2"/>
  </si>
  <si>
    <t>顧客側ID基盤→本基盤は利用者情報の自動同期（未対応なら初回ログイン時の自動作成）、本基盤→業務システムは旧来方式の認証＋業務システム側での初回自動作成という2層構成を標準とする。業務システムへの利用者情報の押し出しは今回対象外（超大企業かつ承認フロー事前設定必須かつ特定製品以外という3条件が揃う顧客のみ次段階で個別検討）。下層の経路の違いは仲介役が吸収するため上層の設計に一切現れない（これが2層＋仲介構成の設計上の利得）。画面遷移はブラウザ経由で運ばれるためサーバ間の外部通信が発生しない</t>
    <phoneticPr fontId="2"/>
  </si>
  <si>
    <t>D-U10-01</t>
    <phoneticPr fontId="2"/>
  </si>
  <si>
    <t>basic-design/10-integration-migration-design.md §10.1.1</t>
    <phoneticPr fontId="2"/>
  </si>
  <si>
    <t>業務システム向けの接続定義（テンプレート化）</t>
    <phoneticPr fontId="2"/>
  </si>
  <si>
    <t>顧客ごとに1本ずつ接続枠を発行。利用者の識別名は基盤内で一意な「所属＋利用者ID」の全体を渡し、突合用には顧客生値の社員番号を属性として別送する。署名は業務システム側の互換標準に合わせ、通行証側の方式とは別体系とする。業務システム側から始まる遷移のみ許可し、基盤側から始まる遷移は無効化（悪用面の排除）。戻り先URLは完全一致で登録しワイルドカード禁止。一括ログアウトの窓口は今回登録しない。送出属性は社員番号・メール・氏名の最小セットに限定し、部署・上司・役割は今回送らない</t>
    <phoneticPr fontId="2"/>
  </si>
  <si>
    <t>basic-design/10-integration-migration-design.md §10.1.2</t>
    <phoneticPr fontId="2"/>
  </si>
  <si>
    <t>既存利用者の引き当てと内部IDの保全</t>
    <phoneticPr fontId="2"/>
  </si>
  <si>
    <t>業務システム側の突合項目は社員番号を第一推奨とし、埋込率に応じた判断フローで顧客別に確定（移行前に決めて以後変更しない）。一致すれば既存の利用者レコードに紐付け内部IDが変わらないため、過去の申請・承認・監査履歴がすべて保全される。禁止事項3つ=①既存利用者を削除して作り直す（履歴破壊）②突合項目の後変更③パスワード無効化と連携有効化の間に隙間を作る。重複レコードは連携開始前に検出・統合しておく</t>
    <phoneticPr fontId="2"/>
  </si>
  <si>
    <t>D-U10-03</t>
    <phoneticPr fontId="2"/>
  </si>
  <si>
    <t>basic-design/10-integration-migration-design.md §10.1.3</t>
    <phoneticPr fontId="2"/>
  </si>
  <si>
    <t>移行の並走4段階</t>
    <phoneticPr fontId="2"/>
  </si>
  <si>
    <t>①準備（1〜2週間、接続枠の発行と情報提供、顧客側の設定投入、強制せず並走モードで起動、重複レコード統合をここで完了）②試行（2〜4週間、10〜20名のみ有効化し内部ID不変・履歴表示・権限を受入テスト、設定クリアで即時巻き戻し）③全社有効化（1〜2ヶ月、全員に設定しつつパスワード認証も継続、未移行者を履歴から追跡）④パスワード無効化（1ヶ月、全員の成功確認後に一般利用者のパスワードを無効化し強制モードへ。緊急用アカウントのみ残置。無効化と強制化は同一の変更枠で実施）。各段階に巻き戻し手段を明記</t>
    <phoneticPr fontId="2"/>
  </si>
  <si>
    <t>D-U10-04</t>
    <phoneticPr fontId="2"/>
  </si>
  <si>
    <t>basic-design/10-integration-migration-design.md §10.1.4</t>
    <phoneticPr fontId="2"/>
  </si>
  <si>
    <t>業務システム側の緊急用アカウント</t>
    <phoneticPr fontId="2"/>
  </si>
  <si>
    <t>2〜3名を専用命名で用意。連携設定を空にして専用の裏口URLから入る（本基盤の障害時に業務システムが道連れにならない最終防衛線）。認証はローカルパスワード20文字以上＋ハードウェアキー必須。統制はアクセス元IP制限＋使用時の即時通知＋変更申請の起票＋使用後24時間以内のパスワード入れ替え＋四半期ごとのログインテスト。これは業務システム側で完結する経路で、本基盤の緊急用アカウントとは独立</t>
    <phoneticPr fontId="2"/>
  </si>
  <si>
    <t>D-U10-05</t>
    <phoneticPr fontId="2"/>
  </si>
  <si>
    <t>basic-design/10-integration-migration-design.md §10.1.5</t>
    <phoneticPr fontId="2"/>
  </si>
  <si>
    <t>退職時の遮断連鎖と一括ログアウト</t>
    <phoneticPr fontId="2"/>
  </si>
  <si>
    <t>本基盤側で停止すれば次回アクセス時の認証が拒否され、結果として業務システムにも入れなくなる（遮断成立）。業務システム側の利用者レコードは残置し業務履歴を保全する（削除の非対称性）。既存セッションは業務システム側の無操作タイムアウトまで残るため、その残余時間を顧客契約に明記し、即時性が必要な顧客にはタイムアウト短縮を案内。一括ログアウトは成功率が6〜8割で1つの無応答が連鎖を壊すため今回不実装。復帰は本基盤側で戻せば次回アクセスで自動復帰し業務システム側の操作は不要。試行段階の受入テスト5点（内部ID不変・自動作成・遮断連鎖・緊急用アカウント・履歴非破壊）を必須</t>
    <phoneticPr fontId="2"/>
  </si>
  <si>
    <t>D-U10-06</t>
    <phoneticPr fontId="2"/>
  </si>
  <si>
    <t>basic-design/10-integration-migration-design.md §10.1.6</t>
    <phoneticPr fontId="2"/>
  </si>
  <si>
    <t>管理API の構成</t>
    <phoneticPr fontId="2"/>
  </si>
  <si>
    <t>仕様定義は1本にまとめ、ブランド側の管理APIを主役として配置（利用者の作成・変更・権限・射影・ID対応表の実体）。入口はブランド側で、振り分けは配信網の入口側で行い、重い中央窓口は置かない。中央に残るのは影ユーザの有効・無効を切り替える薄い処理のみ（削除イベントで発火）。実行形態は関数実行で確定し、認証製品（最優先）と管理ツール（次位）を別の障害範囲に分離する。認証製品の管理APIへは内部限定の接続点経由で到達。管理画面のアクセシビリティ準拠も実装要件</t>
    <phoneticPr fontId="2"/>
  </si>
  <si>
    <t>D-U10-07</t>
    <phoneticPr fontId="2"/>
  </si>
  <si>
    <t>basic-design/10-integration-migration-design.md §10.2.1</t>
    <phoneticPr fontId="2"/>
  </si>
  <si>
    <t>提供する操作の一覧と共通規約</t>
    <phoneticPr fontId="2"/>
  </si>
  <si>
    <t>利用者の検索・参照・作成・属性更新・無効化・再有効化、招待、資格情報リセット（パスワード・追加確認・ロック解除）、役割、所属管理、利用可否の付与剥奪、監査ログ照会、ID対応表、強制ログアウト、本人向けの文脈取得。削除の動詞は提供せず405を返す（今回の物理削除禁止をAPI層で物理的に強制）。共通規約=標準形式のエラー体系（内部例外の露出禁止）、カーソル方式のページング（1回200件上限、飛び番方式は大規模で不採用）、作成系は重複防止キーを受理、流量制限は管理画面10件/秒・アプリ50件/秒が初期値、全書込で実行者・対象・操作・理由コードを記録</t>
    <phoneticPr fontId="2"/>
  </si>
  <si>
    <t>D-U10-08</t>
    <phoneticPr fontId="2"/>
  </si>
  <si>
    <t>basic-design/10-integration-migration-design.md §10.2.2</t>
    <phoneticPr fontId="2"/>
  </si>
  <si>
    <t>権限モデルの実装</t>
    <phoneticPr fontId="2"/>
  </si>
  <si>
    <t>「アプリを使えるかどうか」は管理画面側のデータベースで持ちAPI照会で配る（通行証には載せない＝先の決定を上書き）。「承認上限いくらまで」といったアプリ内の詳細権限は各アプリのデータベースで持ち本基盤は関与しない。所属境界の検証は3層（通行証の検証6点→所属情報と管理者役割の確認→管理API呼び出し時に所属フィルタを常時付与、フィルタ不能なAPIは結果を再フィルタ）。越境要求は403＋監査記録。管理者自身の停止・自己の役割剥奪は拒否（締め出し防止）。自社運用者は全顧客範囲で使えるが入口は一時昇格経由に限定</t>
    <phoneticPr fontId="2"/>
  </si>
  <si>
    <t>D-U10-09</t>
    <phoneticPr fontId="2"/>
  </si>
  <si>
    <t>basic-design/10-integration-migration-design.md §10.2.3</t>
    <phoneticPr fontId="2"/>
  </si>
  <si>
    <t>利用可能アプリ一覧APIの仕様</t>
    <phoneticPr fontId="2"/>
  </si>
  <si>
    <t>着地画面と権限不足画面の表示判定の正とする。所属の表示名と、アプリごとの識別子・名称・説明・起動URL・アイコン・状態（利用可／申請可）を返す。識別子はアプリ台帳のカタログIDと統一し、権限不足画面の引数や理由コード辞書と同一の名前空間にする。キャッシュは本人限定60秒で、剥奪の伝播は最大60秒＋アプリ側の認可判定で防御。管理者役割を持つ場合のみ管理画面のタイルを含める。申請フローは今回は申請URLへの誘導のみ</t>
    <phoneticPr fontId="2"/>
  </si>
  <si>
    <t>D-U10-10</t>
    <phoneticPr fontId="2"/>
  </si>
  <si>
    <t>basic-design/10-integration-migration-design.md §10.2.4</t>
    <phoneticPr fontId="2"/>
  </si>
  <si>
    <t>出来事通知の配信機構</t>
    <phoneticPr fontId="2"/>
  </si>
  <si>
    <t>基盤は対応必須・顧客アプリ側は任意という立場。イベントバス上の正規化イベントを正とし、認証製品の生イベントを直接顧客に流さない（内部名称の契約化を防ぐ）。今回配信する7種=利用者の作成・更新・停止・復活、追加確認の登録と解除、セッション取消。予約4種=物理削除、リスク検知、接続先の有効無効、計画メンテ通知。署名は時刻付きの改ざん検知方式で許容幅±5分、秘密情報は顧客×宛先単位で保管庫管理・入れ替え時は2世代並走。重複排除用の不変IDを付与。再送は指数的な間隔で計8回・約24時間、最終失敗は待避キューに14日保管＋運用警報＋顧客通知。順序は保証せず、受信側は発生時刻とリソース再取得で収束させる規約。配信内容に個人情報は含めず、必要な属性は受信側がAPIで取得する</t>
    <phoneticPr fontId="2"/>
  </si>
  <si>
    <t>D-U10-11</t>
    <phoneticPr fontId="2"/>
  </si>
  <si>
    <t>basic-design/10-integration-migration-design.md §10.3</t>
    <phoneticPr fontId="2"/>
  </si>
  <si>
    <t>既存システムからの移行方式</t>
    <phoneticPr fontId="2"/>
  </si>
  <si>
    <t>利用者集団の性質で4分類。A=顧客側ID基盤ありの利用者は接続先を本基盤へ向け替えて初回ログインで作成（パスワード移行不要）／B=旧システムのローカルパスワード利用者は並走方式（初回ログイン時に旧システムへ照会し成功したら新方式で再保存＝強制リセットなし）を第一選択／C=属性とID対応のみ必要な集団は一括投入／D=人事システム起点の顧客は自動同期で初期投入。パスワードの持ち越しは判定フローで確定（抽出不可なら並走方式、標準的な方式ならそのまま取り込み、旧方式を恒久維持するなら独自部品を追加して互換検証の対象に載せる、方式不明や脆弱な方式なら強制リセット）。切替単位はアプリ単位で並走3〜6ヶ月、旧IDは対応表に記録し通行証には載せない（先の決定を上書き）。巻き戻しは1時間以内が目標</t>
    <phoneticPr fontId="2"/>
  </si>
  <si>
    <t>basic-design/10-integration-migration-design.md §10.4</t>
    <phoneticPr fontId="2"/>
  </si>
  <si>
    <t>データ主体の権利対応の今回範囲</t>
    <phoneticPr fontId="2"/>
  </si>
  <si>
    <t>今回は手動運用（手順書）＋既存APIの組み合わせに限定。受付は顧客管理者経由の1経路に収束させ、本人向けポータル・自動化された処理基盤・暗号鍵削除による消去は次段階。6権利の実現手段=開示と可搬性は標準形式での書き出し手順（秘匿値は含めない）／訂正は属性更新API／削除は停止処理＋監査ログの仮名化で応答し物理削除は行わない（先の決定が優先。監査・法的義務による保持は法令上の除外事由に該当）／処理制限は停止処理／処理拒否は手動対応。全対応を7年保管。件数が月10件を超えた時点を次段階への前倒しトリガーとする</t>
    <phoneticPr fontId="2"/>
  </si>
  <si>
    <t>D-U10-13</t>
    <phoneticPr fontId="2"/>
  </si>
  <si>
    <t>basic-design/10-integration-migration-design.md §10.5</t>
    <phoneticPr fontId="2"/>
  </si>
  <si>
    <t>継続アクセス（CAEP／共有シグナル）= 取り消し漏れ時間の恒久解</t>
    <phoneticPr fontId="2"/>
  </si>
  <si>
    <t>通行証の取り消しが受け取り側に届かない残余時間（最大30分）の恒久的な解決策として、継続的アクセス評価を目標構成に据える。今回は暫定のつなぎ（短命な通行証＋一括無効化＋高価値リソースの都度照会＋送信者拘束）に加え、削除伝播の仕組みを起点とした自前のイベント送出を実装し、希望する受け取り側にセッション取消・アカウント無効化を配信する。次段階で製品標準の対応、その次で顧客側ID基盤からの失効を受信する側へ拡張。受け取り側実装ガイドに受信章を追加。最終確定は新設ゲートと顧客確認に依存</t>
    <phoneticPr fontId="2"/>
  </si>
  <si>
    <t>D-U5-09</t>
    <phoneticPr fontId="2"/>
  </si>
  <si>
    <t>basic-design/05-token-session-authz-design.md §5.10.1 / ADR-065</t>
    <phoneticPr fontId="2"/>
  </si>
  <si>
    <t>API層のステップアップ = 標準仕様に準拠</t>
    <phoneticPr fontId="2"/>
  </si>
  <si>
    <t>管理系・決済・個人情報更新などの重要APIについて、API側から「本人確認が不足している」と通知して再認証へ誘導する標準方式に準拠する。ログイン時のステップアップと同じ強度体系を使う。今回は構造の準備（認可要求の集約）に留め、重要APIが発生した時点でAPI側のチャレンジを有効化する</t>
    <phoneticPr fontId="2"/>
  </si>
  <si>
    <t>D-U5-10</t>
    <phoneticPr fontId="2"/>
  </si>
  <si>
    <t>basic-design/05-token-session-authz-design.md §5.10.2</t>
    <phoneticPr fontId="2"/>
  </si>
  <si>
    <t>同時セッション数の制限</t>
    <phoneticPr fontId="2"/>
  </si>
  <si>
    <t>基盤運用者と顧客テナント管理者に同時に有効なセッションの上限を設ける（製品標準の機能を使用）。無制限のセッションは失効時の影響範囲と乗っ取りリスクを拡大するため。一般利用者は無制限のままとし、上限は管理系のみ。具体的な上限値は運用設計側のサイジングと合わせて確定。顧客確認事項として登録</t>
    <phoneticPr fontId="2"/>
  </si>
  <si>
    <t>D-U5-11</t>
    <phoneticPr fontId="2"/>
  </si>
  <si>
    <t>basic-design/05-token-session-authz-design.md §5.10.3</t>
    <phoneticPr fontId="2"/>
  </si>
  <si>
    <t>通行証引き換えの委譲制御</t>
    <phoneticPr fontId="2"/>
  </si>
  <si>
    <t>引き換えの際に「実際に操作している主体」と「代理を許された主体」を明示するクレームで委譲を表現し、引き換えごとに宛先と権限範囲の縮小を必須とする（黙って権限が広がることを禁止）。なりすましと正規の委譲を区別する。将来の自動エージェントによる代理実行の基盤にもなる</t>
    <phoneticPr fontId="2"/>
  </si>
  <si>
    <t>D-U5-12</t>
    <phoneticPr fontId="2"/>
  </si>
  <si>
    <t>basic-design/05-token-session-authz-design.md §5.10.4</t>
    <phoneticPr fontId="2"/>
  </si>
  <si>
    <t>金融グレード仕様への姿勢</t>
    <phoneticPr fontId="2"/>
  </si>
  <si>
    <t>今回の認可要求の基線は、検証子付きの標準フロー＋発行元の応答検証＋使い捨て値の必須化で成立させる。要求内容の事前登録・要求そのものの署名・送信者拘束の3つは「金融グレードの顧客が出た時点で必須化する」条件付き採用とし、現時点では導入しない。相互証明書方式は第3段階という既存の段階昇格と整合。判定は顧客確認に依存</t>
    <phoneticPr fontId="2"/>
  </si>
  <si>
    <t>D-U5-13</t>
    <phoneticPr fontId="2"/>
  </si>
  <si>
    <t>basic-design/05-token-session-authz-design.md §5.10.5</t>
    <phoneticPr fontId="2"/>
  </si>
  <si>
    <t>送信者拘束方式の運用サイジング</t>
    <phoneticPr fontId="2"/>
  </si>
  <si>
    <t>導入時はサーバ側から使い捨て値を提供する仕組み（時刻ずれと事前生成攻撃の対策）と、証明の再生防止キャッシュが必要。1000万規模では再生防止キャッシュが容量と応答時間の設計項目になるため、インフラ側のサイジングに含める。送信者拘束は通行証だけでなく更新用の引換券にも適用する（盗まれた引換券を別端末で使わせない）</t>
    <phoneticPr fontId="2"/>
  </si>
  <si>
    <t>D-U5-14</t>
    <phoneticPr fontId="2"/>
  </si>
  <si>
    <t>basic-design/05-token-session-authz-design.md §5.10.6</t>
    <phoneticPr fontId="2"/>
  </si>
  <si>
    <t>セルフサービスのセッション・端末管理</t>
    <phoneticPr fontId="2"/>
  </si>
  <si>
    <t>利用者が自分の有効なセッションと端末の一覧を見て、自分で失効させられる画面を提供する（製品標準のアカウント設定画面相当をブランド適用、または管理画面に組込）。不審な端末の即時失効と、自分のアクセス状況の可視化を利用者自身で担保し、問い合わせ負荷と取り消し漏れ時間の露出を縮小する。管理者側の強制失効とは別レイヤ。顧客側ID基盤を使う利用者については本基盤のセッションのみが対象（顧客側のセッションは顧客責任）。今回実装するか次段階かは顧客確認で確定</t>
    <phoneticPr fontId="2"/>
  </si>
  <si>
    <t>D-U4-09</t>
    <phoneticPr fontId="2"/>
  </si>
  <si>
    <t>basic-design/04-auth-ux-design.md §4.3.5</t>
    <phoneticPr fontId="2"/>
  </si>
  <si>
    <t>安全な登録手続き（登録の乗っ取り対策）</t>
    <phoneticPr fontId="2"/>
  </si>
  <si>
    <t>追加確認手段の新規登録は「検証済みの文脈」でのみ許可する。①初回は初回ログイン直後の強制登録 ②2台目以降と再登録は、既存の認証手段または予備コードによる再認証を必須とし、第1要素だけでの追加登録を禁止。盗んだ第1要素で攻撃者が自分の認証器を登録し、正規の利用者を締め出す乗っ取り手口を防ぐため。顧客確認事項として登録</t>
    <phoneticPr fontId="2"/>
  </si>
  <si>
    <t>D-U4-10</t>
    <phoneticPr fontId="2"/>
  </si>
  <si>
    <t>認証器のみ・メール非保有の利用者の復旧</t>
    <phoneticPr fontId="2"/>
  </si>
  <si>
    <t>メールによる追加確認を不採用としたためメール経由のリセット経路が存在しない。そのため ①2台目の認証手段の事前登録を強く推奨（登録直後に案内）②復旧時に確認の強度を下げない（予備コードまたは管理者の一時昇格承認経路のみとし、SMSやメールへの後退を禁止）③永久的な締め出しを避ける設計（自社受け皿収容の利用者は顧客テナント管理者、基盤運用者は運用手順書による復旧経路を用意）。顧客確認事項として登録</t>
    <phoneticPr fontId="2"/>
  </si>
  <si>
    <t>D-U4-11</t>
    <phoneticPr fontId="2"/>
  </si>
  <si>
    <t>非人間IDのガバナンス</t>
    <phoneticPr fontId="2"/>
  </si>
  <si>
    <t>機械同士の通信用アカウント・サービスアカウント・実行環境の権限・連携部品・糊付けの関数など、本基盤が生成し保持する非人間IDを、軽量な台帳＋命名規約＋孤立検知＋失効伝播で統制する（軽量な権限管理の枠組みの傘下）。1000超の顧客×機械通信で非人間IDは人間の数十倍規模になり、台帳・責任者・棚卸しがないとスケール時に統制不能になり資格情報が散乱するため。要点=①台帳（種別／責任者は必須で空欄は自動検査で拒否／用途／権限範囲／更新周期／最終使用、権限系データベースに同居）②孤立検知の定期ジョブ（最終使用から90日超・責任者不在・更新期限超過を検出し通知のうえ猶予後に停止）③失効は既存の削除伝播の仕組みで伝播。顧客と自社どちらが責任者を持つかの分界は顧客確認 B-NHI-1。自動エージェントのIDは非人間IDの特殊系として台帳の種別拡張で受ける</t>
    <phoneticPr fontId="2"/>
  </si>
  <si>
    <t>D-U7-20</t>
    <phoneticPr fontId="2"/>
  </si>
  <si>
    <t>basic-design/07-security-compliance-design.md §7.5.5 / ADR-066</t>
    <phoneticPr fontId="2"/>
  </si>
  <si>
    <t>同意管理・同意レシート</t>
    <phoneticPr fontId="2"/>
  </si>
  <si>
    <t>顧客側ID基盤からの属性の受け渡し・越境・利用目的に対する同意を、記録・撤回・監査証跡（同意レシート）として保持する枠組みを用意する。連携では利用者の属性を受け取り側アプリに渡すため、国内外の個人情報保護法制は記録可能かつ撤回可能な同意を期待する。製品には同意画面があるが、記録・目的の拘束・撤回の伝播は別途設計が必要。今回の既定は自社が主体のサービスであるため同意画面はオフ運用可としつつ、越境や第三者提供が絡む顧客については同意レシートを必須とする。要否と適用範囲は顧客確認 B-CONSENT-1。忘れられる権利との整合は連携・移行側の決定と顧客確認 B-RTBF-1 で扱う</t>
    <phoneticPr fontId="2"/>
  </si>
  <si>
    <t>D-U7-21</t>
    <phoneticPr fontId="2"/>
  </si>
  <si>
    <t>basic-design/07-security-compliance-design.md §7.7.6</t>
    <phoneticPr fontId="2"/>
  </si>
  <si>
    <t>非本番環境の個人情報マスキング／合成データ</t>
    <phoneticPr fontId="2"/>
  </si>
  <si>
    <t>検証環境に本番相当の個人情報を投入しない。①本番からの複製時に不可逆のマスキングを施す ②または合成データを生成する のいずれかをコード管理と自動検査で標準化し、非本番に平文の個人情報が着地しないことを機械的に検査する。1000万規模の実データを非本番に露出させることは法令上の重大な責任であり、テスト環境からの流出は制裁事例でも相当の割合を占めるため。負荷試験用の大量データセットも本規約に従い合成生成する。適用範囲とマスキング方式は顧客確認 B-TESTDATA-1</t>
    <phoneticPr fontId="2"/>
  </si>
  <si>
    <t>D-U9-19</t>
    <phoneticPr fontId="2"/>
  </si>
  <si>
    <t>basic-design/09-operations-observability-design.md §9.5.5</t>
    <phoneticPr fontId="2"/>
  </si>
  <si>
    <t>認可判定ログ</t>
    <phoneticPr fontId="2"/>
  </si>
  <si>
    <t>管理APIの認可判定ごとに決定ログ（判定対象・操作主体・対象リソース×操作・許可/拒否・理由・適用したポリシー版）を出力し、既存のログ3層に相乗りさせる（秘匿情報のマスキングを通過後に保存、判定対象は個人情報非搭載の内部IDのみ）。既存の監査ログは認証イベント中心で、第三者認証や情報セキュリティ規格が求める「認可の説明可能性（最小権限の証明）」が担保されないため。サンプリングは拒否を全件、高権限操作（書込・削除・権限変更）の許可も全件、一般の読み取りは集約とし、量の律速を避けつつ高リスク面で「なぜ許可したか」を担保。将来、認可判定を外部エンジンに移しても決定ログの形は変わらない。粒度と保持期間は顧客確認 B-AUTHZLOG-1</t>
    <phoneticPr fontId="2"/>
  </si>
  <si>
    <t>D-U9-20</t>
    <phoneticPr fontId="2"/>
  </si>
  <si>
    <t>basic-design/09-operations-observability-design.md §9.3.3 / ADR-067</t>
    <phoneticPr fontId="2"/>
  </si>
  <si>
    <t>テナント隔離の契約化と認証フローの公平性</t>
    <phoneticPr fontId="2"/>
  </si>
  <si>
    <t>単一の領域＋所属単位の構成は論理的な分離であり、資源や障害の隔離が自動的に伴うわけではないため、隔離を「契約」として明文化する。①テナント別の公平性（一部の顧客の急増が他に波及する問題への対策）= ログインと通行証発行のフローに顧客別のレート制限・上限を設ける。利用者同期と管理APIには既に毎秒10件の制限があるが、認証フローは1顧客の急増で共有のデータベース接続プールとキャッシュを枯渇させ得るため、配信網や負荷分散装置の層と認証製品側の両方で顧客別の絞り込みを実装する ②隔離の強制点 = 所属情報をデータベースの行・ログ・キュー・射影・下流APIで一貫して強制する（所属のクレームは識別であって隔離ではない）③領域分割への脱出条件 = 領域全体の変更・障害・キャッシュは全顧客に波及するため、大口顧客や規制対象の顧客を別領域へ分離できる基準を持つ。既定値と分離基準は顧客確認 B-TENANT-ISO-1 とインフラ側サイジングで確定</t>
    <phoneticPr fontId="2"/>
  </si>
  <si>
    <t>D-U6-14</t>
    <phoneticPr fontId="2"/>
  </si>
  <si>
    <t>basic-design/06-infra-network-design.md §6.6.3</t>
    <phoneticPr fontId="2"/>
  </si>
  <si>
    <t>忘れられる権利と7年間の改ざん不能監査の境界を明文化</t>
    <phoneticPr fontId="2"/>
  </si>
  <si>
    <t>利用者からの消去要求と、改ざん不能で7年保管する監査証跡は正面から衝突するため、「消去する対象」と「不変の監査側で墓標化・仮名化して残す対象」の境界を文書で定める（都度判断は不可）。既定は、個人データ本体は停止処理のうえ次段階の物理削除へ／監査ログ内の主体識別子は仮名化して保持（法令上の保持根拠がある）。認可判定ログ内の識別子の仮名化も同じ扱いで整合させる。境界の最終確定は顧客確認 B-RTBF-1</t>
    <phoneticPr fontId="2"/>
  </si>
  <si>
    <t>D-U10-13b</t>
    <phoneticPr fontId="2"/>
  </si>
  <si>
    <t>—</t>
  </si>
  <si>
    <t>内容</t>
    <phoneticPr fontId="2"/>
  </si>
  <si>
    <t>区分</t>
    <phoneticPr fontId="2"/>
  </si>
  <si>
    <t>状態</t>
    <phoneticPr fontId="2"/>
  </si>
  <si>
    <t>地域内の可用性</t>
  </si>
  <si>
    <t>ADR-064</t>
  </si>
  <si>
    <t>② 詳細設計</t>
  </si>
  <si>
    <t>④ テスト</t>
  </si>
  <si>
    <t>ADR（アーキテクチャ決定記録）一覧 — 全67本</t>
  </si>
  <si>
    <t>出典: doc/adr/00-index.md ＋ 各ADRファイル（commit 9511a58 時点）。Gitからの派生ビュー（読み取り専用）</t>
  </si>
  <si>
    <t>日付</t>
  </si>
  <si>
    <t>備考・更新履歴</t>
  </si>
  <si>
    <t>ADR-001</t>
  </si>
  <si>
    <t>PoC第1パターンとしてCognitoハイブリッド構成を採用</t>
  </si>
  <si>
    <t>Accepted</t>
  </si>
  <si>
    <t>ADR-002</t>
  </si>
  <si>
    <t>認可方式としてLambda Authorizerを採用</t>
  </si>
  <si>
    <t>ADR-003</t>
  </si>
  <si>
    <t>認証ライブラリとしてoidc-client-tsを採用</t>
  </si>
  <si>
    <t>ADR-004</t>
  </si>
  <si>
    <t>1アカウント2 User Poolでマルチアカウント構成を擬似再現</t>
  </si>
  <si>
    <t>ADR-005</t>
  </si>
  <si>
    <t>共通認証基盤にUser Poolを使用（Identity Poolではない）</t>
  </si>
  <si>
    <t>ADR-006</t>
  </si>
  <si>
    <t>Cognito vs Keycloak コスト損益分岐点の分析</t>
  </si>
  <si>
    <t>Proposed</t>
  </si>
  <si>
    <t>ADR-007</t>
  </si>
  <si>
    <t>大阪リージョンでAuth0 OIDC IdP接続不可の記録</t>
  </si>
  <si>
    <t>ADR-008</t>
  </si>
  <si>
    <t>PoCでKeycloak start-devモードを使用</t>
  </si>
  <si>
    <t>ADR-009</t>
  </si>
  <si>
    <t>MFA責任はパスワード管理側に帰属させる</t>
  </si>
  <si>
    <t>ADR-010</t>
  </si>
  <si>
    <t>Keycloak環境をPrivate Subnet + VPC Endpoint構成へ移行</t>
  </si>
  <si>
    <t>ADR-011</t>
  </si>
  <si>
    <t>認証基盤前段ネットワーク設計の統合判断</t>
  </si>
  <si>
    <t>HTTPS／カスタムドメイン／WAF／CloudFront</t>
  </si>
  <si>
    <t>ADR-012</t>
  </si>
  <si>
    <t>VPC Lambda Authorizer + Internal ALBによる鍵情報のプライベート化</t>
  </si>
  <si>
    <t>ADR-013</t>
  </si>
  <si>
    <t>CloudFront + WAFによるIP制限の置き換え戦略</t>
  </si>
  <si>
    <t>ADR-014</t>
  </si>
  <si>
    <t>共有認証基盤が対応する認証パターンの範囲</t>
  </si>
  <si>
    <t>ADR-015</t>
  </si>
  <si>
    <t>PoCではRHBK検証を実施せず本番設計フェーズへ先送り</t>
  </si>
  <si>
    <t>ADR-016</t>
  </si>
  <si>
    <t>Cognito機能ティアの機能マトリクスと選定基準</t>
  </si>
  <si>
    <t>Lite / Essentials / Plus</t>
  </si>
  <si>
    <t>ADR-017</t>
  </si>
  <si>
    <t>マルチテナントL2（単一領域＋複数IdP）の採用根拠</t>
  </si>
  <si>
    <t>2026-06-11 / 2026-07-23</t>
  </si>
  <si>
    <t>2026-07-23更新: 1000+ IdP条件付き成立・必須対策7点・PoC P-1〜P-7を追記</t>
  </si>
  <si>
    <t>ADR-018</t>
  </si>
  <si>
    <t>利用者識別子3階層戦略（メール非保有＋顧客独自ID対応）</t>
  </si>
  <si>
    <t>ADR-019</t>
  </si>
  <si>
    <t>既存システムからの移行戦略（並走＋キャッシュ移行）</t>
  </si>
  <si>
    <t>ADR-020</t>
  </si>
  <si>
    <t>所属判定のヒントキー戦略＋フェデ/ローカル混在の識別子先行</t>
  </si>
  <si>
    <t>ADR-021</t>
  </si>
  <si>
    <t>ログイン後の着地UX（サービス選択画面＋権限不足画面）</t>
  </si>
  <si>
    <t>ADR-022</t>
  </si>
  <si>
    <t>エッジでの権限不足画面の制御パターン</t>
  </si>
  <si>
    <t>ADR-023</t>
  </si>
  <si>
    <t>業務システム（ServiceNow）連携設計</t>
  </si>
  <si>
    <t>SSO＋プロビジョニング方向の選択</t>
  </si>
  <si>
    <t>ADR-024</t>
  </si>
  <si>
    <t>ログイン画面アーキテクチャとブランディング4パターン</t>
  </si>
  <si>
    <t>ADR-025</t>
  </si>
  <si>
    <t>利用者自動同期の位置づけと受信スタンス</t>
  </si>
  <si>
    <t>2026-07-08 §H追記: 顧客IdPがLDAPの場合の扱い、論点6件、ヒアリングB-LDAP-1〜7を起票</t>
  </si>
  <si>
    <t>ADR-026</t>
  </si>
  <si>
    <t>強度の不整合の具体例とステップアップ設計</t>
  </si>
  <si>
    <t>ADR-027</t>
  </si>
  <si>
    <t>同一顧客内の利用者重複の扱い（7シナリオ＋連携戦略）</t>
  </si>
  <si>
    <t>ADR-028</t>
  </si>
  <si>
    <t>IdPなし顧客のローカル利用者管理 — 4選択肢の比較</t>
  </si>
  <si>
    <t>ADR-029</t>
  </si>
  <si>
    <t>ローカル利用者の定義 — 利用者カテゴリと範囲シナリオ</t>
  </si>
  <si>
    <t>ADR-030</t>
  </si>
  <si>
    <t>最小の通行証項目設計と接続元アプリの表現</t>
  </si>
  <si>
    <t>ADR-031</t>
  </si>
  <si>
    <t>追加確認の実施情報の統合方針</t>
  </si>
  <si>
    <t>ADR-032</t>
  </si>
  <si>
    <t>1000万規模におけるプラットフォーム選定とコスト比較</t>
  </si>
  <si>
    <t>ADR-033</t>
  </si>
  <si>
    <t>2層アーキテクチャ（仲介＋自社受け皿）</t>
  </si>
  <si>
    <t>2026-06-15 / 2026-07-23</t>
  </si>
  <si>
    <t>2026-07-23更新: 別アカウント配置＋2クラスタ凍結＋シャーディング拡張パス</t>
  </si>
  <si>
    <t>ADR-034</t>
  </si>
  <si>
    <t>状況に応じた認証（リスクベース）の設計</t>
  </si>
  <si>
    <t>ADR-035</t>
  </si>
  <si>
    <t>不正検知と対応（ITDR）の設計</t>
  </si>
  <si>
    <t>ADR-036</t>
  </si>
  <si>
    <t>顧客監査対応</t>
  </si>
  <si>
    <t>Scope Reduced</t>
  </si>
  <si>
    <t>2026-06-24縮小: 監査ログ保管＋都度メール対応のみ。情報開示ポータルはスコープ外</t>
  </si>
  <si>
    <t>ADR-037</t>
  </si>
  <si>
    <t>責任分界モデルと軽量な権限管理の設計</t>
  </si>
  <si>
    <t>ADR-038</t>
  </si>
  <si>
    <t>利用者管理画面（顧客テナント管理者向け）</t>
  </si>
  <si>
    <t>ADR-039</t>
  </si>
  <si>
    <t>ネットワーク監査アカウント設計</t>
  </si>
  <si>
    <t>2026-06-23 / 2026-07-23</t>
  </si>
  <si>
    <t>v3 2026-07-23: 当該アカウントが他組織管理と判明し要求仕様化。外部通信の許可申請リスクを追記</t>
  </si>
  <si>
    <t>ADR-040</t>
  </si>
  <si>
    <t>特権管理（一時昇格）</t>
  </si>
  <si>
    <t>Out of Scope</t>
  </si>
  <si>
    <t>2026-06-24: 本基盤対象外、運用体制側で別途検討。管理画面パス保護方針はADR-039/013へ</t>
  </si>
  <si>
    <t>ADR-041</t>
  </si>
  <si>
    <t>実行環境の権限設計</t>
  </si>
  <si>
    <t>2026-07-23更新: 基盤転換に伴い方式を変更</t>
  </si>
  <si>
    <t>ADR-042</t>
  </si>
  <si>
    <t>自動化された攻撃の検知と対策の設計</t>
  </si>
  <si>
    <t>ADR-043</t>
  </si>
  <si>
    <t>アクセシビリティ設計（WCAG 2.2 AA＋JIS準拠）</t>
  </si>
  <si>
    <t>要件側に対応項目が存在しない点は本ブックの「設計→要件」で指摘済み</t>
  </si>
  <si>
    <t>ADR-044</t>
  </si>
  <si>
    <t>机上演習・インシデント訓練の設計</t>
  </si>
  <si>
    <t>ADR-045</t>
  </si>
  <si>
    <t>鍵管理戦略の集約</t>
  </si>
  <si>
    <t>ADR-046</t>
  </si>
  <si>
    <t>供給網セキュリティ</t>
  </si>
  <si>
    <t>ADR-047</t>
  </si>
  <si>
    <t>耐量子暗号への移行計画</t>
  </si>
  <si>
    <t>ADR-048</t>
  </si>
  <si>
    <t>データ可搬性＋データ主体の権利対応</t>
  </si>
  <si>
    <t>ADR-049</t>
  </si>
  <si>
    <t>委託先リスク管理</t>
  </si>
  <si>
    <t>ADR-050</t>
  </si>
  <si>
    <t>モバイルアプリ認証設計</t>
  </si>
  <si>
    <t>ADR-051</t>
  </si>
  <si>
    <t>複数地域での災害復旧・切替の詳細設計</t>
  </si>
  <si>
    <t>2026-07-23更新: 予備地域の対応確認。ただし2026-07-30の手動復旧転換により再改訂が必要（DU-U8-12）</t>
  </si>
  <si>
    <t>ADR-052</t>
  </si>
  <si>
    <t>認証APIへの流量制限</t>
  </si>
  <si>
    <t>ADR-053</t>
  </si>
  <si>
    <t>可観測性戦略</t>
  </si>
  <si>
    <t>ADR-054</t>
  </si>
  <si>
    <t>ID統合戦略</t>
  </si>
  <si>
    <t>現状調査＋人事DBを正＋対応表＋3段階移行</t>
  </si>
  <si>
    <t>ADR-055</t>
  </si>
  <si>
    <t>所属判定の実装方式選定</t>
  </si>
  <si>
    <t>Accepted (Phase 1)</t>
  </si>
  <si>
    <t>今回採用＝独自機能方式。次段階候補＝URL＋エッジ関数の併用</t>
  </si>
  <si>
    <t>ADR-056</t>
  </si>
  <si>
    <t>基盤の採用判断</t>
  </si>
  <si>
    <t>Accepted（条件付き）</t>
  </si>
  <si>
    <t>2026-06-25 / 2026-07-23</t>
  </si>
  <si>
    <t>2026-07-23で決定が逆転。採用条件3点の充足まで条件付き。旧判断は履歴として保存</t>
  </si>
  <si>
    <t>ADR-057</t>
  </si>
  <si>
    <t>偽装リクエスト対策の責任分界と実装パターン</t>
  </si>
  <si>
    <t>3層に分けて整理（基盤UI／認可フロー／アプリAPI）</t>
  </si>
  <si>
    <t>ADR-058</t>
  </si>
  <si>
    <t>認証プラットフォームの代替6パターン比較</t>
  </si>
  <si>
    <t>2系統の独立調査で現行方式の維持を再確認</t>
  </si>
  <si>
    <t>ADR-059</t>
  </si>
  <si>
    <t>認証実装漏れ検知の中央監視アーキテクチャ</t>
  </si>
  <si>
    <t>アプリ台帳＋仕様台帳で全アプリを自動追随</t>
  </si>
  <si>
    <t>ADR-060</t>
  </si>
  <si>
    <t>認証プロトコルの攻撃経路 残課題対応</t>
  </si>
  <si>
    <t>33経路の残課題3領域を統合（ログのマスキング／送信者拘束／状況判定の強化）</t>
  </si>
  <si>
    <t>ADR-061</t>
  </si>
  <si>
    <t>デプロイ検知の巡回型への統一</t>
  </si>
  <si>
    <t>2026-08-06 / 2026-08-07</t>
  </si>
  <si>
    <t>★索引に未登録。改訂で検知対象をコード差分に変更。受容した穴2点（コンソール直変更・未デプロイ時の偽安心）を明記</t>
  </si>
  <si>
    <t>ADR-062</t>
  </si>
  <si>
    <t>管理APIの実行形態＝関数実行</t>
  </si>
  <si>
    <t>2026-08-06 / 2026-08-08</t>
  </si>
  <si>
    <t>認証製品と管理ツールを別障害ドメインに分離。トポロジはADR-063、削除伝播はADR-064</t>
  </si>
  <si>
    <t>ADR-063</t>
  </si>
  <si>
    <t>ブランドユニット・アーキテクチャ</t>
  </si>
  <si>
    <t>仲介は共有1つ、権限系はブランド側へ。不変条件4点を明示。今回は1ブランド</t>
  </si>
  <si>
    <t>削除・停止伝播＝取りこぼし防止方式</t>
  </si>
  <si>
    <t>1トランザクションで記録し必達送信、冪等に影ユーザを無効化。数分で突合</t>
  </si>
  <si>
    <t>取り消し漏れ時間の恒久解。3段階導入。確定はゲートG-SSFと顧客確認B-CAEP-1</t>
  </si>
  <si>
    <t>軽量台帳＋命名規約＋孤立検知＋失効伝播。確定は顧客確認B-NHI-1</t>
  </si>
  <si>
    <t>決定ログと定期棚卸し。確定は顧客確認B-AUTHZLOG-1／B-IGA-REC-1</t>
  </si>
  <si>
    <t>ステータス別</t>
  </si>
  <si>
    <t>2026-03-17</t>
  </si>
  <si>
    <t>2026-03-18</t>
  </si>
  <si>
    <t>2026-03-25</t>
  </si>
  <si>
    <t>2026-03-28</t>
  </si>
  <si>
    <t>2026-04-21</t>
  </si>
  <si>
    <t>2026-04-23</t>
  </si>
  <si>
    <t>2026-04-24</t>
  </si>
  <si>
    <t>2026-05-13</t>
  </si>
  <si>
    <t>2026-06-12</t>
  </si>
  <si>
    <t>2026-06-15</t>
  </si>
  <si>
    <t>2026-06-18</t>
  </si>
  <si>
    <t>2026-06-23</t>
  </si>
  <si>
    <t>2026-06-24</t>
  </si>
  <si>
    <t>2026-06-25</t>
  </si>
  <si>
    <t>2026-07-06</t>
  </si>
  <si>
    <t>2026-07-02</t>
  </si>
  <si>
    <t>2026-07-08</t>
  </si>
  <si>
    <t>2026-08-06</t>
  </si>
  <si>
    <t>2026-08-08</t>
  </si>
  <si>
    <t>2026-08-12</t>
  </si>
  <si>
    <t>状況</t>
  </si>
  <si>
    <t>項目数</t>
  </si>
  <si>
    <t>A 結合</t>
  </si>
  <si>
    <t>IT-01</t>
  </si>
  <si>
    <t>IT-02</t>
  </si>
  <si>
    <t>IT-03</t>
  </si>
  <si>
    <t>IT-04</t>
  </si>
  <si>
    <t>IT-05</t>
  </si>
  <si>
    <t>IT-06</t>
  </si>
  <si>
    <t>IT-07</t>
  </si>
  <si>
    <t>ST-01</t>
  </si>
  <si>
    <t>ST-02</t>
  </si>
  <si>
    <t>ST-03</t>
  </si>
  <si>
    <t>ST-04</t>
  </si>
  <si>
    <t>ST-05</t>
  </si>
  <si>
    <t>ST-06</t>
  </si>
  <si>
    <t>ST-07</t>
  </si>
  <si>
    <t>ST-08</t>
  </si>
  <si>
    <t>ST-09</t>
  </si>
  <si>
    <t>C 実機</t>
  </si>
  <si>
    <t>RI-01</t>
  </si>
  <si>
    <t>RI-02</t>
  </si>
  <si>
    <t>RI-03</t>
  </si>
  <si>
    <t>RI-04</t>
  </si>
  <si>
    <t>PT-01</t>
  </si>
  <si>
    <t>PT-02</t>
  </si>
  <si>
    <t>PT-03</t>
  </si>
  <si>
    <t>PT-04</t>
  </si>
  <si>
    <t>PT-05</t>
  </si>
  <si>
    <t>PT-06</t>
  </si>
  <si>
    <t>DR-01</t>
  </si>
  <si>
    <t>DR-02</t>
  </si>
  <si>
    <t>DR-03</t>
  </si>
  <si>
    <t>DR-04</t>
  </si>
  <si>
    <t>F セキュリティ</t>
  </si>
  <si>
    <t>SEC-01</t>
  </si>
  <si>
    <t>SEC-02</t>
  </si>
  <si>
    <t>SEC-03</t>
  </si>
  <si>
    <t>SEC-04</t>
  </si>
  <si>
    <t>SEC-05</t>
  </si>
  <si>
    <t>G 運用</t>
  </si>
  <si>
    <t>OP-01</t>
  </si>
  <si>
    <t>OP-02</t>
  </si>
  <si>
    <t>OP-03</t>
  </si>
  <si>
    <t>OP-04</t>
  </si>
  <si>
    <t>H 受入</t>
  </si>
  <si>
    <t>UAT-01</t>
  </si>
  <si>
    <t>UAT-02</t>
  </si>
  <si>
    <t>UAT-03</t>
  </si>
  <si>
    <t>ROSA</t>
  </si>
  <si>
    <t>AWS＋ROSA コスト見積もり（東京リージョン ap-northeast-1）</t>
  </si>
  <si>
    <t>構成の根拠: doc/basic-design/06-infra-network-design.md（D-U6-01〜14）ほか設計書。ROSAサービス料は AWS 公式料金ページから取得（2026-08時点）。AWSインフラの単価は公式ページが動的読み込みのため取得できず、青字の入力欄としている</t>
  </si>
  <si>
    <t>★青字セル＝入力欄（未取得）。AWS Pricing Calculator または各サービスの公式料金ページから値を入れると、以降の集計は自動計算される。数量は設計値（上限台数・構成）に基づくが、規模別の按分は推定</t>
  </si>
  <si>
    <t>■ 前提（入力）</t>
  </si>
  <si>
    <t>項目</t>
  </si>
  <si>
    <t>値</t>
  </si>
  <si>
    <t>単位</t>
  </si>
  <si>
    <t>備考</t>
  </si>
  <si>
    <t>対象リージョン</t>
  </si>
  <si>
    <t>東京 ap-northeast-1</t>
  </si>
  <si>
    <t>前提P-15。予備地域は平時ゼロのため本表に含めない</t>
  </si>
  <si>
    <t>月間稼働時間</t>
  </si>
  <si>
    <t>時間</t>
  </si>
  <si>
    <t>24時間×365日÷12</t>
  </si>
  <si>
    <t>為替レート</t>
  </si>
  <si>
    <t>円/USD</t>
  </si>
  <si>
    <t>円換算用の入力値。実勢に合わせて変更</t>
  </si>
  <si>
    <t>想定利用者数 シナリオ1</t>
  </si>
  <si>
    <t>人</t>
  </si>
  <si>
    <t>小規模。最小構成想定</t>
  </si>
  <si>
    <t>想定利用者数 シナリオ2</t>
  </si>
  <si>
    <t>更新メモ「100〜500万ユーザー」の上限</t>
  </si>
  <si>
    <t>想定利用者数 シナリオ3</t>
  </si>
  <si>
    <t>前提P-02の凍結値（設計上の上限）</t>
  </si>
  <si>
    <t>■ ROSA サービス料（AWS公式料金ページから取得）</t>
  </si>
  <si>
    <t>単価</t>
  </si>
  <si>
    <t>制御部分の料金（hosted control planes）</t>
  </si>
  <si>
    <t>クラスタ・時</t>
  </si>
  <si>
    <t>https://aws.amazon.com/rosa/pricing/</t>
  </si>
  <si>
    <t>取得済</t>
  </si>
  <si>
    <t>ワーカーノードのサービス料（従量）</t>
  </si>
  <si>
    <t>4vCPU・時</t>
  </si>
  <si>
    <t>同・年額換算（従量）</t>
  </si>
  <si>
    <t>4vCPU・年</t>
  </si>
  <si>
    <t>同・1年契約</t>
  </si>
  <si>
    <t>同・3年契約</t>
  </si>
  <si>
    <t>※ ROSAのサービス料は全対応リージョンで同一。契約による割引は従量比で1年33%・3年55%。製品サポートは基盤に内包され追加費用は発生しない（前提P-01）</t>
  </si>
  <si>
    <t>■ AWSインフラ費 明細（数量＝月間の課金単位数。単価は青字の入力欄）</t>
  </si>
  <si>
    <t>リソース／サービス</t>
  </si>
  <si>
    <t>用途（設計上の根拠）</t>
  </si>
  <si>
    <t>数量の考え方</t>
  </si>
  <si>
    <t>数量 100万人</t>
  </si>
  <si>
    <t>数量 500万人</t>
  </si>
  <si>
    <t>数量 1000万人</t>
  </si>
  <si>
    <t>単価(USD)</t>
  </si>
  <si>
    <t>月額 100万人</t>
  </si>
  <si>
    <t>月額 500万人</t>
  </si>
  <si>
    <t>月額 1000万人</t>
  </si>
  <si>
    <t>単価の出典URL</t>
  </si>
  <si>
    <t>計算</t>
  </si>
  <si>
    <t>ROSA 計算ノード（認証製品専用・仲介側）</t>
  </si>
  <si>
    <t>認証処理の実行。D-U6-04で2系統に分離、上限9台</t>
  </si>
  <si>
    <t>台数×730時間。100万=3台／500万=6台／1000万=9台（上限）</t>
  </si>
  <si>
    <t>インスタンス時間</t>
  </si>
  <si>
    <t>ROSA 計算ノード（認証製品専用・自社受け皿側）</t>
  </si>
  <si>
    <t>パスワード検証が支配的。D-U6-04で上限18台</t>
  </si>
  <si>
    <t>台数×730時間。100万=3台／500万=9台／1000万=18台（上限）</t>
  </si>
  <si>
    <t>ROSA 計算ノード（管理系）×2クラスタ</t>
  </si>
  <si>
    <t>入口・監視・イメージ配布・受け口。規模と監視量で準静的</t>
  </si>
  <si>
    <t>3台×2クラスタ×730時間で固定</t>
  </si>
  <si>
    <t>ROSA サービス料（制御部分）</t>
  </si>
  <si>
    <t>D-U6-03で2クラスタ構成</t>
  </si>
  <si>
    <t>0.25ドル×2クラスタ×730時間</t>
  </si>
  <si>
    <t>クラスタ時間</t>
  </si>
  <si>
    <t>ROSA サービス料（ワーカーノード）</t>
  </si>
  <si>
    <t>4vCPUあたりの従量。ノードのvCPU総数に比例</t>
  </si>
  <si>
    <t>ノード合計vCPU÷4×730時間。1台4vCPU想定</t>
  </si>
  <si>
    <t>4vCPU時間</t>
  </si>
  <si>
    <t>EBS（ノード用ブロックストレージ）</t>
  </si>
  <si>
    <t>各ノードのOS・作業領域</t>
  </si>
  <si>
    <t>GB・月</t>
  </si>
  <si>
    <t>DB</t>
  </si>
  <si>
    <t>Aurora インスタンス（認証用・書込1＋読取2）</t>
  </si>
  <si>
    <t>D-U6-07。db.r7g.xlarge想定の3拠点構成</t>
  </si>
  <si>
    <t>3台×730時間</t>
  </si>
  <si>
    <t>Aurora インスタンス（権限系・書込1＋読取2）</t>
  </si>
  <si>
    <t>D-U6-07。認証用と別系統・別鍵で分離</t>
  </si>
  <si>
    <t>Aurora ストレージ</t>
  </si>
  <si>
    <t>利用者・セッション・権限・ID対応表・射影</t>
  </si>
  <si>
    <t>利用者数に比例。1人あたり約2KB＋索引</t>
  </si>
  <si>
    <t>Aurora I/O</t>
  </si>
  <si>
    <t>認証時の読み書き。100req/sあたり書込1,400 IOPSが公式算定式</t>
  </si>
  <si>
    <t>ログイン回数に比例（月間認証回数×IO係数）</t>
  </si>
  <si>
    <t>100万リクエスト</t>
  </si>
  <si>
    <t>Aurora バックアップストレージ</t>
  </si>
  <si>
    <t>時点復元1〜35日＋定期取得の控え</t>
  </si>
  <si>
    <t>データ量と同程度＋世代分</t>
  </si>
  <si>
    <t>Aurora グローバル複製（予備地域へのデータ保全）</t>
  </si>
  <si>
    <t>D-U8-14のL1。計算資源は平時ゼロだがデータ層は維持</t>
  </si>
  <si>
    <t>複製データ量。転送＋предスト保管</t>
  </si>
  <si>
    <t>NW</t>
  </si>
  <si>
    <t>内部接続点（内部NLB）×2</t>
  </si>
  <si>
    <t>D-U6-05。管理APIへの到達。インターネット非露出</t>
  </si>
  <si>
    <t>2台×730時間＋処理容量単位</t>
  </si>
  <si>
    <t>NLB時間</t>
  </si>
  <si>
    <t>負荷分散装置（ALB）</t>
  </si>
  <si>
    <t>D-U6-11の生命線。管理画面の固定拒否ルールを評価</t>
  </si>
  <si>
    <t>1台×730時間＋処理容量単位</t>
  </si>
  <si>
    <t>ALB時間</t>
  </si>
  <si>
    <t>配信網（CloudFront）</t>
  </si>
  <si>
    <t>D-U6-04の入口3系統。画面配信とAPI入口</t>
  </si>
  <si>
    <t>データ転送量とリクエスト数</t>
  </si>
  <si>
    <t>GB</t>
  </si>
  <si>
    <t>不正アクセス遮断（WAF）</t>
  </si>
  <si>
    <t>D-U7-17。ただし入口側は他組織管理</t>
  </si>
  <si>
    <t>ルール数＋リクエスト数。自管理分のみ</t>
  </si>
  <si>
    <t>私設接続（PrivateLink）</t>
  </si>
  <si>
    <t>D-U6-06。2つの受け皿の間を単方向で接続</t>
  </si>
  <si>
    <t>エンドポイント×730時間＋転送量</t>
  </si>
  <si>
    <t>エンドポイント時間</t>
  </si>
  <si>
    <t>接続点群（VPCエンドポイント）</t>
  </si>
  <si>
    <t>D-U6-07の外部通信を持たない構成。各サービスへの私設経路</t>
  </si>
  <si>
    <t>20種×3拠点×730時間</t>
  </si>
  <si>
    <t>名前解決（Route 53 私設ゾーン）</t>
  </si>
  <si>
    <t>DU-U6-13。内外で解決結果を分ける構成</t>
  </si>
  <si>
    <t>ゾーン数＋問い合わせ数</t>
  </si>
  <si>
    <t>データ転送（拠点間）</t>
  </si>
  <si>
    <t>3拠点分散のため拠点をまたぐ通信が発生</t>
  </si>
  <si>
    <t>クラスタ内・DB複製の拠点間転送量</t>
  </si>
  <si>
    <t>データ転送（インターネット向け）</t>
  </si>
  <si>
    <t>利用者への画面・通行証の応答</t>
  </si>
  <si>
    <t>配信網経由分を除いた直接転送</t>
  </si>
  <si>
    <t>APP</t>
  </si>
  <si>
    <t>関数実行（管理API）</t>
  </si>
  <si>
    <t>D-U6-06。認証製品と別の障害ドメインに分離</t>
  </si>
  <si>
    <t>呼び出し回数×実行時間×メモリ</t>
  </si>
  <si>
    <t>関数実行（糊付け：影ユーザ制御・伝播・通知配信）</t>
  </si>
  <si>
    <t>DU-U3-05、DU-U10-03。非同期の連結処理</t>
  </si>
  <si>
    <t>イベント数に比例</t>
  </si>
  <si>
    <t>API入口（API Gateway）</t>
  </si>
  <si>
    <t>D-U6-06。通行証の一次検証と流量制限</t>
  </si>
  <si>
    <t>リクエスト数</t>
  </si>
  <si>
    <t>イベントバス（EventBridge）</t>
  </si>
  <si>
    <t>D-U6-02のアカウント跨ぎ8経路。削除伝播と初回通知</t>
  </si>
  <si>
    <t>発行イベント数</t>
  </si>
  <si>
    <t>キー・バリューストア（DynamoDB）</t>
  </si>
  <si>
    <t>D-U7-04の不正検知の履歴、顧客開示用の監査ログ射影</t>
  </si>
  <si>
    <t>書込・読込・保管量</t>
  </si>
  <si>
    <t>暗号鍵（KMS CMK）</t>
  </si>
  <si>
    <t>D-U7-01。3階層6アカウント写像で初期10種</t>
  </si>
  <si>
    <t>10鍵×月額＋API呼び出し数</t>
  </si>
  <si>
    <t>鍵・月</t>
  </si>
  <si>
    <t>秘密情報の保管（Secrets Manager）</t>
  </si>
  <si>
    <t>D-U7-01。90日自動入れ替え対象</t>
  </si>
  <si>
    <t>顧客別の接続用秘密情報＋内部用</t>
  </si>
  <si>
    <t>シークレット・月</t>
  </si>
  <si>
    <t>自社認証局（Private CA）</t>
  </si>
  <si>
    <t>DU-U6-11。内部接続点の通信暗号化</t>
  </si>
  <si>
    <t>認証局×月額＋証明書発行数</t>
  </si>
  <si>
    <t>CA・月</t>
  </si>
  <si>
    <t>変更不能な控え（AWS Backup Vault Lock）</t>
  </si>
  <si>
    <t>D-U8-14のL3。ランサム対策の最終防衛線</t>
  </si>
  <si>
    <t>保管量＋別地域複製</t>
  </si>
  <si>
    <t>運用</t>
  </si>
  <si>
    <t>ログ（即時参照90日）</t>
  </si>
  <si>
    <t>D-U9-05の3層構造のうちHot層</t>
  </si>
  <si>
    <t>取込量＋保管量</t>
  </si>
  <si>
    <t>ログ検索基盤（1年）</t>
  </si>
  <si>
    <t>D-U9-05のCold検索層</t>
  </si>
  <si>
    <t>インスタンス＋ストレージ</t>
  </si>
  <si>
    <t>長期保管（S3＋Glacier Deep Archive）</t>
  </si>
  <si>
    <t>D-U7-13。改ざん不能モードで7年</t>
  </si>
  <si>
    <t>累積保管量（7年分の逓増）</t>
  </si>
  <si>
    <t>メール送信（SES）</t>
  </si>
  <si>
    <t>DU-U6-12。通知・招待メール</t>
  </si>
  <si>
    <t>送信数</t>
  </si>
  <si>
    <t>外形監視（Canary）</t>
  </si>
  <si>
    <t>D-U9-16。認証実装漏れの検知</t>
  </si>
  <si>
    <t>実行回数×2クラスタ</t>
  </si>
  <si>
    <t>実行回数</t>
  </si>
  <si>
    <t>合計（AWSインフラ＋ROSAサービス料）</t>
  </si>
  <si>
    <t>■ 区分別 月額小計</t>
  </si>
  <si>
    <t>■ 総括（月額・年額・3年総額）</t>
  </si>
  <si>
    <t>100万人</t>
  </si>
  <si>
    <t>500万人</t>
  </si>
  <si>
    <t>1000万人</t>
  </si>
  <si>
    <t>月額（USD）</t>
  </si>
  <si>
    <t>明細の合計</t>
  </si>
  <si>
    <t>月額（円）</t>
  </si>
  <si>
    <t>為替レートは前提の入力値</t>
  </si>
  <si>
    <t>年額（USD）</t>
  </si>
  <si>
    <t>月額×12</t>
  </si>
  <si>
    <t>3年総額（USD）</t>
  </si>
  <si>
    <t>年額×3。ROSAの3年契約割引は未反映</t>
  </si>
  <si>
    <t>3年総額（円）</t>
  </si>
  <si>
    <t>利用者1人あたり月額（円）</t>
  </si>
  <si>
    <t>月額円÷利用者数</t>
  </si>
  <si>
    <t>参考: 設計書の概算（月額USD）</t>
  </si>
  <si>
    <t>D-U6-05。東京2クラスタの基盤部分のみ・±30%。本表はデータベース等を含むため範囲が広い</t>
  </si>
  <si>
    <t>-</t>
  </si>
  <si>
    <t>前提</t>
    <phoneticPr fontId="2"/>
  </si>
  <si>
    <t>合計</t>
    <phoneticPr fontId="2"/>
  </si>
  <si>
    <t>系統</t>
    <phoneticPr fontId="2"/>
  </si>
  <si>
    <t>ID</t>
    <phoneticPr fontId="2"/>
  </si>
  <si>
    <t>人日</t>
    <phoneticPr fontId="2"/>
  </si>
  <si>
    <t>スコープ</t>
    <phoneticPr fontId="2"/>
  </si>
  <si>
    <t>② 詳細設計</t>
    <phoneticPr fontId="2"/>
  </si>
  <si>
    <t>④ テスト</t>
    <phoneticPr fontId="2"/>
  </si>
  <si>
    <t>https://aws.amazon.com/jp/ec2/pricing/on-demand/</t>
  </si>
  <si>
    <t>c7g.xlarge（D-U6-04）</t>
  </si>
  <si>
    <t>c7g.large（default/infra Pool）</t>
  </si>
  <si>
    <t>https://aws.amazon.com/jp/rosa/pricing/</t>
  </si>
  <si>
    <t>取得済（変更なし）</t>
  </si>
  <si>
    <t>https://aws.amazon.com/jp/ebs/pricing/</t>
  </si>
  <si>
    <t>https://aws.amazon.com/jp/rds/aurora/pricing/</t>
  </si>
  <si>
    <t>db.r7g.xlarge 標準ストレージ構成</t>
  </si>
  <si>
    <t>1人あたり約2KB＋索引</t>
  </si>
  <si>
    <t>I/O 件</t>
  </si>
  <si>
    <t>※単位を「100万リクエスト」から「I/O 件」へ是正。件数×単価で計算する</t>
  </si>
  <si>
    <t>※DR案②③でのみ発生。案①では0</t>
  </si>
  <si>
    <t>https://aws.amazon.com/jp/elasticloadbalancing/pricing/</t>
  </si>
  <si>
    <t>別途 LCU 0.006/時</t>
  </si>
  <si>
    <t>別途 LCU</t>
  </si>
  <si>
    <t>https://aws.amazon.com/jp/cloudfront/pricing/</t>
  </si>
  <si>
    <t>日本向け転送。別途リクエスト 0.0000012/件</t>
  </si>
  <si>
    <t>https://aws.amazon.com/jp/waf/pricing/</t>
  </si>
  <si>
    <t>0.0000006/件×100万。別途 Rule 1.0/月</t>
  </si>
  <si>
    <t>https://aws.amazon.com/jp/privatelink/pricing/</t>
  </si>
  <si>
    <t>クエリ</t>
  </si>
  <si>
    <t>https://aws.amazon.com/jp/route53/pricing/</t>
  </si>
  <si>
    <t>※単位を「100万クエリ」から「クエリ」へ是正。別途ゾーン 0.50/月</t>
  </si>
  <si>
    <t>東京→大阪</t>
  </si>
  <si>
    <t>CloudFront経由のため直接転送は限定的</t>
  </si>
  <si>
    <t>リクエスト</t>
  </si>
  <si>
    <t>https://aws.amazon.com/jp/lambda/pricing/</t>
  </si>
  <si>
    <t>※単位を「100万リクエスト」から「リクエスト」へ是正。別途 GB秒 0.0000166667</t>
  </si>
  <si>
    <t>※単位を「100万リクエスト」から「リクエスト」へ是正。別途 GB秒</t>
  </si>
  <si>
    <t>https://aws.amazon.com/jp/api-gateway/pricing/</t>
  </si>
  <si>
    <t>※単位を「100万リクエスト」から「リクエスト」へ是正。HTTP API</t>
  </si>
  <si>
    <t>イベント</t>
  </si>
  <si>
    <t>https://aws.amazon.com/jp/eventbridge/pricing/</t>
  </si>
  <si>
    <t>※単位を「100万イベント」から「イベント」へ是正。8Kチャンク</t>
  </si>
  <si>
    <t>書込単位</t>
  </si>
  <si>
    <t>https://aws.amazon.com/jp/dynamodb/pricing/</t>
  </si>
  <si>
    <t>※単位を「100万リクエスト」から「書込単位」へ是正。オンデマンド</t>
  </si>
  <si>
    <t>https://aws.amazon.com/jp/kms/pricing/</t>
  </si>
  <si>
    <t>別途 API 0.000003/件</t>
  </si>
  <si>
    <t>https://aws.amazon.com/jp/secrets-manager/pricing/</t>
  </si>
  <si>
    <t>https://aws.amazon.com/jp/private-ca/pricing/</t>
  </si>
  <si>
    <t>https://aws.amazon.com/jp/backup/pricing/</t>
  </si>
  <si>
    <t>https://aws.amazon.com/jp/cloudwatch/pricing/</t>
  </si>
  <si>
    <t>取り込み。別途保管 0.033/GB-月</t>
  </si>
  <si>
    <t>https://aws.amazon.com/jp/opensearch-service/pricing/</t>
  </si>
  <si>
    <t>m6g.large.search 想定</t>
  </si>
  <si>
    <t>https://aws.amazon.com/jp/s3/glacier/pricing/</t>
  </si>
  <si>
    <t>Deep Archive</t>
  </si>
  <si>
    <t>通</t>
  </si>
  <si>
    <t>https://aws.amazon.com/jp/ses/pricing/</t>
  </si>
  <si>
    <t>※単位を「1000通」から「通」へ是正</t>
  </si>
  <si>
    <t>3系統</t>
  </si>
  <si>
    <t>○</t>
  </si>
  <si>
    <t>■ 2026-08-17 単価取得後の是正メモ</t>
  </si>
  <si>
    <t>① Aurora I/O（34行）: 単位表記が「100万リクエスト」だったが数量は件数のため「I/O 件」へ是正。単価0.00000024 USD/件を件数に直接掛ける。100万件単位で掛けると100万倍ずれる</t>
  </si>
  <si>
    <t>② 同様の単位是正: Route 53（43行）／関数実行2件（46・47行）／API入口（48行）／イベントバス（49行）／DynamoDB（50行）／メール送信（58行）も「100万〜」「1000通」表記を実数単位へ是正済み</t>
  </si>
  <si>
    <t>④ 未反映の割引: ROSAの1年契約（33%）／3年契約（55%）は未適用。適用すれば計算区分が下がる</t>
  </si>
  <si>
    <t>⑤ Private CA（53行）: 400 USD/月は汎用モードの単価。短期証明書モードなら 50 USD/月で、年420万円の差になる</t>
  </si>
  <si>
    <t>⑥ 予備地域（大阪）の費用は本シートに含まない。別シート「DR案別コスト」を参照（案①0.9万円／案②1.7万円／案③38万円・月額100万人規模）</t>
  </si>
  <si>
    <t>認証製品用ノード120GB＋管理系ノード100GB（D-U6-16）。100万=KC6台+管理6台／500万=KC15台+管理6台／1000万=KC27台+管理6台</t>
  </si>
  <si>
    <t>D-U6-16でgp3・KC Pool 120GB（ログバッファ30GB明示）・infra Pool 100GBに確定。旧値は一律100GB前提</t>
  </si>
  <si>
    <t>汎用モード400 USD/月。D-U6-15で短期証明書モード（50 USD/月）を第一候補に決定。切替可否は有効期間の検証待ち。差は年420万円</t>
  </si>
  <si>
    <t>Superseded</t>
  </si>
  <si>
    <t>2026-08-18: 前提P-07の転換により置き換え（Superseded）。削除せず記録として保持</t>
  </si>
  <si>
    <t>2026-08-18: ADR-033の2層分離（2-tier）で置き換え（Superseded）。削除せず記録として保持</t>
  </si>
  <si>
    <t>2026-06-24縮小: 認証APIのみ。その他はAPIプラットフォーム側／※2026-08-18 二重定義に注意: 認証フローのレート制限はD-U6-14が正。本ADRの方式は管理APIにのみ適用する</t>
  </si>
  <si>
    <t>★ADR-061は2026-08-18にGit側の索引（00-index.md）へ登録済み（APIプラットフォーム側のスコープ）。本表では実ファイルから収録している</t>
  </si>
  <si>
    <t>優先度</t>
  </si>
  <si>
    <t>アプリチーム</t>
  </si>
  <si>
    <t>A-1.7</t>
  </si>
  <si>
    <t>D-18.2</t>
  </si>
  <si>
    <t>D-9.2</t>
  </si>
  <si>
    <t>D-18.1</t>
  </si>
  <si>
    <t>D-18.3</t>
  </si>
  <si>
    <t>D-18.4</t>
  </si>
  <si>
    <t>D-20</t>
  </si>
  <si>
    <t>E-1.1</t>
  </si>
  <si>
    <t>E-1.2</t>
  </si>
  <si>
    <t>E-1.3</t>
  </si>
  <si>
    <t>G-1.2</t>
  </si>
  <si>
    <t>G-1.3</t>
  </si>
  <si>
    <t>G-1.4</t>
  </si>
  <si>
    <t>G-1.6</t>
  </si>
  <si>
    <t>G-1.8</t>
  </si>
  <si>
    <t>G-1.9</t>
  </si>
  <si>
    <t>G-1.10</t>
  </si>
  <si>
    <t>G-1.11</t>
  </si>
  <si>
    <t>G-4.2</t>
  </si>
  <si>
    <t>IT-08</t>
  </si>
  <si>
    <t>IT-09</t>
  </si>
  <si>
    <t>SEC-06</t>
  </si>
  <si>
    <t>TE-01</t>
  </si>
  <si>
    <t>TE-02</t>
  </si>
  <si>
    <t>TE-03</t>
  </si>
  <si>
    <t>HA-01</t>
  </si>
  <si>
    <t>HA-02</t>
  </si>
  <si>
    <t>HA-03</t>
  </si>
  <si>
    <t>HA-04</t>
  </si>
  <si>
    <t>HA-05</t>
  </si>
  <si>
    <t>HA-10</t>
  </si>
  <si>
    <t>HA-11</t>
  </si>
  <si>
    <t>HA-13</t>
  </si>
  <si>
    <t>HA-14</t>
  </si>
  <si>
    <t>HA-16</t>
  </si>
  <si>
    <t>HA-17</t>
  </si>
  <si>
    <t>HA-20</t>
  </si>
  <si>
    <t>HA-21</t>
  </si>
  <si>
    <t>HA-22</t>
  </si>
  <si>
    <t>HA-24</t>
  </si>
  <si>
    <t>HA-26</t>
  </si>
  <si>
    <t>HD-01</t>
  </si>
  <si>
    <t>HD-04</t>
  </si>
  <si>
    <t>HD-05</t>
  </si>
  <si>
    <t>HD-14</t>
  </si>
  <si>
    <t>HE-09</t>
  </si>
  <si>
    <t>HE-14</t>
  </si>
  <si>
    <t>HE-15</t>
  </si>
  <si>
    <t>HE-16</t>
  </si>
  <si>
    <t>HE-17</t>
  </si>
  <si>
    <t>HG-04</t>
  </si>
  <si>
    <t>HG-05</t>
  </si>
  <si>
    <t>HG-08</t>
  </si>
  <si>
    <t>HH-01</t>
  </si>
  <si>
    <t>HH-02</t>
  </si>
  <si>
    <t>HH-03</t>
  </si>
  <si>
    <t>HH-05</t>
  </si>
  <si>
    <t>HI-01</t>
  </si>
  <si>
    <t>HI-02</t>
  </si>
  <si>
    <t>HI-03</t>
  </si>
  <si>
    <t>HI-04</t>
  </si>
  <si>
    <t>HI-05</t>
  </si>
  <si>
    <t>HI-06</t>
  </si>
  <si>
    <t>HJ-03</t>
  </si>
  <si>
    <t>HJ-06</t>
  </si>
  <si>
    <t>HJ-07</t>
  </si>
  <si>
    <t>HJ-09</t>
  </si>
  <si>
    <t>HJ-17</t>
  </si>
  <si>
    <t>HJ-19</t>
  </si>
  <si>
    <t>HK-01</t>
  </si>
  <si>
    <t>HK-02</t>
  </si>
  <si>
    <t>HK-03</t>
  </si>
  <si>
    <t>HK-07</t>
  </si>
  <si>
    <t>HK-09</t>
  </si>
  <si>
    <t>DDA-01</t>
  </si>
  <si>
    <t>DDA-02</t>
  </si>
  <si>
    <t>DDA-03</t>
  </si>
  <si>
    <t>DDA-04</t>
  </si>
  <si>
    <t>DDA-05</t>
  </si>
  <si>
    <t>DDA-06</t>
  </si>
  <si>
    <t>DDA-07</t>
  </si>
  <si>
    <t>DDB-01</t>
  </si>
  <si>
    <t>DDB-02</t>
  </si>
  <si>
    <t>DDB-03</t>
  </si>
  <si>
    <t>DDB-04</t>
  </si>
  <si>
    <t>DDB-05</t>
  </si>
  <si>
    <t>DDB-06</t>
  </si>
  <si>
    <t>DDB-07</t>
  </si>
  <si>
    <t>DDB-08</t>
  </si>
  <si>
    <t>DDB-09</t>
  </si>
  <si>
    <t>DDC-01</t>
  </si>
  <si>
    <t>DDC-02</t>
  </si>
  <si>
    <t>DDD-01</t>
  </si>
  <si>
    <t>DDD-02</t>
  </si>
  <si>
    <t>DDD-03</t>
  </si>
  <si>
    <t>DDD-04</t>
  </si>
  <si>
    <t>DDD-05</t>
  </si>
  <si>
    <t>DDD-06</t>
  </si>
  <si>
    <t>DDD-07</t>
  </si>
  <si>
    <t>DDE-01</t>
  </si>
  <si>
    <t>DDE-02</t>
  </si>
  <si>
    <t>DDE-03</t>
  </si>
  <si>
    <t>DDE-04</t>
  </si>
  <si>
    <t>DDE-05</t>
  </si>
  <si>
    <t>DDE-06</t>
  </si>
  <si>
    <t>DDF-01</t>
  </si>
  <si>
    <t>DDF-02</t>
  </si>
  <si>
    <t>DDF-03</t>
  </si>
  <si>
    <t>DDG-01</t>
  </si>
  <si>
    <t>DDG-02</t>
  </si>
  <si>
    <t>DDG-03</t>
  </si>
  <si>
    <t>DDG-04</t>
  </si>
  <si>
    <t>DDG-05</t>
  </si>
  <si>
    <t>DDG-06</t>
  </si>
  <si>
    <t>DDH-01</t>
  </si>
  <si>
    <t>DDH-02</t>
  </si>
  <si>
    <t>DDI-01</t>
  </si>
  <si>
    <t>DDI-02</t>
  </si>
  <si>
    <t>DDI-03</t>
  </si>
  <si>
    <t>DDI-04</t>
  </si>
  <si>
    <t>DDI-05</t>
  </si>
  <si>
    <t>DDI-06</t>
  </si>
  <si>
    <t>DDJ-01</t>
  </si>
  <si>
    <t>DD-J レビュー・整合</t>
  </si>
  <si>
    <t>DDJ-02</t>
  </si>
  <si>
    <t>指摘対応・改訂（第1回）</t>
  </si>
  <si>
    <t>DDJ-03</t>
  </si>
  <si>
    <t>DDJ-04</t>
  </si>
  <si>
    <t>指摘対応・改訂（第2回）</t>
  </si>
  <si>
    <t>DDJ-05</t>
  </si>
  <si>
    <t>画面設計規約</t>
  </si>
  <si>
    <t>非機能要件→設計対応表</t>
  </si>
  <si>
    <t>トレーサビリティマトリクス（要件→機能→設計→テスト）</t>
  </si>
  <si>
    <t>認証プロトコルIF（OIDCエンドポイント・クレーム）</t>
  </si>
  <si>
    <t>認証プロトコルIF（SAMLメタデータ・Assertion）</t>
  </si>
  <si>
    <t>外部IF 顧客IdP（SAML/OIDC差分）</t>
  </si>
  <si>
    <t>単元間 整合性レビュー（第1回）</t>
  </si>
  <si>
    <t>単元間 整合性レビュー（第2回）</t>
  </si>
  <si>
    <t>Client 登録テンプレート（アプリオンボーディング標準）</t>
  </si>
  <si>
    <t>SLA / SLO 定義書（顧客向け）／渡す相手: 全顧客（契約添付）</t>
  </si>
  <si>
    <t>サービス仕様書・制約事項一覧（ゾンビ窓/ログアウト限界/再認証の明示）／渡す相手: 全顧客</t>
  </si>
  <si>
    <t>GD-09</t>
  </si>
  <si>
    <t>GD-10</t>
  </si>
  <si>
    <t>GD-13</t>
  </si>
  <si>
    <t>GD-14</t>
  </si>
  <si>
    <t>GD-15</t>
  </si>
  <si>
    <t>GD-16</t>
  </si>
  <si>
    <t>GD-17</t>
  </si>
  <si>
    <t>GD-18</t>
  </si>
  <si>
    <t>GD-21</t>
  </si>
  <si>
    <t>GD-22</t>
  </si>
  <si>
    <t>GD-23</t>
  </si>
  <si>
    <t>GD-24</t>
  </si>
  <si>
    <t>機能ID</t>
  </si>
  <si>
    <t>機能名</t>
  </si>
  <si>
    <t>F-AUTH-01</t>
  </si>
  <si>
    <t>U2 §2.3、P-07</t>
  </si>
  <si>
    <t>F-AUTH-02</t>
  </si>
  <si>
    <t>F-AUTH-03</t>
  </si>
  <si>
    <t>F-AUTH-04</t>
  </si>
  <si>
    <t>F-AUTH-05</t>
  </si>
  <si>
    <t>ADR-033、U2 §2.2</t>
  </si>
  <si>
    <t>F-AUTH-06</t>
  </si>
  <si>
    <t>ADR-031、U2 §2.7</t>
  </si>
  <si>
    <t>F-AUTH-09</t>
  </si>
  <si>
    <t>F-AUTH-10</t>
  </si>
  <si>
    <t>U7 D-U7-14</t>
  </si>
  <si>
    <t>F-AUTH-12</t>
  </si>
  <si>
    <t>U4 §4.4.2</t>
  </si>
  <si>
    <t>F-AUTH-14</t>
  </si>
  <si>
    <t>F-AUTH-15</t>
  </si>
  <si>
    <t>F-AUTH-16</t>
  </si>
  <si>
    <t>F-AUTH-17</t>
  </si>
  <si>
    <t>F-AUTH-18</t>
  </si>
  <si>
    <t>F-AUTH-19</t>
  </si>
  <si>
    <t>F-AUTH-20</t>
  </si>
  <si>
    <t>F-AUTH-21</t>
  </si>
  <si>
    <t>F-AUTH-22</t>
  </si>
  <si>
    <t>F-PROV-01</t>
  </si>
  <si>
    <t>F-PROV-02</t>
  </si>
  <si>
    <t>F-PROV-03</t>
  </si>
  <si>
    <t>F-PROV-08</t>
  </si>
  <si>
    <t>F-PROV-09</t>
  </si>
  <si>
    <t>F-PROV-10</t>
  </si>
  <si>
    <t>F-PROV-11</t>
  </si>
  <si>
    <t>F-PROV-12</t>
  </si>
  <si>
    <t>F-PROV-13</t>
  </si>
  <si>
    <t>F-PROV-14</t>
  </si>
  <si>
    <t>F-PROV-15</t>
  </si>
  <si>
    <t>F-PROV-16</t>
  </si>
  <si>
    <t>F-PROV-17</t>
  </si>
  <si>
    <t>F-ADM-01</t>
  </si>
  <si>
    <t>F-ADM-03</t>
  </si>
  <si>
    <t>F-ADM-05</t>
  </si>
  <si>
    <t>F-ADM-07</t>
  </si>
  <si>
    <t>F-ADM-08</t>
  </si>
  <si>
    <t>F-ADM-09</t>
  </si>
  <si>
    <t>F-ADM-10</t>
  </si>
  <si>
    <t>F-ADM-11</t>
  </si>
  <si>
    <t>F-ADM-12</t>
  </si>
  <si>
    <t>F-ADM-13</t>
  </si>
  <si>
    <t>F-ADM-14</t>
  </si>
  <si>
    <t>F-ADM-15</t>
  </si>
  <si>
    <t>F-ADM-16</t>
  </si>
  <si>
    <t>F-ADM-17</t>
  </si>
  <si>
    <t>F-ADM-18</t>
  </si>
  <si>
    <t>F-ADM-19</t>
  </si>
  <si>
    <t>F-ADM-20</t>
  </si>
  <si>
    <t>F-ADM-21</t>
  </si>
  <si>
    <t>F-ADM-22</t>
  </si>
  <si>
    <t>F-AZ-01</t>
  </si>
  <si>
    <t>F-AZ-02</t>
  </si>
  <si>
    <t>F-AZ-03</t>
  </si>
  <si>
    <t>F-AZ-04</t>
  </si>
  <si>
    <t>F-AZ-05</t>
  </si>
  <si>
    <t>F-AZ-06</t>
  </si>
  <si>
    <t>F-AZ-07</t>
  </si>
  <si>
    <t>F-AZ-08</t>
  </si>
  <si>
    <t>F-INT-01</t>
  </si>
  <si>
    <t>F-INT-02</t>
  </si>
  <si>
    <t>F-INT-03</t>
  </si>
  <si>
    <t>F-INT-04</t>
  </si>
  <si>
    <t>F-INT-07</t>
  </si>
  <si>
    <t>F-INT-08</t>
  </si>
  <si>
    <t>F-INT-09</t>
  </si>
  <si>
    <t>F-INT-11</t>
  </si>
  <si>
    <t>F-INT-12</t>
  </si>
  <si>
    <t>F-BAT-01</t>
  </si>
  <si>
    <t>F-BAT-02</t>
  </si>
  <si>
    <t>F-BAT-03</t>
  </si>
  <si>
    <t>F-BAT-04</t>
  </si>
  <si>
    <t>ADR-045、DU-U7-02</t>
  </si>
  <si>
    <t>F-BAT-05</t>
  </si>
  <si>
    <t>D-U7-10b、DU-U7-12</t>
  </si>
  <si>
    <t>F-BAT-07</t>
  </si>
  <si>
    <t>F-BAT-08</t>
  </si>
  <si>
    <t>F-BAT-09</t>
  </si>
  <si>
    <t>機能ID</t>
    <phoneticPr fontId="2"/>
  </si>
  <si>
    <t>HB-F-AUTH-01</t>
  </si>
  <si>
    <t>機能仕様書: ローカルログイン（ID/PW）</t>
  </si>
  <si>
    <t>HB-F-AUTH-02</t>
  </si>
  <si>
    <t>HB-F-AUTH-03</t>
  </si>
  <si>
    <t>HB-F-AUTH-04</t>
  </si>
  <si>
    <t>HB-F-AUTH-05</t>
  </si>
  <si>
    <t>HB-F-AUTH-06</t>
  </si>
  <si>
    <t>HB-F-AUTH-07</t>
  </si>
  <si>
    <t>HB-F-AUTH-09</t>
  </si>
  <si>
    <t>HB-F-AUTH-10</t>
  </si>
  <si>
    <t>機能仕様書: MFA認証（TOTP）</t>
  </si>
  <si>
    <t>HB-F-AUTH-12</t>
  </si>
  <si>
    <t>機能仕様書: MFAエンロール（TOTP）</t>
  </si>
  <si>
    <t>HB-F-AUTH-21</t>
  </si>
  <si>
    <t>HB-F-PROV-02</t>
  </si>
  <si>
    <t>HB-F-PROV-03</t>
  </si>
  <si>
    <t>HB-F-PROV-04</t>
  </si>
  <si>
    <t>HB-F-PROV-05</t>
  </si>
  <si>
    <t>HB-F-PROV-06</t>
  </si>
  <si>
    <t>HB-F-PROV-07</t>
  </si>
  <si>
    <t>HB-F-PROV-09</t>
  </si>
  <si>
    <t>HB-F-PROV-10</t>
  </si>
  <si>
    <t>HB-F-PROV-11</t>
  </si>
  <si>
    <t>HB-F-ADM-14</t>
  </si>
  <si>
    <t>HB-F-ADM-16</t>
  </si>
  <si>
    <t>HB-F-AZ-07</t>
  </si>
  <si>
    <t>HB-F-INT-01</t>
  </si>
  <si>
    <t>HB-F-INT-02</t>
  </si>
  <si>
    <t>HB-F-INT-03</t>
  </si>
  <si>
    <t>HB-F-INT-11</t>
  </si>
  <si>
    <t>HB-F-BAT-01</t>
  </si>
  <si>
    <t>HB-F-BAT-04</t>
  </si>
  <si>
    <t>機能仕様書: JWT署名鍵ローテ</t>
  </si>
  <si>
    <t>HB-F-BAT-05</t>
  </si>
  <si>
    <t>機能仕様書: client_secretローテ</t>
  </si>
  <si>
    <t>HB-F-BAT-07</t>
  </si>
  <si>
    <t>機能仕様書: 証明書期限監視・通知</t>
  </si>
  <si>
    <t>（廃止）アプリ開発者向けの実装ガイド。章ごとに分割したため、この行では作業しない</t>
  </si>
  <si>
    <t>作業なし。分割先の各章で実施する</t>
  </si>
  <si>
    <t>ガイド 1 章。推奨する理由と、この形式でしか使えない機能が明示されている</t>
  </si>
  <si>
    <t>ブラウザだけで動く形式のアプリ向けの実装手順と、認める条件</t>
  </si>
  <si>
    <t>ログインを開始するときにアプリが必ず付ける情報と、やってはいけない古い方式</t>
  </si>
  <si>
    <t>ガイド 1 章。必須パラメータと禁止事項が判定可能な形で列挙されている</t>
  </si>
  <si>
    <t>ガイド 1 章。保存場所ごとの可否と理由が示されている</t>
  </si>
  <si>
    <t>ガイド 1 章。7 つの検証項目と、宛先の設定漏れで検証が無効化される罠の警告が示されている</t>
  </si>
  <si>
    <t>ログインした本人を表す情報を検証する手順</t>
  </si>
  <si>
    <t>ガイド 1 章。必須の検証項目と、追加情報を問い合わせた場合の突き合わせ要件が示されている</t>
  </si>
  <si>
    <t>署名の検証に使う鍵の取得方法と、鍵が入れ替わっても止まらないための保持方法。鍵をアプリ内に直接書くことは禁止</t>
  </si>
  <si>
    <t>ガイド 1 章。取得の頻度・保持期間・未知の鍵が来た場合の動き・取得できないときの継続方法が数値で示されている</t>
  </si>
  <si>
    <t>ログイン状態がどれくらい続くのか、いつ切れるのかの説明</t>
  </si>
  <si>
    <t>ガイド 1 章。有効期間の一覧と、切れたときのアプリ側の動きが示されている</t>
  </si>
  <si>
    <t>ログアウトの 3 つの方式の違いと、どれをいつ使うかの整理。1 つ実装すれば全アプリで切れる、という誤解を正す</t>
  </si>
  <si>
    <t>ガイド 1 章。3 方式の関係と責任分界が図で示されている</t>
  </si>
  <si>
    <t>他のアプリでのログアウトを受け取って自分のセッションも切る実装。受け取った通知の検証項目を含む</t>
  </si>
  <si>
    <t>ガイド 1 章。8 つの検証項目が列挙され、検証を省くと強制ログアウトの悪用が可能になる旨が警告されている</t>
  </si>
  <si>
    <t>ガイド 1 章。延長時の入れ替え要件と、失効したときのアプリ側の動きが示されている</t>
  </si>
  <si>
    <t>顧客が持っている認証システムに認証を委ね、その結果を受け取ってログインさせる機能（標準的な連携方式）</t>
  </si>
  <si>
    <t>機能仕様書 1 本。委譲時に渡す情報・受け取る情報と、拒否された場合の扱いが定義されレビュー承認済み</t>
  </si>
  <si>
    <t>顧客が持っている認証システムのうち、旧来の方式で連携する場合のログイン機能</t>
  </si>
  <si>
    <t>機能仕様書 1 本。旧方式特有の識別子の扱いと、標準方式との差分が定義されレビュー承認済み</t>
  </si>
  <si>
    <t>スマートフォンアプリで生成する 6 桁の数字による追加認証</t>
  </si>
  <si>
    <t>スマートフォンアプリの追加認証を初めて登録する画面の流れ</t>
  </si>
  <si>
    <t>パスワードの変更と、初回ログイン時に変更を強制する動き</t>
  </si>
  <si>
    <t>アプリごとの接続用パスワードを定期的に入れ替える処理</t>
  </si>
  <si>
    <t>証明書の期限切れが近いものを検出して通知する処理</t>
  </si>
  <si>
    <t>設計書全体の入口となる章。目的・扱う範囲・読み方をまとめる</t>
  </si>
  <si>
    <t>総則の章。範囲外の事項も明示されている</t>
  </si>
  <si>
    <t>設計の土台となる前提条件を一覧にし、変わった場合にどこへ影響するかを示す</t>
  </si>
  <si>
    <t>前提一覧。各前提に影響範囲が紐づいている</t>
  </si>
  <si>
    <t>設計書で使う言葉の意味を統一する</t>
  </si>
  <si>
    <t>用語集。本文で使う用語が漏れなく定義されている</t>
  </si>
  <si>
    <t>論理構成図。主要な構成要素と関係が 1 枚で分かる</t>
  </si>
  <si>
    <t>物理構成図。設備の配置と接続経路が示されている</t>
  </si>
  <si>
    <t>ログイン状態をどう保持するかの全体方針</t>
  </si>
  <si>
    <t>方式設計。保持する場所と有効期間の考え方が定まっている</t>
  </si>
  <si>
    <t>文字の扱い・日時の扱い・時差の扱いを統一する方針</t>
  </si>
  <si>
    <t>方式設計。保存時と表示時の扱いが定まっている</t>
  </si>
  <si>
    <t>よく使うデータを一時的に手元に置く仕組みの方針</t>
  </si>
  <si>
    <t>方式設計。置く対象・保持時間・古くなった際の捨て方が定まっている</t>
  </si>
  <si>
    <t>各種の識別番号を誰がどう採番するかの方針</t>
  </si>
  <si>
    <t>方式設計。重複しない仕組みと、採番の責任者が定まっている</t>
  </si>
  <si>
    <t>命名規約。名前から用途と所属が分かる形になっている</t>
  </si>
  <si>
    <t>設備を設定ファイルで管理する際の書き方の決まり</t>
  </si>
  <si>
    <t>規約。書き方の統一と、レビュー観点が定まっている</t>
  </si>
  <si>
    <t>性能や可用性などの目標値が、設計のどこで実現されるかを対応づけた表</t>
  </si>
  <si>
    <t>対応表。すべての目標値に実現手段が紐づいている</t>
  </si>
  <si>
    <t>性能の目標値と、それを達成するための考え方をまとめた設計書</t>
  </si>
  <si>
    <t>性能設計書。目標値・処理方式・調整の余地が示されている</t>
  </si>
  <si>
    <t>見積書。表ごとの件数と増加率、必要な容量が数値で示されている</t>
  </si>
  <si>
    <t>要件・機能・設計・試験の対応関係を一覧にした表</t>
  </si>
  <si>
    <t>対応表。要件から試験まで追跡でき、抜けが検出できる</t>
  </si>
  <si>
    <t>暗号化に使う鍵を、種類ごとにどう管理するかの設計</t>
  </si>
  <si>
    <t>エラーコード体系。番号の付け方と、意味の一覧が定まっている</t>
  </si>
  <si>
    <t>仕様書。接続情報の受け渡し方と項目が定まっている</t>
  </si>
  <si>
    <t>差分表。製品ごとの違いが一覧化されている</t>
  </si>
  <si>
    <t>対応表。すべての経路に対策が紐づいている</t>
  </si>
  <si>
    <t>システムが正常に動いているか判断するために監視する数値を洗い出して一覧にする</t>
  </si>
  <si>
    <t>項目一覧。取得元と用途が整理されている</t>
  </si>
  <si>
    <t>監視する記録と、外形からの確認項目の一覧</t>
  </si>
  <si>
    <t>項目一覧。確認の頻度が定まっている</t>
  </si>
  <si>
    <t>異常と判断する基準値と、誰に知らせるかの設計</t>
  </si>
  <si>
    <t>閾値設計。すべての監視項目に基準値と通知先が紐づいている</t>
  </si>
  <si>
    <t>本番・検証・開発の各環境の違いをまとめた設計書</t>
  </si>
  <si>
    <t>環境設計書。環境ごとの差分が一覧化されている</t>
  </si>
  <si>
    <t>設計書間で矛盾がないかを通しで確認する（1 回目）</t>
  </si>
  <si>
    <t>レビュー記録。指摘が一覧化されている</t>
  </si>
  <si>
    <t>1 回目の指摘に対応して設計書を直す</t>
  </si>
  <si>
    <t>改訂済みの設計書。指摘がすべて処理されている</t>
  </si>
  <si>
    <t>設計書間で矛盾がないかを通しで確認する（2 回目）</t>
  </si>
  <si>
    <t>レビュー記録。1 回目の指摘が解消されている</t>
  </si>
  <si>
    <t>2 回目の指摘に対応して設計書を直す</t>
  </si>
  <si>
    <t>改訂済みの設計書。残課題が明示されている</t>
  </si>
  <si>
    <t>拡張機能をどこに配置し、どう版を管理するかの設計</t>
  </si>
  <si>
    <t>配置設計。組み込み方法と版の管理方法が定まっている</t>
  </si>
  <si>
    <t>定義書。載せる項目と、載せない項目の区別が明確</t>
  </si>
  <si>
    <t>新しいアプリを接続するときの登録内容のひな形</t>
  </si>
  <si>
    <t>ひな形。必要な設定が漏れなく含まれ、宛先の設定漏れを防ぐ仕組みがある</t>
  </si>
  <si>
    <t>実行基盤の構成設計。サーバーの種類・台数・役割分担</t>
  </si>
  <si>
    <t>構成設計書。役割ごとの分離と増減の考え方が定まっている</t>
  </si>
  <si>
    <t>実行基盤の運用について、委託先と自社の分担を整理する</t>
  </si>
  <si>
    <t>分担表。どちらが何をするかが明確になっている</t>
  </si>
  <si>
    <t>顧客と本基盤のどちらが何に責任を持つかを示す表</t>
  </si>
  <si>
    <t>責任分界表。契約に添付できる粒度で整理されている</t>
  </si>
  <si>
    <t>顧客に約束する稼働率と復旧目標をまとめた文書</t>
  </si>
  <si>
    <t>定義書。数値と、達成できなかった場合の扱いが定まっている</t>
  </si>
  <si>
    <t>サービスの仕様と、利用上の制約をまとめた文書</t>
  </si>
  <si>
    <t>仕様書。止めてから完全に切れるまでの時間差など、注意すべき制約が明記されている</t>
  </si>
  <si>
    <t>ひな形定義。項目の対応づけが定まっている</t>
  </si>
  <si>
    <t>一時的に強い権限を出す機能をどこに置くかを決める</t>
  </si>
  <si>
    <t>顧客の希望する復旧時間と、現在の方式で実現できる時間の差を数値で明らかにする</t>
  </si>
  <si>
    <t>分析結果。差分と、その原因となる制約が数値で示されている</t>
  </si>
  <si>
    <t>分析を踏まえ、復旧方式をどうするかを決める</t>
  </si>
  <si>
    <t>決定記録。方式が 1 つに確定している</t>
  </si>
  <si>
    <t>決めた復旧方式を関連する設計書に反映する</t>
  </si>
  <si>
    <t>改訂済みの設計記述 3 冊</t>
  </si>
  <si>
    <t>復旧作業の手順書の骨子を作る</t>
  </si>
  <si>
    <t>手順書の骨子。実際の作業順序が追える</t>
  </si>
  <si>
    <t>運用委託先から個人情報が見えないよう、記録の出し方の方式を決める</t>
  </si>
  <si>
    <t>機能名</t>
    <phoneticPr fontId="2"/>
  </si>
  <si>
    <t>業務システムへの認証提供</t>
  </si>
  <si>
    <t>重要操作時の追加認証</t>
  </si>
  <si>
    <t>振り分け失敗時のパスワード入力への切替</t>
  </si>
  <si>
    <t>追加認証（数字コード）</t>
  </si>
  <si>
    <t>復旧用コードの発行・利用</t>
  </si>
  <si>
    <t>メールを持たない人の復旧</t>
  </si>
  <si>
    <t>パスワードの自己再設定</t>
  </si>
  <si>
    <t>パスワード変更・初回強制変更</t>
  </si>
  <si>
    <t>連続失敗時の一時締め出し</t>
  </si>
  <si>
    <t>ログイン時の属性更新</t>
  </si>
  <si>
    <t>項目名の変換・統一</t>
  </si>
  <si>
    <t>登録経路の区分判定</t>
  </si>
  <si>
    <t>停止の確実な伝播</t>
  </si>
  <si>
    <t>再開の確実な伝播</t>
  </si>
  <si>
    <t>顧客番号と基盤識別子の対応づけ</t>
  </si>
  <si>
    <t>参照用データの更新</t>
  </si>
  <si>
    <t>パスワード初期化（管理者）</t>
  </si>
  <si>
    <t>追加認証の解除（管理者）</t>
  </si>
  <si>
    <t>使えるアプリの設定</t>
  </si>
  <si>
    <t>アプリ内の役割の設定</t>
  </si>
  <si>
    <t>組織情報の編集</t>
  </si>
  <si>
    <t>接続設定の変更・証明書更新</t>
  </si>
  <si>
    <t>システム用アカウントの台帳管理</t>
  </si>
  <si>
    <t>アプリ利用可否の判定</t>
  </si>
  <si>
    <t>アプリ内の役割の解決</t>
  </si>
  <si>
    <t>業務システムから他アプリへの連携</t>
  </si>
  <si>
    <t>通知メールの送信</t>
  </si>
  <si>
    <t>不正兆候の検知</t>
  </si>
  <si>
    <t>接続情報の自動追随</t>
  </si>
  <si>
    <t>長期未使用者の自動停止</t>
  </si>
  <si>
    <t>停止伝播の突合（短間隔）</t>
  </si>
  <si>
    <t>証明書期限の監視</t>
  </si>
  <si>
    <t>保存期限切れデータの消去</t>
  </si>
  <si>
    <t>概要</t>
    <phoneticPr fontId="2"/>
  </si>
  <si>
    <t>成果物と完了条件</t>
    <phoneticPr fontId="2"/>
  </si>
  <si>
    <t>依存</t>
    <phoneticPr fontId="2"/>
  </si>
  <si>
    <t>管理操作の記録テーブル定義（ブランド単位）</t>
  </si>
  <si>
    <t>HD-18</t>
  </si>
  <si>
    <t>HD-19</t>
  </si>
  <si>
    <t>HD-24</t>
  </si>
  <si>
    <t>HD-25</t>
  </si>
  <si>
    <t>HJ-01a</t>
  </si>
  <si>
    <t>HJ-02a</t>
  </si>
  <si>
    <t>HJ-10a</t>
  </si>
  <si>
    <t>HJ-10b</t>
  </si>
  <si>
    <t>誰が何をしたかの記録を保持する表の定義。顧客のまとまりごとに分けて持つ</t>
  </si>
  <si>
    <t>顧客をまとめる単位と区画の構成を決める（外部連携を受ける側）</t>
  </si>
  <si>
    <t>構成設計書。顧客の収容方法と区画の分け方が定まっている</t>
  </si>
  <si>
    <t>ログイン処理の組み立て順序を決める（外部連携を受ける側の 3 系統）</t>
  </si>
  <si>
    <t>処理順序の設計書。3 系統それぞれの分岐が図で示されている</t>
  </si>
  <si>
    <t>設定値一覧。有効期間・回数制限などが数値で定まっている</t>
  </si>
  <si>
    <t>設定値一覧。パスワード条件を含め数値で定まっている</t>
  </si>
  <si>
    <t>OP-05</t>
  </si>
  <si>
    <t>管理操作の記録の置き場所と保存年数</t>
  </si>
  <si>
    <t>権限を一時的に上げる仕組みの置き場所</t>
  </si>
  <si>
    <t>希望する復旧時間と実現できる時間の差の分析</t>
  </si>
  <si>
    <t>復旧方式の決定</t>
  </si>
  <si>
    <t>決めた復旧方式の設計書への反映</t>
  </si>
  <si>
    <t>復旧作業の手順書の骨子</t>
  </si>
  <si>
    <t>誰が何をしたかの記録を、ブランドごとに分けて持つか中央に集めるかを決める</t>
  </si>
  <si>
    <t>判断記録。保存年数との整合を含め、置き場所が定まっている</t>
  </si>
  <si>
    <t>根拠の整理メモ。仮定値の出どころと見直しの判断基準が明記されている</t>
  </si>
  <si>
    <t>開発・検証環境: 費用と共用方式の調査</t>
  </si>
  <si>
    <t>開発・検証環境: 構成と共用方針の決定</t>
  </si>
  <si>
    <t>開発・検証環境: 試験用データの作り方と費用見積</t>
  </si>
  <si>
    <t>性能試験の全体計画書</t>
  </si>
  <si>
    <t>手順書: 顧客の解約</t>
  </si>
  <si>
    <t>手順書: 事故発生時の初動</t>
  </si>
  <si>
    <t>手順書: 情報漏えい時の報告</t>
  </si>
  <si>
    <t>手順書: 緊急時の管理者アクセス</t>
  </si>
  <si>
    <t>手順書: 災害時の切替判断</t>
  </si>
  <si>
    <t>手順書: 切替先での再構築</t>
  </si>
  <si>
    <t>手順書: データの復元</t>
  </si>
  <si>
    <t>手順書: 元の地域への復帰</t>
  </si>
  <si>
    <t>自社拡張の配置・ビルド・版数管理の設計</t>
  </si>
  <si>
    <t>責任分界表／渡す相手: 全顧客（契約添付）</t>
  </si>
  <si>
    <t>アプリ側の実装ガイド（アプリ開発者向け）／渡す相手: 接続アプリ開発者</t>
  </si>
  <si>
    <t>機能グループ</t>
  </si>
  <si>
    <t>機能グループ</t>
    <phoneticPr fontId="2"/>
  </si>
  <si>
    <t>多要素認証</t>
  </si>
  <si>
    <t>流出パスワードの使用拒否</t>
  </si>
  <si>
    <t>顧客の作成</t>
  </si>
  <si>
    <t>顧客設定の編集</t>
  </si>
  <si>
    <t>権限の棚卸し</t>
  </si>
  <si>
    <t>監視・検知</t>
  </si>
  <si>
    <t>権限棚卸しの定期起動</t>
  </si>
  <si>
    <t>権限の棚卸しを定期的に開始する処理</t>
  </si>
  <si>
    <t>開発・検証用の環境について、費用と共用のしかたを調査する</t>
  </si>
  <si>
    <t>調査結果。費用の見込みと共用可能な範囲が整理されている</t>
  </si>
  <si>
    <t>開発・検証環境をいくつ、どう分けて持つかを決める</t>
  </si>
  <si>
    <t>方針書。環境の数と分け方、共用範囲が定まっている</t>
  </si>
  <si>
    <t>試験に使うデータの作り方と、環境にかかる費用を見積もる</t>
  </si>
  <si>
    <t>方針と見積。本物の個人情報を使わない作り方が定まっている</t>
  </si>
  <si>
    <t>性能試験の全体計画を 1 本にまとめる</t>
  </si>
  <si>
    <t>計画書。試験の道具・データ・合格基準が定まっている</t>
  </si>
  <si>
    <t>設定値。5 項目それぞれの値と根拠が定まっている</t>
  </si>
  <si>
    <t>製品を新しい版へ上げる際の運用手順を精密化する</t>
  </si>
  <si>
    <t>手順設計。事前確認の方法と、停止を伴う場合の作業時間帯が定まっている</t>
  </si>
  <si>
    <t>顧客が解約するときの段階的な削除手順を手順書にする</t>
  </si>
  <si>
    <t>手順書。猶予期間・データの引き渡し・完了の証明までが書かれている</t>
  </si>
  <si>
    <t>情報漏えいが起きたときの報告手順を手順書にする</t>
  </si>
  <si>
    <t>手順書。法令が求める期限と報告先が書かれている</t>
  </si>
  <si>
    <t>通常経路が使えないときに管理者が入る手順を手順書にする</t>
  </si>
  <si>
    <t>手順書。発動条件・承認者・事後の監査までが書かれている</t>
  </si>
  <si>
    <t>災害時に切り替えるかどうかの判断手順を手順書にする</t>
  </si>
  <si>
    <t>手順書。判断基準と判断者が明確になっている</t>
  </si>
  <si>
    <t>切替先の地域で環境を作り直す手順を手順書にする</t>
  </si>
  <si>
    <t>手順書。所要時間の見込みつきで作業が順に書かれている</t>
  </si>
  <si>
    <t>保存してあるデータから復元する手順を手順書にする</t>
  </si>
  <si>
    <t>手順書。時点を指定した復元の方法まで書かれている</t>
  </si>
  <si>
    <t>元の地域へ戻す手順を手順書にする</t>
  </si>
  <si>
    <t>手順書。戻した後の整合確認まで書かれている</t>
  </si>
  <si>
    <t>当番体制を組み、警報の通知先を割り当てる</t>
  </si>
  <si>
    <t>当番表と通知設定。夜間・休日の連絡経路が定まっている</t>
  </si>
  <si>
    <t>構成図。閉域接続とイベント経路が反映されている</t>
  </si>
  <si>
    <t>第3部 Webアプリ（BFF / SSR）</t>
  </si>
  <si>
    <t>第3部 SPA（ブラウザ）</t>
  </si>
  <si>
    <t>第4部 認可リクエスト</t>
  </si>
  <si>
    <t>第4部 アクセストークン検証（RS必須7点）</t>
  </si>
  <si>
    <t>第4部 ID Token検証</t>
  </si>
  <si>
    <t>第4部 JWKS取得・鍵ローテ追随</t>
  </si>
  <si>
    <t>第4部 セッション管理</t>
  </si>
  <si>
    <t>第4部 ログアウト3方式の使い分け</t>
  </si>
  <si>
    <t>第4部 Back-Channel Logout受信実装</t>
  </si>
  <si>
    <t>第4部 リフレッシュトークン</t>
  </si>
  <si>
    <t>分類</t>
    <phoneticPr fontId="2"/>
  </si>
  <si>
    <t>項目</t>
    <phoneticPr fontId="2"/>
  </si>
  <si>
    <t>概要・完了定義</t>
    <phoneticPr fontId="2"/>
  </si>
  <si>
    <t>内訳</t>
    <phoneticPr fontId="2"/>
  </si>
  <si>
    <t>DD-B 機能の詳細設計</t>
  </si>
  <si>
    <t>DDB-10</t>
  </si>
  <si>
    <t>DDB-11</t>
  </si>
  <si>
    <t>DDB-12</t>
  </si>
  <si>
    <t>DDB-13</t>
  </si>
  <si>
    <t>DDB-14</t>
  </si>
  <si>
    <t>DDB-15</t>
  </si>
  <si>
    <t>DDB-16</t>
  </si>
  <si>
    <t>DDB-17</t>
  </si>
  <si>
    <t>DDB-18</t>
  </si>
  <si>
    <t>DDB-19</t>
  </si>
  <si>
    <t>DD-C 画面の詳細設計</t>
  </si>
  <si>
    <t>DD-D データの詳細設計</t>
  </si>
  <si>
    <t>保持期間と消去の実装設計</t>
  </si>
  <si>
    <t>DD-F 定期処理の詳細設計</t>
  </si>
  <si>
    <t>DDG-07</t>
  </si>
  <si>
    <t>DDG-08</t>
  </si>
  <si>
    <t>DD-I 単体試験の仕様</t>
  </si>
  <si>
    <t>DD-A 共通・方式の実装仕様</t>
  </si>
  <si>
    <t>① 基本設計</t>
  </si>
  <si>
    <t>判断根拠</t>
    <phoneticPr fontId="2"/>
  </si>
  <si>
    <t>認証の中核</t>
  </si>
  <si>
    <t>代替手段あり</t>
  </si>
  <si>
    <t>製品機能</t>
  </si>
  <si>
    <t>後から追加可能</t>
  </si>
  <si>
    <t>事故防止</t>
  </si>
  <si>
    <t>業務データ</t>
  </si>
  <si>
    <t>画面のみ</t>
  </si>
  <si>
    <t>業務ルール依存</t>
  </si>
  <si>
    <t>法令・契約</t>
  </si>
  <si>
    <t>改ざん防止</t>
  </si>
  <si>
    <t>横断（対象縮小）</t>
  </si>
  <si>
    <t>運用に必須</t>
  </si>
  <si>
    <t>構成の前提</t>
  </si>
  <si>
    <t>根拠の補足</t>
    <phoneticPr fontId="2"/>
  </si>
  <si>
    <t>顧客への約束は機能の数では変わらない</t>
  </si>
  <si>
    <t>構成が成立するかの確認で、機能を減らしても確かめる必要は残る</t>
  </si>
  <si>
    <t>構成の前提を決める判断で、先送りすると後続が全て止まる</t>
  </si>
  <si>
    <t>見る画面はアプリでよいが、記録そのものは改ざん防止のため基盤が持つ</t>
  </si>
  <si>
    <t>通常のシステム監視と手動更新で代替でき、無くても認証は止まらない</t>
  </si>
  <si>
    <t>入れ替えを止めると、漏れた鍵がいつまでも有効なままになる</t>
  </si>
  <si>
    <t>切れると全顧客のログインが黙って止まるため、期限の監視は外せない</t>
  </si>
  <si>
    <t>対象の画面が減るぶん縮むが、画面設計という作業自体は残る</t>
  </si>
  <si>
    <t>記録する側と操作する側を分けないと、監査の意味が無くなる</t>
  </si>
  <si>
    <t>運用の手順が無いと、作っても回せない</t>
  </si>
  <si>
    <t>方式は 1 機能でも 91 機能でも決める必要があり、対象が減っても消えない</t>
  </si>
  <si>
    <t>対象が減るぶん縮むが、突き合わせと合意の場は必ず要る</t>
  </si>
  <si>
    <t>環境や製品設定は、機能を減らしても同じだけ必要になる</t>
  </si>
  <si>
    <t>手順書が無いと運用が回らず、作っただけで終わる</t>
  </si>
  <si>
    <t>HE-19a</t>
  </si>
  <si>
    <t>トークンに署名する鍵の一覧と、入れ替えの手順を整理する</t>
  </si>
  <si>
    <t>HC-04a</t>
  </si>
  <si>
    <t>HC-04j</t>
  </si>
  <si>
    <t>接続仕様が返すエラーの種類と番号の体系（アプリが判定に使う）</t>
  </si>
  <si>
    <t>対象</t>
  </si>
  <si>
    <t>D-21</t>
  </si>
  <si>
    <t>担当</t>
  </si>
  <si>
    <t>認証</t>
  </si>
  <si>
    <t>連携</t>
  </si>
  <si>
    <t>当初想定</t>
    <phoneticPr fontId="2"/>
  </si>
  <si>
    <t>新規: 規模</t>
  </si>
  <si>
    <t>新規: 自社構築</t>
  </si>
  <si>
    <t>新規: 非機能・運用</t>
  </si>
  <si>
    <t>当初あり</t>
  </si>
  <si>
    <t>新規: 機能追加</t>
  </si>
  <si>
    <t>応答時間の目標は、アプリの作り方と基盤の設備の両方で決まるため共同で決める</t>
  </si>
  <si>
    <t>同上。達成手段が基盤側とアプリ側にまたがる</t>
  </si>
  <si>
    <t>作業種別</t>
    <phoneticPr fontId="2"/>
  </si>
  <si>
    <t>実機検証・照会</t>
  </si>
  <si>
    <t>レビュー・合意</t>
  </si>
  <si>
    <t>調査・計画</t>
  </si>
  <si>
    <t>ガイド・手順書の執筆</t>
  </si>
  <si>
    <t>設計書の執筆</t>
  </si>
  <si>
    <t>基盤チーム</t>
  </si>
  <si>
    <t>要判断</t>
  </si>
  <si>
    <t>担当（案②: 一部移管）</t>
    <phoneticPr fontId="2"/>
  </si>
  <si>
    <t>担当（案③: アプリ構築）</t>
    <phoneticPr fontId="2"/>
  </si>
  <si>
    <t>要件確認</t>
  </si>
  <si>
    <t>HE-22a</t>
  </si>
  <si>
    <t>HB-F-AZ-05a</t>
  </si>
  <si>
    <t>E-4a</t>
  </si>
  <si>
    <t>本番設定: 同時受付数の上限</t>
  </si>
  <si>
    <t>E-4b</t>
  </si>
  <si>
    <t>本番設定: 外部に出さないパスの遮断表</t>
  </si>
  <si>
    <t>E-4c</t>
  </si>
  <si>
    <t>E-4d</t>
  </si>
  <si>
    <t>本番設定: クラスタ内のノード発見方式</t>
  </si>
  <si>
    <t>E-4e</t>
  </si>
  <si>
    <t>本番設定: ログイン状態の永続化の確認</t>
  </si>
  <si>
    <t>調査計画：仮定値の根拠整理</t>
  </si>
  <si>
    <t>運用設計：運用委託先から個人情報を見せない記録方式</t>
  </si>
  <si>
    <t>運用設計：当番体制と通知先の割り当て</t>
  </si>
  <si>
    <t>構成図：ネットワーク詳細図</t>
  </si>
  <si>
    <t>前提：設計書 総則（目的・範囲・読み方）</t>
  </si>
  <si>
    <t>前提：前提条件一覧</t>
  </si>
  <si>
    <t>前提：用語集・略語集</t>
  </si>
  <si>
    <t>構成図：全体構成図（論理・清書を含む）</t>
  </si>
  <si>
    <t>構成図：全体構成図（物理・清書を含む）</t>
  </si>
  <si>
    <t>認証：セッション管理方式設計（ログイン状態の保持・タイムアウト・ログアウト）</t>
  </si>
  <si>
    <t>共通：文字コード・日時・タイムゾーン方式</t>
  </si>
  <si>
    <t>共通：キャッシュ方式設計</t>
  </si>
  <si>
    <t>共通：採番設計（ID 採番方式・重複回避）</t>
  </si>
  <si>
    <t>共通：命名規約（リソース/API/DB）</t>
  </si>
  <si>
    <t>共通：Terraform 設計規約</t>
  </si>
  <si>
    <t>共通：性能設計書（目標値・処理方式・チューニング方針）</t>
  </si>
  <si>
    <t>共通：キャパシティ・データ量見積（テーブル別・増加率・5 年後）</t>
  </si>
  <si>
    <t>共通：鍵管理設計書（3 階層の鍵と暗号化の境界）</t>
  </si>
  <si>
    <t>機能仕様書: SCIM 受信 グループ連携</t>
  </si>
  <si>
    <t>鍵・証明書一覧：署名に使う鍵</t>
  </si>
  <si>
    <t>運用設計：監査ログ イベント一覧</t>
  </si>
  <si>
    <t>運用設計：監査ログ 取得項目・保持年数・置き場所</t>
  </si>
  <si>
    <t>セキュリティ：攻撃経路対応表（33 経路×対策）</t>
  </si>
  <si>
    <t>運用設計：監視項目一覧（メトリクス）</t>
  </si>
  <si>
    <t>運用設計：監視項目一覧（ログ・合成監視）</t>
  </si>
  <si>
    <t>運用設計：閾値・通知先設計</t>
  </si>
  <si>
    <t>運用設計：環境設計書（本番 / stg / dev の構成差分）</t>
  </si>
  <si>
    <t>Realm / Organizations 構成設計書</t>
  </si>
  <si>
    <t>認証フローの組み立て順序（3 系統）</t>
  </si>
  <si>
    <t>構成：クラスタ構成設計書（ノード群・配置制約・自動増減）</t>
  </si>
  <si>
    <t>構成：クラスタ運用の境界と責任分界（ベンダー保守との分担）</t>
  </si>
  <si>
    <t>システム全体の構成を、機能のまとまりで表した図。清書（旧 G-4.1）を含む</t>
  </si>
  <si>
    <t>システム全体の構成を、実際の設備配置で表した図。清書（旧 G-4.1）を含む</t>
  </si>
  <si>
    <t>保管するデータがどれくらいの量になり、5 年後どこまで増えるかの見積もり</t>
  </si>
  <si>
    <t>標準方式の認証連携で、やり取りする情報の仕様。内訳: 認可エンドポイント / トークンエンドポイント / クレーム / ログアウト</t>
  </si>
  <si>
    <t>旧方式の認証連携で、やり取りする情報の仕様。内訳: メタデータ / Assertion / シングルログアウト</t>
  </si>
  <si>
    <t>→ 収載先: 鍵・証明書管理設計書。決定記録。自動追随が使えない場合の手動手順も含む</t>
  </si>
  <si>
    <t>→ 収載先: ログ設計書。決定記録。出力内容の伏せ方と、設定を固定する方法が定まっている</t>
  </si>
  <si>
    <t>→ 収載先: 鍵・証明書管理設計書。鍵管理設計書。鍵の種類・保管場所・入れ替え周期が定まっている</t>
  </si>
  <si>
    <t>→ 収載先: 多要素認証設計書。機能仕様書 1 本。桁ずれの許容範囲と、連続失敗時の扱いが定義されレビュー承認済み</t>
  </si>
  <si>
    <t>→ 収載先: 多要素認証設計書。機能仕様書 1 本。QR と手入力の両方を用意し、登録完了を確認してから有効化する手順が定義されレビュー承認済み</t>
  </si>
  <si>
    <t>→ 収載先: 鍵・証明書管理設計書。機能仕様書 1 本。入れ替え周期・並走期間と、失敗時の手動手順が定義されレビュー承認済み</t>
  </si>
  <si>
    <t>→ 収載先: 鍵・証明書管理設計書。機能仕様書 1 本。入れ替え周期と、切り替え中に接続が切れないための扱いが定義されレビュー承認済み</t>
  </si>
  <si>
    <t>→ 収載先: 鍵・証明書管理設計書。機能仕様書 1 本。通知するタイミングと、通知先が定義されレビュー承認済み</t>
  </si>
  <si>
    <t>→ 収載先: 鍵・証明書管理設計書。一覧と手順。鍵の種類・保管場所・入れ替え周期が定まっている</t>
  </si>
  <si>
    <t>→ 収載先: ログ設計書。イベント一覧。監査で必要な操作が漏れなく含まれている</t>
  </si>
  <si>
    <t>→ 収載先: ログ設計書。項目表。すべての記録に保存年数が紐づいている</t>
  </si>
  <si>
    <t>共同</t>
  </si>
  <si>
    <t>【省略・吸収】ステップアップ認証は不要と決定。人日は復活時のために残す</t>
  </si>
  <si>
    <t>【省略・吸収】HG-05 に吸収（監査ログの置き場所・保持年数）。人日は復活時のために残す</t>
  </si>
  <si>
    <t>【省略・吸収】E-1.2 に吸収（費用比較は構成決定と一体）。人日は復活時のために残す</t>
  </si>
  <si>
    <t>【省略・吸収】④ テストで計上（試験用データの作り方）。人日は復活時のために残す</t>
  </si>
  <si>
    <t>【省略・吸収】② 詳細設計 DDD-07 で計上。人日は復活時のために残す</t>
  </si>
  <si>
    <t>対象外：省略・吸収</t>
  </si>
  <si>
    <t>着手</t>
  </si>
  <si>
    <t>システム同士が API を呼ぶための資格の発行と交換</t>
  </si>
  <si>
    <t>アプリ</t>
    <phoneticPr fontId="2"/>
  </si>
  <si>
    <t>△</t>
  </si>
  <si>
    <t>c</t>
    <phoneticPr fontId="2"/>
  </si>
  <si>
    <t>ログイン画面</t>
  </si>
  <si>
    <t>パスワードに加えて 2 つ目の要素（数字コード・生体・セキュリティキー）を求める。登録と利用の両方を含む</t>
  </si>
  <si>
    <t>ログイン状態をどこまで保つか、いつ切るか。アプリ側へのログアウト連携を含む</t>
  </si>
  <si>
    <t>ユーザ管理</t>
  </si>
  <si>
    <t>ユーザ属性の統一</t>
  </si>
  <si>
    <t>顧客ごとにバラバラな項目名や登録経路を、基盤内の統一した形に揃える</t>
  </si>
  <si>
    <t>ユーザの停止・再開・消去</t>
  </si>
  <si>
    <t>顧客・組織管理</t>
  </si>
  <si>
    <t>権限・認可</t>
  </si>
  <si>
    <t>認可・権限判定</t>
  </si>
  <si>
    <t>監査・記録</t>
  </si>
  <si>
    <t>運用機能</t>
  </si>
  <si>
    <t>誰が何をしたかの記録と、その照会・保管。システム用アカウントの台帳と本人からの請求対応を含む</t>
  </si>
  <si>
    <t>鍵・証明書管理</t>
  </si>
  <si>
    <t>署名鍵・接続用パスワード・証明書を期限前に入れ替える</t>
  </si>
  <si>
    <t>不正兆候の検知と、擬似ログインによる障害検知</t>
  </si>
  <si>
    <t>非機能: システム構成</t>
  </si>
  <si>
    <t>非機能</t>
  </si>
  <si>
    <t>全体構成・ネットワーク・クラスタ・環境の構成。他組織が管理する境界との調整を含む</t>
  </si>
  <si>
    <t>非機能: 性能・拡張性</t>
  </si>
  <si>
    <t>性能目標・処理量の見積り・同時実行の上限・性能試験の計画</t>
  </si>
  <si>
    <t>非機能: 可用性・災害対策</t>
  </si>
  <si>
    <t>障害と災害からの復旧。稼働率と復旧目標の顧客への約束</t>
  </si>
  <si>
    <t>非機能: セキュリティ</t>
  </si>
  <si>
    <t>攻撃経路への対策、鍵と暗号化の管理方式、個人情報の取り扱い</t>
  </si>
  <si>
    <t>非機能: 運用・監視</t>
  </si>
  <si>
    <t>非機能: 移行・環境</t>
  </si>
  <si>
    <t>開発・検証環境の用意と、既存からの移行</t>
  </si>
  <si>
    <t>非機能: 設計標準・規約</t>
  </si>
  <si>
    <t>全機能に共通して守る設計上の決まり（エラー・ログ・命名・API・画面）</t>
  </si>
  <si>
    <t>非機能: 設計管理</t>
  </si>
  <si>
    <t>非機能: 提供ドキュメント</t>
  </si>
  <si>
    <t>顧客とアプリ開発者へ渡す資料のうち、特定の機能に紐づかない共通部分</t>
  </si>
  <si>
    <t>キャパシティ・データ量見積</t>
  </si>
  <si>
    <t>状態変化の即時通知（CAEP）</t>
  </si>
  <si>
    <t>顧客・ベンダーへの照会</t>
  </si>
  <si>
    <t>攻撃経路と対策</t>
  </si>
  <si>
    <t>ネットワーク構成</t>
  </si>
  <si>
    <t>クラスタ構成</t>
  </si>
  <si>
    <t>ログイン画面の表示（ブランド・並び順）</t>
  </si>
  <si>
    <t>災害対策（別地域への切替）</t>
  </si>
  <si>
    <t>他組織との構成調整</t>
  </si>
  <si>
    <t>擬似ログインによる障害検知</t>
  </si>
  <si>
    <t>同時実行・上限値の設定</t>
  </si>
  <si>
    <t>管理操作の 3 段階権限確認</t>
  </si>
  <si>
    <t>既存からの移行</t>
  </si>
  <si>
    <t>Keycloak-IdP 収容ユーザのログイン</t>
  </si>
  <si>
    <t>Realm・ブランド区画構成</t>
  </si>
  <si>
    <t>開発・検証環境</t>
  </si>
  <si>
    <t>性能試験の計画</t>
  </si>
  <si>
    <t>運用コストの管理</t>
  </si>
  <si>
    <t>鍵・暗号化の管理方式</t>
  </si>
  <si>
    <t>性能目標・チューニング方針</t>
  </si>
  <si>
    <t>顧客の解約</t>
  </si>
  <si>
    <t>運用手順書</t>
  </si>
  <si>
    <t>緊急時の管理者アクセス</t>
  </si>
  <si>
    <t>強制ログアウト（管理者）</t>
  </si>
  <si>
    <t>バックアップ・復元</t>
  </si>
  <si>
    <t>運用体制・当番</t>
  </si>
  <si>
    <t>設計書の総則・前提・用語</t>
  </si>
  <si>
    <t>全体構成（論理・物理）</t>
  </si>
  <si>
    <t>共通方式（エラー・ログ・整合・排他ほか）</t>
  </si>
  <si>
    <t>個人情報の取り扱い</t>
  </si>
  <si>
    <t>命名・構成管理規約</t>
  </si>
  <si>
    <t>API 設計規約</t>
  </si>
  <si>
    <t>トレーサビリティ</t>
  </si>
  <si>
    <t>機能一覧・業務フロー</t>
  </si>
  <si>
    <t>ログイン状態の保持とタイムアウト</t>
  </si>
  <si>
    <t>初回ログイン時のユーザ自動作成（JIT）</t>
  </si>
  <si>
    <t>2 台目の認証器登録時の本人再確認</t>
  </si>
  <si>
    <t>初回ログイン時の権限側への識別子連携</t>
  </si>
  <si>
    <t>初回ログイン時の権限側の受け皿作成</t>
  </si>
  <si>
    <t>使えるアプリ一覧の取得（ログイン後の着地）</t>
  </si>
  <si>
    <t>アプリへの変更通知（Webhook）</t>
  </si>
  <si>
    <t>画面一覧・画面遷移</t>
  </si>
  <si>
    <t>利用規約への同意取得と記録</t>
  </si>
  <si>
    <t>IF 一覧・データ全体構成</t>
  </si>
  <si>
    <t>定期処理の実行基盤</t>
  </si>
  <si>
    <t>監視項目・閾値・通知</t>
  </si>
  <si>
    <t>環境構成（本番 / stg / dev）</t>
  </si>
  <si>
    <t>設計レビュー・説明会</t>
  </si>
  <si>
    <t>アプリの接続登録（クライアント登録）</t>
  </si>
  <si>
    <t>顧客向け説明資料</t>
  </si>
  <si>
    <t>稼働率・復旧目標（SLA / SLO）</t>
  </si>
  <si>
    <t>アプリ開発者向けガイド（共通部）</t>
  </si>
  <si>
    <t>本人からの開示・削除請求への対応</t>
  </si>
  <si>
    <t>アプリへのログアウト連携</t>
  </si>
  <si>
    <t>エラー・案内画面（アプリ）</t>
  </si>
  <si>
    <t>NF-PRF-02</t>
  </si>
  <si>
    <t>NF-MGT-07</t>
  </si>
  <si>
    <t>NF-SEC-01</t>
  </si>
  <si>
    <t>NF-OPS-05</t>
  </si>
  <si>
    <t>NF-ARC-02</t>
  </si>
  <si>
    <t>NF-ARC-03</t>
  </si>
  <si>
    <t>F-AUTH-25</t>
  </si>
  <si>
    <t>NF-AVL-01</t>
  </si>
  <si>
    <t>NF-ARC-06</t>
  </si>
  <si>
    <t>NF-PRF-03</t>
  </si>
  <si>
    <t>NF-MIG-02</t>
  </si>
  <si>
    <t>NF-ARC-04</t>
  </si>
  <si>
    <t>NF-MIG-01</t>
  </si>
  <si>
    <t>NF-PRF-04</t>
  </si>
  <si>
    <t>NF-OPS-07</t>
  </si>
  <si>
    <t>NF-SEC-02</t>
  </si>
  <si>
    <t>NF-PRF-01</t>
  </si>
  <si>
    <t>F-ADM-23</t>
  </si>
  <si>
    <t>NF-OPS-03</t>
  </si>
  <si>
    <t>NF-OPS-04</t>
  </si>
  <si>
    <t>NF-AVL-02</t>
  </si>
  <si>
    <t>NF-OPS-02</t>
  </si>
  <si>
    <t>NF-MGT-01</t>
  </si>
  <si>
    <t>NF-ARC-01</t>
  </si>
  <si>
    <t>NF-STD-01</t>
  </si>
  <si>
    <t>F-ADM-25</t>
  </si>
  <si>
    <t>NF-SEC-03</t>
  </si>
  <si>
    <t>NF-STD-04</t>
  </si>
  <si>
    <t>NF-STD-02</t>
  </si>
  <si>
    <t>NF-STD-03</t>
  </si>
  <si>
    <t>NF-MGT-05</t>
  </si>
  <si>
    <t>NF-MGT-02</t>
  </si>
  <si>
    <t>F-AUTH-23</t>
  </si>
  <si>
    <t>NF-MGT-03</t>
  </si>
  <si>
    <t>F-AUTH-26</t>
  </si>
  <si>
    <t>F-AUTH-28</t>
  </si>
  <si>
    <t>NF-MGT-04</t>
  </si>
  <si>
    <t>F-AZ-10</t>
  </si>
  <si>
    <t>NF-OPS-06</t>
  </si>
  <si>
    <t>NF-OPS-01</t>
  </si>
  <si>
    <t>NF-ARC-05</t>
  </si>
  <si>
    <t>NF-MGT-06</t>
  </si>
  <si>
    <t>F-INT-13</t>
  </si>
  <si>
    <t>NF-DOC-02</t>
  </si>
  <si>
    <t>NF-AVL-03</t>
  </si>
  <si>
    <t>NF-DOC-01</t>
  </si>
  <si>
    <t>F-ADM-24</t>
  </si>
  <si>
    <t>F-AUTH-24</t>
  </si>
  <si>
    <t>F-AUTH-27</t>
  </si>
  <si>
    <t>顧客が持つ認証システムに OIDC で認証を委ね、その結果を受け取ってログインさせる</t>
  </si>
  <si>
    <t>顧客が持つ認証システムに SAML で認証を委ね、その結果を受け取ってログインさせる</t>
  </si>
  <si>
    <t>2 回目以降のログインで、顧客側の最新情報を使って属性を更新する</t>
  </si>
  <si>
    <t>初めてログインした人の識別子を、権限を管理する側へ知らせる</t>
  </si>
  <si>
    <t>2 台目以降の認証器を登録するとき、すでに持っている認証器で本人確認してから登録させる</t>
  </si>
  <si>
    <t>重要な操作の直前に追加の認証を求める。ステップアップ認証は不要と決定したため対象外</t>
  </si>
  <si>
    <t>端末を失くしたときに使う一度きりのコードを発行し、利用させる</t>
  </si>
  <si>
    <t>パスワードの連続失敗を検知して一時的に受け付けなくする</t>
  </si>
  <si>
    <t>その ID が実在するかが応答の違いから分からないようにする。1 件ずつ試して実在者を割り出されるのを防ぐ</t>
  </si>
  <si>
    <t>入力されたパスワードが過去に流出したものでないかを確認し、該当する場合は使わせない</t>
  </si>
  <si>
    <t>ログイン状態をどこにどれだけ保つか、いつ切れるか。アプリ側のセッションとの関係を含む</t>
  </si>
  <si>
    <t>1 箇所でログアウトしたとき、他のアプリのログイン状態も切る仕組み</t>
  </si>
  <si>
    <t>アプリ側が出す案内画面。権限が無い（403）ときの Sorry 画面への誘導規約</t>
  </si>
  <si>
    <t>保存期限を過ぎたデータを実際に消去する。初期リリースでは準備のみ</t>
  </si>
  <si>
    <t>顧客ごとの設定（ログイン方式の切り替えなど）を編集する</t>
  </si>
  <si>
    <t>顧客がサービスから離脱するときのデータの扱いと停止の段取り</t>
  </si>
  <si>
    <t>接続済みの認証システムの設定変更と、期限が来る証明書の入れ替え</t>
  </si>
  <si>
    <t>付与済みの権限が今も妥当かを定期的に確認させる</t>
  </si>
  <si>
    <t>アプリが 1 回の問い合わせで必要な情報を得られるよう、複数の情報源をまとめた参照用データを最新に保つ</t>
  </si>
  <si>
    <t>アプリごとの役割の値を解決して返す</t>
  </si>
  <si>
    <t>ログイン後の入口画面に表示する「使えるアプリの一覧」を返す</t>
  </si>
  <si>
    <t>アプリやバッチがシステムとして API を呼ぶための資格を発行する</t>
  </si>
  <si>
    <t>招待・パスワード再設定・注意喚起などのメールを送る</t>
  </si>
  <si>
    <t>業務システムにログインした状態から、他のアプリの API を呼べるようにする</t>
  </si>
  <si>
    <t>管理操作やログイン、権限判定の記録を検索・閲覧する。長期保管と中央集約を含む</t>
  </si>
  <si>
    <t>何を記録に残し、どの項目を何年保つか。長期保管領域と、他組織の監査アカウントへの集約を含む</t>
  </si>
  <si>
    <t>人ではないシステム用のアカウントを台帳で管理し、管理者不在のものを検出する</t>
  </si>
  <si>
    <t>本人から求められたときに、保有する個人データを開示し、または削除する</t>
  </si>
  <si>
    <t>アプリごとの接続用パスワードを定期的に入れ替える</t>
  </si>
  <si>
    <t>システム間の情報のずれを 1 日 1 回突き合わせる</t>
  </si>
  <si>
    <t>不正なログインの兆候を検知して通知する</t>
  </si>
  <si>
    <t>システム全体の構成を論理・物理の両面で示す図と、その清書</t>
  </si>
  <si>
    <t>ネットワークの区画・経路・IP アドレス範囲。他組織が管理する境界との接続を含む</t>
  </si>
  <si>
    <t>環境ごとの構成の差分と、どこまで揃えるか</t>
  </si>
  <si>
    <t>インターネット境界を管理する他組織との要求事項のやり取りと合意</t>
  </si>
  <si>
    <t>応答時間と処理量の目標、処理方式、チューニングの考え方</t>
  </si>
  <si>
    <t>テーブル別のデータ量・増加率・5 年後の見込みと、その前提の根拠</t>
  </si>
  <si>
    <t>同時に受け付ける数の上限や、重い処理が他を止めないための設定</t>
  </si>
  <si>
    <t>どの経路をどれだけの負荷で測るかの計画</t>
  </si>
  <si>
    <t>地域全体が使えなくなったときの切替。Phase 1 では対象外</t>
  </si>
  <si>
    <t>誤操作やデータの壊れからの復元手順。同一地域内で行う</t>
  </si>
  <si>
    <t>顧客に約束する稼働率と復旧目標、および約束しない範囲</t>
  </si>
  <si>
    <t>想定される攻撃経路を洗い出し、それぞれの対策を対応づける</t>
  </si>
  <si>
    <t>暗号化に使う鍵を種類ごとにどう管理するか。鍵と証明書の一覧を含む</t>
  </si>
  <si>
    <t>運用委託先や記録から個人情報が漏れないようにする方式</t>
  </si>
  <si>
    <t>何を見張り、どの値で誰に知らせるか</t>
  </si>
  <si>
    <t>当番の組み方と通知先の割り当て</t>
  </si>
  <si>
    <t>事故対応・報告・顧客の受け入れなど、運用時に手順どおり行う作業</t>
  </si>
  <si>
    <t>通常経路が使えないときに管理者が入る仕組み</t>
  </si>
  <si>
    <t>バッチの一覧・実行基盤・スケジュール・多重起動制御</t>
  </si>
  <si>
    <t>運用開始後に費用を継続的に把握・管理する仕組み</t>
  </si>
  <si>
    <t>開発と検証に使う環境の構成・共用方針・試験用データ</t>
  </si>
  <si>
    <t>エラー処理・ログ出力・整合性・排他制御・キャッシュ・採番・文字コード・多言語の共通方針</t>
  </si>
  <si>
    <t>API の命名・エラーの返し方・件数の区切り方・冪等・版管理と廃止方針</t>
  </si>
  <si>
    <t>画面の共通レイアウト・部品・メッセージ・アクセシビリティの基準</t>
  </si>
  <si>
    <t>リソース・API・DB の命名と、構成をコードで管理するときの規約</t>
  </si>
  <si>
    <t>設計書の目的・範囲・読み方、前提条件の一覧、用語集</t>
  </si>
  <si>
    <t>システム全体でどんな画面があるかの一覧と、画面のつながり</t>
  </si>
  <si>
    <t>内部・外部のつなぎ目の一覧と、どのデータがどこにあるかの全体像</t>
  </si>
  <si>
    <t>要件から機能・設計・テストまでの追跡と、その維持の仕方</t>
  </si>
  <si>
    <t>設計書どうしの整合レビューと、関係者への説明</t>
  </si>
  <si>
    <t>顧客への質問状、法務やベンダーへの照会と、その回答の設計への反映</t>
  </si>
  <si>
    <t>アプリ開発者へ渡すガイドのうち、特定の機能に紐づかない導入・運用・参照の部分</t>
  </si>
  <si>
    <t>責任分界・サービス仕様・制約事項など、契約に添えて顧客へ渡す資料</t>
  </si>
  <si>
    <t>被ってる気がする</t>
  </si>
  <si>
    <t>単元間 整合性レビュー（第3回）</t>
  </si>
  <si>
    <t>指摘対応・改訂（第3回）</t>
  </si>
  <si>
    <t>単元間 整合性レビュー（第4回）</t>
  </si>
  <si>
    <t>指摘対応・改訂（第5回）</t>
  </si>
  <si>
    <t>単元間 整合性レビュー（第5回）</t>
  </si>
  <si>
    <t>指摘対応・改訂（第4回）</t>
  </si>
  <si>
    <t>設計書間で矛盾がないかを通しで確認する（3 回目）</t>
  </si>
  <si>
    <t>3 回目の指摘に対応して設計書を直す</t>
  </si>
  <si>
    <t>設計書間で矛盾がないかを通しで確認する（4 回目）</t>
  </si>
  <si>
    <t>4 回目の指摘に対応して設計書を直す</t>
  </si>
  <si>
    <t>設計書間で矛盾がないかを通しで確認する（5 回目）</t>
  </si>
  <si>
    <t>5 回目の指摘に対応して設計書を直す</t>
  </si>
  <si>
    <t>顧客が行う</t>
  </si>
  <si>
    <t>HB-F 機能仕様書</t>
  </si>
  <si>
    <t>機能仕様書。判定に使う値・判定の順序・判定できたときの送り先が定まっている</t>
  </si>
  <si>
    <t>HRD：自社拡張の仕様書（判定ロジック・切替）</t>
  </si>
  <si>
    <t>拡張の仕様書。入出力と、どのフローのどこに置くかが定まっている</t>
  </si>
  <si>
    <t>機能仕様書: 振り分けできないときのパスワード入力への切替</t>
  </si>
  <si>
    <t>機能仕様書。切り替える条件と、切り替えた後の扱いが定まっている</t>
  </si>
  <si>
    <t>機能仕様書。選ばせる条件と、並び順の決め方が定まっている</t>
  </si>
  <si>
    <t>グループ会社や部門ごとに認証システムを持つ顧客がいるため</t>
  </si>
  <si>
    <t>機能仕様書: 初回ログイン時のユーザ自動作成（JIT）</t>
  </si>
  <si>
    <t>機能仕様書。作る条件・持たせる項目・重複したときの扱いが定まっている</t>
  </si>
  <si>
    <t>機能仕様書: ログイン時の属性更新</t>
  </si>
  <si>
    <t>2 回目以降のログインで、顧客側の最新の情報を使って属性を更新する</t>
  </si>
  <si>
    <t>機能仕様書。更新する項目と、更新しない項目の区別が定まっている</t>
  </si>
  <si>
    <t>属性が古いままだとアプリ側の判断が誤る</t>
  </si>
  <si>
    <t>HD データ設計</t>
  </si>
  <si>
    <t>宣言の設計。項目名・型・必須かどうかが一覧で定まっている</t>
  </si>
  <si>
    <t>顧客ごとにバラバラな項目名を基盤の統一名へ変換する規則と、その置き場所を決める</t>
  </si>
  <si>
    <t>変換方針。規則の書き方と、顧客が増えたときの追加方法が定まっている</t>
  </si>
  <si>
    <t>顧客ごとに項目名が違うため、写し方の規則が無いと属性が入らない</t>
  </si>
  <si>
    <t>HE つなぎ目設計</t>
  </si>
  <si>
    <t>SCIM 受信仕様（窓口・項目の対応づけ・絞り込み・削除の読み替え）</t>
  </si>
  <si>
    <t>接続仕様。入口・認証方法・項目の対応・応答が定まっている</t>
  </si>
  <si>
    <t>機能仕様書。受け取る項目と、重複したときの扱いが定まっている</t>
  </si>
  <si>
    <t>顧客システム連携の中核</t>
  </si>
  <si>
    <t>機能仕様書。更新する項目と、競合したときの扱いが定まっている</t>
  </si>
  <si>
    <t>同上</t>
  </si>
  <si>
    <t>機能仕様書: SCIM 受信 削除通知（消さずに無効化へ読み替え）</t>
  </si>
  <si>
    <t>顧客側からの削除通知を受け取り、基盤側では消さずに使えない状態にする</t>
  </si>
  <si>
    <t>機能仕様書。読み替えの規則と、記録の残し方が定まっている</t>
  </si>
  <si>
    <t>消してしまうと監査の記録が追えなくなるため、無効化に読み替える</t>
  </si>
  <si>
    <t>機能仕様書。絞り込みの条件と件数の区切り方が定まっている</t>
  </si>
  <si>
    <t>顧客側のグループ情報を受け取る。初期リリースでは対象外</t>
  </si>
  <si>
    <t>機能仕様書。初期リリースで対象外とする範囲が明記されている</t>
  </si>
  <si>
    <t>初期リリースでは対象外だが、対象外と宣言すること自体が成果物</t>
  </si>
  <si>
    <t>機能仕様書: 登録経路の区分判定</t>
  </si>
  <si>
    <t>機能仕様書。区分の値と、判定するタイミングが定まっている</t>
  </si>
  <si>
    <t>初回ログインで作った人と顧客システムから来た人で、後の扱いが変わるため</t>
  </si>
  <si>
    <t>機能仕様書。止める条件と、止めた後にできなくなることが定まっている</t>
  </si>
  <si>
    <t>顧客システムからの削除通知の受け皿。退職者を確実に遮断する</t>
  </si>
  <si>
    <t>機能仕様書。再開してよい条件と、除外する条件が定まっている</t>
  </si>
  <si>
    <t>条件を誤ると退職者が復活する。除外条件の明示が必須</t>
  </si>
  <si>
    <t>機能仕様書: ServiceNow へのログイン提供（SAML）</t>
  </si>
  <si>
    <t>機能仕様書。交換する情報と、ログアウトの扱いが定まっている</t>
  </si>
  <si>
    <t>業務システムは旧方式（SAML）でしか受けられないため、専用の設計が要る</t>
  </si>
  <si>
    <t>機能仕様書。渡す属性と、業務システム側に求める設定が定まっている</t>
  </si>
  <si>
    <t>機能仕様書: 業務システムから他アプリへの連携</t>
  </si>
  <si>
    <t>業務システムにログインした状態から、他のアプリを呼べるようにする</t>
  </si>
  <si>
    <t>機能仕様書。引き継ぐ情報と、引き継がない情報が定まっている</t>
  </si>
  <si>
    <t>業務システムを起点にした導線。無くても各アプリへ直接ログインできる</t>
  </si>
  <si>
    <t>外部 IF: ServiceNow</t>
  </si>
  <si>
    <t>業務システムとやり取りする情報の項目と形式を決める</t>
  </si>
  <si>
    <t>接続仕様。項目・必須の区別・エラー時の扱いが定まっている</t>
  </si>
  <si>
    <t>相手方の仕様に合わせる必要があり、事前に確定していないと接続できない</t>
  </si>
  <si>
    <t>GD アプリ向けガイド</t>
  </si>
  <si>
    <t>第 3 部 既存の旧方式アプリ向け</t>
  </si>
  <si>
    <t>旧方式でしか受けられないアプリの接続方法を手引きにする</t>
  </si>
  <si>
    <t>ガイドの章。設定手順と注意点が書かれている</t>
  </si>
  <si>
    <t>業務システム以外にも旧方式のアプリがある想定</t>
  </si>
  <si>
    <t>どのデータがどこに保管されているかを 1 枚の図にする</t>
  </si>
  <si>
    <t>構成図。保管先と保管内容が対応づいている</t>
  </si>
  <si>
    <t>NF-ARC-07</t>
  </si>
  <si>
    <t>整理結果。直接読み書きしてよい範囲が定まっている</t>
  </si>
  <si>
    <t>製品の表を直接触ると版を上げたときに壊れる。線引きが要る</t>
  </si>
  <si>
    <t>データベースの索引・大きな表の分割・接続の設定方針を決める</t>
  </si>
  <si>
    <t>方針。索引の付け方と、接続数の上限の根拠が定まっている</t>
  </si>
  <si>
    <t>合意記録。使う値と、変わらないことの保証が定まっている</t>
  </si>
  <si>
    <t>アプリ側の作りに依存するため協議して決める。後から変えられない値</t>
  </si>
  <si>
    <t>機能仕様書。判定の場所と、防げなかった場合の記録の残し方が定まっている</t>
  </si>
  <si>
    <t>HJ-20</t>
  </si>
  <si>
    <t>基盤（ROSA）をどの状態まで作って渡すか、渡した後は誰が何を持つかを決める</t>
  </si>
  <si>
    <t>合意記録。引き渡す状態・手順・渡した後の責任範囲が定まっている</t>
  </si>
  <si>
    <t>基盤は基盤（ROSA）だけを作ってアプリチームへ引き渡す前提。境界が曖昧だと運用で揉める</t>
  </si>
  <si>
    <t>G 手順書</t>
  </si>
  <si>
    <t>不正アクセスや障害を検知したときに、誰が何を止め、何を保全し、どこへ報告するかの初動を定める</t>
  </si>
  <si>
    <t>手順書。判断の基準・止める順序・証跡の保全方法・連絡先が定まっている</t>
  </si>
  <si>
    <t>検知しても初動が決まっていないと、被害が広がり証跡も失われる。情報漏えい時の報告手順（G-1.4）の前段</t>
  </si>
  <si>
    <t>D-16.4</t>
  </si>
  <si>
    <t>D 判断</t>
  </si>
  <si>
    <t>接続するアプリの切替計画（並行稼働・切り戻し）</t>
  </si>
  <si>
    <t>既存の認証から本基盤へアプリを移すときの順序・並行稼働の期間・戻し方を決める</t>
  </si>
  <si>
    <t>計画。切替の単位・判断の基準・戻す条件が定まっている</t>
  </si>
  <si>
    <t>HI-07</t>
  </si>
  <si>
    <t>HI-08</t>
  </si>
  <si>
    <t>HI-09</t>
  </si>
  <si>
    <t>HI-10</t>
  </si>
  <si>
    <t>設計書どうしの矛盾を潰す作業で、作る範囲を減らしても回数は減らない</t>
  </si>
  <si>
    <t>地域全体の障害からの復旧を対象に含める。切替先を持つため、平時から動かす設備と手順が要る</t>
  </si>
  <si>
    <t>【省略・吸収】HE-15 認証プロトコル IF（SAML メタデータ・Assertion）に吸収。人日は復活時のために残す</t>
  </si>
  <si>
    <t>【省略・吸収】HE-14 / HE-15 の認証プロトコル IF に吸収。人日は復活時のために残す</t>
  </si>
  <si>
    <t>想定される攻撃の経路を洗い出し、それぞれの対策を対応づける。ログイン口への総当たり・過大な流量への対策は WAF 側で行う前提とし、本基盤側で実装しない範囲をここで明示する</t>
  </si>
  <si>
    <t>ネットワークの区画・経路・通信の許可範囲を図にする。使用する IP アドレス範囲は確定済みの値を用いる</t>
  </si>
  <si>
    <t>記録に残すできごとの一覧を作る。あわせて、ログをどの水準でどんな形式で出すかの出力方式もここで決める。出力先は全体の共通基盤とし、集約はそちらで行う</t>
  </si>
  <si>
    <t>DD-H 自社拡張の詳細設計</t>
  </si>
  <si>
    <t>振り分けの判定ロジックの実装設計</t>
  </si>
  <si>
    <t>判定に使う値の取り出し方・照合の順序・見つからないときの分岐が実装できる粒度で書かれている</t>
  </si>
  <si>
    <t>単体試験仕様: 振り分け</t>
  </si>
  <si>
    <t>判定できる／できない／複数該当の観点と期待結果が定義されている</t>
  </si>
  <si>
    <t>③ 製造</t>
  </si>
  <si>
    <t>MKC-01</t>
  </si>
  <si>
    <t>MK-C 自社拡張の実装</t>
  </si>
  <si>
    <t>振り分けの自社拡張の実装</t>
  </si>
  <si>
    <t>入力された ID から送り先が決まり、実機で振り分く</t>
  </si>
  <si>
    <t>MKI-01</t>
  </si>
  <si>
    <t>MK-I 単体試験の実施</t>
  </si>
  <si>
    <t>単体試験: 振り分け</t>
  </si>
  <si>
    <t>試験仕様どおりに実施し、不具合が是正されている</t>
  </si>
  <si>
    <t>MKC-02</t>
  </si>
  <si>
    <t>切替の実装</t>
  </si>
  <si>
    <t>判定できないときにパスワード入力へ切り替わる</t>
  </si>
  <si>
    <t>MKB-01</t>
  </si>
  <si>
    <t>複数ある場合に選択でき、並び順が設計どおりになる</t>
  </si>
  <si>
    <t>OIDC フェデレーションの詳細設計</t>
  </si>
  <si>
    <t>接続定義2+属性写像1+フロー配置1</t>
  </si>
  <si>
    <t>DD-E つなぎ目（IF）の詳細設計</t>
  </si>
  <si>
    <t>OIDC エンドポイントとクレームの実装レベル定義</t>
  </si>
  <si>
    <t>公開する入口・要求できる範囲・返す項目が一覧で確定している</t>
  </si>
  <si>
    <t>単体試験仕様: OIDC ログイン</t>
  </si>
  <si>
    <t>初回・2 回目・属性変更・エラー応答の観点と期待結果が定義されている</t>
  </si>
  <si>
    <t>MKB-02</t>
  </si>
  <si>
    <t>ひな形3+初期分2</t>
  </si>
  <si>
    <t>MKB-03</t>
  </si>
  <si>
    <t>認証フローの組み立て</t>
  </si>
  <si>
    <t>ログイン・初回連携・連携後の 3 系統のフローが構成され、実機で通る</t>
  </si>
  <si>
    <t>MKI-02</t>
  </si>
  <si>
    <t>単体試験: OIDC ログイン</t>
  </si>
  <si>
    <t>SAML フェデレーションの詳細設計</t>
  </si>
  <si>
    <t>SAML メタデータと Assertion の実装レベル定義</t>
  </si>
  <si>
    <t>交換する情報の項目と、必須・任意の区別が確定している</t>
  </si>
  <si>
    <t>単体試験仕様: SAML ログイン</t>
  </si>
  <si>
    <t>正常・署名不正・期限切れの観点と期待結果が定義されている</t>
  </si>
  <si>
    <t>MKB-04</t>
  </si>
  <si>
    <t>MKI-03</t>
  </si>
  <si>
    <t>単体試験: SAML ログイン</t>
  </si>
  <si>
    <t>初回作成の実装設計</t>
  </si>
  <si>
    <t>作る条件・持たせる項目・重複時の扱いと、フローのどこで動かすかが確定している</t>
  </si>
  <si>
    <t>単体試験仕様: 初回作成</t>
  </si>
  <si>
    <t>初回・重複・項目不足の観点と期待結果が定義されている</t>
  </si>
  <si>
    <t>MKB-05</t>
  </si>
  <si>
    <t>初回作成の実装</t>
  </si>
  <si>
    <t>MKI-04</t>
  </si>
  <si>
    <t>単体試験: 初回作成</t>
  </si>
  <si>
    <t>属性更新の実装設計</t>
  </si>
  <si>
    <t>更新する項目・しない項目と、更新の起こし方が確定している</t>
  </si>
  <si>
    <t>MKB-06</t>
  </si>
  <si>
    <t>属性更新の実装</t>
  </si>
  <si>
    <t>ログインのたびに設計どおりの項目が更新される</t>
  </si>
  <si>
    <t>DD-G 基盤構成の実装設計</t>
  </si>
  <si>
    <t>引き渡す範囲と初期状態の取り決め</t>
  </si>
  <si>
    <t>★基盤は基盤（ROSA）だけ作ってアプリへ引き渡す</t>
  </si>
  <si>
    <t>MKA-01</t>
  </si>
  <si>
    <t>MK-A 環境・基盤の構築</t>
  </si>
  <si>
    <t>★引き渡しまでが基盤の範囲</t>
  </si>
  <si>
    <t>MKJ-01</t>
  </si>
  <si>
    <t>MK-J レビュー・受入・引き渡し</t>
  </si>
  <si>
    <t>アプリチームへの引き渡し</t>
  </si>
  <si>
    <t>初期状態の確認が済み、引き渡し手順と責任分界が合意されている</t>
  </si>
  <si>
    <t>ログイン状態の保持の実装仕様</t>
  </si>
  <si>
    <t>保持先・保持時間・無操作での切れ方・再ログインの条件が確定している</t>
  </si>
  <si>
    <t>単体試験仕様: ログイン状態の保持</t>
  </si>
  <si>
    <t>時間経過・再開・強制切断の観点と期待結果が定義されている</t>
  </si>
  <si>
    <t>MKB-07</t>
  </si>
  <si>
    <t>ログイン状態の保持とタイムアウトの設定</t>
  </si>
  <si>
    <t>設計どおりの時間で切れ、再ログインを求められる</t>
  </si>
  <si>
    <t>MKI-05</t>
  </si>
  <si>
    <t>単体試験: ログイン状態の保持</t>
  </si>
  <si>
    <t>ログアウト連携の実装仕様</t>
  </si>
  <si>
    <t>通知の宛先・内容・失敗時の再送と、アプリ側に求める受け口が確定している</t>
  </si>
  <si>
    <t>MKB-08</t>
  </si>
  <si>
    <t>ログアウト連携の設定</t>
  </si>
  <si>
    <t>1 箇所のログアウトで他のアプリにも通知が届く</t>
  </si>
  <si>
    <t>MKI-06</t>
  </si>
  <si>
    <t>単体試験: ログアウト連携</t>
  </si>
  <si>
    <t>正常・宛先不達の観点で実施し、不具合が是正されている</t>
  </si>
  <si>
    <t>受信窓口の実装設計（入口・認証・応答）</t>
  </si>
  <si>
    <t>入口2+認証1+応答1</t>
  </si>
  <si>
    <t>単体試験仕様: 受信窓口</t>
  </si>
  <si>
    <t>登録・更新・削除・検索と、規格への適合の観点が定義されている</t>
  </si>
  <si>
    <t>MKE-01</t>
  </si>
  <si>
    <t>MK-E つなぎ目（IF）の実装</t>
  </si>
  <si>
    <t>受信窓口の実装</t>
  </si>
  <si>
    <t>部品の組み込み3+自作部分5</t>
  </si>
  <si>
    <t>MKI-07</t>
  </si>
  <si>
    <t>単体試験: 受信窓口</t>
  </si>
  <si>
    <t>更新の反映と競合の扱いの実装設計</t>
  </si>
  <si>
    <t>削除通知の読み替えの実装設計</t>
  </si>
  <si>
    <t>削除の通知を受けたときに消さずに止める読み替えの規則と、記録の残し方が確定している</t>
  </si>
  <si>
    <t>MKE-02</t>
  </si>
  <si>
    <t>削除通知の読み替えの実装</t>
  </si>
  <si>
    <t>DDE-07</t>
  </si>
  <si>
    <t>項目の対応づけと絞り込みの実装設計</t>
  </si>
  <si>
    <t>受け取る項目の対応と、絞り込み・件数の区切りの実装方法が確定している</t>
  </si>
  <si>
    <t>属性の宣言と変換規則の実装設計</t>
  </si>
  <si>
    <t>持たせる項目の宣言と、顧客ごとの変換規則の書き方が実装できる粒度で書かれている</t>
  </si>
  <si>
    <t>MKB-09</t>
  </si>
  <si>
    <t>属性の宣言と変換の設定</t>
  </si>
  <si>
    <t>宣言した項目が保持され、顧客ごとの変換が設計どおり動く</t>
  </si>
  <si>
    <t>登録経路の区分の実装設計</t>
  </si>
  <si>
    <t>区分の値と、どこで付けるかが確定している</t>
  </si>
  <si>
    <t>MKB-10</t>
  </si>
  <si>
    <t>登録経路の区分の実装</t>
  </si>
  <si>
    <t>経路ごとに正しい区分が付く</t>
  </si>
  <si>
    <t>停止と再開の実装設計</t>
  </si>
  <si>
    <t>止める条件・再開してよい条件・除外する条件が確定している</t>
  </si>
  <si>
    <t>MKB-11</t>
  </si>
  <si>
    <t>停止と再開の実装</t>
  </si>
  <si>
    <t>削除通知で止まり、条件を満たす場合だけ再開できる</t>
  </si>
  <si>
    <t>再開の条件判定の実装設計</t>
  </si>
  <si>
    <t>再開してよい条件と、誤って復活させないための除外条件が実装できる粒度で書かれている</t>
  </si>
  <si>
    <t>MKB-12</t>
  </si>
  <si>
    <t>再開の実装</t>
  </si>
  <si>
    <t>条件を満たす場合だけ再開でき、除外条件に当たる場合は再開されない</t>
  </si>
  <si>
    <t>顧客解約時の処理の詳細設計</t>
  </si>
  <si>
    <t>停止・データの持ち出し・消去の順序と猶予期間が確定している</t>
  </si>
  <si>
    <t>MKB-13</t>
  </si>
  <si>
    <t>顧客解約の処理の実装</t>
  </si>
  <si>
    <t>手順どおりに停止と消去ができる</t>
  </si>
  <si>
    <t>接続設定の変更と証明書更新の実装設計</t>
  </si>
  <si>
    <t>止めずに入れ替える順序と、切り戻しの手順が確定している</t>
  </si>
  <si>
    <t>MKB-14</t>
  </si>
  <si>
    <t>証明書の無停止入れ替えの実装</t>
  </si>
  <si>
    <t>入れ替え中もログインが止まらないことを実機で確認できる</t>
  </si>
  <si>
    <t>識別子の採番と対応づけの実装設計</t>
  </si>
  <si>
    <t>識別子の形式・重複の避け方・顧客番号との対応の持ち方が確定している</t>
  </si>
  <si>
    <t>MKB-15</t>
  </si>
  <si>
    <t>識別子の採番と保持の実装</t>
  </si>
  <si>
    <t>設計どおりの識別子が付き、顧客番号と対応づく</t>
  </si>
  <si>
    <t>DDE-08</t>
  </si>
  <si>
    <t>項目ごとの生成規則・要求できる範囲との対応が実装できる粒度で書かれている</t>
  </si>
  <si>
    <t>DDI-07</t>
  </si>
  <si>
    <t>項目の有無・値・範囲ごとの差分の観点と期待結果が定義されている</t>
  </si>
  <si>
    <t>MKB-16</t>
  </si>
  <si>
    <t>MKI-08</t>
  </si>
  <si>
    <t>越境防止の実装設計</t>
  </si>
  <si>
    <t>どこで判定し、弾いたときに何を記録するかが確定している</t>
  </si>
  <si>
    <t>MKB-17</t>
  </si>
  <si>
    <t>越境防止の実装</t>
  </si>
  <si>
    <t>MKI-09</t>
  </si>
  <si>
    <t>単体試験: 越境防止</t>
  </si>
  <si>
    <t>正しい組み合わせと誤った組み合わせで実施し、不具合が是正されている</t>
  </si>
  <si>
    <t>アプリの接続登録の詳細設計</t>
  </si>
  <si>
    <t>登録項目のひな形・命名規則・接続情報の渡し方と入れ替えが確定している</t>
  </si>
  <si>
    <t>MKB-18</t>
  </si>
  <si>
    <t>接続登録のひな形の実装</t>
  </si>
  <si>
    <t>ひな形からアプリを登録でき、接続情報が発行される</t>
  </si>
  <si>
    <t>MKI-10</t>
  </si>
  <si>
    <t>単体試験: アプリの接続登録</t>
  </si>
  <si>
    <t>ひな形からの登録と接続確認を実施し、不具合が是正されている</t>
  </si>
  <si>
    <t>業務システム連携の実装設計</t>
  </si>
  <si>
    <t>交換する情報・署名の扱い・ログアウトの伝え方が実装できる粒度で書かれている</t>
  </si>
  <si>
    <t>DDI-08</t>
  </si>
  <si>
    <t>単体試験仕様: 業務システム連携</t>
  </si>
  <si>
    <t>MKB-19</t>
  </si>
  <si>
    <t>業務システム連携の設定と実装</t>
  </si>
  <si>
    <t>接続設定4+属性の受け渡し2</t>
  </si>
  <si>
    <t>MKI-11</t>
  </si>
  <si>
    <t>単体試験: 業務システム連携</t>
  </si>
  <si>
    <t>MKB-20</t>
  </si>
  <si>
    <t>MKB-21</t>
  </si>
  <si>
    <t>他アプリへの連携の設定</t>
  </si>
  <si>
    <t>業務システムにログインした状態から他のアプリを呼べる</t>
  </si>
  <si>
    <t>記録の出力先と保持の実装設計</t>
  </si>
  <si>
    <t>全体の共通基盤へ出す形式・経路・保持年数と、個人情報を伏せる箇所が確定している</t>
  </si>
  <si>
    <t>DDE-09</t>
  </si>
  <si>
    <t>記録の出力と集約の実装仕様</t>
  </si>
  <si>
    <t>出力する項目・形式と、全体の共通基盤へ送る経路が確定している</t>
  </si>
  <si>
    <t>MKH-01</t>
  </si>
  <si>
    <t>MK-H 監視・運用の構築</t>
  </si>
  <si>
    <t>記録の出力設定と共通基盤への集約</t>
  </si>
  <si>
    <t>設計どおりの記録が出力され、全体の共通基盤に集約されて参照できる</t>
  </si>
  <si>
    <t>出力設定2+集約の疎通1</t>
  </si>
  <si>
    <t>MKI-12</t>
  </si>
  <si>
    <t>単体試験: 記録の取得</t>
  </si>
  <si>
    <t>記録の欠落・項目の過不足の観点で実施し、不具合が是正されている</t>
  </si>
  <si>
    <t>署名鍵の入れ替えの実装仕様</t>
  </si>
  <si>
    <t>並走期間・切替の順序・アプリ側の追随のさせ方が確定している</t>
  </si>
  <si>
    <t>MKF-01</t>
  </si>
  <si>
    <t>MK-F 定期処理の実装</t>
  </si>
  <si>
    <t>署名鍵の入れ替えの実装</t>
  </si>
  <si>
    <t>入れ替えが自動で走り、切替中もログインが止まらない</t>
  </si>
  <si>
    <t>MKI-13</t>
  </si>
  <si>
    <t>単体試験: 署名鍵の入れ替え</t>
  </si>
  <si>
    <t>並走中・切替後の観点で実施し、不具合が是正されている</t>
  </si>
  <si>
    <t>接続用パスワードの入れ替えの実装仕様</t>
  </si>
  <si>
    <t>入れ替えの周期・アプリへの通知・猶予期間が確定している</t>
  </si>
  <si>
    <t>MKF-02</t>
  </si>
  <si>
    <t>接続用パスワードの入れ替えの実装</t>
  </si>
  <si>
    <t>入れ替えが自動で走り、アプリへ通知される</t>
  </si>
  <si>
    <t>証明書期限の監視の実装仕様</t>
  </si>
  <si>
    <t>監視対象の一覧・通知の閾値と宛先が確定している</t>
  </si>
  <si>
    <t>MKF-03</t>
  </si>
  <si>
    <t>証明書期限の監視の実装</t>
  </si>
  <si>
    <t>期限が近い証明書が検出され、通知が届く</t>
  </si>
  <si>
    <t>全体構成のコード化方針</t>
  </si>
  <si>
    <t>どの構成要素をコードで管理し、どれを手で作るかの線引きが確定している</t>
  </si>
  <si>
    <t>MKA-02</t>
  </si>
  <si>
    <t>構成の実機反映と構成図の更新</t>
  </si>
  <si>
    <t>実機の構成が図と一致している</t>
  </si>
  <si>
    <t>ネットワークの実装設計</t>
  </si>
  <si>
    <t>区画・経路・通信の許可範囲・名前解決が実装できる粒度で書かれている</t>
  </si>
  <si>
    <t>区画2+経路1.5+名前解決1.5</t>
  </si>
  <si>
    <t>MKA-03</t>
  </si>
  <si>
    <t>ネットワークの構築</t>
  </si>
  <si>
    <t>区画・経路・通信の許可が設計どおりに作られ、疎通する</t>
  </si>
  <si>
    <t>MKA-04</t>
  </si>
  <si>
    <t>境界を管理する組織との接続と疎通確認</t>
  </si>
  <si>
    <t>外部からの入口と外向き通信が通り、合意した条件で運用できる</t>
  </si>
  <si>
    <t>クラスタの実装設計</t>
  </si>
  <si>
    <t>ノード群の構成・配置の制約・自動増減の条件が確定している</t>
  </si>
  <si>
    <t>MKA-05</t>
  </si>
  <si>
    <t>クラスタの構築</t>
  </si>
  <si>
    <t>MKA-06</t>
  </si>
  <si>
    <t>ノード群と自動増減の設定</t>
  </si>
  <si>
    <t>負荷に応じて増減し、配置の制約が守られる</t>
  </si>
  <si>
    <t>MKD-01</t>
  </si>
  <si>
    <t>MK-D データストアの構築</t>
  </si>
  <si>
    <t>★基本設計に対応する行が無い</t>
  </si>
  <si>
    <t>区画（Realm・組織）の実装設計</t>
  </si>
  <si>
    <t>区画の分け方・発行元の値・組織の持たせ方が確定している</t>
  </si>
  <si>
    <t>MKB-22</t>
  </si>
  <si>
    <t>区画（Realm・組織）の構築</t>
  </si>
  <si>
    <t>設計どおりの区画が作られ、発行元の値が意図どおりになる</t>
  </si>
  <si>
    <t>環境ごとの差分のコード化設計</t>
  </si>
  <si>
    <t>環境で変わる値と変わらない値が分離され、切り替え方が確定している</t>
  </si>
  <si>
    <t>MKA-07</t>
  </si>
  <si>
    <t>開発・検証環境の構築</t>
  </si>
  <si>
    <t>開発と検証の環境が使える状態になっている</t>
  </si>
  <si>
    <t>MKA-08</t>
  </si>
  <si>
    <t>本番環境の構築</t>
  </si>
  <si>
    <t>本番環境が使える状態になっている</t>
  </si>
  <si>
    <t>表の定義と索引・分割の実装設計</t>
  </si>
  <si>
    <t>使う表・索引・分割の指定が実装できる粒度で書かれている</t>
  </si>
  <si>
    <t>構造変更の適用方式と戻し方</t>
  </si>
  <si>
    <t>構造を変えるときの適用手順と、元に戻す手順が確定している</t>
  </si>
  <si>
    <t>性能に関わる設定値の実装仕様</t>
  </si>
  <si>
    <t>接続数・スレッド・待ち行列などの設定値と根拠が確定している</t>
  </si>
  <si>
    <t>MKA-09</t>
  </si>
  <si>
    <t>性能設定の適用と調整</t>
  </si>
  <si>
    <t>設定が適用され、目標値の範囲で動いている</t>
  </si>
  <si>
    <t>設備量とデータ量の実装設計</t>
  </si>
  <si>
    <t>見積りに基づく設備の量と、増えたときの広げ方が確定している</t>
  </si>
  <si>
    <t>MKA-10</t>
  </si>
  <si>
    <t>設備量の設定と確認</t>
  </si>
  <si>
    <t>設計どおりの設備量で動いている</t>
  </si>
  <si>
    <t>同時実行と上限値の実装仕様</t>
  </si>
  <si>
    <t>上限を超えたときの振る舞いと、戻し方が確定している</t>
  </si>
  <si>
    <t>MKB-23</t>
  </si>
  <si>
    <t>上限値の設定</t>
  </si>
  <si>
    <t>設計どおりの上限で受け付け、超過時に想定どおり振る舞う</t>
  </si>
  <si>
    <t>DDI-09</t>
  </si>
  <si>
    <t>性能を測る計測点の実装仕様</t>
  </si>
  <si>
    <t>どこで何を測るかと、取り出し方が確定している</t>
  </si>
  <si>
    <t>MKH-02</t>
  </si>
  <si>
    <t>計測点の実装</t>
  </si>
  <si>
    <t>計測値が取得でき、試験で使える</t>
  </si>
  <si>
    <t>切替方式の実装設計</t>
  </si>
  <si>
    <t>データの複製方法・切替の合図・起動の順序・戻し方が実装できる粒度で書かれている</t>
  </si>
  <si>
    <t>複製2+切替手順2</t>
  </si>
  <si>
    <t>切替先の構成差分の実装設計</t>
  </si>
  <si>
    <t>切替先で変える値と、平時にどこまで動かしておくかが確定している</t>
  </si>
  <si>
    <t>復旧手順の詳細化</t>
  </si>
  <si>
    <t>誰が何をどの順で行うか、判断の基準と所要時間が確定している</t>
  </si>
  <si>
    <t>MKA-11</t>
  </si>
  <si>
    <t>切替先のネットワークとクラスタの構築</t>
  </si>
  <si>
    <t>切替先の地域に環境が作られ、起動できる</t>
  </si>
  <si>
    <t>MKA-12</t>
  </si>
  <si>
    <t>MKA-13</t>
  </si>
  <si>
    <t>MKI-14</t>
  </si>
  <si>
    <t>切替訓練（1 回）</t>
  </si>
  <si>
    <t>目標時間内に切り替わることを実機で確認し、手順が是正されている</t>
  </si>
  <si>
    <t>DDG-09</t>
  </si>
  <si>
    <t>バックアップと復元の実装設計</t>
  </si>
  <si>
    <t>取得の頻度・保持期間・復元の手順と所要時間が確定している</t>
  </si>
  <si>
    <t>MKA-14</t>
  </si>
  <si>
    <t>バックアップの構築と復元の実機確認</t>
  </si>
  <si>
    <t>取得が自動で走り、復元が手順どおりにできる</t>
  </si>
  <si>
    <t>攻撃対策の実装仕様</t>
  </si>
  <si>
    <t>遮断する経路・流量の制限・応答ヘッダの指定が確定している</t>
  </si>
  <si>
    <t>MKA-15</t>
  </si>
  <si>
    <t>遮断と流量制限の実装</t>
  </si>
  <si>
    <t>外部に出さない経路が塞がれ、過大な流量が制限される</t>
  </si>
  <si>
    <t>MKI-15</t>
  </si>
  <si>
    <t>単体試験: 攻撃対策</t>
  </si>
  <si>
    <t>遮断・制限が効くことを実施で確認し、不具合が是正されている</t>
  </si>
  <si>
    <t>鍵管理の実装仕様</t>
  </si>
  <si>
    <t>鍵の階層・保管先・利用権限の与え方が確定している</t>
  </si>
  <si>
    <t>MKA-16</t>
  </si>
  <si>
    <t>鍵管理の構築</t>
  </si>
  <si>
    <t>鍵が設計どおりに保管され、必要な主体だけが使える</t>
  </si>
  <si>
    <t>記録の伏せ字の実装仕様</t>
  </si>
  <si>
    <t>伏せる項目と伏せ方、確認の仕方が確定している</t>
  </si>
  <si>
    <t>MKH-03</t>
  </si>
  <si>
    <t>記録の伏せ字処理の実装</t>
  </si>
  <si>
    <t>個人情報が記録に残らないことを確認できる</t>
  </si>
  <si>
    <t>DDG-10</t>
  </si>
  <si>
    <t>監視の実装設計</t>
  </si>
  <si>
    <t>取得する値・閾値・通知の宛先と経路が確定している</t>
  </si>
  <si>
    <t>MKH-04</t>
  </si>
  <si>
    <t>監視の構築</t>
  </si>
  <si>
    <t>値が取得でき、閾値超過で通知が届く</t>
  </si>
  <si>
    <t>メトリクス3+ログ3+通知2</t>
  </si>
  <si>
    <t>MKH-05</t>
  </si>
  <si>
    <t>通知先と当番の設定</t>
  </si>
  <si>
    <t>当番表どおりに通知が振り分けられる</t>
  </si>
  <si>
    <t>MKH-06</t>
  </si>
  <si>
    <t>事故時の証跡取得手段の準備</t>
  </si>
  <si>
    <t>必要な記録をすぐ取り出せる状態になっている</t>
  </si>
  <si>
    <t>DDG-11</t>
  </si>
  <si>
    <t>緊急時アクセスの実装設計</t>
  </si>
  <si>
    <t>通常経路が使えないときの入り方と、記録の残し方が確定している</t>
  </si>
  <si>
    <t>MKA-17</t>
  </si>
  <si>
    <t>緊急時アクセスの構築</t>
  </si>
  <si>
    <t>緊急時の経路で入れ、操作が記録される</t>
  </si>
  <si>
    <t>DDG-12</t>
  </si>
  <si>
    <t>更新の手順・切り戻し・自社拡張の作り直しの段取りが確定している</t>
  </si>
  <si>
    <t>自社拡張の組み立てと配置の実装設計</t>
  </si>
  <si>
    <t>ビルドの手順・版の付け方・入れ替え方が確定している</t>
  </si>
  <si>
    <t>MKA-18</t>
  </si>
  <si>
    <t>検証環境で 1 回更新を通し、手順が使えることを確認できている</t>
  </si>
  <si>
    <t>MKC-03</t>
  </si>
  <si>
    <t>自社拡張の組み立てと配置の実装</t>
  </si>
  <si>
    <t>コードから配置までが自動で通る</t>
  </si>
  <si>
    <t>切替計画の詳細化</t>
  </si>
  <si>
    <t>切替の単位・並行稼働の期間・戻す条件と手順が確定している</t>
  </si>
  <si>
    <t>MKJ-02</t>
  </si>
  <si>
    <t>切替の準備（ひな形・確認表）</t>
  </si>
  <si>
    <t>アプリごとの切替手順とチェック表が使える状態になっている</t>
  </si>
  <si>
    <t>共通方式の実装仕様</t>
  </si>
  <si>
    <t>文字コード・日時の扱い・一時保持の規則が実装できる粒度で書かれている</t>
  </si>
  <si>
    <t>MKB-24</t>
  </si>
  <si>
    <t>一時保持の設定</t>
  </si>
  <si>
    <t>設計どおりの保持時間と破棄のきっかけで動く</t>
  </si>
  <si>
    <t>DDE-10</t>
  </si>
  <si>
    <t>エラー応答の実装仕様</t>
  </si>
  <si>
    <t>エラーの種類・番号・本文の形式が一覧で確定している</t>
  </si>
  <si>
    <t>DDG-13</t>
  </si>
  <si>
    <t>命名とリポジトリ構成の実装規約</t>
  </si>
  <si>
    <t>資源の名前・タグ・コードの置き場所と分け方が確定している</t>
  </si>
  <si>
    <t>MKA-19</t>
  </si>
  <si>
    <t>構成コードの置き場と自動反映の構築</t>
  </si>
  <si>
    <t>コードから環境へ反映する経路が通り、環境ごとに切り替えられる</t>
  </si>
  <si>
    <t>詳細設計書の総則と構成</t>
  </si>
  <si>
    <t>詳細設計書の目的・範囲・読み方と、冊子の構成が確定している</t>
  </si>
  <si>
    <t>詳細設計のトレーサビリティ更新</t>
  </si>
  <si>
    <t>基本設計の項目と詳細設計の項目が対応づいている</t>
  </si>
  <si>
    <t>MKJ-03</t>
  </si>
  <si>
    <t>構築物のトレーサビリティ更新</t>
  </si>
  <si>
    <t>設計と実物の対応が最新になっている</t>
  </si>
  <si>
    <t>詳細設計レビューと指摘対応（3 回）</t>
  </si>
  <si>
    <t>設計書どうしの矛盾が解消され、承認されている</t>
  </si>
  <si>
    <t>レビュー3+指摘対応6</t>
  </si>
  <si>
    <t>MKJ-04</t>
  </si>
  <si>
    <t>構築物のレビューと受入確認（2 回）</t>
  </si>
  <si>
    <t>実物が設計どおりであることが確認され、承認されている</t>
  </si>
  <si>
    <t>レビュー2+指摘対応4</t>
  </si>
  <si>
    <t>サンプル実装の仕様</t>
  </si>
  <si>
    <t>アプリ側に示す最小実装の範囲と動作条件が確定している</t>
  </si>
  <si>
    <t>MKJ-05</t>
  </si>
  <si>
    <t>サンプル実装と試用環境の提供</t>
  </si>
  <si>
    <t>アプリ開発者が動かして確認できる状態で渡せている</t>
  </si>
  <si>
    <t>詳細設計 人日</t>
    <phoneticPr fontId="2"/>
  </si>
  <si>
    <t>製造 人日</t>
    <phoneticPr fontId="2"/>
  </si>
  <si>
    <t>新しい顧客を作るときに何を登録し、どの状態から使えるようになるかを決める。手順の細部は後続の運用設計で詰める</t>
  </si>
  <si>
    <t>機能仕様書。登録する項目・初期状態・使えるようになる条件が定まっている</t>
  </si>
  <si>
    <t>解約の手順はあるのに作成が無く、顧客を迎え入れる入口が設計上つながっていない。運用色が強いため骨子までとし、細部は運用設計で積む</t>
  </si>
  <si>
    <t>機能仕様書。受け取る情報・登録の順序・疎通確認の合格条件が定まっている</t>
  </si>
  <si>
    <t>フェデレーション・振り分け・顧客システム連携のすべてが、この登録が済んでいることを前提にしている。運用色が強いため骨子までとし、細部は運用設計で積む</t>
  </si>
  <si>
    <t>機能仕様書: 接続情報の自動追随</t>
  </si>
  <si>
    <t>機能仕様書。取り直す間隔・失敗時の扱い・追随できないときの通知が定まっている</t>
  </si>
  <si>
    <t>HC 画面設計</t>
  </si>
  <si>
    <t>画面仕様書: 識別子の入力画面（振り分け）</t>
  </si>
  <si>
    <t>振り分けの起点となる、識別子を入力させる画面の項目・文言・遷移を決める</t>
  </si>
  <si>
    <t>画面仕様書。入力項目・検証・次に進む条件・戻り方が定まっている</t>
  </si>
  <si>
    <t>振り分け（HRD）は識別子の入力から始まるため、この画面が無いと成立しない</t>
  </si>
  <si>
    <t>ログインや振り分けに失敗したときに何を表示し、どこへ誘導するかを決める</t>
  </si>
  <si>
    <t>画面仕様書。表示する文言・出し分けの条件・誘導先が定まっている</t>
  </si>
  <si>
    <t>機能仕様書。発行の条件・要求できる範囲・有効期限・失効のさせ方が定まっている</t>
  </si>
  <si>
    <t>顧客システム連携の呼び出し元をどう確認するかがこれで決まる。資格の管理方法が決まらないと受信窓口を開けられない</t>
  </si>
  <si>
    <t>機能仕様書: 振り分けの応答の同一化と試行回数の制限</t>
  </si>
  <si>
    <t>入力された識別子が実在するかどうかが応答の違いから分からないようにし、短時間の繰り返し試行を制限する</t>
  </si>
  <si>
    <t>機能仕様書。同一化する応答の範囲・制限する回数と時間・制限にかかったときの表示が定まっている</t>
  </si>
  <si>
    <t>発行の条件・要求できる範囲・有効期限・失効のさせ方が実装できる粒度で書かれている</t>
  </si>
  <si>
    <t>MKB-27</t>
  </si>
  <si>
    <t>システムとして入口を呼べる資格が発行でき、範囲外の呼び出しが拒否される</t>
  </si>
  <si>
    <t>MKI-17</t>
  </si>
  <si>
    <t>正常・範囲外・期限切れ・失効後の観点で実施し、不具合が是正されている</t>
  </si>
  <si>
    <t>DDF-04</t>
  </si>
  <si>
    <t>接続情報の自動追随の実装仕様</t>
  </si>
  <si>
    <t>取り直す間隔・失敗時の再試行・追随できないときの通知先が確定している</t>
  </si>
  <si>
    <t>MKF-04</t>
  </si>
  <si>
    <t>接続情報の自動追随の実装</t>
  </si>
  <si>
    <t>相手側が証明書を入れ替えても自動で追随し、失敗時に通知が届く</t>
  </si>
  <si>
    <t>MKB-26</t>
  </si>
  <si>
    <t>接続登録の実装</t>
  </si>
  <si>
    <t>登録する項目・順序・失敗時の戻し方が実装できる粒度で書かれている</t>
  </si>
  <si>
    <t>MKB-25</t>
  </si>
  <si>
    <t>顧客登録の実装</t>
  </si>
  <si>
    <t>ひな形から顧客を作成でき、初期状態が設計どおりになる</t>
  </si>
  <si>
    <t>画面の実装設計（差し替える範囲の特定）</t>
  </si>
  <si>
    <t>MKC-04</t>
  </si>
  <si>
    <t>MK-C 自社拡張・画面の実装</t>
  </si>
  <si>
    <t>識別子の入力画面の実装</t>
  </si>
  <si>
    <t>設計どおりの画面が表示され、振り分けへ進む</t>
  </si>
  <si>
    <t>MKI-16</t>
  </si>
  <si>
    <t>単体試験: 識別子の入力画面</t>
  </si>
  <si>
    <t>入力の検証・遷移・表示崩れの観点で実施し、不具合が是正されている</t>
  </si>
  <si>
    <t>エラー画面の文言と出し分けの実装設計</t>
  </si>
  <si>
    <t>表示する文言と出し分けの条件が、実在を推測させない形で確定している</t>
  </si>
  <si>
    <t>MKC-05</t>
  </si>
  <si>
    <t>エラー・案内画面の実装</t>
  </si>
  <si>
    <t>失敗の種類ごとに設計どおりの案内が出る</t>
  </si>
  <si>
    <t>応答の同一化と試行回数の制限の実装設計</t>
  </si>
  <si>
    <t>同一化する応答の範囲・数える単位・制限の回数と時間が確定している</t>
  </si>
  <si>
    <t>MKB-28</t>
  </si>
  <si>
    <t>応答の同一化と試行回数の制限の実装</t>
  </si>
  <si>
    <t>実在の有無が応答から分からず、短時間の繰り返しが制限される</t>
  </si>
  <si>
    <t>MKI-18</t>
  </si>
  <si>
    <t>単体試験: 応答の同一化と試行回数の制限</t>
  </si>
  <si>
    <t>実在・非実在の応答差が無いこと、制限が効くことを確認し、不具合が是正されている</t>
  </si>
  <si>
    <t>FR-FED-001〜004 / FR-INT-001・002・003</t>
  </si>
  <si>
    <t>FR-FED-005 / FR-INT-004</t>
  </si>
  <si>
    <t>検証用の旧方式の認証システムが用意できていること</t>
  </si>
  <si>
    <t>引き渡し範囲の取り決めが合意されていること</t>
  </si>
  <si>
    <t>FR-USER-003 / FR-FED-009</t>
  </si>
  <si>
    <t>受信窓口の実装が完了していること</t>
  </si>
  <si>
    <t>識別子の採番と対応づけ</t>
  </si>
  <si>
    <t>設計した形式の識別子が付く／重複しない／一度付いた値が変わらない／顧客側の番号と対応づく／アプリから一意に指せる</t>
  </si>
  <si>
    <t>A 結合の前提が揃っていること</t>
  </si>
  <si>
    <t>IT-15</t>
  </si>
  <si>
    <t>システムとして入口を呼べる資格が発行される／要求した範囲だけが許可される／範囲外の呼び出しが拒否される／有効期限が切れたら使えない／失効させたら直ちに使えない／顧客システム連携の呼び出し元がこの資格で確認できる</t>
  </si>
  <si>
    <t>FR-AUTH-004 / FR-AUTHZ-005</t>
  </si>
  <si>
    <t>FR-INT-002・003・006 / FR-AUTH-002・003</t>
  </si>
  <si>
    <t>クライアント登録のひな形ができていること</t>
  </si>
  <si>
    <t>業務システムとのつなぎ目</t>
  </si>
  <si>
    <t>FR-FED-006 / FR-INT-004</t>
  </si>
  <si>
    <t>業務システムの検証環境が用意できていること</t>
  </si>
  <si>
    <t>記録の出力と全体の共通基盤への集約</t>
  </si>
  <si>
    <t>設計した項目が設計した形式で出る／欠落せずに共通基盤へ届く／個人情報が伏せられている／遅延したときに順序と重複がどうなるかが設計どおり／保持年数の設定が効いている／共通基盤側で必要な条件で引ける</t>
  </si>
  <si>
    <t>FR-INT-008 / NFR-OPS-003・004 / NFR-COMP-007・010</t>
  </si>
  <si>
    <t>共通基盤への出力経路が開通していること</t>
  </si>
  <si>
    <t>IT-12</t>
  </si>
  <si>
    <t>構成図と実機の一致</t>
  </si>
  <si>
    <t>図に描いた要素がすべて実機にある／実機にあって図に無いものが無い／経路が図のとおり／差分があれば図を直す</t>
  </si>
  <si>
    <t>構築が完了していること</t>
  </si>
  <si>
    <t>IT-11</t>
  </si>
  <si>
    <t>ネットワーク経路の疎通と遮断</t>
  </si>
  <si>
    <t>NFR-SEC-011・016・017・018</t>
  </si>
  <si>
    <t>ネットワークの構築と境界組織との接続が完了していること</t>
  </si>
  <si>
    <t>区画の分離</t>
  </si>
  <si>
    <t>FR-AUTHZ-008 / FR-ADMIN-009</t>
  </si>
  <si>
    <t>区画の構築が完了していること</t>
  </si>
  <si>
    <t>IT-13</t>
  </si>
  <si>
    <t>環境ごとの差分の確認</t>
  </si>
  <si>
    <t>環境で変わる値だけが変わっている／本番と検証で挙動が変わらない／検証環境に本番のデータが入っていない／環境の取り違えが起きない</t>
  </si>
  <si>
    <t>3 環境の構築が完了していること</t>
  </si>
  <si>
    <t>IT-10</t>
  </si>
  <si>
    <t>設計した数まで接続を張れる／上限を超えた要求が待たされるか断られるかが設計どおり／接続が切れたあと自動でつなぎ直す／データベースの切替中にログインが継続する／止まる範囲が設計どおり／日本語・記号・絵文字が化けずに保存・取り出しできる／日時が意図した時間帯で保存・取り出しできる</t>
  </si>
  <si>
    <t>NFR-PERF-008 / NFR-SCL-007</t>
  </si>
  <si>
    <t>データベースの構築が完了していること</t>
  </si>
  <si>
    <t>IT-14</t>
  </si>
  <si>
    <t>エラー応答の共通規約</t>
  </si>
  <si>
    <t>エラーの種類と番号が一覧どおり／本文の形式が統一されている／内部の情報が漏れない／アプリ側が番号で分岐できる</t>
  </si>
  <si>
    <t>B 総合</t>
  </si>
  <si>
    <t>FR-FED-013 / NFR-SEC-010</t>
  </si>
  <si>
    <t>自社拡張の実装が完了していること</t>
  </si>
  <si>
    <t>振り分けできないときの切替</t>
  </si>
  <si>
    <t>判定できないときパスワード入力へ切り替わる／切替後も最後までログインできる／切り替えたことが記録に残る</t>
  </si>
  <si>
    <t>複数あるとき選択できる／並び順が設計どおり／選択した先へ正しく送られる</t>
  </si>
  <si>
    <t>FR-FED-008・009 / FR-AUTH-002</t>
  </si>
  <si>
    <t>A 結合が完了していること</t>
  </si>
  <si>
    <t>初回・2 回目の動きが新方式と同じ結果になる／署名が不正なときに入れない／時計がずれた主張の扱いが設計どおり／属性名が顧客ごとに違っても正しく写る</t>
  </si>
  <si>
    <t>FR-FED-005・008・009</t>
  </si>
  <si>
    <t>初回登録と属性の更新</t>
  </si>
  <si>
    <t>FR-FED-008・009</t>
  </si>
  <si>
    <t>ログインのたびの属性の追随</t>
  </si>
  <si>
    <t>顧客側で変わった値が次のログインで反映される／削除された値の扱いが設計どおり／基盤側で足した値が上書きされない</t>
  </si>
  <si>
    <t>ログイン状態の保持とログアウトの一連</t>
  </si>
  <si>
    <t>無操作で設計どおりの時間に切れる／操作を続けている間は切れない／複数のアプリで入り直さずに使える／明示的なログアウトで状態が消える／更新の資格が設計どおりに回る／古い更新の資格が使えない／ブラウザを閉じて開き直したときの扱いが設計どおり</t>
  </si>
  <si>
    <t>FR-SSO-001・003・004・008 / NFR-SEC-005・007・020</t>
  </si>
  <si>
    <t>ログアウトの伝わり方</t>
  </si>
  <si>
    <t>FR-SSO-005・006・007</t>
  </si>
  <si>
    <t>ST-25</t>
  </si>
  <si>
    <t>識別子の入力画面</t>
  </si>
  <si>
    <t>設計どおりの項目と文言が出る／入力の検証が効く／振り分けへ正しく進む／主要なブラウザと画面幅で崩れない／製品の版を上げても表示が壊れない</t>
  </si>
  <si>
    <t>ST-26</t>
  </si>
  <si>
    <t>エラー・案内画面</t>
  </si>
  <si>
    <t>失敗の種類ごとに設計どおりの案内が出る／内部の情報が画面に出ない／実在する識別子と実在しない識別子で表示が変わらない／誘導先へ進める</t>
  </si>
  <si>
    <t>FR-ADMIN-012 / NFR-SEC-010</t>
  </si>
  <si>
    <t>ST-12</t>
  </si>
  <si>
    <t>顧客システム連携の一連（入社から退職まで）</t>
  </si>
  <si>
    <t>FR-USER-003・006 / FR-FED-008</t>
  </si>
  <si>
    <t>ST-10</t>
  </si>
  <si>
    <t>顧客側からの更新の反映</t>
  </si>
  <si>
    <t>変更が反映される／競合したときの扱いが設計どおり／対象外の項目が上書きされない</t>
  </si>
  <si>
    <t>ST-13</t>
  </si>
  <si>
    <t>削除通知の読み替え</t>
  </si>
  <si>
    <t>削除の通知で消さずに止まる／記録が残る／止めた日時が入る／同じ通知が二度来ても結果が変わらない</t>
  </si>
  <si>
    <t>FR-USER-003・006</t>
  </si>
  <si>
    <t>ST-11</t>
  </si>
  <si>
    <t>顧客側からの検索</t>
  </si>
  <si>
    <t>FR-USER-003 / FR-AUTHZ-002</t>
  </si>
  <si>
    <t>ST-15</t>
  </si>
  <si>
    <t>属性の写しと統一の確認</t>
  </si>
  <si>
    <t>顧客ごとの項目名が統一名に変換される／変換の規則に無い項目の扱いが設計どおり／値が空・長すぎる・想定外の形式のときの扱い／変換表を追加したときに他の顧客へ影響しない</t>
  </si>
  <si>
    <t>FR-FED-009 / FR-USER-002</t>
  </si>
  <si>
    <t>ST-14</t>
  </si>
  <si>
    <t>登録された経路の区分</t>
  </si>
  <si>
    <t>初回ログイン・顧客システム連携・運用者のそれぞれで正しい区分が付く／経路が変わったときの扱いが設計どおり／区分によって後の自動処理の対象が変わる</t>
  </si>
  <si>
    <t>ST-17</t>
  </si>
  <si>
    <t>停止と再開の一連</t>
  </si>
  <si>
    <t>ST-16</t>
  </si>
  <si>
    <t>再開してよい条件のときだけ戻る／除外条件に当たるときは戻らない／再開が記録に残る／再開後にログインできる</t>
  </si>
  <si>
    <t>ST-24</t>
  </si>
  <si>
    <t>顧客の追加から初回ログインまでの一連</t>
  </si>
  <si>
    <t>FR-ADMIN-002・003 / FR-FED-011</t>
  </si>
  <si>
    <t>B 総合の前提が揃っていること</t>
  </si>
  <si>
    <t>ST-18</t>
  </si>
  <si>
    <t>顧客の解約の一連</t>
  </si>
  <si>
    <t>NFR-COMP-009 / FR-ADMIN-002</t>
  </si>
  <si>
    <t>ST-20</t>
  </si>
  <si>
    <t>FR-AUTHZ-001・002・006 / FR-INT-003 / NFR-SEC-003・004</t>
  </si>
  <si>
    <t>ST-19</t>
  </si>
  <si>
    <t>FR-AUTHZ-002 / FR-ADMIN-009</t>
  </si>
  <si>
    <t>ST-22</t>
  </si>
  <si>
    <t>業務システム連携の一連</t>
  </si>
  <si>
    <t>ST-23</t>
  </si>
  <si>
    <t>初回ログインで相手側に作られる／渡した属性が反映される／既にいる人と重複しない</t>
  </si>
  <si>
    <t>ST-21</t>
  </si>
  <si>
    <t>業務システムから他のアプリを呼べる／引き継ぐ情報が設計どおり</t>
  </si>
  <si>
    <t>実際の接続情報で繋がる／属性名が想定と違う点の洗い出し／同意画面の有無と挙動／相手側で追加認証を行ったときに結果を受け取れる／エラーの返り方の差／設計への反映</t>
  </si>
  <si>
    <t>FR-FED-002 / FR-FED-012</t>
  </si>
  <si>
    <t>相手方の検証環境の貸与</t>
  </si>
  <si>
    <t>1 社目との差分の洗い出し／ひな形で吸収できるか／吸収できない差の設計反映</t>
  </si>
  <si>
    <t>FR-FED-001・003・004</t>
  </si>
  <si>
    <t>実機の顧客システムからの押し出し</t>
  </si>
  <si>
    <t>相手側の送り方の差／項目の対応づけの差／大量投入時の挙動／相手側の再送の作法／設計への反映</t>
  </si>
  <si>
    <t>RI-05</t>
  </si>
  <si>
    <t>業務システムの実機突合</t>
  </si>
  <si>
    <t>D 性能</t>
  </si>
  <si>
    <t>顧客システム連携の処理量</t>
  </si>
  <si>
    <t>一括投入の所要時間／同時に複数の顧客から来たときの挙動／区切りごとの応答時間／投入中にログインの応答が悪化しないか</t>
  </si>
  <si>
    <t>アプリ側で検証したときの処理量／署名鍵の公開先への問い合わせ回数と一時保持の効き／署名鍵の入れ替え中の処理量の落ち込み</t>
  </si>
  <si>
    <t>NFR-PERF-004・005</t>
  </si>
  <si>
    <t>自動増減の追随</t>
  </si>
  <si>
    <t>負荷が上がったときに増える／増える途中でログインが失敗しない／負荷が下がったときに減る／減るときに処理中の要求が落ちない</t>
  </si>
  <si>
    <t>NFR-SCL-005 / NFR-AVL-004</t>
  </si>
  <si>
    <t>クラスタの構築が完了していること</t>
  </si>
  <si>
    <t>データベースの負荷と接続数</t>
  </si>
  <si>
    <t>接続数が上限に達したときの挙動／書き込みが集中したときの応答／大きくなった表の検索時間／索引が効いていることの確認</t>
  </si>
  <si>
    <t>PT-07</t>
  </si>
  <si>
    <t>ログインの応答時間と処理量</t>
  </si>
  <si>
    <t>目標とした応答時間（中央値・95%・99%）に収まる／毎秒の処理件数が目標に届く／フェデレーションと直接の比率を変えたときの差／時間帯の山を模した波形での挙動／目標に届かない場合の原因の切り分け</t>
  </si>
  <si>
    <t>NFR-PERF-001・002・007 / NFR-SCL-002</t>
  </si>
  <si>
    <t>性能試験の計画と計測点の実装が完了していること</t>
  </si>
  <si>
    <t>NFR-SCL-003・004 / NFR-PERF-005</t>
  </si>
  <si>
    <t>上限を超えたときの振る舞い</t>
  </si>
  <si>
    <t>設計した上限で受け付けが止まる／超過時に返す内容が設計どおり／負荷が引いたあと自動で戻る／上限に達しても記録が欠けない</t>
  </si>
  <si>
    <t>E 可用性・災害復旧</t>
  </si>
  <si>
    <t>別地域への切替訓練</t>
  </si>
  <si>
    <t>切替の判断基準どおりに判断できる／手順どおりに切り替わる／目標時間内に切り替わる／切替時点でのデータの欠落が目標内／切り替えた先でログインできる／元の地域へ戻せる／手順書の不備の洗い出しと是正</t>
  </si>
  <si>
    <t>NFR-DR-001・002・003・007</t>
  </si>
  <si>
    <t>切替先の構築とデータ複製が完了していること</t>
  </si>
  <si>
    <t>1 台止めてもログインが続く／データベースの切替が目標時間内に終わる／順に入れ替える更新でログインが止まらない／同時に複数台止めたときの限界の確認／止めた台が戻ったあと自動で組み込まれる</t>
  </si>
  <si>
    <t>NFR-AVL-003・004・005・006</t>
  </si>
  <si>
    <t>本番相当の構成ができていること</t>
  </si>
  <si>
    <t>控えからの復元</t>
  </si>
  <si>
    <t>時点を指定して戻せる／誤った操作で壊れたデータを戻せる／復元の所要時間が目標内／復元後にログインと記録が整合している／控えが変更できない設定になっている</t>
  </si>
  <si>
    <t>NFR-DR-004・005</t>
  </si>
  <si>
    <t>控えの取得が動いていること</t>
  </si>
  <si>
    <t>SEC-09</t>
  </si>
  <si>
    <t>実在の推測と繰り返し試行への対策</t>
  </si>
  <si>
    <t>実装が完了していること</t>
  </si>
  <si>
    <t>署名鍵の入れ替え</t>
  </si>
  <si>
    <t>接続用パスワードの入れ替え</t>
  </si>
  <si>
    <t>入れ替えでアプリが止まらない／猶予期間の扱いが設計どおり／アプリへ通知が届く</t>
  </si>
  <si>
    <t>疑似攻撃検査</t>
  </si>
  <si>
    <t>本番相当の構成と、検査実施の合意</t>
  </si>
  <si>
    <t>WAF 側で行う対策の受入確認</t>
  </si>
  <si>
    <t>NFR-SEC-010・011・012</t>
  </si>
  <si>
    <t>WAF 側の設定が完了していること</t>
  </si>
  <si>
    <t>通信と保管の暗号化</t>
  </si>
  <si>
    <t>外部との通信が設計した方式で暗号化される／内部の通信も暗号化される／保管したデータが暗号化されている／弱い方式が使えない／認められた暗号の実装が使われている</t>
  </si>
  <si>
    <t>SEC-07</t>
  </si>
  <si>
    <t>鍵と秘密情報の取り扱い</t>
  </si>
  <si>
    <t>鍵を扱える人と扱えない人が分かれている／署名鍵の入れ替え中もログインが止まらない／接続用パスワードの入れ替えでアプリが止まらない／秘密情報が記録や画面に出ない／緊急時に使う資格の利用が記録に残る</t>
  </si>
  <si>
    <t>NFR-SEC-015 / NFR-COMP-011</t>
  </si>
  <si>
    <t>鍵管理の構築が完了していること</t>
  </si>
  <si>
    <t>記録の伏せ字と個人情報</t>
  </si>
  <si>
    <t>記録に個人情報が残らない／運用を委託する相手から個人情報が見えない／共通基盤へ出す前に伏せられている／伏せ字の設定を外せないようになっている</t>
  </si>
  <si>
    <t>NFR-COMP-001 / NFR-SEC-002</t>
  </si>
  <si>
    <t>記録の伏せ字処理の実装が完了していること</t>
  </si>
  <si>
    <t>SEC-08</t>
  </si>
  <si>
    <t>脆弱性の検査と部品の出所</t>
  </si>
  <si>
    <t>既知の弱点が検出される／重大なものが残っていない／使っている部品の一覧が出せる／出所の確認できない部品が入らない</t>
  </si>
  <si>
    <t>構成コードからの反映が動いていること</t>
  </si>
  <si>
    <t>顧客の追加と証明書の入れ替え</t>
  </si>
  <si>
    <t>NFR-SCL-004 / NFR-OPS-011</t>
  </si>
  <si>
    <t>証明書の無停止入れ替えの実装が完了していること</t>
  </si>
  <si>
    <t>OP-10</t>
  </si>
  <si>
    <t>相手側が証明書を入れ替えたあと自動で追随する／追随の間隔が設計どおり／取り直しに失敗したときに通知が届く／追随できないまま期限が来る前に気づける</t>
  </si>
  <si>
    <t>FR-FED-011 / NFR-OPS-002</t>
  </si>
  <si>
    <t>自動追随の実装が完了していること</t>
  </si>
  <si>
    <t>記録の照会と監査への提出</t>
  </si>
  <si>
    <t>共通基盤で必要な記録が引ける／保持年数を過ぎた記録が消える／監査から求められる形式で出せる／誰がいつ何をしたかが追える</t>
  </si>
  <si>
    <t>NFR-OPS-004 / NFR-COMP-010</t>
  </si>
  <si>
    <t>共通基盤への集約が完了していること</t>
  </si>
  <si>
    <t>証明書の期限監視</t>
  </si>
  <si>
    <t>期限が近いものが検出される／通知が設計した宛先へ届く／検出漏れが無い</t>
  </si>
  <si>
    <t>約束した稼働率と復旧目標の裏取り</t>
  </si>
  <si>
    <t>測定した稼働率が約束の値を満たす／復旧の実測値が目標内／満たせない条件が契約に書かれている／測り方が顧客と合意されている</t>
  </si>
  <si>
    <t>NFR-AVL-001 / NFR-DR-001・002</t>
  </si>
  <si>
    <t>E 可用性・災害復旧が完了していること</t>
  </si>
  <si>
    <t>監視と通知</t>
  </si>
  <si>
    <t>決めた値がすべて取れる／閾値を超えたときに通知が届く／通知先が当番表どおりに振り分けられる／止まったことに気づけるまでの時間／ダッシュボードで状況が読める／誤検知が多すぎない</t>
  </si>
  <si>
    <t>NFR-OPS-001・002</t>
  </si>
  <si>
    <t>監視の構築が完了していること</t>
  </si>
  <si>
    <t>OP-08</t>
  </si>
  <si>
    <t>手順書のリハーサル</t>
  </si>
  <si>
    <t>事故発生時の初動が手順どおりに実施できる／情報漏えい時の報告が期限内に出せる／顧客の解約が手順どおりにできる／鍵の緊急入れ替えができる／控えからの復元ができる／災害時の切替判断・再構築・復帰ができる／手順書の不備の洗い出しと是正</t>
  </si>
  <si>
    <t>手順書がすべて揃っていること</t>
  </si>
  <si>
    <t>OP-06</t>
  </si>
  <si>
    <t>通常の経路が使えないときに入れる／入った操作がすべて記録される／使い終わったあと資格が無効になる／使用したことが通知される</t>
  </si>
  <si>
    <t>緊急時アクセスの構築が完了していること</t>
  </si>
  <si>
    <t>OP-07</t>
  </si>
  <si>
    <t>製品の更新</t>
  </si>
  <si>
    <t>手順どおりに版を上げられる／上げている間にログインが止まらない／失敗したときに戻せる／自社拡張が新しい版でも動く／設定が引き継がれる</t>
  </si>
  <si>
    <t>NFR-OPS-005・006</t>
  </si>
  <si>
    <t>更新手順の実装が完了していること</t>
  </si>
  <si>
    <t>OP-09</t>
  </si>
  <si>
    <t>構成コードからの再現</t>
  </si>
  <si>
    <t>コードから環境を作り直せる／手で変えた箇所が検出される／環境ごとの差分が設計どおりに切り替わる／戻したい版に戻せる</t>
  </si>
  <si>
    <t>NFR-OPS-010 / FR-INT-010</t>
  </si>
  <si>
    <t>構成コードの置き場と自動反映の構築が完了していること</t>
  </si>
  <si>
    <t>代表的な業務の流れを最後まで通せる／画面の案内で迷わない／失敗したときに何をすればよいか分かる／複数のアプリを行き来できる</t>
  </si>
  <si>
    <t>B 総合が完了していること</t>
  </si>
  <si>
    <t>顧客 IT 部門による受入</t>
  </si>
  <si>
    <t>接続ガイドどおりに繋げられる／必要な情報が事前に揃っている／繋がらないときの切り分けができる／証明書の入れ替えを自分たちで行える</t>
  </si>
  <si>
    <t>運用担当による受入</t>
  </si>
  <si>
    <t>手順書だけで日々の運用が回せる／異常に監視で気づける／当番の引き継ぎができる／判断に迷う点の洗い出しと手順への反映</t>
  </si>
  <si>
    <t>NFR-OPS-008・009</t>
  </si>
  <si>
    <t>G 運用が完了していること</t>
  </si>
  <si>
    <t>UAT-04</t>
  </si>
  <si>
    <t>アプリ開発者による受入</t>
  </si>
  <si>
    <t>サンプル実装と試用環境の提供が完了していること</t>
  </si>
  <si>
    <t>I テスト共通</t>
  </si>
  <si>
    <t>テスト環境の構築と維持</t>
  </si>
  <si>
    <t>本番に近い構成で用意する／相手方の検証環境との接続を用意する／期間中の維持と復旧／使い終わったあとの片付け</t>
  </si>
  <si>
    <t>テストデータの作成</t>
  </si>
  <si>
    <t>性能試験に必要な量を作れる／個人情報を含まない／顧客ごとの違いを再現できる／何度でも同じ状態に戻せる</t>
  </si>
  <si>
    <t>切替のリハーサル</t>
  </si>
  <si>
    <t>既存の認証から本基盤へ 1 アプリ切り替えられる／並行稼働の間どちらでも入れる／戻す手順が動く／切替の判断基準が使える</t>
  </si>
  <si>
    <t>切替の準備が完了していること</t>
  </si>
  <si>
    <t>TE-04</t>
  </si>
  <si>
    <t>回帰テストの自動化</t>
  </si>
  <si>
    <t>主要な流れを自動で流せる／結果の判定が自動でつく／製品の更新後に流して差分が出る／実行結果が記録に残る</t>
  </si>
  <si>
    <t>TE-05</t>
  </si>
  <si>
    <t>不具合の管理と是正の確認</t>
  </si>
  <si>
    <t>不具合が記録され追える／是正後に再確認している／残った不具合の扱いが合意されている／要件から試験結果まで追える</t>
  </si>
  <si>
    <t>TE-06</t>
  </si>
  <si>
    <t>テスト計画・仕様の作成とレビュー</t>
  </si>
  <si>
    <t>基本設計の全機能に試験が対応している／要件との対応がとれている／合否の基準が数値で書かれている／関係者の承認が取れている</t>
  </si>
  <si>
    <t>運用プロセス（受付・変更・障害）</t>
  </si>
  <si>
    <t>NF-OPS-08</t>
  </si>
  <si>
    <t>問い合わせを受けてから解決するまで、設定を変えるとき、障害が起きたときの、決められた進め方</t>
  </si>
  <si>
    <t>サービスレベルの測定と報告</t>
  </si>
  <si>
    <t>NF-OPS-09</t>
  </si>
  <si>
    <t>約束した稼働率や応答時間を実際に測り、顧客へ定期的に報告する</t>
  </si>
  <si>
    <t>定期作業の計画と引き継ぎ</t>
  </si>
  <si>
    <t>NF-OPS-10</t>
  </si>
  <si>
    <t>日次・週次・月次・年次に行う作業の一覧と暦。運用開始前の引き継ぎと教育を含む</t>
  </si>
  <si>
    <t>G-5.1</t>
  </si>
  <si>
    <t>G 運用設計</t>
  </si>
  <si>
    <t>運用設計：問い合わせの受付と切り分け</t>
  </si>
  <si>
    <t>顧客やアプリチームからの問い合わせをどこで受け、誰がどこまで切り分け、いつ誰に引き継ぐかを決める</t>
  </si>
  <si>
    <t>運用設計書の章。受付の窓口・切り分けの手順・引き継ぎの基準・返答の目安時間が定まっている</t>
  </si>
  <si>
    <t>窓口が決まっていないと問い合わせが個人に集まる。認証は止まると全アプリに波及するため、受付から解決までの時間が SLA に直結する</t>
  </si>
  <si>
    <t>G-5.2</t>
  </si>
  <si>
    <t>運用設計：変更管理（申請・承認・適用・記録）</t>
  </si>
  <si>
    <t>設定や構成を変えるときの申請・承認・適用・記録の進め方と、承認が要る変更の線引きを決める</t>
  </si>
  <si>
    <t>運用設計書の章。変更の分類・承認者・適用の窓・記録の残し方・切り戻しの判断が定まっている</t>
  </si>
  <si>
    <t>認証の設定は 1 つの変更で全顧客が入れなくなる。誰の承認で何を変えてよいかが決まっていないと事故になる</t>
  </si>
  <si>
    <t>G-5.3</t>
  </si>
  <si>
    <t>運用設計：障害と問題の管理（記録・再発防止・報告）</t>
  </si>
  <si>
    <t>障害を記録し、原因を追い、再発を防ぐまでの進め方と、顧客への報告の出し方を決める</t>
  </si>
  <si>
    <t>運用設計書の章。記録する項目・重大度の区分・報告の期限と宛先・再発防止の追跡方法が定まっている</t>
  </si>
  <si>
    <t>事故発生時の初動（G-1.3）はあるが、その後の原因追及と再発防止の進め方が無い</t>
  </si>
  <si>
    <t>G-5.4</t>
  </si>
  <si>
    <t>運用設計：サービスレベルの測定と顧客への報告</t>
  </si>
  <si>
    <t>約束した稼働率と応答時間を何でどう測り、どの頻度で誰に報告するかを決める</t>
  </si>
  <si>
    <t>運用設計書の章。測る対象・計算式・除外する時間・報告の頻度と様式が定まっている</t>
  </si>
  <si>
    <t>稼働率を約束する（HK-02）以上、測り方と報告の形が決まっていないと守れたかどうかを示せない</t>
  </si>
  <si>
    <t>G-5.5</t>
  </si>
  <si>
    <t>運用設計：定期作業の一覧と運用の暦</t>
  </si>
  <si>
    <t>日次・週次・月次・四半期・年次に行う作業を洗い出し、いつ誰が行うかの暦を作る</t>
  </si>
  <si>
    <t>運用設計書の章。作業の一覧・頻度・所要時間・担当・前後関係が定まっている</t>
  </si>
  <si>
    <t>定期作業が個人の記憶に依存していると、担当が替わったときに抜ける。運用工数の見積りの根拠にもなる</t>
  </si>
  <si>
    <t>G-5.6</t>
  </si>
  <si>
    <t>運用設計：運用者のアカウントと権限の棚卸し</t>
  </si>
  <si>
    <t>運用に使うアカウントを誰がいつ見直し、不要なものをどう止めるかを決める</t>
  </si>
  <si>
    <t>運用設計書の章。棚卸しの頻度・確認する項目・止める手順・記録の残し方が定まっている</t>
  </si>
  <si>
    <t>G-5.7</t>
  </si>
  <si>
    <t>運用設計：運用の引き継ぎと教育の計画</t>
  </si>
  <si>
    <t>構築したチームから運用するチームへ何をどう渡すか、運用開始前に何を訓練するかを決める</t>
  </si>
  <si>
    <t>計画。渡す資料の一覧・訓練の項目・開始の判定条件が定まっている</t>
  </si>
  <si>
    <t>手順書があっても、動かせる人がいなければ運用は始められない。開始の可否を判定する条件が要る</t>
  </si>
  <si>
    <t>G-5.8</t>
  </si>
  <si>
    <t>運用設計：使用量の監視と増強の判断</t>
  </si>
  <si>
    <t>運用設計書の章。監視する値・増強の判断基準・増強に要する期間が定まっている</t>
  </si>
  <si>
    <t>見積り（HA-22）はあるが、運用開始後に実測を追って増強を判断する仕組みが無い</t>
  </si>
  <si>
    <t>日次</t>
  </si>
  <si>
    <t>OPD-01</t>
  </si>
  <si>
    <t>監視の確認と一次対応</t>
  </si>
  <si>
    <t>通知された内容を確認し、一次対応するか担当へ引き継ぐ</t>
  </si>
  <si>
    <t>毎営業日</t>
  </si>
  <si>
    <t>OPD-02</t>
  </si>
  <si>
    <t>定期処理の結果確認</t>
  </si>
  <si>
    <t>前夜に動いた定期処理が正常に終わったかを確認する</t>
  </si>
  <si>
    <t>週次</t>
  </si>
  <si>
    <t>OPW-01</t>
  </si>
  <si>
    <t>通知の見直し</t>
  </si>
  <si>
    <t>誤検知や取りこぼしを見て、閾値と宛先を調整する</t>
  </si>
  <si>
    <t>週 1 回</t>
  </si>
  <si>
    <t>OPW-02</t>
  </si>
  <si>
    <t>変更の確認</t>
  </si>
  <si>
    <t>申請された設定変更を確認し、適用の可否を判断する</t>
  </si>
  <si>
    <t>OPW-03</t>
  </si>
  <si>
    <t>脆弱性情報の確認</t>
  </si>
  <si>
    <t>月次</t>
  </si>
  <si>
    <t>OPM-01</t>
  </si>
  <si>
    <t>サービスレベルの集計と報告</t>
  </si>
  <si>
    <t>稼働率と応答時間を集計し、顧客向けの報告を作る</t>
  </si>
  <si>
    <t>月 1 回</t>
  </si>
  <si>
    <t>OPM-02</t>
  </si>
  <si>
    <t>使用量の確認と増強判断</t>
  </si>
  <si>
    <t>OPM-03</t>
  </si>
  <si>
    <t>控えの取得確認と抜き取り復元</t>
  </si>
  <si>
    <t>控えが取れていることを確認し、抜き取りで復元できることを確かめる</t>
  </si>
  <si>
    <t>OPM-04</t>
  </si>
  <si>
    <t>運用者アカウントの棚卸し</t>
  </si>
  <si>
    <t>運用に使うアカウントと権限を確認し、不要なものを止める</t>
  </si>
  <si>
    <t>OPM-05</t>
  </si>
  <si>
    <t>費用の確認</t>
  </si>
  <si>
    <t>想定と実績の差を確認し、増えている要因を調べる</t>
  </si>
  <si>
    <t>OPM-06</t>
  </si>
  <si>
    <t>記録の保全確認</t>
  </si>
  <si>
    <t>監査ログが共通基盤に欠けずに貯まっていることを確認する</t>
  </si>
  <si>
    <t>四半期</t>
  </si>
  <si>
    <t>OPQ-01</t>
  </si>
  <si>
    <t>手順書の見直し</t>
  </si>
  <si>
    <t>実施した作業をもとに手順書を直す</t>
  </si>
  <si>
    <t>四半期 1 回</t>
  </si>
  <si>
    <t>OPQ-02</t>
  </si>
  <si>
    <t>障害と問題のふりかえり</t>
  </si>
  <si>
    <t>発生した障害を振り返り、再発防止を決めて追跡する</t>
  </si>
  <si>
    <t>OPQ-03</t>
  </si>
  <si>
    <t>接続用パスワードの入れ替え確認</t>
  </si>
  <si>
    <t>自動で入れ替わったことを確認し、アプリ側の追随を確かめる</t>
  </si>
  <si>
    <t>年次</t>
  </si>
  <si>
    <t>OPY-01</t>
  </si>
  <si>
    <t>署名鍵の入れ替え確認</t>
  </si>
  <si>
    <t>自動で入れ替わったことを確認し、並走期間の動作を確かめる</t>
  </si>
  <si>
    <t>年 1 回</t>
  </si>
  <si>
    <t>OPY-02</t>
  </si>
  <si>
    <t>本基盤の証明書の更新</t>
  </si>
  <si>
    <t>通信に使う証明書を期限前に入れ替える</t>
  </si>
  <si>
    <t>OPY-03</t>
  </si>
  <si>
    <t>検証環境で確認してから本番の版を上げる。自社拡張の作り直しを含む</t>
  </si>
  <si>
    <t>年 2 回</t>
  </si>
  <si>
    <t>OPY-04</t>
  </si>
  <si>
    <t>災害復旧の訓練</t>
  </si>
  <si>
    <t>別地域への切替を実際に行い、目標時間内に戻せることを確かめる</t>
  </si>
  <si>
    <t>OPY-05</t>
  </si>
  <si>
    <t>疑似攻撃検査の受入</t>
  </si>
  <si>
    <t>外部に依頼した検査の結果を受け取り、是正して再確認する</t>
  </si>
  <si>
    <t>OPY-06</t>
  </si>
  <si>
    <t>顧客監査への対応</t>
  </si>
  <si>
    <t>顧客から求められた資料を用意し、質問に答える</t>
  </si>
  <si>
    <t>OPY-07</t>
  </si>
  <si>
    <t>運用体制の見直しと教育</t>
  </si>
  <si>
    <t>担当の入れ替わりに合わせて教育し、体制を見直す</t>
  </si>
  <si>
    <t>随時</t>
  </si>
  <si>
    <t>OPS-01</t>
  </si>
  <si>
    <t>件数に連動</t>
  </si>
  <si>
    <t>OPS-02</t>
  </si>
  <si>
    <t>停止・データの持ち出し・消去を手順どおりに行う</t>
  </si>
  <si>
    <t>OPS-03</t>
  </si>
  <si>
    <t>アプリの接続登録</t>
  </si>
  <si>
    <t>ひな形からアプリを登録し、接続情報を渡す</t>
  </si>
  <si>
    <t>OPS-04</t>
  </si>
  <si>
    <t>顧客側の証明書入れ替えへの対応</t>
  </si>
  <si>
    <t>自動で追随できなかった分を手作業で入れ替える</t>
  </si>
  <si>
    <t>OPS-05</t>
  </si>
  <si>
    <t>問い合わせ対応</t>
  </si>
  <si>
    <t>顧客とアプリチームからの問い合わせに答える</t>
  </si>
  <si>
    <t>月 20 件想定</t>
  </si>
  <si>
    <t>OPS-06</t>
  </si>
  <si>
    <t>障害対応</t>
  </si>
  <si>
    <t>サービスに影響のある障害の対応と報告</t>
  </si>
  <si>
    <t>年 4 件想定</t>
  </si>
  <si>
    <t>OPS-07</t>
  </si>
  <si>
    <t>設定変更の適用</t>
  </si>
  <si>
    <t>承認された設定変更を適用し、記録を残す</t>
  </si>
  <si>
    <t>月 4 件想定</t>
  </si>
  <si>
    <t>HB 機能設計</t>
  </si>
  <si>
    <t>HA 全体・方式設計</t>
  </si>
  <si>
    <t>HG 権限・監査</t>
  </si>
  <si>
    <t>G 構成図</t>
  </si>
  <si>
    <t>HH 運用設計</t>
  </si>
  <si>
    <t>A 調査・PoC</t>
  </si>
  <si>
    <t>E 方式判断</t>
  </si>
  <si>
    <t>HK 顧客提供成果物</t>
  </si>
  <si>
    <t>HI レビュー・合意</t>
  </si>
  <si>
    <t>レビュー記録。2 回目の指摘が一覧化されている</t>
  </si>
  <si>
    <t>改訂済みの設計書。2 回目の指摘がすべて処理されている</t>
  </si>
  <si>
    <t>レビュー記録。3 回目の指摘が一覧化されている</t>
  </si>
  <si>
    <t>改訂済みの設計書。3 回目の指摘がすべて処理されている</t>
  </si>
  <si>
    <t>レビュー記録。4 回目の指摘が一覧化されている</t>
  </si>
  <si>
    <t>改訂済みの設計書。4 回目の指摘がすべて処理されている</t>
  </si>
  <si>
    <t>本番設定: クラスタ内通信の暗号化と 30 日ごとの入れ替え</t>
  </si>
  <si>
    <t>本基盤の運用者は全顧客のデータに触れられる。棚卸しをしないと退職者の権限が残る</t>
  </si>
  <si>
    <t>停止と再開の実装が完了していること</t>
  </si>
  <si>
    <t>期限監視の実装が完了していること</t>
  </si>
  <si>
    <t>—（テストの前提そのもの）</t>
  </si>
  <si>
    <t>テスト環境の構築が完了していること</t>
  </si>
  <si>
    <t>B 総合の試験仕様が確定していること</t>
  </si>
  <si>
    <t>—（テスト期間を通じて実施）</t>
  </si>
  <si>
    <t>基本設計が承認されていること</t>
  </si>
  <si>
    <t>行数</t>
    <phoneticPr fontId="2"/>
  </si>
  <si>
    <t>入力された ID から、その人をどの顧客IdPへ送るかを決める入口。顧客IdPの一覧を見せずに済ませる</t>
  </si>
  <si>
    <t>端末の紛失やパスワード忘れから、ユーザ自身または管理者が復旧する</t>
  </si>
  <si>
    <t>総当たり・ユーザ名の推測・流出パスワードなど、ログイン口への攻撃を防ぐ</t>
  </si>
  <si>
    <t>ユーザが実際に目にする画面。ログイン画面の見せ方と、失敗したときの案内</t>
  </si>
  <si>
    <t>顧客の人事システムや IdP から SCIM でユーザの登録・更新・削除を受け取る。ログインを待たずに反映できる</t>
  </si>
  <si>
    <t>退職などでユーザを止めた事実を確実に反映し、復職時に安全に再開する。消さずに無効化し、期限後に消す</t>
  </si>
  <si>
    <t>顧客と組織の作成・設定・解約</t>
  </si>
  <si>
    <t>どのユーザがどのアプリをどの役割で使えるかを設定し、定期的に見直す。権限側で使う識別子の対応づけを含む</t>
  </si>
  <si>
    <t>ユーザの変更をアプリへ通知する仕組みと、ユーザへのメール送信</t>
  </si>
  <si>
    <t>運用開始後の監視・体制・手順。定期処理の実行基盤とKeycloak の更新を含む</t>
  </si>
  <si>
    <t>設計書そのもの管理（総則・前提・一覧・追跡・レビュー・照会）</t>
  </si>
  <si>
    <t>作業</t>
    <phoneticPr fontId="2"/>
  </si>
  <si>
    <t>頻度</t>
    <phoneticPr fontId="2"/>
  </si>
  <si>
    <t>1 回の工数（時間）</t>
    <phoneticPr fontId="2"/>
  </si>
  <si>
    <t>初年度 回数</t>
    <phoneticPr fontId="2"/>
  </si>
  <si>
    <t>初年度 人日</t>
    <phoneticPr fontId="2"/>
  </si>
  <si>
    <t>定常 回数</t>
    <phoneticPr fontId="2"/>
  </si>
  <si>
    <t>定常 人日</t>
    <phoneticPr fontId="2"/>
  </si>
  <si>
    <t>担当</t>
    <phoneticPr fontId="2"/>
  </si>
  <si>
    <t>Keycloak-Brokerと使っている部品の脆弱性情報を確認し、対応要否を判断する</t>
  </si>
  <si>
    <t>ユーザ数・顧客IdP数・データ量の伸びを見て、増強の要否を判断する</t>
  </si>
  <si>
    <t>Keycloak の版上げ</t>
  </si>
  <si>
    <t>顧客の追加</t>
  </si>
  <si>
    <t>顧客を登録し、顧客IdPを登録して疎通を確認する</t>
  </si>
  <si>
    <t>① 基本設計</t>
    <phoneticPr fontId="2"/>
  </si>
  <si>
    <t>③ 製造</t>
    <phoneticPr fontId="2"/>
  </si>
  <si>
    <t>②③④ 行数</t>
    <phoneticPr fontId="2"/>
  </si>
  <si>
    <t>顧客IdPの自動振り分け</t>
  </si>
  <si>
    <t>顧客IdPの選択（1 顧客に複数）</t>
  </si>
  <si>
    <t>顧客IdPへのログイン委譲（OIDC）</t>
  </si>
  <si>
    <t>顧客IdPへのログイン委譲（SAML）</t>
  </si>
  <si>
    <t>ユーザの存在推測の防止</t>
  </si>
  <si>
    <t>エラー・案内画面（Keycloak-Broker）</t>
  </si>
  <si>
    <t>ユーザの停止（消さずに無効化）</t>
  </si>
  <si>
    <t>停止済みユーザの再開</t>
  </si>
  <si>
    <t>顧客IdPの接続登録</t>
  </si>
  <si>
    <t>顧客越境の防止（Keycloak-Broker 側）</t>
  </si>
  <si>
    <t>システム間 JWT の発行</t>
  </si>
  <si>
    <t>業務システム側のユーザ自動作成</t>
  </si>
  <si>
    <t>データベース設計（Keycloak-Broker）</t>
  </si>
  <si>
    <t>Keycloak の更新・保守</t>
  </si>
  <si>
    <t>基盤</t>
    <phoneticPr fontId="2"/>
  </si>
  <si>
    <t>うち対象</t>
    <phoneticPr fontId="2"/>
  </si>
  <si>
    <t>ログイン画面で入力された ID から、その人がどの顧客IdPのユーザかを判定し、自動で振り分ける</t>
  </si>
  <si>
    <t>顧客IdPを判定できなかったときに、パスワード入力欄に切り替えて処理を続ける逃げ道</t>
  </si>
  <si>
    <t>1 つの顧客に顧客IdPが複数ある場合に、ユーザにどれを使うか選ばせる</t>
  </si>
  <si>
    <t>Keycloak-Broker と Keycloak-IdP の連携</t>
  </si>
  <si>
    <t>管理者がユーザの追加認証の登録を解除する。端末紛失時の復旧に使う</t>
  </si>
  <si>
    <t>ユーザが自分でパスワードを再設定する</t>
  </si>
  <si>
    <t>管理者がユーザのパスワードを初期化する</t>
  </si>
  <si>
    <t>メールアドレスを持たないユーザが端末を失くした場合の復旧手段。管理者の承認を経て復旧する</t>
  </si>
  <si>
    <t>管理者がユーザのログイン状態を強制的に終了させる。個別・顧客単位・全体の 3 段階</t>
  </si>
  <si>
    <t>ログイン画面の見せ方。ブランドごとの表示切替と、顧客IdPの並び順</t>
  </si>
  <si>
    <t>Keycloak-Brokerが出すエラー・案内の画面。ログインや振り分けに失敗したときの文言と誘導</t>
  </si>
  <si>
    <t>顧客ごとにバラバラな項目名を基盤内の統一名に変換して取り込む。統一名の辞書と 顧客IdPごとの変換表を含む</t>
  </si>
  <si>
    <t>そのユーザがどの経路（JIT / SCIM / 管理画面 / アプリ API / 運用者 / 移行）で登録されたかを区別する</t>
  </si>
  <si>
    <t>ユーザを削除せず使えない状態にし、停止日時を記録する</t>
  </si>
  <si>
    <t>一度止めたユーザを再び使えるようにする。誤って復活させない条件を含む</t>
  </si>
  <si>
    <t>ユーザの検索・一覧</t>
  </si>
  <si>
    <t>ユーザの詳細参照</t>
  </si>
  <si>
    <t>ユーザの登録</t>
  </si>
  <si>
    <t>ユーザの変更</t>
  </si>
  <si>
    <t>ユーザの利用可否の切替</t>
  </si>
  <si>
    <t>ユーザの削除</t>
  </si>
  <si>
    <t>ユーザの招待</t>
  </si>
  <si>
    <t>新しいユーザに招待を送り、本人に初期設定させる</t>
  </si>
  <si>
    <t>ユーザの一括登録</t>
  </si>
  <si>
    <t>ユーザをまとめて登録するためのファイル取り込み</t>
  </si>
  <si>
    <t>ユーザ一覧や操作記録をファイルとして出力する</t>
  </si>
  <si>
    <t>新しい顧客を作成する</t>
  </si>
  <si>
    <t>ユーザが所属する組織の情報を編集する</t>
  </si>
  <si>
    <t>顧客IdPを基盤に接続する登録作業</t>
  </si>
  <si>
    <t>顧客IdPの接続情報を定期的に取り直し、証明書の入れ替えに自動追随する</t>
  </si>
  <si>
    <t>どのユーザにどのアプリを使わせるかを設定する</t>
  </si>
  <si>
    <t>アプリごとの役割（ロール）をユーザに割り当てる</t>
  </si>
  <si>
    <t>顧客側のユーザ番号と基盤側の識別子を対応づけて管理する</t>
  </si>
  <si>
    <t>ユーザがそのアプリを使ってよいかを判定する</t>
  </si>
  <si>
    <t>アプリが「このユーザは何ができるか」を 1 回の問い合わせで取得できるようにする</t>
  </si>
  <si>
    <t>ユーザが自分の顧客以外の顧客IdPを使ってログインできないようにする。権限データ側の越境防止はアプリの責務</t>
  </si>
  <si>
    <t>管理画面の操作について、顧客・役割・対象の 3 つの観点で権限を確認する</t>
  </si>
  <si>
    <t>JWT の交換</t>
  </si>
  <si>
    <t>ユーザの変更をアプリ側へ通知する。届かなかった場合の再送を含む</t>
  </si>
  <si>
    <t>ユーザの状態変化をアプリ側へ即時に伝える新方式。初期リリースでは対象外</t>
  </si>
  <si>
    <t>業務システム側で、初回ログイン時にユーザを自動作成させる</t>
  </si>
  <si>
    <t>JWT の署名に使う鍵を定期的に入れ替える。切り替え中も止めないための並走期間を含む</t>
  </si>
  <si>
    <t>本物のユーザを模した定期的なログイン試行で、障害をユーザより先に見つける</t>
  </si>
  <si>
    <t>Keycloak-Brokerを動かすクラスタのノード構成・配置制約・自動増減と、ベンダー保守との責任分界</t>
  </si>
  <si>
    <t>Keycloak-Brokerを何個の区画に分けるか。ブランドごとの分け方と発行元の規律</t>
  </si>
  <si>
    <t>Keycloak の版を上げるときの手順と、ベンダーのサポート範囲</t>
  </si>
  <si>
    <t>既存の仕組みから本基盤へ移るときの段取りと、移行先にしかいないユーザの扱い</t>
  </si>
  <si>
    <t>作る機能の一覧と、ユーザから見た代表的な業務の流れ</t>
  </si>
  <si>
    <t>Keycloak-Brokerが使うデータベースの構成・触ってよい範囲・索引と分割の方針。Keycloak-Broker 側のみを対象とし、IdP 側はアプリチームの範囲</t>
  </si>
  <si>
    <t>テスト項目</t>
    <phoneticPr fontId="2"/>
  </si>
  <si>
    <t>テスト観点</t>
    <phoneticPr fontId="2"/>
  </si>
  <si>
    <t>対応要件</t>
    <phoneticPr fontId="2"/>
  </si>
  <si>
    <t>顧客IdPとのつなぎ目（OIDC）</t>
  </si>
  <si>
    <t>接続情報の自動取得ができる／署名鍵を取得して検証に使える／要求できる範囲と返る項目が仕様どおり／相手側がエラーを返したときにユーザへ正しく伝わる／相手側の応答が遅いときに設計した時間で打ち切る／相手側の署名鍵が入れ替わったときに追随できる</t>
  </si>
  <si>
    <t>検証用の顧客IdPが用意できていること</t>
  </si>
  <si>
    <t>顧客IdPとのつなぎ目（SAML）</t>
  </si>
  <si>
    <t>接続情報の交換ができる／正しい署名を受け入れる／署名が不正なものを拒否する／期限切れの主張を拒否する／暗号化された主張を復号できる／ユーザを指す値の形式が仕様どおり／時計のずれをどこまで許すかが設計どおり</t>
  </si>
  <si>
    <t>Keycloak-IdP 側の基盤の引き渡し状態の確認</t>
  </si>
  <si>
    <t>既定の状態で起動する／アプリチームがKeycloak-Brokerを載せられる状態にある／引き渡す範囲が取り決めどおり／渡した後の責任範囲が文書で確認できる</t>
  </si>
  <si>
    <t>顧客システムからの受信窓口とKeycloak-Brokerのつなぎ目</t>
  </si>
  <si>
    <t>登録・更新・削除・検索がKeycloak-Brokerに反映される／呼び出し元の確認に失敗したとき受け付けない／項目の対応づけが設計どおりに効く／一度に多くの件数が来たときの区切り方が仕様どおり／途中で失敗したときに中途半端な状態が残らない／同じ要求が二度来ても結果が変わらない</t>
  </si>
  <si>
    <t>システム間 JWT の発行と失効</t>
  </si>
  <si>
    <t>アプリとのつなぎ目（接続情報・JWT）</t>
  </si>
  <si>
    <t>ひな形からアプリを登録できる／接続情報の公開先が仕様どおりに読める／署名鍵の公開先が読める／アプリ側でJWT を検証できる／接続用パスワードを入れ替えてもアプリが追随できる</t>
  </si>
  <si>
    <t>外部の入口からKeycloak-Brokerまで通る／外向きの通信が許可した範囲だけ通る／名前解決が経路ごとに設計どおりに解決する／外部に出さない経路が塞がっている／管理用の経路が限定された元からだけ通る</t>
  </si>
  <si>
    <t>区画をまたいでユーザが見えない／発行元の値が区画ごとに設計どおり／区画ごとの設定が独立している／一方の設定変更が他方に影響しない</t>
  </si>
  <si>
    <t>Keycloak-Brokerとデータベースのつなぎ目</t>
  </si>
  <si>
    <t>顧客IdPの振り分けの一連</t>
  </si>
  <si>
    <t>入力から顧客IdPが判定できる／判定できないときパスワード入力へ切り替わる／1 顧客に複数あるとき選択できる／存在しない入力でも実在の有無が分からない／大文字小文字・前後の空白の扱いが設計どおり／判定に使う値が変わったときの反映時間／判定の記録が残る</t>
  </si>
  <si>
    <t>顧客IdPの選択</t>
  </si>
  <si>
    <t>初めての人がログインでき、ユーザが作られる／2 回目以降は作られず属性が更新される／顧客側で属性が変わったら次のログインで反映される／同じ人が別の顧客IdPから来たときの扱いが設計どおり／途中で中断したときに半端なユーザが残らない／相手側で拒否されたときの案内が出る／必須の項目が来なかったときの扱いが設計どおり</t>
  </si>
  <si>
    <t>初めての人でユーザが作られる／2 回目以降は作られない／2 回目以降に属性が更新される／更新しない項目が上書きされない／同じ人と判断する条件が設計どおり／作成の途中で失敗したときに半端なユーザが残らない</t>
  </si>
  <si>
    <t>1 箇所のログアウトが他のアプリへ届く／届かなかったアプリがあるときの扱いが設計どおり／顧客IdP側のログアウトと連動するか／しないかが設計どおり／伝わらなかった場合に残る時間の上限が設計どおり</t>
  </si>
  <si>
    <t>絞り込みが効く／件数の区切りが仕様どおり／他の顧客のユーザが見えない</t>
  </si>
  <si>
    <t>止めたユーザがログインできない／止めた日時が記録に残る／止めても記録は消えない／再開してよい条件のときだけ戻る／除外条件に当たるときは戻らない／止めた時点で発行済みのJWTが使えなくなるまでの時間が設計どおり</t>
  </si>
  <si>
    <t>顧客を登録できる／顧客IdPを登録して疎通が確認できる／その顧客のユーザが初回ログインできる／登録の途中で失敗したときに半端な状態が残らない／他の顧客に影響しない／登録から使えるようになるまでの所要時間が約束の範囲</t>
  </si>
  <si>
    <t>解約でその顧客のユーザがログインできなくなる／データの持ち出しができる／猶予期間の扱いが設計どおり／消去したあと戻せないことの確認／他の顧客に影響しない</t>
  </si>
  <si>
    <t>JWT の内容と検証</t>
  </si>
  <si>
    <t>必須の項目が過不足なく入る／顧客を指す値が正しく入る／要求できる範囲ごとに入る項目が変わる／有効期限が設計どおり／署名鍵の入れ替え中も検証できる／改ざんしたJWT を拒否できる／発行元の値が設計どおり</t>
  </si>
  <si>
    <t>顧客を越えて入れないことの確認</t>
  </si>
  <si>
    <t>他の顧客の顧客IdPを使ってログインできない／弾いたことが記録に残る／同じメールの人が複数の顧客にいるときに取り違えない／顧客IdPを後から付け替えたときも越境しない</t>
  </si>
  <si>
    <t>実機の顧客IdPとの突合（1 社目）</t>
  </si>
  <si>
    <t>実機の顧客IdPとの突合（2 社目）</t>
  </si>
  <si>
    <t>実機の顧客IdPとの突合（旧方式 1 社）</t>
  </si>
  <si>
    <t>実際の接続情報で繋がる／署名と暗号化の設定差／ユーザを指す値の形式差／設計への反映</t>
  </si>
  <si>
    <t>実機での接続／相手側のユーザ自動作成の設定差／緊急時に使う相手側の管理者アカウントの扱い／停止の連鎖／設計への反映</t>
  </si>
  <si>
    <t>JWT の検証の処理量</t>
  </si>
  <si>
    <t>顧客IdPの数を増やしたときのスケール</t>
  </si>
  <si>
    <t>想定した数の顧客IdPで振り分けの時間が基準内に収まる／顧客IdPを倍にしたときの伸び方／一時保持の効き具合／顧客IdPを追加したときに反映されるまでの時間／見積った設備量で足りるかの確認</t>
  </si>
  <si>
    <t>切替時のログイン状態とJWT</t>
  </si>
  <si>
    <t>実在する識別子と実在しない識別子で応答の内容が変わらない／応答までの時間にも差が出ない／短時間の繰り返しが制限される／送信元を分散させても制限が効く／制限にかかったときの表示が実在を示唆しない／正規のユーザが誤って止められない</t>
  </si>
  <si>
    <t>入れ替え中もログインが止まらない／古い鍵で発行したJWTが並走期間中は検証できる／並走期間を過ぎた鍵で検証できない／入れ替えが記録に残る</t>
  </si>
  <si>
    <t>攻撃経路対応表に挙げた経路をすべて試す／認可のすり抜けができない／顧客を越えられない／プロトコルの取り違えを突けない／入力値の細工で異常な動きをしない／見つかった弱点の是正と再確認</t>
  </si>
  <si>
    <t>顧客IdPの登録から初回ログインまで通しでできる／所要時間が約束した範囲に収まる／証明書を止めずに入れ替えられる／期限が近いときに通知が届く／入れ替えに失敗したときに戻せる</t>
  </si>
  <si>
    <t>ユーザによる受入</t>
  </si>
  <si>
    <t>顧客IdP 接続ガイドが完成していること</t>
  </si>
  <si>
    <t>ガイドとサンプルだけで組み込める／試用環境で確認できる／JWT の検証をガイドどおりに実装できる／躓いた点のガイドへの反映</t>
  </si>
  <si>
    <t>MK-B Keycloak-Brokerの設定・構築</t>
  </si>
  <si>
    <t>顧客IdPの選択の設定</t>
  </si>
  <si>
    <t>顧客IdPの定義項目・属性の写し方・フローの配置場所が実装できる粒度で書かれている</t>
  </si>
  <si>
    <t>OIDC 顧客IdPの登録と属性の写し込み設定</t>
  </si>
  <si>
    <t>ひな形と初期分の顧客IdPが登録され、属性が設計どおり写る</t>
  </si>
  <si>
    <t>顧客IdPの定義項目・署名の検証方法・属性の写し方が実装できる粒度で書かれている</t>
  </si>
  <si>
    <t>SAML 顧客IdPの登録と署名検証の設定</t>
  </si>
  <si>
    <t>ひな形と初期分の顧客IdPが登録され、署名検証が動作する</t>
  </si>
  <si>
    <t>初めてのログインでユーザが作られ、2 回目以降は作られない</t>
  </si>
  <si>
    <t>Keycloak-IdP 用の基盤（ROSA）の構築</t>
  </si>
  <si>
    <t>既定の状態のクラスタが起動し、アプリチームがKeycloak-Brokerを載せられる</t>
  </si>
  <si>
    <t>Keycloak-Brokerの既定画面のどこを差し替えるか、版を上げたときの作り直しの手間が確定している</t>
  </si>
  <si>
    <t>入口の作り・呼び出し元の確認方法・応答と異常時の返し方が実装できる粒度で書かれている。窓口はKeycloak-Brokerの上に立てる（別の実行基盤は作らない）</t>
  </si>
  <si>
    <t>Keycloak-Brokerの上に立てた窓口で、顧客システムから登録・更新・削除・検索ができる</t>
  </si>
  <si>
    <t>既にいるユーザを更新するときの項目の上書き規則と、競合したときの扱いが確定している</t>
  </si>
  <si>
    <t>削除の通知でユーザが止まり、消えていないことを確認できる</t>
  </si>
  <si>
    <t>顧客と顧客IdPの登録手順の実装設計</t>
  </si>
  <si>
    <t>受け取った情報から顧客IdPを登録でき、疎通確認まで通る</t>
  </si>
  <si>
    <t>JWT に載せる項目の実装仕様</t>
  </si>
  <si>
    <t>単体試験仕様: JWT の内容</t>
  </si>
  <si>
    <t>JWT の項目生成の実装</t>
  </si>
  <si>
    <t>設計どおりの項目が入ったJWTが発行される</t>
  </si>
  <si>
    <t>単体試験: JWT の内容</t>
  </si>
  <si>
    <t>他顧客の顧客IdPではログインできない</t>
  </si>
  <si>
    <t>システム間 JWT の実装設計</t>
  </si>
  <si>
    <t>システム間 JWT の実装</t>
  </si>
  <si>
    <t>単体試験: システム間 JWT</t>
  </si>
  <si>
    <t>ログイン・ユーザの自動作成・ログアウトの観点と期待結果が定義されている</t>
  </si>
  <si>
    <t>業務システムへログインでき、相手側にユーザが作られる</t>
  </si>
  <si>
    <t>業務システム側のユーザ自動作成の設定</t>
  </si>
  <si>
    <t>初回ログインで相手側にユーザが作られ、渡した属性が反映される</t>
  </si>
  <si>
    <t>クラスタが起動し、Keycloak-Brokerを載せられる状態になっている</t>
  </si>
  <si>
    <t>データベースの構築（Keycloak-Brokerの格納先）</t>
  </si>
  <si>
    <t>Keycloak-Brokerが使うデータベースが作られ、接続・冗長化・バックアップが設定されている</t>
  </si>
  <si>
    <t>Keycloak の更新の実装設計</t>
  </si>
  <si>
    <t>Keycloak の更新の実機確認</t>
  </si>
  <si>
    <t>機能仕様書: 顧客IdPの自動振り分け（HRD）</t>
  </si>
  <si>
    <t>入力された ID から、その人がどの顧客IdPのユーザかを判定し、自動で送り先を決める</t>
  </si>
  <si>
    <t>顧客IdPが複数ある前提で、ユーザが自分の顧客IdPにたどり着く唯一の手段</t>
  </si>
  <si>
    <t>HJ Keycloak-Brokerの作り込み</t>
  </si>
  <si>
    <t>判定を行う自社拡張の入出力・動作条件・Keycloak-Brokerへの組み込み位置を決める</t>
  </si>
  <si>
    <t>Keycloak-Brokerの標準機能では実現できず、自社拡張で作る必要がある</t>
  </si>
  <si>
    <t>顧客IdPを判定できなかったときに、パスワード入力へ切り替えて処理を続ける動き</t>
  </si>
  <si>
    <t>どの顧客か分からない状態でもユーザを止めないための逃げ道</t>
  </si>
  <si>
    <t>機能仕様書: 顧客IdPの選択画面</t>
  </si>
  <si>
    <t>顧客IdPへ委ねる中核で、これが無いと基盤の存在理由が無い</t>
  </si>
  <si>
    <t>仕様書。顧客IdPの情報と、渡す項目が定まっている</t>
  </si>
  <si>
    <t>HJ Keycloak の作り込み</t>
  </si>
  <si>
    <t>Keycloak-Brokerの設定値一覧</t>
  </si>
  <si>
    <t>Keycloak-Brokerの設定値を決める（外部連携を受ける側）</t>
  </si>
  <si>
    <t>顧客IdPごとの接続仕様の差分整理</t>
  </si>
  <si>
    <t>ガイド 1 章。JWT をブラウザに保存してはいけない範囲と、使えない機能の制約が明示されている</t>
  </si>
  <si>
    <t>第4部 JWT の取得・保存</t>
  </si>
  <si>
    <t>受け取ったJWT をどこに保存してよいか・いけないかの方針</t>
  </si>
  <si>
    <t>旧方式の顧客IdPを登録するひな形</t>
  </si>
  <si>
    <t>旧方式の顧客IdPを登録するときのひな形を作る</t>
  </si>
  <si>
    <t>これが無いとフェデレーションのログインが完了しない。Keycloak-Brokerの初回連携フローに直結する</t>
  </si>
  <si>
    <t>Keycloak-Brokerの設定値一覧（ユーザを直接収容する側）</t>
  </si>
  <si>
    <t>Keycloak-Brokerの設定値を決める（ユーザを直接収容する側）</t>
  </si>
  <si>
    <t>Keycloak-IdP 側の引き渡し範囲と責任分界の取り決め</t>
  </si>
  <si>
    <t>【Keycloak-IdP 側の責務】追加認証はKeycloak-Broker では行わない。フェデレーションのユーザは顧客IdP側、直接収容するユーザは Keycloak-IdP 側で行う。人日は復活時のために残す</t>
  </si>
  <si>
    <t>対象外：Keycloak-IdP 側の責務</t>
  </si>
  <si>
    <t>Keycloak-Brokerはパスワードを持たないため連続失敗の締め出しは不要だが、振り分けは識別子を受け取るため実在の推測と総当たりが成立する。WAF は同じ送信元しか見ないので、分散して来ると効かない</t>
  </si>
  <si>
    <t>ログイン状態はKeycloak-Brokerが持つため全アプリ共通。アプリ内の保持方法はアプリが決めるが、全体の有効期間は 1 つの設定で全アプリに効くため共同で決める</t>
  </si>
  <si>
    <t>JWT を延長するための仕組みと、不正利用が疑われた場合の挙動</t>
  </si>
  <si>
    <t>画面仕様書: エラー・案内の表示画面（Keycloak-Broker）</t>
  </si>
  <si>
    <t>失敗したときの案内が無いとユーザが詰まる。文言はユーザの実在を推測させない書き方にする必要がある</t>
  </si>
  <si>
    <t>顧客の人事システムや認証システムからユーザ情報を受け取る窓口の仕様を決める。窓口はKeycloak-Broker（Keycloak）の上に立て、別の実行基盤は作らない</t>
  </si>
  <si>
    <t>ログインを待たずにユーザを反映する唯一の経路。Keycloak-Brokerの標準機能は使わず自作または部品を使い、Keycloak-Brokerの上に載せる</t>
  </si>
  <si>
    <t>機能仕様書: SCIM 受信 ユーザの登録</t>
  </si>
  <si>
    <t>顧客システムからユーザの新規登録を受け取る</t>
  </si>
  <si>
    <t>機能仕様書: SCIM 受信 ユーザの更新</t>
  </si>
  <si>
    <t>顧客側からのユーザ情報の変更を受け取って反映する</t>
  </si>
  <si>
    <t>機能仕様書: SCIM 受信 ユーザの検索・絞り込み</t>
  </si>
  <si>
    <t>顧客側からユーザを検索・絞り込みで問い合わせられるようにする</t>
  </si>
  <si>
    <t>ユーザ属性に載せる項目の宣言設計</t>
  </si>
  <si>
    <t>Keycloak-Brokerのユーザ情報に、独自に持たせる項目を宣言する</t>
  </si>
  <si>
    <t>JWT に載せる項目の入力元。これが無いと出力だけ設計している状態になる</t>
  </si>
  <si>
    <t>顧客IdPごとの項目名の変換方針</t>
  </si>
  <si>
    <t>そのユーザがどの経路（初回ログイン・顧客システム連携・運用者）で登録されたかを区別する</t>
  </si>
  <si>
    <t>機能仕様書: ユーザの停止（消さずに無効化・停止日時の記録）</t>
  </si>
  <si>
    <t>ユーザを削除せず使えない状態にし、いつ止めたかを記録する</t>
  </si>
  <si>
    <t>機能仕様書: 停止済みユーザの再開</t>
  </si>
  <si>
    <t>機能仕様書: 顧客の作成</t>
  </si>
  <si>
    <t>機能仕様書: 顧客IdPの接続登録</t>
  </si>
  <si>
    <t>顧客IdPの証明書を止めずに入れ替えるための運用手順を決める</t>
  </si>
  <si>
    <t>顧客IdPの接続情報を定期的に取り直し、相手側が証明書を入れ替えても自動で追随する</t>
  </si>
  <si>
    <t>顧客IdPが多いほど手作業では追えない。相手側の入れ替えに気づけないとログインが止まる</t>
  </si>
  <si>
    <t>識別番号のうちユーザを指すものはKeycloak-Brokerが発行するため共通。アプリ内の番号はアプリが決める</t>
  </si>
  <si>
    <t>ユーザを識別する値の取り決め（アプリチームと協議）</t>
  </si>
  <si>
    <t>アプリがユーザを一意に指す値を何にするかを、アプリチームと決める</t>
  </si>
  <si>
    <t>JWT（JWT）に載せる項目と要求範囲の定義書</t>
  </si>
  <si>
    <t>JWT に載せる情報の生成規則の定義</t>
  </si>
  <si>
    <t>Keycloak-Brokerをどう組むかは、ユーザ管理を誰が作るかとは無関係に決まる</t>
  </si>
  <si>
    <t>アプリが受け取ったJWT を検証するときの必須チェック項目。設定を誤ると検証が素通りする落とし穴の警告を含む</t>
  </si>
  <si>
    <t>機能仕様書: 他顧客の顧客IdPで入れてしまうことの防止</t>
  </si>
  <si>
    <t>ユーザが自分の顧客以外の顧客IdPを使ってログインできないようにする</t>
  </si>
  <si>
    <t>権限データ側の越境防止はアプリの責務だが、Keycloak-Broker 側の越境は基盤の責務</t>
  </si>
  <si>
    <t>決定記録。一時的に強い権限を出す仕組みをどこに置くかが 1 つに確定している</t>
  </si>
  <si>
    <t>機能仕様書: システム間 JWT の発行</t>
  </si>
  <si>
    <t>機能仕様書: ServiceNow 側のユーザ自動作成</t>
  </si>
  <si>
    <t>業務システム側にユーザがいないとログイン後に何もできない</t>
  </si>
  <si>
    <t>表定義。記録する項目と、他顧客の記録が混ざらない仕組みが定まっている</t>
  </si>
  <si>
    <t>JWT の署名に使う鍵を定期的に入れ替える処理。切り替え中も止めないための並走期間を含む</t>
  </si>
  <si>
    <t>分離は到達を防ぐものではなく「何が取れるか」を変えるもの。管理用の口はパスワードのハッシュを返さないが、DB を直接読めば全件取れる。ハッシュが持ち出されると元のパスワードが割り出され、ユーザが他所で使い回している分まで被害が広がる。分離すれば DB への経路そのものが存在しないため、これを構造的に防げる（2026-09-02 維持を決定）</t>
  </si>
  <si>
    <t>データの全体構成図（Keycloak-Broker 側）</t>
  </si>
  <si>
    <t>Keycloak-Broker 側のみを対象とする。Keycloak-IdP 側は基盤だけ渡すためアプリチームの範囲</t>
  </si>
  <si>
    <t>Keycloak-Brokerのスキーマの利用範囲整理（Keycloak-Broker 側）</t>
  </si>
  <si>
    <t>Keycloak-Brokerが持つ表のうち、触ってよい範囲と触らない範囲を明示する</t>
  </si>
  <si>
    <t>索引・分割・チューニング方針（Keycloak-Broker 側）</t>
  </si>
  <si>
    <t>Keycloak-Brokerはデータベースが無いと動かない。設備量と性能の根拠になる</t>
  </si>
  <si>
    <t>顧客IdPの数を実測せず仮定値のまま設計を進めるため、その根拠と、あとで見直す条件を文書に残す</t>
  </si>
  <si>
    <t>ユーザ数・顧客IdP数・データ量の伸びを何で見て、どの値でいつ増強するかを決める</t>
  </si>
  <si>
    <t>Keycloak-Brokerの本番向け設定のうち、詰め残していた 5 項目を確定する</t>
  </si>
  <si>
    <t>Keycloak の更新の運用手順の精密化</t>
  </si>
  <si>
    <t>Keycloak-Broker 側にユーザデータの移行は無いが、アプリの切替は必ず起きる。無計画だと止まる</t>
  </si>
  <si>
    <t>Keycloak-Brokerが持つ一時保持は全アプリ共通。アプリ内の一時保持はアプリが決めるが、製品側の設定は共同で決める</t>
  </si>
  <si>
    <t>API エラーコード体系（Keycloak-Brokerの標準エラー）</t>
  </si>
  <si>
    <t>設備・顧客IdP・データの名前の付け方の決まり</t>
  </si>
  <si>
    <t>Must</t>
  </si>
  <si>
    <t>Keycloak-IdP</t>
  </si>
  <si>
    <t>Authorization Code + PKCE（SPA / モバイル）</t>
  </si>
  <si>
    <t>画面を持つアプリが、標準の手順（認可コード＋PKCE）でログインを開始し JWT を受け取れること</t>
  </si>
  <si>
    <t>Keycloak-Broker</t>
  </si>
  <si>
    <t>サーバ側で処理するアプリが、接続用パスワードを使う標準の手順でログインできること</t>
  </si>
  <si>
    <t>人ではなくシステムが API を呼ぶための資格を発行できること</t>
  </si>
  <si>
    <t>あるアプリ向けの JWT を、別のアプリ向けに交換できること</t>
  </si>
  <si>
    <t>TBD</t>
  </si>
  <si>
    <t>Phase 1 では作らない。必要になれば Keycloak の標準機能で足せる</t>
  </si>
  <si>
    <t>Device Code Flow（画面のない機器・CLI 向けログイン）</t>
  </si>
  <si>
    <t>画面のない機器や CLI からログインできること</t>
  </si>
  <si>
    <t>2026-08-16 の判断で Phase 1 対象外</t>
  </si>
  <si>
    <t>mTLS Client Authentication（RFC 8705、証明書によるアプリ認証）</t>
  </si>
  <si>
    <t>証明書でアプリを認証できること</t>
  </si>
  <si>
    <t>2026-08-16 の判断で対象外。金融水準の顧客が現れたときに再評価</t>
  </si>
  <si>
    <t>アプリがユーザのパスワードを直接受け取ってログインさせる方式</t>
  </si>
  <si>
    <t>Won't</t>
  </si>
  <si>
    <t>採用しない（安全でないため）</t>
  </si>
  <si>
    <t>パスワードの最小の長さと文字種の組み合わせを決められること</t>
  </si>
  <si>
    <t>ローカルに収容するユーザだけの話。フェデレーションのユーザは顧客IdP 側の規則に従う</t>
  </si>
  <si>
    <t>パスワード履歴（N 個と一致禁止）</t>
  </si>
  <si>
    <t>過去に使ったパスワードを一定個数まで再利用させないこと</t>
  </si>
  <si>
    <t>Should</t>
  </si>
  <si>
    <t>アカウントロック（連続失敗）</t>
  </si>
  <si>
    <t>パスワードを連続で間違えたら一時的にログインを受け付けないこと</t>
  </si>
  <si>
    <t>パスワードに有効期限を設けられること</t>
  </si>
  <si>
    <t>セルフサービスパスワードリセット</t>
  </si>
  <si>
    <t>ユーザが自分でパスワードを再設定できること</t>
  </si>
  <si>
    <t>初回ログイン時にパスワードの変更を強制できること</t>
  </si>
  <si>
    <t>FR-AUTH-015</t>
  </si>
  <si>
    <t>DPoP（RFC 9449、送信者に縛った JWT）</t>
  </si>
  <si>
    <t>JWT を受け取った本人以外が使い回せないよう、送信者を JWT に縛りつけること（DPoP）</t>
  </si>
  <si>
    <t>提案書で新規想定として挙げた項目。Phase 1 では作らない</t>
  </si>
  <si>
    <t>Auth0 OIDC IdP 連携</t>
  </si>
  <si>
    <t>Auth0 を顧客IdP として接続できること</t>
  </si>
  <si>
    <t>推奨値あり</t>
  </si>
  <si>
    <t>Entra ID（Azure AD）OIDC 連携</t>
  </si>
  <si>
    <t>Entra ID（Azure AD）を顧客IdP として接続できること</t>
  </si>
  <si>
    <t>Okta OIDC 連携</t>
  </si>
  <si>
    <t>Okta を顧客IdP として接続できること</t>
  </si>
  <si>
    <t>Google Workspace OIDC 連携</t>
  </si>
  <si>
    <t>Google Workspace を顧客IdP として接続できること</t>
  </si>
  <si>
    <t>Could</t>
  </si>
  <si>
    <t>SAML 2.0 IdP として受け入れ（SP モード）</t>
  </si>
  <si>
    <t>旧方式（SAML）の顧客IdP からログインを受け入れられること</t>
  </si>
  <si>
    <t>SAML 2.0 IdP として発行（IdP モード）</t>
  </si>
  <si>
    <t>ServiceNow 連携で必要</t>
  </si>
  <si>
    <t>社内ディレクトリ（LDAP / AD）に直接つなげること</t>
  </si>
  <si>
    <t>Phase 1 では作らない</t>
  </si>
  <si>
    <t>JIT プロビジョニング</t>
  </si>
  <si>
    <t>顧客IdP 経由で初めて来た人を、その場でユーザとして自動作成できること</t>
  </si>
  <si>
    <t>属性マッピング / クレーム変換</t>
  </si>
  <si>
    <t>顧客ごとにバラバラな属性名を、基盤の統一名に変換して取り込めること</t>
  </si>
  <si>
    <t>複数 IdP 並行運用（マルチテナント）</t>
  </si>
  <si>
    <t>複数の顧客IdP を同時に運用でき、顧客ごとに分離できること</t>
  </si>
  <si>
    <t>新しい顧客を迎え入れるときの、登録から利用開始までの流れが用意されていること</t>
  </si>
  <si>
    <t>Custom Domain での federation</t>
  </si>
  <si>
    <t>顧客ごとの独自ドメインでフェデレーションできること</t>
  </si>
  <si>
    <t>TOTP（Google Authenticator 等）</t>
  </si>
  <si>
    <t>スマートフォンアプリの数字コードで追加認証できること</t>
  </si>
  <si>
    <t>追加認証は Keycloak-Broker では扱わない。ローカル収容ユーザは Keycloak-IdP 側</t>
  </si>
  <si>
    <t>生体認証やセキュリティキーで追加認証できること</t>
  </si>
  <si>
    <t>SMS の数字コードで追加認証できること</t>
  </si>
  <si>
    <t>メール OTP</t>
  </si>
  <si>
    <t>メールの数字コードで追加認証できること</t>
  </si>
  <si>
    <t>バックアップコード</t>
  </si>
  <si>
    <t>端末を失くしたときに使う予備のコードを発行できること</t>
  </si>
  <si>
    <t>条件付き MFA（IP / リスクベース）</t>
  </si>
  <si>
    <t>接続元やリスクに応じて追加認証を出し分けられること</t>
  </si>
  <si>
    <t>MFA 強制 / 任意の切替（ロール単位）</t>
  </si>
  <si>
    <t>追加認証を必須にするか任意にするかを役割ごとに切り替えられること</t>
  </si>
  <si>
    <t>端末記憶（Trusted Device）</t>
  </si>
  <si>
    <t>一度確認した端末を覚えて、次回から追加認証を省けること</t>
  </si>
  <si>
    <t>管理者の MFA 強制</t>
  </si>
  <si>
    <t>管理者には追加認証を必ず求めること</t>
  </si>
  <si>
    <t>同一 IdP 内の複数 Client 間 SSO</t>
  </si>
  <si>
    <t>同じ顧客の複数のアプリを、一度のログインで行き来できること</t>
  </si>
  <si>
    <t>Auth0/Entra 経由のクロス IdP SSO</t>
  </si>
  <si>
    <t>顧客IdP を経由した場合も、複数のアプリを一度のログインで行き来できること</t>
  </si>
  <si>
    <t>IdP セッション破棄（OIDC RP-Initiated Logout）</t>
  </si>
  <si>
    <t>フェデレーション IdP セッション破棄（連動ログアウト）</t>
  </si>
  <si>
    <t>画面経由で他のアプリにログアウトを伝えられること</t>
  </si>
  <si>
    <t>Back-Channel を採用するため作らない</t>
  </si>
  <si>
    <t>サーバ間の通知で他のアプリにログアウトを伝えられること</t>
  </si>
  <si>
    <t>管理者の操作で、対象のログイン状態をまとめて破棄できること</t>
  </si>
  <si>
    <t>JWT に載せた情報でアプリが可否を判断できること</t>
  </si>
  <si>
    <t>顧客を指す値で、他の顧客のデータに触れられないようにできること</t>
  </si>
  <si>
    <t>roles クレームによるロール認可</t>
  </si>
  <si>
    <t>役割を表す情報で可否を判断できること</t>
  </si>
  <si>
    <t>認可はこちらでは行わない</t>
  </si>
  <si>
    <t>役割に上下関係を持たせられること</t>
  </si>
  <si>
    <t>scope ベース認可（M2M）</t>
  </si>
  <si>
    <t>システム間の呼び出しで、許す範囲を限定できること</t>
  </si>
  <si>
    <t>任意の属性を JWT に載せられること</t>
  </si>
  <si>
    <t>マルチイシュア対応（複数 User Pool / Realm）</t>
  </si>
  <si>
    <t>発行元が複数あっても正しく検証できること</t>
  </si>
  <si>
    <t>データ 1 件ごとに細かく可否を判断できること</t>
  </si>
  <si>
    <t>属性の組み合わせで動的に可否を判断できること</t>
  </si>
  <si>
    <t>ユーザを作る・変える・消せること</t>
  </si>
  <si>
    <t>顧客ごとの追加の項目を持たせられること</t>
  </si>
  <si>
    <t>顧客の人事システムから SCIM でユーザを受け取れること</t>
  </si>
  <si>
    <t>ユーザが自分で自分の情報を変えられること</t>
  </si>
  <si>
    <t>ローカル収容ユーザの話</t>
  </si>
  <si>
    <t>ユーザを検索・一覧表示できること</t>
  </si>
  <si>
    <t>管理画面はアプリ</t>
  </si>
  <si>
    <t>ユーザをグループでまとめられること</t>
  </si>
  <si>
    <t>Phase 1 では作らない（SCIM のグループ連携も対象外）</t>
  </si>
  <si>
    <t>ユーザに役割を割り当てられること</t>
  </si>
  <si>
    <t>権限はこちらでは扱わない</t>
  </si>
  <si>
    <t>ファイルからまとめてユーザを取り込めること</t>
  </si>
  <si>
    <t>管理者がユーザのパスワードを強制的に初期化できること</t>
  </si>
  <si>
    <t>ユーザを消すときに関連するデータも消せること</t>
  </si>
  <si>
    <t>新しいユーザに招待を送れること</t>
  </si>
  <si>
    <t>管理コンソール UI</t>
  </si>
  <si>
    <t>管理のための画面があること</t>
  </si>
  <si>
    <t>管理画面はアプリが作る</t>
  </si>
  <si>
    <t>顧客を追加・削除できること</t>
  </si>
  <si>
    <t>設計は本基盤。細部は運用設計で詰める</t>
  </si>
  <si>
    <t>IdP 追加・削除・更新</t>
  </si>
  <si>
    <t>顧客IdP を追加・変更・削除できること</t>
  </si>
  <si>
    <t>アプリの接続登録を管理できること</t>
  </si>
  <si>
    <t>役割の定義を管理できること</t>
  </si>
  <si>
    <t>権限を細かく設定できること</t>
  </si>
  <si>
    <t>設定を変えた履歴が残ること</t>
  </si>
  <si>
    <t>顧客ごとに設定を分けられること</t>
  </si>
  <si>
    <t>管理者にも役割を持たせて操作を制限できること</t>
  </si>
  <si>
    <t>管理画面の権限はアプリ</t>
  </si>
  <si>
    <t>顧客の管理者に運用の一部を任せられること</t>
  </si>
  <si>
    <t>カスタマイズ可能なログイン UI</t>
  </si>
  <si>
    <t>ログイン画面の見た目を変えられること</t>
  </si>
  <si>
    <t>OIDC / OAuth 2.0 の標準に従っていること</t>
  </si>
  <si>
    <t>OIDC Discovery（`.well-known`）</t>
  </si>
  <si>
    <t>接続情報を公開の場所から自動で取得できること</t>
  </si>
  <si>
    <t>JWKS 公開エンドポイント</t>
  </si>
  <si>
    <t>署名鍵を公開の場所から取得できること</t>
  </si>
  <si>
    <t>旧方式（SAML）の接続情報を交換できること</t>
  </si>
  <si>
    <t>Webhook イベント通知（user.created 等）</t>
  </si>
  <si>
    <t>ユーザの変更をアプリへ通知できること（Webhook）</t>
  </si>
  <si>
    <t>管理 REST API</t>
  </si>
  <si>
    <t>管理のための API があること</t>
  </si>
  <si>
    <t>監査の記録を外部へ出力できること</t>
  </si>
  <si>
    <t>全体の共通基盤へ出して集約する</t>
  </si>
  <si>
    <t>監査ログ SIEM 連携（Splunk / Datadog）</t>
  </si>
  <si>
    <t>監査の記録を分析製品へ連携できること</t>
  </si>
  <si>
    <t>共通基盤側の範囲</t>
  </si>
  <si>
    <t>Terraform / IaC 管理</t>
  </si>
  <si>
    <t>構成をコードで管理できること</t>
  </si>
  <si>
    <t>サービス稼働率 SLA</t>
  </si>
  <si>
    <t>顧客に約束する稼働率を定めて満たすこと</t>
  </si>
  <si>
    <t>計画メンテナンス窓</t>
  </si>
  <si>
    <t>計画的に止める時間の枠を定めること</t>
  </si>
  <si>
    <t>マルチ AZ 配置</t>
  </si>
  <si>
    <t>複数の区画に分けて配置し、片方が落ちても動くこと</t>
  </si>
  <si>
    <t>部品が落ちたときに自動で立ち上がり直すこと</t>
  </si>
  <si>
    <t>1 か所が落ちると全部止まる箇所を無くすこと</t>
  </si>
  <si>
    <t>入れ替えのときにログインを止めないこと</t>
  </si>
  <si>
    <t>認証応答時間（P50 / P95 / P99）</t>
  </si>
  <si>
    <t>ログインの応答時間が目標に収まること</t>
  </si>
  <si>
    <t>同時に来るログインの数を目標まで捌けること</t>
  </si>
  <si>
    <t>JWT 検証スループット</t>
  </si>
  <si>
    <t>JWT の検証を目標の件数まで捌けること</t>
  </si>
  <si>
    <t>JWKS キャッシュ TTL</t>
  </si>
  <si>
    <t>署名鍵の取得結果を一定時間持ち回して負荷を下げること</t>
  </si>
  <si>
    <t>始業時などの山に耐えられること</t>
  </si>
  <si>
    <t>DB 応答時間（Keycloak のみ）</t>
  </si>
  <si>
    <t>データベースの応答時間が目標に収まること</t>
  </si>
  <si>
    <t>MAU スケール上限</t>
  </si>
  <si>
    <t>想定するユーザ数まで伸ばせること</t>
  </si>
  <si>
    <t>同時にログインしている数の山に耐えられること</t>
  </si>
  <si>
    <t>顧客テナント数（IdP 数）スケール</t>
  </si>
  <si>
    <t>顧客IdP の数が増えても捌けること</t>
  </si>
  <si>
    <t>負荷に応じて自動で増減すること</t>
  </si>
  <si>
    <t>マルチリージョン対応（複数地域での同時稼働）</t>
  </si>
  <si>
    <t>複数の地域で同時に動かせること</t>
  </si>
  <si>
    <t>災害対策の結論に従属。Phase 1 では別地域は待機のみ</t>
  </si>
  <si>
    <t>データベースを増強できること</t>
  </si>
  <si>
    <t>通信が暗号化されていること</t>
  </si>
  <si>
    <t>保管したデータが暗号化されていること</t>
  </si>
  <si>
    <t>JWT の署名方式が安全なものであること</t>
  </si>
  <si>
    <t>JWT の有効期限が適切に短いこと</t>
  </si>
  <si>
    <t>本人確認結果の有効期限が定められていること</t>
  </si>
  <si>
    <t>更新用の資格を使うたびに入れ替えること</t>
  </si>
  <si>
    <t>パスワードを安全な方式で保管すること</t>
  </si>
  <si>
    <t>総当たりを防ぐこと</t>
  </si>
  <si>
    <t>Keycloak-Broker はパスワードを持たないため、振り分けの実在推測の防止と試行回数の制限に置き換える</t>
  </si>
  <si>
    <t>外部からの攻撃を入口で遮ること（WAF）</t>
  </si>
  <si>
    <t>大量の通信で止められないようにすること</t>
  </si>
  <si>
    <t>疑似攻撃検査を定期的に受けること</t>
  </si>
  <si>
    <t>部品の弱点を定期的に検査すること</t>
  </si>
  <si>
    <t>接続用パスワードや鍵を安全に保管すること</t>
  </si>
  <si>
    <t>外から直接触れない区画に置くこと</t>
  </si>
  <si>
    <t>管理のための入口を限られた元からだけ通すこと</t>
  </si>
  <si>
    <t>JWKS エンドポイント保護</t>
  </si>
  <si>
    <t>署名鍵の公開先を守ること</t>
  </si>
  <si>
    <t>ログインの前後で状態を作り替え、乗っ取りを防ぐこと</t>
  </si>
  <si>
    <t>目標の時間内に復旧できること</t>
  </si>
  <si>
    <t>失うデータを目標の範囲に収めること</t>
  </si>
  <si>
    <t>控えを一定期間保つこと</t>
  </si>
  <si>
    <t>時点を指定して戻せること</t>
  </si>
  <si>
    <t>控えを別の地域にも置くこと</t>
  </si>
  <si>
    <t>DR 訓練</t>
  </si>
  <si>
    <t>復旧の訓練を定期的に行うこと</t>
  </si>
  <si>
    <t>DR 切替時のセッション維持</t>
  </si>
  <si>
    <t>切り替えてもログインし直さずに済むこと</t>
  </si>
  <si>
    <t>動きを測る値が取れること</t>
  </si>
  <si>
    <t>異常を検知したら通知が届くこと</t>
  </si>
  <si>
    <t>記録を定められた期間保つこと</t>
  </si>
  <si>
    <t>記録を必要な条件で探せること</t>
  </si>
  <si>
    <t>Keycloak の版を上げる方針が定まっていること</t>
  </si>
  <si>
    <t>パッチ適用（CVE 対応）</t>
  </si>
  <si>
    <t>弱点への修正を定めた期間内に当てること</t>
  </si>
  <si>
    <t>設定変更プロセス</t>
  </si>
  <si>
    <t>設定を変えるときの手順が定まっていること</t>
  </si>
  <si>
    <t>インシデント対応体制</t>
  </si>
  <si>
    <t>障害に対応する体制があること</t>
  </si>
  <si>
    <t>運用にかかる人手が想定の範囲に収まること</t>
  </si>
  <si>
    <t>入れ替えを自動で行えること</t>
  </si>
  <si>
    <t>個人情報保護法に沿った扱いをすること</t>
  </si>
  <si>
    <t>海外の個人情報の規則に沿えること</t>
  </si>
  <si>
    <t>海外展開時に再評価</t>
  </si>
  <si>
    <t>第三者認証（SOC 2）に対応できること</t>
  </si>
  <si>
    <t>取得の予定が決まってから</t>
  </si>
  <si>
    <t>第三者認証（ISO 27001）に対応できること</t>
  </si>
  <si>
    <t>PCI DSS（金融）</t>
  </si>
  <si>
    <t>カード業界の基準に対応できること</t>
  </si>
  <si>
    <t>該当する顧客が現れてから</t>
  </si>
  <si>
    <t>FIPS 140-3 認定（暗号モジュール認定、旧 140-2）</t>
  </si>
  <si>
    <t>暗号の実装が国の認定を受けていること</t>
  </si>
  <si>
    <t>不要と確定（2026-07-30）</t>
  </si>
  <si>
    <t>法令が求める期間まで記録を保つこと</t>
  </si>
  <si>
    <t>データを置く地域を限定できること</t>
  </si>
  <si>
    <t>本人の求めに応じてデータを消せること</t>
  </si>
  <si>
    <t>誰がいつ何をしたかを追えること</t>
  </si>
  <si>
    <t>暗号鍵のローテーションと所在の可視化</t>
  </si>
  <si>
    <t>鍵を定期的に入れ替え、どこにあるか分かること</t>
  </si>
  <si>
    <t>初期に作るための費用が見積もられていること</t>
  </si>
  <si>
    <t>毎月かかる設備の費用が見積もられていること</t>
  </si>
  <si>
    <t>MAU あたりコスト（連携）</t>
  </si>
  <si>
    <t>ユーザ 1 人あたりの費用が把握できること</t>
  </si>
  <si>
    <t>DR 追加月額</t>
  </si>
  <si>
    <t>災害対策を持つ場合の追加費用が把握できること</t>
  </si>
  <si>
    <t>運用にかかる人件費が見積もられていること</t>
  </si>
  <si>
    <t>RHBK サブスクリプション</t>
  </si>
  <si>
    <t>Keycloak の商用サポート費用の要否が定まっていること</t>
  </si>
  <si>
    <t>損益分岐 MAU（連携のみ）</t>
  </si>
  <si>
    <t>どの規模から自前が有利になるかが分かること</t>
  </si>
  <si>
    <t>3 年 TCO（10 万 MAU 想定）</t>
  </si>
  <si>
    <t>3 年分の総額が把握できること（小規模）</t>
  </si>
  <si>
    <t>3 年 TCO（50 万 MAU 想定）</t>
  </si>
  <si>
    <t>3 年分の総額が把握できること（中規模）</t>
  </si>
  <si>
    <t>既存の認証からユーザを移せること</t>
  </si>
  <si>
    <t>パスワードを暗号化したまま引き継げること</t>
  </si>
  <si>
    <t>特定の製品に縛られない作りであること</t>
  </si>
  <si>
    <t>データを取り出せること</t>
  </si>
  <si>
    <t>新旧を並行して動かしながら段階的に移せること</t>
  </si>
  <si>
    <t>切替の計画は本基盤、実施はアプリ</t>
  </si>
  <si>
    <t>MKA-01 MKJ-01</t>
  </si>
  <si>
    <t>GD-09 GD-10 GD-14 GD-15 HB-F-AUTH-05 HE-14 HJ-02a HJ-09 HJ-10a</t>
  </si>
  <si>
    <t>DDB-01 DDB-14 DDE-01 DDI-02</t>
  </si>
  <si>
    <t>MKB-02 MKB-03 MKB-22 MKI-02 MKI-13</t>
  </si>
  <si>
    <t>IT-07 ST-04</t>
  </si>
  <si>
    <t>全工程あり</t>
  </si>
  <si>
    <t>IT-01 IT-07 RI-01 RI-02 ST-04</t>
  </si>
  <si>
    <t>MKB-21 MKI-12</t>
  </si>
  <si>
    <t>MKB-07 MKI-05</t>
  </si>
  <si>
    <t>GD-09 GD-10 GD-14 GD-15 HB-F-ADM-16 HB-F-AUTH-05 HE-14 HJ-02a HJ-10a</t>
  </si>
  <si>
    <t>DDB-01 DDE-01 DDI-02</t>
  </si>
  <si>
    <t>MKB-02 MKB-03 MKB-16 MKI-02</t>
  </si>
  <si>
    <t>IT-01 RI-02</t>
  </si>
  <si>
    <t>IT-01 OP-01 RI-01 RI-02 ST-04</t>
  </si>
  <si>
    <t>HB-F-ADM-16 HB-F-AUTH-06 HE-15</t>
  </si>
  <si>
    <t>DDB-02 DDE-02 DDI-03</t>
  </si>
  <si>
    <t>MKB-04 MKB-16 MKI-03</t>
  </si>
  <si>
    <t>IT-02 RI-03 ST-05</t>
  </si>
  <si>
    <t>GD-13 HB-F-INT-01 HE-16</t>
  </si>
  <si>
    <t>DDB-15 DDI-08</t>
  </si>
  <si>
    <t>MKB-23 MKI-14</t>
  </si>
  <si>
    <t>IT-08 RI-05 ST-25 ST-26</t>
  </si>
  <si>
    <t>DDB-03 DDI-04</t>
  </si>
  <si>
    <t>MKB-05 MKI-04</t>
  </si>
  <si>
    <t>ST-04 ST-06 ST-12</t>
  </si>
  <si>
    <t>HB-F-PROV-02 HD-05 HD-18</t>
  </si>
  <si>
    <t>DDB-04 DDD-01</t>
  </si>
  <si>
    <t>MKB-06 MKB-10</t>
  </si>
  <si>
    <t>IT-04 ST-07 ST-16</t>
  </si>
  <si>
    <t>HB-F-AZ-05a HJ-01a</t>
  </si>
  <si>
    <t>DDB-12 DDB-17</t>
  </si>
  <si>
    <t>MKB-20 MKB-27 MKI-11</t>
  </si>
  <si>
    <t>IT-12 ST-24</t>
  </si>
  <si>
    <t>HB-F-ADM-14 HB-F-ADM-16</t>
  </si>
  <si>
    <t>MKB-14 MKB-16</t>
  </si>
  <si>
    <t>OP-02 ST-21 UAT-02</t>
  </si>
  <si>
    <t>HB-F-AUTH-02 HB-F-AUTH-04 HC-04a HJ-03</t>
  </si>
  <si>
    <t>DDC-01 DDH-01 DDI-01</t>
  </si>
  <si>
    <t>MKB-01 MKC-01 MKC-03 MKI-01 MKI-08</t>
  </si>
  <si>
    <t>ST-01 ST-02 ST-03</t>
  </si>
  <si>
    <t>GD-21 GD-24 HA-10</t>
  </si>
  <si>
    <t>DDA-01 DDI-05</t>
  </si>
  <si>
    <t>MKB-08 MKI-06</t>
  </si>
  <si>
    <t>GD-09 GD-10 GD-14 GD-15 GD-21 GD-24 HA-10 HB-F-AUTH-05 HE-14 HJ-02a HJ-10a</t>
  </si>
  <si>
    <t>DDA-01 DDB-01 DDE-01 DDI-02 DDI-05</t>
  </si>
  <si>
    <t>MKB-02 MKB-03 MKB-08 MKI-02 MKI-06</t>
  </si>
  <si>
    <t>IT-01 RI-01 RI-02 ST-04 ST-08</t>
  </si>
  <si>
    <t>GD-22 GD-23</t>
  </si>
  <si>
    <t>MKB-09 MKI-07</t>
  </si>
  <si>
    <t>GD-16 GD-17 HB-F-PROV-10 HJ-07</t>
  </si>
  <si>
    <t>DDB-07 DDE-08 DDI-07</t>
  </si>
  <si>
    <t>MKB-12 MKB-19 MKI-10</t>
  </si>
  <si>
    <t>GD-16 GD-17 HJ-07</t>
  </si>
  <si>
    <t>DDE-08 DDI-07</t>
  </si>
  <si>
    <t>MKB-19 MKI-10</t>
  </si>
  <si>
    <t>IT-05 ST-23</t>
  </si>
  <si>
    <t>MKB-20 MKI-11</t>
  </si>
  <si>
    <t>ST-15 ST-24</t>
  </si>
  <si>
    <t>GD-16 GD-17 HD-05 HD-18 HJ-07</t>
  </si>
  <si>
    <t>DDD-01 DDE-08 DDI-07</t>
  </si>
  <si>
    <t>MKB-10 MKB-19 MKI-10</t>
  </si>
  <si>
    <t>PT-02 ST-16 ST-23</t>
  </si>
  <si>
    <t>GD-16 GD-17 HJ-01a HJ-07</t>
  </si>
  <si>
    <t>DDB-17 DDE-08 DDI-07</t>
  </si>
  <si>
    <t>MKB-19 MKB-27 MKI-10</t>
  </si>
  <si>
    <t>HD-05 HD-18</t>
  </si>
  <si>
    <t>ST-16 ST-17</t>
  </si>
  <si>
    <t>HB-F-PROV-03 HB-F-PROV-04 HB-F-PROV-05 HB-F-PROV-06 HE-09</t>
  </si>
  <si>
    <t>DDE-04 DDE-05 DDE-06 DDE-07 DDI-06</t>
  </si>
  <si>
    <t>MKE-01 MKE-02 MKI-09</t>
  </si>
  <si>
    <t>IT-04 RI-04 ST-12 ST-13 ST-14 ST-15</t>
  </si>
  <si>
    <t>HB-F-PROV-10 HB-F-PROV-11</t>
  </si>
  <si>
    <t>DDB-07 DDB-08</t>
  </si>
  <si>
    <t>MKB-12 MKB-13</t>
  </si>
  <si>
    <t>ST-18 ST-19</t>
  </si>
  <si>
    <t>HD-24 HK-07</t>
  </si>
  <si>
    <t>DDB-16 DDD-02</t>
  </si>
  <si>
    <t>MKB-26 MKF-01</t>
  </si>
  <si>
    <t>G-1.2 HB-F-ADM-14</t>
  </si>
  <si>
    <t>DDB-09 DDB-10</t>
  </si>
  <si>
    <t>MKB-14 MKB-15</t>
  </si>
  <si>
    <t>ST-21 ST-22</t>
  </si>
  <si>
    <t>D-12 HB-F-ADM-16</t>
  </si>
  <si>
    <t>MKB-16 MKB-17</t>
  </si>
  <si>
    <t>OP-01 UAT-02</t>
  </si>
  <si>
    <t>MKB-22 MKI-13</t>
  </si>
  <si>
    <t>HG-04 HG-05</t>
  </si>
  <si>
    <t>DDD-04 DDE-09</t>
  </si>
  <si>
    <t>MKH-01 MKI-15</t>
  </si>
  <si>
    <t>IT-09 OP-03</t>
  </si>
  <si>
    <t>HC-04a HC-04j</t>
  </si>
  <si>
    <t>DDC-01 DDC-02</t>
  </si>
  <si>
    <t>MKC-03 MKC-04 MKI-08</t>
  </si>
  <si>
    <t>ST-10 ST-11</t>
  </si>
  <si>
    <t>GD-09 GD-10 GD-14 GD-15 GD-16 GD-17 HB-F-AUTH-05 HE-14 HJ-02a HJ-07 HJ-10a</t>
  </si>
  <si>
    <t>DDB-01 DDE-01 DDE-08 DDI-02 DDI-07</t>
  </si>
  <si>
    <t>MKB-02 MKB-03 MKB-19 MKI-02 MKI-10</t>
  </si>
  <si>
    <t>GD-18 HB-F-BAT-04 HJ-09</t>
  </si>
  <si>
    <t>DDB-14 DDF-02</t>
  </si>
  <si>
    <t>MKB-22 MKF-03 MKI-13 MKI-16</t>
  </si>
  <si>
    <t>GD-13 HB-F-AUTH-06 HB-F-INT-01 HE-15 HE-16</t>
  </si>
  <si>
    <t>DDB-02 DDB-15 DDE-02 DDI-03 DDI-08</t>
  </si>
  <si>
    <t>MKB-04 MKB-23 MKI-03 MKI-14</t>
  </si>
  <si>
    <t>IT-02 IT-08 ST-25 ST-27</t>
  </si>
  <si>
    <t>HA-16 HA-17</t>
  </si>
  <si>
    <t>OP-11</t>
  </si>
  <si>
    <t>E-5 HJ-06</t>
  </si>
  <si>
    <t>DDG-12 DDH-02</t>
  </si>
  <si>
    <t>MKA-18 MKC-05</t>
  </si>
  <si>
    <t>OP-10 SEC-09</t>
  </si>
  <si>
    <t>HJ-17 HJ-19</t>
  </si>
  <si>
    <t>MKA-05 MKA-06 MKD-01</t>
  </si>
  <si>
    <t>HD-01 HD-04 HD-25 HJ-17 HJ-19</t>
  </si>
  <si>
    <t>DDD-05 DDD-06 DDG-04</t>
  </si>
  <si>
    <t>IT-14 PT-03 PT-04</t>
  </si>
  <si>
    <t>E-4a E-4d E-4e HA-21</t>
  </si>
  <si>
    <t>DDA-02 DDA-03</t>
  </si>
  <si>
    <t>MKA-09 MKB-28</t>
  </si>
  <si>
    <t>HA-11 HA-13</t>
  </si>
  <si>
    <t>MKB-29</t>
  </si>
  <si>
    <t>E-4a E-4d E-4e</t>
  </si>
  <si>
    <t>E-2 HA-21</t>
  </si>
  <si>
    <t>DDA-02 DDI-09</t>
  </si>
  <si>
    <t>MKA-09 MKH-02</t>
  </si>
  <si>
    <t>HD-01 HD-04 HD-25</t>
  </si>
  <si>
    <t>DDD-05 DDD-06</t>
  </si>
  <si>
    <t>IT-14 PT-04</t>
  </si>
  <si>
    <t>A-1.7 G-5.8 HA-22</t>
  </si>
  <si>
    <t>A-1.7 G-5.8 HA-22 HB-F-ADM-16</t>
  </si>
  <si>
    <t>MKA-10 MKB-16</t>
  </si>
  <si>
    <t>E-4c G-4.2 HA-05 HA-26 HE-19a</t>
  </si>
  <si>
    <t>DDA-05 DDG-03</t>
  </si>
  <si>
    <t>MKA-03 MKA-04 MKA-16</t>
  </si>
  <si>
    <t>E-4c HA-26 HE-19a</t>
  </si>
  <si>
    <t>GD-16 GD-17 GD-18 HB-F-BAT-04 HJ-07</t>
  </si>
  <si>
    <t>DDE-08 DDF-02 DDI-07</t>
  </si>
  <si>
    <t>MKB-19 MKF-03 MKI-10 MKI-16</t>
  </si>
  <si>
    <t>PT-02 ST-23</t>
  </si>
  <si>
    <t>SEC-01 SEC-05 ST-01 ST-11</t>
  </si>
  <si>
    <t>E-4b HG-08</t>
  </si>
  <si>
    <t>MKA-15 MKI-18</t>
  </si>
  <si>
    <t>E-4c HA-26 HB-F-BAT-05 HE-19a</t>
  </si>
  <si>
    <t>DDA-05 DDF-03</t>
  </si>
  <si>
    <t>MKA-16 MKF-04</t>
  </si>
  <si>
    <t>SEC-03 SEC-07</t>
  </si>
  <si>
    <t>G-4.2 HA-05</t>
  </si>
  <si>
    <t>MKA-03 MKA-04</t>
  </si>
  <si>
    <t>G-1.6 G-4.2 HA-05</t>
  </si>
  <si>
    <t>DDG-03 DDG-11</t>
  </si>
  <si>
    <t>MKA-03 MKA-04 MKA-17</t>
  </si>
  <si>
    <t>SEC-04 SEC-05</t>
  </si>
  <si>
    <t>D-18.1 D-18.2 D-18.3 D-18.4 G-1.11 G-1.8 G-1.9 HK-02</t>
  </si>
  <si>
    <t>DDG-06 DDG-07 DDG-08</t>
  </si>
  <si>
    <t>MKA-11 MKA-12 MKA-13 MKI-17</t>
  </si>
  <si>
    <t>DR-01 OP-06</t>
  </si>
  <si>
    <t>DR-01 DR-02 OP-06</t>
  </si>
  <si>
    <t>D-18.1 D-18.2 D-18.3 D-18.4 G-1.11 G-1.8 G-1.9</t>
  </si>
  <si>
    <t>DR-01 DR-02</t>
  </si>
  <si>
    <t>DR-03 DR-04</t>
  </si>
  <si>
    <t>HH-01 HH-02 HH-03</t>
  </si>
  <si>
    <t>OP-02 OP-05</t>
  </si>
  <si>
    <t>G-5.1 G-5.2 G-5.3 G-5.6</t>
  </si>
  <si>
    <t>G-1.3 G-1.4 G-5.1 G-5.2 G-5.3 G-5.6</t>
  </si>
  <si>
    <t>OP-08 UAT-03</t>
  </si>
  <si>
    <t>G-5.5 G-5.7</t>
  </si>
  <si>
    <t>G-5.4 HB-F-ADM-16</t>
  </si>
  <si>
    <t>IT-09 ST-20</t>
  </si>
  <si>
    <t>OP-04 ST-22</t>
  </si>
  <si>
    <t>E-4c GD-18 HA-26 HB-F-BAT-04 HB-F-BAT-05 HB-F-BAT-07 HE-19a</t>
  </si>
  <si>
    <t>DDA-05 DDF-02 DDF-03 DDF-04</t>
  </si>
  <si>
    <t>MKA-16 MKF-03 MKF-04 MKF-05 MKI-16</t>
  </si>
  <si>
    <t>SEC-02 SEC-07</t>
  </si>
  <si>
    <t>別シートで管理（コスト見積もり）</t>
  </si>
  <si>
    <t>GD-09 GD-10 GD-14 GD-15 HB-F-AUTH-05 HE-14 HE-22a HJ-02a HJ-10a</t>
  </si>
  <si>
    <t>DDB-01 DDE-01 DDE-10 DDI-02</t>
  </si>
  <si>
    <t>MKB-02 MKB-03 MKI-02</t>
  </si>
  <si>
    <t>IT-01 IT-15 RI-01 RI-02 ST-04</t>
  </si>
  <si>
    <t>要件実現対象</t>
  </si>
  <si>
    <t>構築場所</t>
  </si>
  <si>
    <t>アプリ側で実施</t>
  </si>
  <si>
    <t>その他</t>
  </si>
  <si>
    <t>顧客側で実施</t>
  </si>
  <si>
    <t>🔺 一部の工程のみ</t>
  </si>
  <si>
    <t>本人からの開示・削除請求への対応手順</t>
  </si>
  <si>
    <t>本人から求められたときに、保有しているデータを開示し、または消すまでの手順を決める</t>
  </si>
  <si>
    <t>手順書。受付から回答までの期限・確認方法・記録の残し方が定まっている</t>
  </si>
  <si>
    <t>顧客が本人対応の窓口になるため、本基盤側の手順が無いと顧客が答えられない</t>
  </si>
  <si>
    <t>ユーザと記録の保持年数と消去の方針</t>
  </si>
  <si>
    <t>ユーザと記録を何年保ち、いつどうやって消すかを決める。停止から消去までの段階と、消したことをどう示すかを含む</t>
  </si>
  <si>
    <t>方針。対象ごとの保持年数・消去の起点・消去の証跡の残し方が定まっている</t>
  </si>
  <si>
    <t>個人データを求めに応じて消せることは法令の要求。トリミングで方針の行が落ち、消去の起点が決まらないまま残っていた</t>
  </si>
  <si>
    <t>ST-27</t>
  </si>
  <si>
    <t>本人を特定できる／保有しているデータを取り出せる／求めに応じて消せる／消したあと復元できないことを示せる／対応の記録が残る／期限内に回答できる</t>
  </si>
  <si>
    <t>手順書が完成していること</t>
  </si>
  <si>
    <t>保持期間と消去</t>
  </si>
  <si>
    <t>期限を過ぎたデータが消える／期限内のデータが消えない／消したことが記録に残る／停止から消去までの段階が設計どおり／消し残しが検出できる</t>
  </si>
  <si>
    <t>FR-USER-011 / NFR-COMP-007</t>
  </si>
  <si>
    <t>サーバー側で処理を受け持つ形式のアプリ向けの実装手順。Keycloak-Broker の推奨形式</t>
  </si>
  <si>
    <t>顧客IdP経由で初めてログインした人を、その場で Keycloak-Broker のユーザとして作る</t>
  </si>
  <si>
    <t>顧客IdPを Keycloak-Broker へ接続するときに、何を受け取り、どの順で登録し、どこで疎通を確認するかを決める</t>
  </si>
  <si>
    <t>証明書（顧客IdP の SAML 署名・Keycloak-Broker の SAML 署名・TLS）を止めずに入れ替える運用手順</t>
  </si>
  <si>
    <t>業務システムに対して、Keycloak-Broker が認証の提供元として振る舞う</t>
  </si>
  <si>
    <t>記録に残す項目と保持年数を決める。置き場所は全体の共通基盤とし、参照は保管先で行う（Keycloak-Broker に照会画面は作らない）。管理操作の記録の置き場所（D-9.2）を含む</t>
  </si>
  <si>
    <t>全体の共通基盤へ出力して集約する。Keycloak-Broker 側に照会の仕組みは作らないため、出す形式と項目をここで確定させる必要がある</t>
  </si>
  <si>
    <t>MKF-05</t>
  </si>
  <si>
    <t>開示と削除の求めへの対応の実装設計</t>
  </si>
  <si>
    <t>本人を特定する方法・取り出す範囲・消す範囲と、対応の記録の残し方が確定している</t>
  </si>
  <si>
    <t>MK-B Keycloak-Broker の設定・構築</t>
  </si>
  <si>
    <t>開示と削除の手段の実装</t>
  </si>
  <si>
    <t>本人分のデータを取り出せ、消せることを実機で確認できる</t>
  </si>
  <si>
    <t>対象の表ごとの保持年数・消去の起点・消去の順序と、消し残しの検出方法が確定している</t>
  </si>
  <si>
    <t>消去処理の実装</t>
  </si>
  <si>
    <t>期限を過ぎたデータが自動で消え、消したことが記録に残る</t>
  </si>
  <si>
    <t>顧客が持つ認証システムに認証を委ね、その結果を受けてログインさせる。Keycloak-Broker の中核で、ユーザの大半がこの経路を通る</t>
  </si>
  <si>
    <t>顧客側に認証システムが無い顧客のユーザと、基盤の運用者が、Keycloak-Broker に直接 ID とパスワードでログインする</t>
  </si>
  <si>
    <t>顧客IdPを Keycloak-Broker に接続し、設定と証明書を維持する</t>
  </si>
  <si>
    <t>ServiceNow などの業務システムへ Keycloak-Broker がログインを提供し、業務システム側にユーザを自動作成させる</t>
  </si>
  <si>
    <t>顧客IdP経由で初めてログインした人を、その場で Keycloak-Broker のユーザとして作成する</t>
  </si>
  <si>
    <t>Keycloak-Broker から見て Keycloak-IdP を顧客IdP の 1 つ（共有エントリ）として接続する。識別子の引き継ぎ・追加認証結果の取り込み・ログアウト連鎖・セッション上限の同値を含む。Keycloak-IdP 側の Client・Realm 設定は要求仕様としてアプリチームへ渡す（2026-09-07 復活: 2 台構成に戻したため）</t>
  </si>
  <si>
    <t>顧客側に認証システムが無い顧客のユーザが Keycloak-IdP に、本基盤の運用者が Keycloak-Broker に、ID とパスワードで直接ログインする。顧客のユーザ分は Keycloak-IdP 側（アプリ責務）、運用者分は本基盤</t>
  </si>
  <si>
    <t>Keycloak-IdP 側の引き渡しと責任分界</t>
  </si>
  <si>
    <t>F-AUTH-29</t>
  </si>
  <si>
    <t>利用規約などへの同意を画面で取り、いつ誰がどの版に同意したかを記録する。要否は顧客回答待ち（D-22）</t>
  </si>
  <si>
    <t>長期間（90 日）ログインのないユーザを自動で使えない状態にする定期処理。顧客IdP 経由で自動作成したユーザのみが対象で、Keycloak-IdP 収容ユーザと顧客システム連携ユーザは対象外</t>
  </si>
  <si>
    <t>片方で止めた事実をもう一方へ必ず伝える。2026-09-07 決定: 伝播しない。Keycloak-IdP 側で止めた後の残存は Keycloak-Broker のセッション上限（12 時間）で受容する</t>
  </si>
  <si>
    <t>再開も止めたときと同じ経路で伝える。2026-09-07 決定: 伝播しない。Keycloak-IdP 側で止めた後の残存は Keycloak-Broker のセッション上限（12 時間）で受容する</t>
  </si>
  <si>
    <t>新しいアプリを Keycloak-Broker に接続するときの登録内容・申請の流れ・接続情報の渡し方</t>
  </si>
  <si>
    <t>F-INT-14</t>
  </si>
  <si>
    <t>止めた事実が確実に伝わったかを短い間隔で突き合わせる。2026-09-07 決定: 伝播しない。Keycloak-IdP 側で止めた後の残存は Keycloak-Broker のセッション上限（12 時間）で受容する</t>
  </si>
  <si>
    <t>運用者アカウントと権限の保護</t>
  </si>
  <si>
    <t>NF-OPS-11</t>
  </si>
  <si>
    <t>本基盤運用者のローカル認証（WebAuthn 必須）、常時の全権付与の禁止と必要時だけの昇格、緊急時アクセスとの関係、定期棚卸し</t>
  </si>
  <si>
    <t>HG-09</t>
  </si>
  <si>
    <t>運用者アカウントの認証と権限モデル（WebAuthn 必須・常時全権の禁止・緊急時との関係）</t>
  </si>
  <si>
    <t>本基盤運用者のローカル認証を WebAuthn 必須とし、常時の全権付与を禁止して必要時だけ昇格する権限モデルと、緊急時アクセス（G-1.6）との関係を決める</t>
  </si>
  <si>
    <t>設計書の章。認証手段・権限の 2 状態・昇格の手順・記録が定まっている</t>
  </si>
  <si>
    <t>ADR-040 Phase 1 α（P1-04 / P1-08 / P1-09）。運用者は Keycloak-Broker にローカルで残る唯一の人</t>
  </si>
  <si>
    <t>HJ-22</t>
  </si>
  <si>
    <t>自社拡張と実行イメージの供給網対策（依存の検査・署名・部品一覧）</t>
  </si>
  <si>
    <t>自社拡張と実行イメージについて、依存の検査・イメージの署名・部品一覧（SBOM）の出し方を決める</t>
  </si>
  <si>
    <t>設計書の章。検査の道具・署名の方式・部品一覧の形式が定まっている</t>
  </si>
  <si>
    <t>ADR-046 Phase 1 = SLSA L2。テスト SEC-09 の根拠となる設計が無かった</t>
  </si>
  <si>
    <t>HK-10</t>
  </si>
  <si>
    <t>境界（WAF・NWFW）への要求仕様書／渡す相手: 境界を管理する組織</t>
  </si>
  <si>
    <t>ログイン口の流量制限・署名鍵公開先の保護・管理画面の遮断・顧客IdP 向け外向き許可など、境界側に求める設定を要求仕様書にする</t>
  </si>
  <si>
    <t>要求仕様書。要求ごとに値と根拠、確認方法が書かれている</t>
  </si>
  <si>
    <t>WAF・DDoS は他組織が持つが、何を求めるかは本基盤の責務。HG-08 の「WAF 側で行う前提」の受け皿</t>
  </si>
  <si>
    <t>HE-24</t>
  </si>
  <si>
    <t>管理 API の内部公開経路と呼び出し元の権限範囲</t>
  </si>
  <si>
    <t>アプリ側の管理 API（idm-api）が Keycloak-Broker の管理 API を呼ぶ経路（内部 NLB・インターネット非露出）、呼び出し元の資格（システム間 JWT）と許す操作の範囲、記録の残し方を決める</t>
  </si>
  <si>
    <t>接続仕様。経路・資格・許す操作の一覧が定まっている</t>
  </si>
  <si>
    <t>禁則 K-10（管理 API は内部経路のみ）の実体。ユーザの停止・全セッション破棄など管理画面からの操作はここを通る</t>
  </si>
  <si>
    <t>機能仕様書: 長期未使用者の自動停止（90 日）</t>
  </si>
  <si>
    <t>顧客IdP 経由で自動作成したユーザのうち 90 日ログインの無いものを止める定期処理。Keycloak-IdP 収容ユーザ・顧客システム連携ユーザは対象外</t>
  </si>
  <si>
    <t>機能仕様書。対象の条件・除外の条件・止めたときの記録が定まっている</t>
  </si>
  <si>
    <t>U3 D3-17 の除外規則を含む。要否は B-JIT-LC-1 で最終確認</t>
  </si>
  <si>
    <t>Keycloak-IdP 側の非機能責任表（可用性・復旧・監視・更新・鍵・ログ）</t>
  </si>
  <si>
    <t>非機能要件ごとに Keycloak-IdP 側では誰が満たすかを表にする。本基盤は ROSA の引き渡しまで、以降はアプリ責務とする方針を明文化する</t>
  </si>
  <si>
    <t>責任表。非機能要件の全行に Keycloak-IdP 側の担当が入っている</t>
  </si>
  <si>
    <t>要件マッピングの「Keycloak-IdP 側」列の根拠。曖昧だと SLA と運用で揉める</t>
  </si>
  <si>
    <t>機能仕様書: Keycloak-IdP へのログイン委譲</t>
  </si>
  <si>
    <t>Keycloak-Broker が Keycloak-IdP を顧客IdP の 1 つ（共有エントリ）として扱い、識別子の引き継ぎ・初回作成・追加認証結果（amr）の取り込みを行う</t>
  </si>
  <si>
    <t>機能仕様書。渡す情報・受け取る情報・拒否時の扱い・2 回目以降は Keycloak-IdP を呼ばないことが定まっている</t>
  </si>
  <si>
    <t>2 台構成に戻したため復活。顧客IdP を持たない顧客のログインはすべてここを通る</t>
  </si>
  <si>
    <t>HE-23</t>
  </si>
  <si>
    <t>Keycloak-Broker ⇄ Keycloak-IdP 接続仕様（要求仕様としてアプリチームへ渡す）</t>
  </si>
  <si>
    <t>Keycloak-IdP 側に求める Client（broker-rp）・返す項目（tenant_id / username / amr）・login_hint の書式・ログアウト連鎖・セッション上限の同値（12 時間）・接続経路（閉域・単方向）を 1 冊にまとめる</t>
  </si>
  <si>
    <t>接続仕様書。両チームが合意し、Keycloak-IdP 側の設定値がこの 1 冊で作れる</t>
  </si>
  <si>
    <t>U2 §2.2.2〜2.2.5 / 02a / U6 D-U6-06 の決定を接続仕様の形にする。アプリチームとの境界そのもの</t>
  </si>
  <si>
    <t>HI-11</t>
  </si>
  <si>
    <t>接続仕様のアプリチームとの合意</t>
  </si>
  <si>
    <t>接続仕様（HE-23）をアプリチームとレビューし、Keycloak-IdP 側の設定値と検証環境の提供時期を合意する</t>
  </si>
  <si>
    <t>合意記録。設定値・検証環境の提供時期・連絡先が定まっている</t>
  </si>
  <si>
    <t>合意が無いと結合試験（IT-16）が始められない</t>
  </si>
  <si>
    <t>Keycloak-IdP 側の設定値はアプリチームが決める。本基盤が求める値は接続仕様（HE-23）に限る</t>
  </si>
  <si>
    <t>本基盤の運用者が Keycloak-Broker に ID とパスワード＋WebAuthn で直接ログインする機能。顧客のユーザ分（Keycloak-IdP 収容）はアプリ側の仕様とし、本仕様書は運用者分のみ</t>
  </si>
  <si>
    <t>機能仕様書 1 本。運用者の認証手段・失敗時にユーザへ返す内容が定義されレビュー承認済み（パスワード桁数等の顧客ユーザ向け規則は対象外）</t>
  </si>
  <si>
    <t>Keycloak-Broker にローカルで残るのは運用者だけ。顧客ユーザのパスワード規則は Keycloak-IdP（アプリ責務）</t>
  </si>
  <si>
    <t>D-22</t>
  </si>
  <si>
    <t>同意取得の要否と方式の判断</t>
  </si>
  <si>
    <t>利用規約などへの同意をログイン画面で取るか、アプリ側で取るか、取らないかを顧客に確認して決める</t>
  </si>
  <si>
    <t>決定記録。要否と、取る場合の場所と記録先が定まっている</t>
  </si>
  <si>
    <t>要件未確定。顧客回答待ち</t>
  </si>
  <si>
    <t>人ではなくシステムがKeycloak-Broker の入口を呼ぶときの資格を発行する。顧客の人事システムからの受信や、定期処理からの呼び出しで使う</t>
  </si>
  <si>
    <t>HH-06</t>
  </si>
  <si>
    <t>運用設計：不正兆候の検知項目と通知</t>
  </si>
  <si>
    <t>ログイン失敗の急増・同一送信元の連続試行・新しい顧客IdP からの大量の初回作成など、不正の兆候として見張る項目と通知先を決める。検知して知らせるまでとし、自動遮断はしない</t>
  </si>
  <si>
    <t>項目一覧。検知の条件・閾値・通知先が定まっている</t>
  </si>
  <si>
    <t>ADR-035 Phase 1a（検知通知のみ）。監視項目（HH-01〜03）とは別に不正の観点で持つ</t>
  </si>
  <si>
    <t>NFR-OPS-012</t>
  </si>
  <si>
    <t>旧方式で情報を交換できる／渡した属性が相手側に反映される／相手側でユーザが自動作成される／ログアウトが相手側へ伝わる／Keycloak-Broker で止めたユーザが相手側で使えなくなる</t>
  </si>
  <si>
    <t>NFR-OPS-013</t>
  </si>
  <si>
    <t>IT-16</t>
  </si>
  <si>
    <t>Keycloak-IdP とのつなぎ目</t>
  </si>
  <si>
    <t>閉域経路で接続情報と署名鍵が取れる／識別子が引き継がれ再入力が要らない／追加認証の結果が写る／Keycloak-IdP 側がエラーを返したときの表示／2 回目以降は Keycloak-IdP を呼ばない</t>
  </si>
  <si>
    <t>FR-FED-015</t>
  </si>
  <si>
    <t>アプリチームの Keycloak-IdP が検証環境で起動し、接続仕様（HE-23）が合意されていること</t>
  </si>
  <si>
    <t>IT-17</t>
  </si>
  <si>
    <t>管理 API の内部到達と権限範囲</t>
  </si>
  <si>
    <t>内部経路から呼べる／外部から呼べない／許した操作だけ通る／範囲外の操作が拒否され記録される</t>
  </si>
  <si>
    <t>FR-INT-006 / FR-SSO-010 / FR-USER-001</t>
  </si>
  <si>
    <t>システム間 JWT の実装が完了していること</t>
  </si>
  <si>
    <t>入社（登録）が反映される／異動（更新）が反映される／退職（削除通知）で消さずに止まる／再雇用（再開）が条件どおりに戻る／初回ログインで作られた人と重複したときの扱いが設計どおり／登録された経路の区分が正しく付く／顧客側と Keycloak-Broker の食い違いが検出できる</t>
  </si>
  <si>
    <t>FR-USER-006 / FR-SSO-009・010 / NFR-SEC-008</t>
  </si>
  <si>
    <t>Keycloak-Broker 経由で業務システムにログインできる／相手側にユーザが自動で作られる／業務システムから他のアプリを呼べる／Keycloak-Broker で止めた人が業務システムでも使えなくなる／相手側に既にいる人と重複しない</t>
  </si>
  <si>
    <t>ST-28</t>
  </si>
  <si>
    <t>顧客IdP を持たない顧客のログインの一連</t>
  </si>
  <si>
    <t>初回ログインでユーザが作られる／2 回目は入り直さずに使える／ログアウトで Keycloak-IdP 側の状態も消える／上限時間（12 時間）で両方切れる／Keycloak-IdP 側で止めた人が次の認証で入れない</t>
  </si>
  <si>
    <t>FR-FED-015 / FR-USER-006 / FR-SSO-005</t>
  </si>
  <si>
    <t>A 結合（IT-16）が完了していること</t>
  </si>
  <si>
    <t>ST-29</t>
  </si>
  <si>
    <t>90 日ログインの無い対象ユーザが止まる／除外対象（Keycloak-IdP 収容・顧客システム連携）は止まらない／止めた記録が残る／再ログインで条件どおり再開する</t>
  </si>
  <si>
    <t>FR-USER-013</t>
  </si>
  <si>
    <t>自動停止の実装が完了していること</t>
  </si>
  <si>
    <t>切替でログインし直しが要ることが設計どおり（別地域再構築のため状態は引き継がない）／発行済みのJWTが切替先で検証できる／署名鍵が切替先にも揃っている</t>
  </si>
  <si>
    <t>同じ元からの過大な要求が遮られる／外部に出さない経路が塞がれている／正規の利用が誤って止められない／遮った記録がKeycloak-Broker 側でも追える／🔴 WAF では代替できない範囲（特定のユーザへの連続失敗の締め出し・応答の同一化）の残存リスクの確認</t>
  </si>
  <si>
    <t>NFR-SEC-001・002・003</t>
  </si>
  <si>
    <t>NFR-SEC-014・022 / NFR-OPS-006</t>
  </si>
  <si>
    <t>SEC-10</t>
  </si>
  <si>
    <t>運用者アカウントの保護</t>
  </si>
  <si>
    <t>パスワードだけでは入れない／常時の全権が付いていない／昇格が記録され期限で失効する／緊急時アクセスの使用が通知される／棚卸しで不要なアカウントが検出される</t>
  </si>
  <si>
    <t>NFR-SEC-021</t>
  </si>
  <si>
    <t>運用者アカウントと権限モデルの構築が完了していること</t>
  </si>
  <si>
    <t>OP-12</t>
  </si>
  <si>
    <t>不正兆候の検知と通知</t>
  </si>
  <si>
    <t>失敗の急増で通知が届く／同一送信元の連続試行で通知が届く／誤検知が運用に耐える頻度／通知から初動手順（G-1.3）につながる</t>
  </si>
  <si>
    <t>NFR-SEC-023</t>
  </si>
  <si>
    <t>不正兆候の検知の構築が完了していること</t>
  </si>
  <si>
    <t>Keycloak-IdP 接続の詳細設計</t>
  </si>
  <si>
    <t>共有エントリの定義項目・属性の写し方（amr → 追加認証済みの印）・login_hint の渡し方・ログアウト連鎖の設定が実装できる粒度で書かれている</t>
  </si>
  <si>
    <t>DDE-11</t>
  </si>
  <si>
    <t>接続仕様の実装レベル定義（Keycloak-IdP 側へ渡す設定値）</t>
  </si>
  <si>
    <t>Keycloak-IdP 側の Client・返す項目・セッション上限（12 時間）・経路の設定値が一覧で確定し、アプリチームへ渡っている</t>
  </si>
  <si>
    <t>DDI-10</t>
  </si>
  <si>
    <t>単体試験仕様: Keycloak-IdP 接続</t>
  </si>
  <si>
    <t>初回・2 回目（Keycloak-IdP を呼ばない）・追加認証済みの印・ログアウト連鎖・上限時間の観点と期待結果が定義されている</t>
  </si>
  <si>
    <t>MKA-20</t>
  </si>
  <si>
    <t>Keycloak-IdP への閉域経路の構築（Keycloak-Broker 側）</t>
  </si>
  <si>
    <t>閉域接続（PrivateLink）の受け口と名前解決が作られ、Keycloak-IdP 側と疎通する</t>
  </si>
  <si>
    <t>経路2+名前解決1</t>
  </si>
  <si>
    <t>MKB-30</t>
  </si>
  <si>
    <t>Keycloak-IdP 接続の設定（共有エントリ・写し込み・ログアウト連鎖）</t>
  </si>
  <si>
    <t>共有エントリが登録され、識別子が引き継がれ、追加認証の結果が写り、ログアウトが連鎖する</t>
  </si>
  <si>
    <t>MKI-19</t>
  </si>
  <si>
    <t>単体試験: Keycloak-IdP 接続</t>
  </si>
  <si>
    <t>どこまで作って渡すか・渡した後の責任の持ち方（D-21 責任表）・初期状態に何を入れるかが確定し、引き渡し仕様書として 1 冊になっている</t>
  </si>
  <si>
    <t>DDF-05</t>
  </si>
  <si>
    <t>自動停止の実装仕様</t>
  </si>
  <si>
    <t>対象の抽出条件・除外条件・実行間隔・記録が確定している</t>
  </si>
  <si>
    <t>MKF-06</t>
  </si>
  <si>
    <t>自動停止の実装</t>
  </si>
  <si>
    <t>90 日ログインの無い対象ユーザだけが止まり、除外対象は止まらず、記録が残る</t>
  </si>
  <si>
    <t>DDE-12</t>
  </si>
  <si>
    <t>管理 API の内部公開の実装仕様</t>
  </si>
  <si>
    <t>経路・呼び出し元の資格・許す操作の範囲・記録の項目が実装できる粒度で書かれている</t>
  </si>
  <si>
    <t>MKB-32</t>
  </si>
  <si>
    <t>管理 API の内部公開の構築</t>
  </si>
  <si>
    <t>内部経路からだけ呼べ、許した操作だけが通り、記録が残る</t>
  </si>
  <si>
    <t>DDG-14</t>
  </si>
  <si>
    <t>不正兆候の検知の実装設計</t>
  </si>
  <si>
    <t>検知の条件・集計の単位・閾値・通知先が実装できる粒度で書かれている</t>
  </si>
  <si>
    <t>MKH-07</t>
  </si>
  <si>
    <t>不正兆候の検知の構築</t>
  </si>
  <si>
    <t>兆候が検出され、通知が届く</t>
  </si>
  <si>
    <t>控えの別地域への複製の設定</t>
  </si>
  <si>
    <t>本番の控え（スナップショット）が切替先の地域へ複製され、遅れが監視できる</t>
  </si>
  <si>
    <t>再構築手順のコード化（切替と切り戻し）</t>
  </si>
  <si>
    <t>作り直しの手順がコードから流れ、戻すこともできる</t>
  </si>
  <si>
    <t>MKA-21</t>
  </si>
  <si>
    <t>依存の検査・イメージ署名・部品一覧の組み込み</t>
  </si>
  <si>
    <t>検査と署名が自動で通り、署名の無いイメージは配置できず、部品一覧が出せる</t>
  </si>
  <si>
    <t>運用者認証と権限モデルの実装設計</t>
  </si>
  <si>
    <t>WebAuthn の必須化・権限の 2 状態・昇格と失効の手順・記録が実装できる粒度で書かれている</t>
  </si>
  <si>
    <t>MKB-31</t>
  </si>
  <si>
    <t>運用者アカウントと権限モデルの構築</t>
  </si>
  <si>
    <t>パスワードだけでは入れず、常時の全権が無く、昇格と失効が動き記録される</t>
  </si>
  <si>
    <t>担当の理由</t>
  </si>
  <si>
    <t>Keycloak-IdP 側</t>
  </si>
  <si>
    <t>FR-AUTH-001-a</t>
  </si>
  <si>
    <t>インフラ（本基盤）</t>
  </si>
  <si>
    <t>Keycloak-Broker にローカルで残るのは運用者だけ。認証は WebAuthn 必須（NFR-SEC-021）</t>
  </si>
  <si>
    <t>ID/PW 認証（ローカルユーザー）（本基盤運用者）</t>
  </si>
  <si>
    <t>ID とパスワードで直接ログインできること。顧客IdP を持たない顧客のユーザは Keycloak-IdP（アプリ責務）、本基盤の運用者は Keycloak-Broker（NFR-SEC-021）で満たす</t>
  </si>
  <si>
    <t>HB-F-AUTH-01 HG-09</t>
  </si>
  <si>
    <t>アプリ（主体）</t>
  </si>
  <si>
    <t>FR-AUTH-001-b</t>
  </si>
  <si>
    <t>アプリ（Keycloak-IdP）</t>
  </si>
  <si>
    <t>Keycloak-IdP に収容するユーザの話。本基盤は ROSA の引き渡しまで（NFR-OPS-012）</t>
  </si>
  <si>
    <t>ID/PW 認証（ローカルユーザー）（顧客IdP を持たない顧客のユーザ）</t>
  </si>
  <si>
    <t>アプリ側で実施（Keycloak-IdP 側。本基盤は ROSA の引き渡しまで＝NFR-OPS-012）</t>
  </si>
  <si>
    <t>パスワードのロックは Keycloak-IdP 側（アプリ）。Keycloak-Broker はパスワードを持たないため、本基盤側の対策は NFR-SEC-010（実在推測の防止・試行回数の制限）で扱う</t>
  </si>
  <si>
    <t>アプリ側で実施（Keycloak-IdP 側）</t>
  </si>
  <si>
    <t>FR-AUTH-016</t>
  </si>
  <si>
    <t>要否未確定。顧客回答待ち（D-22 で判断のみ計上）</t>
  </si>
  <si>
    <t>利用規約などへの同意を取り、いつ誰がどの版に同意したかを記録できること</t>
  </si>
  <si>
    <t>要件確認（判断のみ計上）</t>
  </si>
  <si>
    <t>Auth0 も Phase 1 の対象（2026-09-07 決定）。PoC で使った接続を実機突合（RI-02）に流用する</t>
  </si>
  <si>
    <t>Keycloak-Broker が旧方式（SAML）の提供元として、業務システムへログインを提供できること</t>
  </si>
  <si>
    <t>アプリ（Keycloak-IdP 側の同じ設定は接続仕様 HE-23 に従う）</t>
  </si>
  <si>
    <t>FR-FED-011-a</t>
  </si>
  <si>
    <t>登録の手順と疎通確認は本基盤</t>
  </si>
  <si>
    <t>顧客追加時のオンボーディングフロー（本基盤側の登録）</t>
  </si>
  <si>
    <t>FR-FED-011-b</t>
  </si>
  <si>
    <t>顧客（顧客IdP）</t>
  </si>
  <si>
    <t>自社 IdP 側の設定（接続先の登録・返す項目・証明書）は顧客が接続ガイドどおりに行う</t>
  </si>
  <si>
    <t>顧客追加時のオンボーディングフロー（顧客側の設定）</t>
  </si>
  <si>
    <t>FR-FED-012-a</t>
  </si>
  <si>
    <t>追加認証済みの印（amr）を取り込み、二重に求めない設定は Keycloak-Broker 側</t>
  </si>
  <si>
    <t>フェデレーション時の MFA 重複回避（取り込み側）</t>
  </si>
  <si>
    <t>顧客IdP 側で追加認証を済ませた人に、Keycloak-Broker で二重に追加認証を求めないこと</t>
  </si>
  <si>
    <t>HB-F-AUTH-05 HB-F-AUTH-09 HE-14 HE-23</t>
  </si>
  <si>
    <t>DDB-01 DDB-18</t>
  </si>
  <si>
    <t>MKB-02 MKB-30</t>
  </si>
  <si>
    <t>RI-01 ST-04 ST-28</t>
  </si>
  <si>
    <t>FR-FED-012-b</t>
  </si>
  <si>
    <t>追加認証そのものは顧客IdP（Keycloak-IdP 収容ユーザは Keycloak-IdP）が行い、結果を amr で返す。接続ガイドで求める</t>
  </si>
  <si>
    <t>フェデレーション時の MFA 重複回避（実施側）</t>
  </si>
  <si>
    <t>ログイン画面での顧客IdP への振り分け（HRD）</t>
  </si>
  <si>
    <t>ログイン画面で入力した識別子から顧客IdP を自動で判定して送ること。顧客IdP の一覧は見せない。1 顧客に複数ある場合のみ選ばせる</t>
  </si>
  <si>
    <t>顧客IdP を持たない顧客のユーザは全員ここを通る。Keycloak-IdP 側の Client・Realm 設定は要求仕様（HE-23）でアプリチームへ渡す</t>
  </si>
  <si>
    <t>Keycloak-Broker ⇄ Keycloak-IdP 連携</t>
  </si>
  <si>
    <t>顧客IdP を持たない顧客のユーザを Keycloak-Broker から Keycloak-IdP へ委譲してログインさせられること。識別子の引き継ぎ・追加認証結果の取り込み・ログアウト連鎖・セッション上限の同値（12 時間）・閉域の単方向接続を含む</t>
  </si>
  <si>
    <t>HB-F-AUTH-09 HE-23 HI-11</t>
  </si>
  <si>
    <t>DDB-18 DDE-11 DDI-10</t>
  </si>
  <si>
    <t>MKA-20 MKB-30 MKI-19</t>
  </si>
  <si>
    <t>IT-16 ST-28</t>
  </si>
  <si>
    <t>アプリ（要求仕様どおりに broker-rp Client と Realm 設定を作る）</t>
  </si>
  <si>
    <t>顧客の管理者分は Keycloak-IdP（アプリ）。本基盤運用者分は NFR-SEC-021 で本基盤が満たす</t>
  </si>
  <si>
    <t>FR-SSO-003-a</t>
  </si>
  <si>
    <t>アプリ（業務アプリ）</t>
  </si>
  <si>
    <t>業務アプリ側の実装。本基盤はガイドとサンプルで示す</t>
  </si>
  <si>
    <t>ローカルログアウト（アプリ Cookie 削除のみ）（アプリの実装）</t>
  </si>
  <si>
    <t>アプリ側だけでログアウトできること（Keycloak-Broker の状態は保つ）</t>
  </si>
  <si>
    <t>FR-SSO-003-b</t>
  </si>
  <si>
    <t>アプリ開発者向けガイドとサンプル実装・試用環境を本基盤が提供する</t>
  </si>
  <si>
    <t>ローカルログアウト（アプリ Cookie 削除のみ）（ガイド・サンプル）</t>
  </si>
  <si>
    <t>Keycloak-Broker のログイン状態を破棄できること</t>
  </si>
  <si>
    <t>Keycloak-Broker のログアウトを顧客IdP 側にも連動させられること</t>
  </si>
  <si>
    <t>ログイン状態が切れるまでの時間を設定できること。無操作 1 時間・上限 12 時間（2026-09-07 更新、旧 24 時間）</t>
  </si>
  <si>
    <t>発行済みの JWT を強制的に使えなくできること。セッションとリフレッシュトークンは即時失効、アクセストークンは署名のみで検証されるため最大 30 分は残る（契約説明に明記）</t>
  </si>
  <si>
    <t>FR-SSO-010-a</t>
  </si>
  <si>
    <t>アプリ（管理画面・idm-api）</t>
  </si>
  <si>
    <t>管理画面・idm-api 側の実装。Keycloak-Broker の管理 API を内部経路で呼ぶ</t>
  </si>
  <si>
    <t>強制全セッション破棄（管理者操作）（管理画面からの操作）</t>
  </si>
  <si>
    <t>FR-SSO-010-b</t>
  </si>
  <si>
    <t>管理 API の内部公開（F-INT-14）: 経路・呼び出し元の資格・許す操作の範囲</t>
  </si>
  <si>
    <t>強制全セッション破棄（管理者操作）（本基盤側の受け口）</t>
  </si>
  <si>
    <t>FR-AUTHZ-001-a</t>
  </si>
  <si>
    <t>JWT に載せる項目と要求できる範囲は本基盤が定義し発行する</t>
  </si>
  <si>
    <t>JWT クレームベース認可（JWT に載せる側）</t>
  </si>
  <si>
    <t>FR-AUTHZ-001-b</t>
  </si>
  <si>
    <t>載った情報で可否を判断するのは業務アプリ（認可・権限判定は本基盤ではやらない）</t>
  </si>
  <si>
    <t>JWT クレームベース認可（判定する側）</t>
  </si>
  <si>
    <t>FR-AUTHZ-002-a</t>
  </si>
  <si>
    <t>他顧客の顧客IdP で入れないことと、顧客を指す値を JWT に載せることは Keycloak-Broker 側（F-AZ-05）</t>
  </si>
  <si>
    <t>tenant_id によるテナント分離（認証側の越境防止と tenant_id）</t>
  </si>
  <si>
    <t>FR-AUTHZ-002-b</t>
  </si>
  <si>
    <t>権限データや業務データで他顧客に触れさせないのは管理画面・idm-api と業務アプリの責務</t>
  </si>
  <si>
    <t>tenant_id によるテナント分離（権限データ側の越境防止）</t>
  </si>
  <si>
    <t>FR-AUTHZ-007-a</t>
  </si>
  <si>
    <t>API 入口での JWT 検証（アプリ側の認可統合）（アプリの実装）</t>
  </si>
  <si>
    <t>API の入口でアプリが JWT を検証して可否を判断できること（ガイドで示す。Lambda Authorizer は PoC 時の実装名）</t>
  </si>
  <si>
    <t>FR-AUTHZ-007-b</t>
  </si>
  <si>
    <t>API 入口での JWT 検証（アプリ側の認可統合）（ガイド・サンプル）</t>
  </si>
  <si>
    <t>GD-16 GD-18</t>
  </si>
  <si>
    <t>FR-USER-001-a</t>
  </si>
  <si>
    <t>ユーザー作成 / 更新 / 削除（CRUD）（管理画面と API）</t>
  </si>
  <si>
    <t>FR-USER-001-b</t>
  </si>
  <si>
    <t>ユーザー作成 / 更新 / 削除（CRUD）（本基盤側の受け口）</t>
  </si>
  <si>
    <t>属性の宣言と変換は Keycloak-Broker</t>
  </si>
  <si>
    <t>FR-USER-003-a</t>
  </si>
  <si>
    <t>受信窓口は Keycloak-Broker の上に立てる</t>
  </si>
  <si>
    <t>SCIM 2.0 プロビジョニング（受信側）</t>
  </si>
  <si>
    <t>FR-USER-003-b</t>
  </si>
  <si>
    <t>顧客の人事システム・IdP 側の SCIM 送信設定と再送の作法は顧客が行う</t>
  </si>
  <si>
    <t>SCIM 2.0 プロビジョニング（送信側）</t>
  </si>
  <si>
    <t>FR-USER-006-a</t>
  </si>
  <si>
    <t>停止と再開は Keycloak-Broker。画面はアプリ</t>
  </si>
  <si>
    <t>ユーザー有効化 / 無効化（suspend）（Keycloak-Broker 側）</t>
  </si>
  <si>
    <t>ユーザを一時的に使えなくする／戻せること。Keycloak-IdP 側で止めたユーザの Keycloak-Broker 側の写しは伝播しない。残存は Keycloak-Broker のセッション上限（12 時間）で受容（2026-09-07 決定）</t>
  </si>
  <si>
    <t>FR-USER-006-b</t>
  </si>
  <si>
    <t>管理者が止める・戻す操作は管理画面から、管理 API の内部公開（F-INT-14）経由で行う</t>
  </si>
  <si>
    <t>ユーザー有効化 / 無効化（suspend）（操作画面）</t>
  </si>
  <si>
    <t>FR-USER-011-a</t>
  </si>
  <si>
    <t>保持と消去の方針は本基盤で決める。消去の対象は Keycloak-Broker・Keycloak-IdP（アプリ）・権限データ（アプリ）・共通ログ基盤にまたがるため、HK-07 は横断の手順とする</t>
  </si>
  <si>
    <t>ユーザー削除時の関連データ削除（GDPR 等）（本基盤の窓口と Keycloak-Broker 側）</t>
  </si>
  <si>
    <t>FR-USER-011-b</t>
  </si>
  <si>
    <t>権限データ・参照用データの消去は管理画面・idm-api 側。本基盤の手順（HK-07）から依頼する</t>
  </si>
  <si>
    <t>ユーザー削除時の関連データ削除（GDPR 等）（権限データ側）</t>
  </si>
  <si>
    <t>対象で計上（2026-09-07 決定）。顧客IdP 経由で自動作成したユーザだけが対象で、Keycloak-IdP 収容ユーザはアプリ側の判断</t>
  </si>
  <si>
    <t>長期未使用ユーザの自動停止</t>
  </si>
  <si>
    <t>90 日ログインの無いユーザを自動で止められること</t>
  </si>
  <si>
    <t>アプリ（Keycloak-IdP 収容ユーザ分は任意）</t>
  </si>
  <si>
    <t>FR-ADMIN-007-a</t>
  </si>
  <si>
    <t>何を記録し何年保つかは本基盤が決めて出力する</t>
  </si>
  <si>
    <t>監査ログ閲覧（出力・項目・保持年数の指定）</t>
  </si>
  <si>
    <t>監査の記録を閲覧できること。参照は全体の共通基盤側で行い、本基盤に照会画面は作らない（本基盤は出力と集約まで）</t>
  </si>
  <si>
    <t>FR-ADMIN-007-b</t>
  </si>
  <si>
    <t>他組織（境界・共通基盤）</t>
  </si>
  <si>
    <t>記録の閲覧は全体の共通基盤側。本基盤は指定した保持年数と形式で出すまで（OP-03 で確認）</t>
  </si>
  <si>
    <t>監査ログ閲覧（共通基盤側の閲覧）</t>
  </si>
  <si>
    <t>他組織で実施</t>
  </si>
  <si>
    <t>振り分けの識別子入力画面とエラー画面は Keycloak-Broker で作る</t>
  </si>
  <si>
    <t>Keycloak 標準の管理 API。内部経路・呼び出し元の資格・許す操作の範囲を本基盤が決める（F-INT-14）</t>
  </si>
  <si>
    <t>HE-22a HE-24 HJ-09</t>
  </si>
  <si>
    <t>DDB-14 DDE-10 DDE-12</t>
  </si>
  <si>
    <t>MKB-22 MKB-32 MKI-13</t>
  </si>
  <si>
    <t>IT-15 IT-17</t>
  </si>
  <si>
    <t>FR-INT-007-a</t>
  </si>
  <si>
    <t>API 入口での JWT 検証との統合（アプリの実装）</t>
  </si>
  <si>
    <t>API の入口で JWT を検証する仕組み（API Gateway 等）と組み合わせられること（ガイドで示す）</t>
  </si>
  <si>
    <t>FR-INT-007-b</t>
  </si>
  <si>
    <t>API 入口での JWT 検証との統合（ガイド・サンプル）</t>
  </si>
  <si>
    <t>顧客IdP を持たない顧客のログインは Keycloak-IdP（アプリ運用）の稼働にも依存する。約束する稼働率の範囲と除外条件を HK-02 で明示する</t>
  </si>
  <si>
    <t>アプリ（Keycloak-IdP 側でも同じ要件を満たす。本基盤は ROSA の引き渡しまで）</t>
  </si>
  <si>
    <t>NFR-PERF-003-a</t>
  </si>
  <si>
    <t>API 入口での JWT 検証の応答時間（アプリ側）（アプリの実装）</t>
  </si>
  <si>
    <t>API の入口での判定が目標時間に収まること。署名鍵の一時保持（GD-18）が前提</t>
  </si>
  <si>
    <t>NFR-PERF-003-b</t>
  </si>
  <si>
    <t>API 入口での JWT 検証の応答時間（アプリ側）（ガイド・サンプル）</t>
  </si>
  <si>
    <t>流量制限（同時受付数の上限）</t>
  </si>
  <si>
    <t>過大な要求を受けたときに Keycloak-Broker 側で流量を絞れること（API Gateway は使わない。境界側の流量制限は NFR-SEC-011）</t>
  </si>
  <si>
    <t>NFR-SCL-004-a</t>
  </si>
  <si>
    <t>登録から疎通確認までの所要時間は本基盤</t>
  </si>
  <si>
    <t>IdP 追加リードタイム（本基盤側の作業）</t>
  </si>
  <si>
    <t>顧客IdP を追加してから使えるまでの時間が目標に収まること。境界側の外向き許可の追加（他組織、当日〜翌日）を含む</t>
  </si>
  <si>
    <t>NFR-SCL-004-b</t>
  </si>
  <si>
    <t>顧客IdP 向けの外向き許可の追加は他組織（依頼から当日〜翌日）。約束する時間にこの分を含める</t>
  </si>
  <si>
    <t>IdP 追加リードタイム（境界側の外向き許可）</t>
  </si>
  <si>
    <t>更新用の資格の有効期限が定められていること。設定上限は 30 日だが、実効はセッションの上限（12 時間）に従属する</t>
  </si>
  <si>
    <t>発行済みの資格を失効させられること（アクセストークンの残存 30 分は FR-SSO-009 と同じ）</t>
  </si>
  <si>
    <t>NFR-SEC-011-a</t>
  </si>
  <si>
    <t>境界を管理する他組織が WAF・DDoS 対策を持つ</t>
  </si>
  <si>
    <t>WAF 適用（境界側の実装）</t>
  </si>
  <si>
    <t>NFR-SEC-011-b</t>
  </si>
  <si>
    <t>何を求めるかは本基盤の責務。要求仕様書（HK-10）を出し、受入確認を行う</t>
  </si>
  <si>
    <t>WAF 適用（要求仕様と受入確認）</t>
  </si>
  <si>
    <t>HG-08 HK-10</t>
  </si>
  <si>
    <t>IT-11 SEC-05</t>
  </si>
  <si>
    <t>NFR-SEC-012-a</t>
  </si>
  <si>
    <t>DDoS 対策（境界側の実装）</t>
  </si>
  <si>
    <t>NFR-SEC-012-b</t>
  </si>
  <si>
    <t>DDoS 対策（要求仕様と受入確認）</t>
  </si>
  <si>
    <t>署名鍵の公開先は公開のまま、流量制限は境界（他組織）に要求する</t>
  </si>
  <si>
    <t>E-4b HG-08 HK-10</t>
  </si>
  <si>
    <t>内部通信の認証（idm-api → 管理 API、Keycloak-Broker → Keycloak-IdP）</t>
  </si>
  <si>
    <t>内部の呼び出しでも相手を確認すること。管理 API は内部経路と資格で、Keycloak-IdP へは閉域の単方向接続で確認する</t>
  </si>
  <si>
    <t>G-4.2 HA-05 HE-23 HE-24</t>
  </si>
  <si>
    <t>IT-11 IT-16 IT-17</t>
  </si>
  <si>
    <t>パスワードを持つのは Keycloak-IdP 側</t>
  </si>
  <si>
    <t>侵害クレデンシャル検出</t>
  </si>
  <si>
    <t>流出したパスワードの使用を拒否できること</t>
  </si>
  <si>
    <t>Keycloak-Broker にローカルで残る唯一の人が運用者。ADR-040 Phase 1 α（P1-04 / P1-08 / P1-09）</t>
  </si>
  <si>
    <t>本基盤運用者の認証を WebAuthn 必須とし、常時の全権付与を禁止し、緊急時アクセスと定期棚卸しを定めること</t>
  </si>
  <si>
    <t>G-1.6 G-5.6 HG-09</t>
  </si>
  <si>
    <t>DDB-19 DDG-11</t>
  </si>
  <si>
    <t>MKA-17 MKB-31</t>
  </si>
  <si>
    <t>OP-09 SEC-10</t>
  </si>
  <si>
    <t>NFR-SEC-022</t>
  </si>
  <si>
    <t>ADR-046 Phase 1 = SLSA L2</t>
  </si>
  <si>
    <t>サプライチェーン対策（依存の検査・イメージ署名・部品一覧）</t>
  </si>
  <si>
    <t>自社拡張と実行イメージの依存を検査し、署名し、部品一覧（SBOM）を出せること</t>
  </si>
  <si>
    <t>HJ-06 HJ-22</t>
  </si>
  <si>
    <t>MKA-21 MKC-05</t>
  </si>
  <si>
    <t>アプリ（Keycloak-IdP 側の実行イメージも同様に）</t>
  </si>
  <si>
    <t>ADR-035 Phase 1a = 検知して通知するまで。自動遮断はしない</t>
  </si>
  <si>
    <t>ログイン失敗の急増などの不正兆候を検知して通知できること</t>
  </si>
  <si>
    <t>アプリ（パスワード側の兆候は Keycloak-IdP で検知）</t>
  </si>
  <si>
    <t>別地域へ切り替える方式が定まっていること。現行の方向は手動・大阪で作り直し（復旧方式の決定 D-18.2 待ち。顧客希望 RTO 1 日との差は D-18.1 で明示）</t>
  </si>
  <si>
    <t>別地域で作り直す方式ではログイン状態を引き継げない。再ログイン前提を DR-02 で確認する</t>
  </si>
  <si>
    <t>Phase 1 では作らない（再ログイン前提。DR-02 で確認）</t>
  </si>
  <si>
    <t>NFR-OPS-003-a</t>
  </si>
  <si>
    <t>ログ保存期間（出力・項目・保持年数の指定）</t>
  </si>
  <si>
    <t>NFR-OPS-003-b</t>
  </si>
  <si>
    <t>記録の保管は全体の共通基盤側。本基盤は指定した保持年数と形式で出すまで（OP-03 で確認）</t>
  </si>
  <si>
    <t>ログ保存期間（共通基盤側の保管）</t>
  </si>
  <si>
    <t>NFR-OPS-004-a</t>
  </si>
  <si>
    <t>ログ検索性（出力・項目・保持年数の指定）</t>
  </si>
  <si>
    <t>NFR-OPS-004-b</t>
  </si>
  <si>
    <t>記録の検索は全体の共通基盤側。本基盤は指定した保持年数と形式で出すまで（OP-03 で確認）</t>
  </si>
  <si>
    <t>ログ検索性（共通基盤側の検索）</t>
  </si>
  <si>
    <t>NFR-OPS-011-a</t>
  </si>
  <si>
    <t>テナント追加の運用 SLA（本基盤側の作業）</t>
  </si>
  <si>
    <t>顧客を追加してから使えるまでの時間を約束できること。境界側の外向き許可の追加（他組織、当日〜翌日）を含む</t>
  </si>
  <si>
    <t>NFR-OPS-011-b</t>
  </si>
  <si>
    <t>テナント追加の運用 SLA（境界側の外向き許可）</t>
  </si>
  <si>
    <t>ROSA の引き渡しまでが本基盤。以降の構築・運用はアプリ責務（D-21 責任表）</t>
  </si>
  <si>
    <t>Keycloak-IdP 側の構築・運用の責任分界</t>
  </si>
  <si>
    <t>Keycloak-IdP 用の基盤（ROSA）をどこまで作って渡すか、渡した後の非機能を誰が持つかが合意されていること</t>
  </si>
  <si>
    <t>D-21 HJ-20</t>
  </si>
  <si>
    <t>本基盤（ROSA 引き渡しまで）→ アプリ（引き渡し後の非機能すべて）</t>
  </si>
  <si>
    <t>環境構成（本番 / 検証 / 開発）</t>
  </si>
  <si>
    <t>環境ごとの構成差分と、検証環境に本番データを入れない規律が定まっていること</t>
  </si>
  <si>
    <t>MKA-07 MKA-08</t>
  </si>
  <si>
    <t>IT-13 TE-01 TE-02</t>
  </si>
  <si>
    <t>アプリ（Keycloak-IdP 側の環境はアプリが用意）</t>
  </si>
  <si>
    <t>NFR-COMP-007-a</t>
  </si>
  <si>
    <t>監査ログ保存期間（法令要件）（出力・項目・保持年数の指定）</t>
  </si>
  <si>
    <t>NFR-COMP-007-b</t>
  </si>
  <si>
    <t>監査ログ保存期間（法令要件）（共通基盤側の保管）</t>
  </si>
  <si>
    <t>NFR-COMP-009-a</t>
  </si>
  <si>
    <t>同上。本人からの請求は本基盤が窓口になり、Keycloak-IdP 側と権限データ側（アプリ）へ依頼する</t>
  </si>
  <si>
    <t>個人データ削除権（GDPR Right to Erasure）（本基盤の窓口と Keycloak-Broker 側）</t>
  </si>
  <si>
    <t>NFR-COMP-009-b</t>
  </si>
  <si>
    <t>個人データ削除権（GDPR Right to Erasure）（権限データ側）</t>
  </si>
  <si>
    <t>確定（RHBK は ROSA に内包され追加費用なし。P-01）</t>
  </si>
  <si>
    <t>本基盤は受け入れ口（SCIM 受信・管理 API・JIT）を提供するのみ。旧システムからの吸い上げと Keycloak-IdP への投入はアプリ側</t>
  </si>
  <si>
    <t>パスワードのハッシュを持つのは Keycloak-IdP。Keycloak 非対応のハッシュ方式なら Keycloak-IdP 側の拡張（アプリ責務）</t>
  </si>
  <si>
    <t>要件</t>
  </si>
  <si>
    <t>要件の概要</t>
  </si>
  <si>
    <t>機能</t>
  </si>
  <si>
    <t>機能の概要</t>
  </si>
  <si>
    <t>—（本基盤に作る機能なし）</t>
  </si>
  <si>
    <t>（横断）</t>
  </si>
  <si>
    <t>特定の要件に紐づかない共通の作業</t>
  </si>
  <si>
    <t>設計書そのものの管理（総則・一覧・追跡・レビュー）と、顧客へ渡す資料。個々の要件ではなく全体に対して発生する</t>
  </si>
  <si>
    <t>提供する API（機能の粒度）</t>
  </si>
  <si>
    <t>エンドポイント</t>
  </si>
  <si>
    <t>呼ぶ主体</t>
  </si>
  <si>
    <t>Broker</t>
  </si>
  <si>
    <t>接続情報の公開</t>
  </si>
  <si>
    <t>GET /realms/{r}/.well-known/openid-configuration</t>
  </si>
  <si>
    <t>アプリ（M2M）</t>
  </si>
  <si>
    <t>✅ 標準</t>
  </si>
  <si>
    <t>標準内</t>
  </si>
  <si>
    <t>アプリはこの 1 本から他の入口を自動取得できる。手で URL を配らない</t>
  </si>
  <si>
    <t>ログイン開始（認可）</t>
  </si>
  <si>
    <t>GET /realms/{r}/protocol/openid-connect/auth</t>
  </si>
  <si>
    <t>ブラウザ（画面遷移）</t>
  </si>
  <si>
    <t>認可コード + PKCE。顧客IdP への振り分けはこの先で Keycloak が行う</t>
  </si>
  <si>
    <t>JWT の取得・更新</t>
  </si>
  <si>
    <t>POST /realms/{r}/protocol/openid-connect/token</t>
  </si>
  <si>
    <t>認可コード交換 / リフレッシュ / システム間の 3 用途が同じ入口</t>
  </si>
  <si>
    <t>ユーザ情報の取得</t>
  </si>
  <si>
    <t>GET /realms/{r}/protocol/openid-connect/userinfo</t>
  </si>
  <si>
    <t>エンドユーザ本人</t>
  </si>
  <si>
    <t>JWT に載せない属性をここで補う。JWT を軽くしたいときの受け皿</t>
  </si>
  <si>
    <t>署名鍵の公開</t>
  </si>
  <si>
    <t>GET /realms/{r}/protocol/openid-connect/certs</t>
  </si>
  <si>
    <t>アプリ側の JWT 検証に必須。鍵の入れ替えに自動追随する前提</t>
  </si>
  <si>
    <t>SAML の接続情報</t>
  </si>
  <si>
    <t>GET /realms/{r}/protocol/saml/descriptor</t>
  </si>
  <si>
    <t>顧客IdP・業務システムとの交換用</t>
  </si>
  <si>
    <t>SAML の送受信</t>
  </si>
  <si>
    <t>POST/GET /realms/{r}/protocol/saml</t>
  </si>
  <si>
    <t>受け入れ（SP）と提供（IdP）の両方が同じ入口</t>
  </si>
  <si>
    <t>POST /realms/{r}/protocol/openid-connect/token（client_credentials）</t>
  </si>
  <si>
    <t>アプリ・バッチが API を呼ぶための資格。スコープで範囲を絞る</t>
  </si>
  <si>
    <t>POST /realms/{r}/protocol/openid-connect/token（token-exchange）</t>
  </si>
  <si>
    <t>Phase 1 対象外（FR-AUTH-005）。必要になったら設定で有効化</t>
  </si>
  <si>
    <t>JWT に載せる項目</t>
  </si>
  <si>
    <t>（API なし）Protocol Mapper / Client Scope の設定</t>
  </si>
  <si>
    <t>⚙ 設定のみ</t>
  </si>
  <si>
    <t>載せる項目はアプリごとにスコープで出し分ける。設計は必要だがアプリが呼ぶ API は無い</t>
  </si>
  <si>
    <t>ログイン状態の保持</t>
  </si>
  <si>
    <t>POST /realms/{r}/protocol/openid-connect/token（refresh_token）</t>
  </si>
  <si>
    <t>有効期間は Realm 設定。上限 12 時間（2026-09-07 決定）</t>
  </si>
  <si>
    <t>ログアウト</t>
  </si>
  <si>
    <t>GET/POST /realms/{r}/protocol/openid-connect/logout</t>
  </si>
  <si>
    <t>本人のログイン状態を破棄。顧客IdP 側への連鎖は IdP ごとの設定</t>
  </si>
  <si>
    <t>他アプリへのログアウト通知</t>
  </si>
  <si>
    <t>（Keycloak → アプリ）Back-Channel Logout</t>
  </si>
  <si>
    <t>**アプリ側が受信の入口を作る**。Keycloak が呼びに行く向きなので、提供 API ではなくアプリへの実装要求</t>
  </si>
  <si>
    <t>JWT の失効</t>
  </si>
  <si>
    <t>POST /realms/{r}/protocol/openid-connect/revoke</t>
  </si>
  <si>
    <t>⚠ 標準（制約）</t>
  </si>
  <si>
    <t>リフレッシュトークンは即時に効く。アクセストークンは署名だけで検証するアプリには最大 30 分残る（FR-SSO-009）</t>
  </si>
  <si>
    <t>JWT の有効性照会</t>
  </si>
  <si>
    <t>POST /realms/{r}/protocol/openid-connect/token/introspect</t>
  </si>
  <si>
    <t>失効を即座に反映したい重要な操作で使う。毎回呼ぶと Keycloak の負荷になる</t>
  </si>
  <si>
    <t>顧客IdP の登録</t>
  </si>
  <si>
    <t>POST /admin/realms/{r}/identity-provider/instances</t>
  </si>
  <si>
    <t>管理画面</t>
  </si>
  <si>
    <t>標準にある。ただし Admin API は Realm 全体に効くため、そのままアプリへは渡せない（後述の権限の絞り込みが前提）</t>
  </si>
  <si>
    <t>顧客IdP の変更・証明書更新</t>
  </si>
  <si>
    <t>PUT /admin/realms/{r}/identity-provider/instances/{alias}</t>
  </si>
  <si>
    <t>顧客IdP の接続情報の取り込み</t>
  </si>
  <si>
    <t>POST /admin/realms/{r}/identity-provider/import-config</t>
  </si>
  <si>
    <t>相手の接続情報（メタデータ URL）から設定値を起こす</t>
  </si>
  <si>
    <t>（標準に無い）</t>
  </si>
  <si>
    <t>バッチ・システム</t>
  </si>
  <si>
    <t>🔧 カスタム必要</t>
  </si>
  <si>
    <t>🔺 標準外（追加コスト）</t>
  </si>
  <si>
    <t>定期的に取り込み直す仕組みは標準に無い。Admin API を叩くバッチを作る</t>
  </si>
  <si>
    <t>POST /admin/realms/{r}/organizations</t>
  </si>
  <si>
    <t>Keycloak 26 の Organizations を顧客の単位に使う</t>
  </si>
  <si>
    <t>PUT /admin/realms/{r}/organizations/{id}</t>
  </si>
  <si>
    <t>ドメイン・表示名など</t>
  </si>
  <si>
    <t>DELETE /admin/realms/{r}/organizations/{id}</t>
  </si>
  <si>
    <t>所属ユーザの扱いは別途の手順が要る（消さずに止める方針）</t>
  </si>
  <si>
    <t>顧客と顧客IdP の紐付け</t>
  </si>
  <si>
    <t>POST /admin/realms/{r}/organizations/{id}/identity-providers</t>
  </si>
  <si>
    <t>顧客ごとに使える顧客IdP を限定する。越境防止の土台</t>
  </si>
  <si>
    <t>GET /admin/realms/{r}/users</t>
  </si>
  <si>
    <t>標準にある。件数の区切りと検索条件も標準</t>
  </si>
  <si>
    <t>GET /admin/realms/{r}/users/{id}</t>
  </si>
  <si>
    <t>POST /admin/realms/{r}/users</t>
  </si>
  <si>
    <t>PUT /admin/realms/{r}/users/{id}</t>
  </si>
  <si>
    <t>属性の追加は User Profile で宣言した項目のみ</t>
  </si>
  <si>
    <t>PUT /admin/realms/{r}/users/{id}（enabled）</t>
  </si>
  <si>
    <t>停止・再開はこの 1 本</t>
  </si>
  <si>
    <t>ユーザの停止</t>
  </si>
  <si>
    <t>PUT /admin/realms/{r}/users/{id}（enabled=false）</t>
  </si>
  <si>
    <t>停止日時の記録は属性で持つ（標準の項目に無いため User Profile で宣言）</t>
  </si>
  <si>
    <t>PUT /admin/realms/{r}/users/{id}（enabled=true）</t>
  </si>
  <si>
    <t>誤って戻さない条件の判定は呼ぶ側の責任</t>
  </si>
  <si>
    <t>DELETE /admin/realms/{r}/users/{id}</t>
  </si>
  <si>
    <t>Phase 1 は消さずに止める方針のため通常は使わない</t>
  </si>
  <si>
    <t>強制ログアウト（1 人）</t>
  </si>
  <si>
    <t>POST /admin/realms/{r}/users/{id}/logout</t>
  </si>
  <si>
    <t>強制ログアウト（全員）</t>
  </si>
  <si>
    <t>POST /admin/realms/{r}/logout-all</t>
  </si>
  <si>
    <t>事故対応用。顧客単位の一括は標準に無く、対象を絞って繰り返す</t>
  </si>
  <si>
    <t>ログイン状態の一覧</t>
  </si>
  <si>
    <t>GET /admin/realms/{r}/users/{id}/sessions</t>
  </si>
  <si>
    <t>締め出しの解除</t>
  </si>
  <si>
    <t>DELETE /admin/realms/{r}/attack-detection/brute-force/users/{id}</t>
  </si>
  <si>
    <t>連続失敗で止まったユーザを戻す。締め出しそのものは Realm 設定</t>
  </si>
  <si>
    <t>POST /admin/realms/{r}/clients</t>
  </si>
  <si>
    <t>ひな形を用意して登録する</t>
  </si>
  <si>
    <t>アプリの接続登録（申請式）</t>
  </si>
  <si>
    <t>POST /realms/{r}/clients-registrations/{provider}</t>
  </si>
  <si>
    <t>管理者が発行した引換券（initial access token）でアプリ側が自分で登録できる。Admin API を渡さずに済む</t>
  </si>
  <si>
    <t>引換券の発行</t>
  </si>
  <si>
    <t>POST /admin/realms/{r}/clients-initial-access</t>
  </si>
  <si>
    <t>上の申請式で使う券</t>
  </si>
  <si>
    <t>接続用パスワードの再発行</t>
  </si>
  <si>
    <t>POST /admin/realms/{r}/clients/{id}/client-secret</t>
  </si>
  <si>
    <t>入れ替えの周期と通知は運用側で作る</t>
  </si>
  <si>
    <t>署名鍵の状態確認</t>
  </si>
  <si>
    <t>GET /admin/realms/{r}/keys</t>
  </si>
  <si>
    <t>鍵の追加・無効化は components API。並走期間の管理は運用手順</t>
  </si>
  <si>
    <t>期限が近いものを知らせる仕組みは標準に無い。API を読むバッチを作る</t>
  </si>
  <si>
    <t>監査ログの取得</t>
  </si>
  <si>
    <t>GET /admin/realms/{r}/events / GET /admin/realms/{r}/admin-events</t>
  </si>
  <si>
    <t>保管と検索は全体の共通基盤側。Keycloak の標準出力を流す方式が主で、この API は補助</t>
  </si>
  <si>
    <t>管理操作の権限の絞り込み</t>
  </si>
  <si>
    <t>（API ではなく設定）Admin Permissions（FGAP v2）</t>
  </si>
  <si>
    <t>Keycloak 26.2 以降の標準機能。ユーザ・グループ・顧客の単位で管理権限を絞れる。**アプリへ Admin API を渡す場合の前提**</t>
  </si>
  <si>
    <t>（一部のみ標準）Organizations のドメイン一致</t>
  </si>
  <si>
    <t>メールのドメインで振り分けるのは標準。**識別子（顧客コード）で振り分けるには拡張が要る**</t>
  </si>
  <si>
    <t>ユーザ登録の受信（SCIM）</t>
  </si>
  <si>
    <t>🔻 削減候補</t>
  </si>
  <si>
    <t>**Keycloak に SCIM の受信機能は無い**。作るか、外部の実装を持ち込むか、使わないかの判断が要る／A-5: 削減候補。ただし候補リストには残す</t>
  </si>
  <si>
    <t>ユーザ更新の受信（SCIM）</t>
  </si>
  <si>
    <t>同上／A-5: 削減候補</t>
  </si>
  <si>
    <t>削除通知の受信（SCIM）</t>
  </si>
  <si>
    <t>ユーザ検索の受信（SCIM）</t>
  </si>
  <si>
    <t>イベントを外へ送るには拡張が要る。Phase 1 対象外</t>
  </si>
  <si>
    <t>最終ログイン日時での抽出と停止は Admin API を使うバッチを作る</t>
  </si>
  <si>
    <t>保存期限切れの消去</t>
  </si>
  <si>
    <t>同上。Phase 1 は準備のみ</t>
  </si>
  <si>
    <t>実在推測の防止</t>
  </si>
  <si>
    <t>応答を同じにする作り込みが要る</t>
  </si>
  <si>
    <t>初回ログイン時のユーザ自動作成</t>
  </si>
  <si>
    <t>（API なし）First Broker Login Flow の設定</t>
  </si>
  <si>
    <t>設定で満たす。ただし登録経路の区分を付けるには拡張が要る</t>
  </si>
  <si>
    <t>（API なし）IdP Mapper / User Profile の設定</t>
  </si>
  <si>
    <t>顧客ごとの変換表は設定として持つ</t>
  </si>
  <si>
    <t>顧客越境の防止</t>
  </si>
  <si>
    <t>（API なし）Organizations + フローの設定</t>
  </si>
  <si>
    <t>顧客と顧客IdP の紐付けで構造的に防ぐ</t>
  </si>
  <si>
    <t>（API なし）テーマ</t>
  </si>
  <si>
    <t>画面はテーマで作る。アプリから呼ぶ API は無い</t>
  </si>
  <si>
    <t>ServiceNow へは SAML で提供する</t>
  </si>
  <si>
    <t>IdP</t>
  </si>
  <si>
    <t>ID/PW でのログイン</t>
  </si>
  <si>
    <t>Broker から委譲されて動く。アプリが直接呼ぶことはない</t>
  </si>
  <si>
    <t>パスワードの変更（本人）</t>
  </si>
  <si>
    <t>GET /realms/{r}/protocol/openid-connect/auth?kc_action=UPDATE_PASSWORD</t>
  </si>
  <si>
    <t>**A-1 決定: 画面へ誘導**。アプリは自分の画面から このパラメータ付きで送るだけ。メール不要。戻り先に `kc_action_status` が付く。※Account API のパスワード変更は現行 Keycloak で廃止済みのため、この方式が標準の答え</t>
  </si>
  <si>
    <t>（標準に無い / 画面はある）</t>
  </si>
  <si>
    <t>画面の「パスワードをお忘れですか」はメール前提。**メールを持たないユーザには使えない**ため別手段が要る／A-2: 初期パスワードの動線は準備するが削減候補</t>
  </si>
  <si>
    <t>パスワードの初期化（管理者）</t>
  </si>
  <si>
    <t>**これは標準にある**。今のパスワードは確認しない。一時パスワードにもできる</t>
  </si>
  <si>
    <t>変更の強制（初回など）</t>
  </si>
  <si>
    <t>PUT /admin/realms/{r}/users/{id}/execute-actions-email</t>
  </si>
  <si>
    <t>メールで誘導する方式。メールを持たないユーザには使えない</t>
  </si>
  <si>
    <t>変更の強制（メールなし）</t>
  </si>
  <si>
    <t>PUT /admin/realms/{r}/users/{id}（requiredActions）</t>
  </si>
  <si>
    <t>次のログイン時に変更画面を出す。メール不要でこちらが実用的</t>
  </si>
  <si>
    <t>(なし)</t>
  </si>
  <si>
    <t>パスワードの取得</t>
  </si>
  <si>
    <t>❌ 不可</t>
  </si>
  <si>
    <t>— 提供しない</t>
  </si>
  <si>
    <t>**パスワードは復元できない形で保管するため、取得する API は原理的に作れない**（Keycloak に限らない）。用途を伺って別の手段に置き換える</t>
  </si>
  <si>
    <t>パスワードの照合</t>
  </si>
  <si>
    <t>（推奨できる標準が無い）</t>
  </si>
  <si>
    <t>ID とパスワードの正誤だけを判定する API は、標準では非推奨の方式しかない（FR-AUTH-008 で不採用）。ログイン画面へ誘導する形に置き換える</t>
  </si>
  <si>
    <t>（API なし）Authentication Flow の設定</t>
  </si>
  <si>
    <t>ログイン画面の中で完結する</t>
  </si>
  <si>
    <t>追加認証の登録</t>
  </si>
  <si>
    <t>GET /realms/{r}/protocol/openid-connect/auth?kc_action=CONFIGURE_TOTP</t>
  </si>
  <si>
    <t>**A-1 と同じ仕組み**。アプリの画面から登録へ送れる。登録そのものを API で行う標準は無いが、誘導は標準でできる。※登録されたかは戻り値を信用せず `acr` 等で確認する</t>
  </si>
  <si>
    <t>**標準にある**。端末紛失時の復旧に使う</t>
  </si>
  <si>
    <t>認証手段の一覧（本人）</t>
  </si>
  <si>
    <t>GET /realms/{r}/account/credentials</t>
  </si>
  <si>
    <t>本人のトークンで呼べる。登録済みの手段の確認に使う</t>
  </si>
  <si>
    <t>認証手段の削除（本人）</t>
  </si>
  <si>
    <t>DELETE /realms/{r}/account/credentials/{id}</t>
  </si>
  <si>
    <t>標準にあるが非推奨の扱い。画面へ誘導する方が安全</t>
  </si>
  <si>
    <t>**本人のトークンで呼べる**。管理 API を渡さずにプロフィール編集を実現できる</t>
  </si>
  <si>
    <t>自分のログイン状態の確認・破棄</t>
  </si>
  <si>
    <t>GET/DELETE /realms/{r}/account/sessions</t>
  </si>
  <si>
    <t>連携先の確認・解除（本人）</t>
  </si>
  <si>
    <t>GET/DELETE /realms/{r}/account/linked-accounts</t>
  </si>
  <si>
    <t>ユーザの登録・変更・停止</t>
  </si>
  <si>
    <t>Broker 側と同じ Admin API。IdP-KC 側のユーザが対象</t>
  </si>
  <si>
    <t>照合する仕組みは標準に無い</t>
  </si>
  <si>
    <t>管理者の承認を経て復旧する手順を作る</t>
  </si>
  <si>
    <t>連続失敗時の締め出し</t>
  </si>
  <si>
    <t>（API なし）Realm 設定 + attack-detection</t>
  </si>
  <si>
    <t>解除は Broker 側と同じ API</t>
  </si>
  <si>
    <t>顧客IdP の指定</t>
  </si>
  <si>
    <t>GET /realms/{r}/protocol/openid-connect/auth?kc_idp_hint={alias}</t>
  </si>
  <si>
    <t>アプリが送り先を指定できる標準のパラメータ。振り分けを画面に頼らない手段</t>
  </si>
  <si>
    <t>振り分け失敗時の切替</t>
  </si>
  <si>
    <t>（API なし）フローの設定 + 拡張</t>
  </si>
  <si>
    <t>判定できなかったときの逃げ道。HRD の拡張と一体で作る</t>
  </si>
  <si>
    <t>（API なし）IdP Mapper の syncMode 設定</t>
  </si>
  <si>
    <t>2 回目以降に上書きする項目を Mapper ごとに決める</t>
  </si>
  <si>
    <t>（API なし）IdP エントリの設定</t>
  </si>
  <si>
    <t>Broker から見て Keycloak-IdP は顧客IdP の 1 つ。Keycloak-IdP 側に求める設定は接続仕様（HE-23）で渡す</t>
  </si>
  <si>
    <t>POST /admin/realms/{r}/organizations/{id}/members/invite-user</t>
  </si>
  <si>
    <t>Organizations の標準機能。**メール送信が前提**のため、メールを持たないユーザには使えない</t>
  </si>
  <si>
    <t>POST /admin/realms/{r}/partialImport</t>
  </si>
  <si>
    <t>標準にある。件数の上限に合わせて分割して投入する</t>
  </si>
  <si>
    <t>設定のファイル出力</t>
  </si>
  <si>
    <t>POST /admin/realms/{r}/partial-export</t>
  </si>
  <si>
    <t>**ユーザは出力に含まれない**。ユーザの持ち出しは検索 API を繰り返すか、サーバ側の書き出し機能を使う</t>
  </si>
  <si>
    <t>本人からの開示・削除請求</t>
  </si>
  <si>
    <t>GET /admin/realms/{r}/users/{id} / DELETE …</t>
  </si>
  <si>
    <t>標準 API の組合せで足りる。対応の記録は運用側で残す</t>
  </si>
  <si>
    <t>管理 API の内部公開</t>
  </si>
  <si>
    <t>（本基盤が決める）到達経路・呼び出し元の資格・許す操作</t>
  </si>
  <si>
    <t>**今回の論点そのもの**。Admin API をどこまでアプリへ開くかを決め、権限の絞り込み（FGAP v2）と経路で守る</t>
  </si>
  <si>
    <t>GET /admin/realms/{r}/events + 外部の集計</t>
  </si>
  <si>
    <t>検知そのものは標準に無い。イベントを取り出して外で判定する</t>
  </si>
  <si>
    <t>（標準 API を外部から呼ぶ）</t>
  </si>
  <si>
    <t>専用 API は不要。ログイン用の標準の入口を監視から定期的に叩く</t>
  </si>
  <si>
    <t>（API なし）User Profile の属性 + 拡張</t>
  </si>
  <si>
    <t>どの経路で作られたかを属性で持つ。付与は拡張側</t>
  </si>
  <si>
    <t>ServiceNow から他アプリの API を呼ぶ経路</t>
  </si>
  <si>
    <t>ログイン済みかの確認（画面遷移なし）</t>
  </si>
  <si>
    <t>GET /realms/{r}/protocol/openid-connect/auth?prompt=none</t>
  </si>
  <si>
    <t>**G-1**。画面を出さずにログイン状態を確かめる標準の方法。SPA が起動時に使う。画面のあるアプリには実質必須で、表から漏れていた</t>
  </si>
  <si>
    <t>セッション状態の監視</t>
  </si>
  <si>
    <t>GET /realms/{r}/protocol/openid-connect/login-status-iframe.html</t>
  </si>
  <si>
    <t>**G-1**。別のタブでログアウトされたことに気づく仕組み。サーバ側でセッションを持つ作り（BFF）なら不要</t>
  </si>
  <si>
    <t>ユーザの件数取得</t>
  </si>
  <si>
    <t>GET /admin/realms/{r}/users/count</t>
  </si>
  <si>
    <t>**G-3**。一覧の総件数。ページ送りの実装に要る</t>
  </si>
  <si>
    <t>属性でのユーザ検索</t>
  </si>
  <si>
    <t>GET /admin/realms/{r}/users?q=key:value</t>
  </si>
  <si>
    <t>**G-3**。社員番号など独自の項目で引く手段。**3 階層の識別子の設計に直結**するのに表から漏れていた</t>
  </si>
  <si>
    <t>顧客のメンバー管理</t>
  </si>
  <si>
    <t>GET/POST /admin/realms/{r}/organizations/{id}/members・DELETE .../members/{id}</t>
  </si>
  <si>
    <t>**G-4**。誰がどの顧客に属するかの付け外し。顧客の CRUD だけでは足りない</t>
  </si>
  <si>
    <t>顧客のメンバー件数</t>
  </si>
  <si>
    <t>GET /admin/realms/{r}/organizations/{id}/members/count</t>
  </si>
  <si>
    <t>**G-4**。課金・レポートの母数</t>
  </si>
  <si>
    <t>顧客IdP との紐付けの付け外し</t>
  </si>
  <si>
    <t>POST/DELETE /admin/realms/{r}/users/{id}/federated-identity/{alias}</t>
  </si>
  <si>
    <t>**G-5**。顧客が IdP を乗り換えたときの繋ぎ替え、重複ユーザの統合で使う。**移行と事故対応の要**</t>
  </si>
  <si>
    <t>締め出し状態の確認</t>
  </si>
  <si>
    <t>GET /admin/realms/{r}/attack-detection/brute-force/users/{id}</t>
  </si>
  <si>
    <t>**G-6**。「入れない」問い合わせの一次切り分け。解除だけ拾って状態確認が漏れていた</t>
  </si>
  <si>
    <t>失効の一斉通知</t>
  </si>
  <si>
    <t>POST /admin/realms/{r}/clients/{id}/push-revocation</t>
  </si>
  <si>
    <t>**G-7**。ある時刻より前に出した JWT を無効として各アプリへ押し出す。**JWT が最大 30 分残る問題の緩和策**として設計に入れていたのに表から漏れていた</t>
  </si>
  <si>
    <t>記録する項目の設定</t>
  </si>
  <si>
    <t>GET/PUT /admin/realms/{r}/events/config</t>
  </si>
  <si>
    <t>**G-8**。何を記録し何日残すかの設定。監査設計の前提だが表から漏れていた</t>
  </si>
  <si>
    <t>なりすまし（調査用）</t>
  </si>
  <si>
    <t>POST /admin/realms/{r}/users/{id}/impersonation</t>
  </si>
  <si>
    <t>⛔ 使わない（決定）</t>
  </si>
  <si>
    <t>**G-9。2026-09-09 決定: 不要**。標準にはあるが使わない。**権限を配るときにこの操作を許さないことを明示する**（Admin Permissions の設定で落とす）</t>
  </si>
  <si>
    <t>アプリ単位のセッション一覧</t>
  </si>
  <si>
    <t>GET /admin/realms/{r}/clients/{id}/user-sessions</t>
  </si>
  <si>
    <t>**G-10**。障害時に「どのアプリで何人繋がっているか」を見る</t>
  </si>
  <si>
    <t>サーバ情報の取得</t>
  </si>
  <si>
    <t>GET /admin/serverinfo</t>
  </si>
  <si>
    <t>**G-12**。版数・有効な機能の確認。版上げの前後で使う</t>
  </si>
  <si>
    <t>死活と性能値の公開</t>
  </si>
  <si>
    <t>GET /health・/health/ready・/health/live・/metrics（9000 番）</t>
  </si>
  <si>
    <t>**G-2**。**既定では無効で、明示的に有効化が要る**。9000 番は業務用の口とは別。**2026-09-09 決定: 監視は ROSA のあるアカウントでそれぞれ行う**（Broker 用・Keycloak-IdP 用の各アカウント内で完結し、他組織が管理する境界は通さない）</t>
  </si>
  <si>
    <t>同意した先の確認・取り消し</t>
  </si>
  <si>
    <t>GET /realms/{r}/account/applications・DELETE .../applications/{clientId}/consent</t>
  </si>
  <si>
    <t>**G-11**。本人が「どのアプリに情報を渡したか」を見て取り消す。同意画面を使わない運用なら不要</t>
  </si>
  <si>
    <t>最終ログイン日時の取得</t>
  </si>
  <si>
    <t>**G-13**。**Keycloak はユーザの最終ログイン日時を持たない**（記録イベントからしか分からない）。自動停止の判定にも、アプリの画面表示にも要るので拡張が必要</t>
  </si>
  <si>
    <t>パスワードの変更日・期限の取得</t>
  </si>
  <si>
    <t>**G-14**。「あと何日で期限」を出す標準の手段が無い</t>
  </si>
  <si>
    <t>一括の有効化・無効化</t>
  </si>
  <si>
    <t>（標準に無い）1 件ずつの呼び出しをまとめる</t>
  </si>
  <si>
    <t>**G-15。2026-09-09 決定: 必要だが削減候補**。標準は 1 件ずつのため件数分の呼び出しになる。**数万人規模の停止が時間内に終わるかは性能試験で確かめる**／G-15: 必要だが削減候補</t>
  </si>
  <si>
    <t>提供する API</t>
  </si>
  <si>
    <t>🔺 標準外（追加コスト）の API</t>
  </si>
  <si>
    <t>🔻 削減候補の API</t>
  </si>
  <si>
    <t>ログインの振り分け</t>
  </si>
  <si>
    <t>顧客IdP 連携ログイン</t>
  </si>
  <si>
    <t>パスワードによるログイン</t>
  </si>
  <si>
    <t>パスワードと復旧</t>
  </si>
  <si>
    <t>ログイン口の保護</t>
  </si>
  <si>
    <t>セッションとログアウト</t>
  </si>
  <si>
    <t>顧客IdP 管理</t>
  </si>
  <si>
    <t>JWT の発行</t>
  </si>
  <si>
    <t>アプリ連携</t>
  </si>
  <si>
    <t>権限を管理する側に、まだ権限が設定されていないユーザの受け皿となる行を作る</t>
  </si>
  <si>
    <t>本基盤が Keycloak-IdP 用の基盤（ROSA）をどこまで作って渡すか、渡した後の非機能を誰が持つかの取り決め。**機能ではなく合意事項**だが、作業の受け皿として機能名の位置に置く</t>
  </si>
  <si>
    <t>追加認証の利用</t>
  </si>
  <si>
    <t>パスワードに加えて 2 つ目の要素で本人を確かめる。数字コードと生体・セキュリティキーの両方を含む</t>
  </si>
  <si>
    <t>2 つ目の要素を初めて登録する流れ。数字コードと生体・セキュリティキーの両方を含む</t>
  </si>
  <si>
    <t>顧客IdP からのユーザ情報の同期</t>
  </si>
  <si>
    <t>顧客IdP から SCIM でユーザの登録・更新・削除通知・検索を受け取り、本基盤へ反映する。呼び出し口ごとの違いは提供 API 一覧で持つ。グループ連携は初期リリース対象外</t>
  </si>
  <si>
    <t>ユーザの参照</t>
  </si>
  <si>
    <t>管理者が自分の顧客のユーザを検索・一覧表示し、1 人の詳細を参照する</t>
  </si>
  <si>
    <t>ユーザの登録と変更</t>
  </si>
  <si>
    <t>管理者がユーザを新規に登録し、情報を変更する</t>
  </si>
  <si>
    <t>ユーザの利用可否の切替・削除</t>
  </si>
  <si>
    <t>管理者がユーザを一時的に使えなくする／戻す。削除の求めもここで扱う（実際には消さずに使えない状態にする）</t>
  </si>
  <si>
    <t>ユーザ一覧と操作記録のファイル出力</t>
  </si>
  <si>
    <t>顧客IdP から受け取る属性の名前の統一</t>
  </si>
  <si>
    <t>ユーザの登録経路の区分</t>
  </si>
  <si>
    <t>本基盤とアプリの間のデータの突合</t>
  </si>
  <si>
    <t>顧客IdP の接続情報の自動追随</t>
  </si>
  <si>
    <t>アプリへの JWT 発行</t>
  </si>
  <si>
    <t>アプリへ渡す JWT を発行し、失効させ、有効性を確かめられるようにする。何を載せるか・要求できる範囲の定義はこの機能の設計作業（HJ-07）で行う</t>
  </si>
  <si>
    <t>別アプリ向け JWT への交換（Token Exchange）</t>
  </si>
  <si>
    <t>あるアプリ向けに出した JWT を、別のアプリ向けの JWT に引き換える</t>
  </si>
  <si>
    <t>アプリが使う権限情報の一括取得</t>
  </si>
  <si>
    <t>アプリ向け管理 API の公開</t>
  </si>
  <si>
    <t>アプリのサーバから Keycloak-Broker の管理 API を呼べるようにする。到達経路・呼び出し元の資格・許してよい操作の範囲を決める</t>
  </si>
  <si>
    <t>管理操作の記録の照会</t>
  </si>
  <si>
    <t>監査ログの出力と保管</t>
  </si>
  <si>
    <t>JWT 署名鍵の定期入れ替え</t>
  </si>
  <si>
    <t>アプリの接続用パスワードの定期入れ替え</t>
  </si>
  <si>
    <t>顧客IdP・本基盤の証明書の期限監視</t>
  </si>
  <si>
    <t>顧客IdP の署名証明書と本基盤の署名証明書・TLS 証明書について、期限切れが近いものを検出して通知する</t>
  </si>
  <si>
    <t>不正なログインの兆候の検知</t>
  </si>
  <si>
    <t>顧客IdP 連携ログインの一連（新方式）</t>
  </si>
  <si>
    <t>顧客IdP 連携ログインの一連（旧方式）</t>
  </si>
  <si>
    <t>機能仕様書: 顧客IdP 連携ログイン（OIDC）</t>
  </si>
  <si>
    <t>機能仕様書: 顧客IdP 連携ログイン（SAML）</t>
  </si>
  <si>
    <t>ログインの振り分け（HRD）</t>
  </si>
  <si>
    <t>PUT /admin/realms/{r}/users/{id}/reset-password</t>
    <phoneticPr fontId="2"/>
  </si>
  <si>
    <t>DELETE /admin/realms/{r}/users/{id}/credentials/{credentialId}</t>
    <phoneticPr fontId="2"/>
  </si>
  <si>
    <t>GET/POST /realms/{r}/account/</t>
    <phoneticPr fontId="2"/>
  </si>
  <si>
    <t>ユーザの登録と変更</t>
    <phoneticPr fontId="2"/>
  </si>
  <si>
    <t>自分の情報の参照・更新</t>
    <phoneticPr fontId="2"/>
  </si>
  <si>
    <t>POST/PUT /admin/realms/{r}/users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</si>
</sst>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7" formatCode="0.0"/>
    <numFmt numFmtId="179" formatCode="#,##0.0000"/>
    <numFmt numFmtId="180" formatCode="#,##0.###"/>
    <numFmt numFmtId="181" formatCode="\¥#,##0"/>
    <numFmt numFmtId="182" formatCode="\¥#,##0.00"/>
    <numFmt numFmtId="184" formatCode="0.0#"/>
    <numFmt numFmtId="194" formatCode="#,##0.##"/>
    <numFmt numFmtId="195" formatCode="0.##"/>
    <numFmt numFmtId="196" formatCode="#,##0.####"/>
  </numFmts>
  <fonts count="36">
    <font>
      <sz val="12"/>
      <color theme="1"/>
      <name val="游ゴシック"/>
      <family val="2"/>
      <charset val="128"/>
      <scheme val="minor"/>
    </font>
    <font>
      <b/>
      <sz val="12"/>
      <color theme="1"/>
      <name val="游ゴシック"/>
      <family val="2"/>
      <charset val="128"/>
      <scheme val="minor"/>
    </font>
    <font>
      <sz val="6"/>
      <name val="游ゴシック"/>
      <family val="2"/>
      <charset val="128"/>
      <scheme val="minor"/>
    </font>
    <font>
      <sz val="9"/>
      <color theme="1"/>
      <name val="游ゴシック"/>
      <family val="2"/>
      <charset val="128"/>
      <scheme val="minor"/>
    </font>
    <font>
      <b/>
      <sz val="9"/>
      <color theme="1"/>
      <name val="游ゴシック"/>
      <family val="2"/>
      <charset val="128"/>
      <scheme val="minor"/>
    </font>
    <font>
      <sz val="9"/>
      <color rgb="FF008000"/>
      <name val="游ゴシック"/>
      <family val="2"/>
      <charset val="128"/>
      <scheme val="minor"/>
    </font>
    <font>
      <b/>
      <sz val="9"/>
      <color rgb="FFFFFFFF"/>
      <name val="游ゴシック"/>
      <family val="2"/>
      <charset val="128"/>
      <scheme val="minor"/>
    </font>
    <font>
      <sz val="8"/>
      <color rgb="FF008000"/>
      <name val="游ゴシック"/>
      <family val="2"/>
      <charset val="128"/>
      <scheme val="minor"/>
    </font>
    <font>
      <sz val="9"/>
      <color rgb="FF808080"/>
      <name val="游ゴシック"/>
      <family val="2"/>
      <charset val="128"/>
      <scheme val="minor"/>
    </font>
    <font>
      <sz val="12"/>
      <color theme="1"/>
      <name val="Meiryo UI"/>
      <family val="2"/>
      <charset val="128"/>
    </font>
    <font>
      <b/>
      <sz val="9"/>
      <color theme="1"/>
      <name val="Meiryo UI"/>
      <family val="2"/>
      <charset val="128"/>
    </font>
    <font>
      <b/>
      <sz val="10"/>
      <color rgb="FFFFFFFF"/>
      <name val="Meiryo UI"/>
      <family val="2"/>
      <charset val="128"/>
    </font>
    <font>
      <sz val="9"/>
      <color theme="1"/>
      <name val="Meiryo UI"/>
      <family val="2"/>
      <charset val="128"/>
    </font>
    <font>
      <sz val="8"/>
      <color rgb="FF008000"/>
      <name val="Meiryo UI"/>
      <family val="2"/>
      <charset val="128"/>
    </font>
    <font>
      <sz val="8"/>
      <color rgb="FF808080"/>
      <name val="Meiryo UI"/>
      <family val="2"/>
      <charset val="128"/>
    </font>
    <font>
      <b/>
      <sz val="15"/>
      <color theme="1"/>
      <name val="游ゴシック"/>
      <family val="2"/>
      <charset val="128"/>
      <scheme val="minor"/>
    </font>
    <font>
      <sz val="9"/>
      <color rgb="FF9C0006"/>
      <name val="游ゴシック"/>
      <family val="2"/>
      <charset val="128"/>
      <scheme val="minor"/>
    </font>
    <font>
      <b/>
      <sz val="12"/>
      <color rgb="FFFFFFFF"/>
      <name val="Meiryo UI"/>
      <family val="2"/>
      <charset val="128"/>
    </font>
    <font>
      <b/>
      <sz val="12"/>
      <color theme="1"/>
      <name val="Meiryo UI"/>
      <family val="2"/>
      <charset val="128"/>
    </font>
    <font>
      <sz val="9"/>
      <color rgb="FF000000"/>
      <name val="Meiryo UI"/>
      <family val="2"/>
      <charset val="128"/>
    </font>
    <font>
      <b/>
      <sz val="10"/>
      <color theme="1"/>
      <name val="Meiryo UI"/>
      <family val="2"/>
      <charset val="128"/>
    </font>
    <font>
      <sz val="10"/>
      <color theme="1"/>
      <name val="Meiryo UI"/>
      <family val="2"/>
      <charset val="128"/>
    </font>
    <font>
      <sz val="10"/>
      <color rgb="FF008000"/>
      <name val="Meiryo UI"/>
      <family val="2"/>
      <charset val="128"/>
    </font>
    <font>
      <sz val="9"/>
      <color rgb="FF595959"/>
      <name val="游ゴシック"/>
      <family val="2"/>
      <charset val="128"/>
      <scheme val="minor"/>
    </font>
    <font>
      <b/>
      <sz val="10"/>
      <color rgb="FF000000"/>
      <name val="Meiryo UI"/>
      <family val="2"/>
      <charset val="128"/>
    </font>
    <font>
      <b/>
      <sz val="9"/>
      <color rgb="FF0B6B2F"/>
      <name val="游ゴシック"/>
      <family val="2"/>
      <charset val="128"/>
      <scheme val="minor"/>
    </font>
    <font>
      <b/>
      <sz val="11"/>
      <color rgb="FFFFFFFF"/>
      <name val="游ゴシック"/>
      <family val="2"/>
      <charset val="128"/>
      <scheme val="minor"/>
    </font>
    <font>
      <sz val="8"/>
      <color theme="1"/>
      <name val="游ゴシック"/>
      <family val="2"/>
      <charset val="128"/>
      <scheme val="minor"/>
    </font>
    <font>
      <sz val="8"/>
      <color rgb="FF595959"/>
      <name val="游ゴシック"/>
      <family val="2"/>
      <charset val="128"/>
      <scheme val="minor"/>
    </font>
    <font>
      <b/>
      <sz val="9"/>
      <color rgb="FF0000FF"/>
      <name val="游ゴシック"/>
      <family val="2"/>
      <charset val="128"/>
      <scheme val="minor"/>
    </font>
    <font>
      <sz val="12"/>
      <color rgb="FF000000"/>
      <name val="Meiryo UI"/>
      <family val="2"/>
      <charset val="128"/>
    </font>
    <font>
      <b/>
      <sz val="12"/>
      <color rgb="FF000000"/>
      <name val="Meiryo UI"/>
      <family val="2"/>
      <charset val="128"/>
    </font>
    <font>
      <b/>
      <sz val="12"/>
      <color theme="1"/>
      <name val="Consolas"/>
      <family val="2"/>
    </font>
    <font>
      <sz val="12"/>
      <color theme="1"/>
      <name val="Consolas"/>
      <family val="2"/>
    </font>
    <font>
      <b/>
      <sz val="11"/>
      <color theme="1"/>
      <name val="游ゴシック"/>
      <family val="2"/>
      <charset val="128"/>
      <scheme val="minor"/>
    </font>
    <font>
      <sz val="12"/>
      <color theme="1"/>
      <name val="Consolas"/>
      <family val="2"/>
      <charset val="128"/>
    </font>
  </fonts>
  <fills count="11">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FFF2CC"/>
        <bgColor indexed="64"/>
      </patternFill>
    </fill>
    <fill>
      <patternFill patternType="solid">
        <fgColor rgb="FFDDEBF7"/>
        <bgColor indexed="64"/>
      </patternFill>
    </fill>
    <fill>
      <patternFill patternType="solid">
        <fgColor rgb="FF375623"/>
        <bgColor indexed="64"/>
      </patternFill>
    </fill>
    <fill>
      <patternFill patternType="solid">
        <fgColor rgb="FFE2EFDA"/>
        <bgColor indexed="64"/>
      </patternFill>
    </fill>
    <fill>
      <patternFill patternType="solid">
        <fgColor rgb="FFE4DFEC"/>
        <bgColor indexed="64"/>
      </patternFill>
    </fill>
    <fill>
      <patternFill patternType="solid">
        <fgColor rgb="FFD9E1F2"/>
        <bgColor indexed="64"/>
      </patternFill>
    </fill>
    <fill>
      <patternFill patternType="solid">
        <fgColor theme="0" tint="-0.14999847407452621"/>
        <bgColor indexed="64"/>
      </patternFill>
    </fill>
  </fills>
  <borders count="17">
    <border>
      <left/>
      <right/>
      <top/>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D9D9D9"/>
      </left>
      <right/>
      <top style="thin">
        <color rgb="FFD9D9D9"/>
      </top>
      <bottom style="thin">
        <color auto="1"/>
      </bottom>
      <diagonal/>
    </border>
    <border>
      <left/>
      <right style="thin">
        <color rgb="FFD9D9D9"/>
      </right>
      <top style="thin">
        <color auto="1"/>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top style="thin">
        <color auto="1"/>
      </top>
      <bottom style="thin">
        <color rgb="FFD9D9D9"/>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D9D9D9"/>
      </left>
      <right/>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alignment vertical="center"/>
    </xf>
  </cellStyleXfs>
  <cellXfs count="168">
    <xf numFmtId="0" fontId="0" fillId="0" borderId="0" xfId="0">
      <alignment vertical="center"/>
    </xf>
    <xf numFmtId="0" fontId="5" fillId="0" borderId="0" xfId="0" applyFont="1">
      <alignment vertical="center"/>
    </xf>
    <xf numFmtId="0" fontId="1" fillId="0" borderId="0" xfId="0" applyFont="1">
      <alignment vertical="center"/>
    </xf>
    <xf numFmtId="0" fontId="3" fillId="0" borderId="2" xfId="0" applyFont="1" applyBorder="1" applyAlignment="1">
      <alignment vertical="top"/>
    </xf>
    <xf numFmtId="0" fontId="3" fillId="0" borderId="5" xfId="0" applyFont="1" applyBorder="1" applyAlignment="1">
      <alignment vertical="top"/>
    </xf>
    <xf numFmtId="0" fontId="6" fillId="2" borderId="7" xfId="0" applyFont="1" applyFill="1" applyBorder="1" applyAlignment="1">
      <alignment horizontal="center" vertical="top"/>
    </xf>
    <xf numFmtId="0" fontId="6" fillId="2" borderId="8" xfId="0" applyFont="1" applyFill="1" applyBorder="1" applyAlignment="1">
      <alignment horizontal="center" vertical="top"/>
    </xf>
    <xf numFmtId="0" fontId="6" fillId="2" borderId="9" xfId="0" applyFont="1" applyFill="1" applyBorder="1" applyAlignment="1">
      <alignment horizontal="center" vertical="top"/>
    </xf>
    <xf numFmtId="0" fontId="3" fillId="0" borderId="2" xfId="0" applyFont="1" applyBorder="1" applyAlignment="1">
      <alignment horizontal="center" vertical="top"/>
    </xf>
    <xf numFmtId="0" fontId="3" fillId="0" borderId="5" xfId="0" applyFont="1" applyBorder="1" applyAlignment="1">
      <alignment horizontal="center" vertical="top"/>
    </xf>
    <xf numFmtId="0" fontId="7" fillId="0" borderId="3" xfId="0" applyFont="1" applyBorder="1" applyAlignment="1">
      <alignment vertical="top"/>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3" fillId="0" borderId="1" xfId="0" applyFont="1" applyBorder="1">
      <alignment vertical="center"/>
    </xf>
    <xf numFmtId="0" fontId="3" fillId="0" borderId="2" xfId="0" applyFont="1" applyBorder="1">
      <alignment vertical="center"/>
    </xf>
    <xf numFmtId="0" fontId="4" fillId="0" borderId="4"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3" xfId="0" applyFont="1" applyBorder="1">
      <alignment vertical="center"/>
    </xf>
    <xf numFmtId="0" fontId="3" fillId="0" borderId="6" xfId="0" applyFont="1" applyBorder="1">
      <alignment vertical="center"/>
    </xf>
    <xf numFmtId="0" fontId="9" fillId="0" borderId="0" xfId="0" applyFont="1">
      <alignment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3" fillId="0" borderId="3" xfId="0" applyFont="1" applyBorder="1" applyAlignment="1">
      <alignment vertical="top"/>
    </xf>
    <xf numFmtId="0" fontId="13" fillId="0" borderId="6" xfId="0" applyFont="1" applyBorder="1" applyAlignment="1">
      <alignment vertical="top"/>
    </xf>
    <xf numFmtId="0" fontId="15" fillId="0" borderId="0" xfId="0" applyFont="1">
      <alignment vertical="center"/>
    </xf>
    <xf numFmtId="0" fontId="8" fillId="0" borderId="0" xfId="0" applyFont="1">
      <alignment vertical="center"/>
    </xf>
    <xf numFmtId="0" fontId="4" fillId="0" borderId="1" xfId="0" applyFont="1" applyBorder="1" applyAlignment="1">
      <alignment vertical="top"/>
    </xf>
    <xf numFmtId="0" fontId="4" fillId="0" borderId="4" xfId="0" applyFont="1" applyBorder="1" applyAlignment="1">
      <alignment vertical="top"/>
    </xf>
    <xf numFmtId="0" fontId="16"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1" fillId="0" borderId="2" xfId="0" applyFont="1" applyBorder="1" applyAlignment="1">
      <alignment vertical="top"/>
    </xf>
    <xf numFmtId="0" fontId="21" fillId="0" borderId="5" xfId="0" applyFont="1" applyBorder="1" applyAlignment="1">
      <alignment vertical="top"/>
    </xf>
    <xf numFmtId="0" fontId="12" fillId="0" borderId="0" xfId="0" applyFont="1">
      <alignment vertical="center"/>
    </xf>
    <xf numFmtId="0" fontId="23" fillId="0" borderId="0" xfId="0" applyFont="1">
      <alignment vertical="center"/>
    </xf>
    <xf numFmtId="0" fontId="24" fillId="0" borderId="1" xfId="0" applyFont="1" applyBorder="1" applyAlignment="1">
      <alignment vertical="top"/>
    </xf>
    <xf numFmtId="0" fontId="24" fillId="0" borderId="4" xfId="0" applyFont="1" applyBorder="1" applyAlignment="1">
      <alignment vertical="top"/>
    </xf>
    <xf numFmtId="0" fontId="24" fillId="0" borderId="0" xfId="0" applyFont="1">
      <alignment vertical="center"/>
    </xf>
    <xf numFmtId="0" fontId="14" fillId="0" borderId="2" xfId="0" applyFont="1" applyBorder="1" applyAlignment="1">
      <alignment horizontal="left" vertical="top"/>
    </xf>
    <xf numFmtId="0" fontId="14" fillId="0" borderId="5" xfId="0" applyFont="1" applyBorder="1" applyAlignment="1">
      <alignment horizontal="left" vertical="top"/>
    </xf>
    <xf numFmtId="0" fontId="14" fillId="0" borderId="0" xfId="0" applyFont="1" applyAlignment="1">
      <alignment horizontal="left" vertical="center"/>
    </xf>
    <xf numFmtId="0" fontId="13" fillId="0" borderId="0" xfId="0" applyFont="1">
      <alignment vertical="center"/>
    </xf>
    <xf numFmtId="0" fontId="12" fillId="0" borderId="0" xfId="0" applyFont="1" applyAlignment="1">
      <alignment horizontal="center" vertical="center"/>
    </xf>
    <xf numFmtId="0" fontId="26" fillId="2" borderId="0" xfId="0" applyFont="1" applyFill="1" applyAlignment="1">
      <alignment horizontal="center" vertical="top"/>
    </xf>
    <xf numFmtId="0" fontId="3" fillId="0" borderId="3" xfId="0" applyFont="1" applyBorder="1" applyAlignment="1">
      <alignment horizontal="center" vertical="center"/>
    </xf>
    <xf numFmtId="0" fontId="4" fillId="0" borderId="6" xfId="0" applyFont="1" applyBorder="1" applyAlignment="1">
      <alignment horizontal="center" vertical="center"/>
    </xf>
    <xf numFmtId="0" fontId="28" fillId="0" borderId="3" xfId="0" applyFont="1" applyBorder="1" applyAlignment="1">
      <alignment vertical="top"/>
    </xf>
    <xf numFmtId="0" fontId="28" fillId="0" borderId="6" xfId="0" applyFont="1" applyBorder="1" applyAlignment="1">
      <alignment vertical="top"/>
    </xf>
    <xf numFmtId="49" fontId="27" fillId="0" borderId="2" xfId="0" applyNumberFormat="1" applyFont="1" applyBorder="1" applyAlignment="1">
      <alignment horizontal="center" vertical="top"/>
    </xf>
    <xf numFmtId="49" fontId="27" fillId="0" borderId="5" xfId="0" applyNumberFormat="1" applyFont="1" applyBorder="1" applyAlignment="1">
      <alignment horizontal="center" vertical="top"/>
    </xf>
    <xf numFmtId="0" fontId="4" fillId="0" borderId="5" xfId="0" applyFont="1" applyBorder="1" applyAlignment="1">
      <alignment vertical="top"/>
    </xf>
    <xf numFmtId="0" fontId="28" fillId="0" borderId="2" xfId="0" applyFont="1" applyBorder="1" applyAlignment="1">
      <alignment vertical="top"/>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9" xfId="0" applyFont="1" applyFill="1" applyBorder="1" applyAlignment="1">
      <alignment horizontal="center" vertical="center"/>
    </xf>
    <xf numFmtId="0" fontId="4" fillId="0" borderId="6" xfId="0" applyFont="1" applyBorder="1" applyAlignment="1">
      <alignment vertical="top"/>
    </xf>
    <xf numFmtId="180" fontId="3" fillId="0" borderId="2" xfId="0" applyNumberFormat="1" applyFont="1" applyBorder="1" applyAlignment="1">
      <alignment horizontal="right" vertical="top"/>
    </xf>
    <xf numFmtId="0" fontId="4" fillId="0" borderId="5" xfId="0" applyFont="1" applyBorder="1" applyAlignment="1">
      <alignment horizontal="right" vertical="top"/>
    </xf>
    <xf numFmtId="179" fontId="29" fillId="0" borderId="2" xfId="0" applyNumberFormat="1" applyFont="1" applyBorder="1" applyAlignment="1">
      <alignment horizontal="right" vertical="top"/>
    </xf>
    <xf numFmtId="4" fontId="3" fillId="0" borderId="2" xfId="0" applyNumberFormat="1" applyFont="1" applyBorder="1" applyAlignment="1">
      <alignment horizontal="right" vertical="top"/>
    </xf>
    <xf numFmtId="4" fontId="4" fillId="0" borderId="5" xfId="0" applyNumberFormat="1" applyFont="1" applyBorder="1" applyAlignment="1">
      <alignment horizontal="right" vertical="top"/>
    </xf>
    <xf numFmtId="0" fontId="4" fillId="0" borderId="1" xfId="0" applyFont="1" applyBorder="1" applyAlignment="1">
      <alignment horizontal="center" vertical="top"/>
    </xf>
    <xf numFmtId="0" fontId="3" fillId="0" borderId="2" xfId="0" applyFont="1" applyBorder="1" applyAlignment="1">
      <alignment horizontal="right" vertical="center"/>
    </xf>
    <xf numFmtId="4" fontId="3" fillId="0" borderId="2" xfId="0" applyNumberFormat="1" applyFont="1" applyBorder="1" applyAlignment="1">
      <alignment horizontal="right" vertical="center"/>
    </xf>
    <xf numFmtId="4" fontId="3" fillId="0" borderId="3" xfId="0" applyNumberFormat="1" applyFont="1" applyBorder="1" applyAlignment="1">
      <alignment horizontal="right" vertical="center"/>
    </xf>
    <xf numFmtId="0" fontId="4" fillId="0" borderId="5" xfId="0" applyFont="1" applyBorder="1" applyAlignment="1">
      <alignment horizontal="right" vertical="center"/>
    </xf>
    <xf numFmtId="4" fontId="4" fillId="0" borderId="5" xfId="0" applyNumberFormat="1" applyFont="1" applyBorder="1" applyAlignment="1">
      <alignment horizontal="right" vertical="center"/>
    </xf>
    <xf numFmtId="4" fontId="4" fillId="0" borderId="6" xfId="0" applyNumberFormat="1" applyFont="1" applyBorder="1" applyAlignment="1">
      <alignment horizontal="right" vertical="center"/>
    </xf>
    <xf numFmtId="181" fontId="3" fillId="0" borderId="2" xfId="0" applyNumberFormat="1" applyFont="1" applyBorder="1" applyAlignment="1">
      <alignment horizontal="right" vertical="center"/>
    </xf>
    <xf numFmtId="3" fontId="3" fillId="0" borderId="2" xfId="0" applyNumberFormat="1" applyFont="1" applyBorder="1" applyAlignment="1">
      <alignment horizontal="right" vertical="center"/>
    </xf>
    <xf numFmtId="182" fontId="3" fillId="0" borderId="2" xfId="0" applyNumberFormat="1" applyFont="1" applyBorder="1" applyAlignment="1">
      <alignment horizontal="right" vertical="center"/>
    </xf>
    <xf numFmtId="3" fontId="3" fillId="0" borderId="5" xfId="0" applyNumberFormat="1" applyFont="1" applyBorder="1" applyAlignment="1">
      <alignment horizontal="right" vertical="center"/>
    </xf>
    <xf numFmtId="0" fontId="29" fillId="0" borderId="2" xfId="0" applyFont="1" applyBorder="1">
      <alignment vertical="center"/>
    </xf>
    <xf numFmtId="0" fontId="29" fillId="0" borderId="5" xfId="0" applyFont="1" applyBorder="1">
      <alignment vertical="center"/>
    </xf>
    <xf numFmtId="0" fontId="25" fillId="0" borderId="2" xfId="0" applyFont="1" applyBorder="1">
      <alignment vertical="center"/>
    </xf>
    <xf numFmtId="0" fontId="25" fillId="0" borderId="5" xfId="0" applyFont="1" applyBorder="1">
      <alignment vertical="center"/>
    </xf>
    <xf numFmtId="0" fontId="0" fillId="4" borderId="0" xfId="0" applyFill="1">
      <alignment vertical="center"/>
    </xf>
    <xf numFmtId="0" fontId="0" fillId="3" borderId="0" xfId="0" applyFill="1">
      <alignment vertical="center"/>
    </xf>
    <xf numFmtId="0" fontId="6" fillId="2" borderId="12" xfId="0" applyFont="1" applyFill="1" applyBorder="1" applyAlignment="1">
      <alignment horizontal="center" vertical="top"/>
    </xf>
    <xf numFmtId="0" fontId="10" fillId="0" borderId="0" xfId="0" applyFont="1">
      <alignment vertical="center"/>
    </xf>
    <xf numFmtId="0" fontId="4" fillId="4" borderId="1" xfId="0" applyFont="1" applyFill="1" applyBorder="1" applyAlignment="1">
      <alignment horizontal="center" vertical="top"/>
    </xf>
    <xf numFmtId="0" fontId="3" fillId="4" borderId="2" xfId="0" applyFont="1" applyFill="1" applyBorder="1" applyAlignment="1">
      <alignment vertical="top"/>
    </xf>
    <xf numFmtId="0" fontId="28" fillId="4" borderId="2" xfId="0" applyFont="1" applyFill="1" applyBorder="1" applyAlignment="1">
      <alignment vertical="top"/>
    </xf>
    <xf numFmtId="180" fontId="3" fillId="4" borderId="2" xfId="0" applyNumberFormat="1" applyFont="1" applyFill="1" applyBorder="1" applyAlignment="1">
      <alignment horizontal="right" vertical="top"/>
    </xf>
    <xf numFmtId="0" fontId="3" fillId="4" borderId="2" xfId="0" applyFont="1" applyFill="1" applyBorder="1" applyAlignment="1">
      <alignment horizontal="center" vertical="top"/>
    </xf>
    <xf numFmtId="179" fontId="29" fillId="4" borderId="2" xfId="0" applyNumberFormat="1" applyFont="1" applyFill="1" applyBorder="1" applyAlignment="1">
      <alignment horizontal="right" vertical="top"/>
    </xf>
    <xf numFmtId="4" fontId="3" fillId="4" borderId="2" xfId="0" applyNumberFormat="1" applyFont="1" applyFill="1" applyBorder="1" applyAlignment="1">
      <alignment horizontal="right" vertical="top"/>
    </xf>
    <xf numFmtId="0" fontId="7" fillId="4" borderId="3" xfId="0" applyFont="1" applyFill="1" applyBorder="1" applyAlignment="1">
      <alignment vertical="top"/>
    </xf>
    <xf numFmtId="0" fontId="4" fillId="3" borderId="1" xfId="0" applyFont="1" applyFill="1" applyBorder="1" applyAlignment="1">
      <alignment vertical="top"/>
    </xf>
    <xf numFmtId="0" fontId="3" fillId="3" borderId="2" xfId="0" applyFont="1" applyFill="1" applyBorder="1" applyAlignment="1">
      <alignment vertical="top"/>
    </xf>
    <xf numFmtId="0" fontId="3" fillId="3" borderId="2" xfId="0" applyFont="1" applyFill="1" applyBorder="1" applyAlignment="1">
      <alignment horizontal="center" vertical="top"/>
    </xf>
    <xf numFmtId="49" fontId="27" fillId="3" borderId="2" xfId="0" applyNumberFormat="1" applyFont="1" applyFill="1" applyBorder="1" applyAlignment="1">
      <alignment horizontal="center" vertical="top"/>
    </xf>
    <xf numFmtId="0" fontId="28" fillId="3" borderId="3" xfId="0" applyFont="1" applyFill="1" applyBorder="1" applyAlignment="1">
      <alignment vertical="top"/>
    </xf>
    <xf numFmtId="0" fontId="4" fillId="4" borderId="1" xfId="0" applyFont="1" applyFill="1" applyBorder="1" applyAlignment="1">
      <alignment vertical="top"/>
    </xf>
    <xf numFmtId="49" fontId="27" fillId="4" borderId="2" xfId="0" applyNumberFormat="1" applyFont="1" applyFill="1" applyBorder="1" applyAlignment="1">
      <alignment horizontal="center" vertical="top"/>
    </xf>
    <xf numFmtId="0" fontId="28" fillId="4" borderId="3" xfId="0" applyFont="1" applyFill="1" applyBorder="1" applyAlignment="1">
      <alignment vertical="top"/>
    </xf>
    <xf numFmtId="0" fontId="9" fillId="0" borderId="11" xfId="0" applyFont="1" applyBorder="1">
      <alignment vertical="center"/>
    </xf>
    <xf numFmtId="0" fontId="19" fillId="0" borderId="11" xfId="0" applyFont="1" applyBorder="1" applyAlignment="1">
      <alignment horizontal="left" vertical="top"/>
    </xf>
    <xf numFmtId="0" fontId="19" fillId="0" borderId="0" xfId="0" applyFont="1" applyAlignment="1">
      <alignment vertical="top"/>
    </xf>
    <xf numFmtId="0" fontId="19" fillId="0" borderId="10" xfId="0" applyFont="1" applyBorder="1" applyAlignment="1">
      <alignment horizontal="left" vertical="top"/>
    </xf>
    <xf numFmtId="0" fontId="19" fillId="0" borderId="0" xfId="0" applyFont="1" applyAlignment="1">
      <alignment horizontal="left" vertical="top"/>
    </xf>
    <xf numFmtId="0" fontId="19" fillId="0" borderId="15" xfId="0" applyFont="1" applyBorder="1" applyAlignment="1">
      <alignment horizontal="left" vertical="top"/>
    </xf>
    <xf numFmtId="0" fontId="19" fillId="0" borderId="13" xfId="0" applyFont="1" applyBorder="1" applyAlignment="1">
      <alignment horizontal="left" vertical="top"/>
    </xf>
    <xf numFmtId="0" fontId="30" fillId="0" borderId="11" xfId="0" applyFont="1" applyBorder="1" applyAlignment="1">
      <alignment horizontal="left" vertical="top"/>
    </xf>
    <xf numFmtId="0" fontId="30" fillId="0" borderId="11" xfId="0" applyFont="1" applyBorder="1" applyAlignment="1">
      <alignment horizontal="left" vertical="top" wrapText="1"/>
    </xf>
    <xf numFmtId="184" fontId="30" fillId="0" borderId="11" xfId="0" applyNumberFormat="1" applyFont="1" applyBorder="1" applyAlignment="1">
      <alignment horizontal="left" vertical="top" wrapText="1"/>
    </xf>
    <xf numFmtId="0" fontId="0" fillId="0" borderId="0" xfId="0" applyAlignment="1">
      <alignment vertical="center" wrapText="1"/>
    </xf>
    <xf numFmtId="0" fontId="1" fillId="9" borderId="11" xfId="0" applyFont="1" applyFill="1" applyBorder="1">
      <alignment vertical="center"/>
    </xf>
    <xf numFmtId="0" fontId="0" fillId="10" borderId="0" xfId="0" applyFill="1">
      <alignment vertical="center"/>
    </xf>
    <xf numFmtId="0" fontId="9" fillId="0" borderId="11" xfId="0" applyFont="1" applyBorder="1" applyAlignment="1">
      <alignment horizontal="left" vertical="center"/>
    </xf>
    <xf numFmtId="0" fontId="1" fillId="5" borderId="0" xfId="0" applyFont="1" applyFill="1" applyAlignment="1">
      <alignment horizontal="center" vertical="center"/>
    </xf>
    <xf numFmtId="0" fontId="17" fillId="2" borderId="11" xfId="0" applyFont="1" applyFill="1" applyBorder="1" applyAlignment="1">
      <alignment horizontal="left" vertical="center"/>
    </xf>
    <xf numFmtId="177" fontId="30" fillId="0" borderId="11" xfId="0" applyNumberFormat="1" applyFont="1" applyBorder="1" applyAlignment="1">
      <alignment horizontal="left" vertical="top" wrapText="1"/>
    </xf>
    <xf numFmtId="0" fontId="30" fillId="0" borderId="0" xfId="0" applyFont="1" applyAlignment="1">
      <alignment horizontal="left" vertical="center"/>
    </xf>
    <xf numFmtId="0" fontId="9" fillId="0" borderId="0" xfId="0" applyFont="1" applyAlignment="1">
      <alignment horizontal="left" vertical="center"/>
    </xf>
    <xf numFmtId="0" fontId="17" fillId="2" borderId="11" xfId="0" applyFont="1" applyFill="1" applyBorder="1" applyAlignment="1">
      <alignment horizontal="left" vertical="top"/>
    </xf>
    <xf numFmtId="0" fontId="17" fillId="2" borderId="0" xfId="0" applyFont="1" applyFill="1" applyAlignment="1">
      <alignment horizontal="left" vertical="center"/>
    </xf>
    <xf numFmtId="0" fontId="30" fillId="0" borderId="11" xfId="0" applyFont="1" applyBorder="1" applyAlignment="1">
      <alignment horizontal="left" vertical="center"/>
    </xf>
    <xf numFmtId="0" fontId="30" fillId="8" borderId="11" xfId="0" applyFont="1" applyFill="1" applyBorder="1" applyAlignment="1">
      <alignment horizontal="left" vertical="top"/>
    </xf>
    <xf numFmtId="0" fontId="30" fillId="8" borderId="11" xfId="0" applyFont="1" applyFill="1" applyBorder="1" applyAlignment="1">
      <alignment horizontal="left" vertical="top" wrapText="1"/>
    </xf>
    <xf numFmtId="0" fontId="30" fillId="7" borderId="11" xfId="0" applyFont="1" applyFill="1" applyBorder="1" applyAlignment="1">
      <alignment horizontal="left" vertical="top"/>
    </xf>
    <xf numFmtId="0" fontId="30" fillId="7" borderId="11" xfId="0" applyFont="1" applyFill="1" applyBorder="1" applyAlignment="1">
      <alignment horizontal="left" vertical="top" wrapText="1"/>
    </xf>
    <xf numFmtId="0" fontId="31" fillId="5" borderId="11" xfId="0" applyFont="1" applyFill="1" applyBorder="1" applyAlignment="1">
      <alignment horizontal="left" vertical="center"/>
    </xf>
    <xf numFmtId="0" fontId="0" fillId="0" borderId="11" xfId="0" applyBorder="1" applyAlignment="1">
      <alignment horizontal="left" vertical="center"/>
    </xf>
    <xf numFmtId="194" fontId="0" fillId="0" borderId="11" xfId="0" applyNumberFormat="1" applyBorder="1">
      <alignment vertical="center"/>
    </xf>
    <xf numFmtId="0" fontId="18" fillId="5" borderId="11" xfId="0" applyFont="1" applyFill="1" applyBorder="1" applyAlignment="1">
      <alignment horizontal="center" vertical="center"/>
    </xf>
    <xf numFmtId="195" fontId="9" fillId="0" borderId="11" xfId="0" applyNumberFormat="1" applyFont="1" applyBorder="1">
      <alignment vertical="center"/>
    </xf>
    <xf numFmtId="1" fontId="9" fillId="0" borderId="11" xfId="0" applyNumberFormat="1" applyFont="1" applyBorder="1">
      <alignment vertical="center"/>
    </xf>
    <xf numFmtId="177" fontId="9" fillId="0" borderId="11" xfId="0" applyNumberFormat="1" applyFont="1" applyBorder="1">
      <alignment vertical="center"/>
    </xf>
    <xf numFmtId="0" fontId="18" fillId="0" borderId="11" xfId="0" applyFont="1" applyBorder="1">
      <alignment vertical="center"/>
    </xf>
    <xf numFmtId="177" fontId="18" fillId="0" borderId="11" xfId="0" applyNumberFormat="1" applyFont="1" applyBorder="1">
      <alignment vertical="center"/>
    </xf>
    <xf numFmtId="0" fontId="1" fillId="5" borderId="11" xfId="0" applyFont="1" applyFill="1" applyBorder="1" applyAlignment="1">
      <alignment horizontal="center" vertical="center"/>
    </xf>
    <xf numFmtId="0" fontId="0" fillId="0" borderId="11" xfId="0" applyBorder="1" applyAlignment="1">
      <alignment horizontal="center" vertical="center"/>
    </xf>
    <xf numFmtId="0" fontId="0" fillId="0" borderId="0" xfId="0" applyNumberFormat="1">
      <alignment vertical="center"/>
    </xf>
    <xf numFmtId="0" fontId="1" fillId="0" borderId="0" xfId="0" applyNumberFormat="1" applyFont="1">
      <alignment vertical="center"/>
    </xf>
    <xf numFmtId="0" fontId="0" fillId="0" borderId="11" xfId="0" applyBorder="1" applyAlignment="1">
      <alignment vertical="top"/>
    </xf>
    <xf numFmtId="0" fontId="0" fillId="0" borderId="11" xfId="0" applyBorder="1" applyAlignment="1">
      <alignment vertical="top" wrapText="1"/>
    </xf>
    <xf numFmtId="177" fontId="30" fillId="0" borderId="11" xfId="0" applyNumberFormat="1" applyFont="1" applyBorder="1" applyAlignment="1">
      <alignment horizontal="left" vertical="top"/>
    </xf>
    <xf numFmtId="177" fontId="30" fillId="8" borderId="11" xfId="0" applyNumberFormat="1" applyFont="1" applyFill="1" applyBorder="1" applyAlignment="1">
      <alignment horizontal="left" vertical="top"/>
    </xf>
    <xf numFmtId="177" fontId="30" fillId="7" borderId="11" xfId="0" applyNumberFormat="1" applyFont="1" applyFill="1" applyBorder="1" applyAlignment="1">
      <alignment horizontal="left" vertical="top"/>
    </xf>
    <xf numFmtId="177" fontId="30" fillId="0" borderId="11" xfId="0" applyNumberFormat="1" applyFont="1" applyBorder="1" applyAlignment="1">
      <alignment horizontal="left" vertical="center"/>
    </xf>
    <xf numFmtId="177" fontId="9" fillId="0" borderId="11" xfId="0" applyNumberFormat="1" applyFont="1" applyBorder="1" applyAlignment="1">
      <alignment horizontal="left" vertical="center"/>
    </xf>
    <xf numFmtId="0" fontId="9" fillId="0" borderId="11" xfId="0" applyFont="1" applyBorder="1" applyAlignment="1">
      <alignment horizontal="left" vertical="top"/>
    </xf>
    <xf numFmtId="0" fontId="9" fillId="0" borderId="11" xfId="0" applyFont="1" applyBorder="1" applyAlignment="1">
      <alignment horizontal="left" vertical="top" wrapText="1"/>
    </xf>
    <xf numFmtId="184" fontId="9" fillId="0" borderId="11" xfId="0" applyNumberFormat="1" applyFont="1" applyBorder="1" applyAlignment="1">
      <alignment horizontal="left" vertical="top" wrapText="1"/>
    </xf>
    <xf numFmtId="0" fontId="18" fillId="2" borderId="11" xfId="0" applyFont="1" applyFill="1" applyBorder="1" applyAlignment="1">
      <alignment horizontal="left" vertical="center"/>
    </xf>
    <xf numFmtId="177" fontId="9" fillId="0" borderId="11" xfId="0" applyNumberFormat="1" applyFont="1" applyBorder="1" applyAlignment="1">
      <alignment horizontal="left" vertical="top"/>
    </xf>
    <xf numFmtId="177" fontId="9" fillId="0" borderId="11" xfId="0" applyNumberFormat="1" applyFont="1" applyBorder="1" applyAlignment="1">
      <alignment horizontal="left" vertical="top" wrapText="1"/>
    </xf>
    <xf numFmtId="184" fontId="9" fillId="0" borderId="11" xfId="0" applyNumberFormat="1" applyFont="1" applyBorder="1" applyAlignment="1">
      <alignment horizontal="left" vertical="top"/>
    </xf>
    <xf numFmtId="0" fontId="1" fillId="5" borderId="11" xfId="0" applyFont="1" applyFill="1" applyBorder="1" applyAlignment="1">
      <alignment horizontal="center" vertical="center" wrapText="1"/>
    </xf>
    <xf numFmtId="0" fontId="34" fillId="0" borderId="0" xfId="0" applyFont="1">
      <alignment vertical="center"/>
    </xf>
    <xf numFmtId="0" fontId="32" fillId="5" borderId="11" xfId="0" applyFont="1" applyFill="1" applyBorder="1" applyAlignment="1">
      <alignment horizontal="center" vertical="center"/>
    </xf>
    <xf numFmtId="0" fontId="33" fillId="0" borderId="11" xfId="0" applyFont="1" applyBorder="1" applyAlignment="1">
      <alignment vertical="top"/>
    </xf>
    <xf numFmtId="0" fontId="35" fillId="0" borderId="11" xfId="0" applyFont="1" applyBorder="1" applyAlignment="1">
      <alignment vertical="top"/>
    </xf>
    <xf numFmtId="0" fontId="1" fillId="0" borderId="11" xfId="0" applyFont="1" applyBorder="1" applyAlignment="1">
      <alignment horizontal="left" vertical="center"/>
    </xf>
    <xf numFmtId="0" fontId="1" fillId="0" borderId="11" xfId="0" applyFont="1" applyBorder="1" applyAlignment="1">
      <alignment horizontal="center" vertical="center"/>
    </xf>
    <xf numFmtId="194" fontId="1" fillId="0" borderId="11" xfId="0" applyNumberFormat="1" applyFont="1" applyBorder="1">
      <alignment vertical="center"/>
    </xf>
    <xf numFmtId="196" fontId="0" fillId="0" borderId="11" xfId="0" applyNumberFormat="1" applyBorder="1">
      <alignment vertical="center"/>
    </xf>
    <xf numFmtId="0" fontId="0" fillId="0" borderId="15" xfId="0" applyBorder="1" applyAlignment="1">
      <alignment vertical="top"/>
    </xf>
    <xf numFmtId="0" fontId="0" fillId="0" borderId="14" xfId="0" applyBorder="1" applyAlignment="1">
      <alignment vertical="top"/>
    </xf>
    <xf numFmtId="0" fontId="0" fillId="0" borderId="15" xfId="0" applyBorder="1" applyAlignment="1">
      <alignment vertical="top" wrapText="1"/>
    </xf>
    <xf numFmtId="0" fontId="0" fillId="0" borderId="14" xfId="0" applyBorder="1" applyAlignment="1">
      <alignment vertical="top" wrapText="1"/>
    </xf>
    <xf numFmtId="0" fontId="0" fillId="0" borderId="16" xfId="0" applyBorder="1" applyAlignment="1">
      <alignment vertical="top"/>
    </xf>
    <xf numFmtId="0" fontId="0" fillId="0" borderId="16" xfId="0" applyBorder="1" applyAlignment="1">
      <alignment vertical="top" wrapText="1"/>
    </xf>
  </cellXfs>
  <cellStyles count="1">
    <cellStyle name="標準" xfId="0" builtinId="0"/>
  </cellStyles>
  <dxfs count="53">
    <dxf>
      <font>
        <color rgb="FF843C0C"/>
      </font>
      <fill>
        <patternFill patternType="solid">
          <fgColor indexed="64"/>
          <bgColor rgb="FFFCE4D6"/>
        </patternFill>
      </fill>
    </dxf>
    <dxf>
      <font>
        <color rgb="FF7F7F7F"/>
      </font>
    </dxf>
    <dxf>
      <font>
        <b/>
        <i val="0"/>
        <color rgb="FF1F4E79"/>
      </font>
    </dxf>
    <dxf>
      <fill>
        <patternFill patternType="solid">
          <fgColor indexed="64"/>
          <bgColor rgb="FFF2F7FB"/>
        </patternFill>
      </fill>
    </dxf>
    <dxf>
      <fill>
        <patternFill patternType="solid">
          <fgColor indexed="64"/>
          <bgColor rgb="FFFFF2CC"/>
        </patternFill>
      </fill>
    </dxf>
    <dxf>
      <font>
        <b/>
        <i val="0"/>
        <color rgb="FF3F3F76"/>
      </font>
      <fill>
        <patternFill patternType="solid">
          <fgColor indexed="64"/>
          <bgColor rgb="FFEDEDF7"/>
        </patternFill>
      </fill>
    </dxf>
    <dxf>
      <font>
        <b/>
        <i val="0"/>
        <color rgb="FF7F6000"/>
      </font>
      <fill>
        <patternFill patternType="solid">
          <fgColor indexed="64"/>
          <bgColor rgb="FFFFF2CC"/>
        </patternFill>
      </fill>
    </dxf>
    <dxf>
      <font>
        <color rgb="FF1F4E79"/>
      </font>
      <fill>
        <patternFill patternType="solid">
          <fgColor indexed="64"/>
          <bgColor rgb="FFDDEBF7"/>
        </patternFill>
      </fill>
    </dxf>
    <dxf>
      <font>
        <b/>
        <i val="0"/>
        <color rgb="FFC55A11"/>
      </font>
      <fill>
        <patternFill patternType="solid">
          <fgColor indexed="64"/>
          <bgColor rgb="FFFCE4D6"/>
        </patternFill>
      </fill>
    </dxf>
    <dxf>
      <font>
        <b/>
        <i val="0"/>
        <color rgb="FF3F3F76"/>
      </font>
      <fill>
        <patternFill patternType="solid">
          <fgColor indexed="64"/>
          <bgColor rgb="FFEDEDF7"/>
        </patternFill>
      </fill>
    </dxf>
    <dxf>
      <font>
        <b/>
        <i val="0"/>
        <color rgb="FF7F6000"/>
      </font>
      <fill>
        <patternFill patternType="solid">
          <fgColor indexed="64"/>
          <bgColor rgb="FFFFF2CC"/>
        </patternFill>
      </fill>
    </dxf>
    <dxf>
      <font>
        <color rgb="FF1F4E79"/>
      </font>
      <fill>
        <patternFill patternType="solid">
          <fgColor indexed="64"/>
          <bgColor rgb="FFDDEBF7"/>
        </patternFill>
      </fill>
    </dxf>
    <dxf>
      <font>
        <b/>
        <i val="0"/>
        <color rgb="FFC55A11"/>
      </font>
      <fill>
        <patternFill patternType="solid">
          <fgColor indexed="64"/>
          <bgColor rgb="FFFCE4D6"/>
        </patternFill>
      </fill>
    </dxf>
    <dxf>
      <font>
        <color rgb="FF7F7F7F"/>
      </font>
    </dxf>
    <dxf>
      <font>
        <color rgb="FF833C0C"/>
      </font>
      <fill>
        <patternFill patternType="solid">
          <fgColor indexed="64"/>
          <bgColor rgb="FFFCE4D6"/>
        </patternFill>
      </fill>
    </dxf>
    <dxf>
      <font>
        <b/>
        <i val="0"/>
        <color rgb="FF375623"/>
      </font>
      <fill>
        <patternFill patternType="solid">
          <fgColor indexed="64"/>
          <bgColor rgb="FFE2EFDA"/>
        </patternFill>
      </fill>
    </dxf>
    <dxf>
      <font>
        <color rgb="FF375623"/>
      </font>
      <fill>
        <patternFill patternType="solid">
          <fgColor indexed="64"/>
          <bgColor rgb="FFE2EFDA"/>
        </patternFill>
      </fill>
    </dxf>
    <dxf>
      <font>
        <b/>
        <i val="0"/>
        <color rgb="FF9C0006"/>
      </font>
      <fill>
        <patternFill patternType="solid">
          <fgColor indexed="64"/>
          <bgColor rgb="FFFFC7CE"/>
        </patternFill>
      </fill>
    </dxf>
    <dxf>
      <font>
        <b/>
        <i val="0"/>
        <color rgb="FF3F3F76"/>
      </font>
      <fill>
        <patternFill patternType="solid">
          <fgColor indexed="64"/>
          <bgColor rgb="FFEDEDF7"/>
        </patternFill>
      </fill>
    </dxf>
    <dxf>
      <font>
        <b/>
        <i val="0"/>
        <color rgb="FF7F6000"/>
      </font>
      <fill>
        <patternFill patternType="solid">
          <fgColor indexed="64"/>
          <bgColor rgb="FFFFF2CC"/>
        </patternFill>
      </fill>
    </dxf>
    <dxf>
      <font>
        <color rgb="FF1F4E79"/>
      </font>
      <fill>
        <patternFill patternType="solid">
          <fgColor indexed="64"/>
          <bgColor rgb="FFDDEBF7"/>
        </patternFill>
      </fill>
    </dxf>
    <dxf>
      <font>
        <b/>
        <i val="0"/>
        <color rgb="FFC55A11"/>
      </font>
      <fill>
        <patternFill patternType="solid">
          <fgColor indexed="64"/>
          <bgColor rgb="FFFCE4D6"/>
        </patternFill>
      </fill>
    </dxf>
    <dxf>
      <font>
        <color rgb="FF9C0006"/>
      </font>
      <fill>
        <patternFill patternType="solid">
          <fgColor indexed="64"/>
          <bgColor rgb="FFFFC7CE"/>
        </patternFill>
      </fill>
    </dxf>
    <dxf>
      <font>
        <color rgb="FF3F3F76"/>
      </font>
      <fill>
        <patternFill patternType="solid">
          <fgColor indexed="64"/>
          <bgColor rgb="FFEDEDF7"/>
        </patternFill>
      </fill>
    </dxf>
    <dxf>
      <font>
        <color rgb="FF833C0C"/>
      </font>
      <fill>
        <patternFill patternType="solid">
          <fgColor indexed="64"/>
          <bgColor rgb="FFFCE4D6"/>
        </patternFill>
      </fill>
    </dxf>
    <dxf>
      <font>
        <color rgb="FF7F6000"/>
      </font>
      <fill>
        <patternFill patternType="solid">
          <fgColor indexed="64"/>
          <bgColor rgb="FFFFF2CC"/>
        </patternFill>
      </fill>
    </dxf>
    <dxf>
      <font>
        <b/>
        <i val="0"/>
        <color rgb="FF375623"/>
      </font>
      <fill>
        <patternFill patternType="solid">
          <fgColor indexed="64"/>
          <bgColor rgb="FFE2EFDA"/>
        </patternFill>
      </fill>
    </dxf>
    <dxf>
      <font>
        <b/>
        <i val="0"/>
        <color rgb="FF1F4E79"/>
      </font>
      <fill>
        <patternFill patternType="solid">
          <fgColor indexed="64"/>
          <bgColor rgb="FFDDEBF7"/>
        </patternFill>
      </fill>
    </dxf>
    <dxf>
      <font>
        <color rgb="FF1F4E79"/>
      </font>
      <fill>
        <patternFill patternType="solid">
          <fgColor indexed="64"/>
          <bgColor rgb="FFDDEBF7"/>
        </patternFill>
      </fill>
    </dxf>
    <dxf>
      <font>
        <color rgb="FF9C0006"/>
      </font>
      <fill>
        <patternFill patternType="solid">
          <fgColor indexed="64"/>
          <bgColor rgb="FFFFC7CE"/>
        </patternFill>
      </fill>
    </dxf>
    <dxf>
      <font>
        <color rgb="FF3F3F3F"/>
      </font>
      <fill>
        <patternFill patternType="solid">
          <fgColor indexed="64"/>
          <bgColor rgb="FFD9D9D9"/>
        </patternFill>
      </fill>
    </dxf>
    <dxf>
      <font>
        <color rgb="FF3F3F3F"/>
      </font>
      <fill>
        <patternFill patternType="solid">
          <fgColor indexed="64"/>
          <bgColor rgb="FFD9D9D9"/>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7B3F00"/>
      </font>
      <fill>
        <patternFill patternType="solid">
          <fgColor indexed="64"/>
          <bgColor rgb="FFFCE4D6"/>
        </patternFill>
      </fill>
    </dxf>
    <dxf>
      <font>
        <color rgb="FF1F4E79"/>
      </font>
      <fill>
        <patternFill patternType="solid">
          <fgColor indexed="64"/>
          <bgColor rgb="FFDDEBF7"/>
        </patternFill>
      </fill>
    </dxf>
    <dxf>
      <font>
        <color rgb="FF843C0C"/>
      </font>
      <fill>
        <patternFill patternType="solid">
          <fgColor indexed="64"/>
          <bgColor rgb="FFFCE4D6"/>
        </patternFill>
      </fill>
    </dxf>
    <dxf>
      <font>
        <color rgb="FF808080"/>
      </font>
      <fill>
        <patternFill patternType="solid">
          <fgColor indexed="64"/>
          <bgColor rgb="FFF2F2F2"/>
        </patternFill>
      </fill>
    </dxf>
    <dxf>
      <font>
        <color rgb="FF7F6000"/>
      </font>
      <fill>
        <patternFill patternType="solid">
          <fgColor indexed="64"/>
          <bgColor rgb="FFFFF2CC"/>
        </patternFill>
      </fill>
    </dxf>
    <dxf>
      <font>
        <color rgb="FF0B6B2F"/>
      </font>
      <fill>
        <patternFill patternType="solid">
          <fgColor indexed="64"/>
          <bgColor rgb="FFE2EFDA"/>
        </patternFill>
      </fill>
    </dxf>
    <dxf>
      <font>
        <color rgb="FF0B6B2F"/>
      </font>
      <fill>
        <patternFill patternType="solid">
          <fgColor indexed="64"/>
          <bgColor rgb="FFE2EFDA"/>
        </patternFill>
      </fill>
    </dxf>
    <dxf>
      <font>
        <color rgb="FF0B6B2F"/>
      </font>
      <fill>
        <patternFill patternType="solid">
          <fgColor indexed="64"/>
          <bgColor rgb="FFE2EFDA"/>
        </patternFill>
      </fill>
    </dxf>
    <dxf>
      <fill>
        <patternFill patternType="solid">
          <fgColor indexed="64"/>
          <bgColor rgb="FFEAF6F1"/>
        </patternFill>
      </fill>
    </dxf>
    <dxf>
      <fill>
        <patternFill patternType="solid">
          <fgColor indexed="64"/>
          <bgColor rgb="FFF7F7E8"/>
        </patternFill>
      </fill>
    </dxf>
    <dxf>
      <fill>
        <patternFill patternType="solid">
          <fgColor indexed="64"/>
          <bgColor rgb="FFF5F0FA"/>
        </patternFill>
      </fill>
    </dxf>
    <dxf>
      <fill>
        <patternFill patternType="solid">
          <fgColor indexed="64"/>
          <bgColor rgb="FFEEF6F8"/>
        </patternFill>
      </fill>
    </dxf>
    <dxf>
      <fill>
        <patternFill patternType="solid">
          <fgColor indexed="64"/>
          <bgColor rgb="FFFDECEA"/>
        </patternFill>
      </fill>
    </dxf>
    <dxf>
      <fill>
        <patternFill patternType="solid">
          <fgColor indexed="64"/>
          <bgColor rgb="FFFBEFF6"/>
        </patternFill>
      </fill>
    </dxf>
    <dxf>
      <fill>
        <patternFill patternType="solid">
          <fgColor indexed="64"/>
          <bgColor rgb="FFFDF3E7"/>
        </patternFill>
      </fill>
    </dxf>
    <dxf>
      <fill>
        <patternFill patternType="solid">
          <fgColor indexed="64"/>
          <bgColor rgb="FFF0F7EC"/>
        </patternFill>
      </fill>
    </dxf>
    <dxf>
      <fill>
        <patternFill patternType="solid">
          <fgColor indexed="64"/>
          <bgColor rgb="FFEAF1FB"/>
        </patternFill>
      </fill>
    </dxf>
    <dxf>
      <fill>
        <patternFill patternType="solid">
          <fgColor indexed="64"/>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AE95B8-3E7C-2B4B-92E3-737870B89A92}">
  <we:reference id="wa200010725" version="1.0.0.1" store="en-US" storeType="OMEX"/>
  <we:alternateReferences>
    <we:reference id="wa200010725" version="1.0.0.1" store="" storeType="OMEX"/>
  </we:alternateReferences>
  <we:properties>
    <we:property name="claude.fileId" value="&quot;1408ed5e-f795-401a-80ba-45af577212e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B8B0-C590-3C46-80D6-CB350769A192}">
  <dimension ref="A1:N88"/>
  <sheetViews>
    <sheetView workbookViewId="0">
      <pane ySplit="24" topLeftCell="A33" activePane="bottomLeft" state="frozen"/>
      <selection pane="bottomLeft" activeCell="B34" sqref="B34"/>
    </sheetView>
  </sheetViews>
  <sheetFormatPr baseColWidth="10" defaultRowHeight="20"/>
  <cols>
    <col min="1" max="1" width="17.140625" customWidth="1"/>
    <col min="2" max="2" width="47.140625" customWidth="1"/>
    <col min="3" max="4" width="48.5703125" customWidth="1"/>
    <col min="5" max="7" width="15.7109375" customWidth="1"/>
    <col min="8" max="8" width="18.5703125" customWidth="1"/>
    <col min="9" max="9" width="15.7109375" customWidth="1"/>
    <col min="10" max="12" width="17.140625" customWidth="1"/>
    <col min="13" max="13" width="47.140625" customWidth="1"/>
    <col min="14" max="14" width="32.85546875" customWidth="1"/>
  </cols>
  <sheetData>
    <row r="1" spans="1:6" ht="25">
      <c r="A1" s="27" t="s">
        <v>1204</v>
      </c>
    </row>
    <row r="2" spans="1:6">
      <c r="A2" s="1" t="s">
        <v>1205</v>
      </c>
    </row>
    <row r="3" spans="1:6">
      <c r="A3" s="31" t="s">
        <v>1206</v>
      </c>
    </row>
    <row r="5" spans="1:6">
      <c r="A5" s="2" t="s">
        <v>1207</v>
      </c>
    </row>
    <row r="6" spans="1:6">
      <c r="A6" s="11" t="s">
        <v>1208</v>
      </c>
      <c r="B6" s="12" t="s">
        <v>1209</v>
      </c>
      <c r="C6" s="12" t="s">
        <v>1210</v>
      </c>
      <c r="D6" s="13" t="s">
        <v>1211</v>
      </c>
    </row>
    <row r="7" spans="1:6">
      <c r="A7" s="14" t="s">
        <v>1212</v>
      </c>
      <c r="B7" s="76" t="s">
        <v>1213</v>
      </c>
      <c r="C7" s="15" t="s">
        <v>956</v>
      </c>
      <c r="D7" s="19" t="s">
        <v>1214</v>
      </c>
    </row>
    <row r="8" spans="1:6">
      <c r="A8" s="14" t="s">
        <v>1215</v>
      </c>
      <c r="B8" s="76">
        <v>730</v>
      </c>
      <c r="C8" s="15" t="s">
        <v>1216</v>
      </c>
      <c r="D8" s="19" t="s">
        <v>1217</v>
      </c>
    </row>
    <row r="9" spans="1:6">
      <c r="A9" s="14" t="s">
        <v>1218</v>
      </c>
      <c r="B9" s="76">
        <v>150</v>
      </c>
      <c r="C9" s="15" t="s">
        <v>1219</v>
      </c>
      <c r="D9" s="19" t="s">
        <v>1220</v>
      </c>
    </row>
    <row r="10" spans="1:6">
      <c r="A10" s="14" t="s">
        <v>1221</v>
      </c>
      <c r="B10" s="76">
        <v>1000000</v>
      </c>
      <c r="C10" s="15" t="s">
        <v>1222</v>
      </c>
      <c r="D10" s="19" t="s">
        <v>1223</v>
      </c>
    </row>
    <row r="11" spans="1:6">
      <c r="A11" s="14" t="s">
        <v>1224</v>
      </c>
      <c r="B11" s="76">
        <v>5000000</v>
      </c>
      <c r="C11" s="15" t="s">
        <v>1222</v>
      </c>
      <c r="D11" s="19" t="s">
        <v>1225</v>
      </c>
    </row>
    <row r="12" spans="1:6">
      <c r="A12" s="17" t="s">
        <v>1226</v>
      </c>
      <c r="B12" s="77">
        <v>10000000</v>
      </c>
      <c r="C12" s="18" t="s">
        <v>1222</v>
      </c>
      <c r="D12" s="20" t="s">
        <v>1227</v>
      </c>
    </row>
    <row r="14" spans="1:6">
      <c r="A14" s="2" t="s">
        <v>1228</v>
      </c>
    </row>
    <row r="15" spans="1:6">
      <c r="A15" s="56" t="s">
        <v>0</v>
      </c>
      <c r="B15" s="57" t="s">
        <v>1208</v>
      </c>
      <c r="C15" s="57" t="s">
        <v>1229</v>
      </c>
      <c r="D15" s="57" t="s">
        <v>1210</v>
      </c>
      <c r="E15" s="57" t="s">
        <v>6</v>
      </c>
      <c r="F15" s="58" t="s">
        <v>259</v>
      </c>
    </row>
    <row r="16" spans="1:6">
      <c r="A16" s="14" t="s">
        <v>1203</v>
      </c>
      <c r="B16" s="15" t="s">
        <v>1230</v>
      </c>
      <c r="C16" s="78">
        <v>0.25</v>
      </c>
      <c r="D16" s="15" t="s">
        <v>1231</v>
      </c>
      <c r="E16" s="15" t="s">
        <v>1232</v>
      </c>
      <c r="F16" s="19" t="s">
        <v>1233</v>
      </c>
    </row>
    <row r="17" spans="1:14">
      <c r="A17" s="14" t="s">
        <v>1203</v>
      </c>
      <c r="B17" s="15" t="s">
        <v>1234</v>
      </c>
      <c r="C17" s="78">
        <v>0.17100000000000001</v>
      </c>
      <c r="D17" s="15" t="s">
        <v>1235</v>
      </c>
      <c r="E17" s="15" t="s">
        <v>1232</v>
      </c>
      <c r="F17" s="19" t="s">
        <v>1233</v>
      </c>
    </row>
    <row r="18" spans="1:14">
      <c r="A18" s="14" t="s">
        <v>1203</v>
      </c>
      <c r="B18" s="15" t="s">
        <v>1236</v>
      </c>
      <c r="C18" s="78">
        <v>1500</v>
      </c>
      <c r="D18" s="15" t="s">
        <v>1237</v>
      </c>
      <c r="E18" s="15" t="s">
        <v>1232</v>
      </c>
      <c r="F18" s="19" t="s">
        <v>1233</v>
      </c>
    </row>
    <row r="19" spans="1:14">
      <c r="A19" s="14" t="s">
        <v>1203</v>
      </c>
      <c r="B19" s="15" t="s">
        <v>1238</v>
      </c>
      <c r="C19" s="78">
        <v>1000</v>
      </c>
      <c r="D19" s="15" t="s">
        <v>1237</v>
      </c>
      <c r="E19" s="15" t="s">
        <v>1232</v>
      </c>
      <c r="F19" s="19" t="s">
        <v>1233</v>
      </c>
    </row>
    <row r="20" spans="1:14">
      <c r="A20" s="17" t="s">
        <v>1203</v>
      </c>
      <c r="B20" s="18" t="s">
        <v>1239</v>
      </c>
      <c r="C20" s="79">
        <v>667</v>
      </c>
      <c r="D20" s="18" t="s">
        <v>1237</v>
      </c>
      <c r="E20" s="18" t="s">
        <v>1232</v>
      </c>
      <c r="F20" s="20" t="s">
        <v>1233</v>
      </c>
    </row>
    <row r="21" spans="1:14">
      <c r="A21" s="38" t="s">
        <v>1240</v>
      </c>
    </row>
    <row r="23" spans="1:14">
      <c r="A23" s="2" t="s">
        <v>1241</v>
      </c>
    </row>
    <row r="24" spans="1:14" ht="30" customHeight="1">
      <c r="A24" s="5" t="s">
        <v>0</v>
      </c>
      <c r="B24" s="6" t="s">
        <v>1242</v>
      </c>
      <c r="C24" s="6" t="s">
        <v>1243</v>
      </c>
      <c r="D24" s="6" t="s">
        <v>1244</v>
      </c>
      <c r="E24" s="6" t="s">
        <v>1245</v>
      </c>
      <c r="F24" s="6" t="s">
        <v>1246</v>
      </c>
      <c r="G24" s="6" t="s">
        <v>1247</v>
      </c>
      <c r="H24" s="6" t="s">
        <v>1210</v>
      </c>
      <c r="I24" s="6" t="s">
        <v>1248</v>
      </c>
      <c r="J24" s="6" t="s">
        <v>1249</v>
      </c>
      <c r="K24" s="6" t="s">
        <v>1250</v>
      </c>
      <c r="L24" s="6" t="s">
        <v>1251</v>
      </c>
      <c r="M24" s="7" t="s">
        <v>1252</v>
      </c>
      <c r="N24" s="82" t="s">
        <v>1211</v>
      </c>
    </row>
    <row r="25" spans="1:14">
      <c r="A25" s="65" t="s">
        <v>1253</v>
      </c>
      <c r="B25" s="3" t="s">
        <v>1254</v>
      </c>
      <c r="C25" s="55" t="s">
        <v>1255</v>
      </c>
      <c r="D25" s="55" t="s">
        <v>1256</v>
      </c>
      <c r="E25" s="60">
        <v>2190</v>
      </c>
      <c r="F25" s="60">
        <v>4380</v>
      </c>
      <c r="G25" s="60">
        <v>6570</v>
      </c>
      <c r="H25" s="8" t="s">
        <v>1257</v>
      </c>
      <c r="I25" s="62">
        <v>0.18190000000000001</v>
      </c>
      <c r="J25" s="63">
        <f t="shared" ref="J25:J59" si="0">E25*$I25</f>
        <v>398.36099999999999</v>
      </c>
      <c r="K25" s="63">
        <f t="shared" ref="K25:K59" si="1">F25*$I25</f>
        <v>796.72199999999998</v>
      </c>
      <c r="L25" s="63">
        <f t="shared" ref="L25:L59" si="2">G25*$I25</f>
        <v>1195.0830000000001</v>
      </c>
      <c r="M25" s="10" t="s">
        <v>1402</v>
      </c>
      <c r="N25" t="s">
        <v>1403</v>
      </c>
    </row>
    <row r="26" spans="1:14">
      <c r="A26" s="65" t="s">
        <v>1253</v>
      </c>
      <c r="B26" s="3" t="s">
        <v>1258</v>
      </c>
      <c r="C26" s="55" t="s">
        <v>1259</v>
      </c>
      <c r="D26" s="55" t="s">
        <v>1260</v>
      </c>
      <c r="E26" s="60">
        <v>2190</v>
      </c>
      <c r="F26" s="60">
        <v>6570</v>
      </c>
      <c r="G26" s="60">
        <v>13140</v>
      </c>
      <c r="H26" s="8" t="s">
        <v>1257</v>
      </c>
      <c r="I26" s="62">
        <v>0.18190000000000001</v>
      </c>
      <c r="J26" s="63">
        <f t="shared" si="0"/>
        <v>398.36099999999999</v>
      </c>
      <c r="K26" s="63">
        <f t="shared" si="1"/>
        <v>1195.0830000000001</v>
      </c>
      <c r="L26" s="63">
        <f t="shared" si="2"/>
        <v>2390.1660000000002</v>
      </c>
      <c r="M26" s="10" t="s">
        <v>1402</v>
      </c>
      <c r="N26" t="s">
        <v>1403</v>
      </c>
    </row>
    <row r="27" spans="1:14">
      <c r="A27" s="65" t="s">
        <v>1253</v>
      </c>
      <c r="B27" s="3" t="s">
        <v>1261</v>
      </c>
      <c r="C27" s="55" t="s">
        <v>1262</v>
      </c>
      <c r="D27" s="55" t="s">
        <v>1263</v>
      </c>
      <c r="E27" s="60">
        <v>4380</v>
      </c>
      <c r="F27" s="60">
        <v>4380</v>
      </c>
      <c r="G27" s="60">
        <v>4380</v>
      </c>
      <c r="H27" s="8" t="s">
        <v>1257</v>
      </c>
      <c r="I27" s="62">
        <v>9.0999999999999998E-2</v>
      </c>
      <c r="J27" s="63">
        <f t="shared" si="0"/>
        <v>398.58</v>
      </c>
      <c r="K27" s="63">
        <f t="shared" si="1"/>
        <v>398.58</v>
      </c>
      <c r="L27" s="63">
        <f t="shared" si="2"/>
        <v>398.58</v>
      </c>
      <c r="M27" s="10" t="s">
        <v>1402</v>
      </c>
      <c r="N27" t="s">
        <v>1404</v>
      </c>
    </row>
    <row r="28" spans="1:14">
      <c r="A28" s="65" t="s">
        <v>1253</v>
      </c>
      <c r="B28" s="3" t="s">
        <v>1264</v>
      </c>
      <c r="C28" s="55" t="s">
        <v>1265</v>
      </c>
      <c r="D28" s="55" t="s">
        <v>1266</v>
      </c>
      <c r="E28" s="60">
        <v>1460</v>
      </c>
      <c r="F28" s="60">
        <v>1460</v>
      </c>
      <c r="G28" s="60">
        <v>1460</v>
      </c>
      <c r="H28" s="8" t="s">
        <v>1267</v>
      </c>
      <c r="I28" s="62">
        <v>0.25</v>
      </c>
      <c r="J28" s="63">
        <f t="shared" si="0"/>
        <v>365</v>
      </c>
      <c r="K28" s="63">
        <f t="shared" si="1"/>
        <v>365</v>
      </c>
      <c r="L28" s="63">
        <f t="shared" si="2"/>
        <v>365</v>
      </c>
      <c r="M28" s="10" t="s">
        <v>1405</v>
      </c>
      <c r="N28" t="s">
        <v>1406</v>
      </c>
    </row>
    <row r="29" spans="1:14">
      <c r="A29" s="65" t="s">
        <v>1253</v>
      </c>
      <c r="B29" s="3" t="s">
        <v>1268</v>
      </c>
      <c r="C29" s="55" t="s">
        <v>1269</v>
      </c>
      <c r="D29" s="55" t="s">
        <v>1270</v>
      </c>
      <c r="E29" s="60">
        <v>1642</v>
      </c>
      <c r="F29" s="60">
        <v>3103</v>
      </c>
      <c r="G29" s="60">
        <v>5658</v>
      </c>
      <c r="H29" s="8" t="s">
        <v>1271</v>
      </c>
      <c r="I29" s="62">
        <v>0.17100000000000001</v>
      </c>
      <c r="J29" s="63">
        <f t="shared" si="0"/>
        <v>280.78200000000004</v>
      </c>
      <c r="K29" s="63">
        <f t="shared" si="1"/>
        <v>530.61300000000006</v>
      </c>
      <c r="L29" s="63">
        <f t="shared" si="2"/>
        <v>967.51800000000003</v>
      </c>
      <c r="M29" s="10" t="s">
        <v>1405</v>
      </c>
      <c r="N29" t="s">
        <v>1406</v>
      </c>
    </row>
    <row r="30" spans="1:14">
      <c r="A30" s="84" t="s">
        <v>1253</v>
      </c>
      <c r="B30" s="85" t="s">
        <v>1272</v>
      </c>
      <c r="C30" s="86" t="s">
        <v>1273</v>
      </c>
      <c r="D30" s="86" t="s">
        <v>1461</v>
      </c>
      <c r="E30" s="87">
        <v>1320</v>
      </c>
      <c r="F30" s="87">
        <v>2400</v>
      </c>
      <c r="G30" s="87">
        <v>3840</v>
      </c>
      <c r="H30" s="88" t="s">
        <v>1274</v>
      </c>
      <c r="I30" s="89">
        <v>9.6000000000000002E-2</v>
      </c>
      <c r="J30" s="90">
        <f t="shared" si="0"/>
        <v>126.72</v>
      </c>
      <c r="K30" s="90">
        <f t="shared" si="1"/>
        <v>230.4</v>
      </c>
      <c r="L30" s="90">
        <f t="shared" si="2"/>
        <v>368.64</v>
      </c>
      <c r="M30" s="91" t="s">
        <v>1407</v>
      </c>
      <c r="N30" s="80" t="s">
        <v>1462</v>
      </c>
    </row>
    <row r="31" spans="1:14">
      <c r="A31" s="65" t="s">
        <v>1275</v>
      </c>
      <c r="B31" s="3" t="s">
        <v>1276</v>
      </c>
      <c r="C31" s="55" t="s">
        <v>1277</v>
      </c>
      <c r="D31" s="55" t="s">
        <v>1278</v>
      </c>
      <c r="E31" s="60">
        <v>2190</v>
      </c>
      <c r="F31" s="60">
        <v>2190</v>
      </c>
      <c r="G31" s="60">
        <v>2190</v>
      </c>
      <c r="H31" s="8" t="s">
        <v>1257</v>
      </c>
      <c r="I31" s="62">
        <v>0.66500000000000004</v>
      </c>
      <c r="J31" s="63">
        <f t="shared" si="0"/>
        <v>1456.3500000000001</v>
      </c>
      <c r="K31" s="63">
        <f t="shared" si="1"/>
        <v>1456.3500000000001</v>
      </c>
      <c r="L31" s="63">
        <f t="shared" si="2"/>
        <v>1456.3500000000001</v>
      </c>
      <c r="M31" s="10" t="s">
        <v>1408</v>
      </c>
      <c r="N31" t="s">
        <v>1409</v>
      </c>
    </row>
    <row r="32" spans="1:14">
      <c r="A32" s="65" t="s">
        <v>1275</v>
      </c>
      <c r="B32" s="3" t="s">
        <v>1279</v>
      </c>
      <c r="C32" s="55" t="s">
        <v>1280</v>
      </c>
      <c r="D32" s="55" t="s">
        <v>1278</v>
      </c>
      <c r="E32" s="60">
        <v>2190</v>
      </c>
      <c r="F32" s="60">
        <v>2190</v>
      </c>
      <c r="G32" s="60">
        <v>2190</v>
      </c>
      <c r="H32" s="8" t="s">
        <v>1257</v>
      </c>
      <c r="I32" s="62">
        <v>0.66500000000000004</v>
      </c>
      <c r="J32" s="63">
        <f t="shared" si="0"/>
        <v>1456.3500000000001</v>
      </c>
      <c r="K32" s="63">
        <f t="shared" si="1"/>
        <v>1456.3500000000001</v>
      </c>
      <c r="L32" s="63">
        <f t="shared" si="2"/>
        <v>1456.3500000000001</v>
      </c>
      <c r="M32" s="10" t="s">
        <v>1408</v>
      </c>
      <c r="N32" t="s">
        <v>1409</v>
      </c>
    </row>
    <row r="33" spans="1:14">
      <c r="A33" s="65" t="s">
        <v>1275</v>
      </c>
      <c r="B33" s="3" t="s">
        <v>1281</v>
      </c>
      <c r="C33" s="55" t="s">
        <v>1282</v>
      </c>
      <c r="D33" s="55" t="s">
        <v>1283</v>
      </c>
      <c r="E33" s="60">
        <v>200</v>
      </c>
      <c r="F33" s="60">
        <v>1000</v>
      </c>
      <c r="G33" s="60">
        <v>2000</v>
      </c>
      <c r="H33" s="8" t="s">
        <v>1274</v>
      </c>
      <c r="I33" s="62">
        <v>0.12</v>
      </c>
      <c r="J33" s="63">
        <f t="shared" si="0"/>
        <v>24</v>
      </c>
      <c r="K33" s="63">
        <f t="shared" si="1"/>
        <v>120</v>
      </c>
      <c r="L33" s="63">
        <f t="shared" si="2"/>
        <v>240</v>
      </c>
      <c r="M33" s="10" t="s">
        <v>1408</v>
      </c>
      <c r="N33" t="s">
        <v>1410</v>
      </c>
    </row>
    <row r="34" spans="1:14">
      <c r="A34" s="84" t="s">
        <v>1275</v>
      </c>
      <c r="B34" s="85" t="s">
        <v>1284</v>
      </c>
      <c r="C34" s="86" t="s">
        <v>1285</v>
      </c>
      <c r="D34" s="86" t="s">
        <v>1286</v>
      </c>
      <c r="E34" s="87">
        <v>50000000</v>
      </c>
      <c r="F34" s="87">
        <v>250000000</v>
      </c>
      <c r="G34" s="87">
        <v>500000000</v>
      </c>
      <c r="H34" s="88" t="s">
        <v>1411</v>
      </c>
      <c r="I34" s="89">
        <v>2.3999999999999998E-7</v>
      </c>
      <c r="J34" s="90">
        <f t="shared" si="0"/>
        <v>11.999999999999998</v>
      </c>
      <c r="K34" s="90">
        <f t="shared" si="1"/>
        <v>59.999999999999993</v>
      </c>
      <c r="L34" s="90">
        <f t="shared" si="2"/>
        <v>119.99999999999999</v>
      </c>
      <c r="M34" s="91" t="s">
        <v>1408</v>
      </c>
      <c r="N34" s="80" t="s">
        <v>1412</v>
      </c>
    </row>
    <row r="35" spans="1:14">
      <c r="A35" s="65" t="s">
        <v>1275</v>
      </c>
      <c r="B35" s="3" t="s">
        <v>1288</v>
      </c>
      <c r="C35" s="55" t="s">
        <v>1289</v>
      </c>
      <c r="D35" s="55" t="s">
        <v>1290</v>
      </c>
      <c r="E35" s="60">
        <v>400</v>
      </c>
      <c r="F35" s="60">
        <v>2000</v>
      </c>
      <c r="G35" s="60">
        <v>4000</v>
      </c>
      <c r="H35" s="8" t="s">
        <v>1274</v>
      </c>
      <c r="I35" s="62">
        <v>2.3E-2</v>
      </c>
      <c r="J35" s="63">
        <f t="shared" si="0"/>
        <v>9.1999999999999993</v>
      </c>
      <c r="K35" s="63">
        <f t="shared" si="1"/>
        <v>46</v>
      </c>
      <c r="L35" s="63">
        <f t="shared" si="2"/>
        <v>92</v>
      </c>
      <c r="M35" s="10" t="s">
        <v>1408</v>
      </c>
    </row>
    <row r="36" spans="1:14">
      <c r="A36" s="65" t="s">
        <v>1275</v>
      </c>
      <c r="B36" s="3" t="s">
        <v>1291</v>
      </c>
      <c r="C36" s="55" t="s">
        <v>1292</v>
      </c>
      <c r="D36" s="55" t="s">
        <v>1293</v>
      </c>
      <c r="E36" s="60">
        <v>200</v>
      </c>
      <c r="F36" s="60">
        <v>1000</v>
      </c>
      <c r="G36" s="60">
        <v>2000</v>
      </c>
      <c r="H36" s="8" t="s">
        <v>1274</v>
      </c>
      <c r="I36" s="62">
        <v>0.12</v>
      </c>
      <c r="J36" s="63">
        <f t="shared" si="0"/>
        <v>24</v>
      </c>
      <c r="K36" s="63">
        <f t="shared" si="1"/>
        <v>120</v>
      </c>
      <c r="L36" s="63">
        <f t="shared" si="2"/>
        <v>240</v>
      </c>
      <c r="M36" s="10" t="s">
        <v>1408</v>
      </c>
      <c r="N36" t="s">
        <v>1413</v>
      </c>
    </row>
    <row r="37" spans="1:14">
      <c r="A37" s="65" t="s">
        <v>1294</v>
      </c>
      <c r="B37" s="3" t="s">
        <v>1295</v>
      </c>
      <c r="C37" s="55" t="s">
        <v>1296</v>
      </c>
      <c r="D37" s="55" t="s">
        <v>1297</v>
      </c>
      <c r="E37" s="60">
        <v>1460</v>
      </c>
      <c r="F37" s="60">
        <v>1460</v>
      </c>
      <c r="G37" s="60">
        <v>1460</v>
      </c>
      <c r="H37" s="8" t="s">
        <v>1298</v>
      </c>
      <c r="I37" s="62">
        <v>2.4299999999999999E-2</v>
      </c>
      <c r="J37" s="63">
        <f t="shared" si="0"/>
        <v>35.478000000000002</v>
      </c>
      <c r="K37" s="63">
        <f t="shared" si="1"/>
        <v>35.478000000000002</v>
      </c>
      <c r="L37" s="63">
        <f t="shared" si="2"/>
        <v>35.478000000000002</v>
      </c>
      <c r="M37" s="10" t="s">
        <v>1414</v>
      </c>
      <c r="N37" t="s">
        <v>1415</v>
      </c>
    </row>
    <row r="38" spans="1:14">
      <c r="A38" s="65" t="s">
        <v>1294</v>
      </c>
      <c r="B38" s="3" t="s">
        <v>1299</v>
      </c>
      <c r="C38" s="55" t="s">
        <v>1300</v>
      </c>
      <c r="D38" s="55" t="s">
        <v>1301</v>
      </c>
      <c r="E38" s="60">
        <v>730</v>
      </c>
      <c r="F38" s="60">
        <v>730</v>
      </c>
      <c r="G38" s="60">
        <v>730</v>
      </c>
      <c r="H38" s="8" t="s">
        <v>1302</v>
      </c>
      <c r="I38" s="62">
        <v>2.4299999999999999E-2</v>
      </c>
      <c r="J38" s="63">
        <f t="shared" si="0"/>
        <v>17.739000000000001</v>
      </c>
      <c r="K38" s="63">
        <f t="shared" si="1"/>
        <v>17.739000000000001</v>
      </c>
      <c r="L38" s="63">
        <f t="shared" si="2"/>
        <v>17.739000000000001</v>
      </c>
      <c r="M38" s="10" t="s">
        <v>1414</v>
      </c>
      <c r="N38" t="s">
        <v>1416</v>
      </c>
    </row>
    <row r="39" spans="1:14">
      <c r="A39" s="65" t="s">
        <v>1294</v>
      </c>
      <c r="B39" s="3" t="s">
        <v>1303</v>
      </c>
      <c r="C39" s="55" t="s">
        <v>1304</v>
      </c>
      <c r="D39" s="55" t="s">
        <v>1305</v>
      </c>
      <c r="E39" s="60">
        <v>500</v>
      </c>
      <c r="F39" s="60">
        <v>2500</v>
      </c>
      <c r="G39" s="60">
        <v>5000</v>
      </c>
      <c r="H39" s="8" t="s">
        <v>1306</v>
      </c>
      <c r="I39" s="62">
        <v>0.114</v>
      </c>
      <c r="J39" s="63">
        <f t="shared" si="0"/>
        <v>57</v>
      </c>
      <c r="K39" s="63">
        <f t="shared" si="1"/>
        <v>285</v>
      </c>
      <c r="L39" s="63">
        <f t="shared" si="2"/>
        <v>570</v>
      </c>
      <c r="M39" s="10" t="s">
        <v>1417</v>
      </c>
      <c r="N39" t="s">
        <v>1418</v>
      </c>
    </row>
    <row r="40" spans="1:14">
      <c r="A40" s="65" t="s">
        <v>1294</v>
      </c>
      <c r="B40" s="3" t="s">
        <v>1307</v>
      </c>
      <c r="C40" s="55" t="s">
        <v>1308</v>
      </c>
      <c r="D40" s="55" t="s">
        <v>1309</v>
      </c>
      <c r="E40" s="60">
        <v>10</v>
      </c>
      <c r="F40" s="60">
        <v>50</v>
      </c>
      <c r="G40" s="60">
        <v>100</v>
      </c>
      <c r="H40" s="8" t="s">
        <v>1287</v>
      </c>
      <c r="I40" s="62">
        <v>0.6</v>
      </c>
      <c r="J40" s="63">
        <f t="shared" si="0"/>
        <v>6</v>
      </c>
      <c r="K40" s="63">
        <f t="shared" si="1"/>
        <v>30</v>
      </c>
      <c r="L40" s="63">
        <f t="shared" si="2"/>
        <v>60</v>
      </c>
      <c r="M40" s="10" t="s">
        <v>1419</v>
      </c>
      <c r="N40" t="s">
        <v>1420</v>
      </c>
    </row>
    <row r="41" spans="1:14">
      <c r="A41" s="65" t="s">
        <v>1294</v>
      </c>
      <c r="B41" s="3" t="s">
        <v>1310</v>
      </c>
      <c r="C41" s="55" t="s">
        <v>1311</v>
      </c>
      <c r="D41" s="55" t="s">
        <v>1312</v>
      </c>
      <c r="E41" s="60">
        <v>1460</v>
      </c>
      <c r="F41" s="60">
        <v>1460</v>
      </c>
      <c r="G41" s="60">
        <v>1460</v>
      </c>
      <c r="H41" s="8" t="s">
        <v>1313</v>
      </c>
      <c r="I41" s="62">
        <v>1.4E-2</v>
      </c>
      <c r="J41" s="63">
        <f t="shared" si="0"/>
        <v>20.440000000000001</v>
      </c>
      <c r="K41" s="63">
        <f t="shared" si="1"/>
        <v>20.440000000000001</v>
      </c>
      <c r="L41" s="63">
        <f t="shared" si="2"/>
        <v>20.440000000000001</v>
      </c>
      <c r="M41" s="10" t="s">
        <v>1421</v>
      </c>
    </row>
    <row r="42" spans="1:14">
      <c r="A42" s="65" t="s">
        <v>1294</v>
      </c>
      <c r="B42" s="3" t="s">
        <v>1314</v>
      </c>
      <c r="C42" s="55" t="s">
        <v>1315</v>
      </c>
      <c r="D42" s="55" t="s">
        <v>1316</v>
      </c>
      <c r="E42" s="60">
        <v>7300</v>
      </c>
      <c r="F42" s="60">
        <v>7300</v>
      </c>
      <c r="G42" s="60">
        <v>7300</v>
      </c>
      <c r="H42" s="8" t="s">
        <v>1313</v>
      </c>
      <c r="I42" s="62">
        <v>1.4E-2</v>
      </c>
      <c r="J42" s="63">
        <f t="shared" si="0"/>
        <v>102.2</v>
      </c>
      <c r="K42" s="63">
        <f t="shared" si="1"/>
        <v>102.2</v>
      </c>
      <c r="L42" s="63">
        <f t="shared" si="2"/>
        <v>102.2</v>
      </c>
      <c r="M42" s="10" t="s">
        <v>1421</v>
      </c>
    </row>
    <row r="43" spans="1:14">
      <c r="A43" s="65" t="s">
        <v>1294</v>
      </c>
      <c r="B43" s="3" t="s">
        <v>1317</v>
      </c>
      <c r="C43" s="55" t="s">
        <v>1318</v>
      </c>
      <c r="D43" s="55" t="s">
        <v>1319</v>
      </c>
      <c r="E43" s="60">
        <v>10000000</v>
      </c>
      <c r="F43" s="60">
        <v>50000000</v>
      </c>
      <c r="G43" s="60">
        <v>100000000</v>
      </c>
      <c r="H43" s="8" t="s">
        <v>1422</v>
      </c>
      <c r="I43" s="62">
        <v>3.9999999999999998E-7</v>
      </c>
      <c r="J43" s="63">
        <f t="shared" si="0"/>
        <v>4</v>
      </c>
      <c r="K43" s="63">
        <f t="shared" si="1"/>
        <v>20</v>
      </c>
      <c r="L43" s="63">
        <f t="shared" si="2"/>
        <v>40</v>
      </c>
      <c r="M43" s="10" t="s">
        <v>1423</v>
      </c>
      <c r="N43" t="s">
        <v>1424</v>
      </c>
    </row>
    <row r="44" spans="1:14">
      <c r="A44" s="65" t="s">
        <v>1294</v>
      </c>
      <c r="B44" s="3" t="s">
        <v>1320</v>
      </c>
      <c r="C44" s="55" t="s">
        <v>1321</v>
      </c>
      <c r="D44" s="55" t="s">
        <v>1322</v>
      </c>
      <c r="E44" s="60">
        <v>100</v>
      </c>
      <c r="F44" s="60">
        <v>500</v>
      </c>
      <c r="G44" s="60">
        <v>1000</v>
      </c>
      <c r="H44" s="8" t="s">
        <v>1306</v>
      </c>
      <c r="I44" s="62">
        <v>0.09</v>
      </c>
      <c r="J44" s="63">
        <f t="shared" si="0"/>
        <v>9</v>
      </c>
      <c r="K44" s="63">
        <f t="shared" si="1"/>
        <v>45</v>
      </c>
      <c r="L44" s="63">
        <f t="shared" si="2"/>
        <v>90</v>
      </c>
      <c r="M44" s="10" t="s">
        <v>1402</v>
      </c>
      <c r="N44" t="s">
        <v>1425</v>
      </c>
    </row>
    <row r="45" spans="1:14">
      <c r="A45" s="65" t="s">
        <v>1294</v>
      </c>
      <c r="B45" s="3" t="s">
        <v>1323</v>
      </c>
      <c r="C45" s="55" t="s">
        <v>1324</v>
      </c>
      <c r="D45" s="55" t="s">
        <v>1325</v>
      </c>
      <c r="E45" s="60">
        <v>50</v>
      </c>
      <c r="F45" s="60">
        <v>250</v>
      </c>
      <c r="G45" s="60">
        <v>500</v>
      </c>
      <c r="H45" s="8" t="s">
        <v>1306</v>
      </c>
      <c r="I45" s="62">
        <v>0.114</v>
      </c>
      <c r="J45" s="63">
        <f t="shared" si="0"/>
        <v>5.7</v>
      </c>
      <c r="K45" s="63">
        <f t="shared" si="1"/>
        <v>28.5</v>
      </c>
      <c r="L45" s="63">
        <f t="shared" si="2"/>
        <v>57</v>
      </c>
      <c r="M45" s="10" t="s">
        <v>1402</v>
      </c>
      <c r="N45" t="s">
        <v>1426</v>
      </c>
    </row>
    <row r="46" spans="1:14">
      <c r="A46" s="65" t="s">
        <v>1326</v>
      </c>
      <c r="B46" s="3" t="s">
        <v>1327</v>
      </c>
      <c r="C46" s="55" t="s">
        <v>1328</v>
      </c>
      <c r="D46" s="55" t="s">
        <v>1329</v>
      </c>
      <c r="E46" s="60">
        <v>10000000</v>
      </c>
      <c r="F46" s="60">
        <v>30000000</v>
      </c>
      <c r="G46" s="60">
        <v>50000000</v>
      </c>
      <c r="H46" s="8" t="s">
        <v>1427</v>
      </c>
      <c r="I46" s="62">
        <v>1.9999999999999999E-7</v>
      </c>
      <c r="J46" s="63">
        <f t="shared" si="0"/>
        <v>2</v>
      </c>
      <c r="K46" s="63">
        <f t="shared" si="1"/>
        <v>6</v>
      </c>
      <c r="L46" s="63">
        <f t="shared" si="2"/>
        <v>10</v>
      </c>
      <c r="M46" s="10" t="s">
        <v>1428</v>
      </c>
      <c r="N46" t="s">
        <v>1429</v>
      </c>
    </row>
    <row r="47" spans="1:14">
      <c r="A47" s="65" t="s">
        <v>1326</v>
      </c>
      <c r="B47" s="3" t="s">
        <v>1330</v>
      </c>
      <c r="C47" s="55" t="s">
        <v>1331</v>
      </c>
      <c r="D47" s="55" t="s">
        <v>1332</v>
      </c>
      <c r="E47" s="60">
        <v>5000000</v>
      </c>
      <c r="F47" s="60">
        <v>15000000</v>
      </c>
      <c r="G47" s="60">
        <v>25000000</v>
      </c>
      <c r="H47" s="8" t="s">
        <v>1427</v>
      </c>
      <c r="I47" s="62">
        <v>1.9999999999999999E-7</v>
      </c>
      <c r="J47" s="63">
        <f t="shared" si="0"/>
        <v>1</v>
      </c>
      <c r="K47" s="63">
        <f t="shared" si="1"/>
        <v>3</v>
      </c>
      <c r="L47" s="63">
        <f t="shared" si="2"/>
        <v>5</v>
      </c>
      <c r="M47" s="10" t="s">
        <v>1428</v>
      </c>
      <c r="N47" t="s">
        <v>1430</v>
      </c>
    </row>
    <row r="48" spans="1:14">
      <c r="A48" s="65" t="s">
        <v>1326</v>
      </c>
      <c r="B48" s="3" t="s">
        <v>1333</v>
      </c>
      <c r="C48" s="55" t="s">
        <v>1334</v>
      </c>
      <c r="D48" s="55" t="s">
        <v>1335</v>
      </c>
      <c r="E48" s="60">
        <v>10000000</v>
      </c>
      <c r="F48" s="60">
        <v>30000000</v>
      </c>
      <c r="G48" s="60">
        <v>50000000</v>
      </c>
      <c r="H48" s="8" t="s">
        <v>1427</v>
      </c>
      <c r="I48" s="62">
        <v>1.2899999999999999E-6</v>
      </c>
      <c r="J48" s="63">
        <f t="shared" si="0"/>
        <v>12.899999999999999</v>
      </c>
      <c r="K48" s="63">
        <f t="shared" si="1"/>
        <v>38.699999999999996</v>
      </c>
      <c r="L48" s="63">
        <f t="shared" si="2"/>
        <v>64.5</v>
      </c>
      <c r="M48" s="10" t="s">
        <v>1431</v>
      </c>
      <c r="N48" t="s">
        <v>1432</v>
      </c>
    </row>
    <row r="49" spans="1:14">
      <c r="A49" s="65" t="s">
        <v>1326</v>
      </c>
      <c r="B49" s="3" t="s">
        <v>1336</v>
      </c>
      <c r="C49" s="55" t="s">
        <v>1337</v>
      </c>
      <c r="D49" s="55" t="s">
        <v>1338</v>
      </c>
      <c r="E49" s="60">
        <v>5000000</v>
      </c>
      <c r="F49" s="60">
        <v>15000000</v>
      </c>
      <c r="G49" s="60">
        <v>25000000</v>
      </c>
      <c r="H49" s="8" t="s">
        <v>1433</v>
      </c>
      <c r="I49" s="62">
        <v>9.9999999999999995E-8</v>
      </c>
      <c r="J49" s="63">
        <f t="shared" si="0"/>
        <v>0.5</v>
      </c>
      <c r="K49" s="63">
        <f t="shared" si="1"/>
        <v>1.5</v>
      </c>
      <c r="L49" s="63">
        <f t="shared" si="2"/>
        <v>2.5</v>
      </c>
      <c r="M49" s="10" t="s">
        <v>1434</v>
      </c>
      <c r="N49" t="s">
        <v>1435</v>
      </c>
    </row>
    <row r="50" spans="1:14">
      <c r="A50" s="65" t="s">
        <v>1326</v>
      </c>
      <c r="B50" s="3" t="s">
        <v>1339</v>
      </c>
      <c r="C50" s="55" t="s">
        <v>1340</v>
      </c>
      <c r="D50" s="55" t="s">
        <v>1341</v>
      </c>
      <c r="E50" s="60">
        <v>5000000</v>
      </c>
      <c r="F50" s="60">
        <v>25000000</v>
      </c>
      <c r="G50" s="60">
        <v>50000000</v>
      </c>
      <c r="H50" s="8" t="s">
        <v>1436</v>
      </c>
      <c r="I50" s="62">
        <v>8.8999999999999995E-7</v>
      </c>
      <c r="J50" s="63">
        <f t="shared" si="0"/>
        <v>4.45</v>
      </c>
      <c r="K50" s="63">
        <f t="shared" si="1"/>
        <v>22.25</v>
      </c>
      <c r="L50" s="63">
        <f t="shared" si="2"/>
        <v>44.5</v>
      </c>
      <c r="M50" s="10" t="s">
        <v>1437</v>
      </c>
      <c r="N50" t="s">
        <v>1438</v>
      </c>
    </row>
    <row r="51" spans="1:14">
      <c r="A51" s="65" t="s">
        <v>304</v>
      </c>
      <c r="B51" s="3" t="s">
        <v>1342</v>
      </c>
      <c r="C51" s="55" t="s">
        <v>1343</v>
      </c>
      <c r="D51" s="55" t="s">
        <v>1344</v>
      </c>
      <c r="E51" s="60">
        <v>10</v>
      </c>
      <c r="F51" s="60">
        <v>10</v>
      </c>
      <c r="G51" s="60">
        <v>10</v>
      </c>
      <c r="H51" s="8" t="s">
        <v>1345</v>
      </c>
      <c r="I51" s="62">
        <v>1</v>
      </c>
      <c r="J51" s="63">
        <f t="shared" si="0"/>
        <v>10</v>
      </c>
      <c r="K51" s="63">
        <f t="shared" si="1"/>
        <v>10</v>
      </c>
      <c r="L51" s="63">
        <f t="shared" si="2"/>
        <v>10</v>
      </c>
      <c r="M51" s="10" t="s">
        <v>1439</v>
      </c>
      <c r="N51" t="s">
        <v>1440</v>
      </c>
    </row>
    <row r="52" spans="1:14">
      <c r="A52" s="65" t="s">
        <v>304</v>
      </c>
      <c r="B52" s="3" t="s">
        <v>1346</v>
      </c>
      <c r="C52" s="55" t="s">
        <v>1347</v>
      </c>
      <c r="D52" s="55" t="s">
        <v>1348</v>
      </c>
      <c r="E52" s="60">
        <v>30</v>
      </c>
      <c r="F52" s="60">
        <v>30</v>
      </c>
      <c r="G52" s="60">
        <v>30</v>
      </c>
      <c r="H52" s="8" t="s">
        <v>1349</v>
      </c>
      <c r="I52" s="62">
        <v>0.4</v>
      </c>
      <c r="J52" s="63">
        <f t="shared" si="0"/>
        <v>12</v>
      </c>
      <c r="K52" s="63">
        <f t="shared" si="1"/>
        <v>12</v>
      </c>
      <c r="L52" s="63">
        <f t="shared" si="2"/>
        <v>12</v>
      </c>
      <c r="M52" s="10" t="s">
        <v>1441</v>
      </c>
    </row>
    <row r="53" spans="1:14">
      <c r="A53" s="84" t="s">
        <v>304</v>
      </c>
      <c r="B53" s="85" t="s">
        <v>1350</v>
      </c>
      <c r="C53" s="86" t="s">
        <v>1351</v>
      </c>
      <c r="D53" s="86" t="s">
        <v>1352</v>
      </c>
      <c r="E53" s="87">
        <v>1</v>
      </c>
      <c r="F53" s="87">
        <v>1</v>
      </c>
      <c r="G53" s="87">
        <v>1</v>
      </c>
      <c r="H53" s="88" t="s">
        <v>1353</v>
      </c>
      <c r="I53" s="89">
        <v>400</v>
      </c>
      <c r="J53" s="90">
        <f t="shared" si="0"/>
        <v>400</v>
      </c>
      <c r="K53" s="90">
        <f t="shared" si="1"/>
        <v>400</v>
      </c>
      <c r="L53" s="90">
        <f t="shared" si="2"/>
        <v>400</v>
      </c>
      <c r="M53" s="91" t="s">
        <v>1442</v>
      </c>
      <c r="N53" s="80" t="s">
        <v>1463</v>
      </c>
    </row>
    <row r="54" spans="1:14">
      <c r="A54" s="65" t="s">
        <v>304</v>
      </c>
      <c r="B54" s="3" t="s">
        <v>1354</v>
      </c>
      <c r="C54" s="55" t="s">
        <v>1355</v>
      </c>
      <c r="D54" s="55" t="s">
        <v>1356</v>
      </c>
      <c r="E54" s="60">
        <v>400</v>
      </c>
      <c r="F54" s="60">
        <v>2000</v>
      </c>
      <c r="G54" s="60">
        <v>4000</v>
      </c>
      <c r="H54" s="8" t="s">
        <v>1274</v>
      </c>
      <c r="I54" s="62">
        <v>0.09</v>
      </c>
      <c r="J54" s="63">
        <f t="shared" si="0"/>
        <v>36</v>
      </c>
      <c r="K54" s="63">
        <f t="shared" si="1"/>
        <v>180</v>
      </c>
      <c r="L54" s="63">
        <f t="shared" si="2"/>
        <v>360</v>
      </c>
      <c r="M54" s="10" t="s">
        <v>1443</v>
      </c>
    </row>
    <row r="55" spans="1:14">
      <c r="A55" s="65" t="s">
        <v>1357</v>
      </c>
      <c r="B55" s="3" t="s">
        <v>1358</v>
      </c>
      <c r="C55" s="55" t="s">
        <v>1359</v>
      </c>
      <c r="D55" s="55" t="s">
        <v>1360</v>
      </c>
      <c r="E55" s="60">
        <v>100</v>
      </c>
      <c r="F55" s="60">
        <v>500</v>
      </c>
      <c r="G55" s="60">
        <v>1000</v>
      </c>
      <c r="H55" s="8" t="s">
        <v>1306</v>
      </c>
      <c r="I55" s="62">
        <v>0.76</v>
      </c>
      <c r="J55" s="63">
        <f t="shared" si="0"/>
        <v>76</v>
      </c>
      <c r="K55" s="63">
        <f t="shared" si="1"/>
        <v>380</v>
      </c>
      <c r="L55" s="63">
        <f t="shared" si="2"/>
        <v>760</v>
      </c>
      <c r="M55" s="10" t="s">
        <v>1444</v>
      </c>
      <c r="N55" t="s">
        <v>1445</v>
      </c>
    </row>
    <row r="56" spans="1:14">
      <c r="A56" s="65" t="s">
        <v>1357</v>
      </c>
      <c r="B56" s="3" t="s">
        <v>1361</v>
      </c>
      <c r="C56" s="55" t="s">
        <v>1362</v>
      </c>
      <c r="D56" s="55" t="s">
        <v>1363</v>
      </c>
      <c r="E56" s="60">
        <v>1460</v>
      </c>
      <c r="F56" s="60">
        <v>2190</v>
      </c>
      <c r="G56" s="60">
        <v>2920</v>
      </c>
      <c r="H56" s="8" t="s">
        <v>1257</v>
      </c>
      <c r="I56" s="62">
        <v>0.16400000000000001</v>
      </c>
      <c r="J56" s="63">
        <f t="shared" si="0"/>
        <v>239.44</v>
      </c>
      <c r="K56" s="63">
        <f t="shared" si="1"/>
        <v>359.16</v>
      </c>
      <c r="L56" s="63">
        <f t="shared" si="2"/>
        <v>478.88</v>
      </c>
      <c r="M56" s="10" t="s">
        <v>1446</v>
      </c>
      <c r="N56" t="s">
        <v>1447</v>
      </c>
    </row>
    <row r="57" spans="1:14">
      <c r="A57" s="65" t="s">
        <v>1357</v>
      </c>
      <c r="B57" s="3" t="s">
        <v>1364</v>
      </c>
      <c r="C57" s="55" t="s">
        <v>1365</v>
      </c>
      <c r="D57" s="55" t="s">
        <v>1366</v>
      </c>
      <c r="E57" s="60">
        <v>5000</v>
      </c>
      <c r="F57" s="60">
        <v>25000</v>
      </c>
      <c r="G57" s="60">
        <v>50000</v>
      </c>
      <c r="H57" s="8" t="s">
        <v>1274</v>
      </c>
      <c r="I57" s="62">
        <v>2E-3</v>
      </c>
      <c r="J57" s="63">
        <f t="shared" si="0"/>
        <v>10</v>
      </c>
      <c r="K57" s="63">
        <f t="shared" si="1"/>
        <v>50</v>
      </c>
      <c r="L57" s="63">
        <f t="shared" si="2"/>
        <v>100</v>
      </c>
      <c r="M57" s="10" t="s">
        <v>1448</v>
      </c>
      <c r="N57" t="s">
        <v>1449</v>
      </c>
    </row>
    <row r="58" spans="1:14">
      <c r="A58" s="65" t="s">
        <v>1357</v>
      </c>
      <c r="B58" s="3" t="s">
        <v>1367</v>
      </c>
      <c r="C58" s="55" t="s">
        <v>1368</v>
      </c>
      <c r="D58" s="55" t="s">
        <v>1369</v>
      </c>
      <c r="E58" s="60">
        <v>100000</v>
      </c>
      <c r="F58" s="60">
        <v>500000</v>
      </c>
      <c r="G58" s="60">
        <v>1000000</v>
      </c>
      <c r="H58" s="8" t="s">
        <v>1450</v>
      </c>
      <c r="I58" s="62">
        <v>1E-4</v>
      </c>
      <c r="J58" s="63">
        <f t="shared" si="0"/>
        <v>10</v>
      </c>
      <c r="K58" s="63">
        <f t="shared" si="1"/>
        <v>50</v>
      </c>
      <c r="L58" s="63">
        <f t="shared" si="2"/>
        <v>100</v>
      </c>
      <c r="M58" s="10" t="s">
        <v>1451</v>
      </c>
      <c r="N58" t="s">
        <v>1452</v>
      </c>
    </row>
    <row r="59" spans="1:14">
      <c r="A59" s="65" t="s">
        <v>1357</v>
      </c>
      <c r="B59" s="3" t="s">
        <v>1370</v>
      </c>
      <c r="C59" s="55" t="s">
        <v>1371</v>
      </c>
      <c r="D59" s="55" t="s">
        <v>1372</v>
      </c>
      <c r="E59" s="60">
        <v>131400</v>
      </c>
      <c r="F59" s="60">
        <v>131400</v>
      </c>
      <c r="G59" s="60">
        <v>131400</v>
      </c>
      <c r="H59" s="8" t="s">
        <v>1373</v>
      </c>
      <c r="I59" s="62">
        <v>1.9E-3</v>
      </c>
      <c r="J59" s="63">
        <f t="shared" si="0"/>
        <v>249.66</v>
      </c>
      <c r="K59" s="63">
        <f t="shared" si="1"/>
        <v>249.66</v>
      </c>
      <c r="L59" s="63">
        <f t="shared" si="2"/>
        <v>249.66</v>
      </c>
      <c r="M59" s="10" t="s">
        <v>1444</v>
      </c>
      <c r="N59" t="s">
        <v>1453</v>
      </c>
    </row>
    <row r="60" spans="1:14">
      <c r="A60" s="30" t="s">
        <v>1374</v>
      </c>
      <c r="B60" s="54"/>
      <c r="C60" s="54"/>
      <c r="D60" s="54"/>
      <c r="E60" s="61"/>
      <c r="F60" s="61"/>
      <c r="G60" s="61"/>
      <c r="H60" s="61"/>
      <c r="I60" s="61"/>
      <c r="J60" s="64">
        <f>SUM(J25:J59)</f>
        <v>6271.2109999999975</v>
      </c>
      <c r="K60" s="64">
        <f>SUM(K25:K59)</f>
        <v>9121.7249999999985</v>
      </c>
      <c r="L60" s="64">
        <f>SUM(L25:L59)</f>
        <v>12879.583999999999</v>
      </c>
      <c r="M60" s="59"/>
      <c r="N60" t="str">
        <f>IF(COUNTBLANK($I$25:$I$59)&gt;0,"⚠ 単価未入力 "&amp;COUNTBLANK($I$25:$I$59)&amp;"件（青字セル）","✓ 全単価が入力済み")</f>
        <v>✓ 全単価が入力済み</v>
      </c>
    </row>
    <row r="62" spans="1:14">
      <c r="A62" s="2" t="s">
        <v>1375</v>
      </c>
    </row>
    <row r="63" spans="1:14">
      <c r="A63" s="11" t="s">
        <v>0</v>
      </c>
      <c r="B63" s="12" t="s">
        <v>1155</v>
      </c>
      <c r="C63" s="12" t="s">
        <v>1249</v>
      </c>
      <c r="D63" s="12" t="s">
        <v>1250</v>
      </c>
      <c r="E63" s="13" t="s">
        <v>1251</v>
      </c>
    </row>
    <row r="64" spans="1:14">
      <c r="A64" s="14" t="s">
        <v>1253</v>
      </c>
      <c r="B64" s="66">
        <f t="shared" ref="B64:B69" si="3">COUNTIF($A$25:$A$59,$A64)</f>
        <v>6</v>
      </c>
      <c r="C64" s="67">
        <f t="shared" ref="C64:C69" si="4">SUMIF($A$25:$A$59,$A64,$J$25:$J$59)</f>
        <v>1967.8039999999999</v>
      </c>
      <c r="D64" s="67">
        <f t="shared" ref="D64:D69" si="5">SUMIF($A$25:$A$59,$A64,$K$25:$K$59)</f>
        <v>3516.3980000000006</v>
      </c>
      <c r="E64" s="68">
        <f t="shared" ref="E64:E69" si="6">SUMIF($A$25:$A$59,$A64,$L$25:$L$59)</f>
        <v>5684.9870000000001</v>
      </c>
    </row>
    <row r="65" spans="1:6">
      <c r="A65" s="14" t="s">
        <v>1275</v>
      </c>
      <c r="B65" s="66">
        <f t="shared" si="3"/>
        <v>6</v>
      </c>
      <c r="C65" s="67">
        <f t="shared" si="4"/>
        <v>2981.9</v>
      </c>
      <c r="D65" s="67">
        <f t="shared" si="5"/>
        <v>3258.7000000000003</v>
      </c>
      <c r="E65" s="68">
        <f t="shared" si="6"/>
        <v>3604.7000000000003</v>
      </c>
    </row>
    <row r="66" spans="1:6">
      <c r="A66" s="14" t="s">
        <v>1294</v>
      </c>
      <c r="B66" s="66">
        <f t="shared" si="3"/>
        <v>9</v>
      </c>
      <c r="C66" s="67">
        <f t="shared" si="4"/>
        <v>257.55700000000002</v>
      </c>
      <c r="D66" s="67">
        <f t="shared" si="5"/>
        <v>584.35699999999997</v>
      </c>
      <c r="E66" s="68">
        <f t="shared" si="6"/>
        <v>992.85700000000008</v>
      </c>
    </row>
    <row r="67" spans="1:6">
      <c r="A67" s="14" t="s">
        <v>1326</v>
      </c>
      <c r="B67" s="66">
        <f t="shared" si="3"/>
        <v>5</v>
      </c>
      <c r="C67" s="67">
        <f t="shared" si="4"/>
        <v>20.849999999999998</v>
      </c>
      <c r="D67" s="67">
        <f t="shared" si="5"/>
        <v>71.449999999999989</v>
      </c>
      <c r="E67" s="68">
        <f t="shared" si="6"/>
        <v>126.5</v>
      </c>
    </row>
    <row r="68" spans="1:6">
      <c r="A68" s="14" t="s">
        <v>304</v>
      </c>
      <c r="B68" s="66">
        <f t="shared" si="3"/>
        <v>4</v>
      </c>
      <c r="C68" s="67">
        <f t="shared" si="4"/>
        <v>458</v>
      </c>
      <c r="D68" s="67">
        <f t="shared" si="5"/>
        <v>602</v>
      </c>
      <c r="E68" s="68">
        <f t="shared" si="6"/>
        <v>782</v>
      </c>
    </row>
    <row r="69" spans="1:6">
      <c r="A69" s="14" t="s">
        <v>1357</v>
      </c>
      <c r="B69" s="66">
        <f t="shared" si="3"/>
        <v>5</v>
      </c>
      <c r="C69" s="67">
        <f t="shared" si="4"/>
        <v>585.1</v>
      </c>
      <c r="D69" s="67">
        <f t="shared" si="5"/>
        <v>1088.8200000000002</v>
      </c>
      <c r="E69" s="68">
        <f t="shared" si="6"/>
        <v>1688.5400000000002</v>
      </c>
    </row>
    <row r="70" spans="1:6">
      <c r="A70" s="16" t="s">
        <v>4</v>
      </c>
      <c r="B70" s="69">
        <f>SUM(B64:B69)</f>
        <v>35</v>
      </c>
      <c r="C70" s="70">
        <f>SUM(C64:C69)</f>
        <v>6271.2110000000002</v>
      </c>
      <c r="D70" s="70">
        <f>SUM(D64:D69)</f>
        <v>9121.7250000000004</v>
      </c>
      <c r="E70" s="71">
        <f>SUM(E64:E69)</f>
        <v>12879.584000000001</v>
      </c>
      <c r="F70" s="2" t="str">
        <f>IF(B70=COUNTA($B$25:$B$59),"✓ 明細行数と一致","⚠ 不一致")</f>
        <v>✓ 明細行数と一致</v>
      </c>
    </row>
    <row r="72" spans="1:6">
      <c r="A72" s="2" t="s">
        <v>1376</v>
      </c>
    </row>
    <row r="73" spans="1:6">
      <c r="A73" s="11" t="s">
        <v>1208</v>
      </c>
      <c r="B73" s="12" t="s">
        <v>1377</v>
      </c>
      <c r="C73" s="12" t="s">
        <v>1378</v>
      </c>
      <c r="D73" s="12" t="s">
        <v>1379</v>
      </c>
      <c r="E73" s="13" t="s">
        <v>1211</v>
      </c>
    </row>
    <row r="74" spans="1:6">
      <c r="A74" s="14" t="s">
        <v>1380</v>
      </c>
      <c r="B74" s="67">
        <f>J60</f>
        <v>6271.2109999999975</v>
      </c>
      <c r="C74" s="67">
        <f>K60</f>
        <v>9121.7249999999985</v>
      </c>
      <c r="D74" s="67">
        <f>L60</f>
        <v>12879.583999999999</v>
      </c>
      <c r="E74" s="19" t="s">
        <v>1381</v>
      </c>
    </row>
    <row r="75" spans="1:6">
      <c r="A75" s="14" t="s">
        <v>1382</v>
      </c>
      <c r="B75" s="72">
        <f>B74*$B$9</f>
        <v>940681.64999999967</v>
      </c>
      <c r="C75" s="72">
        <f>C74*$B$9</f>
        <v>1368258.7499999998</v>
      </c>
      <c r="D75" s="72">
        <f>D74*$B$9</f>
        <v>1931937.5999999999</v>
      </c>
      <c r="E75" s="19" t="s">
        <v>1383</v>
      </c>
    </row>
    <row r="76" spans="1:6">
      <c r="A76" s="14" t="s">
        <v>1384</v>
      </c>
      <c r="B76" s="73">
        <f>B74*12</f>
        <v>75254.531999999977</v>
      </c>
      <c r="C76" s="73">
        <f>C74*12</f>
        <v>109460.69999999998</v>
      </c>
      <c r="D76" s="73">
        <f>D74*12</f>
        <v>154555.00799999997</v>
      </c>
      <c r="E76" s="19" t="s">
        <v>1385</v>
      </c>
    </row>
    <row r="77" spans="1:6">
      <c r="A77" s="14" t="s">
        <v>1386</v>
      </c>
      <c r="B77" s="73">
        <f>B76*3</f>
        <v>225763.59599999993</v>
      </c>
      <c r="C77" s="73">
        <f>C76*3</f>
        <v>328382.09999999998</v>
      </c>
      <c r="D77" s="73">
        <f>D76*3</f>
        <v>463665.02399999992</v>
      </c>
      <c r="E77" s="19" t="s">
        <v>1387</v>
      </c>
    </row>
    <row r="78" spans="1:6">
      <c r="A78" s="14" t="s">
        <v>1388</v>
      </c>
      <c r="B78" s="72">
        <f>B77*$B$9</f>
        <v>33864539.399999991</v>
      </c>
      <c r="C78" s="72">
        <f>C77*$B$9</f>
        <v>49257315</v>
      </c>
      <c r="D78" s="72">
        <f>D77*$B$9</f>
        <v>69549753.599999994</v>
      </c>
      <c r="E78" s="19"/>
    </row>
    <row r="79" spans="1:6">
      <c r="A79" s="14" t="s">
        <v>1389</v>
      </c>
      <c r="B79" s="74">
        <f>IFERROR(B75/$B$10,0)</f>
        <v>0.9406816499999997</v>
      </c>
      <c r="C79" s="74">
        <f>IFERROR(C75/$B$11,0)</f>
        <v>0.27365174999999997</v>
      </c>
      <c r="D79" s="74">
        <f>IFERROR(D75/$B$12,0)</f>
        <v>0.19319375999999999</v>
      </c>
      <c r="E79" s="19" t="s">
        <v>1390</v>
      </c>
    </row>
    <row r="80" spans="1:6">
      <c r="A80" s="17" t="s">
        <v>1391</v>
      </c>
      <c r="B80" s="75">
        <v>2032</v>
      </c>
      <c r="C80" s="75">
        <v>2032</v>
      </c>
      <c r="D80" s="75">
        <v>2032</v>
      </c>
      <c r="E80" s="20" t="s">
        <v>1392</v>
      </c>
    </row>
    <row r="82" spans="1:1">
      <c r="A82" s="83" t="s">
        <v>1455</v>
      </c>
    </row>
    <row r="83" spans="1:1">
      <c r="A83" s="37" t="s">
        <v>1456</v>
      </c>
    </row>
    <row r="84" spans="1:1">
      <c r="A84" s="37" t="s">
        <v>1457</v>
      </c>
    </row>
    <row r="85" spans="1:1">
      <c r="A85" s="37" t="str">
        <f>"③ 総括の開き: 設計書の概算 2,032 USD に対し、今回の積み上げは "&amp;TEXT(SUM(J25:J59),"#,##0")&amp;" USD（100万人）で約3倍。主因は Aurora インスタンス2系統×3台（"&amp;TEXT(J31+J32,"#,##0")&amp;" USD）。どちらが正か要精査"</f>
        <v>③ 総括の開き: 設計書の概算 2,032 USD に対し、今回の積み上げは 6,271 USD（100万人）で約3倍。主因は Aurora インスタンス2系統×3台（2,913 USD）。どちらが正か要精査</v>
      </c>
    </row>
    <row r="86" spans="1:1">
      <c r="A86" s="37" t="s">
        <v>1458</v>
      </c>
    </row>
    <row r="87" spans="1:1">
      <c r="A87" s="37" t="s">
        <v>1459</v>
      </c>
    </row>
    <row r="88" spans="1:1">
      <c r="A88" s="37" t="s">
        <v>1460</v>
      </c>
    </row>
  </sheetData>
  <autoFilter ref="A24:M59" xr:uid="{B411B8B0-C590-3C46-80D6-CB350769A192}"/>
  <phoneticPr fontId="2"/>
  <conditionalFormatting sqref="A25:M59">
    <cfRule type="expression" dxfId="52" priority="1">
      <formula>ISBLANK($I25)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81F7-ECDF-C64A-A7B0-C540D55B3FA1}">
  <dimension ref="A1:E189"/>
  <sheetViews>
    <sheetView zoomScale="161" workbookViewId="0">
      <pane ySplit="4" topLeftCell="A5" activePane="bottomLeft" state="frozen"/>
      <selection pane="bottomLeft" activeCell="A62" sqref="A62"/>
    </sheetView>
  </sheetViews>
  <sheetFormatPr baseColWidth="10" defaultRowHeight="15"/>
  <cols>
    <col min="1" max="1" width="42.85546875" style="33" customWidth="1"/>
    <col min="2" max="2" width="24.28515625" style="33" customWidth="1"/>
    <col min="3" max="3" width="100" style="33" customWidth="1"/>
    <col min="4" max="4" width="18.5703125" style="33" customWidth="1"/>
    <col min="5" max="5" width="40" style="33" customWidth="1"/>
    <col min="6" max="16384" width="10.7109375" style="33"/>
  </cols>
  <sheetData>
    <row r="1" spans="1:5">
      <c r="A1" s="32" t="s">
        <v>260</v>
      </c>
    </row>
    <row r="2" spans="1:5">
      <c r="A2" s="34" t="s">
        <v>303</v>
      </c>
    </row>
    <row r="4" spans="1:5" ht="22" customHeight="1">
      <c r="A4" s="22" t="s">
        <v>307</v>
      </c>
      <c r="B4" s="23" t="s">
        <v>308</v>
      </c>
      <c r="C4" s="23" t="s">
        <v>309</v>
      </c>
      <c r="D4" s="23" t="s">
        <v>310</v>
      </c>
      <c r="E4" s="24" t="s">
        <v>311</v>
      </c>
    </row>
    <row r="5" spans="1:5">
      <c r="A5" s="39" t="s">
        <v>312</v>
      </c>
      <c r="B5" s="35" t="s">
        <v>313</v>
      </c>
      <c r="C5" s="35" t="s">
        <v>314</v>
      </c>
      <c r="D5" s="42" t="s">
        <v>315</v>
      </c>
      <c r="E5" s="25" t="s">
        <v>316</v>
      </c>
    </row>
    <row r="6" spans="1:5">
      <c r="A6" s="39" t="s">
        <v>317</v>
      </c>
      <c r="B6" s="35" t="s">
        <v>313</v>
      </c>
      <c r="C6" s="35" t="s">
        <v>318</v>
      </c>
      <c r="D6" s="42" t="s">
        <v>319</v>
      </c>
      <c r="E6" s="25" t="s">
        <v>316</v>
      </c>
    </row>
    <row r="7" spans="1:5">
      <c r="A7" s="39" t="s">
        <v>320</v>
      </c>
      <c r="B7" s="35" t="s">
        <v>313</v>
      </c>
      <c r="C7" s="35" t="s">
        <v>321</v>
      </c>
      <c r="D7" s="42" t="s">
        <v>322</v>
      </c>
      <c r="E7" s="25" t="s">
        <v>316</v>
      </c>
    </row>
    <row r="8" spans="1:5">
      <c r="A8" s="39" t="s">
        <v>323</v>
      </c>
      <c r="B8" s="35" t="s">
        <v>313</v>
      </c>
      <c r="C8" s="35" t="s">
        <v>324</v>
      </c>
      <c r="D8" s="42" t="s">
        <v>325</v>
      </c>
      <c r="E8" s="25" t="s">
        <v>316</v>
      </c>
    </row>
    <row r="9" spans="1:5">
      <c r="A9" s="39" t="s">
        <v>326</v>
      </c>
      <c r="B9" s="35" t="s">
        <v>313</v>
      </c>
      <c r="C9" s="35" t="s">
        <v>327</v>
      </c>
      <c r="D9" s="42" t="s">
        <v>328</v>
      </c>
      <c r="E9" s="25" t="s">
        <v>316</v>
      </c>
    </row>
    <row r="10" spans="1:5">
      <c r="A10" s="39" t="s">
        <v>329</v>
      </c>
      <c r="B10" s="35" t="s">
        <v>313</v>
      </c>
      <c r="C10" s="35" t="s">
        <v>330</v>
      </c>
      <c r="D10" s="42" t="s">
        <v>331</v>
      </c>
      <c r="E10" s="25" t="s">
        <v>316</v>
      </c>
    </row>
    <row r="11" spans="1:5">
      <c r="A11" s="39" t="s">
        <v>332</v>
      </c>
      <c r="B11" s="35" t="s">
        <v>313</v>
      </c>
      <c r="C11" s="35" t="s">
        <v>333</v>
      </c>
      <c r="D11" s="42" t="s">
        <v>334</v>
      </c>
      <c r="E11" s="25" t="s">
        <v>316</v>
      </c>
    </row>
    <row r="12" spans="1:5">
      <c r="A12" s="39" t="s">
        <v>335</v>
      </c>
      <c r="B12" s="35" t="s">
        <v>313</v>
      </c>
      <c r="C12" s="35" t="s">
        <v>336</v>
      </c>
      <c r="D12" s="42" t="s">
        <v>337</v>
      </c>
      <c r="E12" s="25" t="s">
        <v>316</v>
      </c>
    </row>
    <row r="13" spans="1:5">
      <c r="A13" s="39" t="s">
        <v>338</v>
      </c>
      <c r="B13" s="35" t="s">
        <v>313</v>
      </c>
      <c r="C13" s="35" t="s">
        <v>339</v>
      </c>
      <c r="D13" s="42" t="s">
        <v>340</v>
      </c>
      <c r="E13" s="25" t="s">
        <v>316</v>
      </c>
    </row>
    <row r="14" spans="1:5">
      <c r="A14" s="39" t="s">
        <v>341</v>
      </c>
      <c r="B14" s="35" t="s">
        <v>313</v>
      </c>
      <c r="C14" s="35" t="s">
        <v>342</v>
      </c>
      <c r="D14" s="42" t="s">
        <v>343</v>
      </c>
      <c r="E14" s="25" t="s">
        <v>316</v>
      </c>
    </row>
    <row r="15" spans="1:5">
      <c r="A15" s="39" t="s">
        <v>344</v>
      </c>
      <c r="B15" s="35" t="s">
        <v>313</v>
      </c>
      <c r="C15" s="35" t="s">
        <v>345</v>
      </c>
      <c r="D15" s="42" t="s">
        <v>346</v>
      </c>
      <c r="E15" s="25" t="s">
        <v>316</v>
      </c>
    </row>
    <row r="16" spans="1:5">
      <c r="A16" s="39" t="s">
        <v>347</v>
      </c>
      <c r="B16" s="35" t="s">
        <v>313</v>
      </c>
      <c r="C16" s="35" t="s">
        <v>348</v>
      </c>
      <c r="D16" s="42" t="s">
        <v>349</v>
      </c>
      <c r="E16" s="25" t="s">
        <v>316</v>
      </c>
    </row>
    <row r="17" spans="1:5">
      <c r="A17" s="39" t="s">
        <v>350</v>
      </c>
      <c r="B17" s="35" t="s">
        <v>313</v>
      </c>
      <c r="C17" s="35" t="s">
        <v>351</v>
      </c>
      <c r="D17" s="42" t="s">
        <v>352</v>
      </c>
      <c r="E17" s="25" t="s">
        <v>316</v>
      </c>
    </row>
    <row r="18" spans="1:5">
      <c r="A18" s="39" t="s">
        <v>353</v>
      </c>
      <c r="B18" s="35" t="s">
        <v>313</v>
      </c>
      <c r="C18" s="35" t="s">
        <v>354</v>
      </c>
      <c r="D18" s="42" t="s">
        <v>355</v>
      </c>
      <c r="E18" s="25" t="s">
        <v>316</v>
      </c>
    </row>
    <row r="19" spans="1:5">
      <c r="A19" s="39" t="s">
        <v>356</v>
      </c>
      <c r="B19" s="35" t="s">
        <v>313</v>
      </c>
      <c r="C19" s="35" t="s">
        <v>357</v>
      </c>
      <c r="D19" s="42" t="s">
        <v>358</v>
      </c>
      <c r="E19" s="25" t="s">
        <v>316</v>
      </c>
    </row>
    <row r="20" spans="1:5">
      <c r="A20" s="39" t="s">
        <v>359</v>
      </c>
      <c r="B20" s="35" t="s">
        <v>313</v>
      </c>
      <c r="C20" s="35" t="s">
        <v>360</v>
      </c>
      <c r="D20" s="42" t="s">
        <v>361</v>
      </c>
      <c r="E20" s="25" t="s">
        <v>316</v>
      </c>
    </row>
    <row r="21" spans="1:5">
      <c r="A21" s="39" t="s">
        <v>362</v>
      </c>
      <c r="B21" s="35" t="s">
        <v>313</v>
      </c>
      <c r="C21" s="35" t="s">
        <v>363</v>
      </c>
      <c r="D21" s="42" t="s">
        <v>364</v>
      </c>
      <c r="E21" s="25" t="s">
        <v>316</v>
      </c>
    </row>
    <row r="22" spans="1:5">
      <c r="A22" s="39" t="s">
        <v>365</v>
      </c>
      <c r="B22" s="35" t="s">
        <v>313</v>
      </c>
      <c r="C22" s="35" t="s">
        <v>366</v>
      </c>
      <c r="D22" s="42" t="s">
        <v>367</v>
      </c>
      <c r="E22" s="25" t="s">
        <v>316</v>
      </c>
    </row>
    <row r="23" spans="1:5">
      <c r="A23" s="39" t="s">
        <v>368</v>
      </c>
      <c r="B23" s="35" t="s">
        <v>313</v>
      </c>
      <c r="C23" s="35" t="s">
        <v>369</v>
      </c>
      <c r="D23" s="42" t="s">
        <v>370</v>
      </c>
      <c r="E23" s="25" t="s">
        <v>316</v>
      </c>
    </row>
    <row r="24" spans="1:5">
      <c r="A24" s="39" t="s">
        <v>371</v>
      </c>
      <c r="B24" s="35" t="s">
        <v>313</v>
      </c>
      <c r="C24" s="35" t="s">
        <v>372</v>
      </c>
      <c r="D24" s="42" t="s">
        <v>373</v>
      </c>
      <c r="E24" s="25" t="s">
        <v>316</v>
      </c>
    </row>
    <row r="25" spans="1:5">
      <c r="A25" s="39" t="s">
        <v>374</v>
      </c>
      <c r="B25" s="35" t="s">
        <v>313</v>
      </c>
      <c r="C25" s="35" t="s">
        <v>375</v>
      </c>
      <c r="D25" s="42" t="s">
        <v>376</v>
      </c>
      <c r="E25" s="25" t="s">
        <v>316</v>
      </c>
    </row>
    <row r="26" spans="1:5">
      <c r="A26" s="39" t="s">
        <v>377</v>
      </c>
      <c r="B26" s="35" t="s">
        <v>313</v>
      </c>
      <c r="C26" s="35" t="s">
        <v>378</v>
      </c>
      <c r="D26" s="42" t="s">
        <v>379</v>
      </c>
      <c r="E26" s="25" t="s">
        <v>316</v>
      </c>
    </row>
    <row r="27" spans="1:5">
      <c r="A27" s="39" t="s">
        <v>380</v>
      </c>
      <c r="B27" s="35" t="s">
        <v>313</v>
      </c>
      <c r="C27" s="35" t="s">
        <v>381</v>
      </c>
      <c r="D27" s="42" t="s">
        <v>382</v>
      </c>
      <c r="E27" s="25" t="s">
        <v>316</v>
      </c>
    </row>
    <row r="28" spans="1:5">
      <c r="A28" s="39" t="s">
        <v>383</v>
      </c>
      <c r="B28" s="35" t="s">
        <v>313</v>
      </c>
      <c r="C28" s="35" t="s">
        <v>384</v>
      </c>
      <c r="D28" s="42" t="s">
        <v>385</v>
      </c>
      <c r="E28" s="25" t="s">
        <v>316</v>
      </c>
    </row>
    <row r="29" spans="1:5">
      <c r="A29" s="39" t="s">
        <v>386</v>
      </c>
      <c r="B29" s="35" t="s">
        <v>313</v>
      </c>
      <c r="C29" s="35" t="s">
        <v>387</v>
      </c>
      <c r="D29" s="42" t="s">
        <v>388</v>
      </c>
      <c r="E29" s="25" t="s">
        <v>316</v>
      </c>
    </row>
    <row r="30" spans="1:5">
      <c r="A30" s="39" t="s">
        <v>389</v>
      </c>
      <c r="B30" s="35" t="s">
        <v>313</v>
      </c>
      <c r="C30" s="35" t="s">
        <v>390</v>
      </c>
      <c r="D30" s="42" t="s">
        <v>391</v>
      </c>
      <c r="E30" s="25" t="s">
        <v>316</v>
      </c>
    </row>
    <row r="31" spans="1:5">
      <c r="A31" s="39" t="s">
        <v>392</v>
      </c>
      <c r="B31" s="35" t="s">
        <v>313</v>
      </c>
      <c r="C31" s="35" t="s">
        <v>393</v>
      </c>
      <c r="D31" s="42" t="s">
        <v>394</v>
      </c>
      <c r="E31" s="25" t="s">
        <v>316</v>
      </c>
    </row>
    <row r="32" spans="1:5">
      <c r="A32" s="39" t="s">
        <v>395</v>
      </c>
      <c r="B32" s="35" t="s">
        <v>313</v>
      </c>
      <c r="C32" s="35" t="s">
        <v>396</v>
      </c>
      <c r="D32" s="42" t="s">
        <v>397</v>
      </c>
      <c r="E32" s="25" t="s">
        <v>316</v>
      </c>
    </row>
    <row r="33" spans="1:5">
      <c r="A33" s="39" t="s">
        <v>398</v>
      </c>
      <c r="B33" s="35" t="s">
        <v>313</v>
      </c>
      <c r="C33" s="35" t="s">
        <v>399</v>
      </c>
      <c r="D33" s="42" t="s">
        <v>400</v>
      </c>
      <c r="E33" s="25" t="s">
        <v>316</v>
      </c>
    </row>
    <row r="34" spans="1:5">
      <c r="A34" s="39" t="s">
        <v>401</v>
      </c>
      <c r="B34" s="35" t="s">
        <v>313</v>
      </c>
      <c r="C34" s="35" t="s">
        <v>402</v>
      </c>
      <c r="D34" s="42" t="s">
        <v>403</v>
      </c>
      <c r="E34" s="25" t="s">
        <v>316</v>
      </c>
    </row>
    <row r="35" spans="1:5">
      <c r="A35" s="39" t="s">
        <v>404</v>
      </c>
      <c r="B35" s="35" t="s">
        <v>313</v>
      </c>
      <c r="C35" s="35" t="s">
        <v>405</v>
      </c>
      <c r="D35" s="42" t="s">
        <v>406</v>
      </c>
      <c r="E35" s="25" t="s">
        <v>316</v>
      </c>
    </row>
    <row r="36" spans="1:5">
      <c r="A36" s="39" t="s">
        <v>407</v>
      </c>
      <c r="B36" s="35" t="s">
        <v>313</v>
      </c>
      <c r="C36" s="35" t="s">
        <v>408</v>
      </c>
      <c r="D36" s="42" t="s">
        <v>409</v>
      </c>
      <c r="E36" s="25" t="s">
        <v>316</v>
      </c>
    </row>
    <row r="37" spans="1:5">
      <c r="A37" s="39" t="s">
        <v>410</v>
      </c>
      <c r="B37" s="35" t="s">
        <v>313</v>
      </c>
      <c r="C37" s="35" t="s">
        <v>411</v>
      </c>
      <c r="D37" s="42" t="s">
        <v>412</v>
      </c>
      <c r="E37" s="25" t="s">
        <v>316</v>
      </c>
    </row>
    <row r="38" spans="1:5">
      <c r="A38" s="39" t="s">
        <v>413</v>
      </c>
      <c r="B38" s="35" t="s">
        <v>313</v>
      </c>
      <c r="C38" s="35" t="s">
        <v>414</v>
      </c>
      <c r="D38" s="42" t="s">
        <v>415</v>
      </c>
      <c r="E38" s="25" t="s">
        <v>316</v>
      </c>
    </row>
    <row r="39" spans="1:5">
      <c r="A39" s="39" t="s">
        <v>416</v>
      </c>
      <c r="B39" s="35" t="s">
        <v>313</v>
      </c>
      <c r="C39" s="35" t="s">
        <v>417</v>
      </c>
      <c r="D39" s="42" t="s">
        <v>418</v>
      </c>
      <c r="E39" s="25" t="s">
        <v>316</v>
      </c>
    </row>
    <row r="40" spans="1:5">
      <c r="A40" s="39" t="s">
        <v>419</v>
      </c>
      <c r="B40" s="35" t="s">
        <v>313</v>
      </c>
      <c r="C40" s="35" t="s">
        <v>420</v>
      </c>
      <c r="D40" s="42" t="s">
        <v>421</v>
      </c>
      <c r="E40" s="25" t="s">
        <v>316</v>
      </c>
    </row>
    <row r="41" spans="1:5">
      <c r="A41" s="39" t="s">
        <v>422</v>
      </c>
      <c r="B41" s="35" t="s">
        <v>313</v>
      </c>
      <c r="C41" s="35" t="s">
        <v>423</v>
      </c>
      <c r="D41" s="42" t="s">
        <v>424</v>
      </c>
      <c r="E41" s="25" t="s">
        <v>316</v>
      </c>
    </row>
    <row r="42" spans="1:5">
      <c r="A42" s="39" t="s">
        <v>425</v>
      </c>
      <c r="B42" s="35" t="s">
        <v>426</v>
      </c>
      <c r="C42" s="35" t="s">
        <v>427</v>
      </c>
      <c r="D42" s="42" t="s">
        <v>428</v>
      </c>
      <c r="E42" s="25" t="s">
        <v>429</v>
      </c>
    </row>
    <row r="43" spans="1:5">
      <c r="A43" s="39" t="s">
        <v>430</v>
      </c>
      <c r="B43" s="35" t="s">
        <v>426</v>
      </c>
      <c r="C43" s="35" t="s">
        <v>431</v>
      </c>
      <c r="D43" s="42" t="s">
        <v>432</v>
      </c>
      <c r="E43" s="25" t="s">
        <v>429</v>
      </c>
    </row>
    <row r="44" spans="1:5">
      <c r="A44" s="39" t="s">
        <v>433</v>
      </c>
      <c r="B44" s="35" t="s">
        <v>426</v>
      </c>
      <c r="C44" s="35" t="s">
        <v>434</v>
      </c>
      <c r="D44" s="42" t="s">
        <v>435</v>
      </c>
      <c r="E44" s="25" t="s">
        <v>429</v>
      </c>
    </row>
    <row r="45" spans="1:5">
      <c r="A45" s="39" t="s">
        <v>436</v>
      </c>
      <c r="B45" s="35" t="s">
        <v>426</v>
      </c>
      <c r="C45" s="35" t="s">
        <v>437</v>
      </c>
      <c r="D45" s="42" t="s">
        <v>438</v>
      </c>
      <c r="E45" s="25" t="s">
        <v>439</v>
      </c>
    </row>
    <row r="46" spans="1:5">
      <c r="A46" s="39" t="s">
        <v>440</v>
      </c>
      <c r="B46" s="35" t="s">
        <v>426</v>
      </c>
      <c r="C46" s="35" t="s">
        <v>441</v>
      </c>
      <c r="D46" s="42" t="s">
        <v>442</v>
      </c>
      <c r="E46" s="25" t="s">
        <v>439</v>
      </c>
    </row>
    <row r="47" spans="1:5">
      <c r="A47" s="39" t="s">
        <v>443</v>
      </c>
      <c r="B47" s="35" t="s">
        <v>426</v>
      </c>
      <c r="C47" s="35" t="s">
        <v>444</v>
      </c>
      <c r="D47" s="42" t="s">
        <v>445</v>
      </c>
      <c r="E47" s="25" t="s">
        <v>439</v>
      </c>
    </row>
    <row r="48" spans="1:5">
      <c r="A48" s="39" t="s">
        <v>446</v>
      </c>
      <c r="B48" s="35" t="s">
        <v>426</v>
      </c>
      <c r="C48" s="35" t="s">
        <v>447</v>
      </c>
      <c r="D48" s="42" t="s">
        <v>448</v>
      </c>
      <c r="E48" s="25" t="s">
        <v>449</v>
      </c>
    </row>
    <row r="49" spans="1:5">
      <c r="A49" s="39" t="s">
        <v>450</v>
      </c>
      <c r="B49" s="35" t="s">
        <v>426</v>
      </c>
      <c r="C49" s="35" t="s">
        <v>451</v>
      </c>
      <c r="D49" s="42" t="s">
        <v>452</v>
      </c>
      <c r="E49" s="25" t="s">
        <v>449</v>
      </c>
    </row>
    <row r="50" spans="1:5">
      <c r="A50" s="39" t="s">
        <v>453</v>
      </c>
      <c r="B50" s="35" t="s">
        <v>426</v>
      </c>
      <c r="C50" s="35" t="s">
        <v>454</v>
      </c>
      <c r="D50" s="42" t="s">
        <v>455</v>
      </c>
      <c r="E50" s="25" t="s">
        <v>456</v>
      </c>
    </row>
    <row r="51" spans="1:5">
      <c r="A51" s="39" t="s">
        <v>457</v>
      </c>
      <c r="B51" s="35" t="s">
        <v>426</v>
      </c>
      <c r="C51" s="35" t="s">
        <v>458</v>
      </c>
      <c r="D51" s="42" t="s">
        <v>459</v>
      </c>
      <c r="E51" s="25" t="s">
        <v>456</v>
      </c>
    </row>
    <row r="52" spans="1:5">
      <c r="A52" s="39" t="s">
        <v>460</v>
      </c>
      <c r="B52" s="35" t="s">
        <v>426</v>
      </c>
      <c r="C52" s="35" t="s">
        <v>461</v>
      </c>
      <c r="D52" s="42" t="s">
        <v>462</v>
      </c>
      <c r="E52" s="25" t="s">
        <v>463</v>
      </c>
    </row>
    <row r="53" spans="1:5">
      <c r="A53" s="39" t="s">
        <v>464</v>
      </c>
      <c r="B53" s="35" t="s">
        <v>426</v>
      </c>
      <c r="C53" s="35" t="s">
        <v>465</v>
      </c>
      <c r="D53" s="42" t="s">
        <v>466</v>
      </c>
      <c r="E53" s="25" t="s">
        <v>456</v>
      </c>
    </row>
    <row r="54" spans="1:5">
      <c r="A54" s="39" t="s">
        <v>467</v>
      </c>
      <c r="B54" s="35" t="s">
        <v>426</v>
      </c>
      <c r="C54" s="35" t="s">
        <v>468</v>
      </c>
      <c r="D54" s="42" t="s">
        <v>469</v>
      </c>
      <c r="E54" s="25" t="s">
        <v>470</v>
      </c>
    </row>
    <row r="55" spans="1:5">
      <c r="A55" s="39" t="s">
        <v>471</v>
      </c>
      <c r="B55" s="35" t="s">
        <v>426</v>
      </c>
      <c r="C55" s="35" t="s">
        <v>472</v>
      </c>
      <c r="D55" s="42" t="s">
        <v>473</v>
      </c>
      <c r="E55" s="25" t="s">
        <v>474</v>
      </c>
    </row>
    <row r="56" spans="1:5">
      <c r="A56" s="39" t="s">
        <v>475</v>
      </c>
      <c r="B56" s="35" t="s">
        <v>426</v>
      </c>
      <c r="C56" s="35" t="s">
        <v>476</v>
      </c>
      <c r="D56" s="42" t="s">
        <v>477</v>
      </c>
      <c r="E56" s="25" t="s">
        <v>474</v>
      </c>
    </row>
    <row r="57" spans="1:5">
      <c r="A57" s="39" t="s">
        <v>478</v>
      </c>
      <c r="B57" s="35" t="s">
        <v>426</v>
      </c>
      <c r="C57" s="35" t="s">
        <v>479</v>
      </c>
      <c r="D57" s="42" t="s">
        <v>480</v>
      </c>
      <c r="E57" s="25" t="s">
        <v>474</v>
      </c>
    </row>
    <row r="58" spans="1:5">
      <c r="A58" s="39" t="s">
        <v>481</v>
      </c>
      <c r="B58" s="35" t="s">
        <v>426</v>
      </c>
      <c r="C58" s="35" t="s">
        <v>482</v>
      </c>
      <c r="D58" s="42" t="s">
        <v>483</v>
      </c>
      <c r="E58" s="25" t="s">
        <v>474</v>
      </c>
    </row>
    <row r="59" spans="1:5">
      <c r="A59" s="39" t="s">
        <v>484</v>
      </c>
      <c r="B59" s="35" t="s">
        <v>485</v>
      </c>
      <c r="C59" s="35" t="s">
        <v>486</v>
      </c>
      <c r="D59" s="42" t="s">
        <v>487</v>
      </c>
      <c r="E59" s="25" t="s">
        <v>488</v>
      </c>
    </row>
    <row r="60" spans="1:5">
      <c r="A60" s="39" t="s">
        <v>489</v>
      </c>
      <c r="B60" s="35" t="s">
        <v>485</v>
      </c>
      <c r="C60" s="35" t="s">
        <v>490</v>
      </c>
      <c r="D60" s="42" t="s">
        <v>491</v>
      </c>
      <c r="E60" s="25" t="s">
        <v>488</v>
      </c>
    </row>
    <row r="61" spans="1:5">
      <c r="A61" s="39" t="s">
        <v>492</v>
      </c>
      <c r="B61" s="35" t="s">
        <v>485</v>
      </c>
      <c r="C61" s="35" t="s">
        <v>493</v>
      </c>
      <c r="D61" s="42" t="s">
        <v>494</v>
      </c>
      <c r="E61" s="25" t="s">
        <v>488</v>
      </c>
    </row>
    <row r="62" spans="1:5">
      <c r="A62" s="39" t="s">
        <v>495</v>
      </c>
      <c r="B62" s="35" t="s">
        <v>485</v>
      </c>
      <c r="C62" s="35" t="s">
        <v>496</v>
      </c>
      <c r="D62" s="42" t="s">
        <v>497</v>
      </c>
      <c r="E62" s="25" t="s">
        <v>488</v>
      </c>
    </row>
    <row r="63" spans="1:5">
      <c r="A63" s="39" t="s">
        <v>498</v>
      </c>
      <c r="B63" s="35" t="s">
        <v>485</v>
      </c>
      <c r="C63" s="35" t="s">
        <v>499</v>
      </c>
      <c r="D63" s="42" t="s">
        <v>500</v>
      </c>
      <c r="E63" s="25" t="s">
        <v>488</v>
      </c>
    </row>
    <row r="64" spans="1:5">
      <c r="A64" s="39" t="s">
        <v>501</v>
      </c>
      <c r="B64" s="35" t="s">
        <v>485</v>
      </c>
      <c r="C64" s="35" t="s">
        <v>502</v>
      </c>
      <c r="D64" s="42" t="s">
        <v>503</v>
      </c>
      <c r="E64" s="25" t="s">
        <v>488</v>
      </c>
    </row>
    <row r="65" spans="1:5">
      <c r="A65" s="39" t="s">
        <v>504</v>
      </c>
      <c r="B65" s="35" t="s">
        <v>485</v>
      </c>
      <c r="C65" s="35" t="s">
        <v>505</v>
      </c>
      <c r="D65" s="42" t="s">
        <v>506</v>
      </c>
      <c r="E65" s="25" t="s">
        <v>488</v>
      </c>
    </row>
    <row r="66" spans="1:5">
      <c r="A66" s="39" t="s">
        <v>507</v>
      </c>
      <c r="B66" s="35" t="s">
        <v>485</v>
      </c>
      <c r="C66" s="35" t="s">
        <v>508</v>
      </c>
      <c r="D66" s="42" t="s">
        <v>509</v>
      </c>
      <c r="E66" s="25" t="s">
        <v>488</v>
      </c>
    </row>
    <row r="67" spans="1:5">
      <c r="A67" s="39" t="s">
        <v>510</v>
      </c>
      <c r="B67" s="35" t="s">
        <v>485</v>
      </c>
      <c r="C67" s="35" t="s">
        <v>511</v>
      </c>
      <c r="D67" s="42" t="s">
        <v>512</v>
      </c>
      <c r="E67" s="25" t="s">
        <v>488</v>
      </c>
    </row>
    <row r="68" spans="1:5">
      <c r="A68" s="39" t="s">
        <v>513</v>
      </c>
      <c r="B68" s="35" t="s">
        <v>485</v>
      </c>
      <c r="C68" s="35" t="s">
        <v>514</v>
      </c>
      <c r="D68" s="42" t="s">
        <v>515</v>
      </c>
      <c r="E68" s="25" t="s">
        <v>488</v>
      </c>
    </row>
    <row r="69" spans="1:5">
      <c r="A69" s="39" t="s">
        <v>516</v>
      </c>
      <c r="B69" s="35" t="s">
        <v>485</v>
      </c>
      <c r="C69" s="35" t="s">
        <v>517</v>
      </c>
      <c r="D69" s="42" t="s">
        <v>518</v>
      </c>
      <c r="E69" s="25" t="s">
        <v>488</v>
      </c>
    </row>
    <row r="70" spans="1:5">
      <c r="A70" s="39" t="s">
        <v>519</v>
      </c>
      <c r="B70" s="35" t="s">
        <v>485</v>
      </c>
      <c r="C70" s="35" t="s">
        <v>520</v>
      </c>
      <c r="D70" s="42" t="s">
        <v>521</v>
      </c>
      <c r="E70" s="25" t="s">
        <v>488</v>
      </c>
    </row>
    <row r="71" spans="1:5">
      <c r="A71" s="39" t="s">
        <v>522</v>
      </c>
      <c r="B71" s="35" t="s">
        <v>485</v>
      </c>
      <c r="C71" s="35" t="s">
        <v>523</v>
      </c>
      <c r="D71" s="42" t="s">
        <v>524</v>
      </c>
      <c r="E71" s="25" t="s">
        <v>488</v>
      </c>
    </row>
    <row r="72" spans="1:5">
      <c r="A72" s="39" t="s">
        <v>525</v>
      </c>
      <c r="B72" s="35" t="s">
        <v>485</v>
      </c>
      <c r="C72" s="35" t="s">
        <v>526</v>
      </c>
      <c r="D72" s="42" t="s">
        <v>527</v>
      </c>
      <c r="E72" s="25" t="s">
        <v>488</v>
      </c>
    </row>
    <row r="73" spans="1:5">
      <c r="A73" s="39" t="s">
        <v>528</v>
      </c>
      <c r="B73" s="35" t="s">
        <v>485</v>
      </c>
      <c r="C73" s="35" t="s">
        <v>529</v>
      </c>
      <c r="D73" s="42" t="s">
        <v>530</v>
      </c>
      <c r="E73" s="25" t="s">
        <v>488</v>
      </c>
    </row>
    <row r="74" spans="1:5">
      <c r="A74" s="39" t="s">
        <v>531</v>
      </c>
      <c r="B74" s="35" t="s">
        <v>485</v>
      </c>
      <c r="C74" s="35" t="s">
        <v>532</v>
      </c>
      <c r="D74" s="42" t="s">
        <v>533</v>
      </c>
      <c r="E74" s="25" t="s">
        <v>488</v>
      </c>
    </row>
    <row r="75" spans="1:5">
      <c r="A75" s="39" t="s">
        <v>534</v>
      </c>
      <c r="B75" s="35" t="s">
        <v>485</v>
      </c>
      <c r="C75" s="35" t="s">
        <v>535</v>
      </c>
      <c r="D75" s="42" t="s">
        <v>536</v>
      </c>
      <c r="E75" s="25" t="s">
        <v>488</v>
      </c>
    </row>
    <row r="76" spans="1:5">
      <c r="A76" s="39" t="s">
        <v>537</v>
      </c>
      <c r="B76" s="35" t="s">
        <v>485</v>
      </c>
      <c r="C76" s="35" t="s">
        <v>538</v>
      </c>
      <c r="D76" s="42" t="s">
        <v>539</v>
      </c>
      <c r="E76" s="25" t="s">
        <v>488</v>
      </c>
    </row>
    <row r="77" spans="1:5">
      <c r="A77" s="39" t="s">
        <v>540</v>
      </c>
      <c r="B77" s="35" t="s">
        <v>485</v>
      </c>
      <c r="C77" s="35" t="s">
        <v>541</v>
      </c>
      <c r="D77" s="42" t="s">
        <v>542</v>
      </c>
      <c r="E77" s="25" t="s">
        <v>488</v>
      </c>
    </row>
    <row r="78" spans="1:5">
      <c r="A78" s="39" t="s">
        <v>543</v>
      </c>
      <c r="B78" s="35" t="s">
        <v>485</v>
      </c>
      <c r="C78" s="35" t="s">
        <v>544</v>
      </c>
      <c r="D78" s="42" t="s">
        <v>545</v>
      </c>
      <c r="E78" s="25" t="s">
        <v>488</v>
      </c>
    </row>
    <row r="79" spans="1:5">
      <c r="A79" s="39" t="s">
        <v>292</v>
      </c>
      <c r="B79" s="35" t="s">
        <v>485</v>
      </c>
      <c r="C79" s="35" t="s">
        <v>293</v>
      </c>
      <c r="D79" s="42" t="s">
        <v>546</v>
      </c>
      <c r="E79" s="25" t="s">
        <v>488</v>
      </c>
    </row>
    <row r="80" spans="1:5">
      <c r="A80" s="39" t="s">
        <v>547</v>
      </c>
      <c r="B80" s="35" t="s">
        <v>485</v>
      </c>
      <c r="C80" s="35" t="s">
        <v>548</v>
      </c>
      <c r="D80" s="42" t="s">
        <v>549</v>
      </c>
      <c r="E80" s="25" t="s">
        <v>488</v>
      </c>
    </row>
    <row r="81" spans="1:5">
      <c r="A81" s="39" t="s">
        <v>550</v>
      </c>
      <c r="B81" s="35" t="s">
        <v>485</v>
      </c>
      <c r="C81" s="35" t="s">
        <v>551</v>
      </c>
      <c r="D81" s="42" t="s">
        <v>552</v>
      </c>
      <c r="E81" s="25" t="s">
        <v>488</v>
      </c>
    </row>
    <row r="82" spans="1:5">
      <c r="A82" s="39" t="s">
        <v>553</v>
      </c>
      <c r="B82" s="35" t="s">
        <v>485</v>
      </c>
      <c r="C82" s="35" t="s">
        <v>554</v>
      </c>
      <c r="D82" s="42" t="s">
        <v>555</v>
      </c>
      <c r="E82" s="25" t="s">
        <v>488</v>
      </c>
    </row>
    <row r="83" spans="1:5">
      <c r="A83" s="39" t="s">
        <v>556</v>
      </c>
      <c r="B83" s="35" t="s">
        <v>485</v>
      </c>
      <c r="C83" s="35" t="s">
        <v>557</v>
      </c>
      <c r="D83" s="42" t="s">
        <v>558</v>
      </c>
      <c r="E83" s="25" t="s">
        <v>488</v>
      </c>
    </row>
    <row r="84" spans="1:5">
      <c r="A84" s="40" t="s">
        <v>559</v>
      </c>
      <c r="B84" s="36" t="s">
        <v>485</v>
      </c>
      <c r="C84" s="36" t="s">
        <v>560</v>
      </c>
      <c r="D84" s="43" t="s">
        <v>561</v>
      </c>
      <c r="E84" s="26" t="s">
        <v>488</v>
      </c>
    </row>
    <row r="85" spans="1:5">
      <c r="A85" s="41" t="s">
        <v>562</v>
      </c>
      <c r="B85" s="33" t="s">
        <v>563</v>
      </c>
      <c r="C85" s="33" t="s">
        <v>564</v>
      </c>
      <c r="D85" s="44" t="s">
        <v>565</v>
      </c>
      <c r="E85" s="45" t="s">
        <v>566</v>
      </c>
    </row>
    <row r="86" spans="1:5">
      <c r="A86" s="41" t="s">
        <v>567</v>
      </c>
      <c r="B86" s="33" t="s">
        <v>563</v>
      </c>
      <c r="C86" s="33" t="s">
        <v>568</v>
      </c>
      <c r="D86" s="44" t="s">
        <v>569</v>
      </c>
      <c r="E86" s="45" t="s">
        <v>570</v>
      </c>
    </row>
    <row r="87" spans="1:5">
      <c r="A87" s="41" t="s">
        <v>571</v>
      </c>
      <c r="B87" s="33" t="s">
        <v>563</v>
      </c>
      <c r="C87" s="33" t="s">
        <v>572</v>
      </c>
      <c r="D87" s="44" t="s">
        <v>265</v>
      </c>
      <c r="E87" s="45" t="s">
        <v>573</v>
      </c>
    </row>
    <row r="88" spans="1:5">
      <c r="A88" s="41" t="s">
        <v>574</v>
      </c>
      <c r="B88" s="33" t="s">
        <v>563</v>
      </c>
      <c r="C88" s="33" t="s">
        <v>575</v>
      </c>
      <c r="D88" s="44" t="s">
        <v>266</v>
      </c>
      <c r="E88" s="45" t="s">
        <v>576</v>
      </c>
    </row>
    <row r="89" spans="1:5">
      <c r="A89" s="41" t="s">
        <v>577</v>
      </c>
      <c r="B89" s="33" t="s">
        <v>563</v>
      </c>
      <c r="C89" s="33" t="s">
        <v>578</v>
      </c>
      <c r="D89" s="44" t="s">
        <v>579</v>
      </c>
      <c r="E89" s="45" t="s">
        <v>580</v>
      </c>
    </row>
    <row r="90" spans="1:5">
      <c r="A90" s="41" t="s">
        <v>581</v>
      </c>
      <c r="B90" s="33" t="s">
        <v>563</v>
      </c>
      <c r="C90" s="33" t="s">
        <v>582</v>
      </c>
      <c r="D90" s="44" t="s">
        <v>264</v>
      </c>
      <c r="E90" s="45" t="s">
        <v>583</v>
      </c>
    </row>
    <row r="91" spans="1:5">
      <c r="A91" s="41" t="s">
        <v>584</v>
      </c>
      <c r="B91" s="33" t="s">
        <v>563</v>
      </c>
      <c r="C91" s="33" t="s">
        <v>585</v>
      </c>
      <c r="D91" s="44" t="s">
        <v>586</v>
      </c>
      <c r="E91" s="45" t="s">
        <v>587</v>
      </c>
    </row>
    <row r="92" spans="1:5">
      <c r="A92" s="41" t="s">
        <v>588</v>
      </c>
      <c r="B92" s="33" t="s">
        <v>563</v>
      </c>
      <c r="C92" s="33" t="s">
        <v>589</v>
      </c>
      <c r="D92" s="44" t="s">
        <v>590</v>
      </c>
      <c r="E92" s="45" t="s">
        <v>591</v>
      </c>
    </row>
    <row r="93" spans="1:5">
      <c r="A93" s="41" t="s">
        <v>592</v>
      </c>
      <c r="B93" s="33" t="s">
        <v>563</v>
      </c>
      <c r="C93" s="33" t="s">
        <v>593</v>
      </c>
      <c r="D93" s="44" t="s">
        <v>594</v>
      </c>
      <c r="E93" s="45" t="s">
        <v>595</v>
      </c>
    </row>
    <row r="94" spans="1:5">
      <c r="A94" s="41" t="s">
        <v>596</v>
      </c>
      <c r="B94" s="33" t="s">
        <v>563</v>
      </c>
      <c r="C94" s="33" t="s">
        <v>597</v>
      </c>
      <c r="D94" s="44" t="s">
        <v>598</v>
      </c>
      <c r="E94" s="45" t="s">
        <v>599</v>
      </c>
    </row>
    <row r="95" spans="1:5">
      <c r="A95" s="41" t="s">
        <v>600</v>
      </c>
      <c r="B95" s="33" t="s">
        <v>563</v>
      </c>
      <c r="C95" s="33" t="s">
        <v>601</v>
      </c>
      <c r="D95" s="44" t="s">
        <v>268</v>
      </c>
      <c r="E95" s="45" t="s">
        <v>602</v>
      </c>
    </row>
    <row r="96" spans="1:5">
      <c r="A96" s="41" t="s">
        <v>603</v>
      </c>
      <c r="B96" s="33" t="s">
        <v>563</v>
      </c>
      <c r="C96" s="33" t="s">
        <v>604</v>
      </c>
      <c r="D96" s="44" t="s">
        <v>267</v>
      </c>
      <c r="E96" s="45" t="s">
        <v>605</v>
      </c>
    </row>
    <row r="97" spans="1:5">
      <c r="A97" s="41" t="s">
        <v>606</v>
      </c>
      <c r="B97" s="33" t="s">
        <v>607</v>
      </c>
      <c r="C97" s="33" t="s">
        <v>608</v>
      </c>
      <c r="D97" s="44" t="s">
        <v>609</v>
      </c>
      <c r="E97" s="45" t="s">
        <v>610</v>
      </c>
    </row>
    <row r="98" spans="1:5">
      <c r="A98" s="41" t="s">
        <v>611</v>
      </c>
      <c r="B98" s="33" t="s">
        <v>607</v>
      </c>
      <c r="C98" s="33" t="s">
        <v>612</v>
      </c>
      <c r="D98" s="44" t="s">
        <v>613</v>
      </c>
      <c r="E98" s="45" t="s">
        <v>614</v>
      </c>
    </row>
    <row r="99" spans="1:5">
      <c r="A99" s="41" t="s">
        <v>615</v>
      </c>
      <c r="B99" s="33" t="s">
        <v>607</v>
      </c>
      <c r="C99" s="33" t="s">
        <v>616</v>
      </c>
      <c r="D99" s="44" t="s">
        <v>617</v>
      </c>
      <c r="E99" s="45" t="s">
        <v>618</v>
      </c>
    </row>
    <row r="100" spans="1:5">
      <c r="A100" s="41" t="s">
        <v>619</v>
      </c>
      <c r="B100" s="33" t="s">
        <v>607</v>
      </c>
      <c r="C100" s="33" t="s">
        <v>620</v>
      </c>
      <c r="D100" s="44" t="s">
        <v>621</v>
      </c>
      <c r="E100" s="45" t="s">
        <v>622</v>
      </c>
    </row>
    <row r="101" spans="1:5">
      <c r="A101" s="41" t="s">
        <v>623</v>
      </c>
      <c r="B101" s="33" t="s">
        <v>607</v>
      </c>
      <c r="C101" s="33" t="s">
        <v>624</v>
      </c>
      <c r="D101" s="44" t="s">
        <v>274</v>
      </c>
      <c r="E101" s="45" t="s">
        <v>625</v>
      </c>
    </row>
    <row r="102" spans="1:5">
      <c r="A102" s="41" t="s">
        <v>626</v>
      </c>
      <c r="B102" s="33" t="s">
        <v>607</v>
      </c>
      <c r="C102" s="33" t="s">
        <v>627</v>
      </c>
      <c r="D102" s="44" t="s">
        <v>628</v>
      </c>
      <c r="E102" s="45" t="s">
        <v>629</v>
      </c>
    </row>
    <row r="103" spans="1:5">
      <c r="A103" s="41" t="s">
        <v>630</v>
      </c>
      <c r="B103" s="33" t="s">
        <v>607</v>
      </c>
      <c r="C103" s="33" t="s">
        <v>631</v>
      </c>
      <c r="D103" s="44" t="s">
        <v>632</v>
      </c>
      <c r="E103" s="45" t="s">
        <v>633</v>
      </c>
    </row>
    <row r="104" spans="1:5">
      <c r="A104" s="41" t="s">
        <v>634</v>
      </c>
      <c r="B104" s="33" t="s">
        <v>607</v>
      </c>
      <c r="C104" s="33" t="s">
        <v>635</v>
      </c>
      <c r="D104" s="44" t="s">
        <v>636</v>
      </c>
      <c r="E104" s="45" t="s">
        <v>637</v>
      </c>
    </row>
    <row r="105" spans="1:5">
      <c r="A105" s="41" t="s">
        <v>638</v>
      </c>
      <c r="B105" s="33" t="s">
        <v>607</v>
      </c>
      <c r="C105" s="33" t="s">
        <v>639</v>
      </c>
      <c r="D105" s="44" t="s">
        <v>640</v>
      </c>
      <c r="E105" s="45" t="s">
        <v>641</v>
      </c>
    </row>
    <row r="106" spans="1:5">
      <c r="A106" s="41" t="s">
        <v>642</v>
      </c>
      <c r="B106" s="33" t="s">
        <v>607</v>
      </c>
      <c r="C106" s="33" t="s">
        <v>643</v>
      </c>
      <c r="D106" s="44" t="s">
        <v>644</v>
      </c>
      <c r="E106" s="45" t="s">
        <v>645</v>
      </c>
    </row>
    <row r="107" spans="1:5">
      <c r="A107" s="41" t="s">
        <v>646</v>
      </c>
      <c r="B107" s="33" t="s">
        <v>607</v>
      </c>
      <c r="C107" s="33" t="s">
        <v>647</v>
      </c>
      <c r="D107" s="44" t="s">
        <v>648</v>
      </c>
      <c r="E107" s="45" t="s">
        <v>649</v>
      </c>
    </row>
    <row r="108" spans="1:5">
      <c r="A108" s="41" t="s">
        <v>650</v>
      </c>
      <c r="B108" s="33" t="s">
        <v>607</v>
      </c>
      <c r="C108" s="33" t="s">
        <v>651</v>
      </c>
      <c r="D108" s="44" t="s">
        <v>652</v>
      </c>
      <c r="E108" s="45" t="s">
        <v>653</v>
      </c>
    </row>
    <row r="109" spans="1:5">
      <c r="A109" s="41" t="s">
        <v>654</v>
      </c>
      <c r="B109" s="33" t="s">
        <v>607</v>
      </c>
      <c r="C109" s="33" t="s">
        <v>655</v>
      </c>
      <c r="D109" s="44" t="s">
        <v>656</v>
      </c>
      <c r="E109" s="45" t="s">
        <v>657</v>
      </c>
    </row>
    <row r="110" spans="1:5">
      <c r="A110" s="41" t="s">
        <v>658</v>
      </c>
      <c r="B110" s="33" t="s">
        <v>607</v>
      </c>
      <c r="C110" s="33" t="s">
        <v>659</v>
      </c>
      <c r="D110" s="44" t="s">
        <v>275</v>
      </c>
      <c r="E110" s="45" t="s">
        <v>660</v>
      </c>
    </row>
    <row r="111" spans="1:5">
      <c r="A111" s="41" t="s">
        <v>661</v>
      </c>
      <c r="B111" s="33" t="s">
        <v>607</v>
      </c>
      <c r="C111" s="33" t="s">
        <v>662</v>
      </c>
      <c r="D111" s="44" t="s">
        <v>271</v>
      </c>
      <c r="E111" s="45" t="s">
        <v>663</v>
      </c>
    </row>
    <row r="112" spans="1:5">
      <c r="A112" s="41" t="s">
        <v>664</v>
      </c>
      <c r="B112" s="33" t="s">
        <v>607</v>
      </c>
      <c r="C112" s="33" t="s">
        <v>665</v>
      </c>
      <c r="D112" s="44" t="s">
        <v>270</v>
      </c>
      <c r="E112" s="45" t="s">
        <v>666</v>
      </c>
    </row>
    <row r="113" spans="1:5">
      <c r="A113" s="41" t="s">
        <v>667</v>
      </c>
      <c r="B113" s="33" t="s">
        <v>607</v>
      </c>
      <c r="C113" s="33" t="s">
        <v>668</v>
      </c>
      <c r="D113" s="44" t="s">
        <v>669</v>
      </c>
      <c r="E113" s="45" t="s">
        <v>670</v>
      </c>
    </row>
    <row r="114" spans="1:5">
      <c r="A114" s="41" t="s">
        <v>671</v>
      </c>
      <c r="B114" s="33" t="s">
        <v>607</v>
      </c>
      <c r="C114" s="33" t="s">
        <v>672</v>
      </c>
      <c r="D114" s="44" t="s">
        <v>273</v>
      </c>
      <c r="E114" s="45" t="s">
        <v>673</v>
      </c>
    </row>
    <row r="115" spans="1:5">
      <c r="A115" s="41" t="s">
        <v>674</v>
      </c>
      <c r="B115" s="33" t="s">
        <v>607</v>
      </c>
      <c r="C115" s="33" t="s">
        <v>675</v>
      </c>
      <c r="D115" s="44" t="s">
        <v>272</v>
      </c>
      <c r="E115" s="45" t="s">
        <v>676</v>
      </c>
    </row>
    <row r="116" spans="1:5">
      <c r="A116" s="41" t="s">
        <v>677</v>
      </c>
      <c r="B116" s="33" t="s">
        <v>607</v>
      </c>
      <c r="C116" s="33" t="s">
        <v>678</v>
      </c>
      <c r="D116" s="44" t="s">
        <v>269</v>
      </c>
      <c r="E116" s="45" t="s">
        <v>679</v>
      </c>
    </row>
    <row r="117" spans="1:5">
      <c r="A117" s="41" t="s">
        <v>680</v>
      </c>
      <c r="B117" s="33" t="s">
        <v>681</v>
      </c>
      <c r="C117" s="33" t="s">
        <v>682</v>
      </c>
      <c r="D117" s="44" t="s">
        <v>276</v>
      </c>
      <c r="E117" s="45" t="s">
        <v>683</v>
      </c>
    </row>
    <row r="118" spans="1:5">
      <c r="A118" s="41" t="s">
        <v>684</v>
      </c>
      <c r="B118" s="33" t="s">
        <v>681</v>
      </c>
      <c r="C118" s="33" t="s">
        <v>685</v>
      </c>
      <c r="D118" s="44" t="s">
        <v>277</v>
      </c>
      <c r="E118" s="45" t="s">
        <v>686</v>
      </c>
    </row>
    <row r="119" spans="1:5">
      <c r="A119" s="41" t="s">
        <v>687</v>
      </c>
      <c r="B119" s="33" t="s">
        <v>681</v>
      </c>
      <c r="C119" s="33" t="s">
        <v>688</v>
      </c>
      <c r="D119" s="44" t="s">
        <v>689</v>
      </c>
      <c r="E119" s="45" t="s">
        <v>690</v>
      </c>
    </row>
    <row r="120" spans="1:5">
      <c r="A120" s="41" t="s">
        <v>691</v>
      </c>
      <c r="B120" s="33" t="s">
        <v>681</v>
      </c>
      <c r="C120" s="33" t="s">
        <v>692</v>
      </c>
      <c r="D120" s="44" t="s">
        <v>278</v>
      </c>
      <c r="E120" s="45" t="s">
        <v>693</v>
      </c>
    </row>
    <row r="121" spans="1:5">
      <c r="A121" s="41" t="s">
        <v>694</v>
      </c>
      <c r="B121" s="33" t="s">
        <v>681</v>
      </c>
      <c r="C121" s="33" t="s">
        <v>695</v>
      </c>
      <c r="D121" s="44" t="s">
        <v>696</v>
      </c>
      <c r="E121" s="45" t="s">
        <v>697</v>
      </c>
    </row>
    <row r="122" spans="1:5">
      <c r="A122" s="41" t="s">
        <v>698</v>
      </c>
      <c r="B122" s="33" t="s">
        <v>681</v>
      </c>
      <c r="C122" s="33" t="s">
        <v>699</v>
      </c>
      <c r="D122" s="44" t="s">
        <v>700</v>
      </c>
      <c r="E122" s="45" t="s">
        <v>701</v>
      </c>
    </row>
    <row r="123" spans="1:5">
      <c r="A123" s="41" t="s">
        <v>702</v>
      </c>
      <c r="B123" s="33" t="s">
        <v>681</v>
      </c>
      <c r="C123" s="33" t="s">
        <v>703</v>
      </c>
      <c r="D123" s="44" t="s">
        <v>279</v>
      </c>
      <c r="E123" s="45" t="s">
        <v>704</v>
      </c>
    </row>
    <row r="124" spans="1:5">
      <c r="A124" s="41" t="s">
        <v>705</v>
      </c>
      <c r="B124" s="33" t="s">
        <v>681</v>
      </c>
      <c r="C124" s="33" t="s">
        <v>706</v>
      </c>
      <c r="D124" s="44" t="s">
        <v>707</v>
      </c>
      <c r="E124" s="45" t="s">
        <v>704</v>
      </c>
    </row>
    <row r="125" spans="1:5">
      <c r="A125" s="41" t="s">
        <v>708</v>
      </c>
      <c r="B125" s="33" t="s">
        <v>681</v>
      </c>
      <c r="C125" s="33" t="s">
        <v>709</v>
      </c>
      <c r="D125" s="44" t="s">
        <v>710</v>
      </c>
      <c r="E125" s="45" t="s">
        <v>711</v>
      </c>
    </row>
    <row r="126" spans="1:5">
      <c r="A126" s="41" t="s">
        <v>712</v>
      </c>
      <c r="B126" s="33" t="s">
        <v>681</v>
      </c>
      <c r="C126" s="33" t="s">
        <v>713</v>
      </c>
      <c r="D126" s="44" t="s">
        <v>714</v>
      </c>
      <c r="E126" s="45" t="s">
        <v>715</v>
      </c>
    </row>
    <row r="127" spans="1:5">
      <c r="A127" s="41" t="s">
        <v>716</v>
      </c>
      <c r="B127" s="33" t="s">
        <v>681</v>
      </c>
      <c r="C127" s="33" t="s">
        <v>717</v>
      </c>
      <c r="D127" s="44" t="s">
        <v>281</v>
      </c>
      <c r="E127" s="45" t="s">
        <v>718</v>
      </c>
    </row>
    <row r="128" spans="1:5">
      <c r="A128" s="41" t="s">
        <v>719</v>
      </c>
      <c r="B128" s="33" t="s">
        <v>681</v>
      </c>
      <c r="C128" s="33" t="s">
        <v>720</v>
      </c>
      <c r="D128" s="44" t="s">
        <v>721</v>
      </c>
      <c r="E128" s="45" t="s">
        <v>722</v>
      </c>
    </row>
    <row r="129" spans="1:5">
      <c r="A129" s="41" t="s">
        <v>723</v>
      </c>
      <c r="B129" s="33" t="s">
        <v>681</v>
      </c>
      <c r="C129" s="33" t="s">
        <v>724</v>
      </c>
      <c r="D129" s="44" t="s">
        <v>280</v>
      </c>
      <c r="E129" s="45" t="s">
        <v>725</v>
      </c>
    </row>
    <row r="130" spans="1:5">
      <c r="A130" s="41" t="s">
        <v>726</v>
      </c>
      <c r="B130" s="33" t="s">
        <v>681</v>
      </c>
      <c r="C130" s="33" t="s">
        <v>727</v>
      </c>
      <c r="D130" s="44" t="s">
        <v>728</v>
      </c>
      <c r="E130" s="45" t="s">
        <v>729</v>
      </c>
    </row>
    <row r="131" spans="1:5">
      <c r="A131" s="41" t="s">
        <v>730</v>
      </c>
      <c r="B131" s="33" t="s">
        <v>731</v>
      </c>
      <c r="C131" s="33" t="s">
        <v>732</v>
      </c>
      <c r="D131" s="44" t="s">
        <v>733</v>
      </c>
      <c r="E131" s="45" t="s">
        <v>734</v>
      </c>
    </row>
    <row r="132" spans="1:5">
      <c r="A132" s="41" t="s">
        <v>735</v>
      </c>
      <c r="B132" s="33" t="s">
        <v>731</v>
      </c>
      <c r="C132" s="33" t="s">
        <v>736</v>
      </c>
      <c r="D132" s="44" t="s">
        <v>737</v>
      </c>
      <c r="E132" s="45" t="s">
        <v>738</v>
      </c>
    </row>
    <row r="133" spans="1:5">
      <c r="A133" s="41" t="s">
        <v>739</v>
      </c>
      <c r="B133" s="33" t="s">
        <v>731</v>
      </c>
      <c r="C133" s="33" t="s">
        <v>740</v>
      </c>
      <c r="D133" s="44" t="s">
        <v>741</v>
      </c>
      <c r="E133" s="45" t="s">
        <v>742</v>
      </c>
    </row>
    <row r="134" spans="1:5">
      <c r="A134" s="41" t="s">
        <v>743</v>
      </c>
      <c r="B134" s="33" t="s">
        <v>731</v>
      </c>
      <c r="C134" s="33" t="s">
        <v>744</v>
      </c>
      <c r="D134" s="44" t="s">
        <v>283</v>
      </c>
      <c r="E134" s="45" t="s">
        <v>745</v>
      </c>
    </row>
    <row r="135" spans="1:5">
      <c r="A135" s="41" t="s">
        <v>746</v>
      </c>
      <c r="B135" s="33" t="s">
        <v>731</v>
      </c>
      <c r="C135" s="33" t="s">
        <v>747</v>
      </c>
      <c r="D135" s="44" t="s">
        <v>285</v>
      </c>
      <c r="E135" s="45" t="s">
        <v>748</v>
      </c>
    </row>
    <row r="136" spans="1:5">
      <c r="A136" s="41" t="s">
        <v>749</v>
      </c>
      <c r="B136" s="33" t="s">
        <v>731</v>
      </c>
      <c r="C136" s="33" t="s">
        <v>750</v>
      </c>
      <c r="D136" s="44" t="s">
        <v>751</v>
      </c>
      <c r="E136" s="45" t="s">
        <v>752</v>
      </c>
    </row>
    <row r="137" spans="1:5">
      <c r="A137" s="41" t="s">
        <v>753</v>
      </c>
      <c r="B137" s="33" t="s">
        <v>731</v>
      </c>
      <c r="C137" s="33" t="s">
        <v>754</v>
      </c>
      <c r="D137" s="44" t="s">
        <v>755</v>
      </c>
      <c r="E137" s="45" t="s">
        <v>756</v>
      </c>
    </row>
    <row r="138" spans="1:5">
      <c r="A138" s="41" t="s">
        <v>757</v>
      </c>
      <c r="B138" s="33" t="s">
        <v>731</v>
      </c>
      <c r="C138" s="33" t="s">
        <v>758</v>
      </c>
      <c r="D138" s="44" t="s">
        <v>759</v>
      </c>
      <c r="E138" s="45" t="s">
        <v>760</v>
      </c>
    </row>
    <row r="139" spans="1:5">
      <c r="A139" s="41" t="s">
        <v>761</v>
      </c>
      <c r="B139" s="33" t="s">
        <v>731</v>
      </c>
      <c r="C139" s="33" t="s">
        <v>762</v>
      </c>
      <c r="D139" s="44" t="s">
        <v>763</v>
      </c>
      <c r="E139" s="45" t="s">
        <v>764</v>
      </c>
    </row>
    <row r="140" spans="1:5">
      <c r="A140" s="41" t="s">
        <v>765</v>
      </c>
      <c r="B140" s="33" t="s">
        <v>731</v>
      </c>
      <c r="C140" s="33" t="s">
        <v>766</v>
      </c>
      <c r="D140" s="44" t="s">
        <v>284</v>
      </c>
      <c r="E140" s="45" t="s">
        <v>767</v>
      </c>
    </row>
    <row r="141" spans="1:5">
      <c r="A141" s="41" t="s">
        <v>768</v>
      </c>
      <c r="B141" s="33" t="s">
        <v>731</v>
      </c>
      <c r="C141" s="33" t="s">
        <v>769</v>
      </c>
      <c r="D141" s="44" t="s">
        <v>770</v>
      </c>
      <c r="E141" s="45" t="s">
        <v>771</v>
      </c>
    </row>
    <row r="142" spans="1:5">
      <c r="A142" s="41" t="s">
        <v>772</v>
      </c>
      <c r="B142" s="33" t="s">
        <v>731</v>
      </c>
      <c r="C142" s="33" t="s">
        <v>773</v>
      </c>
      <c r="D142" s="44" t="s">
        <v>774</v>
      </c>
      <c r="E142" s="45" t="s">
        <v>775</v>
      </c>
    </row>
    <row r="143" spans="1:5">
      <c r="A143" s="41" t="s">
        <v>776</v>
      </c>
      <c r="B143" s="33" t="s">
        <v>731</v>
      </c>
      <c r="C143" s="33" t="s">
        <v>777</v>
      </c>
      <c r="D143" s="44" t="s">
        <v>282</v>
      </c>
      <c r="E143" s="45" t="s">
        <v>778</v>
      </c>
    </row>
    <row r="144" spans="1:5">
      <c r="A144" s="41" t="s">
        <v>779</v>
      </c>
      <c r="B144" s="33" t="s">
        <v>780</v>
      </c>
      <c r="C144" s="33" t="s">
        <v>781</v>
      </c>
      <c r="D144" s="44" t="s">
        <v>782</v>
      </c>
      <c r="E144" s="45" t="s">
        <v>783</v>
      </c>
    </row>
    <row r="145" spans="1:5">
      <c r="A145" s="41" t="s">
        <v>784</v>
      </c>
      <c r="B145" s="33" t="s">
        <v>780</v>
      </c>
      <c r="C145" s="33" t="s">
        <v>785</v>
      </c>
      <c r="D145" s="44" t="s">
        <v>786</v>
      </c>
      <c r="E145" s="45" t="s">
        <v>787</v>
      </c>
    </row>
    <row r="146" spans="1:5">
      <c r="A146" s="41" t="s">
        <v>788</v>
      </c>
      <c r="B146" s="33" t="s">
        <v>780</v>
      </c>
      <c r="C146" s="33" t="s">
        <v>789</v>
      </c>
      <c r="D146" s="44" t="s">
        <v>790</v>
      </c>
      <c r="E146" s="45" t="s">
        <v>791</v>
      </c>
    </row>
    <row r="147" spans="1:5">
      <c r="A147" s="41" t="s">
        <v>792</v>
      </c>
      <c r="B147" s="33" t="s">
        <v>780</v>
      </c>
      <c r="C147" s="33" t="s">
        <v>793</v>
      </c>
      <c r="D147" s="44" t="s">
        <v>291</v>
      </c>
      <c r="E147" s="45" t="s">
        <v>794</v>
      </c>
    </row>
    <row r="148" spans="1:5">
      <c r="A148" s="41" t="s">
        <v>795</v>
      </c>
      <c r="B148" s="33" t="s">
        <v>780</v>
      </c>
      <c r="C148" s="33" t="s">
        <v>796</v>
      </c>
      <c r="D148" s="44" t="s">
        <v>286</v>
      </c>
      <c r="E148" s="45" t="s">
        <v>797</v>
      </c>
    </row>
    <row r="149" spans="1:5">
      <c r="A149" s="41" t="s">
        <v>798</v>
      </c>
      <c r="B149" s="33" t="s">
        <v>780</v>
      </c>
      <c r="C149" s="33" t="s">
        <v>799</v>
      </c>
      <c r="D149" s="44" t="s">
        <v>287</v>
      </c>
      <c r="E149" s="45" t="s">
        <v>800</v>
      </c>
    </row>
    <row r="150" spans="1:5">
      <c r="A150" s="41" t="s">
        <v>801</v>
      </c>
      <c r="B150" s="33" t="s">
        <v>780</v>
      </c>
      <c r="C150" s="33" t="s">
        <v>802</v>
      </c>
      <c r="D150" s="44" t="s">
        <v>803</v>
      </c>
      <c r="E150" s="45" t="s">
        <v>804</v>
      </c>
    </row>
    <row r="151" spans="1:5">
      <c r="A151" s="41" t="s">
        <v>805</v>
      </c>
      <c r="B151" s="33" t="s">
        <v>780</v>
      </c>
      <c r="C151" s="33" t="s">
        <v>806</v>
      </c>
      <c r="D151" s="44" t="s">
        <v>807</v>
      </c>
      <c r="E151" s="45" t="s">
        <v>808</v>
      </c>
    </row>
    <row r="152" spans="1:5">
      <c r="A152" s="41" t="s">
        <v>809</v>
      </c>
      <c r="B152" s="33" t="s">
        <v>780</v>
      </c>
      <c r="C152" s="33" t="s">
        <v>810</v>
      </c>
      <c r="D152" s="44" t="s">
        <v>811</v>
      </c>
      <c r="E152" s="45" t="s">
        <v>812</v>
      </c>
    </row>
    <row r="153" spans="1:5">
      <c r="A153" s="41" t="s">
        <v>813</v>
      </c>
      <c r="B153" s="33" t="s">
        <v>780</v>
      </c>
      <c r="C153" s="33" t="s">
        <v>814</v>
      </c>
      <c r="D153" s="44" t="s">
        <v>815</v>
      </c>
      <c r="E153" s="45" t="s">
        <v>816</v>
      </c>
    </row>
    <row r="154" spans="1:5">
      <c r="A154" s="41" t="s">
        <v>817</v>
      </c>
      <c r="B154" s="33" t="s">
        <v>780</v>
      </c>
      <c r="C154" s="33" t="s">
        <v>818</v>
      </c>
      <c r="D154" s="44" t="s">
        <v>819</v>
      </c>
      <c r="E154" s="45" t="s">
        <v>820</v>
      </c>
    </row>
    <row r="155" spans="1:5">
      <c r="A155" s="41" t="s">
        <v>821</v>
      </c>
      <c r="B155" s="33" t="s">
        <v>780</v>
      </c>
      <c r="C155" s="33" t="s">
        <v>822</v>
      </c>
      <c r="D155" s="44" t="s">
        <v>823</v>
      </c>
      <c r="E155" s="45" t="s">
        <v>824</v>
      </c>
    </row>
    <row r="156" spans="1:5">
      <c r="A156" s="41" t="s">
        <v>825</v>
      </c>
      <c r="B156" s="33" t="s">
        <v>780</v>
      </c>
      <c r="C156" s="33" t="s">
        <v>826</v>
      </c>
      <c r="D156" s="44" t="s">
        <v>827</v>
      </c>
      <c r="E156" s="45" t="s">
        <v>828</v>
      </c>
    </row>
    <row r="157" spans="1:5">
      <c r="A157" s="41" t="s">
        <v>829</v>
      </c>
      <c r="B157" s="33" t="s">
        <v>780</v>
      </c>
      <c r="C157" s="33" t="s">
        <v>830</v>
      </c>
      <c r="D157" s="44" t="s">
        <v>831</v>
      </c>
      <c r="E157" s="45" t="s">
        <v>832</v>
      </c>
    </row>
    <row r="158" spans="1:5">
      <c r="A158" s="41" t="s">
        <v>833</v>
      </c>
      <c r="B158" s="33" t="s">
        <v>780</v>
      </c>
      <c r="C158" s="33" t="s">
        <v>834</v>
      </c>
      <c r="D158" s="44" t="s">
        <v>835</v>
      </c>
      <c r="E158" s="45" t="s">
        <v>836</v>
      </c>
    </row>
    <row r="159" spans="1:5">
      <c r="A159" s="41" t="s">
        <v>837</v>
      </c>
      <c r="B159" s="33" t="s">
        <v>780</v>
      </c>
      <c r="C159" s="33" t="s">
        <v>838</v>
      </c>
      <c r="D159" s="44" t="s">
        <v>839</v>
      </c>
      <c r="E159" s="45" t="s">
        <v>840</v>
      </c>
    </row>
    <row r="160" spans="1:5">
      <c r="A160" s="41" t="s">
        <v>841</v>
      </c>
      <c r="B160" s="33" t="s">
        <v>780</v>
      </c>
      <c r="C160" s="33" t="s">
        <v>842</v>
      </c>
      <c r="D160" s="44" t="s">
        <v>288</v>
      </c>
      <c r="E160" s="45" t="s">
        <v>843</v>
      </c>
    </row>
    <row r="161" spans="1:5">
      <c r="A161" s="41" t="s">
        <v>844</v>
      </c>
      <c r="B161" s="33" t="s">
        <v>780</v>
      </c>
      <c r="C161" s="33" t="s">
        <v>845</v>
      </c>
      <c r="D161" s="44" t="s">
        <v>846</v>
      </c>
      <c r="E161" s="45" t="s">
        <v>847</v>
      </c>
    </row>
    <row r="162" spans="1:5">
      <c r="A162" s="41" t="s">
        <v>848</v>
      </c>
      <c r="B162" s="33" t="s">
        <v>849</v>
      </c>
      <c r="C162" s="33" t="s">
        <v>850</v>
      </c>
      <c r="D162" s="44" t="s">
        <v>851</v>
      </c>
      <c r="E162" s="45" t="s">
        <v>852</v>
      </c>
    </row>
    <row r="163" spans="1:5">
      <c r="A163" s="41" t="s">
        <v>853</v>
      </c>
      <c r="B163" s="33" t="s">
        <v>849</v>
      </c>
      <c r="C163" s="33" t="s">
        <v>854</v>
      </c>
      <c r="D163" s="44" t="s">
        <v>289</v>
      </c>
      <c r="E163" s="45" t="s">
        <v>855</v>
      </c>
    </row>
    <row r="164" spans="1:5">
      <c r="A164" s="41" t="s">
        <v>856</v>
      </c>
      <c r="B164" s="33" t="s">
        <v>849</v>
      </c>
      <c r="C164" s="33" t="s">
        <v>857</v>
      </c>
      <c r="D164" s="44" t="s">
        <v>858</v>
      </c>
      <c r="E164" s="45" t="s">
        <v>859</v>
      </c>
    </row>
    <row r="165" spans="1:5">
      <c r="A165" s="41" t="s">
        <v>860</v>
      </c>
      <c r="B165" s="33" t="s">
        <v>849</v>
      </c>
      <c r="C165" s="33" t="s">
        <v>861</v>
      </c>
      <c r="D165" s="44" t="s">
        <v>862</v>
      </c>
      <c r="E165" s="45" t="s">
        <v>863</v>
      </c>
    </row>
    <row r="166" spans="1:5">
      <c r="A166" s="41" t="s">
        <v>864</v>
      </c>
      <c r="B166" s="33" t="s">
        <v>849</v>
      </c>
      <c r="C166" s="33" t="s">
        <v>865</v>
      </c>
      <c r="D166" s="44" t="s">
        <v>866</v>
      </c>
      <c r="E166" s="45" t="s">
        <v>867</v>
      </c>
    </row>
    <row r="167" spans="1:5">
      <c r="A167" s="41" t="s">
        <v>868</v>
      </c>
      <c r="B167" s="33" t="s">
        <v>849</v>
      </c>
      <c r="C167" s="33" t="s">
        <v>869</v>
      </c>
      <c r="D167" s="44" t="s">
        <v>870</v>
      </c>
      <c r="E167" s="45" t="s">
        <v>871</v>
      </c>
    </row>
    <row r="168" spans="1:5">
      <c r="A168" s="41" t="s">
        <v>872</v>
      </c>
      <c r="B168" s="33" t="s">
        <v>849</v>
      </c>
      <c r="C168" s="33" t="s">
        <v>873</v>
      </c>
      <c r="D168" s="44" t="s">
        <v>874</v>
      </c>
      <c r="E168" s="45" t="s">
        <v>875</v>
      </c>
    </row>
    <row r="169" spans="1:5">
      <c r="A169" s="41" t="s">
        <v>876</v>
      </c>
      <c r="B169" s="33" t="s">
        <v>849</v>
      </c>
      <c r="C169" s="33" t="s">
        <v>877</v>
      </c>
      <c r="D169" s="44" t="s">
        <v>878</v>
      </c>
      <c r="E169" s="45" t="s">
        <v>879</v>
      </c>
    </row>
    <row r="170" spans="1:5">
      <c r="A170" s="41" t="s">
        <v>880</v>
      </c>
      <c r="B170" s="33" t="s">
        <v>849</v>
      </c>
      <c r="C170" s="33" t="s">
        <v>881</v>
      </c>
      <c r="D170" s="44" t="s">
        <v>882</v>
      </c>
      <c r="E170" s="45" t="s">
        <v>883</v>
      </c>
    </row>
    <row r="171" spans="1:5">
      <c r="A171" s="41" t="s">
        <v>884</v>
      </c>
      <c r="B171" s="33" t="s">
        <v>849</v>
      </c>
      <c r="C171" s="33" t="s">
        <v>885</v>
      </c>
      <c r="D171" s="44" t="s">
        <v>886</v>
      </c>
      <c r="E171" s="45" t="s">
        <v>887</v>
      </c>
    </row>
    <row r="172" spans="1:5">
      <c r="A172" s="41" t="s">
        <v>888</v>
      </c>
      <c r="B172" s="33" t="s">
        <v>849</v>
      </c>
      <c r="C172" s="33" t="s">
        <v>889</v>
      </c>
      <c r="D172" s="44" t="s">
        <v>890</v>
      </c>
      <c r="E172" s="45" t="s">
        <v>891</v>
      </c>
    </row>
    <row r="173" spans="1:5">
      <c r="A173" s="41" t="s">
        <v>892</v>
      </c>
      <c r="B173" s="33" t="s">
        <v>849</v>
      </c>
      <c r="C173" s="33" t="s">
        <v>893</v>
      </c>
      <c r="D173" s="44" t="s">
        <v>290</v>
      </c>
      <c r="E173" s="45" t="s">
        <v>894</v>
      </c>
    </row>
    <row r="174" spans="1:5">
      <c r="A174" s="41" t="s">
        <v>895</v>
      </c>
      <c r="B174" s="33" t="s">
        <v>849</v>
      </c>
      <c r="C174" s="33" t="s">
        <v>896</v>
      </c>
      <c r="D174" s="44" t="s">
        <v>897</v>
      </c>
      <c r="E174" s="45" t="s">
        <v>898</v>
      </c>
    </row>
    <row r="175" spans="1:5">
      <c r="A175" s="41" t="s">
        <v>899</v>
      </c>
      <c r="B175" s="33" t="s">
        <v>485</v>
      </c>
      <c r="C175" s="33" t="s">
        <v>900</v>
      </c>
      <c r="D175" s="44" t="s">
        <v>901</v>
      </c>
      <c r="E175" s="45" t="s">
        <v>902</v>
      </c>
    </row>
    <row r="176" spans="1:5">
      <c r="A176" s="41" t="s">
        <v>903</v>
      </c>
      <c r="B176" s="33" t="s">
        <v>485</v>
      </c>
      <c r="C176" s="33" t="s">
        <v>904</v>
      </c>
      <c r="D176" s="44" t="s">
        <v>905</v>
      </c>
      <c r="E176" s="45" t="s">
        <v>906</v>
      </c>
    </row>
    <row r="177" spans="1:5">
      <c r="A177" s="41" t="s">
        <v>907</v>
      </c>
      <c r="B177" s="33" t="s">
        <v>485</v>
      </c>
      <c r="C177" s="33" t="s">
        <v>908</v>
      </c>
      <c r="D177" s="44" t="s">
        <v>909</v>
      </c>
      <c r="E177" s="45" t="s">
        <v>910</v>
      </c>
    </row>
    <row r="178" spans="1:5">
      <c r="A178" s="41" t="s">
        <v>911</v>
      </c>
      <c r="B178" s="33" t="s">
        <v>485</v>
      </c>
      <c r="C178" s="33" t="s">
        <v>912</v>
      </c>
      <c r="D178" s="44" t="s">
        <v>913</v>
      </c>
      <c r="E178" s="45" t="s">
        <v>914</v>
      </c>
    </row>
    <row r="179" spans="1:5">
      <c r="A179" s="41" t="s">
        <v>915</v>
      </c>
      <c r="B179" s="33" t="s">
        <v>485</v>
      </c>
      <c r="C179" s="33" t="s">
        <v>916</v>
      </c>
      <c r="D179" s="44" t="s">
        <v>917</v>
      </c>
      <c r="E179" s="45" t="s">
        <v>918</v>
      </c>
    </row>
    <row r="180" spans="1:5">
      <c r="A180" s="41" t="s">
        <v>919</v>
      </c>
      <c r="B180" s="33" t="s">
        <v>485</v>
      </c>
      <c r="C180" s="33" t="s">
        <v>920</v>
      </c>
      <c r="D180" s="44" t="s">
        <v>921</v>
      </c>
      <c r="E180" s="45" t="s">
        <v>922</v>
      </c>
    </row>
    <row r="181" spans="1:5">
      <c r="A181" s="41" t="s">
        <v>923</v>
      </c>
      <c r="B181" s="33" t="s">
        <v>563</v>
      </c>
      <c r="C181" s="33" t="s">
        <v>924</v>
      </c>
      <c r="D181" s="44" t="s">
        <v>925</v>
      </c>
      <c r="E181" s="45" t="s">
        <v>926</v>
      </c>
    </row>
    <row r="182" spans="1:5">
      <c r="A182" s="41" t="s">
        <v>927</v>
      </c>
      <c r="B182" s="33" t="s">
        <v>563</v>
      </c>
      <c r="C182" s="33" t="s">
        <v>928</v>
      </c>
      <c r="D182" s="44" t="s">
        <v>929</v>
      </c>
      <c r="E182" s="45" t="s">
        <v>580</v>
      </c>
    </row>
    <row r="183" spans="1:5">
      <c r="A183" s="41" t="s">
        <v>930</v>
      </c>
      <c r="B183" s="33" t="s">
        <v>563</v>
      </c>
      <c r="C183" s="33" t="s">
        <v>931</v>
      </c>
      <c r="D183" s="44" t="s">
        <v>932</v>
      </c>
      <c r="E183" s="45" t="s">
        <v>583</v>
      </c>
    </row>
    <row r="184" spans="1:5">
      <c r="A184" s="41" t="s">
        <v>933</v>
      </c>
      <c r="B184" s="33" t="s">
        <v>607</v>
      </c>
      <c r="C184" s="33" t="s">
        <v>934</v>
      </c>
      <c r="D184" s="44" t="s">
        <v>935</v>
      </c>
      <c r="E184" s="45" t="s">
        <v>936</v>
      </c>
    </row>
    <row r="185" spans="1:5">
      <c r="A185" s="41" t="s">
        <v>937</v>
      </c>
      <c r="B185" s="33" t="s">
        <v>607</v>
      </c>
      <c r="C185" s="33" t="s">
        <v>938</v>
      </c>
      <c r="D185" s="44" t="s">
        <v>939</v>
      </c>
      <c r="E185" s="45" t="s">
        <v>940</v>
      </c>
    </row>
    <row r="186" spans="1:5">
      <c r="A186" s="41" t="s">
        <v>941</v>
      </c>
      <c r="B186" s="33" t="s">
        <v>780</v>
      </c>
      <c r="C186" s="33" t="s">
        <v>942</v>
      </c>
      <c r="D186" s="44" t="s">
        <v>943</v>
      </c>
      <c r="E186" s="45" t="s">
        <v>944</v>
      </c>
    </row>
    <row r="187" spans="1:5">
      <c r="A187" s="41" t="s">
        <v>945</v>
      </c>
      <c r="B187" s="33" t="s">
        <v>780</v>
      </c>
      <c r="C187" s="33" t="s">
        <v>946</v>
      </c>
      <c r="D187" s="44" t="s">
        <v>947</v>
      </c>
      <c r="E187" s="45" t="s">
        <v>948</v>
      </c>
    </row>
    <row r="188" spans="1:5">
      <c r="A188" s="41" t="s">
        <v>949</v>
      </c>
      <c r="B188" s="33" t="s">
        <v>731</v>
      </c>
      <c r="C188" s="33" t="s">
        <v>950</v>
      </c>
      <c r="D188" s="44" t="s">
        <v>951</v>
      </c>
      <c r="E188" s="45" t="s">
        <v>952</v>
      </c>
    </row>
    <row r="189" spans="1:5">
      <c r="A189" s="41" t="s">
        <v>953</v>
      </c>
      <c r="B189" s="33" t="s">
        <v>849</v>
      </c>
      <c r="C189" s="33" t="s">
        <v>954</v>
      </c>
      <c r="D189" s="44" t="s">
        <v>955</v>
      </c>
      <c r="E189" s="45" t="s">
        <v>898</v>
      </c>
    </row>
  </sheetData>
  <autoFilter ref="A4:E189" xr:uid="{310581F7-ECDF-C64A-A7B0-C540D55B3FA1}"/>
  <phoneticPr fontId="2"/>
  <conditionalFormatting sqref="A5:E189">
    <cfRule type="expression" dxfId="51" priority="1">
      <formula>$B5="U2 Keycloak論理"</formula>
    </cfRule>
    <cfRule type="expression" dxfId="50" priority="2">
      <formula>$B5="U3 ID・プロビジョニング"</formula>
    </cfRule>
    <cfRule type="expression" dxfId="49" priority="3">
      <formula>$B5="U5 トークン・認可"</formula>
    </cfRule>
    <cfRule type="expression" dxfId="48" priority="4">
      <formula>$B5="U4 認証体験・UX"</formula>
    </cfRule>
    <cfRule type="expression" dxfId="47" priority="5">
      <formula>$B5="U7 セキュリティ"</formula>
    </cfRule>
    <cfRule type="expression" dxfId="46" priority="6">
      <formula>$B5="U8 可用性・DR"</formula>
    </cfRule>
    <cfRule type="expression" dxfId="45" priority="7">
      <formula>$B5="U6 インフラ・NW"</formula>
    </cfRule>
    <cfRule type="expression" dxfId="44" priority="8">
      <formula>$B5="U9 運用・監視・IaC"</formula>
    </cfRule>
    <cfRule type="expression" dxfId="43" priority="9">
      <formula>$B5="U10 連携・移行"</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EADF9-EFAE-A14D-BC4F-3F04ADDCB1E4}">
  <dimension ref="A1:I72"/>
  <sheetViews>
    <sheetView workbookViewId="0">
      <pane ySplit="5" topLeftCell="A6" activePane="bottomLeft" state="frozen"/>
      <selection pane="bottomLeft" activeCell="F30" sqref="F30"/>
    </sheetView>
  </sheetViews>
  <sheetFormatPr baseColWidth="10" defaultRowHeight="20"/>
  <cols>
    <col min="1" max="1" width="13.5703125" customWidth="1"/>
    <col min="2" max="2" width="60" customWidth="1"/>
    <col min="3" max="3" width="21.42578125" customWidth="1"/>
    <col min="4" max="4" width="25.7109375" customWidth="1"/>
    <col min="5" max="5" width="88.5703125" customWidth="1"/>
    <col min="6" max="6" width="1.42578125" customWidth="1"/>
    <col min="7" max="7" width="27.140625" customWidth="1"/>
    <col min="8" max="8" width="10" customWidth="1"/>
    <col min="9" max="9" width="24.28515625" customWidth="1"/>
  </cols>
  <sheetData>
    <row r="1" spans="1:9" ht="25">
      <c r="A1" s="27" t="s">
        <v>964</v>
      </c>
    </row>
    <row r="2" spans="1:9">
      <c r="A2" s="1" t="s">
        <v>965</v>
      </c>
    </row>
    <row r="3" spans="1:9">
      <c r="A3" s="31" t="s">
        <v>1468</v>
      </c>
    </row>
    <row r="4" spans="1:9" ht="22" customHeight="1"/>
    <row r="5" spans="1:9" ht="22" customHeight="1">
      <c r="A5" s="5" t="s">
        <v>294</v>
      </c>
      <c r="B5" s="6" t="s">
        <v>295</v>
      </c>
      <c r="C5" s="6" t="s">
        <v>296</v>
      </c>
      <c r="D5" s="6" t="s">
        <v>966</v>
      </c>
      <c r="E5" s="7" t="s">
        <v>967</v>
      </c>
      <c r="G5" s="47" t="s">
        <v>1133</v>
      </c>
    </row>
    <row r="6" spans="1:9">
      <c r="A6" s="29" t="s">
        <v>968</v>
      </c>
      <c r="B6" s="3" t="s">
        <v>969</v>
      </c>
      <c r="C6" s="8" t="s">
        <v>970</v>
      </c>
      <c r="D6" s="52" t="s">
        <v>1134</v>
      </c>
      <c r="E6" s="50"/>
      <c r="G6" s="11" t="s">
        <v>296</v>
      </c>
      <c r="H6" s="13" t="s">
        <v>263</v>
      </c>
    </row>
    <row r="7" spans="1:9">
      <c r="A7" s="29" t="s">
        <v>971</v>
      </c>
      <c r="B7" s="3" t="s">
        <v>972</v>
      </c>
      <c r="C7" s="8" t="s">
        <v>970</v>
      </c>
      <c r="D7" s="52" t="s">
        <v>1134</v>
      </c>
      <c r="E7" s="50"/>
      <c r="G7" s="14" t="s">
        <v>981</v>
      </c>
      <c r="H7" s="48">
        <f t="shared" ref="H7:H12" si="0">COUNTIF($C$6:$C$72,$G7)</f>
        <v>48</v>
      </c>
    </row>
    <row r="8" spans="1:9">
      <c r="A8" s="29" t="s">
        <v>973</v>
      </c>
      <c r="B8" s="3" t="s">
        <v>974</v>
      </c>
      <c r="C8" s="8" t="s">
        <v>970</v>
      </c>
      <c r="D8" s="52" t="s">
        <v>1134</v>
      </c>
      <c r="E8" s="50"/>
      <c r="G8" s="14" t="s">
        <v>970</v>
      </c>
      <c r="H8" s="48">
        <f t="shared" si="0"/>
        <v>12</v>
      </c>
    </row>
    <row r="9" spans="1:9">
      <c r="A9" s="29" t="s">
        <v>975</v>
      </c>
      <c r="B9" s="3" t="s">
        <v>976</v>
      </c>
      <c r="C9" s="8" t="s">
        <v>970</v>
      </c>
      <c r="D9" s="52" t="s">
        <v>1134</v>
      </c>
      <c r="E9" s="50"/>
      <c r="G9" s="14" t="s">
        <v>1098</v>
      </c>
      <c r="H9" s="48">
        <f t="shared" si="0"/>
        <v>1</v>
      </c>
    </row>
    <row r="10" spans="1:9">
      <c r="A10" s="29" t="s">
        <v>977</v>
      </c>
      <c r="B10" s="3" t="s">
        <v>978</v>
      </c>
      <c r="C10" s="8" t="s">
        <v>970</v>
      </c>
      <c r="D10" s="52" t="s">
        <v>1134</v>
      </c>
      <c r="E10" s="50"/>
      <c r="G10" s="14" t="s">
        <v>1102</v>
      </c>
      <c r="H10" s="48">
        <f t="shared" si="0"/>
        <v>1</v>
      </c>
    </row>
    <row r="11" spans="1:9">
      <c r="A11" s="29" t="s">
        <v>979</v>
      </c>
      <c r="B11" s="3" t="s">
        <v>980</v>
      </c>
      <c r="C11" s="8" t="s">
        <v>981</v>
      </c>
      <c r="D11" s="52" t="s">
        <v>1134</v>
      </c>
      <c r="E11" s="50"/>
      <c r="G11" s="14" t="s">
        <v>1050</v>
      </c>
      <c r="H11" s="48">
        <f t="shared" si="0"/>
        <v>2</v>
      </c>
    </row>
    <row r="12" spans="1:9">
      <c r="A12" s="29" t="s">
        <v>982</v>
      </c>
      <c r="B12" s="3" t="s">
        <v>983</v>
      </c>
      <c r="C12" s="8" t="s">
        <v>970</v>
      </c>
      <c r="D12" s="52" t="s">
        <v>1135</v>
      </c>
      <c r="E12" s="50"/>
      <c r="G12" s="14" t="s">
        <v>1062</v>
      </c>
      <c r="H12" s="48">
        <f t="shared" si="0"/>
        <v>1</v>
      </c>
    </row>
    <row r="13" spans="1:9">
      <c r="A13" s="29" t="s">
        <v>984</v>
      </c>
      <c r="B13" s="3" t="s">
        <v>985</v>
      </c>
      <c r="C13" s="8" t="s">
        <v>970</v>
      </c>
      <c r="D13" s="52" t="s">
        <v>1136</v>
      </c>
      <c r="E13" s="50"/>
      <c r="G13" s="16" t="s">
        <v>4</v>
      </c>
      <c r="H13" s="49">
        <f>SUM(H7:H12)</f>
        <v>65</v>
      </c>
      <c r="I13" s="28" t="str">
        <f>IF(H13=COUNTA($A$6:$A$72),"✓ 明細行数と一致","⚠ 不一致")</f>
        <v>⚠ 不一致</v>
      </c>
    </row>
    <row r="14" spans="1:9">
      <c r="A14" s="29" t="s">
        <v>986</v>
      </c>
      <c r="B14" s="3" t="s">
        <v>987</v>
      </c>
      <c r="C14" s="8" t="s">
        <v>970</v>
      </c>
      <c r="D14" s="52" t="s">
        <v>1137</v>
      </c>
      <c r="E14" s="50"/>
    </row>
    <row r="15" spans="1:9">
      <c r="A15" s="29" t="s">
        <v>988</v>
      </c>
      <c r="B15" s="3" t="s">
        <v>989</v>
      </c>
      <c r="C15" s="8" t="s">
        <v>970</v>
      </c>
      <c r="D15" s="52" t="s">
        <v>1138</v>
      </c>
      <c r="E15" s="50"/>
    </row>
    <row r="16" spans="1:9">
      <c r="A16" s="29" t="s">
        <v>990</v>
      </c>
      <c r="B16" s="3" t="s">
        <v>991</v>
      </c>
      <c r="C16" s="8" t="s">
        <v>981</v>
      </c>
      <c r="D16" s="52" t="s">
        <v>1138</v>
      </c>
      <c r="E16" s="50" t="s">
        <v>992</v>
      </c>
    </row>
    <row r="17" spans="1:5">
      <c r="A17" s="29" t="s">
        <v>993</v>
      </c>
      <c r="B17" s="3" t="s">
        <v>994</v>
      </c>
      <c r="C17" s="8" t="s">
        <v>970</v>
      </c>
      <c r="D17" s="52" t="s">
        <v>1139</v>
      </c>
      <c r="E17" s="50"/>
    </row>
    <row r="18" spans="1:5">
      <c r="A18" s="29" t="s">
        <v>995</v>
      </c>
      <c r="B18" s="3" t="s">
        <v>996</v>
      </c>
      <c r="C18" s="8" t="s">
        <v>981</v>
      </c>
      <c r="D18" s="52" t="s">
        <v>1140</v>
      </c>
      <c r="E18" s="50"/>
    </row>
    <row r="19" spans="1:5">
      <c r="A19" s="29" t="s">
        <v>997</v>
      </c>
      <c r="B19" s="3" t="s">
        <v>998</v>
      </c>
      <c r="C19" s="8" t="s">
        <v>981</v>
      </c>
      <c r="D19" s="52" t="s">
        <v>1140</v>
      </c>
      <c r="E19" s="50"/>
    </row>
    <row r="20" spans="1:5">
      <c r="A20" s="29" t="s">
        <v>999</v>
      </c>
      <c r="B20" s="3" t="s">
        <v>1000</v>
      </c>
      <c r="C20" s="8" t="s">
        <v>981</v>
      </c>
      <c r="D20" s="52" t="s">
        <v>1140</v>
      </c>
      <c r="E20" s="50"/>
    </row>
    <row r="21" spans="1:5">
      <c r="A21" s="29" t="s">
        <v>1001</v>
      </c>
      <c r="B21" s="3" t="s">
        <v>1002</v>
      </c>
      <c r="C21" s="8" t="s">
        <v>981</v>
      </c>
      <c r="D21" s="52" t="s">
        <v>1141</v>
      </c>
      <c r="E21" s="50" t="s">
        <v>1003</v>
      </c>
    </row>
    <row r="22" spans="1:5">
      <c r="A22" s="29" t="s">
        <v>1004</v>
      </c>
      <c r="B22" s="3" t="s">
        <v>1005</v>
      </c>
      <c r="C22" s="8" t="s">
        <v>981</v>
      </c>
      <c r="D22" s="52" t="s">
        <v>1006</v>
      </c>
      <c r="E22" s="50" t="s">
        <v>1007</v>
      </c>
    </row>
    <row r="23" spans="1:5">
      <c r="A23" s="29" t="s">
        <v>1008</v>
      </c>
      <c r="B23" s="3" t="s">
        <v>1009</v>
      </c>
      <c r="C23" s="8" t="s">
        <v>981</v>
      </c>
      <c r="D23" s="52" t="s">
        <v>1142</v>
      </c>
      <c r="E23" s="50"/>
    </row>
    <row r="24" spans="1:5">
      <c r="A24" s="29" t="s">
        <v>1010</v>
      </c>
      <c r="B24" s="3" t="s">
        <v>1011</v>
      </c>
      <c r="C24" s="8" t="s">
        <v>981</v>
      </c>
      <c r="D24" s="52" t="s">
        <v>1142</v>
      </c>
      <c r="E24" s="50"/>
    </row>
    <row r="25" spans="1:5">
      <c r="A25" s="29" t="s">
        <v>1012</v>
      </c>
      <c r="B25" s="3" t="s">
        <v>1013</v>
      </c>
      <c r="C25" s="8" t="s">
        <v>981</v>
      </c>
      <c r="D25" s="52" t="s">
        <v>1142</v>
      </c>
      <c r="E25" s="50"/>
    </row>
    <row r="26" spans="1:5">
      <c r="A26" s="29" t="s">
        <v>1014</v>
      </c>
      <c r="B26" s="3" t="s">
        <v>1015</v>
      </c>
      <c r="C26" s="8" t="s">
        <v>981</v>
      </c>
      <c r="D26" s="52" t="s">
        <v>1142</v>
      </c>
      <c r="E26" s="50"/>
    </row>
    <row r="27" spans="1:5">
      <c r="A27" s="29" t="s">
        <v>1016</v>
      </c>
      <c r="B27" s="3" t="s">
        <v>1017</v>
      </c>
      <c r="C27" s="8" t="s">
        <v>981</v>
      </c>
      <c r="D27" s="52" t="s">
        <v>1142</v>
      </c>
      <c r="E27" s="50"/>
    </row>
    <row r="28" spans="1:5">
      <c r="A28" s="29" t="s">
        <v>1018</v>
      </c>
      <c r="B28" s="3" t="s">
        <v>1019</v>
      </c>
      <c r="C28" s="8" t="s">
        <v>981</v>
      </c>
      <c r="D28" s="52" t="s">
        <v>1143</v>
      </c>
      <c r="E28" s="50" t="s">
        <v>1020</v>
      </c>
    </row>
    <row r="29" spans="1:5">
      <c r="A29" s="29" t="s">
        <v>1021</v>
      </c>
      <c r="B29" s="3" t="s">
        <v>1022</v>
      </c>
      <c r="C29" s="8" t="s">
        <v>981</v>
      </c>
      <c r="D29" s="52" t="s">
        <v>1143</v>
      </c>
      <c r="E29" s="50"/>
    </row>
    <row r="30" spans="1:5">
      <c r="A30" s="29" t="s">
        <v>1023</v>
      </c>
      <c r="B30" s="3" t="s">
        <v>1024</v>
      </c>
      <c r="C30" s="8" t="s">
        <v>981</v>
      </c>
      <c r="D30" s="52" t="s">
        <v>1143</v>
      </c>
      <c r="E30" s="50" t="s">
        <v>1025</v>
      </c>
    </row>
    <row r="31" spans="1:5">
      <c r="A31" s="29" t="s">
        <v>1026</v>
      </c>
      <c r="B31" s="3" t="s">
        <v>1027</v>
      </c>
      <c r="C31" s="8" t="s">
        <v>981</v>
      </c>
      <c r="D31" s="52" t="s">
        <v>1143</v>
      </c>
      <c r="E31" s="50"/>
    </row>
    <row r="32" spans="1:5">
      <c r="A32" s="29" t="s">
        <v>1028</v>
      </c>
      <c r="B32" s="3" t="s">
        <v>1029</v>
      </c>
      <c r="C32" s="8" t="s">
        <v>981</v>
      </c>
      <c r="D32" s="52" t="s">
        <v>1143</v>
      </c>
      <c r="E32" s="50"/>
    </row>
    <row r="33" spans="1:9">
      <c r="A33" s="92" t="s">
        <v>1030</v>
      </c>
      <c r="B33" s="93" t="s">
        <v>1031</v>
      </c>
      <c r="C33" s="94" t="s">
        <v>1464</v>
      </c>
      <c r="D33" s="95" t="s">
        <v>1143</v>
      </c>
      <c r="E33" s="96" t="s">
        <v>1465</v>
      </c>
      <c r="F33" s="81"/>
      <c r="G33" s="81"/>
      <c r="H33" s="81"/>
      <c r="I33" s="81"/>
    </row>
    <row r="34" spans="1:9">
      <c r="A34" s="92" t="s">
        <v>1032</v>
      </c>
      <c r="B34" s="93" t="s">
        <v>1033</v>
      </c>
      <c r="C34" s="94" t="s">
        <v>1464</v>
      </c>
      <c r="D34" s="95" t="s">
        <v>1143</v>
      </c>
      <c r="E34" s="96" t="s">
        <v>1466</v>
      </c>
      <c r="F34" s="81"/>
      <c r="G34" s="81"/>
      <c r="H34" s="81"/>
      <c r="I34" s="81"/>
    </row>
    <row r="35" spans="1:9">
      <c r="A35" s="29" t="s">
        <v>1034</v>
      </c>
      <c r="B35" s="3" t="s">
        <v>1035</v>
      </c>
      <c r="C35" s="8" t="s">
        <v>981</v>
      </c>
      <c r="D35" s="52" t="s">
        <v>1143</v>
      </c>
      <c r="E35" s="50"/>
    </row>
    <row r="36" spans="1:9">
      <c r="A36" s="29" t="s">
        <v>1036</v>
      </c>
      <c r="B36" s="3" t="s">
        <v>1037</v>
      </c>
      <c r="C36" s="8" t="s">
        <v>981</v>
      </c>
      <c r="D36" s="52" t="s">
        <v>1143</v>
      </c>
      <c r="E36" s="50"/>
    </row>
    <row r="37" spans="1:9">
      <c r="A37" s="29" t="s">
        <v>1038</v>
      </c>
      <c r="B37" s="3" t="s">
        <v>1039</v>
      </c>
      <c r="C37" s="8" t="s">
        <v>981</v>
      </c>
      <c r="D37" s="52" t="s">
        <v>1142</v>
      </c>
      <c r="E37" s="50"/>
    </row>
    <row r="38" spans="1:9">
      <c r="A38" s="29" t="s">
        <v>1040</v>
      </c>
      <c r="B38" s="3" t="s">
        <v>1041</v>
      </c>
      <c r="C38" s="8" t="s">
        <v>981</v>
      </c>
      <c r="D38" s="52" t="s">
        <v>1042</v>
      </c>
      <c r="E38" s="50" t="s">
        <v>1043</v>
      </c>
    </row>
    <row r="39" spans="1:9">
      <c r="A39" s="29" t="s">
        <v>1044</v>
      </c>
      <c r="B39" s="3" t="s">
        <v>1045</v>
      </c>
      <c r="C39" s="8" t="s">
        <v>981</v>
      </c>
      <c r="D39" s="52" t="s">
        <v>1144</v>
      </c>
      <c r="E39" s="50"/>
    </row>
    <row r="40" spans="1:9">
      <c r="A40" s="29" t="s">
        <v>1046</v>
      </c>
      <c r="B40" s="3" t="s">
        <v>1047</v>
      </c>
      <c r="C40" s="8" t="s">
        <v>981</v>
      </c>
      <c r="D40" s="52" t="s">
        <v>1144</v>
      </c>
      <c r="E40" s="50"/>
    </row>
    <row r="41" spans="1:9">
      <c r="A41" s="29" t="s">
        <v>1048</v>
      </c>
      <c r="B41" s="3" t="s">
        <v>1049</v>
      </c>
      <c r="C41" s="8" t="s">
        <v>1050</v>
      </c>
      <c r="D41" s="52" t="s">
        <v>1144</v>
      </c>
      <c r="E41" s="50" t="s">
        <v>1051</v>
      </c>
    </row>
    <row r="42" spans="1:9">
      <c r="A42" s="29" t="s">
        <v>1052</v>
      </c>
      <c r="B42" s="3" t="s">
        <v>1053</v>
      </c>
      <c r="C42" s="8" t="s">
        <v>981</v>
      </c>
      <c r="D42" s="52" t="s">
        <v>1144</v>
      </c>
      <c r="E42" s="50"/>
    </row>
    <row r="43" spans="1:9">
      <c r="A43" s="29" t="s">
        <v>1054</v>
      </c>
      <c r="B43" s="3" t="s">
        <v>1055</v>
      </c>
      <c r="C43" s="8" t="s">
        <v>981</v>
      </c>
      <c r="D43" s="52" t="s">
        <v>1144</v>
      </c>
      <c r="E43" s="50"/>
    </row>
    <row r="44" spans="1:9">
      <c r="A44" s="29" t="s">
        <v>1056</v>
      </c>
      <c r="B44" s="3" t="s">
        <v>1057</v>
      </c>
      <c r="C44" s="8" t="s">
        <v>981</v>
      </c>
      <c r="D44" s="52" t="s">
        <v>1058</v>
      </c>
      <c r="E44" s="50" t="s">
        <v>1059</v>
      </c>
    </row>
    <row r="45" spans="1:9">
      <c r="A45" s="29" t="s">
        <v>1060</v>
      </c>
      <c r="B45" s="3" t="s">
        <v>1061</v>
      </c>
      <c r="C45" s="8" t="s">
        <v>1062</v>
      </c>
      <c r="D45" s="52" t="s">
        <v>1145</v>
      </c>
      <c r="E45" s="50" t="s">
        <v>1063</v>
      </c>
    </row>
    <row r="46" spans="1:9">
      <c r="A46" s="29" t="s">
        <v>1064</v>
      </c>
      <c r="B46" s="3" t="s">
        <v>1065</v>
      </c>
      <c r="C46" s="8" t="s">
        <v>981</v>
      </c>
      <c r="D46" s="52" t="s">
        <v>1058</v>
      </c>
      <c r="E46" s="50" t="s">
        <v>1066</v>
      </c>
    </row>
    <row r="47" spans="1:9">
      <c r="A47" s="29" t="s">
        <v>1067</v>
      </c>
      <c r="B47" s="3" t="s">
        <v>1068</v>
      </c>
      <c r="C47" s="8" t="s">
        <v>981</v>
      </c>
      <c r="D47" s="52" t="s">
        <v>1145</v>
      </c>
      <c r="E47" s="50"/>
    </row>
    <row r="48" spans="1:9">
      <c r="A48" s="29" t="s">
        <v>1069</v>
      </c>
      <c r="B48" s="3" t="s">
        <v>1070</v>
      </c>
      <c r="C48" s="8" t="s">
        <v>981</v>
      </c>
      <c r="D48" s="52" t="s">
        <v>1145</v>
      </c>
      <c r="E48" s="50" t="s">
        <v>1071</v>
      </c>
    </row>
    <row r="49" spans="1:9">
      <c r="A49" s="29" t="s">
        <v>1072</v>
      </c>
      <c r="B49" s="3" t="s">
        <v>1073</v>
      </c>
      <c r="C49" s="8" t="s">
        <v>981</v>
      </c>
      <c r="D49" s="52" t="s">
        <v>1145</v>
      </c>
      <c r="E49" s="50"/>
    </row>
    <row r="50" spans="1:9">
      <c r="A50" s="29" t="s">
        <v>1074</v>
      </c>
      <c r="B50" s="3" t="s">
        <v>1075</v>
      </c>
      <c r="C50" s="8" t="s">
        <v>981</v>
      </c>
      <c r="D50" s="52" t="s">
        <v>1145</v>
      </c>
      <c r="E50" s="50"/>
    </row>
    <row r="51" spans="1:9">
      <c r="A51" s="29" t="s">
        <v>1076</v>
      </c>
      <c r="B51" s="3" t="s">
        <v>1077</v>
      </c>
      <c r="C51" s="8" t="s">
        <v>981</v>
      </c>
      <c r="D51" s="52" t="s">
        <v>1145</v>
      </c>
      <c r="E51" s="50"/>
    </row>
    <row r="52" spans="1:9">
      <c r="A52" s="29" t="s">
        <v>1078</v>
      </c>
      <c r="B52" s="3" t="s">
        <v>1079</v>
      </c>
      <c r="C52" s="8" t="s">
        <v>981</v>
      </c>
      <c r="D52" s="52" t="s">
        <v>1145</v>
      </c>
      <c r="E52" s="50"/>
    </row>
    <row r="53" spans="1:9">
      <c r="A53" s="29" t="s">
        <v>1080</v>
      </c>
      <c r="B53" s="3" t="s">
        <v>1081</v>
      </c>
      <c r="C53" s="8" t="s">
        <v>981</v>
      </c>
      <c r="D53" s="52" t="s">
        <v>1145</v>
      </c>
      <c r="E53" s="50"/>
    </row>
    <row r="54" spans="1:9">
      <c r="A54" s="29" t="s">
        <v>1082</v>
      </c>
      <c r="B54" s="3" t="s">
        <v>1083</v>
      </c>
      <c r="C54" s="8" t="s">
        <v>981</v>
      </c>
      <c r="D54" s="52" t="s">
        <v>1145</v>
      </c>
      <c r="E54" s="50"/>
    </row>
    <row r="55" spans="1:9">
      <c r="A55" s="29" t="s">
        <v>1084</v>
      </c>
      <c r="B55" s="3" t="s">
        <v>1085</v>
      </c>
      <c r="C55" s="8" t="s">
        <v>981</v>
      </c>
      <c r="D55" s="52" t="s">
        <v>1145</v>
      </c>
      <c r="E55" s="50"/>
    </row>
    <row r="56" spans="1:9">
      <c r="A56" s="29" t="s">
        <v>1086</v>
      </c>
      <c r="B56" s="3" t="s">
        <v>1087</v>
      </c>
      <c r="C56" s="8" t="s">
        <v>981</v>
      </c>
      <c r="D56" s="52" t="s">
        <v>1058</v>
      </c>
      <c r="E56" s="50" t="s">
        <v>1088</v>
      </c>
    </row>
    <row r="57" spans="1:9">
      <c r="A57" s="97" t="s">
        <v>1089</v>
      </c>
      <c r="B57" s="85" t="s">
        <v>1090</v>
      </c>
      <c r="C57" s="88" t="s">
        <v>1050</v>
      </c>
      <c r="D57" s="98" t="s">
        <v>1145</v>
      </c>
      <c r="E57" s="99" t="s">
        <v>1467</v>
      </c>
      <c r="F57" s="80"/>
      <c r="G57" s="80"/>
      <c r="H57" s="80"/>
      <c r="I57" s="80"/>
    </row>
    <row r="58" spans="1:9">
      <c r="A58" s="29" t="s">
        <v>1091</v>
      </c>
      <c r="B58" s="3" t="s">
        <v>1092</v>
      </c>
      <c r="C58" s="8" t="s">
        <v>981</v>
      </c>
      <c r="D58" s="52" t="s">
        <v>1145</v>
      </c>
      <c r="E58" s="50"/>
    </row>
    <row r="59" spans="1:9">
      <c r="A59" s="29" t="s">
        <v>1093</v>
      </c>
      <c r="B59" s="3" t="s">
        <v>1094</v>
      </c>
      <c r="C59" s="8" t="s">
        <v>981</v>
      </c>
      <c r="D59" s="52" t="s">
        <v>1146</v>
      </c>
      <c r="E59" s="50" t="s">
        <v>1095</v>
      </c>
    </row>
    <row r="60" spans="1:9">
      <c r="A60" s="29" t="s">
        <v>1096</v>
      </c>
      <c r="B60" s="3" t="s">
        <v>1097</v>
      </c>
      <c r="C60" s="8" t="s">
        <v>1098</v>
      </c>
      <c r="D60" s="52" t="s">
        <v>1147</v>
      </c>
      <c r="E60" s="50" t="s">
        <v>1099</v>
      </c>
    </row>
    <row r="61" spans="1:9">
      <c r="A61" s="29" t="s">
        <v>1100</v>
      </c>
      <c r="B61" s="3" t="s">
        <v>1101</v>
      </c>
      <c r="C61" s="8" t="s">
        <v>1102</v>
      </c>
      <c r="D61" s="52" t="s">
        <v>1103</v>
      </c>
      <c r="E61" s="50" t="s">
        <v>1104</v>
      </c>
    </row>
    <row r="62" spans="1:9">
      <c r="A62" s="29" t="s">
        <v>1105</v>
      </c>
      <c r="B62" s="3" t="s">
        <v>1106</v>
      </c>
      <c r="C62" s="8" t="s">
        <v>981</v>
      </c>
      <c r="D62" s="52" t="s">
        <v>1148</v>
      </c>
      <c r="E62" s="50" t="s">
        <v>1107</v>
      </c>
    </row>
    <row r="63" spans="1:9">
      <c r="A63" s="29" t="s">
        <v>1108</v>
      </c>
      <c r="B63" s="3" t="s">
        <v>1109</v>
      </c>
      <c r="C63" s="8" t="s">
        <v>970</v>
      </c>
      <c r="D63" s="52" t="s">
        <v>1149</v>
      </c>
      <c r="E63" s="50" t="s">
        <v>1110</v>
      </c>
    </row>
    <row r="64" spans="1:9">
      <c r="A64" s="29" t="s">
        <v>1111</v>
      </c>
      <c r="B64" s="3" t="s">
        <v>1112</v>
      </c>
      <c r="C64" s="8" t="s">
        <v>981</v>
      </c>
      <c r="D64" s="52" t="s">
        <v>1148</v>
      </c>
      <c r="E64" s="50" t="s">
        <v>1113</v>
      </c>
    </row>
    <row r="65" spans="1:5">
      <c r="A65" s="29" t="s">
        <v>1114</v>
      </c>
      <c r="B65" s="3" t="s">
        <v>1115</v>
      </c>
      <c r="C65" s="8" t="s">
        <v>981</v>
      </c>
      <c r="D65" s="52" t="s">
        <v>1150</v>
      </c>
      <c r="E65" s="50" t="s">
        <v>1116</v>
      </c>
    </row>
    <row r="66" spans="1:5">
      <c r="A66" s="29" t="s">
        <v>1117</v>
      </c>
      <c r="B66" s="3" t="s">
        <v>1118</v>
      </c>
      <c r="C66" s="8" t="s">
        <v>970</v>
      </c>
      <c r="D66" s="52" t="s">
        <v>1119</v>
      </c>
      <c r="E66" s="50" t="s">
        <v>1120</v>
      </c>
    </row>
    <row r="67" spans="1:5">
      <c r="A67" s="29" t="s">
        <v>1121</v>
      </c>
      <c r="B67" s="3" t="s">
        <v>1122</v>
      </c>
      <c r="C67" s="8" t="s">
        <v>981</v>
      </c>
      <c r="D67" s="52" t="s">
        <v>1123</v>
      </c>
      <c r="E67" s="50" t="s">
        <v>1124</v>
      </c>
    </row>
    <row r="68" spans="1:5">
      <c r="A68" s="29" t="s">
        <v>1125</v>
      </c>
      <c r="B68" s="3" t="s">
        <v>1126</v>
      </c>
      <c r="C68" s="8" t="s">
        <v>981</v>
      </c>
      <c r="D68" s="52" t="s">
        <v>1151</v>
      </c>
      <c r="E68" s="50" t="s">
        <v>1127</v>
      </c>
    </row>
    <row r="69" spans="1:5">
      <c r="A69" s="29" t="s">
        <v>961</v>
      </c>
      <c r="B69" s="3" t="s">
        <v>1128</v>
      </c>
      <c r="C69" s="8" t="s">
        <v>981</v>
      </c>
      <c r="D69" s="52" t="s">
        <v>1152</v>
      </c>
      <c r="E69" s="50" t="s">
        <v>1129</v>
      </c>
    </row>
    <row r="70" spans="1:5">
      <c r="A70" s="29" t="s">
        <v>297</v>
      </c>
      <c r="B70" s="3" t="s">
        <v>302</v>
      </c>
      <c r="C70" s="8" t="s">
        <v>981</v>
      </c>
      <c r="D70" s="52" t="s">
        <v>1153</v>
      </c>
      <c r="E70" s="50" t="s">
        <v>1130</v>
      </c>
    </row>
    <row r="71" spans="1:5">
      <c r="A71" s="29" t="s">
        <v>298</v>
      </c>
      <c r="B71" s="3" t="s">
        <v>299</v>
      </c>
      <c r="C71" s="8" t="s">
        <v>981</v>
      </c>
      <c r="D71" s="52" t="s">
        <v>1153</v>
      </c>
      <c r="E71" s="50" t="s">
        <v>1131</v>
      </c>
    </row>
    <row r="72" spans="1:5">
      <c r="A72" s="30" t="s">
        <v>300</v>
      </c>
      <c r="B72" s="4" t="s">
        <v>301</v>
      </c>
      <c r="C72" s="9" t="s">
        <v>981</v>
      </c>
      <c r="D72" s="53" t="s">
        <v>1153</v>
      </c>
      <c r="E72" s="51" t="s">
        <v>1132</v>
      </c>
    </row>
  </sheetData>
  <autoFilter ref="A5:E72" xr:uid="{A4DEADF9-EFAE-A14D-BC4F-3F04ADDCB1E4}"/>
  <phoneticPr fontId="2"/>
  <conditionalFormatting sqref="A6:E72">
    <cfRule type="expression" dxfId="42" priority="1">
      <formula>$C6="Accepted"</formula>
    </cfRule>
    <cfRule type="expression" dxfId="41" priority="2">
      <formula>$C6="Accepted (Phase 1)"</formula>
    </cfRule>
    <cfRule type="expression" dxfId="40" priority="3">
      <formula>$C6="Accepted（条件付き）"</formula>
    </cfRule>
    <cfRule type="expression" dxfId="39" priority="4">
      <formula>$C6="Scope Reduced"</formula>
    </cfRule>
    <cfRule type="expression" dxfId="38" priority="5">
      <formula>$C6="Out of Scope"</formula>
    </cfRule>
    <cfRule type="expression" dxfId="37" priority="6">
      <formula>$A6="ADR-061"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793A-D3BE-314C-BBEE-5B944F0BD4CF}">
  <dimension ref="A1:W200"/>
  <sheetViews>
    <sheetView tabSelected="1" workbookViewId="0">
      <pane ySplit="1" topLeftCell="A2" activePane="bottomLeft" state="frozen"/>
      <selection pane="bottomLeft" activeCell="C23" sqref="C23"/>
    </sheetView>
  </sheetViews>
  <sheetFormatPr baseColWidth="10" defaultRowHeight="18"/>
  <cols>
    <col min="1" max="1" width="31.42578125" style="21" customWidth="1"/>
    <col min="2" max="2" width="10" style="21" customWidth="1"/>
    <col min="3" max="3" width="60" style="21" customWidth="1"/>
    <col min="4" max="5" width="7.85546875" style="21" customWidth="1"/>
    <col min="6" max="16384" width="10.7109375" style="21"/>
  </cols>
  <sheetData>
    <row r="1" spans="1:23" ht="20">
      <c r="A1" s="111" t="s">
        <v>1926</v>
      </c>
      <c r="B1" s="111" t="s">
        <v>1396</v>
      </c>
      <c r="C1" s="111" t="s">
        <v>1881</v>
      </c>
      <c r="D1" s="111" t="s">
        <v>3266</v>
      </c>
      <c r="E1" s="111" t="s">
        <v>1398</v>
      </c>
      <c r="F1"/>
      <c r="G1"/>
      <c r="H1"/>
      <c r="I1"/>
      <c r="J1"/>
      <c r="K1"/>
      <c r="L1"/>
      <c r="M1"/>
      <c r="N1"/>
      <c r="O1"/>
      <c r="P1"/>
      <c r="Q1"/>
      <c r="R1"/>
      <c r="S1"/>
      <c r="T1"/>
      <c r="U1"/>
      <c r="V1"/>
      <c r="W1"/>
    </row>
    <row r="2" spans="1:23" ht="20">
      <c r="A2" s="127" t="s">
        <v>4682</v>
      </c>
      <c r="B2" s="127" t="s">
        <v>2034</v>
      </c>
      <c r="C2" s="127" t="s">
        <v>3267</v>
      </c>
      <c r="D2" s="161">
        <v>4</v>
      </c>
      <c r="E2" s="161">
        <v>4</v>
      </c>
      <c r="F2"/>
      <c r="G2"/>
      <c r="H2"/>
      <c r="I2"/>
      <c r="J2"/>
      <c r="K2"/>
      <c r="L2"/>
      <c r="M2"/>
      <c r="N2"/>
      <c r="O2"/>
      <c r="P2"/>
      <c r="Q2"/>
      <c r="R2"/>
      <c r="S2"/>
      <c r="T2"/>
      <c r="U2"/>
      <c r="V2"/>
      <c r="W2"/>
    </row>
    <row r="3" spans="1:23" ht="20">
      <c r="A3" s="127" t="s">
        <v>4683</v>
      </c>
      <c r="B3" s="127" t="s">
        <v>2034</v>
      </c>
      <c r="C3" s="127" t="s">
        <v>3996</v>
      </c>
      <c r="D3" s="161">
        <v>17</v>
      </c>
      <c r="E3" s="161">
        <v>28</v>
      </c>
      <c r="F3"/>
      <c r="G3"/>
      <c r="H3"/>
      <c r="I3"/>
      <c r="J3"/>
      <c r="K3"/>
      <c r="L3"/>
      <c r="M3"/>
      <c r="N3"/>
      <c r="O3"/>
      <c r="P3"/>
      <c r="Q3"/>
      <c r="R3"/>
      <c r="S3"/>
      <c r="T3"/>
      <c r="U3"/>
      <c r="V3"/>
      <c r="W3"/>
    </row>
    <row r="4" spans="1:23" ht="20">
      <c r="A4" s="127" t="s">
        <v>4684</v>
      </c>
      <c r="B4" s="127" t="s">
        <v>2034</v>
      </c>
      <c r="C4" s="127" t="s">
        <v>3997</v>
      </c>
      <c r="D4" s="161">
        <v>4</v>
      </c>
      <c r="E4" s="161">
        <v>5.5</v>
      </c>
      <c r="F4"/>
      <c r="G4"/>
      <c r="H4"/>
      <c r="I4"/>
      <c r="J4"/>
      <c r="K4"/>
      <c r="L4"/>
      <c r="M4"/>
      <c r="N4"/>
      <c r="O4"/>
      <c r="P4"/>
      <c r="Q4"/>
      <c r="R4"/>
      <c r="S4"/>
      <c r="T4"/>
      <c r="U4"/>
      <c r="V4"/>
      <c r="W4"/>
    </row>
    <row r="5" spans="1:23" ht="20">
      <c r="A5" s="127" t="s">
        <v>1927</v>
      </c>
      <c r="B5" s="127" t="s">
        <v>2034</v>
      </c>
      <c r="C5" s="127" t="s">
        <v>2126</v>
      </c>
      <c r="D5" s="161">
        <v>2</v>
      </c>
      <c r="E5" s="161">
        <v>1</v>
      </c>
      <c r="F5"/>
      <c r="G5"/>
      <c r="H5"/>
      <c r="I5"/>
      <c r="J5"/>
      <c r="K5"/>
      <c r="L5"/>
      <c r="M5"/>
      <c r="N5"/>
      <c r="O5"/>
      <c r="P5"/>
      <c r="Q5"/>
      <c r="R5"/>
      <c r="S5"/>
      <c r="T5"/>
      <c r="U5"/>
      <c r="V5"/>
      <c r="W5"/>
    </row>
    <row r="6" spans="1:23" ht="20">
      <c r="A6" s="127" t="s">
        <v>4685</v>
      </c>
      <c r="B6" s="127" t="s">
        <v>2034</v>
      </c>
      <c r="C6" s="127" t="s">
        <v>3268</v>
      </c>
      <c r="D6" s="161">
        <v>0</v>
      </c>
      <c r="E6" s="161">
        <v>0</v>
      </c>
      <c r="F6"/>
      <c r="G6"/>
      <c r="H6"/>
      <c r="I6"/>
      <c r="J6"/>
      <c r="K6"/>
      <c r="L6"/>
      <c r="M6"/>
      <c r="N6"/>
      <c r="O6"/>
      <c r="P6"/>
      <c r="Q6"/>
      <c r="R6"/>
      <c r="S6"/>
      <c r="T6"/>
      <c r="U6"/>
      <c r="V6"/>
      <c r="W6"/>
    </row>
    <row r="7" spans="1:23" ht="20">
      <c r="A7" s="127" t="s">
        <v>4686</v>
      </c>
      <c r="B7" s="127" t="s">
        <v>2034</v>
      </c>
      <c r="C7" s="127" t="s">
        <v>3269</v>
      </c>
      <c r="D7" s="161">
        <v>1</v>
      </c>
      <c r="E7" s="161">
        <v>1</v>
      </c>
      <c r="F7"/>
      <c r="G7"/>
      <c r="H7"/>
      <c r="I7"/>
      <c r="J7"/>
      <c r="K7"/>
      <c r="L7"/>
      <c r="M7"/>
      <c r="N7"/>
      <c r="O7"/>
      <c r="P7"/>
      <c r="Q7"/>
      <c r="R7"/>
      <c r="S7"/>
      <c r="T7"/>
      <c r="U7"/>
      <c r="V7"/>
      <c r="W7"/>
    </row>
    <row r="8" spans="1:23" ht="20">
      <c r="A8" s="127" t="s">
        <v>4687</v>
      </c>
      <c r="B8" s="127" t="s">
        <v>2034</v>
      </c>
      <c r="C8" s="127" t="s">
        <v>2127</v>
      </c>
      <c r="D8" s="161">
        <v>5</v>
      </c>
      <c r="E8" s="161">
        <v>9</v>
      </c>
      <c r="F8"/>
      <c r="G8"/>
      <c r="H8"/>
      <c r="I8"/>
      <c r="J8"/>
      <c r="K8"/>
      <c r="L8"/>
      <c r="M8"/>
      <c r="N8"/>
      <c r="O8"/>
      <c r="P8"/>
      <c r="Q8"/>
      <c r="R8"/>
      <c r="S8"/>
      <c r="T8"/>
      <c r="U8"/>
      <c r="V8"/>
      <c r="W8"/>
    </row>
    <row r="9" spans="1:23" ht="20">
      <c r="A9" s="127" t="s">
        <v>2125</v>
      </c>
      <c r="B9" s="127" t="s">
        <v>2034</v>
      </c>
      <c r="C9" s="127" t="s">
        <v>3270</v>
      </c>
      <c r="D9" s="161">
        <v>3</v>
      </c>
      <c r="E9" s="161">
        <v>2.5</v>
      </c>
      <c r="F9"/>
      <c r="G9"/>
      <c r="H9"/>
      <c r="I9"/>
      <c r="J9"/>
      <c r="K9"/>
      <c r="L9"/>
      <c r="M9"/>
      <c r="N9"/>
      <c r="O9"/>
      <c r="P9"/>
      <c r="Q9"/>
      <c r="R9"/>
      <c r="S9"/>
      <c r="T9"/>
      <c r="U9"/>
      <c r="V9"/>
      <c r="W9"/>
    </row>
    <row r="10" spans="1:23" ht="20">
      <c r="A10" s="127" t="s">
        <v>2128</v>
      </c>
      <c r="B10" s="127" t="s">
        <v>2128</v>
      </c>
      <c r="C10" s="127" t="s">
        <v>3271</v>
      </c>
      <c r="D10" s="161">
        <v>6</v>
      </c>
      <c r="E10" s="161">
        <v>6.75</v>
      </c>
      <c r="F10"/>
      <c r="G10"/>
      <c r="H10"/>
      <c r="I10"/>
      <c r="J10"/>
      <c r="K10"/>
      <c r="L10"/>
      <c r="M10"/>
      <c r="N10"/>
      <c r="O10"/>
      <c r="P10"/>
      <c r="Q10"/>
      <c r="R10"/>
      <c r="S10"/>
      <c r="T10"/>
      <c r="U10"/>
      <c r="V10"/>
      <c r="W10"/>
    </row>
    <row r="11" spans="1:23" ht="20">
      <c r="A11" s="127" t="s">
        <v>2129</v>
      </c>
      <c r="B11" s="127" t="s">
        <v>2128</v>
      </c>
      <c r="C11" s="127" t="s">
        <v>2130</v>
      </c>
      <c r="D11" s="161">
        <v>3</v>
      </c>
      <c r="E11" s="161">
        <v>3.75</v>
      </c>
      <c r="F11"/>
      <c r="G11"/>
      <c r="H11"/>
      <c r="I11"/>
      <c r="J11"/>
      <c r="K11"/>
      <c r="L11"/>
      <c r="M11"/>
      <c r="N11"/>
      <c r="O11"/>
      <c r="P11"/>
      <c r="Q11"/>
      <c r="R11"/>
      <c r="S11"/>
      <c r="T11"/>
      <c r="U11"/>
      <c r="V11"/>
      <c r="W11"/>
    </row>
    <row r="12" spans="1:23" ht="20">
      <c r="A12" s="127" t="s">
        <v>2131</v>
      </c>
      <c r="B12" s="127" t="s">
        <v>2128</v>
      </c>
      <c r="C12" s="127" t="s">
        <v>3272</v>
      </c>
      <c r="D12" s="161">
        <v>4</v>
      </c>
      <c r="E12" s="161">
        <v>4</v>
      </c>
      <c r="F12"/>
      <c r="G12"/>
      <c r="H12"/>
      <c r="I12"/>
      <c r="J12"/>
      <c r="K12"/>
      <c r="L12"/>
      <c r="M12"/>
      <c r="N12"/>
      <c r="O12"/>
      <c r="P12"/>
      <c r="Q12"/>
      <c r="R12"/>
      <c r="S12"/>
      <c r="T12"/>
      <c r="U12"/>
      <c r="V12"/>
      <c r="W12"/>
    </row>
    <row r="13" spans="1:23" ht="20">
      <c r="A13" s="127" t="s">
        <v>2132</v>
      </c>
      <c r="B13" s="127" t="s">
        <v>2128</v>
      </c>
      <c r="C13" s="127" t="s">
        <v>3273</v>
      </c>
      <c r="D13" s="161">
        <v>2</v>
      </c>
      <c r="E13" s="161">
        <v>2</v>
      </c>
      <c r="F13"/>
      <c r="G13"/>
      <c r="H13"/>
      <c r="I13"/>
      <c r="J13"/>
      <c r="K13"/>
      <c r="L13"/>
      <c r="M13"/>
      <c r="N13"/>
      <c r="O13"/>
      <c r="P13"/>
      <c r="Q13"/>
      <c r="R13"/>
      <c r="S13"/>
      <c r="T13"/>
      <c r="U13"/>
      <c r="V13"/>
      <c r="W13"/>
    </row>
    <row r="14" spans="1:23" ht="20">
      <c r="A14" s="127" t="s">
        <v>4688</v>
      </c>
      <c r="B14" s="127" t="s">
        <v>2128</v>
      </c>
      <c r="C14" s="127" t="s">
        <v>3998</v>
      </c>
      <c r="D14" s="161">
        <v>3</v>
      </c>
      <c r="E14" s="161">
        <v>6</v>
      </c>
      <c r="F14"/>
      <c r="G14"/>
      <c r="H14"/>
      <c r="I14"/>
      <c r="J14"/>
      <c r="K14"/>
      <c r="L14"/>
      <c r="M14"/>
      <c r="N14"/>
      <c r="O14"/>
      <c r="P14"/>
      <c r="Q14"/>
      <c r="R14"/>
      <c r="S14"/>
      <c r="T14"/>
      <c r="U14"/>
      <c r="V14"/>
      <c r="W14"/>
    </row>
    <row r="15" spans="1:23" ht="20">
      <c r="A15" s="127" t="s">
        <v>4689</v>
      </c>
      <c r="B15" s="127" t="s">
        <v>2133</v>
      </c>
      <c r="C15" s="127" t="s">
        <v>2121</v>
      </c>
      <c r="D15" s="161">
        <v>4</v>
      </c>
      <c r="E15" s="161">
        <v>5.5</v>
      </c>
      <c r="F15"/>
      <c r="G15"/>
      <c r="H15"/>
      <c r="I15"/>
      <c r="J15"/>
      <c r="K15"/>
      <c r="L15"/>
      <c r="M15"/>
      <c r="N15"/>
      <c r="O15"/>
      <c r="P15"/>
      <c r="Q15"/>
      <c r="R15"/>
      <c r="S15"/>
      <c r="T15"/>
      <c r="U15"/>
      <c r="V15"/>
      <c r="W15"/>
    </row>
    <row r="16" spans="1:23" ht="20">
      <c r="A16" s="127" t="s">
        <v>2134</v>
      </c>
      <c r="B16" s="127" t="s">
        <v>2133</v>
      </c>
      <c r="C16" s="127" t="s">
        <v>3274</v>
      </c>
      <c r="D16" s="161">
        <v>4</v>
      </c>
      <c r="E16" s="161">
        <v>4.5</v>
      </c>
      <c r="F16"/>
      <c r="G16"/>
      <c r="H16"/>
      <c r="I16"/>
      <c r="J16"/>
      <c r="K16"/>
      <c r="L16"/>
      <c r="M16"/>
      <c r="N16"/>
      <c r="O16"/>
      <c r="P16"/>
      <c r="Q16"/>
      <c r="R16"/>
      <c r="S16"/>
      <c r="T16"/>
      <c r="U16"/>
      <c r="V16"/>
      <c r="W16"/>
    </row>
    <row r="17" spans="1:23" ht="20">
      <c r="A17" s="127" t="s">
        <v>4690</v>
      </c>
      <c r="B17" s="127" t="s">
        <v>2035</v>
      </c>
      <c r="C17" s="127" t="s">
        <v>3275</v>
      </c>
      <c r="D17" s="161">
        <v>2</v>
      </c>
      <c r="E17" s="161">
        <v>3</v>
      </c>
      <c r="F17"/>
      <c r="G17"/>
      <c r="H17"/>
      <c r="I17"/>
      <c r="J17"/>
      <c r="K17"/>
      <c r="L17"/>
      <c r="M17"/>
      <c r="N17"/>
      <c r="O17"/>
      <c r="P17"/>
      <c r="Q17"/>
      <c r="R17"/>
      <c r="S17"/>
      <c r="T17"/>
      <c r="U17"/>
      <c r="V17"/>
      <c r="W17"/>
    </row>
    <row r="18" spans="1:23" ht="20">
      <c r="A18" s="127" t="s">
        <v>1848</v>
      </c>
      <c r="B18" s="127" t="s">
        <v>2035</v>
      </c>
      <c r="C18" s="127" t="s">
        <v>3999</v>
      </c>
      <c r="D18" s="161">
        <v>5</v>
      </c>
      <c r="E18" s="161">
        <v>10</v>
      </c>
      <c r="F18"/>
      <c r="G18"/>
      <c r="H18"/>
      <c r="I18"/>
      <c r="J18"/>
      <c r="K18"/>
      <c r="L18"/>
      <c r="M18"/>
      <c r="N18"/>
      <c r="O18"/>
      <c r="P18"/>
      <c r="Q18"/>
      <c r="R18"/>
      <c r="S18"/>
      <c r="T18"/>
      <c r="U18"/>
      <c r="V18"/>
      <c r="W18"/>
    </row>
    <row r="19" spans="1:23" ht="20">
      <c r="A19" s="127" t="s">
        <v>2135</v>
      </c>
      <c r="B19" s="127" t="s">
        <v>2136</v>
      </c>
      <c r="C19" s="127" t="s">
        <v>2137</v>
      </c>
      <c r="D19" s="161">
        <v>5</v>
      </c>
      <c r="E19" s="161">
        <v>6</v>
      </c>
      <c r="F19"/>
      <c r="G19"/>
      <c r="H19"/>
      <c r="I19"/>
      <c r="J19"/>
      <c r="K19"/>
      <c r="L19"/>
      <c r="M19"/>
      <c r="N19"/>
      <c r="O19"/>
      <c r="P19"/>
      <c r="Q19"/>
      <c r="R19"/>
      <c r="S19"/>
      <c r="T19"/>
      <c r="U19"/>
      <c r="V19"/>
      <c r="W19"/>
    </row>
    <row r="20" spans="1:23" ht="20">
      <c r="A20" s="127" t="s">
        <v>2138</v>
      </c>
      <c r="B20" s="127" t="s">
        <v>2136</v>
      </c>
      <c r="C20" s="127" t="s">
        <v>2139</v>
      </c>
      <c r="D20" s="161">
        <v>4</v>
      </c>
      <c r="E20" s="161">
        <v>3.5</v>
      </c>
      <c r="F20"/>
      <c r="G20"/>
      <c r="H20"/>
      <c r="I20"/>
      <c r="J20"/>
      <c r="K20"/>
      <c r="L20"/>
      <c r="M20"/>
      <c r="N20"/>
      <c r="O20"/>
      <c r="P20"/>
      <c r="Q20"/>
      <c r="R20"/>
      <c r="S20"/>
      <c r="T20"/>
      <c r="U20"/>
      <c r="V20"/>
      <c r="W20"/>
    </row>
    <row r="21" spans="1:23" ht="20">
      <c r="A21" s="127" t="s">
        <v>1932</v>
      </c>
      <c r="B21" s="127" t="s">
        <v>2136</v>
      </c>
      <c r="C21" s="127" t="s">
        <v>2140</v>
      </c>
      <c r="D21" s="161">
        <v>1</v>
      </c>
      <c r="E21" s="161">
        <v>1</v>
      </c>
      <c r="F21"/>
      <c r="G21"/>
      <c r="H21"/>
      <c r="I21"/>
      <c r="J21"/>
      <c r="K21"/>
      <c r="L21"/>
      <c r="M21"/>
      <c r="N21"/>
      <c r="O21"/>
      <c r="P21"/>
      <c r="Q21"/>
      <c r="R21"/>
      <c r="S21"/>
      <c r="T21"/>
      <c r="U21"/>
      <c r="V21"/>
      <c r="W21"/>
    </row>
    <row r="22" spans="1:23" ht="20">
      <c r="A22" s="127" t="s">
        <v>2141</v>
      </c>
      <c r="B22" s="127" t="s">
        <v>2142</v>
      </c>
      <c r="C22" s="127" t="s">
        <v>2143</v>
      </c>
      <c r="D22" s="161">
        <v>11</v>
      </c>
      <c r="E22" s="161">
        <v>17.5</v>
      </c>
      <c r="F22"/>
      <c r="G22"/>
      <c r="H22"/>
      <c r="I22"/>
      <c r="J22"/>
      <c r="K22"/>
      <c r="L22"/>
      <c r="M22"/>
      <c r="N22"/>
      <c r="O22"/>
      <c r="P22"/>
      <c r="Q22"/>
      <c r="R22"/>
      <c r="S22"/>
      <c r="T22"/>
      <c r="U22"/>
      <c r="V22"/>
      <c r="W22"/>
    </row>
    <row r="23" spans="1:23" ht="20">
      <c r="A23" s="127" t="s">
        <v>2144</v>
      </c>
      <c r="B23" s="127" t="s">
        <v>2142</v>
      </c>
      <c r="C23" s="127" t="s">
        <v>2145</v>
      </c>
      <c r="D23" s="161">
        <v>8</v>
      </c>
      <c r="E23" s="161">
        <v>17.5</v>
      </c>
      <c r="F23"/>
      <c r="G23"/>
      <c r="H23"/>
      <c r="I23"/>
      <c r="J23"/>
      <c r="K23"/>
      <c r="L23"/>
      <c r="M23"/>
      <c r="N23"/>
      <c r="O23"/>
      <c r="P23"/>
      <c r="Q23"/>
      <c r="R23"/>
      <c r="S23"/>
      <c r="T23"/>
      <c r="U23"/>
      <c r="V23"/>
      <c r="W23"/>
    </row>
    <row r="24" spans="1:23" ht="20">
      <c r="A24" s="127" t="s">
        <v>2146</v>
      </c>
      <c r="B24" s="127" t="s">
        <v>2142</v>
      </c>
      <c r="C24" s="127" t="s">
        <v>2147</v>
      </c>
      <c r="D24" s="161">
        <v>9</v>
      </c>
      <c r="E24" s="161">
        <v>14.5</v>
      </c>
      <c r="F24"/>
      <c r="G24"/>
      <c r="H24"/>
      <c r="I24"/>
      <c r="J24"/>
      <c r="K24"/>
      <c r="L24"/>
      <c r="M24"/>
      <c r="N24"/>
      <c r="O24"/>
      <c r="P24"/>
      <c r="Q24"/>
      <c r="R24"/>
      <c r="S24"/>
      <c r="T24"/>
      <c r="U24"/>
      <c r="V24"/>
      <c r="W24"/>
    </row>
    <row r="25" spans="1:23" ht="20">
      <c r="A25" s="127" t="s">
        <v>2148</v>
      </c>
      <c r="B25" s="127" t="s">
        <v>2142</v>
      </c>
      <c r="C25" s="127" t="s">
        <v>2149</v>
      </c>
      <c r="D25" s="161">
        <v>6</v>
      </c>
      <c r="E25" s="161">
        <v>10</v>
      </c>
      <c r="F25"/>
      <c r="G25"/>
      <c r="H25"/>
      <c r="I25"/>
      <c r="J25"/>
      <c r="K25"/>
      <c r="L25"/>
      <c r="M25"/>
      <c r="N25"/>
      <c r="O25"/>
      <c r="P25"/>
      <c r="Q25"/>
      <c r="R25"/>
      <c r="S25"/>
      <c r="T25"/>
      <c r="U25"/>
      <c r="V25"/>
      <c r="W25"/>
    </row>
    <row r="26" spans="1:23" ht="20">
      <c r="A26" s="127" t="s">
        <v>2150</v>
      </c>
      <c r="B26" s="127" t="s">
        <v>2142</v>
      </c>
      <c r="C26" s="127" t="s">
        <v>3276</v>
      </c>
      <c r="D26" s="161">
        <v>18</v>
      </c>
      <c r="E26" s="161">
        <v>27</v>
      </c>
      <c r="F26"/>
      <c r="G26"/>
      <c r="H26"/>
      <c r="I26"/>
      <c r="J26"/>
      <c r="K26"/>
      <c r="L26"/>
      <c r="M26"/>
      <c r="N26"/>
      <c r="O26"/>
      <c r="P26"/>
      <c r="Q26"/>
      <c r="R26"/>
      <c r="S26"/>
      <c r="T26"/>
      <c r="U26"/>
      <c r="V26"/>
      <c r="W26"/>
    </row>
    <row r="27" spans="1:23" ht="20">
      <c r="A27" s="127" t="s">
        <v>2151</v>
      </c>
      <c r="B27" s="127" t="s">
        <v>2142</v>
      </c>
      <c r="C27" s="127" t="s">
        <v>2152</v>
      </c>
      <c r="D27" s="161">
        <v>4</v>
      </c>
      <c r="E27" s="161">
        <v>4.5</v>
      </c>
      <c r="F27"/>
      <c r="G27"/>
      <c r="H27"/>
      <c r="I27"/>
      <c r="J27"/>
      <c r="K27"/>
      <c r="L27"/>
      <c r="M27"/>
      <c r="N27"/>
      <c r="O27"/>
      <c r="P27"/>
      <c r="Q27"/>
      <c r="R27"/>
      <c r="S27"/>
      <c r="T27"/>
      <c r="U27"/>
      <c r="V27"/>
      <c r="W27"/>
    </row>
    <row r="28" spans="1:23" ht="20">
      <c r="A28" s="127" t="s">
        <v>2153</v>
      </c>
      <c r="B28" s="127" t="s">
        <v>2142</v>
      </c>
      <c r="C28" s="127" t="s">
        <v>2154</v>
      </c>
      <c r="D28" s="161">
        <v>5</v>
      </c>
      <c r="E28" s="161">
        <v>7</v>
      </c>
      <c r="F28"/>
      <c r="G28"/>
      <c r="H28"/>
      <c r="I28"/>
      <c r="J28"/>
      <c r="K28"/>
      <c r="L28"/>
      <c r="M28"/>
      <c r="N28"/>
      <c r="O28"/>
      <c r="P28"/>
      <c r="Q28"/>
      <c r="R28"/>
      <c r="S28"/>
      <c r="T28"/>
      <c r="U28"/>
      <c r="V28"/>
      <c r="W28"/>
    </row>
    <row r="29" spans="1:23" ht="20">
      <c r="A29" s="127" t="s">
        <v>2155</v>
      </c>
      <c r="B29" s="127" t="s">
        <v>2142</v>
      </c>
      <c r="C29" s="127" t="s">
        <v>3277</v>
      </c>
      <c r="D29" s="161">
        <v>15</v>
      </c>
      <c r="E29" s="161">
        <v>24.5</v>
      </c>
      <c r="F29"/>
      <c r="G29"/>
      <c r="H29"/>
      <c r="I29"/>
      <c r="J29"/>
      <c r="K29"/>
      <c r="L29"/>
      <c r="M29"/>
      <c r="N29"/>
      <c r="O29"/>
      <c r="P29"/>
      <c r="Q29"/>
      <c r="R29"/>
      <c r="S29"/>
      <c r="T29"/>
      <c r="U29"/>
      <c r="V29"/>
      <c r="W29"/>
    </row>
    <row r="30" spans="1:23" ht="20">
      <c r="A30" s="127" t="s">
        <v>2156</v>
      </c>
      <c r="B30" s="127" t="s">
        <v>2142</v>
      </c>
      <c r="C30" s="127" t="s">
        <v>2157</v>
      </c>
      <c r="D30" s="161">
        <v>3</v>
      </c>
      <c r="E30" s="161">
        <v>4</v>
      </c>
      <c r="F30"/>
      <c r="G30"/>
      <c r="H30"/>
      <c r="I30"/>
      <c r="J30"/>
      <c r="K30"/>
      <c r="L30"/>
      <c r="M30"/>
      <c r="N30"/>
      <c r="O30"/>
      <c r="P30"/>
      <c r="Q30"/>
      <c r="R30"/>
      <c r="S30"/>
      <c r="T30"/>
      <c r="U30"/>
      <c r="V30"/>
      <c r="W30"/>
    </row>
    <row r="31" spans="1:23" ht="20">
      <c r="A31"/>
      <c r="B31"/>
      <c r="C31"/>
      <c r="D31"/>
      <c r="E31"/>
      <c r="F31"/>
      <c r="G31"/>
      <c r="H31"/>
      <c r="I31"/>
      <c r="J31"/>
      <c r="K31"/>
      <c r="L31"/>
      <c r="M31"/>
      <c r="N31"/>
      <c r="O31"/>
      <c r="P31"/>
      <c r="Q31"/>
      <c r="R31"/>
      <c r="S31"/>
      <c r="T31"/>
      <c r="U31"/>
      <c r="V31"/>
      <c r="W31"/>
    </row>
    <row r="32" spans="1:23" ht="20">
      <c r="A32"/>
      <c r="B32"/>
      <c r="C32"/>
      <c r="D32"/>
      <c r="E32"/>
      <c r="F32"/>
      <c r="G32"/>
      <c r="H32"/>
      <c r="I32"/>
      <c r="J32"/>
      <c r="K32"/>
      <c r="L32"/>
      <c r="M32"/>
      <c r="N32"/>
      <c r="O32"/>
      <c r="P32"/>
      <c r="Q32"/>
      <c r="R32"/>
      <c r="S32"/>
      <c r="T32"/>
      <c r="U32"/>
      <c r="V32"/>
      <c r="W32"/>
    </row>
    <row r="33" spans="1:23" ht="20">
      <c r="A33"/>
      <c r="B33"/>
      <c r="C33"/>
      <c r="D33"/>
      <c r="E33"/>
      <c r="F33"/>
      <c r="G33"/>
      <c r="H33"/>
      <c r="I33"/>
      <c r="J33"/>
      <c r="K33"/>
      <c r="L33"/>
      <c r="M33"/>
      <c r="N33"/>
      <c r="O33"/>
      <c r="P33"/>
      <c r="Q33"/>
      <c r="R33"/>
      <c r="S33"/>
      <c r="T33"/>
      <c r="U33"/>
      <c r="V33"/>
      <c r="W33"/>
    </row>
    <row r="34" spans="1:23" ht="20">
      <c r="A34"/>
      <c r="B34"/>
      <c r="C34"/>
      <c r="D34"/>
      <c r="E34"/>
      <c r="F34"/>
      <c r="G34"/>
      <c r="H34"/>
      <c r="I34"/>
      <c r="J34"/>
      <c r="K34"/>
      <c r="L34"/>
      <c r="M34"/>
      <c r="N34"/>
      <c r="O34"/>
      <c r="P34"/>
      <c r="Q34"/>
      <c r="R34"/>
      <c r="S34"/>
      <c r="T34"/>
      <c r="U34"/>
      <c r="V34"/>
      <c r="W34"/>
    </row>
    <row r="35" spans="1:23" ht="20">
      <c r="A35"/>
      <c r="B35"/>
      <c r="C35"/>
      <c r="D35"/>
      <c r="E35"/>
      <c r="F35"/>
      <c r="G35"/>
      <c r="H35"/>
      <c r="I35"/>
      <c r="J35"/>
      <c r="K35"/>
      <c r="L35"/>
      <c r="M35"/>
      <c r="N35"/>
      <c r="O35"/>
      <c r="P35"/>
      <c r="Q35"/>
      <c r="R35"/>
      <c r="S35"/>
      <c r="T35"/>
      <c r="U35"/>
      <c r="V35"/>
      <c r="W35"/>
    </row>
    <row r="36" spans="1:23" ht="20">
      <c r="A36"/>
      <c r="B36"/>
      <c r="C36"/>
      <c r="D36"/>
      <c r="E36"/>
      <c r="F36"/>
      <c r="G36"/>
      <c r="H36"/>
      <c r="I36"/>
      <c r="J36"/>
      <c r="K36"/>
      <c r="L36"/>
      <c r="M36"/>
      <c r="N36"/>
      <c r="O36"/>
      <c r="P36"/>
      <c r="Q36"/>
      <c r="R36"/>
      <c r="S36"/>
      <c r="T36"/>
      <c r="U36"/>
      <c r="V36"/>
      <c r="W36"/>
    </row>
    <row r="37" spans="1:23" ht="20">
      <c r="A37"/>
      <c r="B37"/>
      <c r="C37"/>
      <c r="D37"/>
      <c r="E37"/>
      <c r="F37"/>
      <c r="G37"/>
      <c r="H37"/>
      <c r="I37"/>
      <c r="J37"/>
      <c r="K37"/>
      <c r="L37"/>
      <c r="M37"/>
      <c r="N37"/>
      <c r="O37"/>
      <c r="P37"/>
      <c r="Q37"/>
      <c r="R37"/>
      <c r="S37"/>
      <c r="T37"/>
      <c r="U37"/>
      <c r="V37"/>
      <c r="W37"/>
    </row>
    <row r="38" spans="1:23" ht="20">
      <c r="A38"/>
      <c r="B38"/>
      <c r="C38"/>
      <c r="D38"/>
      <c r="E38"/>
      <c r="F38"/>
      <c r="G38"/>
      <c r="H38"/>
      <c r="I38"/>
      <c r="J38"/>
      <c r="K38"/>
      <c r="L38"/>
      <c r="M38"/>
      <c r="N38"/>
      <c r="O38"/>
      <c r="P38"/>
      <c r="Q38"/>
      <c r="R38"/>
      <c r="S38"/>
      <c r="T38"/>
      <c r="U38"/>
      <c r="V38"/>
      <c r="W38"/>
    </row>
    <row r="39" spans="1:23" ht="20">
      <c r="A39"/>
      <c r="B39"/>
      <c r="C39"/>
      <c r="D39"/>
      <c r="E39"/>
      <c r="F39"/>
      <c r="G39"/>
      <c r="H39"/>
      <c r="I39"/>
      <c r="J39"/>
      <c r="K39"/>
      <c r="L39"/>
      <c r="M39"/>
      <c r="N39"/>
      <c r="O39"/>
      <c r="P39"/>
      <c r="Q39"/>
      <c r="R39"/>
      <c r="S39"/>
      <c r="T39"/>
      <c r="U39"/>
      <c r="V39"/>
      <c r="W39"/>
    </row>
    <row r="40" spans="1:23" ht="20">
      <c r="A40"/>
      <c r="B40"/>
      <c r="C40"/>
      <c r="D40"/>
      <c r="E40"/>
      <c r="F40"/>
      <c r="G40"/>
      <c r="H40"/>
      <c r="I40"/>
      <c r="J40"/>
      <c r="K40"/>
      <c r="L40"/>
      <c r="M40"/>
      <c r="N40"/>
      <c r="O40"/>
      <c r="P40"/>
      <c r="Q40"/>
      <c r="R40"/>
      <c r="S40"/>
      <c r="T40"/>
      <c r="U40"/>
      <c r="V40"/>
      <c r="W40"/>
    </row>
    <row r="41" spans="1:23" ht="20">
      <c r="A41"/>
      <c r="B41"/>
      <c r="C41"/>
      <c r="D41"/>
      <c r="E41"/>
      <c r="F41"/>
      <c r="G41"/>
      <c r="H41"/>
      <c r="I41"/>
      <c r="J41"/>
      <c r="K41"/>
      <c r="L41"/>
      <c r="M41"/>
      <c r="N41"/>
      <c r="O41"/>
      <c r="P41"/>
      <c r="Q41"/>
      <c r="R41"/>
      <c r="S41"/>
      <c r="T41"/>
      <c r="U41"/>
      <c r="V41"/>
      <c r="W41"/>
    </row>
    <row r="42" spans="1:23" ht="20">
      <c r="A42"/>
      <c r="B42"/>
      <c r="C42"/>
      <c r="D42"/>
      <c r="E42"/>
      <c r="F42"/>
      <c r="G42"/>
      <c r="H42"/>
      <c r="I42"/>
      <c r="J42"/>
      <c r="K42"/>
      <c r="L42"/>
      <c r="M42"/>
      <c r="N42"/>
      <c r="O42"/>
      <c r="P42"/>
      <c r="Q42"/>
      <c r="R42"/>
      <c r="S42"/>
      <c r="T42"/>
      <c r="U42"/>
      <c r="V42"/>
      <c r="W42"/>
    </row>
    <row r="43" spans="1:23" ht="20">
      <c r="A43"/>
      <c r="B43"/>
      <c r="C43"/>
      <c r="D43"/>
      <c r="E43"/>
      <c r="F43"/>
      <c r="G43"/>
      <c r="H43"/>
      <c r="I43"/>
      <c r="J43"/>
      <c r="K43"/>
      <c r="L43"/>
      <c r="M43"/>
      <c r="N43"/>
      <c r="O43"/>
      <c r="P43"/>
      <c r="Q43"/>
      <c r="R43"/>
      <c r="S43"/>
      <c r="T43"/>
      <c r="U43"/>
      <c r="V43"/>
      <c r="W43"/>
    </row>
    <row r="44" spans="1:23" ht="20">
      <c r="A44"/>
      <c r="B44"/>
      <c r="C44"/>
      <c r="D44"/>
      <c r="E44"/>
      <c r="F44"/>
      <c r="G44"/>
      <c r="H44"/>
      <c r="I44"/>
      <c r="J44"/>
      <c r="K44"/>
      <c r="L44"/>
      <c r="M44"/>
      <c r="N44"/>
      <c r="O44"/>
      <c r="P44"/>
      <c r="Q44"/>
      <c r="R44"/>
      <c r="S44"/>
      <c r="T44"/>
      <c r="U44"/>
      <c r="V44"/>
      <c r="W44"/>
    </row>
    <row r="45" spans="1:23" ht="20">
      <c r="A45"/>
      <c r="B45"/>
      <c r="C45"/>
      <c r="D45"/>
      <c r="E45"/>
      <c r="F45"/>
      <c r="G45"/>
      <c r="H45"/>
      <c r="I45"/>
      <c r="J45"/>
      <c r="K45"/>
      <c r="L45"/>
      <c r="M45"/>
      <c r="N45"/>
      <c r="O45"/>
      <c r="P45"/>
      <c r="Q45"/>
      <c r="R45"/>
      <c r="S45"/>
      <c r="T45"/>
      <c r="U45"/>
      <c r="V45"/>
      <c r="W45"/>
    </row>
    <row r="46" spans="1:23" ht="20">
      <c r="A46"/>
      <c r="B46"/>
      <c r="C46"/>
      <c r="D46"/>
      <c r="E46"/>
      <c r="F46"/>
      <c r="G46"/>
      <c r="H46"/>
      <c r="I46"/>
      <c r="J46"/>
      <c r="K46"/>
      <c r="L46"/>
      <c r="M46"/>
      <c r="N46"/>
      <c r="O46"/>
      <c r="P46"/>
      <c r="Q46"/>
      <c r="R46"/>
      <c r="S46"/>
      <c r="T46"/>
      <c r="U46"/>
      <c r="V46"/>
      <c r="W46"/>
    </row>
    <row r="47" spans="1:23" ht="20">
      <c r="A47"/>
      <c r="B47"/>
      <c r="C47"/>
      <c r="D47"/>
      <c r="E47"/>
      <c r="F47"/>
      <c r="G47"/>
      <c r="H47"/>
      <c r="I47"/>
      <c r="J47"/>
      <c r="K47"/>
      <c r="L47"/>
      <c r="M47"/>
      <c r="N47"/>
      <c r="O47"/>
      <c r="P47"/>
      <c r="Q47"/>
      <c r="R47"/>
      <c r="S47"/>
      <c r="T47"/>
      <c r="U47"/>
      <c r="V47"/>
      <c r="W47"/>
    </row>
    <row r="48" spans="1:23" ht="20">
      <c r="A48"/>
      <c r="B48"/>
      <c r="C48"/>
      <c r="D48"/>
      <c r="E48"/>
      <c r="F48"/>
      <c r="G48"/>
      <c r="H48"/>
      <c r="I48"/>
      <c r="J48"/>
      <c r="K48"/>
      <c r="L48"/>
      <c r="M48"/>
      <c r="N48"/>
      <c r="O48"/>
      <c r="P48"/>
      <c r="Q48"/>
      <c r="R48"/>
      <c r="S48"/>
      <c r="T48"/>
      <c r="U48"/>
      <c r="V48"/>
      <c r="W48"/>
    </row>
    <row r="49" spans="1:23" ht="20">
      <c r="A49"/>
      <c r="B49"/>
      <c r="C49"/>
      <c r="D49"/>
      <c r="E49"/>
      <c r="F49"/>
      <c r="G49"/>
      <c r="H49"/>
      <c r="I49"/>
      <c r="J49"/>
      <c r="K49"/>
      <c r="L49"/>
      <c r="M49"/>
      <c r="N49"/>
      <c r="O49"/>
      <c r="P49"/>
      <c r="Q49"/>
      <c r="R49"/>
      <c r="S49"/>
      <c r="T49"/>
      <c r="U49"/>
      <c r="V49"/>
      <c r="W49"/>
    </row>
    <row r="50" spans="1:23" ht="20">
      <c r="A50"/>
      <c r="B50"/>
      <c r="C50"/>
      <c r="D50"/>
      <c r="E50"/>
      <c r="F50"/>
      <c r="G50"/>
      <c r="H50"/>
      <c r="I50"/>
      <c r="J50"/>
      <c r="K50"/>
      <c r="L50"/>
      <c r="M50"/>
      <c r="N50"/>
      <c r="O50"/>
      <c r="P50"/>
      <c r="Q50"/>
      <c r="R50"/>
      <c r="S50"/>
      <c r="T50"/>
      <c r="U50"/>
      <c r="V50"/>
      <c r="W50"/>
    </row>
    <row r="51" spans="1:23" ht="20">
      <c r="A51"/>
      <c r="B51"/>
      <c r="C51"/>
      <c r="D51"/>
      <c r="E51"/>
      <c r="F51"/>
      <c r="G51"/>
      <c r="H51"/>
      <c r="I51"/>
      <c r="J51"/>
      <c r="K51"/>
      <c r="L51"/>
      <c r="M51"/>
      <c r="N51"/>
      <c r="O51"/>
      <c r="P51"/>
      <c r="Q51"/>
      <c r="R51"/>
      <c r="S51"/>
      <c r="T51"/>
      <c r="U51"/>
      <c r="V51"/>
      <c r="W51"/>
    </row>
    <row r="52" spans="1:23" ht="20">
      <c r="A52"/>
      <c r="B52"/>
      <c r="C52"/>
      <c r="D52"/>
      <c r="E52"/>
      <c r="F52"/>
      <c r="G52"/>
      <c r="H52"/>
      <c r="I52"/>
      <c r="J52"/>
      <c r="K52"/>
      <c r="L52"/>
      <c r="M52"/>
      <c r="N52"/>
      <c r="O52"/>
      <c r="P52"/>
      <c r="Q52"/>
      <c r="R52"/>
      <c r="S52"/>
      <c r="T52"/>
      <c r="U52"/>
      <c r="V52"/>
      <c r="W52"/>
    </row>
    <row r="53" spans="1:23" ht="20">
      <c r="A53"/>
      <c r="B53"/>
      <c r="C53"/>
      <c r="D53"/>
      <c r="E53"/>
      <c r="F53"/>
      <c r="G53"/>
      <c r="H53"/>
      <c r="I53"/>
      <c r="J53"/>
      <c r="K53"/>
      <c r="L53"/>
      <c r="M53"/>
      <c r="N53"/>
      <c r="O53"/>
      <c r="P53"/>
      <c r="Q53"/>
      <c r="R53"/>
      <c r="S53"/>
      <c r="T53"/>
      <c r="U53"/>
      <c r="V53"/>
      <c r="W53"/>
    </row>
    <row r="54" spans="1:23" ht="20">
      <c r="A54"/>
      <c r="B54"/>
      <c r="C54"/>
      <c r="D54"/>
      <c r="E54"/>
      <c r="F54"/>
      <c r="G54"/>
      <c r="H54"/>
      <c r="I54"/>
      <c r="J54"/>
      <c r="K54"/>
      <c r="L54"/>
      <c r="M54"/>
      <c r="N54"/>
      <c r="O54"/>
      <c r="P54"/>
      <c r="Q54"/>
      <c r="R54"/>
      <c r="S54"/>
      <c r="T54"/>
      <c r="U54"/>
      <c r="V54"/>
      <c r="W54"/>
    </row>
    <row r="55" spans="1:23" ht="20">
      <c r="A55"/>
      <c r="B55"/>
      <c r="C55"/>
      <c r="D55"/>
      <c r="E55"/>
      <c r="F55"/>
      <c r="G55"/>
      <c r="H55"/>
      <c r="I55"/>
      <c r="J55"/>
      <c r="K55"/>
      <c r="L55"/>
      <c r="M55"/>
      <c r="N55"/>
      <c r="O55"/>
      <c r="P55"/>
      <c r="Q55"/>
      <c r="R55"/>
      <c r="S55"/>
      <c r="T55"/>
      <c r="U55"/>
      <c r="V55"/>
      <c r="W55"/>
    </row>
    <row r="56" spans="1:23" ht="20">
      <c r="A56"/>
      <c r="B56"/>
      <c r="C56"/>
      <c r="D56"/>
      <c r="E56"/>
      <c r="F56"/>
      <c r="G56"/>
      <c r="H56"/>
      <c r="I56"/>
      <c r="J56"/>
      <c r="K56"/>
      <c r="L56"/>
      <c r="M56"/>
      <c r="N56"/>
      <c r="O56"/>
      <c r="P56"/>
      <c r="Q56"/>
      <c r="R56"/>
      <c r="S56"/>
      <c r="T56"/>
      <c r="U56"/>
      <c r="V56"/>
      <c r="W56"/>
    </row>
    <row r="57" spans="1:23" ht="20">
      <c r="A57"/>
      <c r="B57"/>
      <c r="C57"/>
      <c r="D57"/>
      <c r="E57"/>
      <c r="F57"/>
      <c r="G57"/>
      <c r="H57"/>
      <c r="I57"/>
      <c r="J57"/>
      <c r="K57"/>
      <c r="L57"/>
      <c r="M57"/>
      <c r="N57"/>
      <c r="O57"/>
      <c r="P57"/>
      <c r="Q57"/>
      <c r="R57"/>
      <c r="S57"/>
      <c r="T57"/>
      <c r="U57"/>
      <c r="V57"/>
      <c r="W57"/>
    </row>
    <row r="58" spans="1:23" ht="20">
      <c r="A58"/>
      <c r="B58"/>
      <c r="C58"/>
      <c r="D58"/>
      <c r="E58"/>
      <c r="F58"/>
      <c r="G58"/>
      <c r="H58"/>
      <c r="I58"/>
      <c r="J58"/>
      <c r="K58"/>
      <c r="L58"/>
      <c r="M58"/>
      <c r="N58"/>
      <c r="O58"/>
      <c r="P58"/>
      <c r="Q58"/>
      <c r="R58"/>
      <c r="S58"/>
      <c r="T58"/>
      <c r="U58"/>
      <c r="V58"/>
      <c r="W58"/>
    </row>
    <row r="59" spans="1:23" ht="20">
      <c r="A59"/>
      <c r="B59"/>
      <c r="C59"/>
      <c r="D59"/>
      <c r="E59"/>
      <c r="F59"/>
      <c r="G59"/>
      <c r="H59"/>
      <c r="I59"/>
      <c r="J59"/>
      <c r="K59"/>
      <c r="L59"/>
      <c r="M59"/>
      <c r="N59"/>
      <c r="O59"/>
      <c r="P59"/>
      <c r="Q59"/>
      <c r="R59"/>
      <c r="S59"/>
      <c r="T59"/>
      <c r="U59"/>
      <c r="V59"/>
      <c r="W59"/>
    </row>
    <row r="60" spans="1:23" ht="20">
      <c r="A60"/>
      <c r="B60"/>
      <c r="C60"/>
      <c r="D60"/>
      <c r="E60"/>
      <c r="F60"/>
      <c r="G60"/>
      <c r="H60"/>
      <c r="I60"/>
      <c r="J60"/>
      <c r="K60"/>
      <c r="L60"/>
      <c r="M60"/>
      <c r="N60"/>
      <c r="O60"/>
      <c r="P60"/>
      <c r="Q60"/>
      <c r="R60"/>
      <c r="S60"/>
      <c r="T60"/>
      <c r="U60"/>
      <c r="V60"/>
      <c r="W60"/>
    </row>
    <row r="61" spans="1:23" ht="20">
      <c r="A61"/>
      <c r="B61"/>
      <c r="C61"/>
      <c r="D61"/>
      <c r="E61"/>
      <c r="F61"/>
      <c r="G61"/>
      <c r="H61"/>
      <c r="I61"/>
      <c r="J61"/>
      <c r="K61"/>
      <c r="L61"/>
      <c r="M61"/>
      <c r="N61"/>
      <c r="O61"/>
      <c r="P61"/>
      <c r="Q61"/>
      <c r="R61"/>
      <c r="S61"/>
      <c r="T61"/>
      <c r="U61"/>
      <c r="V61"/>
      <c r="W61"/>
    </row>
    <row r="62" spans="1:23" ht="20">
      <c r="A62"/>
      <c r="B62"/>
      <c r="C62"/>
      <c r="D62"/>
      <c r="E62"/>
      <c r="F62"/>
      <c r="G62"/>
      <c r="H62"/>
      <c r="I62"/>
      <c r="J62"/>
      <c r="K62"/>
      <c r="L62"/>
      <c r="M62"/>
      <c r="N62"/>
      <c r="O62"/>
      <c r="P62"/>
      <c r="Q62"/>
      <c r="R62"/>
      <c r="S62"/>
      <c r="T62"/>
      <c r="U62"/>
      <c r="V62"/>
      <c r="W62"/>
    </row>
    <row r="63" spans="1:23" ht="20">
      <c r="A63"/>
      <c r="B63"/>
      <c r="C63"/>
      <c r="D63"/>
      <c r="E63"/>
      <c r="F63"/>
      <c r="G63"/>
      <c r="H63"/>
      <c r="I63"/>
      <c r="J63"/>
      <c r="K63"/>
      <c r="L63"/>
      <c r="M63"/>
      <c r="N63"/>
      <c r="O63"/>
      <c r="P63"/>
      <c r="Q63"/>
      <c r="R63"/>
      <c r="S63"/>
      <c r="T63"/>
      <c r="U63"/>
      <c r="V63"/>
      <c r="W63"/>
    </row>
    <row r="64" spans="1:23" ht="20">
      <c r="A64"/>
      <c r="B64"/>
      <c r="C64"/>
      <c r="D64"/>
      <c r="E64"/>
      <c r="F64"/>
      <c r="G64"/>
      <c r="H64"/>
      <c r="I64"/>
      <c r="J64"/>
      <c r="K64"/>
      <c r="L64"/>
      <c r="M64"/>
      <c r="N64"/>
      <c r="O64"/>
      <c r="P64"/>
      <c r="Q64"/>
      <c r="R64"/>
      <c r="S64"/>
      <c r="T64"/>
      <c r="U64"/>
      <c r="V64"/>
      <c r="W64"/>
    </row>
    <row r="65" spans="1:23" ht="20">
      <c r="A65"/>
      <c r="B65"/>
      <c r="C65"/>
      <c r="D65"/>
      <c r="E65"/>
      <c r="F65"/>
      <c r="G65"/>
      <c r="H65"/>
      <c r="I65"/>
      <c r="J65"/>
      <c r="K65"/>
      <c r="L65"/>
      <c r="M65"/>
      <c r="N65"/>
      <c r="O65"/>
      <c r="P65"/>
      <c r="Q65"/>
      <c r="R65"/>
      <c r="S65"/>
      <c r="T65"/>
      <c r="U65"/>
      <c r="V65"/>
      <c r="W65"/>
    </row>
    <row r="66" spans="1:23" ht="20">
      <c r="A66"/>
      <c r="B66"/>
      <c r="C66"/>
      <c r="D66"/>
      <c r="E66"/>
      <c r="F66"/>
      <c r="G66"/>
      <c r="H66"/>
      <c r="I66"/>
      <c r="J66"/>
      <c r="K66"/>
      <c r="L66"/>
      <c r="M66"/>
      <c r="N66"/>
      <c r="O66"/>
      <c r="P66"/>
      <c r="Q66"/>
      <c r="R66"/>
      <c r="S66"/>
      <c r="T66"/>
      <c r="U66"/>
      <c r="V66"/>
      <c r="W66"/>
    </row>
    <row r="67" spans="1:23" ht="20">
      <c r="A67"/>
      <c r="B67"/>
      <c r="C67"/>
      <c r="D67"/>
      <c r="E67"/>
      <c r="F67"/>
      <c r="G67"/>
      <c r="H67"/>
      <c r="I67"/>
      <c r="J67"/>
      <c r="K67"/>
      <c r="L67"/>
      <c r="M67"/>
      <c r="N67"/>
      <c r="O67"/>
      <c r="P67"/>
      <c r="Q67"/>
      <c r="R67"/>
      <c r="S67"/>
      <c r="T67"/>
      <c r="U67"/>
      <c r="V67"/>
      <c r="W67"/>
    </row>
    <row r="68" spans="1:23" ht="20">
      <c r="A68"/>
      <c r="B68"/>
      <c r="C68"/>
      <c r="D68"/>
      <c r="E68"/>
      <c r="F68"/>
      <c r="G68"/>
      <c r="H68"/>
      <c r="I68"/>
      <c r="J68"/>
      <c r="K68"/>
      <c r="L68"/>
      <c r="M68"/>
      <c r="N68"/>
      <c r="O68"/>
      <c r="P68"/>
      <c r="Q68"/>
      <c r="R68"/>
      <c r="S68"/>
      <c r="T68"/>
      <c r="U68"/>
      <c r="V68"/>
      <c r="W68"/>
    </row>
    <row r="69" spans="1:23" ht="20">
      <c r="A69"/>
      <c r="B69"/>
      <c r="C69"/>
      <c r="D69"/>
      <c r="E69"/>
      <c r="F69"/>
      <c r="G69"/>
      <c r="H69"/>
      <c r="I69"/>
      <c r="J69"/>
      <c r="K69"/>
      <c r="L69"/>
      <c r="M69"/>
      <c r="N69"/>
      <c r="O69"/>
      <c r="P69"/>
      <c r="Q69"/>
      <c r="R69"/>
      <c r="S69"/>
      <c r="T69"/>
      <c r="U69"/>
      <c r="V69"/>
      <c r="W69"/>
    </row>
    <row r="70" spans="1:23" ht="20">
      <c r="A70"/>
      <c r="B70"/>
      <c r="C70"/>
      <c r="D70"/>
      <c r="E70"/>
      <c r="F70"/>
      <c r="G70"/>
      <c r="H70"/>
      <c r="I70"/>
      <c r="J70"/>
      <c r="K70"/>
      <c r="L70"/>
      <c r="M70"/>
      <c r="N70"/>
      <c r="O70"/>
      <c r="P70"/>
      <c r="Q70"/>
      <c r="R70"/>
      <c r="S70"/>
      <c r="T70"/>
      <c r="U70"/>
      <c r="V70"/>
      <c r="W70"/>
    </row>
    <row r="71" spans="1:23" ht="20">
      <c r="A71"/>
      <c r="B71"/>
      <c r="C71"/>
      <c r="D71"/>
      <c r="E71"/>
      <c r="F71"/>
      <c r="G71"/>
      <c r="H71"/>
      <c r="I71"/>
      <c r="J71"/>
      <c r="K71"/>
      <c r="L71"/>
      <c r="M71"/>
      <c r="N71"/>
      <c r="O71"/>
      <c r="P71"/>
      <c r="Q71"/>
      <c r="R71"/>
      <c r="S71"/>
      <c r="T71"/>
      <c r="U71"/>
      <c r="V71"/>
      <c r="W71"/>
    </row>
    <row r="72" spans="1:23" ht="20">
      <c r="A72"/>
      <c r="B72"/>
      <c r="C72"/>
      <c r="D72"/>
      <c r="E72"/>
      <c r="F72"/>
      <c r="G72"/>
      <c r="H72"/>
      <c r="I72"/>
      <c r="J72"/>
      <c r="K72"/>
      <c r="L72"/>
      <c r="M72"/>
      <c r="N72"/>
      <c r="O72"/>
      <c r="P72"/>
      <c r="Q72"/>
      <c r="R72"/>
      <c r="S72"/>
      <c r="T72"/>
      <c r="U72"/>
      <c r="V72"/>
      <c r="W72"/>
    </row>
    <row r="73" spans="1:23" ht="20">
      <c r="A73"/>
      <c r="B73"/>
      <c r="C73"/>
      <c r="D73"/>
      <c r="E73"/>
      <c r="F73"/>
      <c r="G73"/>
      <c r="H73"/>
      <c r="I73"/>
      <c r="J73"/>
      <c r="K73"/>
      <c r="L73"/>
      <c r="M73"/>
      <c r="N73"/>
      <c r="O73"/>
      <c r="P73"/>
      <c r="Q73"/>
      <c r="R73"/>
      <c r="S73"/>
      <c r="T73"/>
      <c r="U73"/>
      <c r="V73"/>
      <c r="W73"/>
    </row>
    <row r="74" spans="1:23" ht="20">
      <c r="A74"/>
      <c r="B74"/>
      <c r="C74"/>
      <c r="D74"/>
      <c r="E74"/>
      <c r="F74"/>
      <c r="G74"/>
      <c r="H74"/>
      <c r="I74"/>
      <c r="J74"/>
      <c r="K74"/>
      <c r="L74"/>
      <c r="M74"/>
      <c r="N74"/>
      <c r="O74"/>
      <c r="P74"/>
      <c r="Q74"/>
      <c r="R74"/>
      <c r="S74"/>
      <c r="T74"/>
      <c r="U74"/>
      <c r="V74"/>
      <c r="W74"/>
    </row>
    <row r="75" spans="1:23" ht="20">
      <c r="A75"/>
      <c r="B75"/>
      <c r="C75"/>
      <c r="D75"/>
      <c r="E75"/>
      <c r="F75"/>
      <c r="G75"/>
      <c r="H75"/>
      <c r="I75"/>
      <c r="J75"/>
      <c r="K75"/>
      <c r="L75"/>
      <c r="M75"/>
      <c r="N75"/>
      <c r="O75"/>
      <c r="P75"/>
      <c r="Q75"/>
      <c r="R75"/>
      <c r="S75"/>
      <c r="T75"/>
      <c r="U75"/>
      <c r="V75"/>
      <c r="W75"/>
    </row>
    <row r="76" spans="1:23" ht="20">
      <c r="A76"/>
      <c r="B76"/>
      <c r="C76"/>
      <c r="D76"/>
      <c r="E76"/>
      <c r="F76"/>
      <c r="G76"/>
      <c r="H76"/>
      <c r="I76"/>
      <c r="J76"/>
      <c r="K76"/>
      <c r="L76"/>
      <c r="M76"/>
      <c r="N76"/>
      <c r="O76"/>
      <c r="P76"/>
      <c r="Q76"/>
      <c r="R76"/>
      <c r="S76"/>
      <c r="T76"/>
      <c r="U76"/>
      <c r="V76"/>
      <c r="W76"/>
    </row>
    <row r="77" spans="1:23" ht="20">
      <c r="A77"/>
      <c r="B77"/>
      <c r="C77"/>
      <c r="D77"/>
      <c r="E77"/>
      <c r="F77"/>
      <c r="G77"/>
      <c r="H77"/>
      <c r="I77"/>
      <c r="J77"/>
      <c r="K77"/>
      <c r="L77"/>
      <c r="M77"/>
      <c r="N77"/>
      <c r="O77"/>
      <c r="P77"/>
      <c r="Q77"/>
      <c r="R77"/>
      <c r="S77"/>
      <c r="T77"/>
      <c r="U77"/>
      <c r="V77"/>
      <c r="W77"/>
    </row>
    <row r="78" spans="1:23" ht="20">
      <c r="A78"/>
      <c r="B78"/>
      <c r="C78"/>
      <c r="D78"/>
      <c r="E78"/>
      <c r="F78"/>
      <c r="G78"/>
      <c r="H78"/>
      <c r="I78"/>
      <c r="J78"/>
      <c r="K78"/>
      <c r="L78"/>
      <c r="M78"/>
      <c r="N78"/>
      <c r="O78"/>
      <c r="P78"/>
      <c r="Q78"/>
      <c r="R78"/>
      <c r="S78"/>
      <c r="T78"/>
      <c r="U78"/>
      <c r="V78"/>
      <c r="W78"/>
    </row>
    <row r="79" spans="1:23" ht="20">
      <c r="A79"/>
      <c r="B79"/>
      <c r="C79"/>
      <c r="D79"/>
      <c r="E79"/>
      <c r="F79"/>
      <c r="G79"/>
      <c r="H79"/>
      <c r="I79"/>
      <c r="J79"/>
      <c r="K79"/>
      <c r="L79"/>
      <c r="M79"/>
      <c r="N79"/>
      <c r="O79"/>
      <c r="P79"/>
      <c r="Q79"/>
      <c r="R79"/>
      <c r="S79"/>
      <c r="T79"/>
      <c r="U79"/>
      <c r="V79"/>
      <c r="W79"/>
    </row>
    <row r="80" spans="1:23" ht="20">
      <c r="A80"/>
      <c r="B80"/>
      <c r="C80"/>
      <c r="D80"/>
      <c r="E80"/>
      <c r="F80"/>
      <c r="G80"/>
      <c r="H80"/>
      <c r="I80"/>
      <c r="J80"/>
      <c r="K80"/>
      <c r="L80"/>
      <c r="M80"/>
      <c r="N80"/>
      <c r="O80"/>
      <c r="P80"/>
      <c r="Q80"/>
      <c r="R80"/>
      <c r="S80"/>
      <c r="T80"/>
      <c r="U80"/>
      <c r="V80"/>
      <c r="W80"/>
    </row>
    <row r="81" spans="1:23" ht="20">
      <c r="A81"/>
      <c r="B81"/>
      <c r="C81"/>
      <c r="D81"/>
      <c r="E81"/>
      <c r="F81"/>
      <c r="G81"/>
      <c r="H81"/>
      <c r="I81"/>
      <c r="J81"/>
      <c r="K81"/>
      <c r="L81"/>
      <c r="M81"/>
      <c r="N81"/>
      <c r="O81"/>
      <c r="P81"/>
      <c r="Q81"/>
      <c r="R81"/>
      <c r="S81"/>
      <c r="T81"/>
      <c r="U81"/>
      <c r="V81"/>
      <c r="W81"/>
    </row>
    <row r="82" spans="1:23" ht="20">
      <c r="A82"/>
      <c r="B82"/>
      <c r="C82"/>
      <c r="D82"/>
      <c r="E82"/>
      <c r="F82"/>
      <c r="G82"/>
      <c r="H82"/>
      <c r="I82"/>
      <c r="J82"/>
      <c r="K82"/>
      <c r="L82"/>
      <c r="M82"/>
      <c r="N82"/>
      <c r="O82"/>
      <c r="P82"/>
      <c r="Q82"/>
      <c r="R82"/>
      <c r="S82"/>
      <c r="T82"/>
      <c r="U82"/>
      <c r="V82"/>
      <c r="W82"/>
    </row>
    <row r="83" spans="1:23" ht="20">
      <c r="A83"/>
      <c r="B83"/>
      <c r="C83"/>
      <c r="D83"/>
      <c r="E83"/>
      <c r="F83"/>
      <c r="G83"/>
      <c r="H83"/>
      <c r="I83"/>
      <c r="J83"/>
      <c r="K83"/>
      <c r="L83"/>
      <c r="M83"/>
      <c r="N83"/>
      <c r="O83"/>
      <c r="P83"/>
      <c r="Q83"/>
      <c r="R83"/>
      <c r="S83"/>
      <c r="T83"/>
      <c r="U83"/>
      <c r="V83"/>
      <c r="W83"/>
    </row>
    <row r="84" spans="1:23" ht="20">
      <c r="A84"/>
      <c r="B84"/>
      <c r="C84"/>
      <c r="D84"/>
      <c r="E84"/>
      <c r="F84"/>
      <c r="G84"/>
      <c r="H84"/>
      <c r="I84"/>
      <c r="J84"/>
      <c r="K84"/>
      <c r="L84"/>
      <c r="M84"/>
      <c r="N84"/>
      <c r="O84"/>
      <c r="P84"/>
      <c r="Q84"/>
      <c r="R84"/>
      <c r="S84"/>
      <c r="T84"/>
      <c r="U84"/>
      <c r="V84"/>
      <c r="W84"/>
    </row>
    <row r="85" spans="1:23" ht="20">
      <c r="A85"/>
      <c r="B85"/>
      <c r="C85"/>
      <c r="D85"/>
      <c r="E85"/>
      <c r="F85"/>
      <c r="G85"/>
      <c r="H85"/>
      <c r="I85"/>
      <c r="J85"/>
      <c r="K85"/>
      <c r="L85"/>
      <c r="M85"/>
      <c r="N85"/>
      <c r="O85"/>
      <c r="P85"/>
      <c r="Q85"/>
      <c r="R85"/>
      <c r="S85"/>
      <c r="T85"/>
      <c r="U85"/>
      <c r="V85"/>
      <c r="W85"/>
    </row>
    <row r="86" spans="1:23" ht="20">
      <c r="A86"/>
      <c r="B86"/>
      <c r="C86"/>
      <c r="D86"/>
      <c r="E86"/>
      <c r="F86"/>
      <c r="G86"/>
      <c r="H86"/>
      <c r="I86"/>
      <c r="J86"/>
      <c r="K86"/>
      <c r="L86"/>
      <c r="M86"/>
      <c r="N86"/>
      <c r="O86"/>
      <c r="P86"/>
      <c r="Q86"/>
      <c r="R86"/>
      <c r="S86"/>
      <c r="T86"/>
      <c r="U86"/>
      <c r="V86"/>
      <c r="W86"/>
    </row>
    <row r="87" spans="1:23" ht="20">
      <c r="A87"/>
      <c r="B87"/>
      <c r="C87"/>
      <c r="D87"/>
      <c r="E87"/>
      <c r="F87"/>
      <c r="G87"/>
      <c r="H87"/>
      <c r="I87"/>
      <c r="J87"/>
      <c r="K87"/>
      <c r="L87"/>
      <c r="M87"/>
      <c r="N87"/>
      <c r="O87"/>
      <c r="P87"/>
      <c r="Q87"/>
      <c r="R87"/>
      <c r="S87"/>
      <c r="T87"/>
      <c r="U87"/>
      <c r="V87"/>
      <c r="W87"/>
    </row>
    <row r="88" spans="1:23" ht="20">
      <c r="A88"/>
      <c r="B88"/>
      <c r="C88"/>
      <c r="D88"/>
      <c r="E88"/>
      <c r="F88"/>
      <c r="G88"/>
      <c r="H88"/>
      <c r="I88"/>
      <c r="J88"/>
      <c r="K88"/>
      <c r="L88"/>
      <c r="M88"/>
      <c r="N88"/>
      <c r="O88"/>
      <c r="P88"/>
      <c r="Q88"/>
      <c r="R88"/>
      <c r="S88"/>
      <c r="T88"/>
      <c r="U88"/>
      <c r="V88"/>
      <c r="W88"/>
    </row>
    <row r="89" spans="1:23" ht="20">
      <c r="A89"/>
      <c r="B89"/>
      <c r="C89"/>
      <c r="D89"/>
      <c r="E89"/>
      <c r="F89"/>
      <c r="G89"/>
      <c r="H89"/>
      <c r="I89"/>
      <c r="J89"/>
      <c r="K89"/>
      <c r="L89"/>
      <c r="M89"/>
      <c r="N89"/>
      <c r="O89"/>
      <c r="P89"/>
      <c r="Q89"/>
      <c r="R89"/>
      <c r="S89"/>
      <c r="T89"/>
      <c r="U89"/>
      <c r="V89"/>
      <c r="W89"/>
    </row>
    <row r="90" spans="1:23" ht="20">
      <c r="A90"/>
      <c r="B90"/>
      <c r="C90"/>
      <c r="D90"/>
      <c r="E90"/>
      <c r="F90"/>
      <c r="G90"/>
      <c r="H90"/>
      <c r="I90"/>
      <c r="J90"/>
      <c r="K90"/>
      <c r="L90"/>
      <c r="M90"/>
      <c r="N90"/>
      <c r="O90"/>
      <c r="P90"/>
      <c r="Q90"/>
      <c r="R90"/>
      <c r="S90"/>
      <c r="T90"/>
      <c r="U90"/>
      <c r="V90"/>
      <c r="W90"/>
    </row>
    <row r="91" spans="1:23" ht="20">
      <c r="A91"/>
      <c r="B91"/>
      <c r="C91"/>
      <c r="D91"/>
      <c r="E91"/>
      <c r="F91"/>
      <c r="G91"/>
      <c r="H91"/>
      <c r="I91"/>
      <c r="J91"/>
      <c r="K91"/>
      <c r="L91"/>
      <c r="M91"/>
      <c r="N91"/>
      <c r="O91"/>
      <c r="P91"/>
      <c r="Q91"/>
      <c r="R91"/>
      <c r="S91"/>
      <c r="T91"/>
      <c r="U91"/>
      <c r="V91"/>
      <c r="W91"/>
    </row>
    <row r="92" spans="1:23" ht="20">
      <c r="A92"/>
      <c r="B92"/>
      <c r="C92"/>
      <c r="D92"/>
      <c r="E92"/>
      <c r="F92"/>
      <c r="G92"/>
      <c r="H92"/>
      <c r="I92"/>
      <c r="J92"/>
      <c r="K92"/>
      <c r="L92"/>
      <c r="M92"/>
      <c r="N92"/>
      <c r="O92"/>
      <c r="P92"/>
      <c r="Q92"/>
      <c r="R92"/>
      <c r="S92"/>
      <c r="T92"/>
      <c r="U92"/>
      <c r="V92"/>
      <c r="W92"/>
    </row>
    <row r="93" spans="1:23" ht="20">
      <c r="A93"/>
      <c r="B93"/>
      <c r="C93"/>
      <c r="D93"/>
      <c r="E93"/>
      <c r="F93"/>
      <c r="G93"/>
      <c r="H93"/>
      <c r="I93"/>
      <c r="J93"/>
      <c r="K93"/>
      <c r="L93"/>
      <c r="M93"/>
      <c r="N93"/>
      <c r="O93"/>
      <c r="P93"/>
      <c r="Q93"/>
      <c r="R93"/>
      <c r="S93"/>
      <c r="T93"/>
      <c r="U93"/>
      <c r="V93"/>
      <c r="W93"/>
    </row>
    <row r="94" spans="1:23" ht="20">
      <c r="A94"/>
      <c r="B94"/>
      <c r="C94"/>
      <c r="D94"/>
      <c r="E94"/>
      <c r="F94"/>
      <c r="G94"/>
      <c r="H94"/>
      <c r="I94"/>
      <c r="J94"/>
      <c r="K94"/>
      <c r="L94"/>
      <c r="M94"/>
      <c r="N94"/>
      <c r="O94"/>
      <c r="P94"/>
      <c r="Q94"/>
      <c r="R94"/>
      <c r="S94"/>
      <c r="T94"/>
      <c r="U94"/>
      <c r="V94"/>
      <c r="W94"/>
    </row>
    <row r="95" spans="1:23" ht="20">
      <c r="A95"/>
      <c r="B95"/>
      <c r="C95"/>
      <c r="D95"/>
      <c r="E95"/>
      <c r="F95"/>
      <c r="G95"/>
      <c r="H95"/>
      <c r="I95"/>
      <c r="J95"/>
      <c r="K95"/>
      <c r="L95"/>
      <c r="M95"/>
      <c r="N95"/>
      <c r="O95"/>
      <c r="P95"/>
      <c r="Q95"/>
      <c r="R95"/>
      <c r="S95"/>
      <c r="T95"/>
      <c r="U95"/>
      <c r="V95"/>
      <c r="W95"/>
    </row>
    <row r="96" spans="1:23" ht="20">
      <c r="A96"/>
      <c r="B96"/>
      <c r="C96"/>
      <c r="D96"/>
      <c r="E96"/>
      <c r="F96"/>
      <c r="G96"/>
      <c r="H96"/>
      <c r="I96"/>
      <c r="J96"/>
      <c r="K96"/>
      <c r="L96"/>
      <c r="M96"/>
      <c r="N96"/>
      <c r="O96"/>
      <c r="P96"/>
      <c r="Q96"/>
      <c r="R96"/>
      <c r="S96"/>
      <c r="T96"/>
      <c r="U96"/>
      <c r="V96"/>
      <c r="W96"/>
    </row>
    <row r="97" spans="1:23" ht="20">
      <c r="A97"/>
      <c r="B97"/>
      <c r="C97"/>
      <c r="D97"/>
      <c r="E97"/>
      <c r="F97"/>
      <c r="G97"/>
      <c r="H97"/>
      <c r="I97"/>
      <c r="J97"/>
      <c r="K97"/>
      <c r="L97"/>
      <c r="M97"/>
      <c r="N97"/>
      <c r="O97"/>
      <c r="P97"/>
      <c r="Q97"/>
      <c r="R97"/>
      <c r="S97"/>
      <c r="T97"/>
      <c r="U97"/>
      <c r="V97"/>
      <c r="W97"/>
    </row>
    <row r="98" spans="1:23" ht="20">
      <c r="A98"/>
      <c r="B98"/>
      <c r="C98"/>
      <c r="D98"/>
      <c r="E98"/>
      <c r="F98"/>
      <c r="G98"/>
      <c r="H98"/>
      <c r="I98"/>
      <c r="J98"/>
      <c r="K98"/>
      <c r="L98"/>
      <c r="M98"/>
      <c r="N98"/>
      <c r="O98"/>
      <c r="P98"/>
      <c r="Q98"/>
      <c r="R98"/>
      <c r="S98"/>
      <c r="T98"/>
      <c r="U98"/>
      <c r="V98"/>
      <c r="W98"/>
    </row>
    <row r="99" spans="1:23" ht="20">
      <c r="A99"/>
      <c r="B99"/>
      <c r="C99"/>
      <c r="D99"/>
      <c r="E99"/>
      <c r="F99"/>
      <c r="G99"/>
      <c r="H99"/>
      <c r="I99"/>
      <c r="J99"/>
      <c r="K99"/>
      <c r="L99"/>
      <c r="M99"/>
      <c r="N99"/>
      <c r="O99"/>
      <c r="P99"/>
      <c r="Q99"/>
      <c r="R99"/>
      <c r="S99"/>
      <c r="T99"/>
      <c r="U99"/>
      <c r="V99"/>
      <c r="W99"/>
    </row>
    <row r="100" spans="1:23" ht="20">
      <c r="A100"/>
      <c r="B100"/>
      <c r="C100"/>
      <c r="D100"/>
      <c r="E100"/>
      <c r="F100"/>
      <c r="G100"/>
      <c r="H100"/>
      <c r="I100"/>
      <c r="J100"/>
      <c r="K100"/>
      <c r="L100"/>
      <c r="M100"/>
      <c r="N100"/>
      <c r="O100"/>
      <c r="P100"/>
      <c r="Q100"/>
      <c r="R100"/>
      <c r="S100"/>
      <c r="T100"/>
      <c r="U100"/>
      <c r="V100"/>
      <c r="W100"/>
    </row>
    <row r="101" spans="1:23" ht="20">
      <c r="A101"/>
      <c r="B101"/>
      <c r="C101"/>
      <c r="D101"/>
      <c r="E101"/>
      <c r="F101"/>
      <c r="G101"/>
      <c r="H101"/>
      <c r="I101"/>
      <c r="J101"/>
      <c r="K101"/>
      <c r="L101"/>
      <c r="M101"/>
      <c r="N101"/>
      <c r="O101"/>
      <c r="P101"/>
      <c r="Q101"/>
      <c r="R101"/>
      <c r="S101"/>
      <c r="T101"/>
      <c r="U101"/>
      <c r="V101"/>
      <c r="W101"/>
    </row>
    <row r="102" spans="1:23" ht="20">
      <c r="A102"/>
      <c r="B102"/>
      <c r="C102"/>
      <c r="D102"/>
      <c r="E102"/>
      <c r="F102"/>
      <c r="G102"/>
      <c r="H102"/>
      <c r="I102"/>
      <c r="J102"/>
      <c r="K102"/>
      <c r="L102"/>
      <c r="M102"/>
      <c r="N102"/>
      <c r="O102"/>
      <c r="P102"/>
      <c r="Q102"/>
      <c r="R102"/>
      <c r="S102"/>
      <c r="T102"/>
      <c r="U102"/>
      <c r="V102"/>
      <c r="W102"/>
    </row>
    <row r="103" spans="1:23" ht="20">
      <c r="A103"/>
      <c r="B103"/>
      <c r="C103"/>
      <c r="D103"/>
      <c r="E103"/>
      <c r="F103"/>
      <c r="G103"/>
      <c r="H103"/>
      <c r="I103"/>
      <c r="J103"/>
      <c r="K103"/>
      <c r="L103"/>
      <c r="M103"/>
      <c r="N103"/>
      <c r="O103"/>
      <c r="P103"/>
      <c r="Q103"/>
      <c r="R103"/>
      <c r="S103"/>
      <c r="T103"/>
      <c r="U103"/>
      <c r="V103"/>
      <c r="W103"/>
    </row>
    <row r="104" spans="1:23" ht="20">
      <c r="A104"/>
      <c r="B104"/>
      <c r="C104"/>
      <c r="D104"/>
      <c r="E104"/>
      <c r="F104"/>
      <c r="G104"/>
      <c r="H104"/>
      <c r="I104"/>
      <c r="J104"/>
      <c r="K104"/>
      <c r="L104"/>
      <c r="M104"/>
      <c r="N104"/>
      <c r="O104"/>
      <c r="P104"/>
      <c r="Q104"/>
      <c r="R104"/>
      <c r="S104"/>
      <c r="T104"/>
      <c r="U104"/>
      <c r="V104"/>
      <c r="W104"/>
    </row>
    <row r="105" spans="1:23" ht="20">
      <c r="A105"/>
      <c r="B105"/>
      <c r="C105"/>
      <c r="D105"/>
      <c r="E105"/>
      <c r="F105"/>
      <c r="G105"/>
      <c r="H105"/>
      <c r="I105"/>
      <c r="J105"/>
      <c r="K105"/>
      <c r="L105"/>
      <c r="M105"/>
      <c r="N105"/>
      <c r="O105"/>
      <c r="P105"/>
      <c r="Q105"/>
      <c r="R105"/>
      <c r="S105"/>
      <c r="T105"/>
      <c r="U105"/>
      <c r="V105"/>
      <c r="W105"/>
    </row>
    <row r="106" spans="1:23" ht="20">
      <c r="A106"/>
      <c r="B106"/>
      <c r="C106"/>
      <c r="D106"/>
      <c r="E106"/>
      <c r="F106"/>
      <c r="G106"/>
      <c r="H106"/>
      <c r="I106"/>
      <c r="J106"/>
      <c r="K106"/>
      <c r="L106"/>
      <c r="M106"/>
      <c r="N106"/>
      <c r="O106"/>
      <c r="P106"/>
      <c r="Q106"/>
      <c r="R106"/>
      <c r="S106"/>
      <c r="T106"/>
      <c r="U106"/>
      <c r="V106"/>
      <c r="W106"/>
    </row>
    <row r="107" spans="1:23" ht="20">
      <c r="A107"/>
      <c r="B107"/>
      <c r="C107"/>
      <c r="D107"/>
      <c r="E107"/>
      <c r="F107"/>
      <c r="G107"/>
      <c r="H107"/>
      <c r="I107"/>
      <c r="J107"/>
      <c r="K107"/>
      <c r="L107"/>
      <c r="M107"/>
      <c r="N107"/>
      <c r="O107"/>
      <c r="P107"/>
      <c r="Q107"/>
      <c r="R107"/>
      <c r="S107"/>
      <c r="T107"/>
      <c r="U107"/>
      <c r="V107"/>
      <c r="W107"/>
    </row>
    <row r="108" spans="1:23" ht="20">
      <c r="A108"/>
      <c r="B108"/>
      <c r="C108"/>
      <c r="D108"/>
      <c r="E108"/>
      <c r="F108"/>
      <c r="G108"/>
      <c r="H108"/>
      <c r="I108"/>
      <c r="J108"/>
      <c r="K108"/>
      <c r="L108"/>
      <c r="M108"/>
      <c r="N108"/>
      <c r="O108"/>
      <c r="P108"/>
      <c r="Q108"/>
      <c r="R108"/>
      <c r="S108"/>
      <c r="T108"/>
      <c r="U108"/>
      <c r="V108"/>
      <c r="W108"/>
    </row>
    <row r="109" spans="1:23" ht="20">
      <c r="A109"/>
      <c r="B109"/>
      <c r="C109"/>
      <c r="D109"/>
      <c r="E109"/>
      <c r="F109"/>
      <c r="G109"/>
      <c r="H109"/>
      <c r="I109"/>
      <c r="J109"/>
      <c r="K109"/>
      <c r="L109"/>
      <c r="M109"/>
      <c r="N109"/>
      <c r="O109"/>
      <c r="P109"/>
      <c r="Q109"/>
      <c r="R109"/>
      <c r="S109"/>
      <c r="T109"/>
      <c r="U109"/>
      <c r="V109"/>
      <c r="W109"/>
    </row>
    <row r="110" spans="1:23" ht="20">
      <c r="A110"/>
      <c r="B110"/>
      <c r="C110"/>
      <c r="D110"/>
      <c r="E110"/>
      <c r="F110"/>
      <c r="G110"/>
      <c r="H110"/>
      <c r="I110"/>
      <c r="J110"/>
      <c r="K110"/>
      <c r="L110"/>
      <c r="M110"/>
      <c r="N110"/>
      <c r="O110"/>
      <c r="P110"/>
      <c r="Q110"/>
      <c r="R110"/>
      <c r="S110"/>
      <c r="T110"/>
      <c r="U110"/>
      <c r="V110"/>
      <c r="W110"/>
    </row>
    <row r="111" spans="1:23" ht="20">
      <c r="A111"/>
      <c r="B111"/>
      <c r="C111"/>
      <c r="D111"/>
      <c r="E111"/>
      <c r="F111"/>
      <c r="G111"/>
      <c r="H111"/>
      <c r="I111"/>
      <c r="J111"/>
      <c r="K111"/>
      <c r="L111"/>
      <c r="M111"/>
      <c r="N111"/>
      <c r="O111"/>
      <c r="P111"/>
      <c r="Q111"/>
      <c r="R111"/>
      <c r="S111"/>
      <c r="T111"/>
      <c r="U111"/>
      <c r="V111"/>
      <c r="W111"/>
    </row>
    <row r="112" spans="1:23" ht="20">
      <c r="A112"/>
      <c r="B112"/>
      <c r="C112"/>
      <c r="D112"/>
      <c r="E112"/>
      <c r="F112"/>
      <c r="G112"/>
      <c r="H112"/>
      <c r="I112"/>
      <c r="J112"/>
      <c r="K112"/>
      <c r="L112"/>
      <c r="M112"/>
      <c r="N112"/>
      <c r="O112"/>
      <c r="P112"/>
      <c r="Q112"/>
      <c r="R112"/>
      <c r="S112"/>
      <c r="T112"/>
      <c r="U112"/>
      <c r="V112"/>
      <c r="W112"/>
    </row>
    <row r="113" spans="1:23" ht="20">
      <c r="A113"/>
      <c r="B113"/>
      <c r="C113"/>
      <c r="D113"/>
      <c r="E113"/>
      <c r="F113"/>
      <c r="G113"/>
      <c r="H113"/>
      <c r="I113"/>
      <c r="J113"/>
      <c r="K113"/>
      <c r="L113"/>
      <c r="M113"/>
      <c r="N113"/>
      <c r="O113"/>
      <c r="P113"/>
      <c r="Q113"/>
      <c r="R113"/>
      <c r="S113"/>
      <c r="T113"/>
      <c r="U113"/>
      <c r="V113"/>
      <c r="W113"/>
    </row>
    <row r="114" spans="1:23" ht="20">
      <c r="A114"/>
      <c r="B114"/>
      <c r="C114"/>
      <c r="D114"/>
      <c r="E114"/>
      <c r="F114"/>
      <c r="G114"/>
      <c r="H114"/>
      <c r="I114"/>
      <c r="J114"/>
      <c r="K114"/>
      <c r="L114"/>
      <c r="M114"/>
      <c r="N114"/>
      <c r="O114"/>
      <c r="P114"/>
      <c r="Q114"/>
      <c r="R114"/>
      <c r="S114"/>
      <c r="T114"/>
      <c r="U114"/>
      <c r="V114"/>
      <c r="W114"/>
    </row>
    <row r="115" spans="1:23" ht="20">
      <c r="A115"/>
      <c r="B115"/>
      <c r="C115"/>
      <c r="D115"/>
      <c r="E115"/>
      <c r="F115"/>
      <c r="G115"/>
      <c r="H115"/>
      <c r="I115"/>
      <c r="J115"/>
      <c r="K115"/>
      <c r="L115"/>
      <c r="M115"/>
      <c r="N115"/>
      <c r="O115"/>
      <c r="P115"/>
      <c r="Q115"/>
      <c r="R115"/>
      <c r="S115"/>
      <c r="T115"/>
      <c r="U115"/>
      <c r="V115"/>
      <c r="W115"/>
    </row>
    <row r="116" spans="1:23" ht="20">
      <c r="A116"/>
      <c r="B116"/>
      <c r="C116"/>
      <c r="D116"/>
      <c r="E116"/>
      <c r="F116"/>
      <c r="G116"/>
      <c r="H116"/>
      <c r="I116"/>
      <c r="J116"/>
      <c r="K116"/>
      <c r="L116"/>
      <c r="M116"/>
      <c r="N116"/>
      <c r="O116"/>
      <c r="P116"/>
      <c r="Q116"/>
      <c r="R116"/>
      <c r="S116"/>
      <c r="T116"/>
      <c r="U116"/>
      <c r="V116"/>
      <c r="W116"/>
    </row>
    <row r="117" spans="1:23" ht="20">
      <c r="A117"/>
      <c r="B117"/>
      <c r="C117"/>
      <c r="D117"/>
      <c r="E117"/>
      <c r="F117"/>
      <c r="G117"/>
      <c r="H117"/>
      <c r="I117"/>
      <c r="J117"/>
      <c r="K117"/>
      <c r="L117"/>
      <c r="M117"/>
      <c r="N117"/>
      <c r="O117"/>
      <c r="P117"/>
      <c r="Q117"/>
      <c r="R117"/>
      <c r="S117"/>
      <c r="T117"/>
      <c r="U117"/>
      <c r="V117"/>
      <c r="W117"/>
    </row>
    <row r="118" spans="1:23" ht="20">
      <c r="A118"/>
      <c r="B118"/>
      <c r="C118"/>
      <c r="D118"/>
      <c r="E118"/>
      <c r="F118"/>
      <c r="G118"/>
      <c r="H118"/>
      <c r="I118"/>
      <c r="J118"/>
      <c r="K118"/>
      <c r="L118"/>
      <c r="M118"/>
      <c r="N118"/>
      <c r="O118"/>
      <c r="P118"/>
      <c r="Q118"/>
      <c r="R118"/>
      <c r="S118"/>
      <c r="T118"/>
      <c r="U118"/>
      <c r="V118"/>
      <c r="W118"/>
    </row>
    <row r="119" spans="1:23" ht="20">
      <c r="A119"/>
      <c r="B119"/>
      <c r="C119"/>
      <c r="D119"/>
      <c r="E119"/>
      <c r="F119"/>
      <c r="G119"/>
      <c r="H119"/>
      <c r="I119"/>
      <c r="J119"/>
      <c r="K119"/>
      <c r="L119"/>
      <c r="M119"/>
      <c r="N119"/>
      <c r="O119"/>
      <c r="P119"/>
      <c r="Q119"/>
      <c r="R119"/>
      <c r="S119"/>
      <c r="T119"/>
      <c r="U119"/>
      <c r="V119"/>
      <c r="W119"/>
    </row>
    <row r="120" spans="1:23" ht="20">
      <c r="A120"/>
      <c r="B120"/>
      <c r="C120"/>
      <c r="D120"/>
      <c r="E120"/>
      <c r="F120"/>
      <c r="G120"/>
      <c r="H120"/>
      <c r="I120"/>
      <c r="J120"/>
      <c r="K120"/>
      <c r="L120"/>
      <c r="M120"/>
      <c r="N120"/>
      <c r="O120"/>
      <c r="P120"/>
      <c r="Q120"/>
      <c r="R120"/>
      <c r="S120"/>
      <c r="T120"/>
      <c r="U120"/>
      <c r="V120"/>
      <c r="W120"/>
    </row>
    <row r="121" spans="1:23" ht="20">
      <c r="A121"/>
      <c r="B121"/>
      <c r="C121"/>
      <c r="D121"/>
      <c r="E121"/>
      <c r="F121"/>
      <c r="G121"/>
      <c r="H121"/>
      <c r="I121"/>
      <c r="J121"/>
      <c r="K121"/>
      <c r="L121"/>
      <c r="M121"/>
      <c r="N121"/>
      <c r="O121"/>
      <c r="P121"/>
      <c r="Q121"/>
      <c r="R121"/>
      <c r="S121"/>
      <c r="T121"/>
      <c r="U121"/>
      <c r="V121"/>
      <c r="W121"/>
    </row>
    <row r="122" spans="1:23" ht="20">
      <c r="A122"/>
      <c r="B122"/>
      <c r="C122"/>
      <c r="D122"/>
      <c r="E122"/>
      <c r="F122"/>
      <c r="G122"/>
      <c r="H122"/>
      <c r="I122"/>
      <c r="J122"/>
      <c r="K122"/>
      <c r="L122"/>
      <c r="M122"/>
      <c r="N122"/>
      <c r="O122"/>
      <c r="P122"/>
      <c r="Q122"/>
      <c r="R122"/>
      <c r="S122"/>
      <c r="T122"/>
      <c r="U122"/>
      <c r="V122"/>
      <c r="W122"/>
    </row>
    <row r="123" spans="1:23" ht="20">
      <c r="A123"/>
      <c r="B123"/>
      <c r="C123"/>
      <c r="D123"/>
      <c r="E123"/>
      <c r="F123"/>
      <c r="G123"/>
      <c r="H123"/>
      <c r="I123"/>
      <c r="J123"/>
      <c r="K123"/>
      <c r="L123"/>
      <c r="M123"/>
      <c r="N123"/>
      <c r="O123"/>
      <c r="P123"/>
      <c r="Q123"/>
      <c r="R123"/>
      <c r="S123"/>
      <c r="T123"/>
      <c r="U123"/>
      <c r="V123"/>
      <c r="W123"/>
    </row>
    <row r="124" spans="1:23" ht="20">
      <c r="A124"/>
      <c r="B124"/>
      <c r="C124"/>
      <c r="D124"/>
      <c r="E124"/>
      <c r="F124"/>
      <c r="G124"/>
      <c r="H124"/>
      <c r="I124"/>
      <c r="J124"/>
      <c r="K124"/>
      <c r="L124"/>
      <c r="M124"/>
      <c r="N124"/>
      <c r="O124"/>
      <c r="P124"/>
      <c r="Q124"/>
      <c r="R124"/>
      <c r="S124"/>
      <c r="T124"/>
      <c r="U124"/>
      <c r="V124"/>
      <c r="W124"/>
    </row>
    <row r="125" spans="1:23" ht="20">
      <c r="A125"/>
      <c r="B125"/>
      <c r="C125"/>
      <c r="D125"/>
      <c r="E125"/>
      <c r="F125"/>
      <c r="G125"/>
      <c r="H125"/>
      <c r="I125"/>
      <c r="J125"/>
      <c r="K125"/>
      <c r="L125"/>
      <c r="M125"/>
      <c r="N125"/>
      <c r="O125"/>
      <c r="P125"/>
      <c r="Q125"/>
      <c r="R125"/>
      <c r="S125"/>
      <c r="T125"/>
      <c r="U125"/>
      <c r="V125"/>
      <c r="W125"/>
    </row>
    <row r="126" spans="1:23" ht="20">
      <c r="A126"/>
      <c r="B126"/>
      <c r="C126"/>
      <c r="D126"/>
      <c r="E126"/>
      <c r="F126"/>
      <c r="G126"/>
      <c r="H126"/>
      <c r="I126"/>
      <c r="J126"/>
      <c r="K126"/>
      <c r="L126"/>
      <c r="M126"/>
      <c r="N126"/>
      <c r="O126"/>
      <c r="P126"/>
      <c r="Q126"/>
      <c r="R126"/>
      <c r="S126"/>
      <c r="T126"/>
      <c r="U126"/>
      <c r="V126"/>
      <c r="W126"/>
    </row>
    <row r="127" spans="1:23" ht="20">
      <c r="A127"/>
      <c r="B127"/>
      <c r="C127"/>
      <c r="D127"/>
      <c r="E127"/>
      <c r="F127"/>
      <c r="G127"/>
      <c r="H127"/>
      <c r="I127"/>
      <c r="J127"/>
      <c r="K127"/>
      <c r="L127"/>
      <c r="M127"/>
      <c r="N127"/>
      <c r="O127"/>
      <c r="P127"/>
      <c r="Q127"/>
      <c r="R127"/>
      <c r="S127"/>
      <c r="T127"/>
      <c r="U127"/>
      <c r="V127"/>
      <c r="W127"/>
    </row>
    <row r="128" spans="1:23" ht="20">
      <c r="A128"/>
      <c r="B128"/>
      <c r="C128"/>
      <c r="D128"/>
      <c r="E128"/>
      <c r="F128"/>
      <c r="G128"/>
      <c r="H128"/>
      <c r="I128"/>
      <c r="J128"/>
      <c r="K128"/>
      <c r="L128"/>
      <c r="M128"/>
      <c r="N128"/>
      <c r="O128"/>
      <c r="P128"/>
      <c r="Q128"/>
      <c r="R128"/>
      <c r="S128"/>
      <c r="T128"/>
      <c r="U128"/>
      <c r="V128"/>
      <c r="W128"/>
    </row>
    <row r="129" spans="1:23" ht="20">
      <c r="A129"/>
      <c r="B129"/>
      <c r="C129"/>
      <c r="D129"/>
      <c r="E129"/>
      <c r="F129"/>
      <c r="G129"/>
      <c r="H129"/>
      <c r="I129"/>
      <c r="J129"/>
      <c r="K129"/>
      <c r="L129"/>
      <c r="M129"/>
      <c r="N129"/>
      <c r="O129"/>
      <c r="P129"/>
      <c r="Q129"/>
      <c r="R129"/>
      <c r="S129"/>
      <c r="T129"/>
      <c r="U129"/>
      <c r="V129"/>
      <c r="W129"/>
    </row>
    <row r="130" spans="1:23" ht="20">
      <c r="A130"/>
      <c r="B130"/>
      <c r="C130"/>
      <c r="D130"/>
      <c r="E130"/>
      <c r="F130"/>
      <c r="G130"/>
      <c r="H130"/>
      <c r="I130"/>
      <c r="J130"/>
      <c r="K130"/>
      <c r="L130"/>
      <c r="M130"/>
      <c r="N130"/>
      <c r="O130"/>
      <c r="P130"/>
      <c r="Q130"/>
      <c r="R130"/>
      <c r="S130"/>
      <c r="T130"/>
      <c r="U130"/>
      <c r="V130"/>
      <c r="W130"/>
    </row>
    <row r="131" spans="1:23" ht="20">
      <c r="A131"/>
      <c r="B131"/>
      <c r="C131"/>
      <c r="D131"/>
      <c r="E131"/>
      <c r="F131"/>
      <c r="G131"/>
      <c r="H131"/>
      <c r="I131"/>
      <c r="J131"/>
      <c r="K131"/>
      <c r="L131"/>
      <c r="M131"/>
      <c r="N131"/>
      <c r="O131"/>
      <c r="P131"/>
      <c r="Q131"/>
      <c r="R131"/>
      <c r="S131"/>
      <c r="T131"/>
      <c r="U131"/>
      <c r="V131"/>
      <c r="W131"/>
    </row>
    <row r="132" spans="1:23" ht="20">
      <c r="A132"/>
      <c r="B132"/>
      <c r="C132"/>
      <c r="D132"/>
      <c r="E132"/>
      <c r="F132"/>
      <c r="G132"/>
      <c r="H132"/>
      <c r="I132"/>
      <c r="J132"/>
      <c r="K132"/>
      <c r="L132"/>
      <c r="M132"/>
      <c r="N132"/>
      <c r="O132"/>
      <c r="P132"/>
      <c r="Q132"/>
      <c r="R132"/>
      <c r="S132"/>
      <c r="T132"/>
      <c r="U132"/>
      <c r="V132"/>
      <c r="W132"/>
    </row>
    <row r="133" spans="1:23" ht="20">
      <c r="A133"/>
      <c r="B133"/>
      <c r="C133"/>
      <c r="D133"/>
      <c r="E133"/>
      <c r="F133"/>
      <c r="G133"/>
      <c r="H133"/>
      <c r="I133"/>
      <c r="J133"/>
      <c r="K133"/>
      <c r="L133"/>
      <c r="M133"/>
      <c r="N133"/>
      <c r="O133"/>
      <c r="P133"/>
      <c r="Q133"/>
      <c r="R133"/>
      <c r="S133"/>
      <c r="T133"/>
      <c r="U133"/>
      <c r="V133"/>
      <c r="W133"/>
    </row>
    <row r="134" spans="1:23" ht="20">
      <c r="A134"/>
      <c r="B134"/>
      <c r="C134"/>
      <c r="D134"/>
      <c r="E134"/>
      <c r="F134"/>
      <c r="G134"/>
      <c r="H134"/>
      <c r="I134"/>
      <c r="J134"/>
      <c r="K134"/>
      <c r="L134"/>
      <c r="M134"/>
      <c r="N134"/>
      <c r="O134"/>
      <c r="P134"/>
      <c r="Q134"/>
      <c r="R134"/>
      <c r="S134"/>
      <c r="T134"/>
      <c r="U134"/>
      <c r="V134"/>
      <c r="W134"/>
    </row>
    <row r="135" spans="1:23" ht="20">
      <c r="A135"/>
      <c r="B135"/>
      <c r="C135"/>
      <c r="D135"/>
      <c r="E135"/>
      <c r="F135"/>
      <c r="G135"/>
      <c r="H135"/>
      <c r="I135"/>
      <c r="J135"/>
      <c r="K135"/>
      <c r="L135"/>
      <c r="M135"/>
      <c r="N135"/>
      <c r="O135"/>
      <c r="P135"/>
      <c r="Q135"/>
      <c r="R135"/>
      <c r="S135"/>
      <c r="T135"/>
      <c r="U135"/>
      <c r="V135"/>
      <c r="W135"/>
    </row>
    <row r="136" spans="1:23" ht="20">
      <c r="A136"/>
      <c r="B136"/>
      <c r="C136"/>
      <c r="D136"/>
      <c r="E136"/>
      <c r="F136"/>
      <c r="G136"/>
      <c r="H136"/>
      <c r="I136"/>
      <c r="J136"/>
      <c r="K136"/>
      <c r="L136"/>
      <c r="M136"/>
      <c r="N136"/>
      <c r="O136"/>
      <c r="P136"/>
      <c r="Q136"/>
      <c r="R136"/>
      <c r="S136"/>
      <c r="T136"/>
      <c r="U136"/>
      <c r="V136"/>
      <c r="W136"/>
    </row>
    <row r="137" spans="1:23" ht="20">
      <c r="A137"/>
      <c r="B137"/>
      <c r="C137"/>
      <c r="D137"/>
      <c r="E137"/>
      <c r="F137"/>
      <c r="G137"/>
      <c r="H137"/>
      <c r="I137"/>
      <c r="J137"/>
      <c r="K137"/>
      <c r="L137"/>
      <c r="M137"/>
      <c r="N137"/>
      <c r="O137"/>
      <c r="P137"/>
      <c r="Q137"/>
      <c r="R137"/>
      <c r="S137"/>
      <c r="T137"/>
      <c r="U137"/>
      <c r="V137"/>
      <c r="W137"/>
    </row>
    <row r="138" spans="1:23" ht="20">
      <c r="A138"/>
      <c r="B138"/>
      <c r="C138"/>
      <c r="D138"/>
      <c r="E138"/>
      <c r="F138"/>
      <c r="G138"/>
      <c r="H138"/>
      <c r="I138"/>
      <c r="J138"/>
      <c r="K138"/>
      <c r="L138"/>
      <c r="M138"/>
      <c r="N138"/>
      <c r="O138"/>
      <c r="P138"/>
      <c r="Q138"/>
      <c r="R138"/>
      <c r="S138"/>
      <c r="T138"/>
      <c r="U138"/>
      <c r="V138"/>
      <c r="W138"/>
    </row>
    <row r="139" spans="1:23" ht="20">
      <c r="A139"/>
      <c r="B139"/>
      <c r="C139"/>
      <c r="D139"/>
      <c r="E139"/>
      <c r="F139"/>
      <c r="G139"/>
      <c r="H139"/>
      <c r="I139"/>
      <c r="J139"/>
      <c r="K139"/>
      <c r="L139"/>
      <c r="M139"/>
      <c r="N139"/>
      <c r="O139"/>
      <c r="P139"/>
      <c r="Q139"/>
      <c r="R139"/>
      <c r="S139"/>
      <c r="T139"/>
      <c r="U139"/>
      <c r="V139"/>
      <c r="W139"/>
    </row>
    <row r="140" spans="1:23" ht="20">
      <c r="A140"/>
      <c r="B140"/>
      <c r="C140"/>
      <c r="D140"/>
      <c r="E140"/>
      <c r="F140"/>
      <c r="G140"/>
      <c r="H140"/>
      <c r="I140"/>
      <c r="J140"/>
      <c r="K140"/>
      <c r="L140"/>
      <c r="M140"/>
      <c r="N140"/>
      <c r="O140"/>
      <c r="P140"/>
      <c r="Q140"/>
      <c r="R140"/>
      <c r="S140"/>
      <c r="T140"/>
      <c r="U140"/>
      <c r="V140"/>
      <c r="W140"/>
    </row>
    <row r="141" spans="1:23" ht="20">
      <c r="A141"/>
      <c r="B141"/>
      <c r="C141"/>
      <c r="D141"/>
      <c r="E141"/>
      <c r="F141"/>
      <c r="G141"/>
      <c r="H141"/>
      <c r="I141"/>
      <c r="J141"/>
      <c r="K141"/>
      <c r="L141"/>
      <c r="M141"/>
      <c r="N141"/>
      <c r="O141"/>
      <c r="P141"/>
      <c r="Q141"/>
      <c r="R141"/>
      <c r="S141"/>
      <c r="T141"/>
      <c r="U141"/>
      <c r="V141"/>
      <c r="W141"/>
    </row>
    <row r="142" spans="1:23" ht="20">
      <c r="A142"/>
      <c r="B142"/>
      <c r="C142"/>
      <c r="D142"/>
      <c r="E142"/>
      <c r="F142"/>
      <c r="G142"/>
      <c r="H142"/>
      <c r="I142"/>
      <c r="J142"/>
      <c r="K142"/>
      <c r="L142"/>
      <c r="M142"/>
      <c r="N142"/>
      <c r="O142"/>
      <c r="P142"/>
      <c r="Q142"/>
      <c r="R142"/>
      <c r="S142"/>
      <c r="T142"/>
      <c r="U142"/>
      <c r="V142"/>
      <c r="W142"/>
    </row>
    <row r="143" spans="1:23" ht="20">
      <c r="A143"/>
      <c r="B143"/>
      <c r="C143"/>
      <c r="D143"/>
      <c r="E143"/>
      <c r="F143"/>
      <c r="G143"/>
      <c r="H143"/>
      <c r="I143"/>
      <c r="J143"/>
      <c r="K143"/>
      <c r="L143"/>
      <c r="M143"/>
      <c r="N143"/>
      <c r="O143"/>
      <c r="P143"/>
      <c r="Q143"/>
      <c r="R143"/>
      <c r="S143"/>
      <c r="T143"/>
      <c r="U143"/>
      <c r="V143"/>
      <c r="W143"/>
    </row>
    <row r="144" spans="1:23" ht="20">
      <c r="A144"/>
      <c r="B144"/>
      <c r="C144"/>
      <c r="D144"/>
      <c r="E144"/>
      <c r="F144"/>
      <c r="G144"/>
      <c r="H144"/>
      <c r="I144"/>
      <c r="J144"/>
      <c r="K144"/>
      <c r="L144"/>
      <c r="M144"/>
      <c r="N144"/>
      <c r="O144"/>
      <c r="P144"/>
      <c r="Q144"/>
      <c r="R144"/>
      <c r="S144"/>
      <c r="T144"/>
      <c r="U144"/>
      <c r="V144"/>
      <c r="W144"/>
    </row>
    <row r="145" spans="1:23" ht="20">
      <c r="A145"/>
      <c r="B145"/>
      <c r="C145"/>
      <c r="D145"/>
      <c r="E145"/>
      <c r="F145"/>
      <c r="G145"/>
      <c r="H145"/>
      <c r="I145"/>
      <c r="J145"/>
      <c r="K145"/>
      <c r="L145"/>
      <c r="M145"/>
      <c r="N145"/>
      <c r="O145"/>
      <c r="P145"/>
      <c r="Q145"/>
      <c r="R145"/>
      <c r="S145"/>
      <c r="T145"/>
      <c r="U145"/>
      <c r="V145"/>
      <c r="W145"/>
    </row>
    <row r="146" spans="1:23" ht="20">
      <c r="A146"/>
      <c r="B146"/>
      <c r="C146"/>
      <c r="D146"/>
      <c r="E146"/>
      <c r="F146"/>
      <c r="G146"/>
      <c r="H146"/>
      <c r="I146"/>
      <c r="J146"/>
      <c r="K146"/>
      <c r="L146"/>
      <c r="M146"/>
      <c r="N146"/>
      <c r="O146"/>
      <c r="P146"/>
      <c r="Q146"/>
      <c r="R146"/>
      <c r="S146"/>
      <c r="T146"/>
      <c r="U146"/>
      <c r="V146"/>
      <c r="W146"/>
    </row>
    <row r="147" spans="1:23" ht="20">
      <c r="A147"/>
      <c r="B147"/>
      <c r="C147"/>
      <c r="D147"/>
      <c r="E147"/>
      <c r="F147"/>
      <c r="G147"/>
      <c r="H147"/>
      <c r="I147"/>
      <c r="J147"/>
      <c r="K147"/>
      <c r="L147"/>
      <c r="M147"/>
      <c r="N147"/>
      <c r="O147"/>
      <c r="P147"/>
      <c r="Q147"/>
      <c r="R147"/>
      <c r="S147"/>
      <c r="T147"/>
      <c r="U147"/>
      <c r="V147"/>
      <c r="W147"/>
    </row>
    <row r="148" spans="1:23" ht="20">
      <c r="A148"/>
      <c r="B148"/>
      <c r="C148"/>
      <c r="D148"/>
      <c r="E148"/>
      <c r="F148"/>
      <c r="G148"/>
      <c r="H148"/>
      <c r="I148"/>
      <c r="J148"/>
      <c r="K148"/>
      <c r="L148"/>
      <c r="M148"/>
      <c r="N148"/>
      <c r="O148"/>
      <c r="P148"/>
      <c r="Q148"/>
      <c r="R148"/>
      <c r="S148"/>
      <c r="T148"/>
      <c r="U148"/>
      <c r="V148"/>
      <c r="W148"/>
    </row>
    <row r="149" spans="1:23" ht="20">
      <c r="A149"/>
      <c r="B149"/>
      <c r="C149"/>
      <c r="D149"/>
      <c r="E149"/>
      <c r="F149"/>
      <c r="G149"/>
      <c r="H149"/>
      <c r="I149"/>
      <c r="J149"/>
      <c r="K149"/>
      <c r="L149"/>
      <c r="M149"/>
      <c r="N149"/>
      <c r="O149"/>
      <c r="P149"/>
      <c r="Q149"/>
      <c r="R149"/>
      <c r="S149"/>
      <c r="T149"/>
      <c r="U149"/>
      <c r="V149"/>
      <c r="W149"/>
    </row>
    <row r="150" spans="1:23" ht="20">
      <c r="A150"/>
      <c r="B150"/>
      <c r="C150"/>
      <c r="D150"/>
      <c r="E150"/>
      <c r="F150"/>
      <c r="G150"/>
      <c r="H150"/>
      <c r="I150"/>
      <c r="J150"/>
      <c r="K150"/>
      <c r="L150"/>
      <c r="M150"/>
      <c r="N150"/>
      <c r="O150"/>
      <c r="P150"/>
      <c r="Q150"/>
      <c r="R150"/>
      <c r="S150"/>
      <c r="T150"/>
      <c r="U150"/>
      <c r="V150"/>
      <c r="W150"/>
    </row>
    <row r="151" spans="1:23" ht="20">
      <c r="A151"/>
      <c r="B151"/>
      <c r="C151"/>
      <c r="D151"/>
      <c r="E151"/>
      <c r="F151"/>
      <c r="G151"/>
      <c r="H151"/>
      <c r="I151"/>
      <c r="J151"/>
      <c r="K151"/>
      <c r="L151"/>
      <c r="M151"/>
      <c r="N151"/>
      <c r="O151"/>
      <c r="P151"/>
      <c r="Q151"/>
      <c r="R151"/>
      <c r="S151"/>
      <c r="T151"/>
      <c r="U151"/>
      <c r="V151"/>
      <c r="W151"/>
    </row>
    <row r="152" spans="1:23" ht="20">
      <c r="A152"/>
      <c r="B152"/>
      <c r="C152"/>
      <c r="D152"/>
      <c r="E152"/>
      <c r="F152"/>
      <c r="G152"/>
      <c r="H152"/>
      <c r="I152"/>
      <c r="J152"/>
      <c r="K152"/>
      <c r="L152"/>
      <c r="M152"/>
      <c r="N152"/>
      <c r="O152"/>
      <c r="P152"/>
      <c r="Q152"/>
      <c r="R152"/>
      <c r="S152"/>
      <c r="T152"/>
      <c r="U152"/>
      <c r="V152"/>
      <c r="W152"/>
    </row>
    <row r="153" spans="1:23" ht="20">
      <c r="A153"/>
      <c r="B153"/>
      <c r="C153"/>
      <c r="D153"/>
      <c r="E153"/>
      <c r="F153"/>
      <c r="G153"/>
      <c r="H153"/>
      <c r="I153"/>
      <c r="J153"/>
      <c r="K153"/>
      <c r="L153"/>
      <c r="M153"/>
      <c r="N153"/>
      <c r="O153"/>
      <c r="P153"/>
      <c r="Q153"/>
      <c r="R153"/>
      <c r="S153"/>
      <c r="T153"/>
      <c r="U153"/>
      <c r="V153"/>
      <c r="W153"/>
    </row>
    <row r="154" spans="1:23" ht="20">
      <c r="A154"/>
      <c r="B154"/>
      <c r="C154"/>
      <c r="D154"/>
      <c r="E154"/>
      <c r="F154"/>
      <c r="G154"/>
      <c r="H154"/>
      <c r="I154"/>
      <c r="J154"/>
      <c r="K154"/>
      <c r="L154"/>
      <c r="M154"/>
      <c r="N154"/>
      <c r="O154"/>
      <c r="P154"/>
      <c r="Q154"/>
      <c r="R154"/>
      <c r="S154"/>
      <c r="T154"/>
      <c r="U154"/>
      <c r="V154"/>
      <c r="W154"/>
    </row>
    <row r="155" spans="1:23" ht="20">
      <c r="A155"/>
      <c r="B155"/>
      <c r="C155"/>
      <c r="D155"/>
      <c r="E155"/>
      <c r="F155"/>
      <c r="G155"/>
      <c r="H155"/>
      <c r="I155"/>
      <c r="J155"/>
      <c r="K155"/>
      <c r="L155"/>
      <c r="M155"/>
      <c r="N155"/>
      <c r="O155"/>
      <c r="P155"/>
      <c r="Q155"/>
      <c r="R155"/>
      <c r="S155"/>
      <c r="T155"/>
      <c r="U155"/>
      <c r="V155"/>
      <c r="W155"/>
    </row>
    <row r="156" spans="1:23" ht="20">
      <c r="A156"/>
      <c r="B156"/>
      <c r="C156"/>
      <c r="D156"/>
      <c r="E156"/>
      <c r="F156"/>
      <c r="G156"/>
      <c r="H156"/>
      <c r="I156"/>
      <c r="J156"/>
      <c r="K156"/>
      <c r="L156"/>
      <c r="M156"/>
      <c r="N156"/>
      <c r="O156"/>
      <c r="P156"/>
      <c r="Q156"/>
      <c r="R156"/>
      <c r="S156"/>
      <c r="T156"/>
      <c r="U156"/>
      <c r="V156"/>
      <c r="W156"/>
    </row>
    <row r="157" spans="1:23" ht="20">
      <c r="A157"/>
      <c r="B157"/>
      <c r="C157"/>
      <c r="D157"/>
      <c r="E157"/>
      <c r="F157"/>
      <c r="G157"/>
      <c r="H157"/>
      <c r="I157"/>
      <c r="J157"/>
      <c r="K157"/>
      <c r="L157"/>
      <c r="M157"/>
      <c r="N157"/>
      <c r="O157"/>
      <c r="P157"/>
      <c r="Q157"/>
      <c r="R157"/>
      <c r="S157"/>
      <c r="T157"/>
      <c r="U157"/>
      <c r="V157"/>
      <c r="W157"/>
    </row>
    <row r="158" spans="1:23" ht="20">
      <c r="A158"/>
      <c r="B158"/>
      <c r="C158"/>
      <c r="D158"/>
      <c r="E158"/>
      <c r="F158"/>
      <c r="G158"/>
      <c r="H158"/>
      <c r="I158"/>
      <c r="J158"/>
      <c r="K158"/>
      <c r="L158"/>
      <c r="M158"/>
      <c r="N158"/>
      <c r="O158"/>
      <c r="P158"/>
      <c r="Q158"/>
      <c r="R158"/>
      <c r="S158"/>
      <c r="T158"/>
      <c r="U158"/>
      <c r="V158"/>
      <c r="W158"/>
    </row>
    <row r="159" spans="1:23" ht="20">
      <c r="A159"/>
      <c r="B159"/>
      <c r="C159"/>
      <c r="D159"/>
      <c r="E159"/>
      <c r="F159"/>
      <c r="G159"/>
      <c r="H159"/>
      <c r="I159"/>
      <c r="J159"/>
      <c r="K159"/>
      <c r="L159"/>
      <c r="M159"/>
      <c r="N159"/>
      <c r="O159"/>
      <c r="P159"/>
      <c r="Q159"/>
      <c r="R159"/>
      <c r="S159"/>
      <c r="T159"/>
      <c r="U159"/>
      <c r="V159"/>
      <c r="W159"/>
    </row>
    <row r="160" spans="1:23" ht="20">
      <c r="A160"/>
      <c r="B160"/>
      <c r="C160"/>
      <c r="D160"/>
      <c r="E160"/>
      <c r="F160"/>
      <c r="G160"/>
      <c r="H160"/>
      <c r="I160"/>
      <c r="J160"/>
      <c r="K160"/>
      <c r="L160"/>
      <c r="M160"/>
      <c r="N160"/>
      <c r="O160"/>
      <c r="P160"/>
      <c r="Q160"/>
      <c r="R160"/>
      <c r="S160"/>
      <c r="T160"/>
      <c r="U160"/>
      <c r="V160"/>
      <c r="W160"/>
    </row>
    <row r="161" spans="1:23" ht="20">
      <c r="A161"/>
      <c r="B161"/>
      <c r="C161"/>
      <c r="D161"/>
      <c r="E161"/>
      <c r="F161"/>
      <c r="G161"/>
      <c r="H161"/>
      <c r="I161"/>
      <c r="J161"/>
      <c r="K161"/>
      <c r="L161"/>
      <c r="M161"/>
      <c r="N161"/>
      <c r="O161"/>
      <c r="P161"/>
      <c r="Q161"/>
      <c r="R161"/>
      <c r="S161"/>
      <c r="T161"/>
      <c r="U161"/>
      <c r="V161"/>
      <c r="W161"/>
    </row>
    <row r="162" spans="1:23" ht="20">
      <c r="A162"/>
      <c r="B162"/>
      <c r="C162"/>
      <c r="D162"/>
      <c r="E162"/>
      <c r="F162"/>
      <c r="G162"/>
      <c r="H162"/>
      <c r="I162"/>
      <c r="J162"/>
      <c r="K162"/>
      <c r="L162"/>
      <c r="M162"/>
      <c r="N162"/>
      <c r="O162"/>
      <c r="P162"/>
      <c r="Q162"/>
      <c r="R162"/>
      <c r="S162"/>
      <c r="T162"/>
      <c r="U162"/>
      <c r="V162"/>
      <c r="W162"/>
    </row>
    <row r="163" spans="1:23" ht="20">
      <c r="A163"/>
      <c r="B163"/>
      <c r="C163"/>
      <c r="D163"/>
      <c r="E163"/>
      <c r="F163"/>
      <c r="G163"/>
      <c r="H163"/>
      <c r="I163"/>
      <c r="J163"/>
      <c r="K163"/>
      <c r="L163"/>
      <c r="M163"/>
      <c r="N163"/>
      <c r="O163"/>
      <c r="P163"/>
      <c r="Q163"/>
      <c r="R163"/>
      <c r="S163"/>
      <c r="T163"/>
      <c r="U163"/>
      <c r="V163"/>
      <c r="W163"/>
    </row>
    <row r="164" spans="1:23" ht="20">
      <c r="A164"/>
      <c r="B164"/>
      <c r="C164"/>
      <c r="D164"/>
      <c r="E164"/>
      <c r="F164"/>
      <c r="G164"/>
      <c r="H164"/>
      <c r="I164"/>
      <c r="J164"/>
      <c r="K164"/>
      <c r="L164"/>
      <c r="M164"/>
      <c r="N164"/>
      <c r="O164"/>
      <c r="P164"/>
      <c r="Q164"/>
      <c r="R164"/>
      <c r="S164"/>
      <c r="T164"/>
      <c r="U164"/>
      <c r="V164"/>
      <c r="W164"/>
    </row>
    <row r="165" spans="1:23" ht="20">
      <c r="A165"/>
      <c r="B165"/>
      <c r="C165"/>
      <c r="D165"/>
      <c r="E165"/>
      <c r="F165"/>
      <c r="G165"/>
      <c r="H165"/>
      <c r="I165"/>
      <c r="J165"/>
      <c r="K165"/>
      <c r="L165"/>
      <c r="M165"/>
      <c r="N165"/>
      <c r="O165"/>
      <c r="P165"/>
      <c r="Q165"/>
      <c r="R165"/>
      <c r="S165"/>
      <c r="T165"/>
      <c r="U165"/>
      <c r="V165"/>
      <c r="W165"/>
    </row>
    <row r="166" spans="1:23" ht="20">
      <c r="A166"/>
      <c r="B166"/>
      <c r="C166"/>
      <c r="D166"/>
      <c r="E166"/>
      <c r="F166"/>
      <c r="G166"/>
      <c r="H166"/>
      <c r="I166"/>
      <c r="J166"/>
      <c r="K166"/>
      <c r="L166"/>
      <c r="M166"/>
      <c r="N166"/>
      <c r="O166"/>
      <c r="P166"/>
      <c r="Q166"/>
      <c r="R166"/>
      <c r="S166"/>
      <c r="T166"/>
      <c r="U166"/>
      <c r="V166"/>
      <c r="W166"/>
    </row>
    <row r="167" spans="1:23" ht="20">
      <c r="A167"/>
      <c r="B167"/>
      <c r="C167"/>
      <c r="D167"/>
      <c r="E167"/>
      <c r="F167"/>
      <c r="G167"/>
      <c r="H167"/>
      <c r="I167"/>
      <c r="J167"/>
      <c r="K167"/>
      <c r="L167"/>
      <c r="M167"/>
      <c r="N167"/>
      <c r="O167"/>
      <c r="P167"/>
      <c r="Q167"/>
      <c r="R167"/>
      <c r="S167"/>
      <c r="T167"/>
      <c r="U167"/>
      <c r="V167"/>
      <c r="W167"/>
    </row>
    <row r="168" spans="1:23" ht="20">
      <c r="A168"/>
      <c r="B168"/>
      <c r="C168"/>
      <c r="D168"/>
      <c r="E168"/>
      <c r="F168"/>
      <c r="G168"/>
      <c r="H168"/>
      <c r="I168"/>
      <c r="J168"/>
      <c r="K168"/>
      <c r="L168"/>
      <c r="M168"/>
      <c r="N168"/>
      <c r="O168"/>
      <c r="P168"/>
      <c r="Q168"/>
      <c r="R168"/>
      <c r="S168"/>
      <c r="T168"/>
      <c r="U168"/>
      <c r="V168"/>
      <c r="W168"/>
    </row>
    <row r="169" spans="1:23" ht="20">
      <c r="A169"/>
      <c r="B169"/>
      <c r="C169"/>
      <c r="D169"/>
      <c r="E169"/>
      <c r="F169"/>
      <c r="G169"/>
      <c r="H169"/>
      <c r="I169"/>
      <c r="J169"/>
      <c r="K169"/>
      <c r="L169"/>
      <c r="M169"/>
      <c r="N169"/>
      <c r="O169"/>
      <c r="P169"/>
      <c r="Q169"/>
      <c r="R169"/>
      <c r="S169"/>
      <c r="T169"/>
      <c r="U169"/>
      <c r="V169"/>
      <c r="W169"/>
    </row>
    <row r="170" spans="1:23" ht="20">
      <c r="A170"/>
      <c r="B170"/>
      <c r="C170"/>
      <c r="D170"/>
      <c r="E170"/>
      <c r="F170"/>
      <c r="G170"/>
      <c r="H170"/>
      <c r="I170"/>
      <c r="J170"/>
      <c r="K170"/>
      <c r="L170"/>
      <c r="M170"/>
      <c r="N170"/>
      <c r="O170"/>
      <c r="P170"/>
      <c r="Q170"/>
      <c r="R170"/>
      <c r="S170"/>
      <c r="T170"/>
      <c r="U170"/>
      <c r="V170"/>
      <c r="W170"/>
    </row>
    <row r="171" spans="1:23" ht="20">
      <c r="A171"/>
      <c r="B171"/>
      <c r="C171"/>
      <c r="D171"/>
      <c r="E171"/>
      <c r="F171"/>
      <c r="G171"/>
      <c r="H171"/>
      <c r="I171"/>
      <c r="J171"/>
      <c r="K171"/>
      <c r="L171"/>
      <c r="M171"/>
      <c r="N171"/>
      <c r="O171"/>
      <c r="P171"/>
      <c r="Q171"/>
      <c r="R171"/>
      <c r="S171"/>
      <c r="T171"/>
      <c r="U171"/>
      <c r="V171"/>
      <c r="W171"/>
    </row>
    <row r="172" spans="1:23" ht="20">
      <c r="A172"/>
      <c r="B172"/>
      <c r="C172"/>
      <c r="D172"/>
      <c r="E172"/>
      <c r="F172"/>
      <c r="G172"/>
      <c r="H172"/>
      <c r="I172"/>
      <c r="J172"/>
      <c r="K172"/>
      <c r="L172"/>
      <c r="M172"/>
      <c r="N172"/>
      <c r="O172"/>
      <c r="P172"/>
      <c r="Q172"/>
      <c r="R172"/>
      <c r="S172"/>
      <c r="T172"/>
      <c r="U172"/>
      <c r="V172"/>
      <c r="W172"/>
    </row>
    <row r="173" spans="1:23" ht="20">
      <c r="A173"/>
      <c r="B173"/>
      <c r="C173"/>
      <c r="D173"/>
      <c r="E173"/>
      <c r="F173"/>
      <c r="G173"/>
      <c r="H173"/>
      <c r="I173"/>
      <c r="J173"/>
      <c r="K173"/>
      <c r="L173"/>
      <c r="M173"/>
      <c r="N173"/>
      <c r="O173"/>
      <c r="P173"/>
      <c r="Q173"/>
      <c r="R173"/>
      <c r="S173"/>
      <c r="T173"/>
      <c r="U173"/>
      <c r="V173"/>
      <c r="W173"/>
    </row>
    <row r="174" spans="1:23" ht="20">
      <c r="A174"/>
      <c r="B174"/>
      <c r="C174"/>
      <c r="D174"/>
      <c r="E174"/>
      <c r="F174"/>
      <c r="G174"/>
      <c r="H174"/>
      <c r="I174"/>
      <c r="J174"/>
      <c r="K174"/>
      <c r="L174"/>
      <c r="M174"/>
      <c r="N174"/>
      <c r="O174"/>
      <c r="P174"/>
      <c r="Q174"/>
      <c r="R174"/>
      <c r="S174"/>
      <c r="T174"/>
      <c r="U174"/>
      <c r="V174"/>
      <c r="W174"/>
    </row>
    <row r="175" spans="1:23" ht="20">
      <c r="A175"/>
      <c r="B175"/>
      <c r="C175"/>
      <c r="D175"/>
      <c r="E175"/>
      <c r="F175"/>
      <c r="G175"/>
      <c r="H175"/>
      <c r="I175"/>
      <c r="J175"/>
      <c r="K175"/>
      <c r="L175"/>
      <c r="M175"/>
      <c r="N175"/>
      <c r="O175"/>
      <c r="P175"/>
      <c r="Q175"/>
      <c r="R175"/>
      <c r="S175"/>
      <c r="T175"/>
      <c r="U175"/>
      <c r="V175"/>
      <c r="W175"/>
    </row>
    <row r="176" spans="1:23" ht="20">
      <c r="A176"/>
      <c r="B176"/>
      <c r="C176"/>
      <c r="D176"/>
      <c r="E176"/>
      <c r="F176"/>
      <c r="G176"/>
      <c r="H176"/>
      <c r="I176"/>
      <c r="J176"/>
      <c r="K176"/>
      <c r="L176"/>
      <c r="M176"/>
      <c r="N176"/>
      <c r="O176"/>
      <c r="P176"/>
      <c r="Q176"/>
      <c r="R176"/>
      <c r="S176"/>
      <c r="T176"/>
      <c r="U176"/>
      <c r="V176"/>
      <c r="W176"/>
    </row>
    <row r="177" spans="1:23" ht="20">
      <c r="A177"/>
      <c r="B177"/>
      <c r="C177"/>
      <c r="D177"/>
      <c r="E177"/>
      <c r="F177"/>
      <c r="G177"/>
      <c r="H177"/>
      <c r="I177"/>
      <c r="J177"/>
      <c r="K177"/>
      <c r="L177"/>
      <c r="M177"/>
      <c r="N177"/>
      <c r="O177"/>
      <c r="P177"/>
      <c r="Q177"/>
      <c r="R177"/>
      <c r="S177"/>
      <c r="T177"/>
      <c r="U177"/>
      <c r="V177"/>
      <c r="W177"/>
    </row>
    <row r="178" spans="1:23" ht="20">
      <c r="A178"/>
      <c r="B178"/>
      <c r="C178"/>
      <c r="D178"/>
      <c r="E178"/>
      <c r="F178"/>
      <c r="G178"/>
      <c r="H178"/>
      <c r="I178"/>
      <c r="J178"/>
      <c r="K178"/>
      <c r="L178"/>
      <c r="M178"/>
      <c r="N178"/>
      <c r="O178"/>
      <c r="P178"/>
      <c r="Q178"/>
      <c r="R178"/>
      <c r="S178"/>
      <c r="T178"/>
      <c r="U178"/>
      <c r="V178"/>
      <c r="W178"/>
    </row>
    <row r="179" spans="1:23" ht="20">
      <c r="A179"/>
      <c r="B179"/>
      <c r="C179"/>
      <c r="D179"/>
      <c r="E179"/>
      <c r="F179"/>
      <c r="G179"/>
      <c r="H179"/>
      <c r="I179"/>
      <c r="J179"/>
      <c r="K179"/>
      <c r="L179"/>
      <c r="M179"/>
      <c r="N179"/>
      <c r="O179"/>
      <c r="P179"/>
      <c r="Q179"/>
      <c r="R179"/>
      <c r="S179"/>
      <c r="T179"/>
      <c r="U179"/>
      <c r="V179"/>
      <c r="W179"/>
    </row>
    <row r="180" spans="1:23" ht="20">
      <c r="A180"/>
      <c r="B180"/>
      <c r="C180"/>
      <c r="D180"/>
      <c r="E180"/>
      <c r="F180"/>
      <c r="G180"/>
      <c r="H180"/>
      <c r="I180"/>
      <c r="J180"/>
      <c r="K180"/>
      <c r="L180"/>
      <c r="M180"/>
      <c r="N180"/>
      <c r="O180"/>
      <c r="P180"/>
      <c r="Q180"/>
      <c r="R180"/>
      <c r="S180"/>
      <c r="T180"/>
      <c r="U180"/>
      <c r="V180"/>
      <c r="W180"/>
    </row>
    <row r="181" spans="1:23" ht="20">
      <c r="A181"/>
      <c r="B181"/>
      <c r="C181"/>
      <c r="D181"/>
      <c r="E181"/>
      <c r="F181"/>
      <c r="G181"/>
      <c r="H181"/>
      <c r="I181"/>
      <c r="J181"/>
      <c r="K181"/>
      <c r="L181"/>
      <c r="M181"/>
      <c r="N181"/>
      <c r="O181"/>
      <c r="P181"/>
      <c r="Q181"/>
      <c r="R181"/>
      <c r="S181"/>
      <c r="T181"/>
      <c r="U181"/>
      <c r="V181"/>
      <c r="W181"/>
    </row>
    <row r="182" spans="1:23" ht="20">
      <c r="A182"/>
      <c r="B182"/>
      <c r="C182"/>
      <c r="D182"/>
      <c r="E182"/>
      <c r="F182"/>
      <c r="G182"/>
      <c r="H182"/>
      <c r="I182"/>
      <c r="J182"/>
      <c r="K182"/>
      <c r="L182"/>
      <c r="M182"/>
      <c r="N182"/>
      <c r="O182"/>
      <c r="P182"/>
      <c r="Q182"/>
      <c r="R182"/>
      <c r="S182"/>
      <c r="T182"/>
      <c r="U182"/>
      <c r="V182"/>
      <c r="W182"/>
    </row>
    <row r="183" spans="1:23" ht="20">
      <c r="A183"/>
      <c r="B183"/>
      <c r="C183"/>
      <c r="D183"/>
      <c r="E183"/>
      <c r="F183"/>
      <c r="G183"/>
      <c r="H183"/>
      <c r="I183"/>
      <c r="J183"/>
      <c r="K183"/>
      <c r="L183"/>
      <c r="M183"/>
      <c r="N183"/>
      <c r="O183"/>
      <c r="P183"/>
      <c r="Q183"/>
      <c r="R183"/>
      <c r="S183"/>
      <c r="T183"/>
      <c r="U183"/>
      <c r="V183"/>
      <c r="W183"/>
    </row>
    <row r="184" spans="1:23" ht="20">
      <c r="A184"/>
      <c r="B184"/>
      <c r="C184"/>
      <c r="D184"/>
      <c r="E184"/>
      <c r="F184"/>
      <c r="G184"/>
      <c r="H184"/>
      <c r="I184"/>
      <c r="J184"/>
      <c r="K184"/>
      <c r="L184"/>
      <c r="M184"/>
      <c r="N184"/>
      <c r="O184"/>
      <c r="P184"/>
      <c r="Q184"/>
      <c r="R184"/>
      <c r="S184"/>
      <c r="T184"/>
      <c r="U184"/>
      <c r="V184"/>
      <c r="W184"/>
    </row>
    <row r="185" spans="1:23" ht="20">
      <c r="A185"/>
      <c r="B185"/>
      <c r="C185"/>
      <c r="D185"/>
      <c r="E185"/>
      <c r="F185"/>
      <c r="G185"/>
      <c r="H185"/>
      <c r="I185"/>
      <c r="J185"/>
      <c r="K185"/>
      <c r="L185"/>
      <c r="M185"/>
      <c r="N185"/>
      <c r="O185"/>
      <c r="P185"/>
      <c r="Q185"/>
      <c r="R185"/>
      <c r="S185"/>
      <c r="T185"/>
      <c r="U185"/>
      <c r="V185"/>
      <c r="W185"/>
    </row>
    <row r="186" spans="1:23" ht="20">
      <c r="A186"/>
      <c r="B186"/>
      <c r="C186"/>
      <c r="D186"/>
      <c r="E186"/>
      <c r="F186"/>
      <c r="G186"/>
      <c r="H186"/>
      <c r="I186"/>
      <c r="J186"/>
      <c r="K186"/>
      <c r="L186"/>
      <c r="M186"/>
      <c r="N186"/>
      <c r="O186"/>
      <c r="P186"/>
      <c r="Q186"/>
      <c r="R186"/>
      <c r="S186"/>
      <c r="T186"/>
      <c r="U186"/>
      <c r="V186"/>
      <c r="W186"/>
    </row>
    <row r="187" spans="1:23" ht="20">
      <c r="A187"/>
      <c r="B187"/>
      <c r="C187"/>
      <c r="D187"/>
      <c r="E187"/>
      <c r="F187"/>
      <c r="G187"/>
      <c r="H187"/>
      <c r="I187"/>
      <c r="J187"/>
      <c r="K187"/>
      <c r="L187"/>
      <c r="M187"/>
      <c r="N187"/>
      <c r="O187"/>
      <c r="P187"/>
      <c r="Q187"/>
      <c r="R187"/>
      <c r="S187"/>
      <c r="T187"/>
      <c r="U187"/>
      <c r="V187"/>
      <c r="W187"/>
    </row>
    <row r="188" spans="1:23" ht="20">
      <c r="A188"/>
      <c r="B188"/>
      <c r="C188"/>
      <c r="D188"/>
      <c r="E188"/>
      <c r="F188"/>
      <c r="G188"/>
      <c r="H188"/>
      <c r="I188"/>
      <c r="J188"/>
      <c r="K188"/>
      <c r="L188"/>
      <c r="M188"/>
      <c r="N188"/>
      <c r="O188"/>
      <c r="P188"/>
      <c r="Q188"/>
      <c r="R188"/>
      <c r="S188"/>
      <c r="T188"/>
      <c r="U188"/>
      <c r="V188"/>
      <c r="W188"/>
    </row>
    <row r="189" spans="1:23" ht="20">
      <c r="A189"/>
      <c r="B189"/>
      <c r="C189"/>
      <c r="D189"/>
      <c r="E189"/>
      <c r="F189"/>
      <c r="G189"/>
      <c r="H189"/>
      <c r="I189"/>
      <c r="J189"/>
      <c r="K189"/>
      <c r="L189"/>
      <c r="M189"/>
      <c r="N189"/>
      <c r="O189"/>
      <c r="P189"/>
      <c r="Q189"/>
      <c r="R189"/>
      <c r="S189"/>
      <c r="T189"/>
      <c r="U189"/>
      <c r="V189"/>
      <c r="W189"/>
    </row>
    <row r="190" spans="1:23" ht="20">
      <c r="A190"/>
      <c r="B190"/>
      <c r="C190"/>
      <c r="D190"/>
      <c r="E190"/>
      <c r="F190"/>
      <c r="G190"/>
      <c r="H190"/>
      <c r="I190"/>
      <c r="J190"/>
      <c r="K190"/>
      <c r="L190"/>
      <c r="M190"/>
      <c r="N190"/>
      <c r="O190"/>
      <c r="P190"/>
      <c r="Q190"/>
      <c r="R190"/>
      <c r="S190"/>
      <c r="T190"/>
      <c r="U190"/>
      <c r="V190"/>
      <c r="W190"/>
    </row>
    <row r="191" spans="1:23" ht="20">
      <c r="A191"/>
      <c r="B191"/>
      <c r="C191"/>
      <c r="D191"/>
      <c r="E191"/>
      <c r="F191"/>
      <c r="G191"/>
      <c r="H191"/>
      <c r="I191"/>
      <c r="J191"/>
      <c r="K191"/>
      <c r="L191"/>
      <c r="M191"/>
      <c r="N191"/>
      <c r="O191"/>
      <c r="P191"/>
      <c r="Q191"/>
      <c r="R191"/>
      <c r="S191"/>
      <c r="T191"/>
      <c r="U191"/>
      <c r="V191"/>
      <c r="W191"/>
    </row>
    <row r="192" spans="1:23" ht="20">
      <c r="A192"/>
      <c r="B192"/>
      <c r="C192"/>
      <c r="D192"/>
      <c r="E192"/>
      <c r="F192"/>
      <c r="G192"/>
      <c r="H192"/>
      <c r="I192"/>
      <c r="J192"/>
      <c r="K192"/>
      <c r="L192"/>
      <c r="M192"/>
      <c r="N192"/>
      <c r="O192"/>
      <c r="P192"/>
      <c r="Q192"/>
      <c r="R192"/>
      <c r="S192"/>
      <c r="T192"/>
      <c r="U192"/>
      <c r="V192"/>
      <c r="W192"/>
    </row>
    <row r="193" spans="1:23" ht="20">
      <c r="A193"/>
      <c r="B193"/>
      <c r="C193"/>
      <c r="D193"/>
      <c r="E193"/>
      <c r="F193"/>
      <c r="G193"/>
      <c r="H193"/>
      <c r="I193"/>
      <c r="J193"/>
      <c r="K193"/>
      <c r="L193"/>
      <c r="M193"/>
      <c r="N193"/>
      <c r="O193"/>
      <c r="P193"/>
      <c r="Q193"/>
      <c r="R193"/>
      <c r="S193"/>
      <c r="T193"/>
      <c r="U193"/>
      <c r="V193"/>
      <c r="W193"/>
    </row>
    <row r="194" spans="1:23" ht="20">
      <c r="A194"/>
      <c r="B194"/>
      <c r="C194"/>
      <c r="D194"/>
      <c r="E194"/>
      <c r="F194"/>
      <c r="G194"/>
      <c r="H194"/>
      <c r="I194"/>
      <c r="J194"/>
      <c r="K194"/>
      <c r="L194"/>
      <c r="M194"/>
      <c r="N194"/>
      <c r="O194"/>
      <c r="P194"/>
      <c r="Q194"/>
      <c r="R194"/>
      <c r="S194"/>
      <c r="T194"/>
      <c r="U194"/>
      <c r="V194"/>
      <c r="W194"/>
    </row>
    <row r="195" spans="1:23" ht="20">
      <c r="A195"/>
      <c r="B195"/>
      <c r="C195"/>
      <c r="D195"/>
      <c r="E195"/>
      <c r="F195"/>
      <c r="G195"/>
      <c r="H195"/>
      <c r="I195"/>
      <c r="J195"/>
      <c r="K195"/>
      <c r="L195"/>
      <c r="M195"/>
      <c r="N195"/>
      <c r="O195"/>
      <c r="P195"/>
      <c r="Q195"/>
      <c r="R195"/>
      <c r="S195"/>
      <c r="T195"/>
      <c r="U195"/>
      <c r="V195"/>
      <c r="W195"/>
    </row>
    <row r="196" spans="1:23" ht="20">
      <c r="A196"/>
      <c r="B196"/>
      <c r="C196"/>
      <c r="D196"/>
      <c r="E196"/>
      <c r="F196"/>
      <c r="G196"/>
      <c r="H196"/>
      <c r="I196"/>
      <c r="J196"/>
      <c r="K196"/>
      <c r="L196"/>
      <c r="M196"/>
      <c r="N196"/>
      <c r="O196"/>
      <c r="P196"/>
      <c r="Q196"/>
      <c r="R196"/>
      <c r="S196"/>
      <c r="T196"/>
      <c r="U196"/>
      <c r="V196"/>
      <c r="W196"/>
    </row>
    <row r="197" spans="1:23" ht="20">
      <c r="A197"/>
      <c r="B197"/>
      <c r="C197"/>
      <c r="D197"/>
      <c r="E197"/>
      <c r="F197"/>
      <c r="G197"/>
      <c r="H197"/>
      <c r="I197"/>
      <c r="J197"/>
      <c r="K197"/>
      <c r="L197"/>
      <c r="M197"/>
      <c r="N197"/>
      <c r="O197"/>
      <c r="P197"/>
      <c r="Q197"/>
      <c r="R197"/>
      <c r="S197"/>
      <c r="T197"/>
      <c r="U197"/>
      <c r="V197"/>
      <c r="W197"/>
    </row>
    <row r="198" spans="1:23" ht="20">
      <c r="A198"/>
      <c r="B198"/>
      <c r="C198"/>
      <c r="D198"/>
      <c r="E198"/>
      <c r="F198"/>
      <c r="G198"/>
      <c r="H198"/>
      <c r="I198"/>
      <c r="J198"/>
      <c r="K198"/>
      <c r="L198"/>
      <c r="M198"/>
      <c r="N198"/>
      <c r="O198"/>
      <c r="P198"/>
      <c r="Q198"/>
      <c r="R198"/>
      <c r="S198"/>
      <c r="T198"/>
      <c r="U198"/>
      <c r="V198"/>
      <c r="W198"/>
    </row>
    <row r="199" spans="1:23" ht="20">
      <c r="A199"/>
      <c r="B199"/>
      <c r="C199"/>
      <c r="D199"/>
      <c r="E199"/>
      <c r="F199"/>
      <c r="G199"/>
      <c r="H199"/>
      <c r="I199"/>
      <c r="J199"/>
      <c r="K199"/>
      <c r="L199"/>
      <c r="M199"/>
      <c r="N199"/>
      <c r="O199"/>
      <c r="P199"/>
      <c r="Q199"/>
      <c r="R199"/>
      <c r="S199"/>
      <c r="T199"/>
      <c r="U199"/>
      <c r="V199"/>
      <c r="W199"/>
    </row>
    <row r="200" spans="1:23" ht="20">
      <c r="A200"/>
      <c r="B200"/>
      <c r="C200"/>
      <c r="D200"/>
      <c r="E200"/>
      <c r="F200"/>
      <c r="G200"/>
      <c r="H200"/>
      <c r="I200"/>
      <c r="J200"/>
      <c r="K200"/>
      <c r="L200"/>
      <c r="M200"/>
      <c r="N200"/>
      <c r="O200"/>
      <c r="P200"/>
      <c r="Q200"/>
      <c r="R200"/>
      <c r="S200"/>
      <c r="T200"/>
      <c r="U200"/>
      <c r="V200"/>
      <c r="W200"/>
    </row>
  </sheetData>
  <autoFilter ref="A1:E30" xr:uid="{1A7D793A-D3BE-314C-BBEE-5B944F0BD4CF}"/>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F703-9140-8345-BF4D-C849D491C010}">
  <dimension ref="A1:N109"/>
  <sheetViews>
    <sheetView workbookViewId="0">
      <pane xSplit="4" ySplit="1" topLeftCell="E15" activePane="bottomRight" state="frozen"/>
      <selection pane="topRight" activeCell="E1" sqref="E1"/>
      <selection pane="bottomLeft" activeCell="A2" sqref="A2"/>
      <selection pane="bottomRight" activeCell="F20" sqref="F20"/>
    </sheetView>
  </sheetViews>
  <sheetFormatPr baseColWidth="10" defaultRowHeight="20"/>
  <cols>
    <col min="1" max="1" width="8" customWidth="1"/>
    <col min="2" max="2" width="12" customWidth="1"/>
    <col min="3" max="3" width="22" customWidth="1"/>
    <col min="4" max="4" width="34.5703125" customWidth="1"/>
    <col min="5" max="5" width="28" customWidth="1"/>
    <col min="6" max="6" width="51" customWidth="1"/>
    <col min="7" max="8" width="16" customWidth="1"/>
    <col min="9" max="9" width="18" customWidth="1"/>
    <col min="10" max="10" width="60" customWidth="1"/>
    <col min="12" max="12" width="28.5703125" customWidth="1"/>
    <col min="13" max="14" width="32.85546875" customWidth="1"/>
    <col min="15" max="15" width="8.5703125" customWidth="1"/>
  </cols>
  <sheetData>
    <row r="1" spans="1:14">
      <c r="A1" s="135" t="s">
        <v>2031</v>
      </c>
      <c r="B1" s="135" t="s">
        <v>1624</v>
      </c>
      <c r="C1" s="135" t="s">
        <v>1925</v>
      </c>
      <c r="D1" s="135" t="s">
        <v>1625</v>
      </c>
      <c r="E1" s="135" t="s">
        <v>4399</v>
      </c>
      <c r="F1" s="155" t="s">
        <v>4400</v>
      </c>
      <c r="G1" s="135" t="s">
        <v>4401</v>
      </c>
      <c r="H1" s="135" t="s">
        <v>0</v>
      </c>
      <c r="I1" s="135" t="s">
        <v>305</v>
      </c>
      <c r="J1" s="135" t="s">
        <v>1211</v>
      </c>
      <c r="L1" s="114" t="s">
        <v>305</v>
      </c>
      <c r="M1" s="114" t="s">
        <v>263</v>
      </c>
    </row>
    <row r="2" spans="1:14" ht="21">
      <c r="A2" s="139" t="s">
        <v>4402</v>
      </c>
      <c r="B2" s="139" t="s">
        <v>1631</v>
      </c>
      <c r="C2" s="139" t="s">
        <v>4683</v>
      </c>
      <c r="D2" s="139" t="s">
        <v>3296</v>
      </c>
      <c r="E2" s="139" t="s">
        <v>4403</v>
      </c>
      <c r="F2" s="156" t="s">
        <v>4404</v>
      </c>
      <c r="G2" s="139" t="s">
        <v>4405</v>
      </c>
      <c r="H2" s="139" t="s">
        <v>4406</v>
      </c>
      <c r="I2" s="139" t="s">
        <v>4407</v>
      </c>
      <c r="J2" s="140" t="s">
        <v>4408</v>
      </c>
      <c r="L2" t="s">
        <v>4407</v>
      </c>
      <c r="M2">
        <f>COUNTIF($I$2:$I$109,$L2)</f>
        <v>84</v>
      </c>
    </row>
    <row r="3" spans="1:14" ht="21">
      <c r="A3" s="139" t="s">
        <v>4402</v>
      </c>
      <c r="B3" s="139" t="s">
        <v>1631</v>
      </c>
      <c r="C3" s="139" t="s">
        <v>4683</v>
      </c>
      <c r="D3" s="139" t="s">
        <v>3296</v>
      </c>
      <c r="E3" s="139" t="s">
        <v>4409</v>
      </c>
      <c r="F3" s="156" t="s">
        <v>4410</v>
      </c>
      <c r="G3" s="139" t="s">
        <v>4411</v>
      </c>
      <c r="H3" s="139" t="s">
        <v>4406</v>
      </c>
      <c r="I3" s="139" t="s">
        <v>4407</v>
      </c>
      <c r="J3" s="140" t="s">
        <v>4412</v>
      </c>
      <c r="L3" t="s">
        <v>4465</v>
      </c>
      <c r="M3">
        <f>COUNTIF($I$2:$I$109,$L3)</f>
        <v>16</v>
      </c>
    </row>
    <row r="4" spans="1:14" ht="21">
      <c r="A4" s="139" t="s">
        <v>4402</v>
      </c>
      <c r="B4" s="139" t="s">
        <v>1631</v>
      </c>
      <c r="C4" s="139" t="s">
        <v>4683</v>
      </c>
      <c r="D4" s="139" t="s">
        <v>3296</v>
      </c>
      <c r="E4" s="139" t="s">
        <v>4413</v>
      </c>
      <c r="F4" s="156" t="s">
        <v>4414</v>
      </c>
      <c r="G4" s="139" t="s">
        <v>4405</v>
      </c>
      <c r="H4" s="139" t="s">
        <v>4406</v>
      </c>
      <c r="I4" s="139" t="s">
        <v>4407</v>
      </c>
      <c r="J4" s="140" t="s">
        <v>4415</v>
      </c>
      <c r="L4" t="s">
        <v>4525</v>
      </c>
      <c r="M4">
        <f>COUNTIF($I$2:$I$109,$L4)</f>
        <v>6</v>
      </c>
    </row>
    <row r="5" spans="1:14" ht="21">
      <c r="A5" s="139" t="s">
        <v>4402</v>
      </c>
      <c r="B5" s="139" t="s">
        <v>1631</v>
      </c>
      <c r="C5" s="139" t="s">
        <v>4683</v>
      </c>
      <c r="D5" s="139" t="s">
        <v>3296</v>
      </c>
      <c r="E5" s="139" t="s">
        <v>4416</v>
      </c>
      <c r="F5" s="156" t="s">
        <v>4417</v>
      </c>
      <c r="G5" s="139" t="s">
        <v>4418</v>
      </c>
      <c r="H5" s="139" t="s">
        <v>4406</v>
      </c>
      <c r="I5" s="139" t="s">
        <v>4407</v>
      </c>
      <c r="J5" s="140" t="s">
        <v>4419</v>
      </c>
      <c r="L5" t="s">
        <v>4567</v>
      </c>
      <c r="M5">
        <f>COUNTIF($I$2:$I$109,$L5)</f>
        <v>2</v>
      </c>
    </row>
    <row r="6" spans="1:14" ht="21">
      <c r="A6" s="139" t="s">
        <v>4402</v>
      </c>
      <c r="B6" s="139" t="s">
        <v>1631</v>
      </c>
      <c r="C6" s="139" t="s">
        <v>4683</v>
      </c>
      <c r="D6" s="139" t="s">
        <v>3296</v>
      </c>
      <c r="E6" s="139" t="s">
        <v>4420</v>
      </c>
      <c r="F6" s="156" t="s">
        <v>4421</v>
      </c>
      <c r="G6" s="139" t="s">
        <v>4405</v>
      </c>
      <c r="H6" s="139" t="s">
        <v>4406</v>
      </c>
      <c r="I6" s="139" t="s">
        <v>4407</v>
      </c>
      <c r="J6" s="140" t="s">
        <v>4422</v>
      </c>
      <c r="L6" s="2" t="s">
        <v>4</v>
      </c>
      <c r="M6" s="2">
        <f>SUM(M2:M5)</f>
        <v>108</v>
      </c>
    </row>
    <row r="7" spans="1:14" ht="21">
      <c r="A7" s="139" t="s">
        <v>4402</v>
      </c>
      <c r="B7" s="139" t="s">
        <v>1633</v>
      </c>
      <c r="C7" s="139" t="s">
        <v>4683</v>
      </c>
      <c r="D7" s="139" t="s">
        <v>3297</v>
      </c>
      <c r="E7" s="139" t="s">
        <v>4423</v>
      </c>
      <c r="F7" s="156" t="s">
        <v>4424</v>
      </c>
      <c r="G7" s="139" t="s">
        <v>4405</v>
      </c>
      <c r="H7" s="139" t="s">
        <v>4406</v>
      </c>
      <c r="I7" s="139" t="s">
        <v>4407</v>
      </c>
      <c r="J7" s="140" t="s">
        <v>4425</v>
      </c>
    </row>
    <row r="8" spans="1:14" ht="21">
      <c r="A8" s="139" t="s">
        <v>4402</v>
      </c>
      <c r="B8" s="139" t="s">
        <v>1633</v>
      </c>
      <c r="C8" s="139" t="s">
        <v>4683</v>
      </c>
      <c r="D8" s="139" t="s">
        <v>3297</v>
      </c>
      <c r="E8" s="139" t="s">
        <v>4426</v>
      </c>
      <c r="F8" s="156" t="s">
        <v>4427</v>
      </c>
      <c r="G8" s="139" t="s">
        <v>4411</v>
      </c>
      <c r="H8" s="139" t="s">
        <v>4406</v>
      </c>
      <c r="I8" s="139" t="s">
        <v>4407</v>
      </c>
      <c r="J8" s="140" t="s">
        <v>4428</v>
      </c>
      <c r="L8" s="154" t="s">
        <v>4680</v>
      </c>
    </row>
    <row r="9" spans="1:14" ht="21">
      <c r="A9" s="139" t="s">
        <v>4402</v>
      </c>
      <c r="B9" s="139" t="s">
        <v>1687</v>
      </c>
      <c r="C9" s="139" t="s">
        <v>4689</v>
      </c>
      <c r="D9" s="139" t="s">
        <v>3304</v>
      </c>
      <c r="E9" s="139" t="s">
        <v>3304</v>
      </c>
      <c r="F9" s="156" t="s">
        <v>4429</v>
      </c>
      <c r="G9" s="139" t="s">
        <v>4405</v>
      </c>
      <c r="H9" s="139" t="s">
        <v>4406</v>
      </c>
      <c r="I9" s="139" t="s">
        <v>4407</v>
      </c>
      <c r="J9" s="140" t="s">
        <v>4430</v>
      </c>
      <c r="L9" s="114" t="s">
        <v>2031</v>
      </c>
      <c r="M9" s="114" t="s">
        <v>4679</v>
      </c>
      <c r="N9" s="114" t="s">
        <v>1625</v>
      </c>
    </row>
    <row r="10" spans="1:14" ht="21">
      <c r="A10" s="139" t="s">
        <v>4402</v>
      </c>
      <c r="B10" s="139" t="s">
        <v>1688</v>
      </c>
      <c r="C10" s="139" t="s">
        <v>4689</v>
      </c>
      <c r="D10" s="139" t="s">
        <v>4711</v>
      </c>
      <c r="E10" s="139" t="s">
        <v>3347</v>
      </c>
      <c r="F10" s="156" t="s">
        <v>4431</v>
      </c>
      <c r="G10" s="139" t="s">
        <v>4405</v>
      </c>
      <c r="H10" s="139" t="s">
        <v>4406</v>
      </c>
      <c r="I10" s="139" t="s">
        <v>4407</v>
      </c>
      <c r="J10" s="140" t="s">
        <v>4432</v>
      </c>
      <c r="L10" t="str" cm="1">
        <f t="array" ref="L10:L25">IFERROR(_xlfn._xlws.FILTER($A$2:$A$109,$I$2:$I$109=$L$3),"")</f>
        <v>Broker</v>
      </c>
      <c r="M10" t="str" cm="1">
        <f t="array" ref="M10:M25">IFERROR(_xlfn._xlws.FILTER($E$2:$E$109,$I$2:$I$109=$L$3),"")</f>
        <v>接続情報の自動追随</v>
      </c>
      <c r="N10" t="str" cm="1">
        <f t="array" ref="N10:N25">IFERROR(_xlfn._xlws.FILTER($D$2:$D$109,$I$2:$I$109=$L$3),"")</f>
        <v>顧客IdP の接続情報の自動追随</v>
      </c>
    </row>
    <row r="11" spans="1:14" ht="42">
      <c r="A11" s="139" t="s">
        <v>4402</v>
      </c>
      <c r="B11" s="139" t="s">
        <v>2250</v>
      </c>
      <c r="C11" s="139" t="s">
        <v>4689</v>
      </c>
      <c r="D11" s="139" t="s">
        <v>4709</v>
      </c>
      <c r="E11" s="139" t="s">
        <v>4433</v>
      </c>
      <c r="F11" s="157" t="s">
        <v>4434</v>
      </c>
      <c r="G11" s="139" t="s">
        <v>4405</v>
      </c>
      <c r="H11" s="139" t="s">
        <v>4435</v>
      </c>
      <c r="I11" s="139" t="s">
        <v>4407</v>
      </c>
      <c r="J11" s="140" t="s">
        <v>4436</v>
      </c>
      <c r="L11" t="str">
        <v>Broker</v>
      </c>
      <c r="M11" t="str">
        <v>証明書期限の監視</v>
      </c>
      <c r="N11" t="str">
        <v>顧客IdP・本基盤の証明書の期限監視</v>
      </c>
    </row>
    <row r="12" spans="1:14" ht="21">
      <c r="A12" s="139" t="s">
        <v>4402</v>
      </c>
      <c r="B12" s="139" t="s">
        <v>2245</v>
      </c>
      <c r="C12" s="139" t="s">
        <v>4687</v>
      </c>
      <c r="D12" s="139" t="s">
        <v>2192</v>
      </c>
      <c r="E12" s="139" t="s">
        <v>4437</v>
      </c>
      <c r="F12" s="156" t="s">
        <v>4438</v>
      </c>
      <c r="G12" s="139" t="s">
        <v>4405</v>
      </c>
      <c r="H12" s="139" t="s">
        <v>4406</v>
      </c>
      <c r="I12" s="139" t="s">
        <v>4407</v>
      </c>
      <c r="J12" s="140" t="s">
        <v>4439</v>
      </c>
      <c r="L12" t="str">
        <v>Broker</v>
      </c>
      <c r="M12" t="str">
        <v>ログインの振り分け（HRD）</v>
      </c>
      <c r="N12" t="str">
        <v>顧客IdPの自動振り分け</v>
      </c>
    </row>
    <row r="13" spans="1:14" ht="21">
      <c r="A13" s="139" t="s">
        <v>4402</v>
      </c>
      <c r="B13" s="139" t="s">
        <v>2260</v>
      </c>
      <c r="C13" s="139" t="s">
        <v>4687</v>
      </c>
      <c r="D13" s="139" t="s">
        <v>2211</v>
      </c>
      <c r="E13" s="139" t="s">
        <v>4440</v>
      </c>
      <c r="F13" s="156" t="s">
        <v>4441</v>
      </c>
      <c r="G13" s="139" t="s">
        <v>4411</v>
      </c>
      <c r="H13" s="139" t="s">
        <v>4406</v>
      </c>
      <c r="I13" s="139" t="s">
        <v>4407</v>
      </c>
      <c r="J13" s="140" t="s">
        <v>4442</v>
      </c>
      <c r="L13" t="str">
        <v>Broker</v>
      </c>
      <c r="M13" t="str">
        <v>アプリへの変更通知（Webhook）</v>
      </c>
      <c r="N13" t="str">
        <v>アプリへの変更通知（Webhook）</v>
      </c>
    </row>
    <row r="14" spans="1:14" ht="42">
      <c r="A14" s="139" t="s">
        <v>4402</v>
      </c>
      <c r="B14" s="139" t="s">
        <v>2260</v>
      </c>
      <c r="C14" s="139" t="s">
        <v>4687</v>
      </c>
      <c r="D14" s="139" t="s">
        <v>2211</v>
      </c>
      <c r="E14" s="139" t="s">
        <v>4443</v>
      </c>
      <c r="F14" s="156" t="s">
        <v>4444</v>
      </c>
      <c r="G14" s="139" t="s">
        <v>4405</v>
      </c>
      <c r="H14" s="139" t="s">
        <v>4406</v>
      </c>
      <c r="I14" s="139" t="s">
        <v>4407</v>
      </c>
      <c r="J14" s="140" t="s">
        <v>4445</v>
      </c>
      <c r="L14" t="str">
        <v>Broker</v>
      </c>
      <c r="M14" t="str">
        <v>長期未使用者の自動停止</v>
      </c>
      <c r="N14" t="str">
        <v>長期未使用者の自動停止</v>
      </c>
    </row>
    <row r="15" spans="1:14" ht="42">
      <c r="A15" s="139" t="s">
        <v>4402</v>
      </c>
      <c r="B15" s="139" t="s">
        <v>2250</v>
      </c>
      <c r="C15" s="139" t="s">
        <v>4689</v>
      </c>
      <c r="D15" s="139" t="s">
        <v>4709</v>
      </c>
      <c r="E15" s="139" t="s">
        <v>4446</v>
      </c>
      <c r="F15" s="156" t="s">
        <v>4447</v>
      </c>
      <c r="G15" s="139" t="s">
        <v>4405</v>
      </c>
      <c r="H15" s="139" t="s">
        <v>4448</v>
      </c>
      <c r="I15" s="139" t="s">
        <v>4407</v>
      </c>
      <c r="J15" s="140" t="s">
        <v>4449</v>
      </c>
      <c r="L15" t="str">
        <v>Broker</v>
      </c>
      <c r="M15" t="str">
        <v>保存期限切れの消去</v>
      </c>
      <c r="N15" t="str">
        <v>保存期限切れデータの消去</v>
      </c>
    </row>
    <row r="16" spans="1:14" ht="42">
      <c r="A16" s="139" t="s">
        <v>4402</v>
      </c>
      <c r="B16" s="139" t="s">
        <v>2250</v>
      </c>
      <c r="C16" s="139" t="s">
        <v>4689</v>
      </c>
      <c r="D16" s="139" t="s">
        <v>4709</v>
      </c>
      <c r="E16" s="139" t="s">
        <v>4450</v>
      </c>
      <c r="F16" s="156" t="s">
        <v>4451</v>
      </c>
      <c r="G16" s="139" t="s">
        <v>4405</v>
      </c>
      <c r="H16" s="139" t="s">
        <v>4406</v>
      </c>
      <c r="I16" s="139" t="s">
        <v>4407</v>
      </c>
      <c r="J16" s="140" t="s">
        <v>4452</v>
      </c>
      <c r="L16" t="str">
        <v>Broker</v>
      </c>
      <c r="M16" t="str">
        <v>実在推測の防止</v>
      </c>
      <c r="N16" t="str">
        <v>ユーザの存在推測の防止</v>
      </c>
    </row>
    <row r="17" spans="1:14" ht="42">
      <c r="A17" s="139" t="s">
        <v>4402</v>
      </c>
      <c r="B17" s="139" t="s">
        <v>1674</v>
      </c>
      <c r="C17" s="139" t="s">
        <v>4688</v>
      </c>
      <c r="D17" s="139" t="s">
        <v>3302</v>
      </c>
      <c r="E17" s="139" t="s">
        <v>4453</v>
      </c>
      <c r="F17" s="156" t="s">
        <v>4454</v>
      </c>
      <c r="G17" s="139" t="s">
        <v>4455</v>
      </c>
      <c r="H17" s="139" t="s">
        <v>4448</v>
      </c>
      <c r="I17" s="139" t="s">
        <v>4407</v>
      </c>
      <c r="J17" s="140" t="s">
        <v>4456</v>
      </c>
      <c r="L17" t="str">
        <v>IdP</v>
      </c>
      <c r="M17" t="str">
        <v>パスワードの照合</v>
      </c>
      <c r="N17" t="str">
        <v>Keycloak-IdP 収容ユーザのログイン</v>
      </c>
    </row>
    <row r="18" spans="1:14" ht="21">
      <c r="A18" s="139" t="s">
        <v>4402</v>
      </c>
      <c r="B18" s="139" t="s">
        <v>1675</v>
      </c>
      <c r="C18" s="139" t="s">
        <v>4688</v>
      </c>
      <c r="D18" s="139" t="s">
        <v>1869</v>
      </c>
      <c r="E18" s="139" t="s">
        <v>4457</v>
      </c>
      <c r="F18" s="156" t="s">
        <v>4458</v>
      </c>
      <c r="G18" s="139" t="s">
        <v>4455</v>
      </c>
      <c r="H18" s="139" t="s">
        <v>4448</v>
      </c>
      <c r="I18" s="139" t="s">
        <v>4407</v>
      </c>
      <c r="J18" s="140" t="s">
        <v>2365</v>
      </c>
      <c r="L18" t="str">
        <v>IdP</v>
      </c>
      <c r="M18" t="str">
        <v>流出パスワードの使用拒否</v>
      </c>
      <c r="N18" t="str">
        <v>流出パスワードの使用拒否</v>
      </c>
    </row>
    <row r="19" spans="1:14" ht="21">
      <c r="A19" s="139" t="s">
        <v>4402</v>
      </c>
      <c r="B19" s="139" t="s">
        <v>1674</v>
      </c>
      <c r="C19" s="139" t="s">
        <v>4688</v>
      </c>
      <c r="D19" s="139" t="s">
        <v>3302</v>
      </c>
      <c r="E19" s="139" t="s">
        <v>4459</v>
      </c>
      <c r="F19" s="156" t="s">
        <v>4460</v>
      </c>
      <c r="G19" s="139" t="s">
        <v>4455</v>
      </c>
      <c r="H19" s="139" t="s">
        <v>4406</v>
      </c>
      <c r="I19" s="139" t="s">
        <v>4407</v>
      </c>
      <c r="J19" s="140" t="s">
        <v>4461</v>
      </c>
      <c r="L19" t="str">
        <v>IdP</v>
      </c>
      <c r="M19" t="str">
        <v>メールを持たない人の復旧</v>
      </c>
      <c r="N19" t="str">
        <v>メールを持たない人の復旧</v>
      </c>
    </row>
    <row r="20" spans="1:14" ht="21">
      <c r="A20" s="139" t="s">
        <v>4402</v>
      </c>
      <c r="B20" s="139" t="s">
        <v>1696</v>
      </c>
      <c r="C20" s="139" t="s">
        <v>4688</v>
      </c>
      <c r="D20" s="139" t="s">
        <v>4708</v>
      </c>
      <c r="E20" s="139" t="s">
        <v>1876</v>
      </c>
      <c r="F20" s="156" t="s">
        <v>4462</v>
      </c>
      <c r="G20" s="139" t="s">
        <v>4463</v>
      </c>
      <c r="H20" s="139" t="s">
        <v>4464</v>
      </c>
      <c r="I20" s="139" t="s">
        <v>4465</v>
      </c>
      <c r="J20" s="140" t="s">
        <v>4466</v>
      </c>
      <c r="L20" t="str">
        <v>Broker</v>
      </c>
      <c r="M20" t="str">
        <v>振り分け失敗時の切替</v>
      </c>
      <c r="N20" t="str">
        <v>振り分け失敗時のパスワード入力への切替</v>
      </c>
    </row>
    <row r="21" spans="1:14" ht="21">
      <c r="A21" s="139" t="s">
        <v>4402</v>
      </c>
      <c r="B21" s="139" t="s">
        <v>1672</v>
      </c>
      <c r="C21" s="139" t="s">
        <v>2132</v>
      </c>
      <c r="D21" s="139" t="s">
        <v>1929</v>
      </c>
      <c r="E21" s="139" t="s">
        <v>1929</v>
      </c>
      <c r="F21" s="156" t="s">
        <v>4467</v>
      </c>
      <c r="G21" s="139" t="s">
        <v>4455</v>
      </c>
      <c r="H21" s="139" t="s">
        <v>4448</v>
      </c>
      <c r="I21" s="139" t="s">
        <v>4407</v>
      </c>
      <c r="J21" s="140" t="s">
        <v>4468</v>
      </c>
      <c r="L21" t="str">
        <v>Broker</v>
      </c>
      <c r="M21" t="str">
        <v>管理 API の内部公開</v>
      </c>
      <c r="N21" t="str">
        <v>アプリ向け管理 API の公開</v>
      </c>
    </row>
    <row r="22" spans="1:14" ht="21">
      <c r="A22" s="139" t="s">
        <v>4402</v>
      </c>
      <c r="B22" s="139" t="s">
        <v>1673</v>
      </c>
      <c r="C22" s="139" t="s">
        <v>2132</v>
      </c>
      <c r="D22" s="139" t="s">
        <v>1930</v>
      </c>
      <c r="E22" s="139" t="s">
        <v>1930</v>
      </c>
      <c r="F22" s="156" t="s">
        <v>4469</v>
      </c>
      <c r="G22" s="139" t="s">
        <v>4455</v>
      </c>
      <c r="H22" s="139" t="s">
        <v>4448</v>
      </c>
      <c r="I22" s="139" t="s">
        <v>4407</v>
      </c>
      <c r="J22" s="140" t="s">
        <v>4470</v>
      </c>
      <c r="L22" t="str">
        <v>Broker</v>
      </c>
      <c r="M22" t="str">
        <v>不正兆候の検知</v>
      </c>
      <c r="N22" t="str">
        <v>不正なログインの兆候の検知</v>
      </c>
    </row>
    <row r="23" spans="1:14" ht="21">
      <c r="A23" s="139" t="s">
        <v>4402</v>
      </c>
      <c r="B23" s="139" t="s">
        <v>2230</v>
      </c>
      <c r="C23" s="139" t="s">
        <v>2132</v>
      </c>
      <c r="D23" s="139" t="s">
        <v>2178</v>
      </c>
      <c r="E23" s="139" t="s">
        <v>2178</v>
      </c>
      <c r="F23" s="156" t="s">
        <v>4471</v>
      </c>
      <c r="G23" s="139" t="s">
        <v>4455</v>
      </c>
      <c r="H23" s="139" t="s">
        <v>4448</v>
      </c>
      <c r="I23" s="139" t="s">
        <v>4407</v>
      </c>
      <c r="J23" s="140" t="s">
        <v>4472</v>
      </c>
      <c r="L23" t="str">
        <v>Broker</v>
      </c>
      <c r="M23" t="str">
        <v>登録経路の区分判定</v>
      </c>
      <c r="N23" t="str">
        <v>ユーザの登録経路の区分</v>
      </c>
    </row>
    <row r="24" spans="1:14" ht="21">
      <c r="A24" s="139" t="s">
        <v>4402</v>
      </c>
      <c r="B24" s="139" t="s">
        <v>1674</v>
      </c>
      <c r="C24" s="139" t="s">
        <v>4688</v>
      </c>
      <c r="D24" s="139" t="s">
        <v>3302</v>
      </c>
      <c r="E24" s="139" t="s">
        <v>4473</v>
      </c>
      <c r="F24" s="156" t="s">
        <v>4474</v>
      </c>
      <c r="G24" s="139" t="s">
        <v>4455</v>
      </c>
      <c r="H24" s="139" t="s">
        <v>4448</v>
      </c>
      <c r="I24" s="139" t="s">
        <v>4407</v>
      </c>
      <c r="J24" s="140" t="s">
        <v>4475</v>
      </c>
      <c r="L24" t="str">
        <v>Broker</v>
      </c>
      <c r="M24" t="str">
        <v>最終ログイン日時の取得</v>
      </c>
      <c r="N24" t="str">
        <v>長期未使用者の自動停止</v>
      </c>
    </row>
    <row r="25" spans="1:14" ht="21">
      <c r="A25" s="139" t="s">
        <v>4402</v>
      </c>
      <c r="B25" s="139" t="s">
        <v>1662</v>
      </c>
      <c r="C25" s="139" t="s">
        <v>2128</v>
      </c>
      <c r="D25" s="139" t="s">
        <v>4698</v>
      </c>
      <c r="E25" s="139" t="s">
        <v>3325</v>
      </c>
      <c r="F25" s="156" t="s">
        <v>4476</v>
      </c>
      <c r="G25" s="139" t="s">
        <v>4455</v>
      </c>
      <c r="H25" s="139" t="s">
        <v>4448</v>
      </c>
      <c r="I25" s="139" t="s">
        <v>4407</v>
      </c>
      <c r="J25" s="140" t="s">
        <v>4477</v>
      </c>
      <c r="L25" t="str">
        <v>IdP</v>
      </c>
      <c r="M25" t="str">
        <v>パスワードの変更日・期限の取得</v>
      </c>
      <c r="N25" t="str">
        <v>パスワード変更・初回強制変更</v>
      </c>
    </row>
    <row r="26" spans="1:14">
      <c r="A26" s="139" t="s">
        <v>4402</v>
      </c>
      <c r="B26" s="139" t="s">
        <v>1662</v>
      </c>
      <c r="C26" s="139" t="s">
        <v>2128</v>
      </c>
      <c r="D26" s="139" t="s">
        <v>4698</v>
      </c>
      <c r="E26" s="139" t="s">
        <v>3326</v>
      </c>
      <c r="F26" s="156" t="s">
        <v>4478</v>
      </c>
      <c r="G26" s="139" t="s">
        <v>4455</v>
      </c>
      <c r="H26" s="139" t="s">
        <v>4448</v>
      </c>
      <c r="I26" s="139" t="s">
        <v>4407</v>
      </c>
      <c r="J26" s="140"/>
    </row>
    <row r="27" spans="1:14">
      <c r="A27" s="139" t="s">
        <v>4402</v>
      </c>
      <c r="B27" s="139" t="s">
        <v>1663</v>
      </c>
      <c r="C27" s="139" t="s">
        <v>2128</v>
      </c>
      <c r="D27" s="139" t="s">
        <v>4700</v>
      </c>
      <c r="E27" s="139" t="s">
        <v>3327</v>
      </c>
      <c r="F27" s="156" t="s">
        <v>4479</v>
      </c>
      <c r="G27" s="139" t="s">
        <v>4455</v>
      </c>
      <c r="H27" s="139" t="s">
        <v>4448</v>
      </c>
      <c r="I27" s="139" t="s">
        <v>4407</v>
      </c>
      <c r="J27" s="140"/>
    </row>
    <row r="28" spans="1:14" ht="21">
      <c r="A28" s="139" t="s">
        <v>4402</v>
      </c>
      <c r="B28" s="139" t="s">
        <v>1663</v>
      </c>
      <c r="C28" s="139" t="s">
        <v>2128</v>
      </c>
      <c r="D28" s="139" t="s">
        <v>4700</v>
      </c>
      <c r="E28" s="139" t="s">
        <v>3328</v>
      </c>
      <c r="F28" s="156" t="s">
        <v>4480</v>
      </c>
      <c r="G28" s="139" t="s">
        <v>4455</v>
      </c>
      <c r="H28" s="139" t="s">
        <v>4448</v>
      </c>
      <c r="I28" s="139" t="s">
        <v>4407</v>
      </c>
      <c r="J28" s="140" t="s">
        <v>4481</v>
      </c>
      <c r="L28" s="154" t="s">
        <v>4681</v>
      </c>
    </row>
    <row r="29" spans="1:14" ht="21">
      <c r="A29" s="139" t="s">
        <v>4402</v>
      </c>
      <c r="B29" s="139" t="s">
        <v>1664</v>
      </c>
      <c r="C29" s="139" t="s">
        <v>2128</v>
      </c>
      <c r="D29" s="139" t="s">
        <v>4702</v>
      </c>
      <c r="E29" s="139" t="s">
        <v>3329</v>
      </c>
      <c r="F29" s="156" t="s">
        <v>4482</v>
      </c>
      <c r="G29" s="139" t="s">
        <v>4455</v>
      </c>
      <c r="H29" s="139" t="s">
        <v>4448</v>
      </c>
      <c r="I29" s="139" t="s">
        <v>4407</v>
      </c>
      <c r="J29" s="140" t="s">
        <v>4483</v>
      </c>
      <c r="L29" s="114" t="s">
        <v>2031</v>
      </c>
      <c r="M29" s="114" t="s">
        <v>4679</v>
      </c>
      <c r="N29" s="114" t="s">
        <v>1625</v>
      </c>
    </row>
    <row r="30" spans="1:14" ht="21">
      <c r="A30" s="139" t="s">
        <v>4402</v>
      </c>
      <c r="B30" s="139" t="s">
        <v>1654</v>
      </c>
      <c r="C30" s="139" t="s">
        <v>2131</v>
      </c>
      <c r="D30" s="139" t="s">
        <v>3300</v>
      </c>
      <c r="E30" s="139" t="s">
        <v>4484</v>
      </c>
      <c r="F30" s="156" t="s">
        <v>4485</v>
      </c>
      <c r="G30" s="139" t="s">
        <v>4463</v>
      </c>
      <c r="H30" s="139" t="s">
        <v>4448</v>
      </c>
      <c r="I30" s="139" t="s">
        <v>4407</v>
      </c>
      <c r="J30" s="140" t="s">
        <v>4486</v>
      </c>
      <c r="L30" t="str" cm="1">
        <f t="array" ref="L30:L35">IFERROR(_xlfn._xlws.FILTER($A$2:$A$109,$I$2:$I$109=$L$4),"")</f>
        <v>Broker</v>
      </c>
      <c r="M30" t="str" cm="1">
        <f t="array" ref="M30:M35">IFERROR(_xlfn._xlws.FILTER($E$2:$E$109,$I$2:$I$109=$L$4),"")</f>
        <v>ユーザ登録の受信（SCIM）</v>
      </c>
      <c r="N30" t="str" cm="1">
        <f t="array" ref="N30:N35">IFERROR(_xlfn._xlws.FILTER($D$2:$D$109,$I$2:$I$109=$L$4),"")</f>
        <v>顧客IdP からのユーザ情報の同期</v>
      </c>
    </row>
    <row r="31" spans="1:14" ht="21">
      <c r="A31" s="139" t="s">
        <v>4402</v>
      </c>
      <c r="B31" s="139" t="s">
        <v>1655</v>
      </c>
      <c r="C31" s="139" t="s">
        <v>2131</v>
      </c>
      <c r="D31" s="139" t="s">
        <v>3301</v>
      </c>
      <c r="E31" s="139" t="s">
        <v>3301</v>
      </c>
      <c r="F31" s="156" t="s">
        <v>4487</v>
      </c>
      <c r="G31" s="139" t="s">
        <v>4463</v>
      </c>
      <c r="H31" s="139" t="s">
        <v>4448</v>
      </c>
      <c r="I31" s="139" t="s">
        <v>4407</v>
      </c>
      <c r="J31" s="140" t="s">
        <v>4488</v>
      </c>
      <c r="L31" t="str">
        <v>Broker</v>
      </c>
      <c r="M31" t="str">
        <v>ユーザ更新の受信（SCIM）</v>
      </c>
      <c r="N31" t="str">
        <v>顧客IdP からのユーザ情報の同期</v>
      </c>
    </row>
    <row r="32" spans="1:14" ht="21">
      <c r="A32" s="139" t="s">
        <v>4402</v>
      </c>
      <c r="B32" s="139" t="s">
        <v>1664</v>
      </c>
      <c r="C32" s="139" t="s">
        <v>2128</v>
      </c>
      <c r="D32" s="139" t="s">
        <v>4702</v>
      </c>
      <c r="E32" s="139" t="s">
        <v>3330</v>
      </c>
      <c r="F32" s="156" t="s">
        <v>4489</v>
      </c>
      <c r="G32" s="139" t="s">
        <v>4455</v>
      </c>
      <c r="H32" s="139" t="s">
        <v>4448</v>
      </c>
      <c r="I32" s="139" t="s">
        <v>4407</v>
      </c>
      <c r="J32" s="140" t="s">
        <v>4490</v>
      </c>
      <c r="L32" t="str">
        <v>Broker</v>
      </c>
      <c r="M32" t="str">
        <v>削除通知の受信（SCIM）</v>
      </c>
      <c r="N32" t="str">
        <v>顧客IdP からのユーザ情報の同期</v>
      </c>
    </row>
    <row r="33" spans="1:14">
      <c r="A33" s="139" t="s">
        <v>4402</v>
      </c>
      <c r="B33" s="139" t="s">
        <v>1668</v>
      </c>
      <c r="C33" s="139" t="s">
        <v>4687</v>
      </c>
      <c r="D33" s="139" t="s">
        <v>2181</v>
      </c>
      <c r="E33" s="139" t="s">
        <v>4491</v>
      </c>
      <c r="F33" s="156" t="s">
        <v>4492</v>
      </c>
      <c r="G33" s="139" t="s">
        <v>4455</v>
      </c>
      <c r="H33" s="139" t="s">
        <v>4448</v>
      </c>
      <c r="I33" s="139" t="s">
        <v>4407</v>
      </c>
      <c r="J33" s="140"/>
      <c r="L33" t="str">
        <v>Broker</v>
      </c>
      <c r="M33" t="str">
        <v>ユーザ検索の受信（SCIM）</v>
      </c>
      <c r="N33" t="str">
        <v>顧客IdP からのユーザ情報の同期</v>
      </c>
    </row>
    <row r="34" spans="1:14" ht="21">
      <c r="A34" s="139" t="s">
        <v>4402</v>
      </c>
      <c r="B34" s="139" t="s">
        <v>1668</v>
      </c>
      <c r="C34" s="139" t="s">
        <v>4687</v>
      </c>
      <c r="D34" s="139" t="s">
        <v>2181</v>
      </c>
      <c r="E34" s="139" t="s">
        <v>4493</v>
      </c>
      <c r="F34" s="156" t="s">
        <v>4494</v>
      </c>
      <c r="G34" s="139" t="s">
        <v>4455</v>
      </c>
      <c r="H34" s="139" t="s">
        <v>4448</v>
      </c>
      <c r="I34" s="139" t="s">
        <v>4407</v>
      </c>
      <c r="J34" s="140" t="s">
        <v>4495</v>
      </c>
      <c r="L34" t="str">
        <v>IdP</v>
      </c>
      <c r="M34" t="str">
        <v>パスワードの自己再設定</v>
      </c>
      <c r="N34" t="str">
        <v>パスワードの自己再設定</v>
      </c>
    </row>
    <row r="35" spans="1:14">
      <c r="A35" s="139" t="s">
        <v>4402</v>
      </c>
      <c r="B35" s="139" t="s">
        <v>1662</v>
      </c>
      <c r="C35" s="139" t="s">
        <v>2128</v>
      </c>
      <c r="D35" s="139" t="s">
        <v>4698</v>
      </c>
      <c r="E35" s="139" t="s">
        <v>4496</v>
      </c>
      <c r="F35" s="156" t="s">
        <v>4497</v>
      </c>
      <c r="G35" s="139" t="s">
        <v>4455</v>
      </c>
      <c r="H35" s="139" t="s">
        <v>4448</v>
      </c>
      <c r="I35" s="139" t="s">
        <v>4407</v>
      </c>
      <c r="J35" s="140"/>
      <c r="L35" t="str">
        <v>Broker</v>
      </c>
      <c r="M35" t="str">
        <v>一括の有効化・無効化</v>
      </c>
      <c r="N35" t="str">
        <v>ユーザの利用可否の切替・削除</v>
      </c>
    </row>
    <row r="36" spans="1:14" ht="21">
      <c r="A36" s="139" t="s">
        <v>4402</v>
      </c>
      <c r="B36" s="139" t="s">
        <v>1646</v>
      </c>
      <c r="C36" s="139" t="s">
        <v>4686</v>
      </c>
      <c r="D36" s="139" t="s">
        <v>1856</v>
      </c>
      <c r="E36" s="139" t="s">
        <v>4498</v>
      </c>
      <c r="F36" s="156" t="s">
        <v>4499</v>
      </c>
      <c r="G36" s="139" t="s">
        <v>4455</v>
      </c>
      <c r="H36" s="139" t="s">
        <v>4406</v>
      </c>
      <c r="I36" s="139" t="s">
        <v>4407</v>
      </c>
      <c r="J36" s="140" t="s">
        <v>4500</v>
      </c>
    </row>
    <row r="37" spans="1:14" ht="21">
      <c r="A37" s="139" t="s">
        <v>4402</v>
      </c>
      <c r="B37" s="139" t="s">
        <v>2255</v>
      </c>
      <c r="C37" s="139" t="s">
        <v>4690</v>
      </c>
      <c r="D37" s="139" t="s">
        <v>2206</v>
      </c>
      <c r="E37" s="139" t="s">
        <v>3225</v>
      </c>
      <c r="F37" s="156" t="s">
        <v>4501</v>
      </c>
      <c r="G37" s="139" t="s">
        <v>4455</v>
      </c>
      <c r="H37" s="139" t="s">
        <v>4448</v>
      </c>
      <c r="I37" s="139" t="s">
        <v>4407</v>
      </c>
      <c r="J37" s="140" t="s">
        <v>4502</v>
      </c>
    </row>
    <row r="38" spans="1:14" ht="42">
      <c r="A38" s="139" t="s">
        <v>4402</v>
      </c>
      <c r="B38" s="139" t="s">
        <v>2255</v>
      </c>
      <c r="C38" s="139" t="s">
        <v>4690</v>
      </c>
      <c r="D38" s="139" t="s">
        <v>2206</v>
      </c>
      <c r="E38" s="139" t="s">
        <v>4503</v>
      </c>
      <c r="F38" s="156" t="s">
        <v>4504</v>
      </c>
      <c r="G38" s="139" t="s">
        <v>4405</v>
      </c>
      <c r="H38" s="139" t="s">
        <v>4406</v>
      </c>
      <c r="I38" s="139" t="s">
        <v>4407</v>
      </c>
      <c r="J38" s="140" t="s">
        <v>4505</v>
      </c>
    </row>
    <row r="39" spans="1:14" ht="21">
      <c r="A39" s="139" t="s">
        <v>4402</v>
      </c>
      <c r="B39" s="139" t="s">
        <v>2255</v>
      </c>
      <c r="C39" s="139" t="s">
        <v>4690</v>
      </c>
      <c r="D39" s="139" t="s">
        <v>2206</v>
      </c>
      <c r="E39" s="139" t="s">
        <v>4506</v>
      </c>
      <c r="F39" s="156" t="s">
        <v>4507</v>
      </c>
      <c r="G39" s="139" t="s">
        <v>4455</v>
      </c>
      <c r="H39" s="139" t="s">
        <v>4448</v>
      </c>
      <c r="I39" s="139" t="s">
        <v>4407</v>
      </c>
      <c r="J39" s="140" t="s">
        <v>4508</v>
      </c>
    </row>
    <row r="40" spans="1:14" ht="21">
      <c r="A40" s="139" t="s">
        <v>4402</v>
      </c>
      <c r="B40" s="139" t="s">
        <v>1703</v>
      </c>
      <c r="C40" s="139" t="s">
        <v>2138</v>
      </c>
      <c r="D40" s="139" t="s">
        <v>4719</v>
      </c>
      <c r="E40" s="139" t="s">
        <v>4509</v>
      </c>
      <c r="F40" s="156" t="s">
        <v>4510</v>
      </c>
      <c r="G40" s="139" t="s">
        <v>4455</v>
      </c>
      <c r="H40" s="139" t="s">
        <v>4448</v>
      </c>
      <c r="I40" s="139" t="s">
        <v>4407</v>
      </c>
      <c r="J40" s="140" t="s">
        <v>4511</v>
      </c>
    </row>
    <row r="41" spans="1:14" ht="21">
      <c r="A41" s="139" t="s">
        <v>4402</v>
      </c>
      <c r="B41" s="139" t="s">
        <v>1701</v>
      </c>
      <c r="C41" s="139" t="s">
        <v>2138</v>
      </c>
      <c r="D41" s="139" t="s">
        <v>4718</v>
      </c>
      <c r="E41" s="139" t="s">
        <v>4512</v>
      </c>
      <c r="F41" s="156" t="s">
        <v>4513</v>
      </c>
      <c r="G41" s="139" t="s">
        <v>4455</v>
      </c>
      <c r="H41" s="139" t="s">
        <v>4448</v>
      </c>
      <c r="I41" s="139" t="s">
        <v>4407</v>
      </c>
      <c r="J41" s="140" t="s">
        <v>4514</v>
      </c>
    </row>
    <row r="42" spans="1:14" ht="21">
      <c r="A42" s="139" t="s">
        <v>4402</v>
      </c>
      <c r="B42" s="139" t="s">
        <v>1705</v>
      </c>
      <c r="C42" s="139" t="s">
        <v>2138</v>
      </c>
      <c r="D42" s="139" t="s">
        <v>4720</v>
      </c>
      <c r="E42" s="139" t="s">
        <v>1879</v>
      </c>
      <c r="F42" s="156" t="s">
        <v>4462</v>
      </c>
      <c r="G42" s="139" t="s">
        <v>4463</v>
      </c>
      <c r="H42" s="139" t="s">
        <v>4464</v>
      </c>
      <c r="I42" s="139" t="s">
        <v>4465</v>
      </c>
      <c r="J42" s="140" t="s">
        <v>4515</v>
      </c>
    </row>
    <row r="43" spans="1:14" ht="42">
      <c r="A43" s="139" t="s">
        <v>4402</v>
      </c>
      <c r="B43" s="139" t="s">
        <v>2238</v>
      </c>
      <c r="C43" s="139" t="s">
        <v>2135</v>
      </c>
      <c r="D43" s="139" t="s">
        <v>4717</v>
      </c>
      <c r="E43" s="139" t="s">
        <v>4516</v>
      </c>
      <c r="F43" s="156" t="s">
        <v>4517</v>
      </c>
      <c r="G43" s="139" t="s">
        <v>4455</v>
      </c>
      <c r="H43" s="139" t="s">
        <v>4448</v>
      </c>
      <c r="I43" s="139" t="s">
        <v>4407</v>
      </c>
      <c r="J43" s="140" t="s">
        <v>4518</v>
      </c>
    </row>
    <row r="44" spans="1:14" ht="42">
      <c r="A44" s="139" t="s">
        <v>4402</v>
      </c>
      <c r="B44" s="139" t="s">
        <v>1686</v>
      </c>
      <c r="C44" s="139" t="s">
        <v>2134</v>
      </c>
      <c r="D44" s="139" t="s">
        <v>2169</v>
      </c>
      <c r="E44" s="139" t="s">
        <v>4519</v>
      </c>
      <c r="F44" s="157" t="s">
        <v>4520</v>
      </c>
      <c r="G44" s="139" t="s">
        <v>4455</v>
      </c>
      <c r="H44" s="139" t="s">
        <v>4435</v>
      </c>
      <c r="I44" s="139" t="s">
        <v>4407</v>
      </c>
      <c r="J44" s="140" t="s">
        <v>4521</v>
      </c>
    </row>
    <row r="45" spans="1:14" ht="42">
      <c r="A45" s="139" t="s">
        <v>4402</v>
      </c>
      <c r="B45" s="139" t="s">
        <v>1628</v>
      </c>
      <c r="C45" s="139" t="s">
        <v>4682</v>
      </c>
      <c r="D45" s="139" t="s">
        <v>3294</v>
      </c>
      <c r="E45" s="139" t="s">
        <v>4727</v>
      </c>
      <c r="F45" s="156" t="s">
        <v>4522</v>
      </c>
      <c r="G45" s="139" t="s">
        <v>4411</v>
      </c>
      <c r="H45" s="139" t="s">
        <v>4464</v>
      </c>
      <c r="I45" s="139" t="s">
        <v>4465</v>
      </c>
      <c r="J45" s="140" t="s">
        <v>4523</v>
      </c>
    </row>
    <row r="46" spans="1:14" ht="42">
      <c r="A46" s="139" t="s">
        <v>4402</v>
      </c>
      <c r="B46" s="139" t="s">
        <v>1651</v>
      </c>
      <c r="C46" s="139" t="s">
        <v>2128</v>
      </c>
      <c r="D46" s="139" t="s">
        <v>4696</v>
      </c>
      <c r="E46" s="139" t="s">
        <v>4524</v>
      </c>
      <c r="F46" s="156" t="s">
        <v>4462</v>
      </c>
      <c r="G46" s="139" t="s">
        <v>4463</v>
      </c>
      <c r="H46" s="139" t="s">
        <v>4464</v>
      </c>
      <c r="I46" s="139" t="s">
        <v>4525</v>
      </c>
      <c r="J46" s="140" t="s">
        <v>4526</v>
      </c>
    </row>
    <row r="47" spans="1:14" ht="21">
      <c r="A47" s="139" t="s">
        <v>4402</v>
      </c>
      <c r="B47" s="139" t="s">
        <v>1651</v>
      </c>
      <c r="C47" s="139" t="s">
        <v>2128</v>
      </c>
      <c r="D47" s="139" t="s">
        <v>4696</v>
      </c>
      <c r="E47" s="139" t="s">
        <v>4527</v>
      </c>
      <c r="F47" s="156" t="s">
        <v>4462</v>
      </c>
      <c r="G47" s="139" t="s">
        <v>4463</v>
      </c>
      <c r="H47" s="139" t="s">
        <v>4464</v>
      </c>
      <c r="I47" s="139" t="s">
        <v>4525</v>
      </c>
      <c r="J47" s="140" t="s">
        <v>4528</v>
      </c>
    </row>
    <row r="48" spans="1:14" ht="21">
      <c r="A48" s="139" t="s">
        <v>4402</v>
      </c>
      <c r="B48" s="139" t="s">
        <v>1651</v>
      </c>
      <c r="C48" s="139" t="s">
        <v>2128</v>
      </c>
      <c r="D48" s="139" t="s">
        <v>4696</v>
      </c>
      <c r="E48" s="139" t="s">
        <v>4529</v>
      </c>
      <c r="F48" s="156" t="s">
        <v>4462</v>
      </c>
      <c r="G48" s="139" t="s">
        <v>4463</v>
      </c>
      <c r="H48" s="139" t="s">
        <v>4464</v>
      </c>
      <c r="I48" s="139" t="s">
        <v>4525</v>
      </c>
      <c r="J48" s="140" t="s">
        <v>4528</v>
      </c>
    </row>
    <row r="49" spans="1:10" ht="21">
      <c r="A49" s="139" t="s">
        <v>4402</v>
      </c>
      <c r="B49" s="139" t="s">
        <v>1651</v>
      </c>
      <c r="C49" s="139" t="s">
        <v>2128</v>
      </c>
      <c r="D49" s="139" t="s">
        <v>4696</v>
      </c>
      <c r="E49" s="139" t="s">
        <v>4530</v>
      </c>
      <c r="F49" s="156" t="s">
        <v>4462</v>
      </c>
      <c r="G49" s="139" t="s">
        <v>4463</v>
      </c>
      <c r="H49" s="139" t="s">
        <v>4464</v>
      </c>
      <c r="I49" s="139" t="s">
        <v>4525</v>
      </c>
      <c r="J49" s="140" t="s">
        <v>4528</v>
      </c>
    </row>
    <row r="50" spans="1:10" ht="21">
      <c r="A50" s="139" t="s">
        <v>4402</v>
      </c>
      <c r="B50" s="139" t="s">
        <v>1692</v>
      </c>
      <c r="C50" s="139" t="s">
        <v>4690</v>
      </c>
      <c r="D50" s="139" t="s">
        <v>2198</v>
      </c>
      <c r="E50" s="139" t="s">
        <v>2198</v>
      </c>
      <c r="F50" s="156" t="s">
        <v>4462</v>
      </c>
      <c r="G50" s="139" t="s">
        <v>4405</v>
      </c>
      <c r="H50" s="139" t="s">
        <v>4464</v>
      </c>
      <c r="I50" s="139" t="s">
        <v>4465</v>
      </c>
      <c r="J50" s="140" t="s">
        <v>4531</v>
      </c>
    </row>
    <row r="51" spans="1:10" ht="21">
      <c r="A51" s="139" t="s">
        <v>4402</v>
      </c>
      <c r="B51" s="139" t="s">
        <v>1698</v>
      </c>
      <c r="C51" s="139" t="s">
        <v>2131</v>
      </c>
      <c r="D51" s="139" t="s">
        <v>1877</v>
      </c>
      <c r="E51" s="139" t="s">
        <v>1877</v>
      </c>
      <c r="F51" s="156" t="s">
        <v>4462</v>
      </c>
      <c r="G51" s="139" t="s">
        <v>4463</v>
      </c>
      <c r="H51" s="139" t="s">
        <v>4464</v>
      </c>
      <c r="I51" s="139" t="s">
        <v>4465</v>
      </c>
      <c r="J51" s="140" t="s">
        <v>4532</v>
      </c>
    </row>
    <row r="52" spans="1:10" ht="21">
      <c r="A52" s="139" t="s">
        <v>4402</v>
      </c>
      <c r="B52" s="139" t="s">
        <v>1707</v>
      </c>
      <c r="C52" s="139" t="s">
        <v>2131</v>
      </c>
      <c r="D52" s="139" t="s">
        <v>1880</v>
      </c>
      <c r="E52" s="139" t="s">
        <v>4533</v>
      </c>
      <c r="F52" s="156" t="s">
        <v>4462</v>
      </c>
      <c r="G52" s="139" t="s">
        <v>4463</v>
      </c>
      <c r="H52" s="139" t="s">
        <v>4464</v>
      </c>
      <c r="I52" s="139" t="s">
        <v>4465</v>
      </c>
      <c r="J52" s="140" t="s">
        <v>4534</v>
      </c>
    </row>
    <row r="53" spans="1:10" ht="21">
      <c r="A53" s="139" t="s">
        <v>4402</v>
      </c>
      <c r="B53" s="139" t="s">
        <v>1647</v>
      </c>
      <c r="C53" s="139" t="s">
        <v>4686</v>
      </c>
      <c r="D53" s="139" t="s">
        <v>3298</v>
      </c>
      <c r="E53" s="139" t="s">
        <v>4535</v>
      </c>
      <c r="F53" s="156" t="s">
        <v>4462</v>
      </c>
      <c r="G53" s="139" t="s">
        <v>4411</v>
      </c>
      <c r="H53" s="139" t="s">
        <v>4464</v>
      </c>
      <c r="I53" s="139" t="s">
        <v>4465</v>
      </c>
      <c r="J53" s="140" t="s">
        <v>4536</v>
      </c>
    </row>
    <row r="54" spans="1:10" ht="21">
      <c r="A54" s="139" t="s">
        <v>4402</v>
      </c>
      <c r="B54" s="139" t="s">
        <v>1649</v>
      </c>
      <c r="C54" s="139" t="s">
        <v>4683</v>
      </c>
      <c r="D54" s="139" t="s">
        <v>2193</v>
      </c>
      <c r="E54" s="139" t="s">
        <v>4537</v>
      </c>
      <c r="F54" s="156" t="s">
        <v>4538</v>
      </c>
      <c r="G54" s="139" t="s">
        <v>4463</v>
      </c>
      <c r="H54" s="139" t="s">
        <v>4435</v>
      </c>
      <c r="I54" s="139" t="s">
        <v>4407</v>
      </c>
      <c r="J54" s="140" t="s">
        <v>4539</v>
      </c>
    </row>
    <row r="55" spans="1:10" ht="21">
      <c r="A55" s="139" t="s">
        <v>4402</v>
      </c>
      <c r="B55" s="139" t="s">
        <v>1652</v>
      </c>
      <c r="C55" s="139" t="s">
        <v>2129</v>
      </c>
      <c r="D55" s="139" t="s">
        <v>4705</v>
      </c>
      <c r="E55" s="139" t="s">
        <v>1858</v>
      </c>
      <c r="F55" s="156" t="s">
        <v>4540</v>
      </c>
      <c r="G55" s="139" t="s">
        <v>4463</v>
      </c>
      <c r="H55" s="139" t="s">
        <v>4435</v>
      </c>
      <c r="I55" s="139" t="s">
        <v>4407</v>
      </c>
      <c r="J55" s="140" t="s">
        <v>4541</v>
      </c>
    </row>
    <row r="56" spans="1:10" ht="21">
      <c r="A56" s="139" t="s">
        <v>4402</v>
      </c>
      <c r="B56" s="139" t="s">
        <v>1685</v>
      </c>
      <c r="C56" s="139" t="s">
        <v>2134</v>
      </c>
      <c r="D56" s="139" t="s">
        <v>3303</v>
      </c>
      <c r="E56" s="139" t="s">
        <v>4542</v>
      </c>
      <c r="F56" s="156" t="s">
        <v>4543</v>
      </c>
      <c r="G56" s="139" t="s">
        <v>4463</v>
      </c>
      <c r="H56" s="139" t="s">
        <v>4435</v>
      </c>
      <c r="I56" s="139" t="s">
        <v>4407</v>
      </c>
      <c r="J56" s="140" t="s">
        <v>4544</v>
      </c>
    </row>
    <row r="57" spans="1:10" ht="21">
      <c r="A57" s="139" t="s">
        <v>4402</v>
      </c>
      <c r="B57" s="139" t="s">
        <v>2219</v>
      </c>
      <c r="C57" s="139" t="s">
        <v>2125</v>
      </c>
      <c r="D57" s="139" t="s">
        <v>2164</v>
      </c>
      <c r="E57" s="139" t="s">
        <v>2125</v>
      </c>
      <c r="F57" s="156" t="s">
        <v>4545</v>
      </c>
      <c r="G57" s="139" t="s">
        <v>4411</v>
      </c>
      <c r="H57" s="139" t="s">
        <v>4435</v>
      </c>
      <c r="I57" s="139" t="s">
        <v>4407</v>
      </c>
      <c r="J57" s="140" t="s">
        <v>4546</v>
      </c>
    </row>
    <row r="58" spans="1:10" ht="21">
      <c r="A58" s="139" t="s">
        <v>4402</v>
      </c>
      <c r="B58" s="139" t="s">
        <v>1689</v>
      </c>
      <c r="C58" s="139" t="s">
        <v>1848</v>
      </c>
      <c r="D58" s="139" t="s">
        <v>1848</v>
      </c>
      <c r="E58" s="139" t="s">
        <v>1848</v>
      </c>
      <c r="F58" s="156" t="s">
        <v>4427</v>
      </c>
      <c r="G58" s="139" t="s">
        <v>4411</v>
      </c>
      <c r="H58" s="139" t="s">
        <v>4406</v>
      </c>
      <c r="I58" s="139" t="s">
        <v>4407</v>
      </c>
      <c r="J58" s="140" t="s">
        <v>4547</v>
      </c>
    </row>
    <row r="59" spans="1:10" ht="21">
      <c r="A59" s="139" t="s">
        <v>4548</v>
      </c>
      <c r="B59" s="139" t="s">
        <v>1626</v>
      </c>
      <c r="C59" s="139" t="s">
        <v>4684</v>
      </c>
      <c r="D59" s="139" t="s">
        <v>2171</v>
      </c>
      <c r="E59" s="139" t="s">
        <v>4549</v>
      </c>
      <c r="F59" s="156" t="s">
        <v>4410</v>
      </c>
      <c r="G59" s="139" t="s">
        <v>4411</v>
      </c>
      <c r="H59" s="139" t="s">
        <v>4406</v>
      </c>
      <c r="I59" s="139" t="s">
        <v>4407</v>
      </c>
      <c r="J59" s="140" t="s">
        <v>4550</v>
      </c>
    </row>
    <row r="60" spans="1:10" ht="84">
      <c r="A60" s="139" t="s">
        <v>4548</v>
      </c>
      <c r="B60" s="139" t="s">
        <v>1645</v>
      </c>
      <c r="C60" s="139" t="s">
        <v>4685</v>
      </c>
      <c r="D60" s="139" t="s">
        <v>1855</v>
      </c>
      <c r="E60" s="139" t="s">
        <v>4551</v>
      </c>
      <c r="F60" s="156" t="s">
        <v>4552</v>
      </c>
      <c r="G60" s="139" t="s">
        <v>4411</v>
      </c>
      <c r="H60" s="139" t="s">
        <v>4406</v>
      </c>
      <c r="I60" s="139" t="s">
        <v>4407</v>
      </c>
      <c r="J60" s="140" t="s">
        <v>4553</v>
      </c>
    </row>
    <row r="61" spans="1:10" ht="63">
      <c r="A61" s="139" t="s">
        <v>4548</v>
      </c>
      <c r="B61" s="139" t="s">
        <v>1644</v>
      </c>
      <c r="C61" s="139" t="s">
        <v>4685</v>
      </c>
      <c r="D61" s="139" t="s">
        <v>1854</v>
      </c>
      <c r="E61" s="139" t="s">
        <v>1854</v>
      </c>
      <c r="F61" s="156" t="s">
        <v>4554</v>
      </c>
      <c r="G61" s="139" t="s">
        <v>4418</v>
      </c>
      <c r="H61" s="139" t="s">
        <v>4464</v>
      </c>
      <c r="I61" s="139" t="s">
        <v>4525</v>
      </c>
      <c r="J61" s="140" t="s">
        <v>4555</v>
      </c>
    </row>
    <row r="62" spans="1:10" ht="42">
      <c r="A62" s="139" t="s">
        <v>4548</v>
      </c>
      <c r="B62" s="139" t="s">
        <v>1665</v>
      </c>
      <c r="C62" s="139" t="s">
        <v>4685</v>
      </c>
      <c r="D62" s="139" t="s">
        <v>1864</v>
      </c>
      <c r="E62" s="139" t="s">
        <v>4556</v>
      </c>
      <c r="F62" s="156" t="s">
        <v>4728</v>
      </c>
      <c r="G62" s="139" t="s">
        <v>4455</v>
      </c>
      <c r="H62" s="139" t="s">
        <v>4448</v>
      </c>
      <c r="I62" s="139" t="s">
        <v>4407</v>
      </c>
      <c r="J62" s="140" t="s">
        <v>4557</v>
      </c>
    </row>
    <row r="63" spans="1:10" ht="21">
      <c r="A63" s="139" t="s">
        <v>4548</v>
      </c>
      <c r="B63" s="139" t="s">
        <v>1645</v>
      </c>
      <c r="C63" s="139" t="s">
        <v>4685</v>
      </c>
      <c r="D63" s="139" t="s">
        <v>1855</v>
      </c>
      <c r="E63" s="139" t="s">
        <v>4558</v>
      </c>
      <c r="F63" s="156" t="s">
        <v>4559</v>
      </c>
      <c r="G63" s="139" t="s">
        <v>4455</v>
      </c>
      <c r="H63" s="139" t="s">
        <v>4448</v>
      </c>
      <c r="I63" s="139" t="s">
        <v>4407</v>
      </c>
      <c r="J63" s="140" t="s">
        <v>4560</v>
      </c>
    </row>
    <row r="64" spans="1:10" ht="21">
      <c r="A64" s="139" t="s">
        <v>4548</v>
      </c>
      <c r="B64" s="139" t="s">
        <v>1645</v>
      </c>
      <c r="C64" s="139" t="s">
        <v>4685</v>
      </c>
      <c r="D64" s="139" t="s">
        <v>1855</v>
      </c>
      <c r="E64" s="139" t="s">
        <v>4561</v>
      </c>
      <c r="F64" s="156" t="s">
        <v>4562</v>
      </c>
      <c r="G64" s="139" t="s">
        <v>4455</v>
      </c>
      <c r="H64" s="139" t="s">
        <v>4448</v>
      </c>
      <c r="I64" s="139" t="s">
        <v>4407</v>
      </c>
      <c r="J64" s="140" t="s">
        <v>4563</v>
      </c>
    </row>
    <row r="65" spans="1:10" ht="42">
      <c r="A65" s="139" t="s">
        <v>4548</v>
      </c>
      <c r="B65" s="139" t="s">
        <v>4564</v>
      </c>
      <c r="C65" s="139" t="s">
        <v>956</v>
      </c>
      <c r="D65" s="139" t="s">
        <v>956</v>
      </c>
      <c r="E65" s="139" t="s">
        <v>4565</v>
      </c>
      <c r="F65" s="156" t="s">
        <v>956</v>
      </c>
      <c r="G65" s="139" t="s">
        <v>4418</v>
      </c>
      <c r="H65" s="139" t="s">
        <v>4566</v>
      </c>
      <c r="I65" s="139" t="s">
        <v>4567</v>
      </c>
      <c r="J65" s="140" t="s">
        <v>4568</v>
      </c>
    </row>
    <row r="66" spans="1:10" ht="42">
      <c r="A66" s="139" t="s">
        <v>4548</v>
      </c>
      <c r="B66" s="139" t="s">
        <v>1626</v>
      </c>
      <c r="C66" s="139" t="s">
        <v>4684</v>
      </c>
      <c r="D66" s="139" t="s">
        <v>2171</v>
      </c>
      <c r="E66" s="139" t="s">
        <v>4569</v>
      </c>
      <c r="F66" s="156" t="s">
        <v>4570</v>
      </c>
      <c r="G66" s="139" t="s">
        <v>4405</v>
      </c>
      <c r="H66" s="139" t="s">
        <v>4464</v>
      </c>
      <c r="I66" s="139" t="s">
        <v>4465</v>
      </c>
      <c r="J66" s="140" t="s">
        <v>4571</v>
      </c>
    </row>
    <row r="67" spans="1:10" ht="21">
      <c r="A67" s="139" t="s">
        <v>4548</v>
      </c>
      <c r="B67" s="139" t="s">
        <v>1636</v>
      </c>
      <c r="C67" s="139" t="s">
        <v>1927</v>
      </c>
      <c r="D67" s="139" t="s">
        <v>4693</v>
      </c>
      <c r="E67" s="139" t="s">
        <v>1851</v>
      </c>
      <c r="F67" s="156" t="s">
        <v>4572</v>
      </c>
      <c r="G67" s="139" t="s">
        <v>4411</v>
      </c>
      <c r="H67" s="139" t="s">
        <v>4435</v>
      </c>
      <c r="I67" s="139" t="s">
        <v>4407</v>
      </c>
      <c r="J67" s="140" t="s">
        <v>4573</v>
      </c>
    </row>
    <row r="68" spans="1:10" ht="63">
      <c r="A68" s="139" t="s">
        <v>4548</v>
      </c>
      <c r="B68" s="139" t="s">
        <v>1638</v>
      </c>
      <c r="C68" s="139" t="s">
        <v>1927</v>
      </c>
      <c r="D68" s="139" t="s">
        <v>4574</v>
      </c>
      <c r="E68" s="139" t="s">
        <v>4574</v>
      </c>
      <c r="F68" s="156" t="s">
        <v>4575</v>
      </c>
      <c r="G68" s="139" t="s">
        <v>4411</v>
      </c>
      <c r="H68" s="139" t="s">
        <v>4406</v>
      </c>
      <c r="I68" s="139" t="s">
        <v>4407</v>
      </c>
      <c r="J68" s="140" t="s">
        <v>4576</v>
      </c>
    </row>
    <row r="69" spans="1:10" ht="21">
      <c r="A69" s="139" t="s">
        <v>4548</v>
      </c>
      <c r="B69" s="139" t="s">
        <v>1667</v>
      </c>
      <c r="C69" s="139" t="s">
        <v>1927</v>
      </c>
      <c r="D69" s="139" t="s">
        <v>1865</v>
      </c>
      <c r="E69" s="139" t="s">
        <v>1865</v>
      </c>
      <c r="F69" s="156" t="s">
        <v>4729</v>
      </c>
      <c r="G69" s="139" t="s">
        <v>4455</v>
      </c>
      <c r="H69" s="139" t="s">
        <v>4448</v>
      </c>
      <c r="I69" s="139" t="s">
        <v>4407</v>
      </c>
      <c r="J69" s="140" t="s">
        <v>4577</v>
      </c>
    </row>
    <row r="70" spans="1:10" ht="21">
      <c r="A70" s="139" t="s">
        <v>4548</v>
      </c>
      <c r="B70" s="139" t="s">
        <v>1636</v>
      </c>
      <c r="C70" s="139" t="s">
        <v>1927</v>
      </c>
      <c r="D70" s="139" t="s">
        <v>4693</v>
      </c>
      <c r="E70" s="139" t="s">
        <v>4578</v>
      </c>
      <c r="F70" s="156" t="s">
        <v>4579</v>
      </c>
      <c r="G70" s="139" t="s">
        <v>4418</v>
      </c>
      <c r="H70" s="139" t="s">
        <v>4406</v>
      </c>
      <c r="I70" s="139" t="s">
        <v>4407</v>
      </c>
      <c r="J70" s="140" t="s">
        <v>4580</v>
      </c>
    </row>
    <row r="71" spans="1:10" ht="21">
      <c r="A71" s="139" t="s">
        <v>4548</v>
      </c>
      <c r="B71" s="139" t="s">
        <v>1638</v>
      </c>
      <c r="C71" s="139" t="s">
        <v>1927</v>
      </c>
      <c r="D71" s="139" t="s">
        <v>4574</v>
      </c>
      <c r="E71" s="139" t="s">
        <v>4581</v>
      </c>
      <c r="F71" s="156" t="s">
        <v>4582</v>
      </c>
      <c r="G71" s="139" t="s">
        <v>4418</v>
      </c>
      <c r="H71" s="139" t="s">
        <v>4448</v>
      </c>
      <c r="I71" s="139" t="s">
        <v>4407</v>
      </c>
      <c r="J71" s="140" t="s">
        <v>4583</v>
      </c>
    </row>
    <row r="72" spans="1:10" ht="42">
      <c r="A72" s="139" t="s">
        <v>4548</v>
      </c>
      <c r="B72" s="139" t="s">
        <v>1663</v>
      </c>
      <c r="C72" s="139" t="s">
        <v>2128</v>
      </c>
      <c r="D72" s="139" t="s">
        <v>4731</v>
      </c>
      <c r="E72" s="139" t="s">
        <v>4732</v>
      </c>
      <c r="F72" s="156" t="s">
        <v>4730</v>
      </c>
      <c r="G72" s="139" t="s">
        <v>4418</v>
      </c>
      <c r="H72" s="139" t="s">
        <v>4406</v>
      </c>
      <c r="I72" s="139" t="s">
        <v>4407</v>
      </c>
      <c r="J72" s="140" t="s">
        <v>4584</v>
      </c>
    </row>
    <row r="73" spans="1:10" ht="21">
      <c r="A73" s="139" t="s">
        <v>4548</v>
      </c>
      <c r="B73" s="139" t="s">
        <v>1668</v>
      </c>
      <c r="C73" s="139" t="s">
        <v>4687</v>
      </c>
      <c r="D73" s="139" t="s">
        <v>2181</v>
      </c>
      <c r="E73" s="139" t="s">
        <v>4585</v>
      </c>
      <c r="F73" s="156" t="s">
        <v>4586</v>
      </c>
      <c r="G73" s="139" t="s">
        <v>4418</v>
      </c>
      <c r="H73" s="139" t="s">
        <v>4406</v>
      </c>
      <c r="I73" s="139" t="s">
        <v>4407</v>
      </c>
      <c r="J73" s="140" t="s">
        <v>2365</v>
      </c>
    </row>
    <row r="74" spans="1:10" ht="21">
      <c r="A74" s="139" t="s">
        <v>4548</v>
      </c>
      <c r="B74" s="139" t="s">
        <v>1626</v>
      </c>
      <c r="C74" s="139" t="s">
        <v>4684</v>
      </c>
      <c r="D74" s="139" t="s">
        <v>2171</v>
      </c>
      <c r="E74" s="139" t="s">
        <v>4587</v>
      </c>
      <c r="F74" s="156" t="s">
        <v>4588</v>
      </c>
      <c r="G74" s="139" t="s">
        <v>4418</v>
      </c>
      <c r="H74" s="139" t="s">
        <v>4406</v>
      </c>
      <c r="I74" s="139" t="s">
        <v>4407</v>
      </c>
      <c r="J74" s="140" t="s">
        <v>2365</v>
      </c>
    </row>
    <row r="75" spans="1:10" ht="21">
      <c r="A75" s="139" t="s">
        <v>4548</v>
      </c>
      <c r="B75" s="139" t="s">
        <v>1663</v>
      </c>
      <c r="C75" s="139" t="s">
        <v>2128</v>
      </c>
      <c r="D75" s="139" t="s">
        <v>4700</v>
      </c>
      <c r="E75" s="139" t="s">
        <v>4589</v>
      </c>
      <c r="F75" s="156" t="s">
        <v>4733</v>
      </c>
      <c r="G75" s="139" t="s">
        <v>4455</v>
      </c>
      <c r="H75" s="139" t="s">
        <v>4448</v>
      </c>
      <c r="I75" s="139" t="s">
        <v>4407</v>
      </c>
      <c r="J75" s="140" t="s">
        <v>4590</v>
      </c>
    </row>
    <row r="76" spans="1:10" ht="21">
      <c r="A76" s="139" t="s">
        <v>4548</v>
      </c>
      <c r="B76" s="139" t="s">
        <v>1648</v>
      </c>
      <c r="C76" s="139" t="s">
        <v>4686</v>
      </c>
      <c r="D76" s="139" t="s">
        <v>1928</v>
      </c>
      <c r="E76" s="139" t="s">
        <v>1928</v>
      </c>
      <c r="F76" s="156" t="s">
        <v>4462</v>
      </c>
      <c r="G76" s="139" t="s">
        <v>4463</v>
      </c>
      <c r="H76" s="139" t="s">
        <v>4464</v>
      </c>
      <c r="I76" s="139" t="s">
        <v>4465</v>
      </c>
      <c r="J76" s="140" t="s">
        <v>4591</v>
      </c>
    </row>
    <row r="77" spans="1:10" ht="21">
      <c r="A77" s="139" t="s">
        <v>4548</v>
      </c>
      <c r="B77" s="139" t="s">
        <v>1642</v>
      </c>
      <c r="C77" s="139" t="s">
        <v>4685</v>
      </c>
      <c r="D77" s="139" t="s">
        <v>1853</v>
      </c>
      <c r="E77" s="139" t="s">
        <v>1853</v>
      </c>
      <c r="F77" s="156" t="s">
        <v>4462</v>
      </c>
      <c r="G77" s="139" t="s">
        <v>4455</v>
      </c>
      <c r="H77" s="139" t="s">
        <v>4464</v>
      </c>
      <c r="I77" s="139" t="s">
        <v>4465</v>
      </c>
      <c r="J77" s="140" t="s">
        <v>4592</v>
      </c>
    </row>
    <row r="78" spans="1:10" ht="21">
      <c r="A78" s="139" t="s">
        <v>4548</v>
      </c>
      <c r="B78" s="139" t="s">
        <v>1646</v>
      </c>
      <c r="C78" s="139" t="s">
        <v>4686</v>
      </c>
      <c r="D78" s="139" t="s">
        <v>1856</v>
      </c>
      <c r="E78" s="139" t="s">
        <v>4593</v>
      </c>
      <c r="F78" s="156" t="s">
        <v>4594</v>
      </c>
      <c r="G78" s="139" t="s">
        <v>4463</v>
      </c>
      <c r="H78" s="139" t="s">
        <v>4435</v>
      </c>
      <c r="I78" s="139" t="s">
        <v>4407</v>
      </c>
      <c r="J78" s="140" t="s">
        <v>4595</v>
      </c>
    </row>
    <row r="79" spans="1:10" ht="42">
      <c r="A79" s="139" t="s">
        <v>4402</v>
      </c>
      <c r="B79" s="139" t="s">
        <v>1630</v>
      </c>
      <c r="C79" s="139" t="s">
        <v>4682</v>
      </c>
      <c r="D79" s="139" t="s">
        <v>3295</v>
      </c>
      <c r="E79" s="139" t="s">
        <v>4596</v>
      </c>
      <c r="F79" s="156" t="s">
        <v>4597</v>
      </c>
      <c r="G79" s="139" t="s">
        <v>4411</v>
      </c>
      <c r="H79" s="139" t="s">
        <v>4406</v>
      </c>
      <c r="I79" s="139" t="s">
        <v>4407</v>
      </c>
      <c r="J79" s="140" t="s">
        <v>4598</v>
      </c>
    </row>
    <row r="80" spans="1:10" ht="21">
      <c r="A80" s="139" t="s">
        <v>4402</v>
      </c>
      <c r="B80" s="139" t="s">
        <v>1629</v>
      </c>
      <c r="C80" s="139" t="s">
        <v>4682</v>
      </c>
      <c r="D80" s="139" t="s">
        <v>1850</v>
      </c>
      <c r="E80" s="139" t="s">
        <v>4599</v>
      </c>
      <c r="F80" s="156" t="s">
        <v>4600</v>
      </c>
      <c r="G80" s="139" t="s">
        <v>4411</v>
      </c>
      <c r="H80" s="139" t="s">
        <v>4464</v>
      </c>
      <c r="I80" s="139" t="s">
        <v>4465</v>
      </c>
      <c r="J80" s="140" t="s">
        <v>4601</v>
      </c>
    </row>
    <row r="81" spans="1:10" ht="21">
      <c r="A81" s="139" t="s">
        <v>4402</v>
      </c>
      <c r="B81" s="139" t="s">
        <v>1650</v>
      </c>
      <c r="C81" s="139" t="s">
        <v>4683</v>
      </c>
      <c r="D81" s="139" t="s">
        <v>1857</v>
      </c>
      <c r="E81" s="139" t="s">
        <v>1857</v>
      </c>
      <c r="F81" s="156" t="s">
        <v>4602</v>
      </c>
      <c r="G81" s="139" t="s">
        <v>4463</v>
      </c>
      <c r="H81" s="139" t="s">
        <v>4435</v>
      </c>
      <c r="I81" s="139" t="s">
        <v>4407</v>
      </c>
      <c r="J81" s="140" t="s">
        <v>4603</v>
      </c>
    </row>
    <row r="82" spans="1:10" ht="42">
      <c r="A82" s="139" t="s">
        <v>4402</v>
      </c>
      <c r="B82" s="139" t="s">
        <v>1635</v>
      </c>
      <c r="C82" s="139" t="s">
        <v>4683</v>
      </c>
      <c r="D82" s="139" t="s">
        <v>3313</v>
      </c>
      <c r="E82" s="139" t="s">
        <v>3313</v>
      </c>
      <c r="F82" s="156" t="s">
        <v>4604</v>
      </c>
      <c r="G82" s="139" t="s">
        <v>4463</v>
      </c>
      <c r="H82" s="139" t="s">
        <v>4435</v>
      </c>
      <c r="I82" s="139" t="s">
        <v>4407</v>
      </c>
      <c r="J82" s="140" t="s">
        <v>4605</v>
      </c>
    </row>
    <row r="83" spans="1:10" ht="42">
      <c r="A83" s="139" t="s">
        <v>4402</v>
      </c>
      <c r="B83" s="139" t="s">
        <v>1666</v>
      </c>
      <c r="C83" s="139" t="s">
        <v>2128</v>
      </c>
      <c r="D83" s="139" t="s">
        <v>3331</v>
      </c>
      <c r="E83" s="139" t="s">
        <v>3331</v>
      </c>
      <c r="F83" s="156" t="s">
        <v>4606</v>
      </c>
      <c r="G83" s="139" t="s">
        <v>4455</v>
      </c>
      <c r="H83" s="139" t="s">
        <v>4448</v>
      </c>
      <c r="I83" s="139" t="s">
        <v>4407</v>
      </c>
      <c r="J83" s="140" t="s">
        <v>4607</v>
      </c>
    </row>
    <row r="84" spans="1:10" ht="21">
      <c r="A84" s="139" t="s">
        <v>4402</v>
      </c>
      <c r="B84" s="139" t="s">
        <v>1678</v>
      </c>
      <c r="C84" s="139" t="s">
        <v>2128</v>
      </c>
      <c r="D84" s="139" t="s">
        <v>3333</v>
      </c>
      <c r="E84" s="139" t="s">
        <v>3333</v>
      </c>
      <c r="F84" s="156" t="s">
        <v>4608</v>
      </c>
      <c r="G84" s="139" t="s">
        <v>4455</v>
      </c>
      <c r="H84" s="139" t="s">
        <v>4448</v>
      </c>
      <c r="I84" s="139" t="s">
        <v>4407</v>
      </c>
      <c r="J84" s="140" t="s">
        <v>4609</v>
      </c>
    </row>
    <row r="85" spans="1:10" ht="42">
      <c r="A85" s="139" t="s">
        <v>4402</v>
      </c>
      <c r="B85" s="139" t="s">
        <v>1679</v>
      </c>
      <c r="C85" s="139" t="s">
        <v>2128</v>
      </c>
      <c r="D85" s="139" t="s">
        <v>4704</v>
      </c>
      <c r="E85" s="139" t="s">
        <v>4610</v>
      </c>
      <c r="F85" s="156" t="s">
        <v>4611</v>
      </c>
      <c r="G85" s="139" t="s">
        <v>4455</v>
      </c>
      <c r="H85" s="139" t="s">
        <v>4448</v>
      </c>
      <c r="I85" s="139" t="s">
        <v>4407</v>
      </c>
      <c r="J85" s="140" t="s">
        <v>4612</v>
      </c>
    </row>
    <row r="86" spans="1:10" ht="21">
      <c r="A86" s="139" t="s">
        <v>4402</v>
      </c>
      <c r="B86" s="139" t="s">
        <v>2259</v>
      </c>
      <c r="C86" s="139" t="s">
        <v>2135</v>
      </c>
      <c r="D86" s="139" t="s">
        <v>2210</v>
      </c>
      <c r="E86" s="139" t="s">
        <v>4613</v>
      </c>
      <c r="F86" s="156" t="s">
        <v>4614</v>
      </c>
      <c r="G86" s="139" t="s">
        <v>4455</v>
      </c>
      <c r="H86" s="139" t="s">
        <v>4448</v>
      </c>
      <c r="I86" s="139" t="s">
        <v>4407</v>
      </c>
      <c r="J86" s="140" t="s">
        <v>4615</v>
      </c>
    </row>
    <row r="87" spans="1:10" ht="42">
      <c r="A87" s="139" t="s">
        <v>4402</v>
      </c>
      <c r="B87" s="139" t="s">
        <v>4010</v>
      </c>
      <c r="C87" s="139" t="s">
        <v>4690</v>
      </c>
      <c r="D87" s="139" t="s">
        <v>4714</v>
      </c>
      <c r="E87" s="139" t="s">
        <v>4616</v>
      </c>
      <c r="F87" s="156" t="s">
        <v>4617</v>
      </c>
      <c r="G87" s="139" t="s">
        <v>4405</v>
      </c>
      <c r="H87" s="139" t="s">
        <v>4464</v>
      </c>
      <c r="I87" s="139" t="s">
        <v>4465</v>
      </c>
      <c r="J87" s="140" t="s">
        <v>4618</v>
      </c>
    </row>
    <row r="88" spans="1:10" ht="21">
      <c r="A88" s="139" t="s">
        <v>4402</v>
      </c>
      <c r="B88" s="139" t="s">
        <v>1694</v>
      </c>
      <c r="C88" s="139" t="s">
        <v>1932</v>
      </c>
      <c r="D88" s="139" t="s">
        <v>4722</v>
      </c>
      <c r="E88" s="139" t="s">
        <v>1875</v>
      </c>
      <c r="F88" s="156" t="s">
        <v>4619</v>
      </c>
      <c r="G88" s="139" t="s">
        <v>4463</v>
      </c>
      <c r="H88" s="139" t="s">
        <v>4464</v>
      </c>
      <c r="I88" s="139" t="s">
        <v>4465</v>
      </c>
      <c r="J88" s="140" t="s">
        <v>4620</v>
      </c>
    </row>
    <row r="89" spans="1:10" ht="21">
      <c r="A89" s="139" t="s">
        <v>4402</v>
      </c>
      <c r="B89" s="139" t="s">
        <v>1695</v>
      </c>
      <c r="C89" s="139" t="s">
        <v>1932</v>
      </c>
      <c r="D89" s="139" t="s">
        <v>2167</v>
      </c>
      <c r="E89" s="139" t="s">
        <v>2167</v>
      </c>
      <c r="F89" s="156" t="s">
        <v>4621</v>
      </c>
      <c r="G89" s="139" t="s">
        <v>4463</v>
      </c>
      <c r="H89" s="139" t="s">
        <v>4435</v>
      </c>
      <c r="I89" s="139" t="s">
        <v>4407</v>
      </c>
      <c r="J89" s="140" t="s">
        <v>4622</v>
      </c>
    </row>
    <row r="90" spans="1:10" ht="21">
      <c r="A90" s="139" t="s">
        <v>4402</v>
      </c>
      <c r="B90" s="139" t="s">
        <v>1653</v>
      </c>
      <c r="C90" s="139" t="s">
        <v>2129</v>
      </c>
      <c r="D90" s="139" t="s">
        <v>4706</v>
      </c>
      <c r="E90" s="139" t="s">
        <v>1859</v>
      </c>
      <c r="F90" s="156" t="s">
        <v>4623</v>
      </c>
      <c r="G90" s="139" t="s">
        <v>4463</v>
      </c>
      <c r="H90" s="139" t="s">
        <v>4464</v>
      </c>
      <c r="I90" s="139" t="s">
        <v>4465</v>
      </c>
      <c r="J90" s="140" t="s">
        <v>4624</v>
      </c>
    </row>
    <row r="91" spans="1:10" ht="21">
      <c r="A91" s="139" t="s">
        <v>4402</v>
      </c>
      <c r="B91" s="139" t="s">
        <v>1691</v>
      </c>
      <c r="C91" s="139" t="s">
        <v>1848</v>
      </c>
      <c r="D91" s="139" t="s">
        <v>1873</v>
      </c>
      <c r="E91" s="139" t="s">
        <v>1873</v>
      </c>
      <c r="F91" s="156" t="s">
        <v>4431</v>
      </c>
      <c r="G91" s="139" t="s">
        <v>4405</v>
      </c>
      <c r="H91" s="139" t="s">
        <v>4406</v>
      </c>
      <c r="I91" s="139" t="s">
        <v>4407</v>
      </c>
      <c r="J91" s="140" t="s">
        <v>4625</v>
      </c>
    </row>
    <row r="92" spans="1:10" ht="42">
      <c r="A92" s="139" t="s">
        <v>4402</v>
      </c>
      <c r="B92" s="139" t="s">
        <v>2245</v>
      </c>
      <c r="C92" s="139" t="s">
        <v>4687</v>
      </c>
      <c r="D92" s="139" t="s">
        <v>2192</v>
      </c>
      <c r="E92" s="139" t="s">
        <v>4626</v>
      </c>
      <c r="F92" s="156" t="s">
        <v>4627</v>
      </c>
      <c r="G92" s="139" t="s">
        <v>4411</v>
      </c>
      <c r="H92" s="139" t="s">
        <v>4406</v>
      </c>
      <c r="I92" s="139" t="s">
        <v>4407</v>
      </c>
      <c r="J92" s="140" t="s">
        <v>4628</v>
      </c>
    </row>
    <row r="93" spans="1:10" ht="42">
      <c r="A93" s="139" t="s">
        <v>4402</v>
      </c>
      <c r="B93" s="139" t="s">
        <v>2245</v>
      </c>
      <c r="C93" s="139" t="s">
        <v>4687</v>
      </c>
      <c r="D93" s="139" t="s">
        <v>2192</v>
      </c>
      <c r="E93" s="139" t="s">
        <v>4629</v>
      </c>
      <c r="F93" s="156" t="s">
        <v>4630</v>
      </c>
      <c r="G93" s="139" t="s">
        <v>4411</v>
      </c>
      <c r="H93" s="139" t="s">
        <v>4406</v>
      </c>
      <c r="I93" s="139" t="s">
        <v>4407</v>
      </c>
      <c r="J93" s="140" t="s">
        <v>4631</v>
      </c>
    </row>
    <row r="94" spans="1:10" ht="21">
      <c r="A94" s="139" t="s">
        <v>4402</v>
      </c>
      <c r="B94" s="139" t="s">
        <v>1662</v>
      </c>
      <c r="C94" s="139" t="s">
        <v>2128</v>
      </c>
      <c r="D94" s="139" t="s">
        <v>4698</v>
      </c>
      <c r="E94" s="139" t="s">
        <v>4632</v>
      </c>
      <c r="F94" s="156" t="s">
        <v>4633</v>
      </c>
      <c r="G94" s="139" t="s">
        <v>4455</v>
      </c>
      <c r="H94" s="139" t="s">
        <v>4448</v>
      </c>
      <c r="I94" s="139" t="s">
        <v>4407</v>
      </c>
      <c r="J94" s="140" t="s">
        <v>4634</v>
      </c>
    </row>
    <row r="95" spans="1:10" ht="42">
      <c r="A95" s="139" t="s">
        <v>4402</v>
      </c>
      <c r="B95" s="139" t="s">
        <v>1662</v>
      </c>
      <c r="C95" s="139" t="s">
        <v>2128</v>
      </c>
      <c r="D95" s="139" t="s">
        <v>4698</v>
      </c>
      <c r="E95" s="139" t="s">
        <v>4635</v>
      </c>
      <c r="F95" s="156" t="s">
        <v>4636</v>
      </c>
      <c r="G95" s="139" t="s">
        <v>4455</v>
      </c>
      <c r="H95" s="139" t="s">
        <v>4448</v>
      </c>
      <c r="I95" s="139" t="s">
        <v>4407</v>
      </c>
      <c r="J95" s="140" t="s">
        <v>4637</v>
      </c>
    </row>
    <row r="96" spans="1:10" ht="42">
      <c r="A96" s="139" t="s">
        <v>4402</v>
      </c>
      <c r="B96" s="139" t="s">
        <v>1672</v>
      </c>
      <c r="C96" s="139" t="s">
        <v>2132</v>
      </c>
      <c r="D96" s="139" t="s">
        <v>1929</v>
      </c>
      <c r="E96" s="139" t="s">
        <v>4638</v>
      </c>
      <c r="F96" s="156" t="s">
        <v>4639</v>
      </c>
      <c r="G96" s="139" t="s">
        <v>4455</v>
      </c>
      <c r="H96" s="139" t="s">
        <v>4448</v>
      </c>
      <c r="I96" s="139" t="s">
        <v>4407</v>
      </c>
      <c r="J96" s="140" t="s">
        <v>4640</v>
      </c>
    </row>
    <row r="97" spans="1:10" ht="21">
      <c r="A97" s="139" t="s">
        <v>4402</v>
      </c>
      <c r="B97" s="139" t="s">
        <v>1672</v>
      </c>
      <c r="C97" s="139" t="s">
        <v>2132</v>
      </c>
      <c r="D97" s="139" t="s">
        <v>1929</v>
      </c>
      <c r="E97" s="139" t="s">
        <v>4641</v>
      </c>
      <c r="F97" s="156" t="s">
        <v>4642</v>
      </c>
      <c r="G97" s="139" t="s">
        <v>4455</v>
      </c>
      <c r="H97" s="139" t="s">
        <v>4448</v>
      </c>
      <c r="I97" s="139" t="s">
        <v>4407</v>
      </c>
      <c r="J97" s="140" t="s">
        <v>4643</v>
      </c>
    </row>
    <row r="98" spans="1:10" ht="42">
      <c r="A98" s="139" t="s">
        <v>4402</v>
      </c>
      <c r="B98" s="139" t="s">
        <v>1649</v>
      </c>
      <c r="C98" s="139" t="s">
        <v>4683</v>
      </c>
      <c r="D98" s="139" t="s">
        <v>2193</v>
      </c>
      <c r="E98" s="139" t="s">
        <v>4644</v>
      </c>
      <c r="F98" s="156" t="s">
        <v>4645</v>
      </c>
      <c r="G98" s="139" t="s">
        <v>4455</v>
      </c>
      <c r="H98" s="139" t="s">
        <v>4448</v>
      </c>
      <c r="I98" s="139" t="s">
        <v>4407</v>
      </c>
      <c r="J98" s="140" t="s">
        <v>4646</v>
      </c>
    </row>
    <row r="99" spans="1:10" ht="42">
      <c r="A99" s="139" t="s">
        <v>4402</v>
      </c>
      <c r="B99" s="139" t="s">
        <v>1646</v>
      </c>
      <c r="C99" s="139" t="s">
        <v>4686</v>
      </c>
      <c r="D99" s="139" t="s">
        <v>2124</v>
      </c>
      <c r="E99" s="139" t="s">
        <v>4647</v>
      </c>
      <c r="F99" s="156" t="s">
        <v>4648</v>
      </c>
      <c r="G99" s="139" t="s">
        <v>4455</v>
      </c>
      <c r="H99" s="139" t="s">
        <v>4448</v>
      </c>
      <c r="I99" s="139" t="s">
        <v>4407</v>
      </c>
      <c r="J99" s="140" t="s">
        <v>4649</v>
      </c>
    </row>
    <row r="100" spans="1:10" ht="63">
      <c r="A100" s="139" t="s">
        <v>4402</v>
      </c>
      <c r="B100" s="139" t="s">
        <v>2250</v>
      </c>
      <c r="C100" s="139" t="s">
        <v>4689</v>
      </c>
      <c r="D100" s="139" t="s">
        <v>4709</v>
      </c>
      <c r="E100" s="139" t="s">
        <v>4650</v>
      </c>
      <c r="F100" s="156" t="s">
        <v>4651</v>
      </c>
      <c r="G100" s="139" t="s">
        <v>4455</v>
      </c>
      <c r="H100" s="139" t="s">
        <v>4448</v>
      </c>
      <c r="I100" s="139" t="s">
        <v>4407</v>
      </c>
      <c r="J100" s="140" t="s">
        <v>4652</v>
      </c>
    </row>
    <row r="101" spans="1:10" ht="42">
      <c r="A101" s="139" t="s">
        <v>4402</v>
      </c>
      <c r="B101" s="139" t="s">
        <v>2238</v>
      </c>
      <c r="C101" s="139" t="s">
        <v>2135</v>
      </c>
      <c r="D101" s="139" t="s">
        <v>4717</v>
      </c>
      <c r="E101" s="139" t="s">
        <v>4653</v>
      </c>
      <c r="F101" s="156" t="s">
        <v>4654</v>
      </c>
      <c r="G101" s="139" t="s">
        <v>4455</v>
      </c>
      <c r="H101" s="139" t="s">
        <v>4448</v>
      </c>
      <c r="I101" s="139" t="s">
        <v>4407</v>
      </c>
      <c r="J101" s="140" t="s">
        <v>4655</v>
      </c>
    </row>
    <row r="102" spans="1:10" ht="63">
      <c r="A102" s="139" t="s">
        <v>4402</v>
      </c>
      <c r="B102" s="139" t="s">
        <v>1662</v>
      </c>
      <c r="C102" s="139" t="s">
        <v>2128</v>
      </c>
      <c r="D102" s="139" t="s">
        <v>4698</v>
      </c>
      <c r="E102" s="139" t="s">
        <v>4656</v>
      </c>
      <c r="F102" s="156" t="s">
        <v>4657</v>
      </c>
      <c r="G102" s="139" t="s">
        <v>4455</v>
      </c>
      <c r="H102" s="139" t="s">
        <v>4658</v>
      </c>
      <c r="I102" s="139" t="s">
        <v>4567</v>
      </c>
      <c r="J102" s="140" t="s">
        <v>4659</v>
      </c>
    </row>
    <row r="103" spans="1:10" ht="21">
      <c r="A103" s="139" t="s">
        <v>4402</v>
      </c>
      <c r="B103" s="139" t="s">
        <v>2238</v>
      </c>
      <c r="C103" s="139" t="s">
        <v>2135</v>
      </c>
      <c r="D103" s="139" t="s">
        <v>4717</v>
      </c>
      <c r="E103" s="139" t="s">
        <v>4660</v>
      </c>
      <c r="F103" s="156" t="s">
        <v>4661</v>
      </c>
      <c r="G103" s="139" t="s">
        <v>4455</v>
      </c>
      <c r="H103" s="139" t="s">
        <v>4448</v>
      </c>
      <c r="I103" s="139" t="s">
        <v>4407</v>
      </c>
      <c r="J103" s="140" t="s">
        <v>4662</v>
      </c>
    </row>
    <row r="104" spans="1:10" ht="21">
      <c r="A104" s="139" t="s">
        <v>4402</v>
      </c>
      <c r="B104" s="139" t="s">
        <v>2238</v>
      </c>
      <c r="C104" s="139" t="s">
        <v>2135</v>
      </c>
      <c r="D104" s="139" t="s">
        <v>4717</v>
      </c>
      <c r="E104" s="139" t="s">
        <v>4663</v>
      </c>
      <c r="F104" s="156" t="s">
        <v>4664</v>
      </c>
      <c r="G104" s="139" t="s">
        <v>4455</v>
      </c>
      <c r="H104" s="139" t="s">
        <v>4448</v>
      </c>
      <c r="I104" s="139" t="s">
        <v>4407</v>
      </c>
      <c r="J104" s="140" t="s">
        <v>4665</v>
      </c>
    </row>
    <row r="105" spans="1:10" ht="84">
      <c r="A105" s="139" t="s">
        <v>4402</v>
      </c>
      <c r="B105" s="139" t="s">
        <v>2238</v>
      </c>
      <c r="C105" s="139" t="s">
        <v>2135</v>
      </c>
      <c r="D105" s="139" t="s">
        <v>4717</v>
      </c>
      <c r="E105" s="139" t="s">
        <v>4666</v>
      </c>
      <c r="F105" s="156" t="s">
        <v>4667</v>
      </c>
      <c r="G105" s="139" t="s">
        <v>4463</v>
      </c>
      <c r="H105" s="139" t="s">
        <v>4406</v>
      </c>
      <c r="I105" s="139" t="s">
        <v>4407</v>
      </c>
      <c r="J105" s="140" t="s">
        <v>4668</v>
      </c>
    </row>
    <row r="106" spans="1:10" ht="42">
      <c r="A106" s="139" t="s">
        <v>4548</v>
      </c>
      <c r="B106" s="139" t="s">
        <v>1636</v>
      </c>
      <c r="C106" s="139" t="s">
        <v>1927</v>
      </c>
      <c r="D106" s="139" t="s">
        <v>4693</v>
      </c>
      <c r="E106" s="139" t="s">
        <v>4669</v>
      </c>
      <c r="F106" s="156" t="s">
        <v>4670</v>
      </c>
      <c r="G106" s="139" t="s">
        <v>4418</v>
      </c>
      <c r="H106" s="139" t="s">
        <v>4406</v>
      </c>
      <c r="I106" s="139" t="s">
        <v>4407</v>
      </c>
      <c r="J106" s="140" t="s">
        <v>4671</v>
      </c>
    </row>
    <row r="107" spans="1:10" ht="63">
      <c r="A107" s="139" t="s">
        <v>4402</v>
      </c>
      <c r="B107" s="139" t="s">
        <v>1698</v>
      </c>
      <c r="C107" s="139" t="s">
        <v>2131</v>
      </c>
      <c r="D107" s="139" t="s">
        <v>1877</v>
      </c>
      <c r="E107" s="139" t="s">
        <v>4672</v>
      </c>
      <c r="F107" s="156" t="s">
        <v>4462</v>
      </c>
      <c r="G107" s="139" t="s">
        <v>4405</v>
      </c>
      <c r="H107" s="139" t="s">
        <v>4464</v>
      </c>
      <c r="I107" s="139" t="s">
        <v>4465</v>
      </c>
      <c r="J107" s="140" t="s">
        <v>4673</v>
      </c>
    </row>
    <row r="108" spans="1:10" ht="21">
      <c r="A108" s="139" t="s">
        <v>4548</v>
      </c>
      <c r="B108" s="139" t="s">
        <v>1645</v>
      </c>
      <c r="C108" s="139" t="s">
        <v>4685</v>
      </c>
      <c r="D108" s="139" t="s">
        <v>1855</v>
      </c>
      <c r="E108" s="139" t="s">
        <v>4674</v>
      </c>
      <c r="F108" s="156" t="s">
        <v>4462</v>
      </c>
      <c r="G108" s="139" t="s">
        <v>4405</v>
      </c>
      <c r="H108" s="139" t="s">
        <v>4464</v>
      </c>
      <c r="I108" s="139" t="s">
        <v>4465</v>
      </c>
      <c r="J108" s="140" t="s">
        <v>4675</v>
      </c>
    </row>
    <row r="109" spans="1:10" ht="63">
      <c r="A109" s="139" t="s">
        <v>4402</v>
      </c>
      <c r="B109" s="139" t="s">
        <v>1664</v>
      </c>
      <c r="C109" s="139" t="s">
        <v>2128</v>
      </c>
      <c r="D109" s="139" t="s">
        <v>4702</v>
      </c>
      <c r="E109" s="139" t="s">
        <v>4676</v>
      </c>
      <c r="F109" s="156" t="s">
        <v>4677</v>
      </c>
      <c r="G109" s="139" t="s">
        <v>4463</v>
      </c>
      <c r="H109" s="139" t="s">
        <v>4464</v>
      </c>
      <c r="I109" s="139" t="s">
        <v>4525</v>
      </c>
      <c r="J109" s="140" t="s">
        <v>4678</v>
      </c>
    </row>
  </sheetData>
  <phoneticPr fontId="2"/>
  <conditionalFormatting sqref="A2:A109">
    <cfRule type="containsText" dxfId="36" priority="1" operator="containsText" text="Broker">
      <formula>NOT(ISERROR(SEARCH("Broker",A2)))</formula>
    </cfRule>
  </conditionalFormatting>
  <conditionalFormatting sqref="A2:A109">
    <cfRule type="containsText" dxfId="35" priority="2" operator="containsText" text="IdP">
      <formula>NOT(ISERROR(SEARCH("IdP",A2)))</formula>
    </cfRule>
  </conditionalFormatting>
  <conditionalFormatting sqref="H2:H109">
    <cfRule type="containsText" dxfId="34" priority="3" operator="containsText" text="✅ 標準">
      <formula>NOT(ISERROR(SEARCH("✅ 標準",H2)))</formula>
    </cfRule>
  </conditionalFormatting>
  <conditionalFormatting sqref="H2:H109">
    <cfRule type="containsText" dxfId="33" priority="4" operator="containsText" text="⚠ 標準（制約）">
      <formula>NOT(ISERROR(SEARCH("⚠ 標準（制約）",H2)))</formula>
    </cfRule>
  </conditionalFormatting>
  <conditionalFormatting sqref="H2:H109">
    <cfRule type="containsText" dxfId="32" priority="5" operator="containsText" text="🔧 カスタム必要">
      <formula>NOT(ISERROR(SEARCH("🔧 カスタム必要",H2)))</formula>
    </cfRule>
  </conditionalFormatting>
  <conditionalFormatting sqref="H2:H109">
    <cfRule type="containsText" dxfId="31" priority="6" operator="containsText" text="⛔ 使わない">
      <formula>NOT(ISERROR(SEARCH("⛔ 使わない",H2)))</formula>
    </cfRule>
  </conditionalFormatting>
  <conditionalFormatting sqref="H2:H109">
    <cfRule type="containsText" dxfId="30" priority="7" operator="containsText" text="❌ 不可">
      <formula>NOT(ISERROR(SEARCH("❌ 不可",H2)))</formula>
    </cfRule>
  </conditionalFormatting>
  <conditionalFormatting sqref="I2:I109">
    <cfRule type="containsText" dxfId="29" priority="8" operator="containsText" text="🔺 標準外">
      <formula>NOT(ISERROR(SEARCH("🔺 標準外",I2)))</formula>
    </cfRule>
  </conditionalFormatting>
  <conditionalFormatting sqref="I2:I109">
    <cfRule type="containsText" dxfId="28" priority="9" operator="containsText" text="🔻 削減候補">
      <formula>NOT(ISERROR(SEARCH("🔻 削減候補",I2)))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360B-467A-9A40-9C12-19F5CA7BB25A}">
  <dimension ref="A1:O210"/>
  <sheetViews>
    <sheetView workbookViewId="0">
      <pane ySplit="1" topLeftCell="A161" activePane="bottomLeft" state="frozen"/>
      <selection pane="bottomLeft" activeCell="M174" sqref="M174"/>
    </sheetView>
  </sheetViews>
  <sheetFormatPr baseColWidth="10" defaultRowHeight="20"/>
  <cols>
    <col min="1" max="1" width="13.5703125" customWidth="1"/>
    <col min="2" max="2" width="11.42578125" customWidth="1"/>
    <col min="3" max="3" width="10.7109375" customWidth="1"/>
    <col min="4" max="4" width="11.42578125" customWidth="1"/>
    <col min="5" max="5" width="15.7109375" customWidth="1"/>
    <col min="6" max="6" width="21.42578125" customWidth="1"/>
    <col min="7" max="7" width="37.140625" style="110" customWidth="1"/>
    <col min="8" max="8" width="32.85546875" style="110" customWidth="1"/>
    <col min="9" max="9" width="42.85546875" style="110" customWidth="1"/>
    <col min="10" max="10" width="31.42578125" customWidth="1"/>
    <col min="11" max="13" width="25.7109375" customWidth="1"/>
    <col min="14" max="14" width="28.5703125" style="110" customWidth="1"/>
    <col min="15" max="15" width="34.28515625" style="110" customWidth="1"/>
  </cols>
  <sheetData>
    <row r="1" spans="1:15" ht="21">
      <c r="A1" s="135" t="s">
        <v>261</v>
      </c>
      <c r="B1" s="135" t="s">
        <v>306</v>
      </c>
      <c r="C1" s="135" t="s">
        <v>1469</v>
      </c>
      <c r="D1" s="135" t="s">
        <v>3960</v>
      </c>
      <c r="E1" s="135" t="s">
        <v>3961</v>
      </c>
      <c r="F1" s="135" t="s">
        <v>2033</v>
      </c>
      <c r="G1" s="153" t="s">
        <v>4159</v>
      </c>
      <c r="H1" s="153" t="s">
        <v>1208</v>
      </c>
      <c r="I1" s="153" t="s">
        <v>5</v>
      </c>
      <c r="J1" s="135" t="s">
        <v>1996</v>
      </c>
      <c r="K1" s="135" t="s">
        <v>962</v>
      </c>
      <c r="L1" s="135" t="s">
        <v>2437</v>
      </c>
      <c r="M1" s="135" t="s">
        <v>963</v>
      </c>
      <c r="N1" s="153" t="s">
        <v>1154</v>
      </c>
      <c r="O1" s="153" t="s">
        <v>4160</v>
      </c>
    </row>
    <row r="2" spans="1:15" ht="84">
      <c r="A2" s="139" t="s">
        <v>4161</v>
      </c>
      <c r="B2" s="139" t="s">
        <v>2</v>
      </c>
      <c r="C2" s="139" t="s">
        <v>3526</v>
      </c>
      <c r="D2" s="139" t="s">
        <v>2031</v>
      </c>
      <c r="E2" s="139" t="s">
        <v>3530</v>
      </c>
      <c r="F2" s="139" t="s">
        <v>4162</v>
      </c>
      <c r="G2" s="140" t="s">
        <v>4163</v>
      </c>
      <c r="H2" s="140" t="s">
        <v>4164</v>
      </c>
      <c r="I2" s="140" t="s">
        <v>4165</v>
      </c>
      <c r="J2" s="139" t="s">
        <v>4166</v>
      </c>
      <c r="K2" s="139" t="s">
        <v>1987</v>
      </c>
      <c r="L2" s="139" t="s">
        <v>4156</v>
      </c>
      <c r="M2" s="139" t="s">
        <v>4101</v>
      </c>
      <c r="N2" s="140" t="s">
        <v>3788</v>
      </c>
      <c r="O2" s="140" t="s">
        <v>4167</v>
      </c>
    </row>
    <row r="3" spans="1:15" ht="84">
      <c r="A3" s="139" t="s">
        <v>4168</v>
      </c>
      <c r="B3" s="139" t="s">
        <v>2</v>
      </c>
      <c r="C3" s="139" t="s">
        <v>3526</v>
      </c>
      <c r="D3" s="139" t="s">
        <v>2031</v>
      </c>
      <c r="E3" s="139" t="s">
        <v>3527</v>
      </c>
      <c r="F3" s="139" t="s">
        <v>4169</v>
      </c>
      <c r="G3" s="140" t="s">
        <v>4170</v>
      </c>
      <c r="H3" s="140" t="s">
        <v>4171</v>
      </c>
      <c r="I3" s="140" t="s">
        <v>4165</v>
      </c>
      <c r="J3" s="139"/>
      <c r="K3" s="139"/>
      <c r="L3" s="139"/>
      <c r="M3" s="139"/>
      <c r="N3" s="140" t="s">
        <v>4172</v>
      </c>
      <c r="O3" s="140" t="s">
        <v>4167</v>
      </c>
    </row>
    <row r="4" spans="1:15" ht="42">
      <c r="A4" s="139" t="s">
        <v>7</v>
      </c>
      <c r="B4" s="139" t="s">
        <v>2</v>
      </c>
      <c r="C4" s="139" t="s">
        <v>3526</v>
      </c>
      <c r="D4" s="139" t="s">
        <v>2031</v>
      </c>
      <c r="E4" s="139" t="s">
        <v>3530</v>
      </c>
      <c r="F4" s="139" t="s">
        <v>4162</v>
      </c>
      <c r="G4" s="140" t="s">
        <v>956</v>
      </c>
      <c r="H4" s="140" t="s">
        <v>3528</v>
      </c>
      <c r="I4" s="140" t="s">
        <v>3529</v>
      </c>
      <c r="J4" s="139" t="s">
        <v>3784</v>
      </c>
      <c r="K4" s="139" t="s">
        <v>3785</v>
      </c>
      <c r="L4" s="139" t="s">
        <v>3786</v>
      </c>
      <c r="M4" s="139" t="s">
        <v>3787</v>
      </c>
      <c r="N4" s="140" t="s">
        <v>3788</v>
      </c>
      <c r="O4" s="140" t="s">
        <v>956</v>
      </c>
    </row>
    <row r="5" spans="1:15" ht="42">
      <c r="A5" s="139" t="s">
        <v>8</v>
      </c>
      <c r="B5" s="139" t="s">
        <v>2</v>
      </c>
      <c r="C5" s="139" t="s">
        <v>3526</v>
      </c>
      <c r="D5" s="139" t="s">
        <v>2031</v>
      </c>
      <c r="E5" s="139" t="s">
        <v>3530</v>
      </c>
      <c r="F5" s="139" t="s">
        <v>4162</v>
      </c>
      <c r="G5" s="140" t="s">
        <v>956</v>
      </c>
      <c r="H5" s="140" t="s">
        <v>9</v>
      </c>
      <c r="I5" s="140" t="s">
        <v>3531</v>
      </c>
      <c r="J5" s="139" t="s">
        <v>3784</v>
      </c>
      <c r="K5" s="139" t="s">
        <v>3785</v>
      </c>
      <c r="L5" s="139" t="s">
        <v>3786</v>
      </c>
      <c r="M5" s="139" t="s">
        <v>3789</v>
      </c>
      <c r="N5" s="140" t="s">
        <v>3788</v>
      </c>
      <c r="O5" s="140" t="s">
        <v>956</v>
      </c>
    </row>
    <row r="6" spans="1:15" ht="42">
      <c r="A6" s="139" t="s">
        <v>10</v>
      </c>
      <c r="B6" s="139" t="s">
        <v>2</v>
      </c>
      <c r="C6" s="139" t="s">
        <v>3526</v>
      </c>
      <c r="D6" s="139" t="s">
        <v>2031</v>
      </c>
      <c r="E6" s="139" t="s">
        <v>3530</v>
      </c>
      <c r="F6" s="139" t="s">
        <v>4162</v>
      </c>
      <c r="G6" s="140" t="s">
        <v>956</v>
      </c>
      <c r="H6" s="140" t="s">
        <v>11</v>
      </c>
      <c r="I6" s="140" t="s">
        <v>3532</v>
      </c>
      <c r="J6" s="139" t="s">
        <v>1734</v>
      </c>
      <c r="K6" s="139" t="s">
        <v>1981</v>
      </c>
      <c r="L6" s="139" t="s">
        <v>3790</v>
      </c>
      <c r="M6" s="139" t="s">
        <v>1162</v>
      </c>
      <c r="N6" s="140" t="s">
        <v>3788</v>
      </c>
      <c r="O6" s="140" t="s">
        <v>956</v>
      </c>
    </row>
    <row r="7" spans="1:15" ht="42">
      <c r="A7" s="139" t="s">
        <v>12</v>
      </c>
      <c r="B7" s="139" t="s">
        <v>2</v>
      </c>
      <c r="C7" s="139" t="s">
        <v>3534</v>
      </c>
      <c r="D7" s="139" t="s">
        <v>262</v>
      </c>
      <c r="E7" s="139" t="s">
        <v>956</v>
      </c>
      <c r="F7" s="139" t="s">
        <v>956</v>
      </c>
      <c r="G7" s="140" t="s">
        <v>3535</v>
      </c>
      <c r="H7" s="140" t="s">
        <v>13</v>
      </c>
      <c r="I7" s="140" t="s">
        <v>3533</v>
      </c>
      <c r="J7" s="139"/>
      <c r="K7" s="139"/>
      <c r="L7" s="139"/>
      <c r="M7" s="139"/>
      <c r="N7" s="140" t="s">
        <v>3575</v>
      </c>
      <c r="O7" s="140" t="s">
        <v>956</v>
      </c>
    </row>
    <row r="8" spans="1:15" ht="42">
      <c r="A8" s="139" t="s">
        <v>14</v>
      </c>
      <c r="B8" s="139" t="s">
        <v>2</v>
      </c>
      <c r="C8" s="139" t="s">
        <v>252</v>
      </c>
      <c r="D8" s="139" t="s">
        <v>262</v>
      </c>
      <c r="E8" s="139" t="s">
        <v>956</v>
      </c>
      <c r="F8" s="139" t="s">
        <v>956</v>
      </c>
      <c r="G8" s="140" t="s">
        <v>3538</v>
      </c>
      <c r="H8" s="140" t="s">
        <v>3536</v>
      </c>
      <c r="I8" s="140" t="s">
        <v>3537</v>
      </c>
      <c r="J8" s="139"/>
      <c r="K8" s="139"/>
      <c r="L8" s="139"/>
      <c r="M8" s="139"/>
      <c r="N8" s="140" t="s">
        <v>3575</v>
      </c>
      <c r="O8" s="140" t="s">
        <v>956</v>
      </c>
    </row>
    <row r="9" spans="1:15" ht="42">
      <c r="A9" s="139" t="s">
        <v>15</v>
      </c>
      <c r="B9" s="139" t="s">
        <v>2</v>
      </c>
      <c r="C9" s="139" t="s">
        <v>252</v>
      </c>
      <c r="D9" s="139" t="s">
        <v>262</v>
      </c>
      <c r="E9" s="139" t="s">
        <v>956</v>
      </c>
      <c r="F9" s="139" t="s">
        <v>956</v>
      </c>
      <c r="G9" s="140" t="s">
        <v>3541</v>
      </c>
      <c r="H9" s="140" t="s">
        <v>3539</v>
      </c>
      <c r="I9" s="140" t="s">
        <v>3540</v>
      </c>
      <c r="J9" s="139"/>
      <c r="K9" s="139"/>
      <c r="L9" s="139"/>
      <c r="M9" s="139"/>
      <c r="N9" s="140" t="s">
        <v>3575</v>
      </c>
      <c r="O9" s="140" t="s">
        <v>956</v>
      </c>
    </row>
    <row r="10" spans="1:15" ht="42">
      <c r="A10" s="139" t="s">
        <v>16</v>
      </c>
      <c r="B10" s="139" t="s">
        <v>2</v>
      </c>
      <c r="C10" s="139" t="s">
        <v>3543</v>
      </c>
      <c r="D10" s="139" t="s">
        <v>262</v>
      </c>
      <c r="E10" s="139" t="s">
        <v>956</v>
      </c>
      <c r="F10" s="139" t="s">
        <v>956</v>
      </c>
      <c r="G10" s="140" t="s">
        <v>3544</v>
      </c>
      <c r="H10" s="140" t="s">
        <v>17</v>
      </c>
      <c r="I10" s="140" t="s">
        <v>3542</v>
      </c>
      <c r="J10" s="139"/>
      <c r="K10" s="139"/>
      <c r="L10" s="139"/>
      <c r="M10" s="139"/>
      <c r="N10" s="140" t="s">
        <v>3575</v>
      </c>
      <c r="O10" s="140" t="s">
        <v>956</v>
      </c>
    </row>
    <row r="11" spans="1:15" ht="63">
      <c r="A11" s="139" t="s">
        <v>18</v>
      </c>
      <c r="B11" s="139" t="s">
        <v>2</v>
      </c>
      <c r="C11" s="139" t="s">
        <v>3526</v>
      </c>
      <c r="D11" s="139" t="s">
        <v>2031</v>
      </c>
      <c r="E11" s="139" t="s">
        <v>3527</v>
      </c>
      <c r="F11" s="139" t="s">
        <v>4169</v>
      </c>
      <c r="G11" s="140" t="s">
        <v>3546</v>
      </c>
      <c r="H11" s="140" t="s">
        <v>19</v>
      </c>
      <c r="I11" s="140" t="s">
        <v>3545</v>
      </c>
      <c r="J11" s="139"/>
      <c r="K11" s="139"/>
      <c r="L11" s="139"/>
      <c r="M11" s="139"/>
      <c r="N11" s="140" t="s">
        <v>4172</v>
      </c>
      <c r="O11" s="140" t="s">
        <v>4167</v>
      </c>
    </row>
    <row r="12" spans="1:15" ht="63">
      <c r="A12" s="139" t="s">
        <v>20</v>
      </c>
      <c r="B12" s="139" t="s">
        <v>2</v>
      </c>
      <c r="C12" s="139" t="s">
        <v>3549</v>
      </c>
      <c r="D12" s="139" t="s">
        <v>2031</v>
      </c>
      <c r="E12" s="139" t="s">
        <v>3527</v>
      </c>
      <c r="F12" s="139" t="s">
        <v>4169</v>
      </c>
      <c r="G12" s="140" t="s">
        <v>2365</v>
      </c>
      <c r="H12" s="140" t="s">
        <v>3547</v>
      </c>
      <c r="I12" s="140" t="s">
        <v>3548</v>
      </c>
      <c r="J12" s="139"/>
      <c r="K12" s="139"/>
      <c r="L12" s="139"/>
      <c r="M12" s="139"/>
      <c r="N12" s="140" t="s">
        <v>4172</v>
      </c>
      <c r="O12" s="140" t="s">
        <v>4167</v>
      </c>
    </row>
    <row r="13" spans="1:15" ht="84">
      <c r="A13" s="139" t="s">
        <v>21</v>
      </c>
      <c r="B13" s="139" t="s">
        <v>2</v>
      </c>
      <c r="C13" s="139" t="s">
        <v>3526</v>
      </c>
      <c r="D13" s="139" t="s">
        <v>2031</v>
      </c>
      <c r="E13" s="139" t="s">
        <v>3527</v>
      </c>
      <c r="F13" s="139" t="s">
        <v>4169</v>
      </c>
      <c r="G13" s="140" t="s">
        <v>4173</v>
      </c>
      <c r="H13" s="140" t="s">
        <v>3550</v>
      </c>
      <c r="I13" s="140" t="s">
        <v>3551</v>
      </c>
      <c r="J13" s="139"/>
      <c r="K13" s="139"/>
      <c r="L13" s="139"/>
      <c r="M13" s="139"/>
      <c r="N13" s="140" t="s">
        <v>4174</v>
      </c>
      <c r="O13" s="140" t="s">
        <v>4167</v>
      </c>
    </row>
    <row r="14" spans="1:15" ht="63">
      <c r="A14" s="139" t="s">
        <v>22</v>
      </c>
      <c r="B14" s="139" t="s">
        <v>2</v>
      </c>
      <c r="C14" s="139" t="s">
        <v>3549</v>
      </c>
      <c r="D14" s="139" t="s">
        <v>2031</v>
      </c>
      <c r="E14" s="139" t="s">
        <v>3527</v>
      </c>
      <c r="F14" s="139" t="s">
        <v>4169</v>
      </c>
      <c r="G14" s="140" t="s">
        <v>2365</v>
      </c>
      <c r="H14" s="140" t="s">
        <v>23</v>
      </c>
      <c r="I14" s="140" t="s">
        <v>3552</v>
      </c>
      <c r="J14" s="139"/>
      <c r="K14" s="139"/>
      <c r="L14" s="139"/>
      <c r="M14" s="139"/>
      <c r="N14" s="140" t="s">
        <v>4172</v>
      </c>
      <c r="O14" s="140" t="s">
        <v>4167</v>
      </c>
    </row>
    <row r="15" spans="1:15" ht="21">
      <c r="A15" s="139" t="s">
        <v>24</v>
      </c>
      <c r="B15" s="139" t="s">
        <v>2</v>
      </c>
      <c r="C15" s="139" t="s">
        <v>3526</v>
      </c>
      <c r="D15" s="139" t="s">
        <v>2031</v>
      </c>
      <c r="E15" s="139" t="s">
        <v>3527</v>
      </c>
      <c r="F15" s="139" t="s">
        <v>4169</v>
      </c>
      <c r="G15" s="140" t="s">
        <v>2365</v>
      </c>
      <c r="H15" s="140" t="s">
        <v>3553</v>
      </c>
      <c r="I15" s="140" t="s">
        <v>3554</v>
      </c>
      <c r="J15" s="139"/>
      <c r="K15" s="139"/>
      <c r="L15" s="139"/>
      <c r="M15" s="139"/>
      <c r="N15" s="140" t="s">
        <v>3962</v>
      </c>
      <c r="O15" s="140" t="s">
        <v>4167</v>
      </c>
    </row>
    <row r="16" spans="1:15" ht="21">
      <c r="A16" s="139" t="s">
        <v>25</v>
      </c>
      <c r="B16" s="139" t="s">
        <v>2</v>
      </c>
      <c r="C16" s="139" t="s">
        <v>3549</v>
      </c>
      <c r="D16" s="139" t="s">
        <v>2031</v>
      </c>
      <c r="E16" s="139" t="s">
        <v>3527</v>
      </c>
      <c r="F16" s="139" t="s">
        <v>4169</v>
      </c>
      <c r="G16" s="140" t="s">
        <v>2365</v>
      </c>
      <c r="H16" s="140" t="s">
        <v>26</v>
      </c>
      <c r="I16" s="140" t="s">
        <v>3555</v>
      </c>
      <c r="J16" s="139"/>
      <c r="K16" s="139"/>
      <c r="L16" s="139"/>
      <c r="M16" s="139"/>
      <c r="N16" s="140" t="s">
        <v>3962</v>
      </c>
      <c r="O16" s="140" t="s">
        <v>4167</v>
      </c>
    </row>
    <row r="17" spans="1:15" ht="42">
      <c r="A17" s="139" t="s">
        <v>3556</v>
      </c>
      <c r="B17" s="139" t="s">
        <v>2</v>
      </c>
      <c r="C17" s="139" t="s">
        <v>3534</v>
      </c>
      <c r="D17" s="139" t="s">
        <v>262</v>
      </c>
      <c r="E17" s="139" t="s">
        <v>956</v>
      </c>
      <c r="F17" s="139" t="s">
        <v>956</v>
      </c>
      <c r="G17" s="140" t="s">
        <v>3559</v>
      </c>
      <c r="H17" s="140" t="s">
        <v>3557</v>
      </c>
      <c r="I17" s="140" t="s">
        <v>3558</v>
      </c>
      <c r="J17" s="139"/>
      <c r="K17" s="139"/>
      <c r="L17" s="139"/>
      <c r="M17" s="139"/>
      <c r="N17" s="140" t="s">
        <v>3575</v>
      </c>
      <c r="O17" s="140" t="s">
        <v>956</v>
      </c>
    </row>
    <row r="18" spans="1:15" ht="42">
      <c r="A18" s="139" t="s">
        <v>4175</v>
      </c>
      <c r="B18" s="139" t="s">
        <v>2</v>
      </c>
      <c r="C18" s="139" t="s">
        <v>3534</v>
      </c>
      <c r="D18" s="139" t="s">
        <v>2031</v>
      </c>
      <c r="E18" s="139" t="s">
        <v>3530</v>
      </c>
      <c r="F18" s="139" t="s">
        <v>4162</v>
      </c>
      <c r="G18" s="140" t="s">
        <v>4176</v>
      </c>
      <c r="H18" s="140" t="s">
        <v>2200</v>
      </c>
      <c r="I18" s="140" t="s">
        <v>4177</v>
      </c>
      <c r="J18" s="139" t="s">
        <v>4061</v>
      </c>
      <c r="K18" s="139"/>
      <c r="L18" s="139"/>
      <c r="M18" s="139"/>
      <c r="N18" s="140" t="s">
        <v>4178</v>
      </c>
      <c r="O18" s="140" t="s">
        <v>956</v>
      </c>
    </row>
    <row r="19" spans="1:15" ht="63">
      <c r="A19" s="139" t="s">
        <v>27</v>
      </c>
      <c r="B19" s="139" t="s">
        <v>2</v>
      </c>
      <c r="C19" s="139" t="s">
        <v>3562</v>
      </c>
      <c r="D19" s="139" t="s">
        <v>2031</v>
      </c>
      <c r="E19" s="139" t="s">
        <v>3530</v>
      </c>
      <c r="F19" s="139" t="s">
        <v>4162</v>
      </c>
      <c r="G19" s="140" t="s">
        <v>4179</v>
      </c>
      <c r="H19" s="140" t="s">
        <v>3560</v>
      </c>
      <c r="I19" s="140" t="s">
        <v>3561</v>
      </c>
      <c r="J19" s="139" t="s">
        <v>3792</v>
      </c>
      <c r="K19" s="139" t="s">
        <v>3793</v>
      </c>
      <c r="L19" s="139" t="s">
        <v>3794</v>
      </c>
      <c r="M19" s="139" t="s">
        <v>3795</v>
      </c>
      <c r="N19" s="140" t="s">
        <v>3788</v>
      </c>
      <c r="O19" s="140" t="s">
        <v>956</v>
      </c>
    </row>
    <row r="20" spans="1:15" ht="42">
      <c r="A20" s="139" t="s">
        <v>28</v>
      </c>
      <c r="B20" s="139" t="s">
        <v>2</v>
      </c>
      <c r="C20" s="139" t="s">
        <v>3526</v>
      </c>
      <c r="D20" s="139" t="s">
        <v>2031</v>
      </c>
      <c r="E20" s="139" t="s">
        <v>3530</v>
      </c>
      <c r="F20" s="139" t="s">
        <v>4162</v>
      </c>
      <c r="G20" s="140" t="s">
        <v>956</v>
      </c>
      <c r="H20" s="140" t="s">
        <v>3563</v>
      </c>
      <c r="I20" s="140" t="s">
        <v>3564</v>
      </c>
      <c r="J20" s="139" t="s">
        <v>3792</v>
      </c>
      <c r="K20" s="139" t="s">
        <v>3793</v>
      </c>
      <c r="L20" s="139" t="s">
        <v>3794</v>
      </c>
      <c r="M20" s="139" t="s">
        <v>1174</v>
      </c>
      <c r="N20" s="140" t="s">
        <v>3788</v>
      </c>
      <c r="O20" s="140" t="s">
        <v>956</v>
      </c>
    </row>
    <row r="21" spans="1:15" ht="21">
      <c r="A21" s="139" t="s">
        <v>29</v>
      </c>
      <c r="B21" s="139" t="s">
        <v>2</v>
      </c>
      <c r="C21" s="139" t="s">
        <v>3549</v>
      </c>
      <c r="D21" s="139" t="s">
        <v>2031</v>
      </c>
      <c r="E21" s="139" t="s">
        <v>3530</v>
      </c>
      <c r="F21" s="139" t="s">
        <v>4162</v>
      </c>
      <c r="G21" s="140" t="s">
        <v>956</v>
      </c>
      <c r="H21" s="140" t="s">
        <v>3565</v>
      </c>
      <c r="I21" s="140" t="s">
        <v>3566</v>
      </c>
      <c r="J21" s="139" t="s">
        <v>3792</v>
      </c>
      <c r="K21" s="139" t="s">
        <v>3793</v>
      </c>
      <c r="L21" s="139" t="s">
        <v>3794</v>
      </c>
      <c r="M21" s="139" t="s">
        <v>3796</v>
      </c>
      <c r="N21" s="140" t="s">
        <v>3788</v>
      </c>
      <c r="O21" s="140" t="s">
        <v>956</v>
      </c>
    </row>
    <row r="22" spans="1:15" ht="21">
      <c r="A22" s="139" t="s">
        <v>30</v>
      </c>
      <c r="B22" s="139" t="s">
        <v>2</v>
      </c>
      <c r="C22" s="139" t="s">
        <v>3569</v>
      </c>
      <c r="D22" s="139" t="s">
        <v>2031</v>
      </c>
      <c r="E22" s="139" t="s">
        <v>3530</v>
      </c>
      <c r="F22" s="139" t="s">
        <v>4162</v>
      </c>
      <c r="G22" s="140" t="s">
        <v>956</v>
      </c>
      <c r="H22" s="140" t="s">
        <v>3567</v>
      </c>
      <c r="I22" s="140" t="s">
        <v>3568</v>
      </c>
      <c r="J22" s="139" t="s">
        <v>3792</v>
      </c>
      <c r="K22" s="139" t="s">
        <v>3793</v>
      </c>
      <c r="L22" s="139" t="s">
        <v>3794</v>
      </c>
      <c r="M22" s="139" t="s">
        <v>3796</v>
      </c>
      <c r="N22" s="140" t="s">
        <v>3788</v>
      </c>
      <c r="O22" s="140" t="s">
        <v>956</v>
      </c>
    </row>
    <row r="23" spans="1:15" ht="42">
      <c r="A23" s="139" t="s">
        <v>31</v>
      </c>
      <c r="B23" s="139" t="s">
        <v>2</v>
      </c>
      <c r="C23" s="139" t="s">
        <v>3549</v>
      </c>
      <c r="D23" s="139" t="s">
        <v>2031</v>
      </c>
      <c r="E23" s="139" t="s">
        <v>3530</v>
      </c>
      <c r="F23" s="139" t="s">
        <v>4162</v>
      </c>
      <c r="G23" s="140" t="s">
        <v>956</v>
      </c>
      <c r="H23" s="140" t="s">
        <v>3570</v>
      </c>
      <c r="I23" s="140" t="s">
        <v>3571</v>
      </c>
      <c r="J23" s="139" t="s">
        <v>3797</v>
      </c>
      <c r="K23" s="139" t="s">
        <v>3798</v>
      </c>
      <c r="L23" s="139" t="s">
        <v>3799</v>
      </c>
      <c r="M23" s="139" t="s">
        <v>3800</v>
      </c>
      <c r="N23" s="140" t="s">
        <v>3788</v>
      </c>
      <c r="O23" s="140" t="s">
        <v>956</v>
      </c>
    </row>
    <row r="24" spans="1:15" ht="42">
      <c r="A24" s="139" t="s">
        <v>32</v>
      </c>
      <c r="B24" s="139" t="s">
        <v>2</v>
      </c>
      <c r="C24" s="139" t="s">
        <v>3534</v>
      </c>
      <c r="D24" s="139" t="s">
        <v>2031</v>
      </c>
      <c r="E24" s="139" t="s">
        <v>3530</v>
      </c>
      <c r="F24" s="139" t="s">
        <v>4162</v>
      </c>
      <c r="G24" s="140" t="s">
        <v>3573</v>
      </c>
      <c r="H24" s="140" t="s">
        <v>3572</v>
      </c>
      <c r="I24" s="140" t="s">
        <v>4180</v>
      </c>
      <c r="J24" s="139" t="s">
        <v>3801</v>
      </c>
      <c r="K24" s="139" t="s">
        <v>3802</v>
      </c>
      <c r="L24" s="139" t="s">
        <v>3803</v>
      </c>
      <c r="M24" s="139" t="s">
        <v>3804</v>
      </c>
      <c r="N24" s="140" t="s">
        <v>3788</v>
      </c>
      <c r="O24" s="140" t="s">
        <v>956</v>
      </c>
    </row>
    <row r="25" spans="1:15" ht="21">
      <c r="A25" s="139" t="s">
        <v>33</v>
      </c>
      <c r="B25" s="139" t="s">
        <v>2</v>
      </c>
      <c r="C25" s="139" t="s">
        <v>3534</v>
      </c>
      <c r="D25" s="139" t="s">
        <v>262</v>
      </c>
      <c r="E25" s="139" t="s">
        <v>956</v>
      </c>
      <c r="F25" s="139" t="s">
        <v>956</v>
      </c>
      <c r="G25" s="140" t="s">
        <v>3575</v>
      </c>
      <c r="H25" s="140" t="s">
        <v>34</v>
      </c>
      <c r="I25" s="140" t="s">
        <v>3574</v>
      </c>
      <c r="J25" s="139"/>
      <c r="K25" s="139"/>
      <c r="L25" s="139"/>
      <c r="M25" s="139"/>
      <c r="N25" s="140" t="s">
        <v>3575</v>
      </c>
      <c r="O25" s="140" t="s">
        <v>956</v>
      </c>
    </row>
    <row r="26" spans="1:15" ht="42">
      <c r="A26" s="139" t="s">
        <v>36</v>
      </c>
      <c r="B26" s="139" t="s">
        <v>2</v>
      </c>
      <c r="C26" s="139" t="s">
        <v>3526</v>
      </c>
      <c r="D26" s="139" t="s">
        <v>2031</v>
      </c>
      <c r="E26" s="139" t="s">
        <v>3530</v>
      </c>
      <c r="F26" s="139" t="s">
        <v>4162</v>
      </c>
      <c r="G26" s="140" t="s">
        <v>956</v>
      </c>
      <c r="H26" s="140" t="s">
        <v>3576</v>
      </c>
      <c r="I26" s="140" t="s">
        <v>3577</v>
      </c>
      <c r="J26" s="139" t="s">
        <v>1716</v>
      </c>
      <c r="K26" s="139" t="s">
        <v>3805</v>
      </c>
      <c r="L26" s="139" t="s">
        <v>3806</v>
      </c>
      <c r="M26" s="139" t="s">
        <v>3807</v>
      </c>
      <c r="N26" s="140" t="s">
        <v>3788</v>
      </c>
      <c r="O26" s="140" t="s">
        <v>4181</v>
      </c>
    </row>
    <row r="27" spans="1:15" ht="42">
      <c r="A27" s="139" t="s">
        <v>37</v>
      </c>
      <c r="B27" s="139" t="s">
        <v>2</v>
      </c>
      <c r="C27" s="139" t="s">
        <v>3526</v>
      </c>
      <c r="D27" s="139" t="s">
        <v>2031</v>
      </c>
      <c r="E27" s="139" t="s">
        <v>3530</v>
      </c>
      <c r="F27" s="139" t="s">
        <v>4162</v>
      </c>
      <c r="G27" s="140" t="s">
        <v>956</v>
      </c>
      <c r="H27" s="140" t="s">
        <v>3578</v>
      </c>
      <c r="I27" s="140" t="s">
        <v>3579</v>
      </c>
      <c r="J27" s="139" t="s">
        <v>3808</v>
      </c>
      <c r="K27" s="139" t="s">
        <v>3809</v>
      </c>
      <c r="L27" s="139" t="s">
        <v>3810</v>
      </c>
      <c r="M27" s="139" t="s">
        <v>3811</v>
      </c>
      <c r="N27" s="140" t="s">
        <v>3788</v>
      </c>
      <c r="O27" s="140" t="s">
        <v>4181</v>
      </c>
    </row>
    <row r="28" spans="1:15" ht="42">
      <c r="A28" s="139" t="s">
        <v>38</v>
      </c>
      <c r="B28" s="139" t="s">
        <v>2</v>
      </c>
      <c r="C28" s="139" t="s">
        <v>3526</v>
      </c>
      <c r="D28" s="139" t="s">
        <v>2031</v>
      </c>
      <c r="E28" s="139" t="s">
        <v>3530</v>
      </c>
      <c r="F28" s="139" t="s">
        <v>4162</v>
      </c>
      <c r="G28" s="140" t="s">
        <v>956</v>
      </c>
      <c r="H28" s="140" t="s">
        <v>3580</v>
      </c>
      <c r="I28" s="140" t="s">
        <v>3581</v>
      </c>
      <c r="J28" s="139" t="s">
        <v>3812</v>
      </c>
      <c r="K28" s="139" t="s">
        <v>3813</v>
      </c>
      <c r="L28" s="139" t="s">
        <v>3814</v>
      </c>
      <c r="M28" s="139" t="s">
        <v>3815</v>
      </c>
      <c r="N28" s="140" t="s">
        <v>3788</v>
      </c>
      <c r="O28" s="140" t="s">
        <v>956</v>
      </c>
    </row>
    <row r="29" spans="1:15" ht="42">
      <c r="A29" s="139" t="s">
        <v>4182</v>
      </c>
      <c r="B29" s="139" t="s">
        <v>2</v>
      </c>
      <c r="C29" s="139" t="s">
        <v>3526</v>
      </c>
      <c r="D29" s="139" t="s">
        <v>2031</v>
      </c>
      <c r="E29" s="139" t="s">
        <v>3530</v>
      </c>
      <c r="F29" s="139" t="s">
        <v>4162</v>
      </c>
      <c r="G29" s="140" t="s">
        <v>4183</v>
      </c>
      <c r="H29" s="140" t="s">
        <v>4184</v>
      </c>
      <c r="I29" s="140" t="s">
        <v>3582</v>
      </c>
      <c r="J29" s="139" t="s">
        <v>3816</v>
      </c>
      <c r="K29" s="139" t="s">
        <v>1560</v>
      </c>
      <c r="L29" s="139" t="s">
        <v>3817</v>
      </c>
      <c r="M29" s="139" t="s">
        <v>3818</v>
      </c>
      <c r="N29" s="140" t="s">
        <v>3788</v>
      </c>
      <c r="O29" s="140" t="s">
        <v>956</v>
      </c>
    </row>
    <row r="30" spans="1:15" ht="42">
      <c r="A30" s="139" t="s">
        <v>4185</v>
      </c>
      <c r="B30" s="139" t="s">
        <v>2</v>
      </c>
      <c r="C30" s="139" t="s">
        <v>3526</v>
      </c>
      <c r="D30" s="139" t="s">
        <v>2031</v>
      </c>
      <c r="E30" s="139" t="s">
        <v>3963</v>
      </c>
      <c r="F30" s="139" t="s">
        <v>4186</v>
      </c>
      <c r="G30" s="140" t="s">
        <v>4187</v>
      </c>
      <c r="H30" s="140" t="s">
        <v>4188</v>
      </c>
      <c r="I30" s="140" t="s">
        <v>3582</v>
      </c>
      <c r="J30" s="139"/>
      <c r="K30" s="139"/>
      <c r="L30" s="139"/>
      <c r="M30" s="139" t="s">
        <v>1201</v>
      </c>
      <c r="N30" s="140" t="s">
        <v>3964</v>
      </c>
      <c r="O30" s="140" t="s">
        <v>956</v>
      </c>
    </row>
    <row r="31" spans="1:15" ht="42">
      <c r="A31" s="139" t="s">
        <v>4189</v>
      </c>
      <c r="B31" s="139" t="s">
        <v>2</v>
      </c>
      <c r="C31" s="139" t="s">
        <v>3526</v>
      </c>
      <c r="D31" s="139" t="s">
        <v>2031</v>
      </c>
      <c r="E31" s="139" t="s">
        <v>3530</v>
      </c>
      <c r="F31" s="139" t="s">
        <v>4162</v>
      </c>
      <c r="G31" s="140" t="s">
        <v>4190</v>
      </c>
      <c r="H31" s="140" t="s">
        <v>4191</v>
      </c>
      <c r="I31" s="140" t="s">
        <v>4192</v>
      </c>
      <c r="J31" s="139" t="s">
        <v>4193</v>
      </c>
      <c r="K31" s="139" t="s">
        <v>4194</v>
      </c>
      <c r="L31" s="139" t="s">
        <v>4195</v>
      </c>
      <c r="M31" s="139" t="s">
        <v>4196</v>
      </c>
      <c r="N31" s="140" t="s">
        <v>3788</v>
      </c>
      <c r="O31" s="140" t="s">
        <v>956</v>
      </c>
    </row>
    <row r="32" spans="1:15" ht="63">
      <c r="A32" s="139" t="s">
        <v>4197</v>
      </c>
      <c r="B32" s="139" t="s">
        <v>2</v>
      </c>
      <c r="C32" s="139" t="s">
        <v>3526</v>
      </c>
      <c r="D32" s="139" t="s">
        <v>2031</v>
      </c>
      <c r="E32" s="139" t="s">
        <v>3963</v>
      </c>
      <c r="F32" s="139" t="s">
        <v>4186</v>
      </c>
      <c r="G32" s="140" t="s">
        <v>4198</v>
      </c>
      <c r="H32" s="140" t="s">
        <v>4199</v>
      </c>
      <c r="I32" s="140" t="s">
        <v>4192</v>
      </c>
      <c r="J32" s="139"/>
      <c r="K32" s="139"/>
      <c r="L32" s="139"/>
      <c r="M32" s="139" t="s">
        <v>1174</v>
      </c>
      <c r="N32" s="140" t="s">
        <v>3964</v>
      </c>
      <c r="O32" s="140" t="s">
        <v>956</v>
      </c>
    </row>
    <row r="33" spans="1:15" ht="63">
      <c r="A33" s="139" t="s">
        <v>40</v>
      </c>
      <c r="B33" s="139" t="s">
        <v>2</v>
      </c>
      <c r="C33" s="139" t="s">
        <v>3549</v>
      </c>
      <c r="D33" s="139" t="s">
        <v>2031</v>
      </c>
      <c r="E33" s="139" t="s">
        <v>3530</v>
      </c>
      <c r="F33" s="139" t="s">
        <v>4162</v>
      </c>
      <c r="G33" s="140" t="s">
        <v>956</v>
      </c>
      <c r="H33" s="140" t="s">
        <v>4200</v>
      </c>
      <c r="I33" s="140" t="s">
        <v>4201</v>
      </c>
      <c r="J33" s="139" t="s">
        <v>3819</v>
      </c>
      <c r="K33" s="139" t="s">
        <v>3820</v>
      </c>
      <c r="L33" s="139" t="s">
        <v>3821</v>
      </c>
      <c r="M33" s="139" t="s">
        <v>3822</v>
      </c>
      <c r="N33" s="140" t="s">
        <v>3788</v>
      </c>
      <c r="O33" s="140" t="s">
        <v>956</v>
      </c>
    </row>
    <row r="34" spans="1:15" ht="42">
      <c r="A34" s="139" t="s">
        <v>35</v>
      </c>
      <c r="B34" s="139" t="s">
        <v>2</v>
      </c>
      <c r="C34" s="139" t="s">
        <v>3549</v>
      </c>
      <c r="D34" s="139" t="s">
        <v>262</v>
      </c>
      <c r="E34" s="139" t="s">
        <v>956</v>
      </c>
      <c r="F34" s="139" t="s">
        <v>956</v>
      </c>
      <c r="G34" s="140" t="s">
        <v>3575</v>
      </c>
      <c r="H34" s="140" t="s">
        <v>3583</v>
      </c>
      <c r="I34" s="140" t="s">
        <v>3584</v>
      </c>
      <c r="J34" s="139"/>
      <c r="K34" s="139"/>
      <c r="L34" s="139"/>
      <c r="M34" s="139"/>
      <c r="N34" s="140" t="s">
        <v>3575</v>
      </c>
      <c r="O34" s="140" t="s">
        <v>956</v>
      </c>
    </row>
    <row r="35" spans="1:15" ht="105">
      <c r="A35" s="139" t="s">
        <v>4078</v>
      </c>
      <c r="B35" s="139" t="s">
        <v>2</v>
      </c>
      <c r="C35" s="139" t="s">
        <v>3526</v>
      </c>
      <c r="D35" s="139" t="s">
        <v>2031</v>
      </c>
      <c r="E35" s="139" t="s">
        <v>3530</v>
      </c>
      <c r="F35" s="139" t="s">
        <v>4162</v>
      </c>
      <c r="G35" s="140" t="s">
        <v>4202</v>
      </c>
      <c r="H35" s="140" t="s">
        <v>4203</v>
      </c>
      <c r="I35" s="140" t="s">
        <v>4204</v>
      </c>
      <c r="J35" s="139" t="s">
        <v>4205</v>
      </c>
      <c r="K35" s="139" t="s">
        <v>4206</v>
      </c>
      <c r="L35" s="139" t="s">
        <v>4207</v>
      </c>
      <c r="M35" s="139" t="s">
        <v>4208</v>
      </c>
      <c r="N35" s="140" t="s">
        <v>3788</v>
      </c>
      <c r="O35" s="140" t="s">
        <v>4209</v>
      </c>
    </row>
    <row r="36" spans="1:15" ht="42">
      <c r="A36" s="139" t="s">
        <v>41</v>
      </c>
      <c r="B36" s="139" t="s">
        <v>2</v>
      </c>
      <c r="C36" s="139" t="s">
        <v>3526</v>
      </c>
      <c r="D36" s="139" t="s">
        <v>2031</v>
      </c>
      <c r="E36" s="139" t="s">
        <v>3527</v>
      </c>
      <c r="F36" s="139" t="s">
        <v>4169</v>
      </c>
      <c r="G36" s="140" t="s">
        <v>3587</v>
      </c>
      <c r="H36" s="140" t="s">
        <v>3585</v>
      </c>
      <c r="I36" s="140" t="s">
        <v>3586</v>
      </c>
      <c r="J36" s="139"/>
      <c r="K36" s="139"/>
      <c r="L36" s="139"/>
      <c r="M36" s="139"/>
      <c r="N36" s="140" t="s">
        <v>3962</v>
      </c>
      <c r="O36" s="140" t="s">
        <v>4167</v>
      </c>
    </row>
    <row r="37" spans="1:15" ht="21">
      <c r="A37" s="139" t="s">
        <v>42</v>
      </c>
      <c r="B37" s="139" t="s">
        <v>2</v>
      </c>
      <c r="C37" s="139" t="s">
        <v>3549</v>
      </c>
      <c r="D37" s="139" t="s">
        <v>2031</v>
      </c>
      <c r="E37" s="139" t="s">
        <v>3527</v>
      </c>
      <c r="F37" s="139" t="s">
        <v>4169</v>
      </c>
      <c r="G37" s="140" t="s">
        <v>2365</v>
      </c>
      <c r="H37" s="140" t="s">
        <v>43</v>
      </c>
      <c r="I37" s="140" t="s">
        <v>3588</v>
      </c>
      <c r="J37" s="139"/>
      <c r="K37" s="139"/>
      <c r="L37" s="139"/>
      <c r="M37" s="139"/>
      <c r="N37" s="140" t="s">
        <v>3962</v>
      </c>
      <c r="O37" s="140" t="s">
        <v>4167</v>
      </c>
    </row>
    <row r="38" spans="1:15" ht="21">
      <c r="A38" s="139" t="s">
        <v>44</v>
      </c>
      <c r="B38" s="139" t="s">
        <v>2</v>
      </c>
      <c r="C38" s="139" t="s">
        <v>3569</v>
      </c>
      <c r="D38" s="139" t="s">
        <v>262</v>
      </c>
      <c r="E38" s="139" t="s">
        <v>956</v>
      </c>
      <c r="F38" s="139" t="s">
        <v>956</v>
      </c>
      <c r="G38" s="140" t="s">
        <v>3575</v>
      </c>
      <c r="H38" s="140" t="s">
        <v>45</v>
      </c>
      <c r="I38" s="140" t="s">
        <v>3589</v>
      </c>
      <c r="J38" s="139"/>
      <c r="K38" s="139"/>
      <c r="L38" s="139"/>
      <c r="M38" s="139"/>
      <c r="N38" s="140" t="s">
        <v>3575</v>
      </c>
      <c r="O38" s="140" t="s">
        <v>956</v>
      </c>
    </row>
    <row r="39" spans="1:15" ht="21">
      <c r="A39" s="139" t="s">
        <v>46</v>
      </c>
      <c r="B39" s="139" t="s">
        <v>2</v>
      </c>
      <c r="C39" s="139" t="s">
        <v>3569</v>
      </c>
      <c r="D39" s="139" t="s">
        <v>262</v>
      </c>
      <c r="E39" s="139" t="s">
        <v>956</v>
      </c>
      <c r="F39" s="139" t="s">
        <v>956</v>
      </c>
      <c r="G39" s="140" t="s">
        <v>3575</v>
      </c>
      <c r="H39" s="140" t="s">
        <v>3590</v>
      </c>
      <c r="I39" s="140" t="s">
        <v>3591</v>
      </c>
      <c r="J39" s="139"/>
      <c r="K39" s="139"/>
      <c r="L39" s="139"/>
      <c r="M39" s="139"/>
      <c r="N39" s="140" t="s">
        <v>3575</v>
      </c>
      <c r="O39" s="140" t="s">
        <v>956</v>
      </c>
    </row>
    <row r="40" spans="1:15" ht="42">
      <c r="A40" s="139" t="s">
        <v>47</v>
      </c>
      <c r="B40" s="139" t="s">
        <v>2</v>
      </c>
      <c r="C40" s="139" t="s">
        <v>3549</v>
      </c>
      <c r="D40" s="139" t="s">
        <v>2031</v>
      </c>
      <c r="E40" s="139" t="s">
        <v>3527</v>
      </c>
      <c r="F40" s="139" t="s">
        <v>4169</v>
      </c>
      <c r="G40" s="140" t="s">
        <v>2365</v>
      </c>
      <c r="H40" s="140" t="s">
        <v>3592</v>
      </c>
      <c r="I40" s="140" t="s">
        <v>3593</v>
      </c>
      <c r="J40" s="139"/>
      <c r="K40" s="139"/>
      <c r="L40" s="139"/>
      <c r="M40" s="139"/>
      <c r="N40" s="140" t="s">
        <v>3962</v>
      </c>
      <c r="O40" s="140" t="s">
        <v>4167</v>
      </c>
    </row>
    <row r="41" spans="1:15" ht="42">
      <c r="A41" s="139" t="s">
        <v>48</v>
      </c>
      <c r="B41" s="139" t="s">
        <v>2</v>
      </c>
      <c r="C41" s="139" t="s">
        <v>3549</v>
      </c>
      <c r="D41" s="139" t="s">
        <v>262</v>
      </c>
      <c r="E41" s="139" t="s">
        <v>956</v>
      </c>
      <c r="F41" s="139" t="s">
        <v>956</v>
      </c>
      <c r="G41" s="140" t="s">
        <v>3575</v>
      </c>
      <c r="H41" s="140" t="s">
        <v>3594</v>
      </c>
      <c r="I41" s="140" t="s">
        <v>3595</v>
      </c>
      <c r="J41" s="139"/>
      <c r="K41" s="139"/>
      <c r="L41" s="139"/>
      <c r="M41" s="139"/>
      <c r="N41" s="140" t="s">
        <v>3575</v>
      </c>
      <c r="O41" s="140" t="s">
        <v>956</v>
      </c>
    </row>
    <row r="42" spans="1:15" ht="42">
      <c r="A42" s="139" t="s">
        <v>49</v>
      </c>
      <c r="B42" s="139" t="s">
        <v>2</v>
      </c>
      <c r="C42" s="139" t="s">
        <v>3526</v>
      </c>
      <c r="D42" s="139" t="s">
        <v>2031</v>
      </c>
      <c r="E42" s="139" t="s">
        <v>3527</v>
      </c>
      <c r="F42" s="139" t="s">
        <v>4169</v>
      </c>
      <c r="G42" s="140" t="s">
        <v>2365</v>
      </c>
      <c r="H42" s="140" t="s">
        <v>3596</v>
      </c>
      <c r="I42" s="140" t="s">
        <v>3597</v>
      </c>
      <c r="J42" s="139"/>
      <c r="K42" s="139"/>
      <c r="L42" s="139"/>
      <c r="M42" s="139"/>
      <c r="N42" s="140" t="s">
        <v>3962</v>
      </c>
      <c r="O42" s="140" t="s">
        <v>4167</v>
      </c>
    </row>
    <row r="43" spans="1:15" ht="42">
      <c r="A43" s="139" t="s">
        <v>50</v>
      </c>
      <c r="B43" s="139" t="s">
        <v>2</v>
      </c>
      <c r="C43" s="139" t="s">
        <v>3569</v>
      </c>
      <c r="D43" s="139" t="s">
        <v>262</v>
      </c>
      <c r="E43" s="139" t="s">
        <v>956</v>
      </c>
      <c r="F43" s="139" t="s">
        <v>956</v>
      </c>
      <c r="G43" s="140" t="s">
        <v>3575</v>
      </c>
      <c r="H43" s="140" t="s">
        <v>3598</v>
      </c>
      <c r="I43" s="140" t="s">
        <v>3599</v>
      </c>
      <c r="J43" s="139"/>
      <c r="K43" s="139"/>
      <c r="L43" s="139"/>
      <c r="M43" s="139"/>
      <c r="N43" s="140" t="s">
        <v>3575</v>
      </c>
      <c r="O43" s="140" t="s">
        <v>956</v>
      </c>
    </row>
    <row r="44" spans="1:15" ht="63">
      <c r="A44" s="139" t="s">
        <v>51</v>
      </c>
      <c r="B44" s="139" t="s">
        <v>2</v>
      </c>
      <c r="C44" s="139" t="s">
        <v>3526</v>
      </c>
      <c r="D44" s="139" t="s">
        <v>2031</v>
      </c>
      <c r="E44" s="139" t="s">
        <v>3527</v>
      </c>
      <c r="F44" s="139" t="s">
        <v>4169</v>
      </c>
      <c r="G44" s="140" t="s">
        <v>4210</v>
      </c>
      <c r="H44" s="140" t="s">
        <v>3600</v>
      </c>
      <c r="I44" s="140" t="s">
        <v>3601</v>
      </c>
      <c r="J44" s="139"/>
      <c r="K44" s="139"/>
      <c r="L44" s="139"/>
      <c r="M44" s="139"/>
      <c r="N44" s="140" t="s">
        <v>3962</v>
      </c>
      <c r="O44" s="140" t="s">
        <v>4167</v>
      </c>
    </row>
    <row r="45" spans="1:15" ht="42">
      <c r="A45" s="139" t="s">
        <v>52</v>
      </c>
      <c r="B45" s="139" t="s">
        <v>2</v>
      </c>
      <c r="C45" s="139" t="s">
        <v>3526</v>
      </c>
      <c r="D45" s="139" t="s">
        <v>2031</v>
      </c>
      <c r="E45" s="139" t="s">
        <v>3530</v>
      </c>
      <c r="F45" s="139" t="s">
        <v>4162</v>
      </c>
      <c r="G45" s="140" t="s">
        <v>956</v>
      </c>
      <c r="H45" s="140" t="s">
        <v>3602</v>
      </c>
      <c r="I45" s="140" t="s">
        <v>3603</v>
      </c>
      <c r="J45" s="139" t="s">
        <v>3823</v>
      </c>
      <c r="K45" s="139" t="s">
        <v>3824</v>
      </c>
      <c r="L45" s="139" t="s">
        <v>3825</v>
      </c>
      <c r="M45" s="139" t="s">
        <v>1171</v>
      </c>
      <c r="N45" s="140" t="s">
        <v>3788</v>
      </c>
      <c r="O45" s="140" t="s">
        <v>956</v>
      </c>
    </row>
    <row r="46" spans="1:15" ht="42">
      <c r="A46" s="139" t="s">
        <v>53</v>
      </c>
      <c r="B46" s="139" t="s">
        <v>2</v>
      </c>
      <c r="C46" s="139" t="s">
        <v>3526</v>
      </c>
      <c r="D46" s="139" t="s">
        <v>2031</v>
      </c>
      <c r="E46" s="139" t="s">
        <v>3530</v>
      </c>
      <c r="F46" s="139" t="s">
        <v>4162</v>
      </c>
      <c r="G46" s="140" t="s">
        <v>956</v>
      </c>
      <c r="H46" s="140" t="s">
        <v>3604</v>
      </c>
      <c r="I46" s="140" t="s">
        <v>3605</v>
      </c>
      <c r="J46" s="139" t="s">
        <v>3826</v>
      </c>
      <c r="K46" s="139" t="s">
        <v>3827</v>
      </c>
      <c r="L46" s="139" t="s">
        <v>3828</v>
      </c>
      <c r="M46" s="139" t="s">
        <v>3829</v>
      </c>
      <c r="N46" s="140" t="s">
        <v>3788</v>
      </c>
      <c r="O46" s="140" t="s">
        <v>956</v>
      </c>
    </row>
    <row r="47" spans="1:15" ht="42">
      <c r="A47" s="139" t="s">
        <v>4211</v>
      </c>
      <c r="B47" s="139" t="s">
        <v>2</v>
      </c>
      <c r="C47" s="139" t="s">
        <v>3526</v>
      </c>
      <c r="D47" s="139" t="s">
        <v>2031</v>
      </c>
      <c r="E47" s="139" t="s">
        <v>3963</v>
      </c>
      <c r="F47" s="139" t="s">
        <v>4212</v>
      </c>
      <c r="G47" s="140" t="s">
        <v>4213</v>
      </c>
      <c r="H47" s="140" t="s">
        <v>4214</v>
      </c>
      <c r="I47" s="140" t="s">
        <v>4215</v>
      </c>
      <c r="J47" s="139"/>
      <c r="K47" s="139"/>
      <c r="L47" s="139"/>
      <c r="M47" s="139"/>
      <c r="N47" s="140" t="s">
        <v>3962</v>
      </c>
      <c r="O47" s="140" t="s">
        <v>956</v>
      </c>
    </row>
    <row r="48" spans="1:15" ht="42">
      <c r="A48" s="139" t="s">
        <v>4216</v>
      </c>
      <c r="B48" s="139" t="s">
        <v>2</v>
      </c>
      <c r="C48" s="139" t="s">
        <v>3526</v>
      </c>
      <c r="D48" s="139" t="s">
        <v>2031</v>
      </c>
      <c r="E48" s="139" t="s">
        <v>3530</v>
      </c>
      <c r="F48" s="139" t="s">
        <v>4162</v>
      </c>
      <c r="G48" s="140" t="s">
        <v>4217</v>
      </c>
      <c r="H48" s="140" t="s">
        <v>4218</v>
      </c>
      <c r="I48" s="140" t="s">
        <v>4215</v>
      </c>
      <c r="J48" s="139" t="s">
        <v>1621</v>
      </c>
      <c r="K48" s="139" t="s">
        <v>1600</v>
      </c>
      <c r="L48" s="139" t="s">
        <v>2796</v>
      </c>
      <c r="M48" s="139" t="s">
        <v>3080</v>
      </c>
      <c r="N48" s="140" t="s">
        <v>3788</v>
      </c>
      <c r="O48" s="140" t="s">
        <v>956</v>
      </c>
    </row>
    <row r="49" spans="1:15" ht="42">
      <c r="A49" s="139" t="s">
        <v>54</v>
      </c>
      <c r="B49" s="139" t="s">
        <v>2</v>
      </c>
      <c r="C49" s="139" t="s">
        <v>3526</v>
      </c>
      <c r="D49" s="139" t="s">
        <v>2031</v>
      </c>
      <c r="E49" s="139" t="s">
        <v>3530</v>
      </c>
      <c r="F49" s="139" t="s">
        <v>4162</v>
      </c>
      <c r="G49" s="140" t="s">
        <v>956</v>
      </c>
      <c r="H49" s="140" t="s">
        <v>3606</v>
      </c>
      <c r="I49" s="140" t="s">
        <v>4219</v>
      </c>
      <c r="J49" s="139" t="s">
        <v>3830</v>
      </c>
      <c r="K49" s="139" t="s">
        <v>1572</v>
      </c>
      <c r="L49" s="139" t="s">
        <v>3831</v>
      </c>
      <c r="M49" s="139" t="s">
        <v>1172</v>
      </c>
      <c r="N49" s="140" t="s">
        <v>3788</v>
      </c>
      <c r="O49" s="140" t="s">
        <v>956</v>
      </c>
    </row>
    <row r="50" spans="1:15" ht="42">
      <c r="A50" s="139" t="s">
        <v>55</v>
      </c>
      <c r="B50" s="139" t="s">
        <v>2</v>
      </c>
      <c r="C50" s="139" t="s">
        <v>3549</v>
      </c>
      <c r="D50" s="139" t="s">
        <v>2031</v>
      </c>
      <c r="E50" s="139" t="s">
        <v>3530</v>
      </c>
      <c r="F50" s="139" t="s">
        <v>4162</v>
      </c>
      <c r="G50" s="140" t="s">
        <v>956</v>
      </c>
      <c r="H50" s="140" t="s">
        <v>3607</v>
      </c>
      <c r="I50" s="140" t="s">
        <v>4220</v>
      </c>
      <c r="J50" s="139" t="s">
        <v>3830</v>
      </c>
      <c r="K50" s="139" t="s">
        <v>1572</v>
      </c>
      <c r="L50" s="139" t="s">
        <v>3831</v>
      </c>
      <c r="M50" s="139" t="s">
        <v>1172</v>
      </c>
      <c r="N50" s="140" t="s">
        <v>3788</v>
      </c>
      <c r="O50" s="140" t="s">
        <v>4181</v>
      </c>
    </row>
    <row r="51" spans="1:15" ht="21">
      <c r="A51" s="139" t="s">
        <v>56</v>
      </c>
      <c r="B51" s="139" t="s">
        <v>2</v>
      </c>
      <c r="C51" s="139" t="s">
        <v>3549</v>
      </c>
      <c r="D51" s="139" t="s">
        <v>262</v>
      </c>
      <c r="E51" s="139" t="s">
        <v>956</v>
      </c>
      <c r="F51" s="139" t="s">
        <v>956</v>
      </c>
      <c r="G51" s="140" t="s">
        <v>3609</v>
      </c>
      <c r="H51" s="140" t="s">
        <v>57</v>
      </c>
      <c r="I51" s="140" t="s">
        <v>3608</v>
      </c>
      <c r="J51" s="139"/>
      <c r="K51" s="139"/>
      <c r="L51" s="139"/>
      <c r="M51" s="139"/>
      <c r="N51" s="140" t="s">
        <v>3575</v>
      </c>
      <c r="O51" s="140" t="s">
        <v>956</v>
      </c>
    </row>
    <row r="52" spans="1:15" ht="42">
      <c r="A52" s="139" t="s">
        <v>58</v>
      </c>
      <c r="B52" s="139" t="s">
        <v>2</v>
      </c>
      <c r="C52" s="139" t="s">
        <v>3549</v>
      </c>
      <c r="D52" s="139" t="s">
        <v>2031</v>
      </c>
      <c r="E52" s="139" t="s">
        <v>3530</v>
      </c>
      <c r="F52" s="139" t="s">
        <v>4162</v>
      </c>
      <c r="G52" s="140" t="s">
        <v>956</v>
      </c>
      <c r="H52" s="140" t="s">
        <v>59</v>
      </c>
      <c r="I52" s="140" t="s">
        <v>3610</v>
      </c>
      <c r="J52" s="139" t="s">
        <v>3830</v>
      </c>
      <c r="K52" s="139" t="s">
        <v>1572</v>
      </c>
      <c r="L52" s="139" t="s">
        <v>3831</v>
      </c>
      <c r="M52" s="139" t="s">
        <v>1172</v>
      </c>
      <c r="N52" s="140" t="s">
        <v>3788</v>
      </c>
      <c r="O52" s="140" t="s">
        <v>956</v>
      </c>
    </row>
    <row r="53" spans="1:15" ht="63">
      <c r="A53" s="139" t="s">
        <v>60</v>
      </c>
      <c r="B53" s="139" t="s">
        <v>2</v>
      </c>
      <c r="C53" s="139" t="s">
        <v>3526</v>
      </c>
      <c r="D53" s="139" t="s">
        <v>2031</v>
      </c>
      <c r="E53" s="139" t="s">
        <v>3530</v>
      </c>
      <c r="F53" s="139" t="s">
        <v>4162</v>
      </c>
      <c r="G53" s="140" t="s">
        <v>956</v>
      </c>
      <c r="H53" s="140" t="s">
        <v>61</v>
      </c>
      <c r="I53" s="140" t="s">
        <v>4221</v>
      </c>
      <c r="J53" s="139" t="s">
        <v>3823</v>
      </c>
      <c r="K53" s="139" t="s">
        <v>3824</v>
      </c>
      <c r="L53" s="139" t="s">
        <v>3825</v>
      </c>
      <c r="M53" s="139" t="s">
        <v>1171</v>
      </c>
      <c r="N53" s="140" t="s">
        <v>3788</v>
      </c>
      <c r="O53" s="140" t="s">
        <v>4181</v>
      </c>
    </row>
    <row r="54" spans="1:15" ht="84">
      <c r="A54" s="139" t="s">
        <v>62</v>
      </c>
      <c r="B54" s="139" t="s">
        <v>2</v>
      </c>
      <c r="C54" s="139" t="s">
        <v>3549</v>
      </c>
      <c r="D54" s="139" t="s">
        <v>2031</v>
      </c>
      <c r="E54" s="139" t="s">
        <v>3530</v>
      </c>
      <c r="F54" s="139" t="s">
        <v>4162</v>
      </c>
      <c r="G54" s="140" t="s">
        <v>956</v>
      </c>
      <c r="H54" s="140" t="s">
        <v>63</v>
      </c>
      <c r="I54" s="140" t="s">
        <v>4222</v>
      </c>
      <c r="J54" s="139" t="s">
        <v>3832</v>
      </c>
      <c r="K54" s="139" t="s">
        <v>3833</v>
      </c>
      <c r="L54" s="139" t="s">
        <v>3834</v>
      </c>
      <c r="M54" s="139" t="s">
        <v>2955</v>
      </c>
      <c r="N54" s="140" t="s">
        <v>3788</v>
      </c>
      <c r="O54" s="140" t="s">
        <v>956</v>
      </c>
    </row>
    <row r="55" spans="1:15" ht="42">
      <c r="A55" s="139" t="s">
        <v>4223</v>
      </c>
      <c r="B55" s="139" t="s">
        <v>2</v>
      </c>
      <c r="C55" s="139" t="s">
        <v>3526</v>
      </c>
      <c r="D55" s="139" t="s">
        <v>2031</v>
      </c>
      <c r="E55" s="139" t="s">
        <v>3963</v>
      </c>
      <c r="F55" s="139" t="s">
        <v>4224</v>
      </c>
      <c r="G55" s="140" t="s">
        <v>4225</v>
      </c>
      <c r="H55" s="140" t="s">
        <v>4226</v>
      </c>
      <c r="I55" s="140" t="s">
        <v>3611</v>
      </c>
      <c r="J55" s="139"/>
      <c r="K55" s="139"/>
      <c r="L55" s="139"/>
      <c r="M55" s="139"/>
      <c r="N55" s="140" t="s">
        <v>3962</v>
      </c>
      <c r="O55" s="140" t="s">
        <v>956</v>
      </c>
    </row>
    <row r="56" spans="1:15" ht="42">
      <c r="A56" s="139" t="s">
        <v>4227</v>
      </c>
      <c r="B56" s="139" t="s">
        <v>2</v>
      </c>
      <c r="C56" s="139" t="s">
        <v>3526</v>
      </c>
      <c r="D56" s="139" t="s">
        <v>2031</v>
      </c>
      <c r="E56" s="139" t="s">
        <v>3530</v>
      </c>
      <c r="F56" s="139" t="s">
        <v>4162</v>
      </c>
      <c r="G56" s="140" t="s">
        <v>4228</v>
      </c>
      <c r="H56" s="140" t="s">
        <v>4229</v>
      </c>
      <c r="I56" s="140" t="s">
        <v>3611</v>
      </c>
      <c r="J56" s="139" t="s">
        <v>4030</v>
      </c>
      <c r="K56" s="139" t="s">
        <v>4135</v>
      </c>
      <c r="L56" s="139" t="s">
        <v>4138</v>
      </c>
      <c r="M56" s="139" t="s">
        <v>4080</v>
      </c>
      <c r="N56" s="140" t="s">
        <v>3788</v>
      </c>
      <c r="O56" s="140" t="s">
        <v>956</v>
      </c>
    </row>
    <row r="57" spans="1:15" ht="42">
      <c r="A57" s="139" t="s">
        <v>4230</v>
      </c>
      <c r="B57" s="139" t="s">
        <v>2</v>
      </c>
      <c r="C57" s="139" t="s">
        <v>3526</v>
      </c>
      <c r="D57" s="139" t="s">
        <v>2031</v>
      </c>
      <c r="E57" s="139" t="s">
        <v>3530</v>
      </c>
      <c r="F57" s="139" t="s">
        <v>4162</v>
      </c>
      <c r="G57" s="140" t="s">
        <v>4231</v>
      </c>
      <c r="H57" s="140" t="s">
        <v>4232</v>
      </c>
      <c r="I57" s="140" t="s">
        <v>3612</v>
      </c>
      <c r="J57" s="139" t="s">
        <v>3835</v>
      </c>
      <c r="K57" s="139" t="s">
        <v>3836</v>
      </c>
      <c r="L57" s="139" t="s">
        <v>3837</v>
      </c>
      <c r="M57" s="139" t="s">
        <v>3838</v>
      </c>
      <c r="N57" s="140" t="s">
        <v>3788</v>
      </c>
      <c r="O57" s="140" t="s">
        <v>956</v>
      </c>
    </row>
    <row r="58" spans="1:15" ht="42">
      <c r="A58" s="139" t="s">
        <v>4233</v>
      </c>
      <c r="B58" s="139" t="s">
        <v>2</v>
      </c>
      <c r="C58" s="139" t="s">
        <v>3526</v>
      </c>
      <c r="D58" s="139" t="s">
        <v>2031</v>
      </c>
      <c r="E58" s="139" t="s">
        <v>3963</v>
      </c>
      <c r="F58" s="139" t="s">
        <v>4212</v>
      </c>
      <c r="G58" s="140" t="s">
        <v>4234</v>
      </c>
      <c r="H58" s="140" t="s">
        <v>4235</v>
      </c>
      <c r="I58" s="140" t="s">
        <v>3612</v>
      </c>
      <c r="J58" s="139"/>
      <c r="K58" s="139"/>
      <c r="L58" s="139"/>
      <c r="M58" s="139"/>
      <c r="N58" s="140" t="s">
        <v>3962</v>
      </c>
      <c r="O58" s="140" t="s">
        <v>956</v>
      </c>
    </row>
    <row r="59" spans="1:15" ht="63">
      <c r="A59" s="139" t="s">
        <v>4236</v>
      </c>
      <c r="B59" s="139" t="s">
        <v>2</v>
      </c>
      <c r="C59" s="139" t="s">
        <v>3526</v>
      </c>
      <c r="D59" s="139" t="s">
        <v>2031</v>
      </c>
      <c r="E59" s="139" t="s">
        <v>3530</v>
      </c>
      <c r="F59" s="139" t="s">
        <v>4162</v>
      </c>
      <c r="G59" s="140" t="s">
        <v>4237</v>
      </c>
      <c r="H59" s="140" t="s">
        <v>4238</v>
      </c>
      <c r="I59" s="140" t="s">
        <v>3613</v>
      </c>
      <c r="J59" s="139" t="s">
        <v>2056</v>
      </c>
      <c r="K59" s="139" t="s">
        <v>1980</v>
      </c>
      <c r="L59" s="139" t="s">
        <v>3839</v>
      </c>
      <c r="M59" s="139" t="s">
        <v>3840</v>
      </c>
      <c r="N59" s="140" t="s">
        <v>3788</v>
      </c>
      <c r="O59" s="140" t="s">
        <v>956</v>
      </c>
    </row>
    <row r="60" spans="1:15" ht="42">
      <c r="A60" s="139" t="s">
        <v>4239</v>
      </c>
      <c r="B60" s="139" t="s">
        <v>2</v>
      </c>
      <c r="C60" s="139" t="s">
        <v>3526</v>
      </c>
      <c r="D60" s="139" t="s">
        <v>2031</v>
      </c>
      <c r="E60" s="139" t="s">
        <v>3963</v>
      </c>
      <c r="F60" s="139" t="s">
        <v>4224</v>
      </c>
      <c r="G60" s="140" t="s">
        <v>4240</v>
      </c>
      <c r="H60" s="140" t="s">
        <v>4241</v>
      </c>
      <c r="I60" s="140" t="s">
        <v>3613</v>
      </c>
      <c r="J60" s="139"/>
      <c r="K60" s="139"/>
      <c r="L60" s="139"/>
      <c r="M60" s="139"/>
      <c r="N60" s="140" t="s">
        <v>3962</v>
      </c>
      <c r="O60" s="140" t="s">
        <v>956</v>
      </c>
    </row>
    <row r="61" spans="1:15" ht="21">
      <c r="A61" s="139" t="s">
        <v>65</v>
      </c>
      <c r="B61" s="139" t="s">
        <v>2</v>
      </c>
      <c r="C61" s="139" t="s">
        <v>3526</v>
      </c>
      <c r="D61" s="139" t="s">
        <v>2031</v>
      </c>
      <c r="E61" s="139" t="s">
        <v>3963</v>
      </c>
      <c r="F61" s="139" t="s">
        <v>4212</v>
      </c>
      <c r="G61" s="140" t="s">
        <v>3616</v>
      </c>
      <c r="H61" s="140" t="s">
        <v>3614</v>
      </c>
      <c r="I61" s="140" t="s">
        <v>3615</v>
      </c>
      <c r="J61" s="139"/>
      <c r="K61" s="139"/>
      <c r="L61" s="139"/>
      <c r="M61" s="139"/>
      <c r="N61" s="140" t="s">
        <v>3962</v>
      </c>
      <c r="O61" s="140" t="s">
        <v>956</v>
      </c>
    </row>
    <row r="62" spans="1:15" ht="21">
      <c r="A62" s="139" t="s">
        <v>66</v>
      </c>
      <c r="B62" s="139" t="s">
        <v>2</v>
      </c>
      <c r="C62" s="139" t="s">
        <v>3549</v>
      </c>
      <c r="D62" s="139" t="s">
        <v>2031</v>
      </c>
      <c r="E62" s="139" t="s">
        <v>3963</v>
      </c>
      <c r="F62" s="139" t="s">
        <v>4224</v>
      </c>
      <c r="G62" s="140" t="s">
        <v>2365</v>
      </c>
      <c r="H62" s="140" t="s">
        <v>67</v>
      </c>
      <c r="I62" s="140" t="s">
        <v>3617</v>
      </c>
      <c r="J62" s="139"/>
      <c r="K62" s="139"/>
      <c r="L62" s="139"/>
      <c r="M62" s="139"/>
      <c r="N62" s="140" t="s">
        <v>3962</v>
      </c>
      <c r="O62" s="140" t="s">
        <v>956</v>
      </c>
    </row>
    <row r="63" spans="1:15" ht="21">
      <c r="A63" s="139" t="s">
        <v>68</v>
      </c>
      <c r="B63" s="139" t="s">
        <v>2</v>
      </c>
      <c r="C63" s="139" t="s">
        <v>3526</v>
      </c>
      <c r="D63" s="139" t="s">
        <v>2031</v>
      </c>
      <c r="E63" s="139" t="s">
        <v>3530</v>
      </c>
      <c r="F63" s="139" t="s">
        <v>4162</v>
      </c>
      <c r="G63" s="140" t="s">
        <v>956</v>
      </c>
      <c r="H63" s="140" t="s">
        <v>3618</v>
      </c>
      <c r="I63" s="140" t="s">
        <v>3619</v>
      </c>
      <c r="J63" s="139" t="s">
        <v>1734</v>
      </c>
      <c r="K63" s="139" t="s">
        <v>1981</v>
      </c>
      <c r="L63" s="139" t="s">
        <v>3790</v>
      </c>
      <c r="M63" s="139" t="s">
        <v>1162</v>
      </c>
      <c r="N63" s="140" t="s">
        <v>3788</v>
      </c>
      <c r="O63" s="140" t="s">
        <v>956</v>
      </c>
    </row>
    <row r="64" spans="1:15" ht="42">
      <c r="A64" s="139" t="s">
        <v>69</v>
      </c>
      <c r="B64" s="139" t="s">
        <v>2</v>
      </c>
      <c r="C64" s="139" t="s">
        <v>3526</v>
      </c>
      <c r="D64" s="139" t="s">
        <v>2031</v>
      </c>
      <c r="E64" s="139" t="s">
        <v>3530</v>
      </c>
      <c r="F64" s="139" t="s">
        <v>4162</v>
      </c>
      <c r="G64" s="140" t="s">
        <v>956</v>
      </c>
      <c r="H64" s="140" t="s">
        <v>70</v>
      </c>
      <c r="I64" s="140" t="s">
        <v>3620</v>
      </c>
      <c r="J64" s="139" t="s">
        <v>3841</v>
      </c>
      <c r="K64" s="139" t="s">
        <v>3842</v>
      </c>
      <c r="L64" s="139" t="s">
        <v>3843</v>
      </c>
      <c r="M64" s="139" t="s">
        <v>3844</v>
      </c>
      <c r="N64" s="140" t="s">
        <v>3788</v>
      </c>
      <c r="O64" s="140" t="s">
        <v>4181</v>
      </c>
    </row>
    <row r="65" spans="1:15" ht="63">
      <c r="A65" s="139" t="s">
        <v>4242</v>
      </c>
      <c r="B65" s="139" t="s">
        <v>2</v>
      </c>
      <c r="C65" s="139" t="s">
        <v>3526</v>
      </c>
      <c r="D65" s="139" t="s">
        <v>2031</v>
      </c>
      <c r="E65" s="139" t="s">
        <v>3963</v>
      </c>
      <c r="F65" s="139" t="s">
        <v>4212</v>
      </c>
      <c r="G65" s="140" t="s">
        <v>4213</v>
      </c>
      <c r="H65" s="140" t="s">
        <v>4243</v>
      </c>
      <c r="I65" s="140" t="s">
        <v>4244</v>
      </c>
      <c r="J65" s="139"/>
      <c r="K65" s="139"/>
      <c r="L65" s="139"/>
      <c r="M65" s="139"/>
      <c r="N65" s="140" t="s">
        <v>3962</v>
      </c>
      <c r="O65" s="140" t="s">
        <v>956</v>
      </c>
    </row>
    <row r="66" spans="1:15" ht="63">
      <c r="A66" s="139" t="s">
        <v>4245</v>
      </c>
      <c r="B66" s="139" t="s">
        <v>2</v>
      </c>
      <c r="C66" s="139" t="s">
        <v>3526</v>
      </c>
      <c r="D66" s="139" t="s">
        <v>2031</v>
      </c>
      <c r="E66" s="139" t="s">
        <v>3530</v>
      </c>
      <c r="F66" s="139" t="s">
        <v>4162</v>
      </c>
      <c r="G66" s="140" t="s">
        <v>4217</v>
      </c>
      <c r="H66" s="140" t="s">
        <v>4246</v>
      </c>
      <c r="I66" s="140" t="s">
        <v>4244</v>
      </c>
      <c r="J66" s="139" t="s">
        <v>4247</v>
      </c>
      <c r="K66" s="139" t="s">
        <v>1600</v>
      </c>
      <c r="L66" s="139" t="s">
        <v>2796</v>
      </c>
      <c r="M66" s="139" t="s">
        <v>3080</v>
      </c>
      <c r="N66" s="140" t="s">
        <v>3788</v>
      </c>
      <c r="O66" s="140" t="s">
        <v>956</v>
      </c>
    </row>
    <row r="67" spans="1:15" ht="42">
      <c r="A67" s="139" t="s">
        <v>71</v>
      </c>
      <c r="B67" s="139" t="s">
        <v>2</v>
      </c>
      <c r="C67" s="139" t="s">
        <v>3526</v>
      </c>
      <c r="D67" s="139" t="s">
        <v>2031</v>
      </c>
      <c r="E67" s="139" t="s">
        <v>3530</v>
      </c>
      <c r="F67" s="139" t="s">
        <v>4162</v>
      </c>
      <c r="G67" s="140" t="s">
        <v>956</v>
      </c>
      <c r="H67" s="140" t="s">
        <v>3621</v>
      </c>
      <c r="I67" s="140" t="s">
        <v>3622</v>
      </c>
      <c r="J67" s="139" t="s">
        <v>3845</v>
      </c>
      <c r="K67" s="139" t="s">
        <v>3846</v>
      </c>
      <c r="L67" s="139" t="s">
        <v>3847</v>
      </c>
      <c r="M67" s="139" t="s">
        <v>2879</v>
      </c>
      <c r="N67" s="140" t="s">
        <v>3788</v>
      </c>
      <c r="O67" s="140" t="s">
        <v>956</v>
      </c>
    </row>
    <row r="68" spans="1:15" ht="42">
      <c r="A68" s="139" t="s">
        <v>72</v>
      </c>
      <c r="B68" s="139" t="s">
        <v>2</v>
      </c>
      <c r="C68" s="139" t="s">
        <v>3569</v>
      </c>
      <c r="D68" s="139" t="s">
        <v>2031</v>
      </c>
      <c r="E68" s="139" t="s">
        <v>3963</v>
      </c>
      <c r="F68" s="139" t="s">
        <v>4212</v>
      </c>
      <c r="G68" s="140" t="s">
        <v>3616</v>
      </c>
      <c r="H68" s="140" t="s">
        <v>73</v>
      </c>
      <c r="I68" s="140" t="s">
        <v>3623</v>
      </c>
      <c r="J68" s="139"/>
      <c r="K68" s="139"/>
      <c r="L68" s="139"/>
      <c r="M68" s="139"/>
      <c r="N68" s="140" t="s">
        <v>3962</v>
      </c>
      <c r="O68" s="140" t="s">
        <v>956</v>
      </c>
    </row>
    <row r="69" spans="1:15" ht="21">
      <c r="A69" s="139" t="s">
        <v>74</v>
      </c>
      <c r="B69" s="139" t="s">
        <v>2</v>
      </c>
      <c r="C69" s="139" t="s">
        <v>3569</v>
      </c>
      <c r="D69" s="139" t="s">
        <v>2031</v>
      </c>
      <c r="E69" s="139" t="s">
        <v>3963</v>
      </c>
      <c r="F69" s="139" t="s">
        <v>4212</v>
      </c>
      <c r="G69" s="140" t="s">
        <v>2365</v>
      </c>
      <c r="H69" s="140" t="s">
        <v>75</v>
      </c>
      <c r="I69" s="140" t="s">
        <v>3624</v>
      </c>
      <c r="J69" s="139"/>
      <c r="K69" s="139"/>
      <c r="L69" s="139"/>
      <c r="M69" s="139"/>
      <c r="N69" s="140" t="s">
        <v>3962</v>
      </c>
      <c r="O69" s="140" t="s">
        <v>956</v>
      </c>
    </row>
    <row r="70" spans="1:15" ht="42">
      <c r="A70" s="139" t="s">
        <v>4248</v>
      </c>
      <c r="B70" s="139" t="s">
        <v>2</v>
      </c>
      <c r="C70" s="139" t="s">
        <v>3526</v>
      </c>
      <c r="D70" s="139" t="s">
        <v>2031</v>
      </c>
      <c r="E70" s="139" t="s">
        <v>3963</v>
      </c>
      <c r="F70" s="139" t="s">
        <v>4224</v>
      </c>
      <c r="G70" s="140" t="s">
        <v>4225</v>
      </c>
      <c r="H70" s="140" t="s">
        <v>4249</v>
      </c>
      <c r="I70" s="140" t="s">
        <v>3625</v>
      </c>
      <c r="J70" s="139"/>
      <c r="K70" s="139"/>
      <c r="L70" s="139"/>
      <c r="M70" s="139"/>
      <c r="N70" s="140" t="s">
        <v>3962</v>
      </c>
      <c r="O70" s="140" t="s">
        <v>956</v>
      </c>
    </row>
    <row r="71" spans="1:15" ht="42">
      <c r="A71" s="139" t="s">
        <v>4250</v>
      </c>
      <c r="B71" s="139" t="s">
        <v>2</v>
      </c>
      <c r="C71" s="139" t="s">
        <v>3526</v>
      </c>
      <c r="D71" s="139" t="s">
        <v>2031</v>
      </c>
      <c r="E71" s="139" t="s">
        <v>3530</v>
      </c>
      <c r="F71" s="139" t="s">
        <v>4162</v>
      </c>
      <c r="G71" s="140" t="s">
        <v>4228</v>
      </c>
      <c r="H71" s="140" t="s">
        <v>4251</v>
      </c>
      <c r="I71" s="140" t="s">
        <v>3625</v>
      </c>
      <c r="J71" s="139" t="s">
        <v>4030</v>
      </c>
      <c r="K71" s="139" t="s">
        <v>4135</v>
      </c>
      <c r="L71" s="139" t="s">
        <v>4138</v>
      </c>
      <c r="M71" s="139" t="s">
        <v>4080</v>
      </c>
      <c r="N71" s="140" t="s">
        <v>3788</v>
      </c>
      <c r="O71" s="140" t="s">
        <v>956</v>
      </c>
    </row>
    <row r="72" spans="1:15" ht="42">
      <c r="A72" s="139" t="s">
        <v>79</v>
      </c>
      <c r="B72" s="139" t="s">
        <v>2</v>
      </c>
      <c r="C72" s="139" t="s">
        <v>3526</v>
      </c>
      <c r="D72" s="139" t="s">
        <v>2031</v>
      </c>
      <c r="E72" s="139" t="s">
        <v>3530</v>
      </c>
      <c r="F72" s="139" t="s">
        <v>4162</v>
      </c>
      <c r="G72" s="140" t="s">
        <v>4252</v>
      </c>
      <c r="H72" s="140" t="s">
        <v>80</v>
      </c>
      <c r="I72" s="140" t="s">
        <v>3626</v>
      </c>
      <c r="J72" s="139" t="s">
        <v>3848</v>
      </c>
      <c r="K72" s="139" t="s">
        <v>1563</v>
      </c>
      <c r="L72" s="139" t="s">
        <v>2538</v>
      </c>
      <c r="M72" s="139" t="s">
        <v>3849</v>
      </c>
      <c r="N72" s="140" t="s">
        <v>3788</v>
      </c>
      <c r="O72" s="140" t="s">
        <v>4181</v>
      </c>
    </row>
    <row r="73" spans="1:15" ht="42">
      <c r="A73" s="139" t="s">
        <v>4253</v>
      </c>
      <c r="B73" s="139" t="s">
        <v>2</v>
      </c>
      <c r="C73" s="139" t="s">
        <v>3534</v>
      </c>
      <c r="D73" s="139" t="s">
        <v>2031</v>
      </c>
      <c r="E73" s="139" t="s">
        <v>3530</v>
      </c>
      <c r="F73" s="139" t="s">
        <v>4162</v>
      </c>
      <c r="G73" s="140" t="s">
        <v>4254</v>
      </c>
      <c r="H73" s="140" t="s">
        <v>4255</v>
      </c>
      <c r="I73" s="140" t="s">
        <v>3627</v>
      </c>
      <c r="J73" s="139" t="s">
        <v>3850</v>
      </c>
      <c r="K73" s="139" t="s">
        <v>3851</v>
      </c>
      <c r="L73" s="139" t="s">
        <v>3852</v>
      </c>
      <c r="M73" s="139" t="s">
        <v>3853</v>
      </c>
      <c r="N73" s="140" t="s">
        <v>3788</v>
      </c>
      <c r="O73" s="140" t="s">
        <v>956</v>
      </c>
    </row>
    <row r="74" spans="1:15" ht="42">
      <c r="A74" s="139" t="s">
        <v>4256</v>
      </c>
      <c r="B74" s="139" t="s">
        <v>2</v>
      </c>
      <c r="C74" s="139" t="s">
        <v>3534</v>
      </c>
      <c r="D74" s="139" t="s">
        <v>2031</v>
      </c>
      <c r="E74" s="139" t="s">
        <v>3963</v>
      </c>
      <c r="F74" s="139" t="s">
        <v>4186</v>
      </c>
      <c r="G74" s="140" t="s">
        <v>4257</v>
      </c>
      <c r="H74" s="140" t="s">
        <v>4258</v>
      </c>
      <c r="I74" s="140" t="s">
        <v>3627</v>
      </c>
      <c r="J74" s="139"/>
      <c r="K74" s="139"/>
      <c r="L74" s="139"/>
      <c r="M74" s="139" t="s">
        <v>1177</v>
      </c>
      <c r="N74" s="140" t="s">
        <v>3964</v>
      </c>
      <c r="O74" s="140" t="s">
        <v>956</v>
      </c>
    </row>
    <row r="75" spans="1:15" ht="63">
      <c r="A75" s="139" t="s">
        <v>85</v>
      </c>
      <c r="B75" s="139" t="s">
        <v>2</v>
      </c>
      <c r="C75" s="139" t="s">
        <v>3526</v>
      </c>
      <c r="D75" s="139" t="s">
        <v>2031</v>
      </c>
      <c r="E75" s="139" t="s">
        <v>3527</v>
      </c>
      <c r="F75" s="139" t="s">
        <v>4169</v>
      </c>
      <c r="G75" s="140" t="s">
        <v>3629</v>
      </c>
      <c r="H75" s="140" t="s">
        <v>86</v>
      </c>
      <c r="I75" s="140" t="s">
        <v>3628</v>
      </c>
      <c r="J75" s="139"/>
      <c r="K75" s="139"/>
      <c r="L75" s="139"/>
      <c r="M75" s="139"/>
      <c r="N75" s="140" t="s">
        <v>4172</v>
      </c>
      <c r="O75" s="140" t="s">
        <v>4167</v>
      </c>
    </row>
    <row r="76" spans="1:15" ht="21">
      <c r="A76" s="139" t="s">
        <v>76</v>
      </c>
      <c r="B76" s="139" t="s">
        <v>2</v>
      </c>
      <c r="C76" s="139" t="s">
        <v>3526</v>
      </c>
      <c r="D76" s="139" t="s">
        <v>2031</v>
      </c>
      <c r="E76" s="139" t="s">
        <v>3963</v>
      </c>
      <c r="F76" s="139" t="s">
        <v>4224</v>
      </c>
      <c r="G76" s="140" t="s">
        <v>3631</v>
      </c>
      <c r="H76" s="140" t="s">
        <v>77</v>
      </c>
      <c r="I76" s="140" t="s">
        <v>3630</v>
      </c>
      <c r="J76" s="139"/>
      <c r="K76" s="139"/>
      <c r="L76" s="139"/>
      <c r="M76" s="139"/>
      <c r="N76" s="140" t="s">
        <v>3962</v>
      </c>
      <c r="O76" s="140" t="s">
        <v>956</v>
      </c>
    </row>
    <row r="77" spans="1:15" ht="84">
      <c r="A77" s="139" t="s">
        <v>4259</v>
      </c>
      <c r="B77" s="139" t="s">
        <v>2</v>
      </c>
      <c r="C77" s="139" t="s">
        <v>3526</v>
      </c>
      <c r="D77" s="139" t="s">
        <v>2031</v>
      </c>
      <c r="E77" s="139" t="s">
        <v>3530</v>
      </c>
      <c r="F77" s="139" t="s">
        <v>4162</v>
      </c>
      <c r="G77" s="140" t="s">
        <v>4260</v>
      </c>
      <c r="H77" s="140" t="s">
        <v>4261</v>
      </c>
      <c r="I77" s="140" t="s">
        <v>4262</v>
      </c>
      <c r="J77" s="139" t="s">
        <v>3854</v>
      </c>
      <c r="K77" s="139" t="s">
        <v>3855</v>
      </c>
      <c r="L77" s="139" t="s">
        <v>3856</v>
      </c>
      <c r="M77" s="139" t="s">
        <v>3857</v>
      </c>
      <c r="N77" s="140" t="s">
        <v>3788</v>
      </c>
      <c r="O77" s="140" t="s">
        <v>4181</v>
      </c>
    </row>
    <row r="78" spans="1:15" ht="84">
      <c r="A78" s="139" t="s">
        <v>4263</v>
      </c>
      <c r="B78" s="139" t="s">
        <v>2</v>
      </c>
      <c r="C78" s="139" t="s">
        <v>3526</v>
      </c>
      <c r="D78" s="139" t="s">
        <v>2031</v>
      </c>
      <c r="E78" s="139" t="s">
        <v>3963</v>
      </c>
      <c r="F78" s="139" t="s">
        <v>4224</v>
      </c>
      <c r="G78" s="140" t="s">
        <v>4264</v>
      </c>
      <c r="H78" s="140" t="s">
        <v>4265</v>
      </c>
      <c r="I78" s="140" t="s">
        <v>4262</v>
      </c>
      <c r="J78" s="139"/>
      <c r="K78" s="139"/>
      <c r="L78" s="139"/>
      <c r="M78" s="139" t="s">
        <v>4080</v>
      </c>
      <c r="N78" s="140" t="s">
        <v>3962</v>
      </c>
      <c r="O78" s="140" t="s">
        <v>4181</v>
      </c>
    </row>
    <row r="79" spans="1:15" ht="42">
      <c r="A79" s="139" t="s">
        <v>81</v>
      </c>
      <c r="B79" s="139" t="s">
        <v>2</v>
      </c>
      <c r="C79" s="139" t="s">
        <v>3549</v>
      </c>
      <c r="D79" s="139" t="s">
        <v>262</v>
      </c>
      <c r="E79" s="139" t="s">
        <v>956</v>
      </c>
      <c r="F79" s="139" t="s">
        <v>956</v>
      </c>
      <c r="G79" s="140" t="s">
        <v>3633</v>
      </c>
      <c r="H79" s="140" t="s">
        <v>82</v>
      </c>
      <c r="I79" s="140" t="s">
        <v>3632</v>
      </c>
      <c r="J79" s="139"/>
      <c r="K79" s="139"/>
      <c r="L79" s="139"/>
      <c r="M79" s="139"/>
      <c r="N79" s="140" t="s">
        <v>3575</v>
      </c>
      <c r="O79" s="140" t="s">
        <v>956</v>
      </c>
    </row>
    <row r="80" spans="1:15" ht="21">
      <c r="A80" s="139" t="s">
        <v>83</v>
      </c>
      <c r="B80" s="139" t="s">
        <v>2</v>
      </c>
      <c r="C80" s="139" t="s">
        <v>3526</v>
      </c>
      <c r="D80" s="139" t="s">
        <v>2031</v>
      </c>
      <c r="E80" s="139" t="s">
        <v>3963</v>
      </c>
      <c r="F80" s="139" t="s">
        <v>4224</v>
      </c>
      <c r="G80" s="140" t="s">
        <v>3635</v>
      </c>
      <c r="H80" s="140" t="s">
        <v>84</v>
      </c>
      <c r="I80" s="140" t="s">
        <v>3634</v>
      </c>
      <c r="J80" s="139"/>
      <c r="K80" s="139"/>
      <c r="L80" s="139"/>
      <c r="M80" s="139"/>
      <c r="N80" s="140" t="s">
        <v>3962</v>
      </c>
      <c r="O80" s="140" t="s">
        <v>956</v>
      </c>
    </row>
    <row r="81" spans="1:15" ht="21">
      <c r="A81" s="139" t="s">
        <v>90</v>
      </c>
      <c r="B81" s="139" t="s">
        <v>2</v>
      </c>
      <c r="C81" s="139" t="s">
        <v>3549</v>
      </c>
      <c r="D81" s="139" t="s">
        <v>2031</v>
      </c>
      <c r="E81" s="139" t="s">
        <v>3963</v>
      </c>
      <c r="F81" s="139" t="s">
        <v>4224</v>
      </c>
      <c r="G81" s="140" t="s">
        <v>3631</v>
      </c>
      <c r="H81" s="140" t="s">
        <v>91</v>
      </c>
      <c r="I81" s="140" t="s">
        <v>3636</v>
      </c>
      <c r="J81" s="139"/>
      <c r="K81" s="139"/>
      <c r="L81" s="139"/>
      <c r="M81" s="139"/>
      <c r="N81" s="140" t="s">
        <v>3962</v>
      </c>
      <c r="O81" s="140" t="s">
        <v>956</v>
      </c>
    </row>
    <row r="82" spans="1:15" ht="42">
      <c r="A82" s="139" t="s">
        <v>92</v>
      </c>
      <c r="B82" s="139" t="s">
        <v>2</v>
      </c>
      <c r="C82" s="139" t="s">
        <v>3526</v>
      </c>
      <c r="D82" s="139" t="s">
        <v>2031</v>
      </c>
      <c r="E82" s="139" t="s">
        <v>3527</v>
      </c>
      <c r="F82" s="139" t="s">
        <v>4169</v>
      </c>
      <c r="G82" s="140" t="s">
        <v>3629</v>
      </c>
      <c r="H82" s="140" t="s">
        <v>93</v>
      </c>
      <c r="I82" s="140" t="s">
        <v>3637</v>
      </c>
      <c r="J82" s="139"/>
      <c r="K82" s="139"/>
      <c r="L82" s="139"/>
      <c r="M82" s="139"/>
      <c r="N82" s="140" t="s">
        <v>3962</v>
      </c>
      <c r="O82" s="140" t="s">
        <v>4167</v>
      </c>
    </row>
    <row r="83" spans="1:15" ht="84">
      <c r="A83" s="139" t="s">
        <v>4266</v>
      </c>
      <c r="B83" s="139" t="s">
        <v>2</v>
      </c>
      <c r="C83" s="139" t="s">
        <v>3549</v>
      </c>
      <c r="D83" s="139" t="s">
        <v>2031</v>
      </c>
      <c r="E83" s="139" t="s">
        <v>3530</v>
      </c>
      <c r="F83" s="139" t="s">
        <v>4162</v>
      </c>
      <c r="G83" s="140" t="s">
        <v>4267</v>
      </c>
      <c r="H83" s="140" t="s">
        <v>4268</v>
      </c>
      <c r="I83" s="140" t="s">
        <v>3638</v>
      </c>
      <c r="J83" s="139" t="s">
        <v>3858</v>
      </c>
      <c r="K83" s="139" t="s">
        <v>3859</v>
      </c>
      <c r="L83" s="139" t="s">
        <v>3860</v>
      </c>
      <c r="M83" s="139" t="s">
        <v>2958</v>
      </c>
      <c r="N83" s="140" t="s">
        <v>3788</v>
      </c>
      <c r="O83" s="140" t="s">
        <v>956</v>
      </c>
    </row>
    <row r="84" spans="1:15" ht="63">
      <c r="A84" s="139" t="s">
        <v>4269</v>
      </c>
      <c r="B84" s="139" t="s">
        <v>2</v>
      </c>
      <c r="C84" s="139" t="s">
        <v>3549</v>
      </c>
      <c r="D84" s="139" t="s">
        <v>2031</v>
      </c>
      <c r="E84" s="139" t="s">
        <v>3963</v>
      </c>
      <c r="F84" s="139" t="s">
        <v>4224</v>
      </c>
      <c r="G84" s="140" t="s">
        <v>4270</v>
      </c>
      <c r="H84" s="140" t="s">
        <v>4271</v>
      </c>
      <c r="I84" s="140" t="s">
        <v>3638</v>
      </c>
      <c r="J84" s="139"/>
      <c r="K84" s="139"/>
      <c r="L84" s="139"/>
      <c r="M84" s="139" t="s">
        <v>1198</v>
      </c>
      <c r="N84" s="140" t="s">
        <v>3962</v>
      </c>
      <c r="O84" s="140" t="s">
        <v>956</v>
      </c>
    </row>
    <row r="85" spans="1:15" ht="21">
      <c r="A85" s="139" t="s">
        <v>87</v>
      </c>
      <c r="B85" s="139" t="s">
        <v>2</v>
      </c>
      <c r="C85" s="139" t="s">
        <v>3549</v>
      </c>
      <c r="D85" s="139" t="s">
        <v>2031</v>
      </c>
      <c r="E85" s="139" t="s">
        <v>3963</v>
      </c>
      <c r="F85" s="139" t="s">
        <v>4224</v>
      </c>
      <c r="G85" s="140" t="s">
        <v>3631</v>
      </c>
      <c r="H85" s="140" t="s">
        <v>88</v>
      </c>
      <c r="I85" s="140" t="s">
        <v>3639</v>
      </c>
      <c r="J85" s="139"/>
      <c r="K85" s="139"/>
      <c r="L85" s="139"/>
      <c r="M85" s="139"/>
      <c r="N85" s="140" t="s">
        <v>3962</v>
      </c>
      <c r="O85" s="140" t="s">
        <v>956</v>
      </c>
    </row>
    <row r="86" spans="1:15" ht="63">
      <c r="A86" s="139" t="s">
        <v>4095</v>
      </c>
      <c r="B86" s="139" t="s">
        <v>2</v>
      </c>
      <c r="C86" s="139" t="s">
        <v>3549</v>
      </c>
      <c r="D86" s="139" t="s">
        <v>2031</v>
      </c>
      <c r="E86" s="139" t="s">
        <v>3530</v>
      </c>
      <c r="F86" s="139" t="s">
        <v>4162</v>
      </c>
      <c r="G86" s="140" t="s">
        <v>4272</v>
      </c>
      <c r="H86" s="140" t="s">
        <v>4273</v>
      </c>
      <c r="I86" s="140" t="s">
        <v>4274</v>
      </c>
      <c r="J86" s="139" t="s">
        <v>1739</v>
      </c>
      <c r="K86" s="139" t="s">
        <v>4129</v>
      </c>
      <c r="L86" s="139" t="s">
        <v>4132</v>
      </c>
      <c r="M86" s="139" t="s">
        <v>4093</v>
      </c>
      <c r="N86" s="140" t="s">
        <v>3788</v>
      </c>
      <c r="O86" s="140" t="s">
        <v>4275</v>
      </c>
    </row>
    <row r="87" spans="1:15" ht="21">
      <c r="A87" s="139" t="s">
        <v>94</v>
      </c>
      <c r="B87" s="139" t="s">
        <v>2</v>
      </c>
      <c r="C87" s="139" t="s">
        <v>3526</v>
      </c>
      <c r="D87" s="139" t="s">
        <v>2031</v>
      </c>
      <c r="E87" s="139" t="s">
        <v>3963</v>
      </c>
      <c r="F87" s="139" t="s">
        <v>4224</v>
      </c>
      <c r="G87" s="140" t="s">
        <v>3642</v>
      </c>
      <c r="H87" s="140" t="s">
        <v>3640</v>
      </c>
      <c r="I87" s="140" t="s">
        <v>3641</v>
      </c>
      <c r="J87" s="139"/>
      <c r="K87" s="139"/>
      <c r="L87" s="139"/>
      <c r="M87" s="139"/>
      <c r="N87" s="140" t="s">
        <v>3962</v>
      </c>
      <c r="O87" s="140" t="s">
        <v>956</v>
      </c>
    </row>
    <row r="88" spans="1:15" ht="21">
      <c r="A88" s="139" t="s">
        <v>95</v>
      </c>
      <c r="B88" s="139" t="s">
        <v>2</v>
      </c>
      <c r="C88" s="139" t="s">
        <v>3526</v>
      </c>
      <c r="D88" s="139" t="s">
        <v>2031</v>
      </c>
      <c r="E88" s="139" t="s">
        <v>3530</v>
      </c>
      <c r="F88" s="139" t="s">
        <v>4162</v>
      </c>
      <c r="G88" s="140" t="s">
        <v>3644</v>
      </c>
      <c r="H88" s="140" t="s">
        <v>96</v>
      </c>
      <c r="I88" s="140" t="s">
        <v>3643</v>
      </c>
      <c r="J88" s="139" t="s">
        <v>3861</v>
      </c>
      <c r="K88" s="139" t="s">
        <v>3862</v>
      </c>
      <c r="L88" s="139" t="s">
        <v>3863</v>
      </c>
      <c r="M88" s="139" t="s">
        <v>3864</v>
      </c>
      <c r="N88" s="140" t="s">
        <v>3788</v>
      </c>
      <c r="O88" s="140" t="s">
        <v>956</v>
      </c>
    </row>
    <row r="89" spans="1:15" ht="21">
      <c r="A89" s="139" t="s">
        <v>97</v>
      </c>
      <c r="B89" s="139" t="s">
        <v>2</v>
      </c>
      <c r="C89" s="139" t="s">
        <v>3526</v>
      </c>
      <c r="D89" s="139" t="s">
        <v>2031</v>
      </c>
      <c r="E89" s="139" t="s">
        <v>3530</v>
      </c>
      <c r="F89" s="139" t="s">
        <v>4162</v>
      </c>
      <c r="G89" s="140" t="s">
        <v>956</v>
      </c>
      <c r="H89" s="140" t="s">
        <v>3645</v>
      </c>
      <c r="I89" s="140" t="s">
        <v>3646</v>
      </c>
      <c r="J89" s="139" t="s">
        <v>3865</v>
      </c>
      <c r="K89" s="139" t="s">
        <v>1979</v>
      </c>
      <c r="L89" s="139" t="s">
        <v>3866</v>
      </c>
      <c r="M89" s="139" t="s">
        <v>3867</v>
      </c>
      <c r="N89" s="140" t="s">
        <v>3788</v>
      </c>
      <c r="O89" s="140" t="s">
        <v>956</v>
      </c>
    </row>
    <row r="90" spans="1:15" ht="21">
      <c r="A90" s="139" t="s">
        <v>98</v>
      </c>
      <c r="B90" s="139" t="s">
        <v>2</v>
      </c>
      <c r="C90" s="139" t="s">
        <v>3526</v>
      </c>
      <c r="D90" s="139" t="s">
        <v>2031</v>
      </c>
      <c r="E90" s="139" t="s">
        <v>3530</v>
      </c>
      <c r="F90" s="139" t="s">
        <v>4162</v>
      </c>
      <c r="G90" s="140" t="s">
        <v>956</v>
      </c>
      <c r="H90" s="140" t="s">
        <v>99</v>
      </c>
      <c r="I90" s="140" t="s">
        <v>3647</v>
      </c>
      <c r="J90" s="139" t="s">
        <v>1537</v>
      </c>
      <c r="K90" s="139" t="s">
        <v>1982</v>
      </c>
      <c r="L90" s="139" t="s">
        <v>3868</v>
      </c>
      <c r="M90" s="139" t="s">
        <v>1163</v>
      </c>
      <c r="N90" s="140" t="s">
        <v>3788</v>
      </c>
      <c r="O90" s="140" t="s">
        <v>956</v>
      </c>
    </row>
    <row r="91" spans="1:15" ht="21">
      <c r="A91" s="139" t="s">
        <v>100</v>
      </c>
      <c r="B91" s="139" t="s">
        <v>2</v>
      </c>
      <c r="C91" s="139" t="s">
        <v>3526</v>
      </c>
      <c r="D91" s="139" t="s">
        <v>2031</v>
      </c>
      <c r="E91" s="139" t="s">
        <v>3963</v>
      </c>
      <c r="F91" s="139" t="s">
        <v>4224</v>
      </c>
      <c r="G91" s="140" t="s">
        <v>3635</v>
      </c>
      <c r="H91" s="140" t="s">
        <v>101</v>
      </c>
      <c r="I91" s="140" t="s">
        <v>3648</v>
      </c>
      <c r="J91" s="139"/>
      <c r="K91" s="139"/>
      <c r="L91" s="139"/>
      <c r="M91" s="139"/>
      <c r="N91" s="140" t="s">
        <v>3962</v>
      </c>
      <c r="O91" s="140" t="s">
        <v>956</v>
      </c>
    </row>
    <row r="92" spans="1:15" ht="21">
      <c r="A92" s="139" t="s">
        <v>106</v>
      </c>
      <c r="B92" s="139" t="s">
        <v>2</v>
      </c>
      <c r="C92" s="139" t="s">
        <v>3569</v>
      </c>
      <c r="D92" s="139" t="s">
        <v>2031</v>
      </c>
      <c r="E92" s="139" t="s">
        <v>3963</v>
      </c>
      <c r="F92" s="139" t="s">
        <v>4224</v>
      </c>
      <c r="G92" s="140" t="s">
        <v>2365</v>
      </c>
      <c r="H92" s="140" t="s">
        <v>107</v>
      </c>
      <c r="I92" s="140" t="s">
        <v>3649</v>
      </c>
      <c r="J92" s="139"/>
      <c r="K92" s="139"/>
      <c r="L92" s="139"/>
      <c r="M92" s="139"/>
      <c r="N92" s="140" t="s">
        <v>3962</v>
      </c>
      <c r="O92" s="140" t="s">
        <v>956</v>
      </c>
    </row>
    <row r="93" spans="1:15" ht="63">
      <c r="A93" s="139" t="s">
        <v>4276</v>
      </c>
      <c r="B93" s="139" t="s">
        <v>2</v>
      </c>
      <c r="C93" s="139" t="s">
        <v>3526</v>
      </c>
      <c r="D93" s="139" t="s">
        <v>2031</v>
      </c>
      <c r="E93" s="139" t="s">
        <v>3530</v>
      </c>
      <c r="F93" s="139" t="s">
        <v>4162</v>
      </c>
      <c r="G93" s="140" t="s">
        <v>4277</v>
      </c>
      <c r="H93" s="140" t="s">
        <v>4278</v>
      </c>
      <c r="I93" s="140" t="s">
        <v>4279</v>
      </c>
      <c r="J93" s="139" t="s">
        <v>3869</v>
      </c>
      <c r="K93" s="139" t="s">
        <v>3870</v>
      </c>
      <c r="L93" s="139" t="s">
        <v>3871</v>
      </c>
      <c r="M93" s="139" t="s">
        <v>3872</v>
      </c>
      <c r="N93" s="140" t="s">
        <v>3788</v>
      </c>
      <c r="O93" s="140" t="s">
        <v>956</v>
      </c>
    </row>
    <row r="94" spans="1:15" ht="63">
      <c r="A94" s="139" t="s">
        <v>4280</v>
      </c>
      <c r="B94" s="139" t="s">
        <v>2</v>
      </c>
      <c r="C94" s="139" t="s">
        <v>3526</v>
      </c>
      <c r="D94" s="139" t="s">
        <v>2031</v>
      </c>
      <c r="E94" s="139" t="s">
        <v>3963</v>
      </c>
      <c r="F94" s="139" t="s">
        <v>4281</v>
      </c>
      <c r="G94" s="140" t="s">
        <v>4282</v>
      </c>
      <c r="H94" s="140" t="s">
        <v>4283</v>
      </c>
      <c r="I94" s="140" t="s">
        <v>4279</v>
      </c>
      <c r="J94" s="139"/>
      <c r="K94" s="139"/>
      <c r="L94" s="139"/>
      <c r="M94" s="139" t="s">
        <v>1197</v>
      </c>
      <c r="N94" s="140" t="s">
        <v>4284</v>
      </c>
      <c r="O94" s="140" t="s">
        <v>956</v>
      </c>
    </row>
    <row r="95" spans="1:15" ht="21">
      <c r="A95" s="139" t="s">
        <v>104</v>
      </c>
      <c r="B95" s="139" t="s">
        <v>2</v>
      </c>
      <c r="C95" s="139" t="s">
        <v>3549</v>
      </c>
      <c r="D95" s="139" t="s">
        <v>2031</v>
      </c>
      <c r="E95" s="139" t="s">
        <v>3530</v>
      </c>
      <c r="F95" s="139" t="s">
        <v>4162</v>
      </c>
      <c r="G95" s="140" t="s">
        <v>956</v>
      </c>
      <c r="H95" s="140" t="s">
        <v>105</v>
      </c>
      <c r="I95" s="140" t="s">
        <v>3650</v>
      </c>
      <c r="J95" s="139" t="s">
        <v>3869</v>
      </c>
      <c r="K95" s="139" t="s">
        <v>3870</v>
      </c>
      <c r="L95" s="139" t="s">
        <v>3871</v>
      </c>
      <c r="M95" s="139" t="s">
        <v>3872</v>
      </c>
      <c r="N95" s="140" t="s">
        <v>3788</v>
      </c>
      <c r="O95" s="140" t="s">
        <v>956</v>
      </c>
    </row>
    <row r="96" spans="1:15" ht="21">
      <c r="A96" s="139" t="s">
        <v>102</v>
      </c>
      <c r="B96" s="139" t="s">
        <v>2</v>
      </c>
      <c r="C96" s="139" t="s">
        <v>3526</v>
      </c>
      <c r="D96" s="139" t="s">
        <v>2031</v>
      </c>
      <c r="E96" s="139" t="s">
        <v>3530</v>
      </c>
      <c r="F96" s="139" t="s">
        <v>4162</v>
      </c>
      <c r="G96" s="140" t="s">
        <v>956</v>
      </c>
      <c r="H96" s="140" t="s">
        <v>103</v>
      </c>
      <c r="I96" s="140" t="s">
        <v>3651</v>
      </c>
      <c r="J96" s="139" t="s">
        <v>2056</v>
      </c>
      <c r="K96" s="139" t="s">
        <v>1980</v>
      </c>
      <c r="L96" s="139" t="s">
        <v>3839</v>
      </c>
      <c r="M96" s="139" t="s">
        <v>3815</v>
      </c>
      <c r="N96" s="140" t="s">
        <v>3788</v>
      </c>
      <c r="O96" s="140" t="s">
        <v>956</v>
      </c>
    </row>
    <row r="97" spans="1:15" ht="21">
      <c r="A97" s="139" t="s">
        <v>108</v>
      </c>
      <c r="B97" s="139" t="s">
        <v>2</v>
      </c>
      <c r="C97" s="139" t="s">
        <v>3526</v>
      </c>
      <c r="D97" s="139" t="s">
        <v>2031</v>
      </c>
      <c r="E97" s="139" t="s">
        <v>3963</v>
      </c>
      <c r="F97" s="139" t="s">
        <v>4224</v>
      </c>
      <c r="G97" s="140" t="s">
        <v>3653</v>
      </c>
      <c r="H97" s="140" t="s">
        <v>109</v>
      </c>
      <c r="I97" s="140" t="s">
        <v>3652</v>
      </c>
      <c r="J97" s="139"/>
      <c r="K97" s="139"/>
      <c r="L97" s="139"/>
      <c r="M97" s="139"/>
      <c r="N97" s="140" t="s">
        <v>3962</v>
      </c>
      <c r="O97" s="140" t="s">
        <v>956</v>
      </c>
    </row>
    <row r="98" spans="1:15" ht="42">
      <c r="A98" s="139" t="s">
        <v>110</v>
      </c>
      <c r="B98" s="139" t="s">
        <v>2</v>
      </c>
      <c r="C98" s="139" t="s">
        <v>3549</v>
      </c>
      <c r="D98" s="139" t="s">
        <v>2031</v>
      </c>
      <c r="E98" s="139" t="s">
        <v>3963</v>
      </c>
      <c r="F98" s="139" t="s">
        <v>4224</v>
      </c>
      <c r="G98" s="140" t="s">
        <v>2365</v>
      </c>
      <c r="H98" s="140" t="s">
        <v>111</v>
      </c>
      <c r="I98" s="140" t="s">
        <v>3654</v>
      </c>
      <c r="J98" s="139"/>
      <c r="K98" s="139"/>
      <c r="L98" s="139"/>
      <c r="M98" s="139"/>
      <c r="N98" s="140" t="s">
        <v>3962</v>
      </c>
      <c r="O98" s="140" t="s">
        <v>956</v>
      </c>
    </row>
    <row r="99" spans="1:15" ht="42">
      <c r="A99" s="139" t="s">
        <v>112</v>
      </c>
      <c r="B99" s="139" t="s">
        <v>2</v>
      </c>
      <c r="C99" s="139" t="s">
        <v>3549</v>
      </c>
      <c r="D99" s="139" t="s">
        <v>2031</v>
      </c>
      <c r="E99" s="139" t="s">
        <v>3530</v>
      </c>
      <c r="F99" s="139" t="s">
        <v>4162</v>
      </c>
      <c r="G99" s="140" t="s">
        <v>4285</v>
      </c>
      <c r="H99" s="140" t="s">
        <v>3655</v>
      </c>
      <c r="I99" s="140" t="s">
        <v>3656</v>
      </c>
      <c r="J99" s="139" t="s">
        <v>3873</v>
      </c>
      <c r="K99" s="139" t="s">
        <v>3874</v>
      </c>
      <c r="L99" s="139" t="s">
        <v>3875</v>
      </c>
      <c r="M99" s="139" t="s">
        <v>3876</v>
      </c>
      <c r="N99" s="140" t="s">
        <v>3788</v>
      </c>
      <c r="O99" s="140" t="s">
        <v>956</v>
      </c>
    </row>
    <row r="100" spans="1:15" ht="21">
      <c r="A100" s="139" t="s">
        <v>113</v>
      </c>
      <c r="B100" s="139" t="s">
        <v>2</v>
      </c>
      <c r="C100" s="139" t="s">
        <v>3526</v>
      </c>
      <c r="D100" s="139" t="s">
        <v>2031</v>
      </c>
      <c r="E100" s="139" t="s">
        <v>3530</v>
      </c>
      <c r="F100" s="139" t="s">
        <v>4162</v>
      </c>
      <c r="G100" s="140" t="s">
        <v>956</v>
      </c>
      <c r="H100" s="140" t="s">
        <v>114</v>
      </c>
      <c r="I100" s="140" t="s">
        <v>3657</v>
      </c>
      <c r="J100" s="139" t="s">
        <v>3877</v>
      </c>
      <c r="K100" s="139" t="s">
        <v>3878</v>
      </c>
      <c r="L100" s="139" t="s">
        <v>3879</v>
      </c>
      <c r="M100" s="139" t="s">
        <v>1157</v>
      </c>
      <c r="N100" s="140" t="s">
        <v>3788</v>
      </c>
      <c r="O100" s="140" t="s">
        <v>956</v>
      </c>
    </row>
    <row r="101" spans="1:15" ht="21">
      <c r="A101" s="139" t="s">
        <v>115</v>
      </c>
      <c r="B101" s="139" t="s">
        <v>2</v>
      </c>
      <c r="C101" s="139" t="s">
        <v>3526</v>
      </c>
      <c r="D101" s="139" t="s">
        <v>2031</v>
      </c>
      <c r="E101" s="139" t="s">
        <v>3530</v>
      </c>
      <c r="F101" s="139" t="s">
        <v>4162</v>
      </c>
      <c r="G101" s="140" t="s">
        <v>956</v>
      </c>
      <c r="H101" s="140" t="s">
        <v>3658</v>
      </c>
      <c r="I101" s="140" t="s">
        <v>3659</v>
      </c>
      <c r="J101" s="139" t="s">
        <v>1537</v>
      </c>
      <c r="K101" s="139" t="s">
        <v>1982</v>
      </c>
      <c r="L101" s="139" t="s">
        <v>3868</v>
      </c>
      <c r="M101" s="139" t="s">
        <v>1163</v>
      </c>
      <c r="N101" s="140" t="s">
        <v>3788</v>
      </c>
      <c r="O101" s="140" t="s">
        <v>956</v>
      </c>
    </row>
    <row r="102" spans="1:15" ht="21">
      <c r="A102" s="139" t="s">
        <v>116</v>
      </c>
      <c r="B102" s="139" t="s">
        <v>2</v>
      </c>
      <c r="C102" s="139" t="s">
        <v>3526</v>
      </c>
      <c r="D102" s="139" t="s">
        <v>2031</v>
      </c>
      <c r="E102" s="139" t="s">
        <v>3530</v>
      </c>
      <c r="F102" s="139" t="s">
        <v>4162</v>
      </c>
      <c r="G102" s="140" t="s">
        <v>956</v>
      </c>
      <c r="H102" s="140" t="s">
        <v>3660</v>
      </c>
      <c r="I102" s="140" t="s">
        <v>3661</v>
      </c>
      <c r="J102" s="139" t="s">
        <v>3880</v>
      </c>
      <c r="K102" s="139" t="s">
        <v>3881</v>
      </c>
      <c r="L102" s="139" t="s">
        <v>3882</v>
      </c>
      <c r="M102" s="139" t="s">
        <v>2964</v>
      </c>
      <c r="N102" s="140" t="s">
        <v>3788</v>
      </c>
      <c r="O102" s="140" t="s">
        <v>956</v>
      </c>
    </row>
    <row r="103" spans="1:15" ht="21">
      <c r="A103" s="139" t="s">
        <v>117</v>
      </c>
      <c r="B103" s="139" t="s">
        <v>2</v>
      </c>
      <c r="C103" s="139" t="s">
        <v>3549</v>
      </c>
      <c r="D103" s="139" t="s">
        <v>2031</v>
      </c>
      <c r="E103" s="139" t="s">
        <v>3530</v>
      </c>
      <c r="F103" s="139" t="s">
        <v>4162</v>
      </c>
      <c r="G103" s="140" t="s">
        <v>956</v>
      </c>
      <c r="H103" s="140" t="s">
        <v>118</v>
      </c>
      <c r="I103" s="140" t="s">
        <v>3662</v>
      </c>
      <c r="J103" s="139" t="s">
        <v>3883</v>
      </c>
      <c r="K103" s="139" t="s">
        <v>3884</v>
      </c>
      <c r="L103" s="139" t="s">
        <v>3885</v>
      </c>
      <c r="M103" s="139" t="s">
        <v>3886</v>
      </c>
      <c r="N103" s="140" t="s">
        <v>3788</v>
      </c>
      <c r="O103" s="140" t="s">
        <v>956</v>
      </c>
    </row>
    <row r="104" spans="1:15" ht="42">
      <c r="A104" s="139" t="s">
        <v>122</v>
      </c>
      <c r="B104" s="139" t="s">
        <v>2</v>
      </c>
      <c r="C104" s="139" t="s">
        <v>3549</v>
      </c>
      <c r="D104" s="139" t="s">
        <v>262</v>
      </c>
      <c r="E104" s="139" t="s">
        <v>956</v>
      </c>
      <c r="F104" s="139" t="s">
        <v>956</v>
      </c>
      <c r="G104" s="140" t="s">
        <v>3575</v>
      </c>
      <c r="H104" s="140" t="s">
        <v>3663</v>
      </c>
      <c r="I104" s="140" t="s">
        <v>3664</v>
      </c>
      <c r="J104" s="139"/>
      <c r="K104" s="139"/>
      <c r="L104" s="139"/>
      <c r="M104" s="139"/>
      <c r="N104" s="140" t="s">
        <v>3575</v>
      </c>
      <c r="O104" s="140" t="s">
        <v>956</v>
      </c>
    </row>
    <row r="105" spans="1:15" ht="63">
      <c r="A105" s="139" t="s">
        <v>123</v>
      </c>
      <c r="B105" s="139" t="s">
        <v>2</v>
      </c>
      <c r="C105" s="139" t="s">
        <v>3526</v>
      </c>
      <c r="D105" s="139" t="s">
        <v>2031</v>
      </c>
      <c r="E105" s="139" t="s">
        <v>3530</v>
      </c>
      <c r="F105" s="139" t="s">
        <v>4162</v>
      </c>
      <c r="G105" s="140" t="s">
        <v>4286</v>
      </c>
      <c r="H105" s="140" t="s">
        <v>3665</v>
      </c>
      <c r="I105" s="140" t="s">
        <v>3666</v>
      </c>
      <c r="J105" s="139" t="s">
        <v>4287</v>
      </c>
      <c r="K105" s="139" t="s">
        <v>4288</v>
      </c>
      <c r="L105" s="139" t="s">
        <v>4289</v>
      </c>
      <c r="M105" s="139" t="s">
        <v>4290</v>
      </c>
      <c r="N105" s="140" t="s">
        <v>3788</v>
      </c>
      <c r="O105" s="140" t="s">
        <v>956</v>
      </c>
    </row>
    <row r="106" spans="1:15" ht="42">
      <c r="A106" s="139" t="s">
        <v>4291</v>
      </c>
      <c r="B106" s="139" t="s">
        <v>2</v>
      </c>
      <c r="C106" s="139" t="s">
        <v>3526</v>
      </c>
      <c r="D106" s="139" t="s">
        <v>2031</v>
      </c>
      <c r="E106" s="139" t="s">
        <v>3963</v>
      </c>
      <c r="F106" s="139" t="s">
        <v>4212</v>
      </c>
      <c r="G106" s="140" t="s">
        <v>4213</v>
      </c>
      <c r="H106" s="140" t="s">
        <v>4292</v>
      </c>
      <c r="I106" s="140" t="s">
        <v>4293</v>
      </c>
      <c r="J106" s="139"/>
      <c r="K106" s="139"/>
      <c r="L106" s="139"/>
      <c r="M106" s="139"/>
      <c r="N106" s="140" t="s">
        <v>3962</v>
      </c>
      <c r="O106" s="140" t="s">
        <v>956</v>
      </c>
    </row>
    <row r="107" spans="1:15" ht="42">
      <c r="A107" s="139" t="s">
        <v>4294</v>
      </c>
      <c r="B107" s="139" t="s">
        <v>2</v>
      </c>
      <c r="C107" s="139" t="s">
        <v>3526</v>
      </c>
      <c r="D107" s="139" t="s">
        <v>2031</v>
      </c>
      <c r="E107" s="139" t="s">
        <v>3530</v>
      </c>
      <c r="F107" s="139" t="s">
        <v>4162</v>
      </c>
      <c r="G107" s="140" t="s">
        <v>4217</v>
      </c>
      <c r="H107" s="140" t="s">
        <v>4295</v>
      </c>
      <c r="I107" s="140" t="s">
        <v>4293</v>
      </c>
      <c r="J107" s="139" t="s">
        <v>4247</v>
      </c>
      <c r="K107" s="139" t="s">
        <v>1600</v>
      </c>
      <c r="L107" s="139" t="s">
        <v>2796</v>
      </c>
      <c r="M107" s="139" t="s">
        <v>3080</v>
      </c>
      <c r="N107" s="140" t="s">
        <v>3788</v>
      </c>
      <c r="O107" s="140" t="s">
        <v>956</v>
      </c>
    </row>
    <row r="108" spans="1:15" ht="42">
      <c r="A108" s="139" t="s">
        <v>119</v>
      </c>
      <c r="B108" s="139" t="s">
        <v>2</v>
      </c>
      <c r="C108" s="139" t="s">
        <v>3526</v>
      </c>
      <c r="D108" s="139" t="s">
        <v>2031</v>
      </c>
      <c r="E108" s="139" t="s">
        <v>3530</v>
      </c>
      <c r="F108" s="139" t="s">
        <v>4162</v>
      </c>
      <c r="G108" s="140" t="s">
        <v>3668</v>
      </c>
      <c r="H108" s="140" t="s">
        <v>120</v>
      </c>
      <c r="I108" s="140" t="s">
        <v>3667</v>
      </c>
      <c r="J108" s="139" t="s">
        <v>3869</v>
      </c>
      <c r="K108" s="139" t="s">
        <v>3870</v>
      </c>
      <c r="L108" s="139" t="s">
        <v>3871</v>
      </c>
      <c r="M108" s="139" t="s">
        <v>1491</v>
      </c>
      <c r="N108" s="140" t="s">
        <v>3788</v>
      </c>
      <c r="O108" s="140" t="s">
        <v>956</v>
      </c>
    </row>
    <row r="109" spans="1:15" ht="42">
      <c r="A109" s="139" t="s">
        <v>121</v>
      </c>
      <c r="B109" s="139" t="s">
        <v>2</v>
      </c>
      <c r="C109" s="139" t="s">
        <v>3569</v>
      </c>
      <c r="D109" s="139" t="s">
        <v>262</v>
      </c>
      <c r="E109" s="139" t="s">
        <v>956</v>
      </c>
      <c r="F109" s="139" t="s">
        <v>956</v>
      </c>
      <c r="G109" s="140" t="s">
        <v>3671</v>
      </c>
      <c r="H109" s="140" t="s">
        <v>3669</v>
      </c>
      <c r="I109" s="140" t="s">
        <v>3670</v>
      </c>
      <c r="J109" s="139"/>
      <c r="K109" s="139"/>
      <c r="L109" s="139"/>
      <c r="M109" s="139"/>
      <c r="N109" s="140" t="s">
        <v>3575</v>
      </c>
      <c r="O109" s="140" t="s">
        <v>956</v>
      </c>
    </row>
    <row r="110" spans="1:15" ht="21">
      <c r="A110" s="139" t="s">
        <v>124</v>
      </c>
      <c r="B110" s="139" t="s">
        <v>2</v>
      </c>
      <c r="C110" s="139" t="s">
        <v>3526</v>
      </c>
      <c r="D110" s="139" t="s">
        <v>2031</v>
      </c>
      <c r="E110" s="139" t="s">
        <v>3530</v>
      </c>
      <c r="F110" s="139" t="s">
        <v>4162</v>
      </c>
      <c r="G110" s="140" t="s">
        <v>956</v>
      </c>
      <c r="H110" s="140" t="s">
        <v>3672</v>
      </c>
      <c r="I110" s="140" t="s">
        <v>3673</v>
      </c>
      <c r="J110" s="139" t="s">
        <v>3887</v>
      </c>
      <c r="K110" s="139" t="s">
        <v>2774</v>
      </c>
      <c r="L110" s="139" t="s">
        <v>2777</v>
      </c>
      <c r="M110" s="139" t="s">
        <v>3888</v>
      </c>
      <c r="N110" s="140" t="s">
        <v>3788</v>
      </c>
      <c r="O110" s="140" t="s">
        <v>956</v>
      </c>
    </row>
    <row r="111" spans="1:15" ht="84">
      <c r="A111" s="139" t="s">
        <v>125</v>
      </c>
      <c r="B111" s="139" t="s">
        <v>3</v>
      </c>
      <c r="C111" s="139" t="s">
        <v>3534</v>
      </c>
      <c r="D111" s="139" t="s">
        <v>2031</v>
      </c>
      <c r="E111" s="139" t="s">
        <v>3530</v>
      </c>
      <c r="F111" s="139" t="s">
        <v>4162</v>
      </c>
      <c r="G111" s="140" t="s">
        <v>4296</v>
      </c>
      <c r="H111" s="140" t="s">
        <v>3674</v>
      </c>
      <c r="I111" s="140" t="s">
        <v>3675</v>
      </c>
      <c r="J111" s="139" t="s">
        <v>1541</v>
      </c>
      <c r="K111" s="139"/>
      <c r="L111" s="139"/>
      <c r="M111" s="139" t="s">
        <v>3059</v>
      </c>
      <c r="N111" s="140" t="s">
        <v>3965</v>
      </c>
      <c r="O111" s="140" t="s">
        <v>4297</v>
      </c>
    </row>
    <row r="112" spans="1:15" ht="42">
      <c r="A112" s="139" t="s">
        <v>126</v>
      </c>
      <c r="B112" s="139" t="s">
        <v>3</v>
      </c>
      <c r="C112" s="139" t="s">
        <v>3534</v>
      </c>
      <c r="D112" s="139" t="s">
        <v>2031</v>
      </c>
      <c r="E112" s="139" t="s">
        <v>3530</v>
      </c>
      <c r="F112" s="139" t="s">
        <v>4162</v>
      </c>
      <c r="G112" s="140" t="s">
        <v>956</v>
      </c>
      <c r="H112" s="140" t="s">
        <v>3676</v>
      </c>
      <c r="I112" s="140" t="s">
        <v>3677</v>
      </c>
      <c r="J112" s="139" t="s">
        <v>3889</v>
      </c>
      <c r="K112" s="139" t="s">
        <v>3890</v>
      </c>
      <c r="L112" s="139" t="s">
        <v>3891</v>
      </c>
      <c r="M112" s="139" t="s">
        <v>3892</v>
      </c>
      <c r="N112" s="140" t="s">
        <v>3788</v>
      </c>
      <c r="O112" s="140" t="s">
        <v>4297</v>
      </c>
    </row>
    <row r="113" spans="1:15" ht="42">
      <c r="A113" s="139" t="s">
        <v>127</v>
      </c>
      <c r="B113" s="139" t="s">
        <v>3</v>
      </c>
      <c r="C113" s="139" t="s">
        <v>3562</v>
      </c>
      <c r="D113" s="139" t="s">
        <v>2031</v>
      </c>
      <c r="E113" s="139" t="s">
        <v>3530</v>
      </c>
      <c r="F113" s="139" t="s">
        <v>4162</v>
      </c>
      <c r="G113" s="140" t="s">
        <v>956</v>
      </c>
      <c r="H113" s="140" t="s">
        <v>3678</v>
      </c>
      <c r="I113" s="140" t="s">
        <v>3679</v>
      </c>
      <c r="J113" s="139" t="s">
        <v>3893</v>
      </c>
      <c r="K113" s="139" t="s">
        <v>1582</v>
      </c>
      <c r="L113" s="139" t="s">
        <v>3894</v>
      </c>
      <c r="M113" s="139" t="s">
        <v>1186</v>
      </c>
      <c r="N113" s="140" t="s">
        <v>3788</v>
      </c>
      <c r="O113" s="140" t="s">
        <v>4297</v>
      </c>
    </row>
    <row r="114" spans="1:15" ht="42">
      <c r="A114" s="139" t="s">
        <v>128</v>
      </c>
      <c r="B114" s="139" t="s">
        <v>3</v>
      </c>
      <c r="C114" s="139" t="s">
        <v>3562</v>
      </c>
      <c r="D114" s="139" t="s">
        <v>2031</v>
      </c>
      <c r="E114" s="139" t="s">
        <v>3530</v>
      </c>
      <c r="F114" s="139" t="s">
        <v>4162</v>
      </c>
      <c r="G114" s="140" t="s">
        <v>956</v>
      </c>
      <c r="H114" s="140" t="s">
        <v>129</v>
      </c>
      <c r="I114" s="140" t="s">
        <v>3680</v>
      </c>
      <c r="J114" s="139" t="s">
        <v>3893</v>
      </c>
      <c r="K114" s="139" t="s">
        <v>1582</v>
      </c>
      <c r="L114" s="139" t="s">
        <v>3894</v>
      </c>
      <c r="M114" s="139" t="s">
        <v>1180</v>
      </c>
      <c r="N114" s="140" t="s">
        <v>3788</v>
      </c>
      <c r="O114" s="140" t="s">
        <v>4297</v>
      </c>
    </row>
    <row r="115" spans="1:15" ht="42">
      <c r="A115" s="139" t="s">
        <v>130</v>
      </c>
      <c r="B115" s="139" t="s">
        <v>3</v>
      </c>
      <c r="C115" s="139" t="s">
        <v>3562</v>
      </c>
      <c r="D115" s="139" t="s">
        <v>2031</v>
      </c>
      <c r="E115" s="139" t="s">
        <v>3530</v>
      </c>
      <c r="F115" s="139" t="s">
        <v>4162</v>
      </c>
      <c r="G115" s="140" t="s">
        <v>956</v>
      </c>
      <c r="H115" s="140" t="s">
        <v>131</v>
      </c>
      <c r="I115" s="140" t="s">
        <v>3681</v>
      </c>
      <c r="J115" s="139" t="s">
        <v>3895</v>
      </c>
      <c r="K115" s="139" t="s">
        <v>3896</v>
      </c>
      <c r="L115" s="139" t="s">
        <v>3894</v>
      </c>
      <c r="M115" s="139" t="s">
        <v>3897</v>
      </c>
      <c r="N115" s="140" t="s">
        <v>3788</v>
      </c>
      <c r="O115" s="140" t="s">
        <v>4297</v>
      </c>
    </row>
    <row r="116" spans="1:15" ht="42">
      <c r="A116" s="139" t="s">
        <v>132</v>
      </c>
      <c r="B116" s="139" t="s">
        <v>3</v>
      </c>
      <c r="C116" s="139" t="s">
        <v>3562</v>
      </c>
      <c r="D116" s="139" t="s">
        <v>2031</v>
      </c>
      <c r="E116" s="139" t="s">
        <v>3530</v>
      </c>
      <c r="F116" s="139" t="s">
        <v>4162</v>
      </c>
      <c r="G116" s="140" t="s">
        <v>956</v>
      </c>
      <c r="H116" s="140" t="s">
        <v>133</v>
      </c>
      <c r="I116" s="140" t="s">
        <v>3682</v>
      </c>
      <c r="J116" s="139" t="s">
        <v>3889</v>
      </c>
      <c r="K116" s="139" t="s">
        <v>3890</v>
      </c>
      <c r="L116" s="139" t="s">
        <v>3891</v>
      </c>
      <c r="M116" s="139" t="s">
        <v>3892</v>
      </c>
      <c r="N116" s="140" t="s">
        <v>3788</v>
      </c>
      <c r="O116" s="140" t="s">
        <v>4297</v>
      </c>
    </row>
    <row r="117" spans="1:15" ht="42">
      <c r="A117" s="139" t="s">
        <v>134</v>
      </c>
      <c r="B117" s="139" t="s">
        <v>3</v>
      </c>
      <c r="C117" s="139" t="s">
        <v>3562</v>
      </c>
      <c r="D117" s="139" t="s">
        <v>2031</v>
      </c>
      <c r="E117" s="139" t="s">
        <v>3530</v>
      </c>
      <c r="F117" s="139" t="s">
        <v>4162</v>
      </c>
      <c r="G117" s="140" t="s">
        <v>956</v>
      </c>
      <c r="H117" s="140" t="s">
        <v>3683</v>
      </c>
      <c r="I117" s="140" t="s">
        <v>3684</v>
      </c>
      <c r="J117" s="139" t="s">
        <v>1508</v>
      </c>
      <c r="K117" s="139" t="s">
        <v>1546</v>
      </c>
      <c r="L117" s="139" t="s">
        <v>2675</v>
      </c>
      <c r="M117" s="139" t="s">
        <v>1182</v>
      </c>
      <c r="N117" s="140" t="s">
        <v>3788</v>
      </c>
      <c r="O117" s="140" t="s">
        <v>4297</v>
      </c>
    </row>
    <row r="118" spans="1:15" ht="42">
      <c r="A118" s="139" t="s">
        <v>138</v>
      </c>
      <c r="B118" s="139" t="s">
        <v>3</v>
      </c>
      <c r="C118" s="139" t="s">
        <v>3534</v>
      </c>
      <c r="D118" s="139" t="s">
        <v>2031</v>
      </c>
      <c r="E118" s="139" t="s">
        <v>3530</v>
      </c>
      <c r="F118" s="139" t="s">
        <v>4162</v>
      </c>
      <c r="G118" s="140" t="s">
        <v>956</v>
      </c>
      <c r="H118" s="140" t="s">
        <v>139</v>
      </c>
      <c r="I118" s="140" t="s">
        <v>3685</v>
      </c>
      <c r="J118" s="139" t="s">
        <v>3898</v>
      </c>
      <c r="K118" s="139" t="s">
        <v>3899</v>
      </c>
      <c r="L118" s="139" t="s">
        <v>3900</v>
      </c>
      <c r="M118" s="139" t="s">
        <v>1178</v>
      </c>
      <c r="N118" s="140" t="s">
        <v>3788</v>
      </c>
      <c r="O118" s="140" t="s">
        <v>4297</v>
      </c>
    </row>
    <row r="119" spans="1:15" ht="42">
      <c r="A119" s="139" t="s">
        <v>4298</v>
      </c>
      <c r="B119" s="139" t="s">
        <v>3</v>
      </c>
      <c r="C119" s="139" t="s">
        <v>3562</v>
      </c>
      <c r="D119" s="139" t="s">
        <v>2031</v>
      </c>
      <c r="E119" s="139" t="s">
        <v>3963</v>
      </c>
      <c r="F119" s="139" t="s">
        <v>4212</v>
      </c>
      <c r="G119" s="140" t="s">
        <v>4213</v>
      </c>
      <c r="H119" s="140" t="s">
        <v>4299</v>
      </c>
      <c r="I119" s="140" t="s">
        <v>4300</v>
      </c>
      <c r="J119" s="139"/>
      <c r="K119" s="139"/>
      <c r="L119" s="139"/>
      <c r="M119" s="139"/>
      <c r="N119" s="140" t="s">
        <v>3962</v>
      </c>
      <c r="O119" s="140" t="s">
        <v>956</v>
      </c>
    </row>
    <row r="120" spans="1:15" ht="42">
      <c r="A120" s="139" t="s">
        <v>4301</v>
      </c>
      <c r="B120" s="139" t="s">
        <v>3</v>
      </c>
      <c r="C120" s="139" t="s">
        <v>3562</v>
      </c>
      <c r="D120" s="139" t="s">
        <v>2031</v>
      </c>
      <c r="E120" s="139" t="s">
        <v>3530</v>
      </c>
      <c r="F120" s="139" t="s">
        <v>4162</v>
      </c>
      <c r="G120" s="140" t="s">
        <v>4217</v>
      </c>
      <c r="H120" s="140" t="s">
        <v>4302</v>
      </c>
      <c r="I120" s="140" t="s">
        <v>4300</v>
      </c>
      <c r="J120" s="139" t="s">
        <v>4247</v>
      </c>
      <c r="K120" s="139" t="s">
        <v>1600</v>
      </c>
      <c r="L120" s="139" t="s">
        <v>2796</v>
      </c>
      <c r="M120" s="139" t="s">
        <v>3080</v>
      </c>
      <c r="N120" s="140" t="s">
        <v>3788</v>
      </c>
      <c r="O120" s="140" t="s">
        <v>956</v>
      </c>
    </row>
    <row r="121" spans="1:15" ht="42">
      <c r="A121" s="139" t="s">
        <v>135</v>
      </c>
      <c r="B121" s="139" t="s">
        <v>3</v>
      </c>
      <c r="C121" s="139" t="s">
        <v>3562</v>
      </c>
      <c r="D121" s="139" t="s">
        <v>2031</v>
      </c>
      <c r="E121" s="139" t="s">
        <v>3530</v>
      </c>
      <c r="F121" s="139" t="s">
        <v>4162</v>
      </c>
      <c r="G121" s="140" t="s">
        <v>956</v>
      </c>
      <c r="H121" s="140" t="s">
        <v>3686</v>
      </c>
      <c r="I121" s="140" t="s">
        <v>3687</v>
      </c>
      <c r="J121" s="139" t="s">
        <v>1508</v>
      </c>
      <c r="K121" s="139" t="s">
        <v>1546</v>
      </c>
      <c r="L121" s="139" t="s">
        <v>2675</v>
      </c>
      <c r="M121" s="139" t="s">
        <v>1179</v>
      </c>
      <c r="N121" s="140" t="s">
        <v>3788</v>
      </c>
      <c r="O121" s="140" t="s">
        <v>4297</v>
      </c>
    </row>
    <row r="122" spans="1:15" ht="42">
      <c r="A122" s="139" t="s">
        <v>136</v>
      </c>
      <c r="B122" s="139" t="s">
        <v>3</v>
      </c>
      <c r="C122" s="139" t="s">
        <v>3562</v>
      </c>
      <c r="D122" s="139" t="s">
        <v>2031</v>
      </c>
      <c r="E122" s="139" t="s">
        <v>3530</v>
      </c>
      <c r="F122" s="139" t="s">
        <v>4162</v>
      </c>
      <c r="G122" s="140" t="s">
        <v>956</v>
      </c>
      <c r="H122" s="140" t="s">
        <v>3688</v>
      </c>
      <c r="I122" s="140" t="s">
        <v>3689</v>
      </c>
      <c r="J122" s="139" t="s">
        <v>3901</v>
      </c>
      <c r="K122" s="139" t="s">
        <v>1551</v>
      </c>
      <c r="L122" s="139" t="s">
        <v>3902</v>
      </c>
      <c r="M122" s="139" t="s">
        <v>1183</v>
      </c>
      <c r="N122" s="140" t="s">
        <v>3788</v>
      </c>
      <c r="O122" s="140" t="s">
        <v>4297</v>
      </c>
    </row>
    <row r="123" spans="1:15" ht="63">
      <c r="A123" s="139" t="s">
        <v>140</v>
      </c>
      <c r="B123" s="139" t="s">
        <v>3</v>
      </c>
      <c r="C123" s="139" t="s">
        <v>3534</v>
      </c>
      <c r="D123" s="139" t="s">
        <v>2031</v>
      </c>
      <c r="E123" s="139" t="s">
        <v>3530</v>
      </c>
      <c r="F123" s="139" t="s">
        <v>4162</v>
      </c>
      <c r="G123" s="140" t="s">
        <v>956</v>
      </c>
      <c r="H123" s="140" t="s">
        <v>4303</v>
      </c>
      <c r="I123" s="140" t="s">
        <v>4304</v>
      </c>
      <c r="J123" s="139" t="s">
        <v>3903</v>
      </c>
      <c r="K123" s="139" t="s">
        <v>1547</v>
      </c>
      <c r="L123" s="139" t="s">
        <v>2852</v>
      </c>
      <c r="M123" s="139" t="s">
        <v>2988</v>
      </c>
      <c r="N123" s="140" t="s">
        <v>3788</v>
      </c>
      <c r="O123" s="140" t="s">
        <v>4297</v>
      </c>
    </row>
    <row r="124" spans="1:15" ht="42">
      <c r="A124" s="139" t="s">
        <v>141</v>
      </c>
      <c r="B124" s="139" t="s">
        <v>3</v>
      </c>
      <c r="C124" s="139" t="s">
        <v>3562</v>
      </c>
      <c r="D124" s="139" t="s">
        <v>2031</v>
      </c>
      <c r="E124" s="139" t="s">
        <v>3530</v>
      </c>
      <c r="F124" s="139" t="s">
        <v>4162</v>
      </c>
      <c r="G124" s="140" t="s">
        <v>956</v>
      </c>
      <c r="H124" s="140" t="s">
        <v>142</v>
      </c>
      <c r="I124" s="140" t="s">
        <v>3690</v>
      </c>
      <c r="J124" s="139" t="s">
        <v>3904</v>
      </c>
      <c r="K124" s="139" t="s">
        <v>3905</v>
      </c>
      <c r="L124" s="139" t="s">
        <v>3906</v>
      </c>
      <c r="M124" s="139" t="s">
        <v>1182</v>
      </c>
      <c r="N124" s="140" t="s">
        <v>3788</v>
      </c>
      <c r="O124" s="140" t="s">
        <v>4297</v>
      </c>
    </row>
    <row r="125" spans="1:15" ht="42">
      <c r="A125" s="139" t="s">
        <v>137</v>
      </c>
      <c r="B125" s="139" t="s">
        <v>3</v>
      </c>
      <c r="C125" s="139" t="s">
        <v>3562</v>
      </c>
      <c r="D125" s="139" t="s">
        <v>2031</v>
      </c>
      <c r="E125" s="139" t="s">
        <v>3530</v>
      </c>
      <c r="F125" s="139" t="s">
        <v>4162</v>
      </c>
      <c r="G125" s="140" t="s">
        <v>956</v>
      </c>
      <c r="H125" s="140" t="s">
        <v>3691</v>
      </c>
      <c r="I125" s="140" t="s">
        <v>3692</v>
      </c>
      <c r="J125" s="139" t="s">
        <v>3907</v>
      </c>
      <c r="K125" s="139" t="s">
        <v>3908</v>
      </c>
      <c r="L125" s="139"/>
      <c r="M125" s="139" t="s">
        <v>3909</v>
      </c>
      <c r="N125" s="140" t="s">
        <v>3965</v>
      </c>
      <c r="O125" s="140" t="s">
        <v>4297</v>
      </c>
    </row>
    <row r="126" spans="1:15" ht="42">
      <c r="A126" s="139" t="s">
        <v>143</v>
      </c>
      <c r="B126" s="139" t="s">
        <v>3</v>
      </c>
      <c r="C126" s="139" t="s">
        <v>3534</v>
      </c>
      <c r="D126" s="139" t="s">
        <v>2031</v>
      </c>
      <c r="E126" s="139" t="s">
        <v>3530</v>
      </c>
      <c r="F126" s="139" t="s">
        <v>4162</v>
      </c>
      <c r="G126" s="140" t="s">
        <v>956</v>
      </c>
      <c r="H126" s="140" t="s">
        <v>3693</v>
      </c>
      <c r="I126" s="140" t="s">
        <v>3694</v>
      </c>
      <c r="J126" s="139" t="s">
        <v>3910</v>
      </c>
      <c r="K126" s="139" t="s">
        <v>1569</v>
      </c>
      <c r="L126" s="139" t="s">
        <v>2680</v>
      </c>
      <c r="M126" s="139" t="s">
        <v>1183</v>
      </c>
      <c r="N126" s="140" t="s">
        <v>3788</v>
      </c>
      <c r="O126" s="140" t="s">
        <v>4297</v>
      </c>
    </row>
    <row r="127" spans="1:15" ht="42">
      <c r="A127" s="139" t="s">
        <v>144</v>
      </c>
      <c r="B127" s="139" t="s">
        <v>3</v>
      </c>
      <c r="C127" s="139" t="s">
        <v>3534</v>
      </c>
      <c r="D127" s="139" t="s">
        <v>2031</v>
      </c>
      <c r="E127" s="139" t="s">
        <v>3530</v>
      </c>
      <c r="F127" s="139" t="s">
        <v>4162</v>
      </c>
      <c r="G127" s="140" t="s">
        <v>956</v>
      </c>
      <c r="H127" s="140" t="s">
        <v>145</v>
      </c>
      <c r="I127" s="140" t="s">
        <v>3695</v>
      </c>
      <c r="J127" s="139" t="s">
        <v>3910</v>
      </c>
      <c r="K127" s="139" t="s">
        <v>1569</v>
      </c>
      <c r="L127" s="139" t="s">
        <v>2680</v>
      </c>
      <c r="M127" s="139" t="s">
        <v>1182</v>
      </c>
      <c r="N127" s="140" t="s">
        <v>3788</v>
      </c>
      <c r="O127" s="140" t="s">
        <v>4297</v>
      </c>
    </row>
    <row r="128" spans="1:15" ht="42">
      <c r="A128" s="139" t="s">
        <v>146</v>
      </c>
      <c r="B128" s="139" t="s">
        <v>3</v>
      </c>
      <c r="C128" s="139" t="s">
        <v>3534</v>
      </c>
      <c r="D128" s="139" t="s">
        <v>2031</v>
      </c>
      <c r="E128" s="139" t="s">
        <v>3530</v>
      </c>
      <c r="F128" s="139" t="s">
        <v>4162</v>
      </c>
      <c r="G128" s="140" t="s">
        <v>956</v>
      </c>
      <c r="H128" s="140" t="s">
        <v>3696</v>
      </c>
      <c r="I128" s="140" t="s">
        <v>3697</v>
      </c>
      <c r="J128" s="139" t="s">
        <v>3911</v>
      </c>
      <c r="K128" s="139" t="s">
        <v>1569</v>
      </c>
      <c r="L128" s="139" t="s">
        <v>3912</v>
      </c>
      <c r="M128" s="139" t="s">
        <v>1183</v>
      </c>
      <c r="N128" s="140" t="s">
        <v>3788</v>
      </c>
      <c r="O128" s="140" t="s">
        <v>4297</v>
      </c>
    </row>
    <row r="129" spans="1:15" ht="63">
      <c r="A129" s="139" t="s">
        <v>4305</v>
      </c>
      <c r="B129" s="139" t="s">
        <v>3</v>
      </c>
      <c r="C129" s="139" t="s">
        <v>3562</v>
      </c>
      <c r="D129" s="139" t="s">
        <v>2031</v>
      </c>
      <c r="E129" s="139" t="s">
        <v>3530</v>
      </c>
      <c r="F129" s="139" t="s">
        <v>4162</v>
      </c>
      <c r="G129" s="140" t="s">
        <v>4306</v>
      </c>
      <c r="H129" s="140" t="s">
        <v>4307</v>
      </c>
      <c r="I129" s="140" t="s">
        <v>4308</v>
      </c>
      <c r="J129" s="139" t="s">
        <v>1733</v>
      </c>
      <c r="K129" s="139"/>
      <c r="L129" s="139" t="s">
        <v>2570</v>
      </c>
      <c r="M129" s="139" t="s">
        <v>1195</v>
      </c>
      <c r="N129" s="140" t="s">
        <v>3965</v>
      </c>
      <c r="O129" s="140" t="s">
        <v>4297</v>
      </c>
    </row>
    <row r="130" spans="1:15" ht="63">
      <c r="A130" s="139" t="s">
        <v>4309</v>
      </c>
      <c r="B130" s="139" t="s">
        <v>3</v>
      </c>
      <c r="C130" s="139" t="s">
        <v>3562</v>
      </c>
      <c r="D130" s="139" t="s">
        <v>2031</v>
      </c>
      <c r="E130" s="139" t="s">
        <v>3963</v>
      </c>
      <c r="F130" s="139" t="s">
        <v>4281</v>
      </c>
      <c r="G130" s="140" t="s">
        <v>4310</v>
      </c>
      <c r="H130" s="140" t="s">
        <v>4311</v>
      </c>
      <c r="I130" s="140" t="s">
        <v>4308</v>
      </c>
      <c r="J130" s="139"/>
      <c r="K130" s="139"/>
      <c r="L130" s="139"/>
      <c r="M130" s="139"/>
      <c r="N130" s="140" t="s">
        <v>4284</v>
      </c>
      <c r="O130" s="140" t="s">
        <v>4297</v>
      </c>
    </row>
    <row r="131" spans="1:15" ht="42">
      <c r="A131" s="139" t="s">
        <v>147</v>
      </c>
      <c r="B131" s="139" t="s">
        <v>3</v>
      </c>
      <c r="C131" s="139" t="s">
        <v>3562</v>
      </c>
      <c r="D131" s="139" t="s">
        <v>2031</v>
      </c>
      <c r="E131" s="139" t="s">
        <v>3530</v>
      </c>
      <c r="F131" s="139" t="s">
        <v>4162</v>
      </c>
      <c r="G131" s="140" t="s">
        <v>956</v>
      </c>
      <c r="H131" s="140" t="s">
        <v>148</v>
      </c>
      <c r="I131" s="140" t="s">
        <v>3698</v>
      </c>
      <c r="J131" s="139" t="s">
        <v>3893</v>
      </c>
      <c r="K131" s="139" t="s">
        <v>1582</v>
      </c>
      <c r="L131" s="139" t="s">
        <v>3894</v>
      </c>
      <c r="M131" s="139" t="s">
        <v>1180</v>
      </c>
      <c r="N131" s="140" t="s">
        <v>3788</v>
      </c>
      <c r="O131" s="140" t="s">
        <v>4297</v>
      </c>
    </row>
    <row r="132" spans="1:15" ht="42">
      <c r="A132" s="139" t="s">
        <v>149</v>
      </c>
      <c r="B132" s="139" t="s">
        <v>3</v>
      </c>
      <c r="C132" s="139" t="s">
        <v>252</v>
      </c>
      <c r="D132" s="139" t="s">
        <v>262</v>
      </c>
      <c r="E132" s="139" t="s">
        <v>956</v>
      </c>
      <c r="F132" s="139" t="s">
        <v>956</v>
      </c>
      <c r="G132" s="140" t="s">
        <v>3701</v>
      </c>
      <c r="H132" s="140" t="s">
        <v>3699</v>
      </c>
      <c r="I132" s="140" t="s">
        <v>3700</v>
      </c>
      <c r="J132" s="139"/>
      <c r="K132" s="139"/>
      <c r="L132" s="139"/>
      <c r="M132" s="139"/>
      <c r="N132" s="140" t="s">
        <v>3575</v>
      </c>
      <c r="O132" s="140" t="s">
        <v>956</v>
      </c>
    </row>
    <row r="133" spans="1:15" ht="42">
      <c r="A133" s="139" t="s">
        <v>150</v>
      </c>
      <c r="B133" s="139" t="s">
        <v>3</v>
      </c>
      <c r="C133" s="139" t="s">
        <v>3562</v>
      </c>
      <c r="D133" s="139" t="s">
        <v>2031</v>
      </c>
      <c r="E133" s="139" t="s">
        <v>3530</v>
      </c>
      <c r="F133" s="139" t="s">
        <v>4162</v>
      </c>
      <c r="G133" s="140" t="s">
        <v>956</v>
      </c>
      <c r="H133" s="140" t="s">
        <v>151</v>
      </c>
      <c r="I133" s="140" t="s">
        <v>3702</v>
      </c>
      <c r="J133" s="139" t="s">
        <v>3907</v>
      </c>
      <c r="K133" s="139" t="s">
        <v>3908</v>
      </c>
      <c r="L133" s="139"/>
      <c r="M133" s="139" t="s">
        <v>3909</v>
      </c>
      <c r="N133" s="140" t="s">
        <v>3965</v>
      </c>
      <c r="O133" s="140" t="s">
        <v>4297</v>
      </c>
    </row>
    <row r="134" spans="1:15" ht="42">
      <c r="A134" s="139" t="s">
        <v>152</v>
      </c>
      <c r="B134" s="139" t="s">
        <v>3</v>
      </c>
      <c r="C134" s="139" t="s">
        <v>3562</v>
      </c>
      <c r="D134" s="139" t="s">
        <v>2031</v>
      </c>
      <c r="E134" s="139" t="s">
        <v>3530</v>
      </c>
      <c r="F134" s="139" t="s">
        <v>4162</v>
      </c>
      <c r="G134" s="140" t="s">
        <v>956</v>
      </c>
      <c r="H134" s="140" t="s">
        <v>153</v>
      </c>
      <c r="I134" s="140" t="s">
        <v>3703</v>
      </c>
      <c r="J134" s="139" t="s">
        <v>3913</v>
      </c>
      <c r="K134" s="139" t="s">
        <v>3914</v>
      </c>
      <c r="L134" s="139" t="s">
        <v>3915</v>
      </c>
      <c r="M134" s="139" t="s">
        <v>1492</v>
      </c>
      <c r="N134" s="140" t="s">
        <v>3788</v>
      </c>
      <c r="O134" s="140" t="s">
        <v>4297</v>
      </c>
    </row>
    <row r="135" spans="1:15" ht="42">
      <c r="A135" s="139" t="s">
        <v>154</v>
      </c>
      <c r="B135" s="139" t="s">
        <v>3</v>
      </c>
      <c r="C135" s="139" t="s">
        <v>3562</v>
      </c>
      <c r="D135" s="139" t="s">
        <v>2031</v>
      </c>
      <c r="E135" s="139" t="s">
        <v>3530</v>
      </c>
      <c r="F135" s="139" t="s">
        <v>4162</v>
      </c>
      <c r="G135" s="140" t="s">
        <v>956</v>
      </c>
      <c r="H135" s="140" t="s">
        <v>155</v>
      </c>
      <c r="I135" s="140" t="s">
        <v>3704</v>
      </c>
      <c r="J135" s="139" t="s">
        <v>3916</v>
      </c>
      <c r="K135" s="139" t="s">
        <v>1549</v>
      </c>
      <c r="L135" s="139" t="s">
        <v>2725</v>
      </c>
      <c r="M135" s="139" t="s">
        <v>3030</v>
      </c>
      <c r="N135" s="140" t="s">
        <v>3788</v>
      </c>
      <c r="O135" s="140" t="s">
        <v>4297</v>
      </c>
    </row>
    <row r="136" spans="1:15" ht="42">
      <c r="A136" s="139" t="s">
        <v>156</v>
      </c>
      <c r="B136" s="139" t="s">
        <v>3</v>
      </c>
      <c r="C136" s="139" t="s">
        <v>3562</v>
      </c>
      <c r="D136" s="139" t="s">
        <v>2031</v>
      </c>
      <c r="E136" s="139" t="s">
        <v>3530</v>
      </c>
      <c r="F136" s="139" t="s">
        <v>4162</v>
      </c>
      <c r="G136" s="140" t="s">
        <v>956</v>
      </c>
      <c r="H136" s="140" t="s">
        <v>157</v>
      </c>
      <c r="I136" s="140" t="s">
        <v>3705</v>
      </c>
      <c r="J136" s="139" t="s">
        <v>3917</v>
      </c>
      <c r="K136" s="139" t="s">
        <v>3918</v>
      </c>
      <c r="L136" s="139" t="s">
        <v>3919</v>
      </c>
      <c r="M136" s="139" t="s">
        <v>2964</v>
      </c>
      <c r="N136" s="140" t="s">
        <v>3788</v>
      </c>
      <c r="O136" s="140" t="s">
        <v>4297</v>
      </c>
    </row>
    <row r="137" spans="1:15" ht="42">
      <c r="A137" s="139" t="s">
        <v>162</v>
      </c>
      <c r="B137" s="139" t="s">
        <v>3</v>
      </c>
      <c r="C137" s="139" t="s">
        <v>3562</v>
      </c>
      <c r="D137" s="139" t="s">
        <v>2031</v>
      </c>
      <c r="E137" s="139" t="s">
        <v>3530</v>
      </c>
      <c r="F137" s="139" t="s">
        <v>4162</v>
      </c>
      <c r="G137" s="140" t="s">
        <v>956</v>
      </c>
      <c r="H137" s="140" t="s">
        <v>163</v>
      </c>
      <c r="I137" s="140" t="s">
        <v>3706</v>
      </c>
      <c r="J137" s="139" t="s">
        <v>3835</v>
      </c>
      <c r="K137" s="139" t="s">
        <v>3836</v>
      </c>
      <c r="L137" s="139" t="s">
        <v>3837</v>
      </c>
      <c r="M137" s="139" t="s">
        <v>3920</v>
      </c>
      <c r="N137" s="140" t="s">
        <v>3788</v>
      </c>
      <c r="O137" s="140" t="s">
        <v>4297</v>
      </c>
    </row>
    <row r="138" spans="1:15" ht="63">
      <c r="A138" s="139" t="s">
        <v>164</v>
      </c>
      <c r="B138" s="139" t="s">
        <v>3</v>
      </c>
      <c r="C138" s="139" t="s">
        <v>3562</v>
      </c>
      <c r="D138" s="139" t="s">
        <v>2031</v>
      </c>
      <c r="E138" s="139" t="s">
        <v>3530</v>
      </c>
      <c r="F138" s="139" t="s">
        <v>4162</v>
      </c>
      <c r="G138" s="140" t="s">
        <v>956</v>
      </c>
      <c r="H138" s="140" t="s">
        <v>165</v>
      </c>
      <c r="I138" s="140" t="s">
        <v>4312</v>
      </c>
      <c r="J138" s="139" t="s">
        <v>3823</v>
      </c>
      <c r="K138" s="139" t="s">
        <v>3824</v>
      </c>
      <c r="L138" s="139" t="s">
        <v>3825</v>
      </c>
      <c r="M138" s="139" t="s">
        <v>1171</v>
      </c>
      <c r="N138" s="140" t="s">
        <v>3788</v>
      </c>
      <c r="O138" s="140" t="s">
        <v>4297</v>
      </c>
    </row>
    <row r="139" spans="1:15" ht="42">
      <c r="A139" s="139" t="s">
        <v>166</v>
      </c>
      <c r="B139" s="139" t="s">
        <v>3</v>
      </c>
      <c r="C139" s="139" t="s">
        <v>3562</v>
      </c>
      <c r="D139" s="139" t="s">
        <v>2031</v>
      </c>
      <c r="E139" s="139" t="s">
        <v>3530</v>
      </c>
      <c r="F139" s="139" t="s">
        <v>4162</v>
      </c>
      <c r="G139" s="140" t="s">
        <v>956</v>
      </c>
      <c r="H139" s="140" t="s">
        <v>167</v>
      </c>
      <c r="I139" s="140" t="s">
        <v>3707</v>
      </c>
      <c r="J139" s="139" t="s">
        <v>3835</v>
      </c>
      <c r="K139" s="139" t="s">
        <v>3836</v>
      </c>
      <c r="L139" s="139" t="s">
        <v>3837</v>
      </c>
      <c r="M139" s="139" t="s">
        <v>3920</v>
      </c>
      <c r="N139" s="140" t="s">
        <v>3788</v>
      </c>
      <c r="O139" s="140" t="s">
        <v>4297</v>
      </c>
    </row>
    <row r="140" spans="1:15" ht="42">
      <c r="A140" s="139" t="s">
        <v>168</v>
      </c>
      <c r="B140" s="139" t="s">
        <v>3</v>
      </c>
      <c r="C140" s="139" t="s">
        <v>3562</v>
      </c>
      <c r="D140" s="139" t="s">
        <v>2031</v>
      </c>
      <c r="E140" s="139" t="s">
        <v>3530</v>
      </c>
      <c r="F140" s="139" t="s">
        <v>4162</v>
      </c>
      <c r="G140" s="140" t="s">
        <v>956</v>
      </c>
      <c r="H140" s="140" t="s">
        <v>169</v>
      </c>
      <c r="I140" s="140" t="s">
        <v>3708</v>
      </c>
      <c r="J140" s="139" t="s">
        <v>3823</v>
      </c>
      <c r="K140" s="139" t="s">
        <v>3824</v>
      </c>
      <c r="L140" s="139" t="s">
        <v>3825</v>
      </c>
      <c r="M140" s="139" t="s">
        <v>1171</v>
      </c>
      <c r="N140" s="140" t="s">
        <v>3788</v>
      </c>
      <c r="O140" s="140" t="s">
        <v>4297</v>
      </c>
    </row>
    <row r="141" spans="1:15" ht="42">
      <c r="A141" s="139" t="s">
        <v>170</v>
      </c>
      <c r="B141" s="139" t="s">
        <v>3</v>
      </c>
      <c r="C141" s="139" t="s">
        <v>3562</v>
      </c>
      <c r="D141" s="139" t="s">
        <v>2031</v>
      </c>
      <c r="E141" s="139" t="s">
        <v>3530</v>
      </c>
      <c r="F141" s="139" t="s">
        <v>4162</v>
      </c>
      <c r="G141" s="140" t="s">
        <v>956</v>
      </c>
      <c r="H141" s="140" t="s">
        <v>171</v>
      </c>
      <c r="I141" s="140" t="s">
        <v>4313</v>
      </c>
      <c r="J141" s="139" t="s">
        <v>1730</v>
      </c>
      <c r="K141" s="139" t="s">
        <v>1558</v>
      </c>
      <c r="L141" s="139" t="s">
        <v>2548</v>
      </c>
      <c r="M141" s="139" t="s">
        <v>2955</v>
      </c>
      <c r="N141" s="140" t="s">
        <v>3788</v>
      </c>
      <c r="O141" s="140" t="s">
        <v>4297</v>
      </c>
    </row>
    <row r="142" spans="1:15" ht="63">
      <c r="A142" s="139" t="s">
        <v>158</v>
      </c>
      <c r="B142" s="139" t="s">
        <v>3</v>
      </c>
      <c r="C142" s="139" t="s">
        <v>3562</v>
      </c>
      <c r="D142" s="139" t="s">
        <v>2031</v>
      </c>
      <c r="E142" s="139" t="s">
        <v>3527</v>
      </c>
      <c r="F142" s="139" t="s">
        <v>4169</v>
      </c>
      <c r="G142" s="140" t="s">
        <v>3629</v>
      </c>
      <c r="H142" s="140" t="s">
        <v>159</v>
      </c>
      <c r="I142" s="140" t="s">
        <v>3709</v>
      </c>
      <c r="J142" s="139"/>
      <c r="K142" s="139"/>
      <c r="L142" s="139"/>
      <c r="M142" s="139"/>
      <c r="N142" s="140" t="s">
        <v>4172</v>
      </c>
      <c r="O142" s="140" t="s">
        <v>4167</v>
      </c>
    </row>
    <row r="143" spans="1:15" ht="63">
      <c r="A143" s="139" t="s">
        <v>174</v>
      </c>
      <c r="B143" s="139" t="s">
        <v>3</v>
      </c>
      <c r="C143" s="139" t="s">
        <v>3562</v>
      </c>
      <c r="D143" s="139" t="s">
        <v>2031</v>
      </c>
      <c r="E143" s="139" t="s">
        <v>3530</v>
      </c>
      <c r="F143" s="139" t="s">
        <v>4162</v>
      </c>
      <c r="G143" s="140" t="s">
        <v>3711</v>
      </c>
      <c r="H143" s="140" t="s">
        <v>175</v>
      </c>
      <c r="I143" s="140" t="s">
        <v>3710</v>
      </c>
      <c r="J143" s="139" t="s">
        <v>1722</v>
      </c>
      <c r="K143" s="139" t="s">
        <v>1556</v>
      </c>
      <c r="L143" s="139" t="s">
        <v>3791</v>
      </c>
      <c r="M143" s="139" t="s">
        <v>3921</v>
      </c>
      <c r="N143" s="140" t="s">
        <v>3788</v>
      </c>
      <c r="O143" s="140" t="s">
        <v>4297</v>
      </c>
    </row>
    <row r="144" spans="1:15" ht="42">
      <c r="A144" s="139" t="s">
        <v>4314</v>
      </c>
      <c r="B144" s="139" t="s">
        <v>3</v>
      </c>
      <c r="C144" s="139" t="s">
        <v>3562</v>
      </c>
      <c r="D144" s="139" t="s">
        <v>2031</v>
      </c>
      <c r="E144" s="139" t="s">
        <v>3963</v>
      </c>
      <c r="F144" s="139" t="s">
        <v>4281</v>
      </c>
      <c r="G144" s="140" t="s">
        <v>4315</v>
      </c>
      <c r="H144" s="140" t="s">
        <v>4316</v>
      </c>
      <c r="I144" s="140" t="s">
        <v>3712</v>
      </c>
      <c r="J144" s="139"/>
      <c r="K144" s="139"/>
      <c r="L144" s="139" t="s">
        <v>2643</v>
      </c>
      <c r="M144" s="139" t="s">
        <v>1193</v>
      </c>
      <c r="N144" s="140" t="s">
        <v>4284</v>
      </c>
      <c r="O144" s="140" t="s">
        <v>956</v>
      </c>
    </row>
    <row r="145" spans="1:15" ht="42">
      <c r="A145" s="139" t="s">
        <v>4317</v>
      </c>
      <c r="B145" s="139" t="s">
        <v>3</v>
      </c>
      <c r="C145" s="139" t="s">
        <v>3562</v>
      </c>
      <c r="D145" s="139" t="s">
        <v>2031</v>
      </c>
      <c r="E145" s="139" t="s">
        <v>3530</v>
      </c>
      <c r="F145" s="139" t="s">
        <v>4162</v>
      </c>
      <c r="G145" s="140" t="s">
        <v>4318</v>
      </c>
      <c r="H145" s="140" t="s">
        <v>4319</v>
      </c>
      <c r="I145" s="140" t="s">
        <v>3712</v>
      </c>
      <c r="J145" s="139" t="s">
        <v>4320</v>
      </c>
      <c r="K145" s="139"/>
      <c r="L145" s="139"/>
      <c r="M145" s="139" t="s">
        <v>4321</v>
      </c>
      <c r="N145" s="140" t="s">
        <v>3965</v>
      </c>
      <c r="O145" s="140" t="s">
        <v>956</v>
      </c>
    </row>
    <row r="146" spans="1:15" ht="42">
      <c r="A146" s="139" t="s">
        <v>4322</v>
      </c>
      <c r="B146" s="139" t="s">
        <v>3</v>
      </c>
      <c r="C146" s="139" t="s">
        <v>3562</v>
      </c>
      <c r="D146" s="139" t="s">
        <v>2031</v>
      </c>
      <c r="E146" s="139" t="s">
        <v>3963</v>
      </c>
      <c r="F146" s="139" t="s">
        <v>4281</v>
      </c>
      <c r="G146" s="140" t="s">
        <v>4315</v>
      </c>
      <c r="H146" s="140" t="s">
        <v>4323</v>
      </c>
      <c r="I146" s="140" t="s">
        <v>3713</v>
      </c>
      <c r="J146" s="139"/>
      <c r="K146" s="139"/>
      <c r="L146" s="139" t="s">
        <v>2643</v>
      </c>
      <c r="M146" s="139" t="s">
        <v>1193</v>
      </c>
      <c r="N146" s="140" t="s">
        <v>4284</v>
      </c>
      <c r="O146" s="140" t="s">
        <v>956</v>
      </c>
    </row>
    <row r="147" spans="1:15" ht="42">
      <c r="A147" s="139" t="s">
        <v>4324</v>
      </c>
      <c r="B147" s="139" t="s">
        <v>3</v>
      </c>
      <c r="C147" s="139" t="s">
        <v>3562</v>
      </c>
      <c r="D147" s="139" t="s">
        <v>2031</v>
      </c>
      <c r="E147" s="139" t="s">
        <v>3530</v>
      </c>
      <c r="F147" s="139" t="s">
        <v>4162</v>
      </c>
      <c r="G147" s="140" t="s">
        <v>4318</v>
      </c>
      <c r="H147" s="140" t="s">
        <v>4325</v>
      </c>
      <c r="I147" s="140" t="s">
        <v>3713</v>
      </c>
      <c r="J147" s="139" t="s">
        <v>4320</v>
      </c>
      <c r="K147" s="139"/>
      <c r="L147" s="139"/>
      <c r="M147" s="139" t="s">
        <v>1193</v>
      </c>
      <c r="N147" s="140" t="s">
        <v>3965</v>
      </c>
      <c r="O147" s="140" t="s">
        <v>956</v>
      </c>
    </row>
    <row r="148" spans="1:15" ht="42">
      <c r="A148" s="139" t="s">
        <v>177</v>
      </c>
      <c r="B148" s="139" t="s">
        <v>3</v>
      </c>
      <c r="C148" s="139" t="s">
        <v>3534</v>
      </c>
      <c r="D148" s="139" t="s">
        <v>2031</v>
      </c>
      <c r="E148" s="139" t="s">
        <v>3530</v>
      </c>
      <c r="F148" s="139" t="s">
        <v>4162</v>
      </c>
      <c r="G148" s="140" t="s">
        <v>956</v>
      </c>
      <c r="H148" s="140" t="s">
        <v>178</v>
      </c>
      <c r="I148" s="140" t="s">
        <v>3714</v>
      </c>
      <c r="J148" s="139" t="s">
        <v>3922</v>
      </c>
      <c r="K148" s="139" t="s">
        <v>1548</v>
      </c>
      <c r="L148" s="139" t="s">
        <v>3923</v>
      </c>
      <c r="M148" s="139" t="s">
        <v>1192</v>
      </c>
      <c r="N148" s="140" t="s">
        <v>3788</v>
      </c>
      <c r="O148" s="140" t="s">
        <v>4297</v>
      </c>
    </row>
    <row r="149" spans="1:15" ht="42">
      <c r="A149" s="139" t="s">
        <v>179</v>
      </c>
      <c r="B149" s="139" t="s">
        <v>3</v>
      </c>
      <c r="C149" s="139" t="s">
        <v>3562</v>
      </c>
      <c r="D149" s="139" t="s">
        <v>2031</v>
      </c>
      <c r="E149" s="139" t="s">
        <v>3530</v>
      </c>
      <c r="F149" s="139" t="s">
        <v>4162</v>
      </c>
      <c r="G149" s="140" t="s">
        <v>956</v>
      </c>
      <c r="H149" s="140" t="s">
        <v>180</v>
      </c>
      <c r="I149" s="140" t="s">
        <v>3715</v>
      </c>
      <c r="J149" s="139" t="s">
        <v>3889</v>
      </c>
      <c r="K149" s="139" t="s">
        <v>3890</v>
      </c>
      <c r="L149" s="139" t="s">
        <v>3891</v>
      </c>
      <c r="M149" s="139" t="s">
        <v>3008</v>
      </c>
      <c r="N149" s="140" t="s">
        <v>3788</v>
      </c>
      <c r="O149" s="140" t="s">
        <v>4297</v>
      </c>
    </row>
    <row r="150" spans="1:15" ht="42">
      <c r="A150" s="139" t="s">
        <v>160</v>
      </c>
      <c r="B150" s="139" t="s">
        <v>3</v>
      </c>
      <c r="C150" s="139" t="s">
        <v>3562</v>
      </c>
      <c r="D150" s="139" t="s">
        <v>2031</v>
      </c>
      <c r="E150" s="139" t="s">
        <v>3530</v>
      </c>
      <c r="F150" s="139" t="s">
        <v>4162</v>
      </c>
      <c r="G150" s="140" t="s">
        <v>956</v>
      </c>
      <c r="H150" s="140" t="s">
        <v>161</v>
      </c>
      <c r="I150" s="140" t="s">
        <v>3716</v>
      </c>
      <c r="J150" s="139" t="s">
        <v>3924</v>
      </c>
      <c r="K150" s="139" t="s">
        <v>3925</v>
      </c>
      <c r="L150" s="139" t="s">
        <v>3926</v>
      </c>
      <c r="M150" s="139" t="s">
        <v>3927</v>
      </c>
      <c r="N150" s="140" t="s">
        <v>3788</v>
      </c>
      <c r="O150" s="140" t="s">
        <v>4297</v>
      </c>
    </row>
    <row r="151" spans="1:15" ht="42">
      <c r="A151" s="139" t="s">
        <v>181</v>
      </c>
      <c r="B151" s="139" t="s">
        <v>3</v>
      </c>
      <c r="C151" s="139" t="s">
        <v>3562</v>
      </c>
      <c r="D151" s="139" t="s">
        <v>2031</v>
      </c>
      <c r="E151" s="139" t="s">
        <v>3530</v>
      </c>
      <c r="F151" s="139" t="s">
        <v>4162</v>
      </c>
      <c r="G151" s="140" t="s">
        <v>956</v>
      </c>
      <c r="H151" s="140" t="s">
        <v>182</v>
      </c>
      <c r="I151" s="140" t="s">
        <v>3717</v>
      </c>
      <c r="J151" s="139" t="s">
        <v>3928</v>
      </c>
      <c r="K151" s="139" t="s">
        <v>1581</v>
      </c>
      <c r="L151" s="139" t="s">
        <v>3929</v>
      </c>
      <c r="M151" s="139" t="s">
        <v>2883</v>
      </c>
      <c r="N151" s="140" t="s">
        <v>3788</v>
      </c>
      <c r="O151" s="140" t="s">
        <v>4297</v>
      </c>
    </row>
    <row r="152" spans="1:15" ht="42">
      <c r="A152" s="139" t="s">
        <v>183</v>
      </c>
      <c r="B152" s="139" t="s">
        <v>3</v>
      </c>
      <c r="C152" s="139" t="s">
        <v>3562</v>
      </c>
      <c r="D152" s="139" t="s">
        <v>2031</v>
      </c>
      <c r="E152" s="139" t="s">
        <v>3530</v>
      </c>
      <c r="F152" s="139" t="s">
        <v>4162</v>
      </c>
      <c r="G152" s="140" t="s">
        <v>956</v>
      </c>
      <c r="H152" s="140" t="s">
        <v>184</v>
      </c>
      <c r="I152" s="140" t="s">
        <v>3718</v>
      </c>
      <c r="J152" s="139" t="s">
        <v>3930</v>
      </c>
      <c r="K152" s="139" t="s">
        <v>3931</v>
      </c>
      <c r="L152" s="139" t="s">
        <v>3932</v>
      </c>
      <c r="M152" s="139" t="s">
        <v>3067</v>
      </c>
      <c r="N152" s="140" t="s">
        <v>3788</v>
      </c>
      <c r="O152" s="140" t="s">
        <v>4297</v>
      </c>
    </row>
    <row r="153" spans="1:15" ht="42">
      <c r="A153" s="139" t="s">
        <v>185</v>
      </c>
      <c r="B153" s="139" t="s">
        <v>3</v>
      </c>
      <c r="C153" s="139" t="s">
        <v>3562</v>
      </c>
      <c r="D153" s="139" t="s">
        <v>2031</v>
      </c>
      <c r="E153" s="139" t="s">
        <v>3530</v>
      </c>
      <c r="F153" s="139" t="s">
        <v>4162</v>
      </c>
      <c r="G153" s="140" t="s">
        <v>4326</v>
      </c>
      <c r="H153" s="140" t="s">
        <v>3719</v>
      </c>
      <c r="I153" s="140" t="s">
        <v>3720</v>
      </c>
      <c r="J153" s="139" t="s">
        <v>4327</v>
      </c>
      <c r="K153" s="139" t="s">
        <v>1548</v>
      </c>
      <c r="L153" s="139" t="s">
        <v>3923</v>
      </c>
      <c r="M153" s="139" t="s">
        <v>3933</v>
      </c>
      <c r="N153" s="140" t="s">
        <v>3788</v>
      </c>
      <c r="O153" s="140" t="s">
        <v>4297</v>
      </c>
    </row>
    <row r="154" spans="1:15" ht="63">
      <c r="A154" s="139" t="s">
        <v>186</v>
      </c>
      <c r="B154" s="139" t="s">
        <v>3</v>
      </c>
      <c r="C154" s="139" t="s">
        <v>3562</v>
      </c>
      <c r="D154" s="139" t="s">
        <v>2031</v>
      </c>
      <c r="E154" s="139" t="s">
        <v>3530</v>
      </c>
      <c r="F154" s="139" t="s">
        <v>4162</v>
      </c>
      <c r="G154" s="140" t="s">
        <v>956</v>
      </c>
      <c r="H154" s="140" t="s">
        <v>4328</v>
      </c>
      <c r="I154" s="140" t="s">
        <v>4329</v>
      </c>
      <c r="J154" s="139" t="s">
        <v>4330</v>
      </c>
      <c r="K154" s="139" t="s">
        <v>1581</v>
      </c>
      <c r="L154" s="139" t="s">
        <v>3929</v>
      </c>
      <c r="M154" s="139" t="s">
        <v>4331</v>
      </c>
      <c r="N154" s="140" t="s">
        <v>3788</v>
      </c>
      <c r="O154" s="140" t="s">
        <v>4297</v>
      </c>
    </row>
    <row r="155" spans="1:15" ht="42">
      <c r="A155" s="139" t="s">
        <v>172</v>
      </c>
      <c r="B155" s="139" t="s">
        <v>3</v>
      </c>
      <c r="C155" s="139" t="s">
        <v>3562</v>
      </c>
      <c r="D155" s="139" t="s">
        <v>2031</v>
      </c>
      <c r="E155" s="139" t="s">
        <v>3530</v>
      </c>
      <c r="F155" s="139" t="s">
        <v>4162</v>
      </c>
      <c r="G155" s="140" t="s">
        <v>956</v>
      </c>
      <c r="H155" s="140" t="s">
        <v>173</v>
      </c>
      <c r="I155" s="140" t="s">
        <v>3721</v>
      </c>
      <c r="J155" s="139" t="s">
        <v>3823</v>
      </c>
      <c r="K155" s="139" t="s">
        <v>3824</v>
      </c>
      <c r="L155" s="139" t="s">
        <v>3825</v>
      </c>
      <c r="M155" s="139" t="s">
        <v>1171</v>
      </c>
      <c r="N155" s="140" t="s">
        <v>3788</v>
      </c>
      <c r="O155" s="140" t="s">
        <v>4297</v>
      </c>
    </row>
    <row r="156" spans="1:15" ht="42">
      <c r="A156" s="139" t="s">
        <v>176</v>
      </c>
      <c r="B156" s="139" t="s">
        <v>3</v>
      </c>
      <c r="C156" s="139" t="s">
        <v>3534</v>
      </c>
      <c r="D156" s="139" t="s">
        <v>2031</v>
      </c>
      <c r="E156" s="139" t="s">
        <v>3527</v>
      </c>
      <c r="F156" s="139" t="s">
        <v>4169</v>
      </c>
      <c r="G156" s="140" t="s">
        <v>4332</v>
      </c>
      <c r="H156" s="140" t="s">
        <v>4333</v>
      </c>
      <c r="I156" s="140" t="s">
        <v>4334</v>
      </c>
      <c r="J156" s="139"/>
      <c r="K156" s="139"/>
      <c r="L156" s="139"/>
      <c r="M156" s="139"/>
      <c r="N156" s="140" t="s">
        <v>4174</v>
      </c>
      <c r="O156" s="140" t="s">
        <v>4167</v>
      </c>
    </row>
    <row r="157" spans="1:15" ht="63">
      <c r="A157" s="139" t="s">
        <v>4104</v>
      </c>
      <c r="B157" s="139" t="s">
        <v>3</v>
      </c>
      <c r="C157" s="139" t="s">
        <v>3526</v>
      </c>
      <c r="D157" s="139" t="s">
        <v>2031</v>
      </c>
      <c r="E157" s="139" t="s">
        <v>3530</v>
      </c>
      <c r="F157" s="139" t="s">
        <v>4162</v>
      </c>
      <c r="G157" s="140" t="s">
        <v>4335</v>
      </c>
      <c r="H157" s="140" t="s">
        <v>4012</v>
      </c>
      <c r="I157" s="140" t="s">
        <v>4336</v>
      </c>
      <c r="J157" s="139" t="s">
        <v>4337</v>
      </c>
      <c r="K157" s="139" t="s">
        <v>4338</v>
      </c>
      <c r="L157" s="139" t="s">
        <v>4339</v>
      </c>
      <c r="M157" s="139" t="s">
        <v>4340</v>
      </c>
      <c r="N157" s="140" t="s">
        <v>3788</v>
      </c>
      <c r="O157" s="140" t="s">
        <v>956</v>
      </c>
    </row>
    <row r="158" spans="1:15" ht="42">
      <c r="A158" s="139" t="s">
        <v>4341</v>
      </c>
      <c r="B158" s="139" t="s">
        <v>3</v>
      </c>
      <c r="C158" s="139" t="s">
        <v>3562</v>
      </c>
      <c r="D158" s="139" t="s">
        <v>2031</v>
      </c>
      <c r="E158" s="139" t="s">
        <v>3530</v>
      </c>
      <c r="F158" s="139" t="s">
        <v>4162</v>
      </c>
      <c r="G158" s="140" t="s">
        <v>4342</v>
      </c>
      <c r="H158" s="140" t="s">
        <v>4343</v>
      </c>
      <c r="I158" s="140" t="s">
        <v>4344</v>
      </c>
      <c r="J158" s="139" t="s">
        <v>4345</v>
      </c>
      <c r="K158" s="139" t="s">
        <v>1586</v>
      </c>
      <c r="L158" s="139" t="s">
        <v>4346</v>
      </c>
      <c r="M158" s="139" t="s">
        <v>3008</v>
      </c>
      <c r="N158" s="140" t="s">
        <v>3788</v>
      </c>
      <c r="O158" s="140" t="s">
        <v>4347</v>
      </c>
    </row>
    <row r="159" spans="1:15" ht="42">
      <c r="A159" s="139" t="s">
        <v>4109</v>
      </c>
      <c r="B159" s="139" t="s">
        <v>3</v>
      </c>
      <c r="C159" s="139" t="s">
        <v>3562</v>
      </c>
      <c r="D159" s="139" t="s">
        <v>2031</v>
      </c>
      <c r="E159" s="139" t="s">
        <v>3530</v>
      </c>
      <c r="F159" s="139" t="s">
        <v>4162</v>
      </c>
      <c r="G159" s="140" t="s">
        <v>4348</v>
      </c>
      <c r="H159" s="140" t="s">
        <v>1875</v>
      </c>
      <c r="I159" s="140" t="s">
        <v>4349</v>
      </c>
      <c r="J159" s="139" t="s">
        <v>4067</v>
      </c>
      <c r="K159" s="139" t="s">
        <v>4141</v>
      </c>
      <c r="L159" s="139" t="s">
        <v>4144</v>
      </c>
      <c r="M159" s="139" t="s">
        <v>4106</v>
      </c>
      <c r="N159" s="140" t="s">
        <v>3788</v>
      </c>
      <c r="O159" s="140" t="s">
        <v>4350</v>
      </c>
    </row>
    <row r="160" spans="1:15" ht="42">
      <c r="A160" s="139" t="s">
        <v>187</v>
      </c>
      <c r="B160" s="139" t="s">
        <v>3</v>
      </c>
      <c r="C160" s="139" t="s">
        <v>3534</v>
      </c>
      <c r="D160" s="139" t="s">
        <v>2031</v>
      </c>
      <c r="E160" s="139" t="s">
        <v>3530</v>
      </c>
      <c r="F160" s="139" t="s">
        <v>4162</v>
      </c>
      <c r="G160" s="140" t="s">
        <v>956</v>
      </c>
      <c r="H160" s="140" t="s">
        <v>188</v>
      </c>
      <c r="I160" s="140" t="s">
        <v>3722</v>
      </c>
      <c r="J160" s="139" t="s">
        <v>3934</v>
      </c>
      <c r="K160" s="139" t="s">
        <v>3935</v>
      </c>
      <c r="L160" s="139" t="s">
        <v>3936</v>
      </c>
      <c r="M160" s="139" t="s">
        <v>3937</v>
      </c>
      <c r="N160" s="140" t="s">
        <v>3788</v>
      </c>
      <c r="O160" s="140" t="s">
        <v>4297</v>
      </c>
    </row>
    <row r="161" spans="1:15" ht="42">
      <c r="A161" s="139" t="s">
        <v>189</v>
      </c>
      <c r="B161" s="139" t="s">
        <v>3</v>
      </c>
      <c r="C161" s="139" t="s">
        <v>3534</v>
      </c>
      <c r="D161" s="139" t="s">
        <v>2031</v>
      </c>
      <c r="E161" s="139" t="s">
        <v>3530</v>
      </c>
      <c r="F161" s="139" t="s">
        <v>4162</v>
      </c>
      <c r="G161" s="140" t="s">
        <v>956</v>
      </c>
      <c r="H161" s="140" t="s">
        <v>190</v>
      </c>
      <c r="I161" s="140" t="s">
        <v>3723</v>
      </c>
      <c r="J161" s="139" t="s">
        <v>3934</v>
      </c>
      <c r="K161" s="139" t="s">
        <v>3935</v>
      </c>
      <c r="L161" s="139" t="s">
        <v>3936</v>
      </c>
      <c r="M161" s="139" t="s">
        <v>3938</v>
      </c>
      <c r="N161" s="140" t="s">
        <v>3788</v>
      </c>
      <c r="O161" s="140" t="s">
        <v>4297</v>
      </c>
    </row>
    <row r="162" spans="1:15" ht="63">
      <c r="A162" s="139" t="s">
        <v>191</v>
      </c>
      <c r="B162" s="139" t="s">
        <v>3</v>
      </c>
      <c r="C162" s="139" t="s">
        <v>3534</v>
      </c>
      <c r="D162" s="139" t="s">
        <v>2031</v>
      </c>
      <c r="E162" s="139" t="s">
        <v>3530</v>
      </c>
      <c r="F162" s="139" t="s">
        <v>4162</v>
      </c>
      <c r="G162" s="140" t="s">
        <v>956</v>
      </c>
      <c r="H162" s="140" t="s">
        <v>192</v>
      </c>
      <c r="I162" s="140" t="s">
        <v>4351</v>
      </c>
      <c r="J162" s="139" t="s">
        <v>3939</v>
      </c>
      <c r="K162" s="139" t="s">
        <v>3935</v>
      </c>
      <c r="L162" s="139" t="s">
        <v>3936</v>
      </c>
      <c r="M162" s="139" t="s">
        <v>3940</v>
      </c>
      <c r="N162" s="140" t="s">
        <v>3788</v>
      </c>
      <c r="O162" s="140" t="s">
        <v>4297</v>
      </c>
    </row>
    <row r="163" spans="1:15" ht="42">
      <c r="A163" s="139" t="s">
        <v>193</v>
      </c>
      <c r="B163" s="139" t="s">
        <v>3</v>
      </c>
      <c r="C163" s="139" t="s">
        <v>3562</v>
      </c>
      <c r="D163" s="139" t="s">
        <v>2031</v>
      </c>
      <c r="E163" s="139" t="s">
        <v>3530</v>
      </c>
      <c r="F163" s="139" t="s">
        <v>4162</v>
      </c>
      <c r="G163" s="140" t="s">
        <v>956</v>
      </c>
      <c r="H163" s="140" t="s">
        <v>194</v>
      </c>
      <c r="I163" s="140" t="s">
        <v>3724</v>
      </c>
      <c r="J163" s="139" t="s">
        <v>1487</v>
      </c>
      <c r="K163" s="139" t="s">
        <v>2709</v>
      </c>
      <c r="L163" s="139" t="s">
        <v>2712</v>
      </c>
      <c r="M163" s="139" t="s">
        <v>1187</v>
      </c>
      <c r="N163" s="140" t="s">
        <v>3788</v>
      </c>
      <c r="O163" s="140" t="s">
        <v>4297</v>
      </c>
    </row>
    <row r="164" spans="1:15" ht="42">
      <c r="A164" s="139" t="s">
        <v>195</v>
      </c>
      <c r="B164" s="139" t="s">
        <v>3</v>
      </c>
      <c r="C164" s="139" t="s">
        <v>3562</v>
      </c>
      <c r="D164" s="139" t="s">
        <v>2031</v>
      </c>
      <c r="E164" s="139" t="s">
        <v>3530</v>
      </c>
      <c r="F164" s="139" t="s">
        <v>4162</v>
      </c>
      <c r="G164" s="140" t="s">
        <v>956</v>
      </c>
      <c r="H164" s="140" t="s">
        <v>196</v>
      </c>
      <c r="I164" s="140" t="s">
        <v>3725</v>
      </c>
      <c r="J164" s="139" t="s">
        <v>1487</v>
      </c>
      <c r="K164" s="139" t="s">
        <v>2709</v>
      </c>
      <c r="L164" s="139" t="s">
        <v>2712</v>
      </c>
      <c r="M164" s="139" t="s">
        <v>3941</v>
      </c>
      <c r="N164" s="140" t="s">
        <v>3788</v>
      </c>
      <c r="O164" s="140" t="s">
        <v>4297</v>
      </c>
    </row>
    <row r="165" spans="1:15" ht="42">
      <c r="A165" s="139" t="s">
        <v>197</v>
      </c>
      <c r="B165" s="139" t="s">
        <v>3</v>
      </c>
      <c r="C165" s="139" t="s">
        <v>3562</v>
      </c>
      <c r="D165" s="139" t="s">
        <v>2031</v>
      </c>
      <c r="E165" s="139" t="s">
        <v>3530</v>
      </c>
      <c r="F165" s="139" t="s">
        <v>4162</v>
      </c>
      <c r="G165" s="140" t="s">
        <v>956</v>
      </c>
      <c r="H165" s="140" t="s">
        <v>198</v>
      </c>
      <c r="I165" s="140" t="s">
        <v>3726</v>
      </c>
      <c r="J165" s="139" t="s">
        <v>3939</v>
      </c>
      <c r="K165" s="139" t="s">
        <v>3935</v>
      </c>
      <c r="L165" s="139" t="s">
        <v>3936</v>
      </c>
      <c r="M165" s="139" t="s">
        <v>3940</v>
      </c>
      <c r="N165" s="140" t="s">
        <v>3788</v>
      </c>
      <c r="O165" s="140" t="s">
        <v>4297</v>
      </c>
    </row>
    <row r="166" spans="1:15" ht="42">
      <c r="A166" s="139" t="s">
        <v>199</v>
      </c>
      <c r="B166" s="139" t="s">
        <v>3</v>
      </c>
      <c r="C166" s="139" t="s">
        <v>3534</v>
      </c>
      <c r="D166" s="139" t="s">
        <v>2031</v>
      </c>
      <c r="E166" s="139" t="s">
        <v>3530</v>
      </c>
      <c r="F166" s="139" t="s">
        <v>4162</v>
      </c>
      <c r="G166" s="140" t="s">
        <v>956</v>
      </c>
      <c r="H166" s="140" t="s">
        <v>3727</v>
      </c>
      <c r="I166" s="140" t="s">
        <v>3728</v>
      </c>
      <c r="J166" s="139" t="s">
        <v>3939</v>
      </c>
      <c r="K166" s="139" t="s">
        <v>3935</v>
      </c>
      <c r="L166" s="139" t="s">
        <v>3936</v>
      </c>
      <c r="M166" s="139" t="s">
        <v>3940</v>
      </c>
      <c r="N166" s="140" t="s">
        <v>3788</v>
      </c>
      <c r="O166" s="140" t="s">
        <v>4297</v>
      </c>
    </row>
    <row r="167" spans="1:15" ht="63">
      <c r="A167" s="139" t="s">
        <v>200</v>
      </c>
      <c r="B167" s="139" t="s">
        <v>3</v>
      </c>
      <c r="C167" s="139" t="s">
        <v>3562</v>
      </c>
      <c r="D167" s="139" t="s">
        <v>262</v>
      </c>
      <c r="E167" s="139" t="s">
        <v>956</v>
      </c>
      <c r="F167" s="139" t="s">
        <v>956</v>
      </c>
      <c r="G167" s="140" t="s">
        <v>4352</v>
      </c>
      <c r="H167" s="140" t="s">
        <v>3729</v>
      </c>
      <c r="I167" s="140" t="s">
        <v>3730</v>
      </c>
      <c r="J167" s="139"/>
      <c r="K167" s="139"/>
      <c r="L167" s="139"/>
      <c r="M167" s="139" t="s">
        <v>1185</v>
      </c>
      <c r="N167" s="140" t="s">
        <v>4353</v>
      </c>
      <c r="O167" s="140" t="s">
        <v>956</v>
      </c>
    </row>
    <row r="168" spans="1:15" ht="42">
      <c r="A168" s="139" t="s">
        <v>201</v>
      </c>
      <c r="B168" s="139" t="s">
        <v>3</v>
      </c>
      <c r="C168" s="139" t="s">
        <v>3562</v>
      </c>
      <c r="D168" s="139" t="s">
        <v>2031</v>
      </c>
      <c r="E168" s="139" t="s">
        <v>3530</v>
      </c>
      <c r="F168" s="139" t="s">
        <v>4162</v>
      </c>
      <c r="G168" s="140" t="s">
        <v>956</v>
      </c>
      <c r="H168" s="140" t="s">
        <v>202</v>
      </c>
      <c r="I168" s="140" t="s">
        <v>3731</v>
      </c>
      <c r="J168" s="139" t="s">
        <v>3942</v>
      </c>
      <c r="K168" s="139" t="s">
        <v>2733</v>
      </c>
      <c r="L168" s="139" t="s">
        <v>2736</v>
      </c>
      <c r="M168" s="139" t="s">
        <v>3062</v>
      </c>
      <c r="N168" s="140" t="s">
        <v>3788</v>
      </c>
      <c r="O168" s="140" t="s">
        <v>4297</v>
      </c>
    </row>
    <row r="169" spans="1:15" ht="42">
      <c r="A169" s="139" t="s">
        <v>203</v>
      </c>
      <c r="B169" s="139" t="s">
        <v>3</v>
      </c>
      <c r="C169" s="139" t="s">
        <v>3562</v>
      </c>
      <c r="D169" s="139" t="s">
        <v>2031</v>
      </c>
      <c r="E169" s="139" t="s">
        <v>3530</v>
      </c>
      <c r="F169" s="139" t="s">
        <v>4162</v>
      </c>
      <c r="G169" s="140" t="s">
        <v>956</v>
      </c>
      <c r="H169" s="140" t="s">
        <v>204</v>
      </c>
      <c r="I169" s="140" t="s">
        <v>3732</v>
      </c>
      <c r="J169" s="139" t="s">
        <v>3942</v>
      </c>
      <c r="K169" s="139" t="s">
        <v>2733</v>
      </c>
      <c r="L169" s="139" t="s">
        <v>2736</v>
      </c>
      <c r="M169" s="139" t="s">
        <v>3943</v>
      </c>
      <c r="N169" s="140" t="s">
        <v>3788</v>
      </c>
      <c r="O169" s="140" t="s">
        <v>4297</v>
      </c>
    </row>
    <row r="170" spans="1:15" ht="42">
      <c r="A170" s="139" t="s">
        <v>4354</v>
      </c>
      <c r="B170" s="139" t="s">
        <v>3</v>
      </c>
      <c r="C170" s="139" t="s">
        <v>3534</v>
      </c>
      <c r="D170" s="139" t="s">
        <v>2031</v>
      </c>
      <c r="E170" s="139" t="s">
        <v>3530</v>
      </c>
      <c r="F170" s="139" t="s">
        <v>4162</v>
      </c>
      <c r="G170" s="140" t="s">
        <v>4277</v>
      </c>
      <c r="H170" s="140" t="s">
        <v>4355</v>
      </c>
      <c r="I170" s="140" t="s">
        <v>3733</v>
      </c>
      <c r="J170" s="139" t="s">
        <v>3869</v>
      </c>
      <c r="K170" s="139" t="s">
        <v>3870</v>
      </c>
      <c r="L170" s="139" t="s">
        <v>3871</v>
      </c>
      <c r="M170" s="139" t="s">
        <v>1491</v>
      </c>
      <c r="N170" s="140" t="s">
        <v>3788</v>
      </c>
      <c r="O170" s="140" t="s">
        <v>4297</v>
      </c>
    </row>
    <row r="171" spans="1:15" ht="63">
      <c r="A171" s="139" t="s">
        <v>4356</v>
      </c>
      <c r="B171" s="139" t="s">
        <v>3</v>
      </c>
      <c r="C171" s="139" t="s">
        <v>3534</v>
      </c>
      <c r="D171" s="139" t="s">
        <v>2031</v>
      </c>
      <c r="E171" s="139" t="s">
        <v>3963</v>
      </c>
      <c r="F171" s="139" t="s">
        <v>4281</v>
      </c>
      <c r="G171" s="140" t="s">
        <v>4357</v>
      </c>
      <c r="H171" s="140" t="s">
        <v>4358</v>
      </c>
      <c r="I171" s="140" t="s">
        <v>3733</v>
      </c>
      <c r="J171" s="139"/>
      <c r="K171" s="139"/>
      <c r="L171" s="139"/>
      <c r="M171" s="139" t="s">
        <v>1197</v>
      </c>
      <c r="N171" s="140" t="s">
        <v>4284</v>
      </c>
      <c r="O171" s="140" t="s">
        <v>4297</v>
      </c>
    </row>
    <row r="172" spans="1:15" ht="42">
      <c r="A172" s="139" t="s">
        <v>4359</v>
      </c>
      <c r="B172" s="139" t="s">
        <v>3</v>
      </c>
      <c r="C172" s="139" t="s">
        <v>3562</v>
      </c>
      <c r="D172" s="139" t="s">
        <v>2031</v>
      </c>
      <c r="E172" s="139" t="s">
        <v>3530</v>
      </c>
      <c r="F172" s="139" t="s">
        <v>4162</v>
      </c>
      <c r="G172" s="140" t="s">
        <v>4277</v>
      </c>
      <c r="H172" s="140" t="s">
        <v>4360</v>
      </c>
      <c r="I172" s="140" t="s">
        <v>3734</v>
      </c>
      <c r="J172" s="139" t="s">
        <v>3869</v>
      </c>
      <c r="K172" s="139" t="s">
        <v>3870</v>
      </c>
      <c r="L172" s="139" t="s">
        <v>3871</v>
      </c>
      <c r="M172" s="139" t="s">
        <v>1197</v>
      </c>
      <c r="N172" s="140" t="s">
        <v>3788</v>
      </c>
      <c r="O172" s="140" t="s">
        <v>4297</v>
      </c>
    </row>
    <row r="173" spans="1:15" ht="63">
      <c r="A173" s="139" t="s">
        <v>4361</v>
      </c>
      <c r="B173" s="139" t="s">
        <v>3</v>
      </c>
      <c r="C173" s="139" t="s">
        <v>3562</v>
      </c>
      <c r="D173" s="139" t="s">
        <v>2031</v>
      </c>
      <c r="E173" s="139" t="s">
        <v>3963</v>
      </c>
      <c r="F173" s="139" t="s">
        <v>4281</v>
      </c>
      <c r="G173" s="140" t="s">
        <v>4362</v>
      </c>
      <c r="H173" s="140" t="s">
        <v>4363</v>
      </c>
      <c r="I173" s="140" t="s">
        <v>3734</v>
      </c>
      <c r="J173" s="139"/>
      <c r="K173" s="139"/>
      <c r="L173" s="139"/>
      <c r="M173" s="139" t="s">
        <v>1197</v>
      </c>
      <c r="N173" s="140" t="s">
        <v>4284</v>
      </c>
      <c r="O173" s="140" t="s">
        <v>4297</v>
      </c>
    </row>
    <row r="174" spans="1:15" ht="42">
      <c r="A174" s="139" t="s">
        <v>205</v>
      </c>
      <c r="B174" s="139" t="s">
        <v>3</v>
      </c>
      <c r="C174" s="139" t="s">
        <v>3534</v>
      </c>
      <c r="D174" s="139" t="s">
        <v>2031</v>
      </c>
      <c r="E174" s="139" t="s">
        <v>3530</v>
      </c>
      <c r="F174" s="139" t="s">
        <v>4162</v>
      </c>
      <c r="G174" s="140" t="s">
        <v>956</v>
      </c>
      <c r="H174" s="140" t="s">
        <v>206</v>
      </c>
      <c r="I174" s="140" t="s">
        <v>3735</v>
      </c>
      <c r="J174" s="139" t="s">
        <v>3889</v>
      </c>
      <c r="K174" s="139" t="s">
        <v>3890</v>
      </c>
      <c r="L174" s="139" t="s">
        <v>3891</v>
      </c>
      <c r="M174" s="139" t="s">
        <v>3037</v>
      </c>
      <c r="N174" s="140" t="s">
        <v>3788</v>
      </c>
      <c r="O174" s="140" t="s">
        <v>4297</v>
      </c>
    </row>
    <row r="175" spans="1:15" ht="42">
      <c r="A175" s="139" t="s">
        <v>207</v>
      </c>
      <c r="B175" s="139" t="s">
        <v>3</v>
      </c>
      <c r="C175" s="139" t="s">
        <v>3562</v>
      </c>
      <c r="D175" s="139" t="s">
        <v>2031</v>
      </c>
      <c r="E175" s="139" t="s">
        <v>3530</v>
      </c>
      <c r="F175" s="139" t="s">
        <v>4162</v>
      </c>
      <c r="G175" s="140" t="s">
        <v>956</v>
      </c>
      <c r="H175" s="140" t="s">
        <v>3736</v>
      </c>
      <c r="I175" s="140" t="s">
        <v>3737</v>
      </c>
      <c r="J175" s="139" t="s">
        <v>3889</v>
      </c>
      <c r="K175" s="139" t="s">
        <v>3890</v>
      </c>
      <c r="L175" s="139" t="s">
        <v>3891</v>
      </c>
      <c r="M175" s="139" t="s">
        <v>3008</v>
      </c>
      <c r="N175" s="140" t="s">
        <v>3788</v>
      </c>
      <c r="O175" s="140" t="s">
        <v>4297</v>
      </c>
    </row>
    <row r="176" spans="1:15" ht="42">
      <c r="A176" s="139" t="s">
        <v>208</v>
      </c>
      <c r="B176" s="139" t="s">
        <v>3</v>
      </c>
      <c r="C176" s="139" t="s">
        <v>3562</v>
      </c>
      <c r="D176" s="139" t="s">
        <v>2031</v>
      </c>
      <c r="E176" s="139" t="s">
        <v>3530</v>
      </c>
      <c r="F176" s="139" t="s">
        <v>4162</v>
      </c>
      <c r="G176" s="140" t="s">
        <v>956</v>
      </c>
      <c r="H176" s="140" t="s">
        <v>3738</v>
      </c>
      <c r="I176" s="140" t="s">
        <v>3739</v>
      </c>
      <c r="J176" s="139" t="s">
        <v>3944</v>
      </c>
      <c r="K176" s="139"/>
      <c r="L176" s="139"/>
      <c r="M176" s="139"/>
      <c r="N176" s="140" t="s">
        <v>3965</v>
      </c>
      <c r="O176" s="140" t="s">
        <v>4297</v>
      </c>
    </row>
    <row r="177" spans="1:15" ht="42">
      <c r="A177" s="139" t="s">
        <v>211</v>
      </c>
      <c r="B177" s="139" t="s">
        <v>3</v>
      </c>
      <c r="C177" s="139" t="s">
        <v>3534</v>
      </c>
      <c r="D177" s="139" t="s">
        <v>2031</v>
      </c>
      <c r="E177" s="139" t="s">
        <v>3530</v>
      </c>
      <c r="F177" s="139" t="s">
        <v>4162</v>
      </c>
      <c r="G177" s="140" t="s">
        <v>956</v>
      </c>
      <c r="H177" s="140" t="s">
        <v>3740</v>
      </c>
      <c r="I177" s="140" t="s">
        <v>3741</v>
      </c>
      <c r="J177" s="139" t="s">
        <v>3945</v>
      </c>
      <c r="K177" s="139"/>
      <c r="L177" s="139" t="s">
        <v>2743</v>
      </c>
      <c r="M177" s="139" t="s">
        <v>3946</v>
      </c>
      <c r="N177" s="140" t="s">
        <v>3965</v>
      </c>
      <c r="O177" s="140" t="s">
        <v>4297</v>
      </c>
    </row>
    <row r="178" spans="1:15" ht="42">
      <c r="A178" s="139" t="s">
        <v>212</v>
      </c>
      <c r="B178" s="139" t="s">
        <v>3</v>
      </c>
      <c r="C178" s="139" t="s">
        <v>3562</v>
      </c>
      <c r="D178" s="139" t="s">
        <v>2031</v>
      </c>
      <c r="E178" s="139" t="s">
        <v>3530</v>
      </c>
      <c r="F178" s="139" t="s">
        <v>4162</v>
      </c>
      <c r="G178" s="140" t="s">
        <v>956</v>
      </c>
      <c r="H178" s="140" t="s">
        <v>213</v>
      </c>
      <c r="I178" s="140" t="s">
        <v>3742</v>
      </c>
      <c r="J178" s="139" t="s">
        <v>3947</v>
      </c>
      <c r="K178" s="139"/>
      <c r="L178" s="139"/>
      <c r="M178" s="139"/>
      <c r="N178" s="140" t="s">
        <v>3965</v>
      </c>
      <c r="O178" s="140" t="s">
        <v>4297</v>
      </c>
    </row>
    <row r="179" spans="1:15" ht="42">
      <c r="A179" s="139" t="s">
        <v>209</v>
      </c>
      <c r="B179" s="139" t="s">
        <v>3</v>
      </c>
      <c r="C179" s="139" t="s">
        <v>3562</v>
      </c>
      <c r="D179" s="139" t="s">
        <v>2031</v>
      </c>
      <c r="E179" s="139" t="s">
        <v>3530</v>
      </c>
      <c r="F179" s="139" t="s">
        <v>4162</v>
      </c>
      <c r="G179" s="140" t="s">
        <v>956</v>
      </c>
      <c r="H179" s="140" t="s">
        <v>210</v>
      </c>
      <c r="I179" s="140" t="s">
        <v>3743</v>
      </c>
      <c r="J179" s="139" t="s">
        <v>3887</v>
      </c>
      <c r="K179" s="139" t="s">
        <v>2774</v>
      </c>
      <c r="L179" s="139" t="s">
        <v>2777</v>
      </c>
      <c r="M179" s="139" t="s">
        <v>3888</v>
      </c>
      <c r="N179" s="140" t="s">
        <v>3788</v>
      </c>
      <c r="O179" s="140" t="s">
        <v>4297</v>
      </c>
    </row>
    <row r="180" spans="1:15" ht="63">
      <c r="A180" s="139" t="s">
        <v>4364</v>
      </c>
      <c r="B180" s="139" t="s">
        <v>3</v>
      </c>
      <c r="C180" s="139" t="s">
        <v>3534</v>
      </c>
      <c r="D180" s="139" t="s">
        <v>2031</v>
      </c>
      <c r="E180" s="139" t="s">
        <v>3530</v>
      </c>
      <c r="F180" s="139" t="s">
        <v>4162</v>
      </c>
      <c r="G180" s="140" t="s">
        <v>4306</v>
      </c>
      <c r="H180" s="140" t="s">
        <v>4365</v>
      </c>
      <c r="I180" s="140" t="s">
        <v>4366</v>
      </c>
      <c r="J180" s="139" t="s">
        <v>3948</v>
      </c>
      <c r="K180" s="139"/>
      <c r="L180" s="139" t="s">
        <v>2570</v>
      </c>
      <c r="M180" s="139" t="s">
        <v>1195</v>
      </c>
      <c r="N180" s="140" t="s">
        <v>3965</v>
      </c>
      <c r="O180" s="140" t="s">
        <v>4297</v>
      </c>
    </row>
    <row r="181" spans="1:15" ht="63">
      <c r="A181" s="139" t="s">
        <v>4367</v>
      </c>
      <c r="B181" s="139" t="s">
        <v>3</v>
      </c>
      <c r="C181" s="139" t="s">
        <v>3534</v>
      </c>
      <c r="D181" s="139" t="s">
        <v>2031</v>
      </c>
      <c r="E181" s="139" t="s">
        <v>3963</v>
      </c>
      <c r="F181" s="139" t="s">
        <v>4281</v>
      </c>
      <c r="G181" s="140" t="s">
        <v>4310</v>
      </c>
      <c r="H181" s="140" t="s">
        <v>4368</v>
      </c>
      <c r="I181" s="140" t="s">
        <v>4366</v>
      </c>
      <c r="J181" s="139"/>
      <c r="K181" s="139"/>
      <c r="L181" s="139"/>
      <c r="M181" s="139"/>
      <c r="N181" s="140" t="s">
        <v>4284</v>
      </c>
      <c r="O181" s="140" t="s">
        <v>4297</v>
      </c>
    </row>
    <row r="182" spans="1:15" ht="63">
      <c r="A182" s="139" t="s">
        <v>4072</v>
      </c>
      <c r="B182" s="139" t="s">
        <v>3</v>
      </c>
      <c r="C182" s="139" t="s">
        <v>3526</v>
      </c>
      <c r="D182" s="139" t="s">
        <v>2031</v>
      </c>
      <c r="E182" s="139" t="s">
        <v>3527</v>
      </c>
      <c r="F182" s="139" t="s">
        <v>4162</v>
      </c>
      <c r="G182" s="140" t="s">
        <v>4369</v>
      </c>
      <c r="H182" s="140" t="s">
        <v>4370</v>
      </c>
      <c r="I182" s="140" t="s">
        <v>4371</v>
      </c>
      <c r="J182" s="139" t="s">
        <v>4372</v>
      </c>
      <c r="K182" s="139" t="s">
        <v>1579</v>
      </c>
      <c r="L182" s="139" t="s">
        <v>3783</v>
      </c>
      <c r="M182" s="139" t="s">
        <v>1159</v>
      </c>
      <c r="N182" s="140" t="s">
        <v>3788</v>
      </c>
      <c r="O182" s="140" t="s">
        <v>4373</v>
      </c>
    </row>
    <row r="183" spans="1:15" ht="42">
      <c r="A183" s="139" t="s">
        <v>4074</v>
      </c>
      <c r="B183" s="139" t="s">
        <v>3</v>
      </c>
      <c r="C183" s="139" t="s">
        <v>3562</v>
      </c>
      <c r="D183" s="139" t="s">
        <v>2031</v>
      </c>
      <c r="E183" s="139" t="s">
        <v>3530</v>
      </c>
      <c r="F183" s="139" t="s">
        <v>4162</v>
      </c>
      <c r="G183" s="140" t="s">
        <v>956</v>
      </c>
      <c r="H183" s="140" t="s">
        <v>4374</v>
      </c>
      <c r="I183" s="140" t="s">
        <v>4375</v>
      </c>
      <c r="J183" s="139" t="s">
        <v>1527</v>
      </c>
      <c r="K183" s="139" t="s">
        <v>1583</v>
      </c>
      <c r="L183" s="139" t="s">
        <v>4376</v>
      </c>
      <c r="M183" s="139" t="s">
        <v>4377</v>
      </c>
      <c r="N183" s="140" t="s">
        <v>3788</v>
      </c>
      <c r="O183" s="140" t="s">
        <v>4378</v>
      </c>
    </row>
    <row r="184" spans="1:15" ht="42">
      <c r="A184" s="139" t="s">
        <v>214</v>
      </c>
      <c r="B184" s="139" t="s">
        <v>3</v>
      </c>
      <c r="C184" s="139" t="s">
        <v>3562</v>
      </c>
      <c r="D184" s="139" t="s">
        <v>2031</v>
      </c>
      <c r="E184" s="139" t="s">
        <v>3530</v>
      </c>
      <c r="F184" s="139" t="s">
        <v>4162</v>
      </c>
      <c r="G184" s="140" t="s">
        <v>956</v>
      </c>
      <c r="H184" s="140" t="s">
        <v>215</v>
      </c>
      <c r="I184" s="140" t="s">
        <v>3744</v>
      </c>
      <c r="J184" s="139" t="s">
        <v>1477</v>
      </c>
      <c r="K184" s="139" t="s">
        <v>1550</v>
      </c>
      <c r="L184" s="139" t="s">
        <v>2730</v>
      </c>
      <c r="M184" s="139" t="s">
        <v>3030</v>
      </c>
      <c r="N184" s="140" t="s">
        <v>3788</v>
      </c>
      <c r="O184" s="140" t="s">
        <v>4297</v>
      </c>
    </row>
    <row r="185" spans="1:15" ht="21">
      <c r="A185" s="139" t="s">
        <v>216</v>
      </c>
      <c r="B185" s="139" t="s">
        <v>3</v>
      </c>
      <c r="C185" s="139" t="s">
        <v>3534</v>
      </c>
      <c r="D185" s="139" t="s">
        <v>262</v>
      </c>
      <c r="E185" s="139" t="s">
        <v>956</v>
      </c>
      <c r="F185" s="139" t="s">
        <v>956</v>
      </c>
      <c r="G185" s="140" t="s">
        <v>3746</v>
      </c>
      <c r="H185" s="140" t="s">
        <v>217</v>
      </c>
      <c r="I185" s="140" t="s">
        <v>3745</v>
      </c>
      <c r="J185" s="139"/>
      <c r="K185" s="139"/>
      <c r="L185" s="139"/>
      <c r="M185" s="139"/>
      <c r="N185" s="140" t="s">
        <v>3575</v>
      </c>
      <c r="O185" s="140" t="s">
        <v>956</v>
      </c>
    </row>
    <row r="186" spans="1:15" ht="21">
      <c r="A186" s="139" t="s">
        <v>220</v>
      </c>
      <c r="B186" s="139" t="s">
        <v>3</v>
      </c>
      <c r="C186" s="139" t="s">
        <v>3534</v>
      </c>
      <c r="D186" s="139" t="s">
        <v>262</v>
      </c>
      <c r="E186" s="139" t="s">
        <v>956</v>
      </c>
      <c r="F186" s="139" t="s">
        <v>956</v>
      </c>
      <c r="G186" s="140" t="s">
        <v>3748</v>
      </c>
      <c r="H186" s="140" t="s">
        <v>221</v>
      </c>
      <c r="I186" s="140" t="s">
        <v>3747</v>
      </c>
      <c r="J186" s="139"/>
      <c r="K186" s="139"/>
      <c r="L186" s="139"/>
      <c r="M186" s="139"/>
      <c r="N186" s="140" t="s">
        <v>3575</v>
      </c>
      <c r="O186" s="140" t="s">
        <v>956</v>
      </c>
    </row>
    <row r="187" spans="1:15" ht="21">
      <c r="A187" s="139" t="s">
        <v>222</v>
      </c>
      <c r="B187" s="139" t="s">
        <v>3</v>
      </c>
      <c r="C187" s="139" t="s">
        <v>3534</v>
      </c>
      <c r="D187" s="139" t="s">
        <v>262</v>
      </c>
      <c r="E187" s="139" t="s">
        <v>956</v>
      </c>
      <c r="F187" s="139" t="s">
        <v>956</v>
      </c>
      <c r="G187" s="140" t="s">
        <v>2365</v>
      </c>
      <c r="H187" s="140" t="s">
        <v>223</v>
      </c>
      <c r="I187" s="140" t="s">
        <v>3749</v>
      </c>
      <c r="J187" s="139"/>
      <c r="K187" s="139"/>
      <c r="L187" s="139"/>
      <c r="M187" s="139"/>
      <c r="N187" s="140" t="s">
        <v>3575</v>
      </c>
      <c r="O187" s="140" t="s">
        <v>956</v>
      </c>
    </row>
    <row r="188" spans="1:15" ht="21">
      <c r="A188" s="139" t="s">
        <v>224</v>
      </c>
      <c r="B188" s="139" t="s">
        <v>3</v>
      </c>
      <c r="C188" s="139" t="s">
        <v>3534</v>
      </c>
      <c r="D188" s="139" t="s">
        <v>262</v>
      </c>
      <c r="E188" s="139" t="s">
        <v>956</v>
      </c>
      <c r="F188" s="139" t="s">
        <v>956</v>
      </c>
      <c r="G188" s="140" t="s">
        <v>3752</v>
      </c>
      <c r="H188" s="140" t="s">
        <v>3750</v>
      </c>
      <c r="I188" s="140" t="s">
        <v>3751</v>
      </c>
      <c r="J188" s="139"/>
      <c r="K188" s="139"/>
      <c r="L188" s="139"/>
      <c r="M188" s="139"/>
      <c r="N188" s="140" t="s">
        <v>3575</v>
      </c>
      <c r="O188" s="140" t="s">
        <v>956</v>
      </c>
    </row>
    <row r="189" spans="1:15" ht="42">
      <c r="A189" s="139" t="s">
        <v>225</v>
      </c>
      <c r="B189" s="139" t="s">
        <v>3</v>
      </c>
      <c r="C189" s="139" t="s">
        <v>252</v>
      </c>
      <c r="D189" s="139" t="s">
        <v>262</v>
      </c>
      <c r="E189" s="139" t="s">
        <v>956</v>
      </c>
      <c r="F189" s="139" t="s">
        <v>956</v>
      </c>
      <c r="G189" s="140" t="s">
        <v>3755</v>
      </c>
      <c r="H189" s="140" t="s">
        <v>3753</v>
      </c>
      <c r="I189" s="140" t="s">
        <v>3754</v>
      </c>
      <c r="J189" s="139"/>
      <c r="K189" s="139"/>
      <c r="L189" s="139"/>
      <c r="M189" s="139"/>
      <c r="N189" s="140" t="s">
        <v>3575</v>
      </c>
      <c r="O189" s="140" t="s">
        <v>956</v>
      </c>
    </row>
    <row r="190" spans="1:15" ht="42">
      <c r="A190" s="139" t="s">
        <v>4379</v>
      </c>
      <c r="B190" s="139" t="s">
        <v>3</v>
      </c>
      <c r="C190" s="139" t="s">
        <v>3534</v>
      </c>
      <c r="D190" s="139" t="s">
        <v>2031</v>
      </c>
      <c r="E190" s="139" t="s">
        <v>3530</v>
      </c>
      <c r="F190" s="139" t="s">
        <v>4162</v>
      </c>
      <c r="G190" s="140" t="s">
        <v>4277</v>
      </c>
      <c r="H190" s="140" t="s">
        <v>4380</v>
      </c>
      <c r="I190" s="140" t="s">
        <v>3756</v>
      </c>
      <c r="J190" s="139" t="s">
        <v>3869</v>
      </c>
      <c r="K190" s="139" t="s">
        <v>3870</v>
      </c>
      <c r="L190" s="139" t="s">
        <v>3871</v>
      </c>
      <c r="M190" s="139" t="s">
        <v>3949</v>
      </c>
      <c r="N190" s="140" t="s">
        <v>3788</v>
      </c>
      <c r="O190" s="140" t="s">
        <v>4297</v>
      </c>
    </row>
    <row r="191" spans="1:15" ht="63">
      <c r="A191" s="139" t="s">
        <v>4381</v>
      </c>
      <c r="B191" s="139" t="s">
        <v>3</v>
      </c>
      <c r="C191" s="139" t="s">
        <v>3534</v>
      </c>
      <c r="D191" s="139" t="s">
        <v>2031</v>
      </c>
      <c r="E191" s="139" t="s">
        <v>3963</v>
      </c>
      <c r="F191" s="139" t="s">
        <v>4281</v>
      </c>
      <c r="G191" s="140" t="s">
        <v>4357</v>
      </c>
      <c r="H191" s="140" t="s">
        <v>4382</v>
      </c>
      <c r="I191" s="140" t="s">
        <v>3756</v>
      </c>
      <c r="J191" s="139"/>
      <c r="K191" s="139"/>
      <c r="L191" s="139"/>
      <c r="M191" s="139" t="s">
        <v>1197</v>
      </c>
      <c r="N191" s="140" t="s">
        <v>4284</v>
      </c>
      <c r="O191" s="140" t="s">
        <v>4297</v>
      </c>
    </row>
    <row r="192" spans="1:15" ht="42">
      <c r="A192" s="139" t="s">
        <v>218</v>
      </c>
      <c r="B192" s="139" t="s">
        <v>3</v>
      </c>
      <c r="C192" s="139" t="s">
        <v>3534</v>
      </c>
      <c r="D192" s="139" t="s">
        <v>2031</v>
      </c>
      <c r="E192" s="139" t="s">
        <v>3530</v>
      </c>
      <c r="F192" s="139" t="s">
        <v>4162</v>
      </c>
      <c r="G192" s="140" t="s">
        <v>956</v>
      </c>
      <c r="H192" s="140" t="s">
        <v>219</v>
      </c>
      <c r="I192" s="140" t="s">
        <v>3757</v>
      </c>
      <c r="J192" s="139" t="s">
        <v>1499</v>
      </c>
      <c r="K192" s="139" t="s">
        <v>1580</v>
      </c>
      <c r="L192" s="139" t="s">
        <v>2634</v>
      </c>
      <c r="M192" s="139" t="s">
        <v>2894</v>
      </c>
      <c r="N192" s="140" t="s">
        <v>3788</v>
      </c>
      <c r="O192" s="140" t="s">
        <v>4297</v>
      </c>
    </row>
    <row r="193" spans="1:15" ht="63">
      <c r="A193" s="139" t="s">
        <v>4383</v>
      </c>
      <c r="B193" s="139" t="s">
        <v>3</v>
      </c>
      <c r="C193" s="139" t="s">
        <v>3534</v>
      </c>
      <c r="D193" s="139" t="s">
        <v>2031</v>
      </c>
      <c r="E193" s="139" t="s">
        <v>3530</v>
      </c>
      <c r="F193" s="139" t="s">
        <v>4162</v>
      </c>
      <c r="G193" s="140" t="s">
        <v>4384</v>
      </c>
      <c r="H193" s="140" t="s">
        <v>4385</v>
      </c>
      <c r="I193" s="140" t="s">
        <v>3758</v>
      </c>
      <c r="J193" s="139" t="s">
        <v>1543</v>
      </c>
      <c r="K193" s="139" t="s">
        <v>1984</v>
      </c>
      <c r="L193" s="139" t="s">
        <v>2831</v>
      </c>
      <c r="M193" s="139" t="s">
        <v>3950</v>
      </c>
      <c r="N193" s="140" t="s">
        <v>3788</v>
      </c>
      <c r="O193" s="140" t="s">
        <v>4297</v>
      </c>
    </row>
    <row r="194" spans="1:15" ht="63">
      <c r="A194" s="139" t="s">
        <v>4386</v>
      </c>
      <c r="B194" s="139" t="s">
        <v>3</v>
      </c>
      <c r="C194" s="139" t="s">
        <v>3534</v>
      </c>
      <c r="D194" s="139" t="s">
        <v>2031</v>
      </c>
      <c r="E194" s="139" t="s">
        <v>3963</v>
      </c>
      <c r="F194" s="139" t="s">
        <v>4224</v>
      </c>
      <c r="G194" s="140" t="s">
        <v>4270</v>
      </c>
      <c r="H194" s="140" t="s">
        <v>4387</v>
      </c>
      <c r="I194" s="140" t="s">
        <v>3758</v>
      </c>
      <c r="J194" s="139"/>
      <c r="K194" s="139"/>
      <c r="L194" s="139"/>
      <c r="M194" s="139" t="s">
        <v>1198</v>
      </c>
      <c r="N194" s="140" t="s">
        <v>3962</v>
      </c>
      <c r="O194" s="140" t="s">
        <v>4297</v>
      </c>
    </row>
    <row r="195" spans="1:15" ht="42">
      <c r="A195" s="139" t="s">
        <v>226</v>
      </c>
      <c r="B195" s="139" t="s">
        <v>3</v>
      </c>
      <c r="C195" s="139" t="s">
        <v>3562</v>
      </c>
      <c r="D195" s="139" t="s">
        <v>2031</v>
      </c>
      <c r="E195" s="139" t="s">
        <v>3530</v>
      </c>
      <c r="F195" s="139" t="s">
        <v>4162</v>
      </c>
      <c r="G195" s="140" t="s">
        <v>956</v>
      </c>
      <c r="H195" s="140" t="s">
        <v>227</v>
      </c>
      <c r="I195" s="140" t="s">
        <v>3759</v>
      </c>
      <c r="J195" s="139" t="s">
        <v>3869</v>
      </c>
      <c r="K195" s="139" t="s">
        <v>3870</v>
      </c>
      <c r="L195" s="139" t="s">
        <v>3871</v>
      </c>
      <c r="M195" s="139" t="s">
        <v>1197</v>
      </c>
      <c r="N195" s="140" t="s">
        <v>3788</v>
      </c>
      <c r="O195" s="140" t="s">
        <v>4297</v>
      </c>
    </row>
    <row r="196" spans="1:15" ht="42">
      <c r="A196" s="139" t="s">
        <v>229</v>
      </c>
      <c r="B196" s="139" t="s">
        <v>3</v>
      </c>
      <c r="C196" s="139" t="s">
        <v>3562</v>
      </c>
      <c r="D196" s="139" t="s">
        <v>2031</v>
      </c>
      <c r="E196" s="139" t="s">
        <v>3530</v>
      </c>
      <c r="F196" s="139" t="s">
        <v>4162</v>
      </c>
      <c r="G196" s="140" t="s">
        <v>956</v>
      </c>
      <c r="H196" s="140" t="s">
        <v>3760</v>
      </c>
      <c r="I196" s="140" t="s">
        <v>3761</v>
      </c>
      <c r="J196" s="139" t="s">
        <v>3951</v>
      </c>
      <c r="K196" s="139" t="s">
        <v>3952</v>
      </c>
      <c r="L196" s="139" t="s">
        <v>3953</v>
      </c>
      <c r="M196" s="139" t="s">
        <v>3954</v>
      </c>
      <c r="N196" s="140" t="s">
        <v>3788</v>
      </c>
      <c r="O196" s="140" t="s">
        <v>4297</v>
      </c>
    </row>
    <row r="197" spans="1:15" ht="21">
      <c r="A197" s="139" t="s">
        <v>230</v>
      </c>
      <c r="B197" s="139" t="s">
        <v>3</v>
      </c>
      <c r="C197" s="139" t="s">
        <v>3562</v>
      </c>
      <c r="D197" s="139" t="s">
        <v>2031</v>
      </c>
      <c r="E197" s="139" t="s">
        <v>3530</v>
      </c>
      <c r="F197" s="139" t="s">
        <v>4162</v>
      </c>
      <c r="G197" s="140" t="s">
        <v>956</v>
      </c>
      <c r="H197" s="140" t="s">
        <v>231</v>
      </c>
      <c r="I197" s="140" t="s">
        <v>3762</v>
      </c>
      <c r="J197" s="139"/>
      <c r="K197" s="139"/>
      <c r="L197" s="139"/>
      <c r="M197" s="139"/>
      <c r="N197" s="140" t="s">
        <v>3955</v>
      </c>
      <c r="O197" s="140" t="s">
        <v>956</v>
      </c>
    </row>
    <row r="198" spans="1:15" ht="21">
      <c r="A198" s="139" t="s">
        <v>232</v>
      </c>
      <c r="B198" s="139" t="s">
        <v>3</v>
      </c>
      <c r="C198" s="139" t="s">
        <v>3562</v>
      </c>
      <c r="D198" s="139" t="s">
        <v>2031</v>
      </c>
      <c r="E198" s="139" t="s">
        <v>3530</v>
      </c>
      <c r="F198" s="139" t="s">
        <v>4162</v>
      </c>
      <c r="G198" s="140" t="s">
        <v>956</v>
      </c>
      <c r="H198" s="140" t="s">
        <v>233</v>
      </c>
      <c r="I198" s="140" t="s">
        <v>3763</v>
      </c>
      <c r="J198" s="139"/>
      <c r="K198" s="139"/>
      <c r="L198" s="139"/>
      <c r="M198" s="139"/>
      <c r="N198" s="140" t="s">
        <v>3955</v>
      </c>
      <c r="O198" s="140" t="s">
        <v>956</v>
      </c>
    </row>
    <row r="199" spans="1:15" ht="21">
      <c r="A199" s="139" t="s">
        <v>234</v>
      </c>
      <c r="B199" s="139" t="s">
        <v>3</v>
      </c>
      <c r="C199" s="139" t="s">
        <v>3562</v>
      </c>
      <c r="D199" s="139" t="s">
        <v>2031</v>
      </c>
      <c r="E199" s="139" t="s">
        <v>3530</v>
      </c>
      <c r="F199" s="139" t="s">
        <v>4162</v>
      </c>
      <c r="G199" s="140" t="s">
        <v>956</v>
      </c>
      <c r="H199" s="140" t="s">
        <v>3764</v>
      </c>
      <c r="I199" s="140" t="s">
        <v>3765</v>
      </c>
      <c r="J199" s="139"/>
      <c r="K199" s="139"/>
      <c r="L199" s="139"/>
      <c r="M199" s="139"/>
      <c r="N199" s="140" t="s">
        <v>3955</v>
      </c>
      <c r="O199" s="140" t="s">
        <v>956</v>
      </c>
    </row>
    <row r="200" spans="1:15" ht="21">
      <c r="A200" s="139" t="s">
        <v>235</v>
      </c>
      <c r="B200" s="139" t="s">
        <v>3</v>
      </c>
      <c r="C200" s="139" t="s">
        <v>3562</v>
      </c>
      <c r="D200" s="139" t="s">
        <v>2031</v>
      </c>
      <c r="E200" s="139" t="s">
        <v>3530</v>
      </c>
      <c r="F200" s="139" t="s">
        <v>4162</v>
      </c>
      <c r="G200" s="140" t="s">
        <v>956</v>
      </c>
      <c r="H200" s="140" t="s">
        <v>3766</v>
      </c>
      <c r="I200" s="140" t="s">
        <v>3767</v>
      </c>
      <c r="J200" s="139" t="s">
        <v>3939</v>
      </c>
      <c r="K200" s="139" t="s">
        <v>3935</v>
      </c>
      <c r="L200" s="139" t="s">
        <v>3936</v>
      </c>
      <c r="M200" s="139" t="s">
        <v>3940</v>
      </c>
      <c r="N200" s="140" t="s">
        <v>3955</v>
      </c>
      <c r="O200" s="140" t="s">
        <v>956</v>
      </c>
    </row>
    <row r="201" spans="1:15" ht="21">
      <c r="A201" s="139" t="s">
        <v>236</v>
      </c>
      <c r="B201" s="139" t="s">
        <v>3</v>
      </c>
      <c r="C201" s="139" t="s">
        <v>3562</v>
      </c>
      <c r="D201" s="139" t="s">
        <v>2031</v>
      </c>
      <c r="E201" s="139" t="s">
        <v>3530</v>
      </c>
      <c r="F201" s="139" t="s">
        <v>4162</v>
      </c>
      <c r="G201" s="140" t="s">
        <v>956</v>
      </c>
      <c r="H201" s="140" t="s">
        <v>237</v>
      </c>
      <c r="I201" s="140" t="s">
        <v>3768</v>
      </c>
      <c r="J201" s="139" t="s">
        <v>3947</v>
      </c>
      <c r="K201" s="139"/>
      <c r="L201" s="139"/>
      <c r="M201" s="139"/>
      <c r="N201" s="140" t="s">
        <v>3955</v>
      </c>
      <c r="O201" s="140" t="s">
        <v>956</v>
      </c>
    </row>
    <row r="202" spans="1:15" ht="42">
      <c r="A202" s="139" t="s">
        <v>238</v>
      </c>
      <c r="B202" s="139" t="s">
        <v>3</v>
      </c>
      <c r="C202" s="139" t="s">
        <v>3534</v>
      </c>
      <c r="D202" s="139" t="s">
        <v>2031</v>
      </c>
      <c r="E202" s="139" t="s">
        <v>3530</v>
      </c>
      <c r="F202" s="139" t="s">
        <v>4162</v>
      </c>
      <c r="G202" s="140" t="s">
        <v>956</v>
      </c>
      <c r="H202" s="140" t="s">
        <v>3769</v>
      </c>
      <c r="I202" s="140" t="s">
        <v>3770</v>
      </c>
      <c r="J202" s="139"/>
      <c r="K202" s="139"/>
      <c r="L202" s="139"/>
      <c r="M202" s="139"/>
      <c r="N202" s="140" t="s">
        <v>4388</v>
      </c>
      <c r="O202" s="140" t="s">
        <v>956</v>
      </c>
    </row>
    <row r="203" spans="1:15" ht="21">
      <c r="A203" s="139" t="s">
        <v>239</v>
      </c>
      <c r="B203" s="139" t="s">
        <v>3</v>
      </c>
      <c r="C203" s="139" t="s">
        <v>3562</v>
      </c>
      <c r="D203" s="139" t="s">
        <v>2031</v>
      </c>
      <c r="E203" s="139" t="s">
        <v>3530</v>
      </c>
      <c r="F203" s="139" t="s">
        <v>4162</v>
      </c>
      <c r="G203" s="140" t="s">
        <v>956</v>
      </c>
      <c r="H203" s="140" t="s">
        <v>3771</v>
      </c>
      <c r="I203" s="140" t="s">
        <v>3772</v>
      </c>
      <c r="J203" s="139"/>
      <c r="K203" s="139"/>
      <c r="L203" s="139"/>
      <c r="M203" s="139"/>
      <c r="N203" s="140" t="s">
        <v>3955</v>
      </c>
      <c r="O203" s="140" t="s">
        <v>956</v>
      </c>
    </row>
    <row r="204" spans="1:15" ht="21">
      <c r="A204" s="139" t="s">
        <v>240</v>
      </c>
      <c r="B204" s="139" t="s">
        <v>3</v>
      </c>
      <c r="C204" s="139" t="s">
        <v>3562</v>
      </c>
      <c r="D204" s="139" t="s">
        <v>2031</v>
      </c>
      <c r="E204" s="139" t="s">
        <v>3530</v>
      </c>
      <c r="F204" s="139" t="s">
        <v>4162</v>
      </c>
      <c r="G204" s="140" t="s">
        <v>956</v>
      </c>
      <c r="H204" s="140" t="s">
        <v>3773</v>
      </c>
      <c r="I204" s="140" t="s">
        <v>3774</v>
      </c>
      <c r="J204" s="139"/>
      <c r="K204" s="139"/>
      <c r="L204" s="139"/>
      <c r="M204" s="139"/>
      <c r="N204" s="140" t="s">
        <v>3955</v>
      </c>
      <c r="O204" s="140" t="s">
        <v>956</v>
      </c>
    </row>
    <row r="205" spans="1:15" ht="21">
      <c r="A205" s="139" t="s">
        <v>241</v>
      </c>
      <c r="B205" s="139" t="s">
        <v>3</v>
      </c>
      <c r="C205" s="139" t="s">
        <v>3562</v>
      </c>
      <c r="D205" s="139" t="s">
        <v>2031</v>
      </c>
      <c r="E205" s="139" t="s">
        <v>3530</v>
      </c>
      <c r="F205" s="139" t="s">
        <v>4162</v>
      </c>
      <c r="G205" s="140" t="s">
        <v>956</v>
      </c>
      <c r="H205" s="140" t="s">
        <v>3775</v>
      </c>
      <c r="I205" s="140" t="s">
        <v>3776</v>
      </c>
      <c r="J205" s="139"/>
      <c r="K205" s="139"/>
      <c r="L205" s="139"/>
      <c r="M205" s="139"/>
      <c r="N205" s="140" t="s">
        <v>3955</v>
      </c>
      <c r="O205" s="140" t="s">
        <v>956</v>
      </c>
    </row>
    <row r="206" spans="1:15" ht="63">
      <c r="A206" s="139" t="s">
        <v>242</v>
      </c>
      <c r="B206" s="139" t="s">
        <v>3</v>
      </c>
      <c r="C206" s="139" t="s">
        <v>252</v>
      </c>
      <c r="D206" s="139" t="s">
        <v>2031</v>
      </c>
      <c r="E206" s="139" t="s">
        <v>3963</v>
      </c>
      <c r="F206" s="139" t="s">
        <v>4169</v>
      </c>
      <c r="G206" s="140" t="s">
        <v>4389</v>
      </c>
      <c r="H206" s="140" t="s">
        <v>243</v>
      </c>
      <c r="I206" s="140" t="s">
        <v>3777</v>
      </c>
      <c r="J206" s="139"/>
      <c r="K206" s="139"/>
      <c r="L206" s="139"/>
      <c r="M206" s="139"/>
      <c r="N206" s="140" t="s">
        <v>3962</v>
      </c>
      <c r="O206" s="140" t="s">
        <v>956</v>
      </c>
    </row>
    <row r="207" spans="1:15" ht="63">
      <c r="A207" s="139" t="s">
        <v>244</v>
      </c>
      <c r="B207" s="139" t="s">
        <v>3</v>
      </c>
      <c r="C207" s="139" t="s">
        <v>252</v>
      </c>
      <c r="D207" s="139" t="s">
        <v>2031</v>
      </c>
      <c r="E207" s="139" t="s">
        <v>3963</v>
      </c>
      <c r="F207" s="139" t="s">
        <v>4169</v>
      </c>
      <c r="G207" s="140" t="s">
        <v>4390</v>
      </c>
      <c r="H207" s="140" t="s">
        <v>245</v>
      </c>
      <c r="I207" s="140" t="s">
        <v>3778</v>
      </c>
      <c r="J207" s="139"/>
      <c r="K207" s="139"/>
      <c r="L207" s="139"/>
      <c r="M207" s="139"/>
      <c r="N207" s="140" t="s">
        <v>3962</v>
      </c>
      <c r="O207" s="140" t="s">
        <v>956</v>
      </c>
    </row>
    <row r="208" spans="1:15" ht="42">
      <c r="A208" s="139" t="s">
        <v>246</v>
      </c>
      <c r="B208" s="139" t="s">
        <v>3</v>
      </c>
      <c r="C208" s="139" t="s">
        <v>3562</v>
      </c>
      <c r="D208" s="139" t="s">
        <v>2031</v>
      </c>
      <c r="E208" s="139" t="s">
        <v>3530</v>
      </c>
      <c r="F208" s="139" t="s">
        <v>4162</v>
      </c>
      <c r="G208" s="140" t="s">
        <v>956</v>
      </c>
      <c r="H208" s="140" t="s">
        <v>247</v>
      </c>
      <c r="I208" s="140" t="s">
        <v>3779</v>
      </c>
      <c r="J208" s="139" t="s">
        <v>3956</v>
      </c>
      <c r="K208" s="139" t="s">
        <v>3957</v>
      </c>
      <c r="L208" s="139" t="s">
        <v>3958</v>
      </c>
      <c r="M208" s="139" t="s">
        <v>3959</v>
      </c>
      <c r="N208" s="140" t="s">
        <v>3788</v>
      </c>
      <c r="O208" s="140" t="s">
        <v>4297</v>
      </c>
    </row>
    <row r="209" spans="1:15" ht="42">
      <c r="A209" s="139" t="s">
        <v>248</v>
      </c>
      <c r="B209" s="139" t="s">
        <v>3</v>
      </c>
      <c r="C209" s="139" t="s">
        <v>3562</v>
      </c>
      <c r="D209" s="139" t="s">
        <v>2031</v>
      </c>
      <c r="E209" s="139" t="s">
        <v>3530</v>
      </c>
      <c r="F209" s="139" t="s">
        <v>4162</v>
      </c>
      <c r="G209" s="140" t="s">
        <v>956</v>
      </c>
      <c r="H209" s="140" t="s">
        <v>249</v>
      </c>
      <c r="I209" s="140" t="s">
        <v>3780</v>
      </c>
      <c r="J209" s="139" t="s">
        <v>1481</v>
      </c>
      <c r="K209" s="139" t="s">
        <v>1978</v>
      </c>
      <c r="L209" s="139" t="s">
        <v>2563</v>
      </c>
      <c r="M209" s="139" t="s">
        <v>2962</v>
      </c>
      <c r="N209" s="140" t="s">
        <v>3788</v>
      </c>
      <c r="O209" s="140" t="s">
        <v>4297</v>
      </c>
    </row>
    <row r="210" spans="1:15" ht="42">
      <c r="A210" s="139" t="s">
        <v>250</v>
      </c>
      <c r="B210" s="139" t="s">
        <v>3</v>
      </c>
      <c r="C210" s="139" t="s">
        <v>3562</v>
      </c>
      <c r="D210" s="139" t="s">
        <v>2031</v>
      </c>
      <c r="E210" s="139" t="s">
        <v>3530</v>
      </c>
      <c r="F210" s="139" t="s">
        <v>4162</v>
      </c>
      <c r="G210" s="140" t="s">
        <v>3782</v>
      </c>
      <c r="H210" s="140" t="s">
        <v>251</v>
      </c>
      <c r="I210" s="140" t="s">
        <v>3781</v>
      </c>
      <c r="J210" s="139" t="s">
        <v>2416</v>
      </c>
      <c r="K210" s="139" t="s">
        <v>1593</v>
      </c>
      <c r="L210" s="139" t="s">
        <v>2763</v>
      </c>
      <c r="M210" s="139" t="s">
        <v>1495</v>
      </c>
      <c r="N210" s="140" t="s">
        <v>3788</v>
      </c>
      <c r="O210" s="140" t="s">
        <v>4297</v>
      </c>
    </row>
  </sheetData>
  <autoFilter ref="A1:O210" xr:uid="{CF98360B-467A-9A40-9C12-19F5CA7BB25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5C39-F966-F142-B3BA-9477A3F75F81}">
  <dimension ref="A1:H316"/>
  <sheetViews>
    <sheetView workbookViewId="0">
      <pane ySplit="1" topLeftCell="A50" activePane="bottomLeft" state="frozen"/>
      <selection pane="bottomLeft" activeCell="E65" sqref="E65"/>
    </sheetView>
  </sheetViews>
  <sheetFormatPr baseColWidth="10" defaultRowHeight="20"/>
  <cols>
    <col min="1" max="1" width="15.7109375" customWidth="1"/>
    <col min="2" max="2" width="34.28515625" customWidth="1"/>
    <col min="3" max="3" width="45.7109375" customWidth="1"/>
    <col min="4" max="4" width="13.5703125" customWidth="1"/>
    <col min="5" max="5" width="31.42578125" customWidth="1"/>
    <col min="6" max="6" width="48.5703125" customWidth="1"/>
    <col min="7" max="7" width="22.85546875" customWidth="1"/>
    <col min="8" max="8" width="28.5703125" customWidth="1"/>
  </cols>
  <sheetData>
    <row r="1" spans="1:8">
      <c r="A1" s="135" t="s">
        <v>261</v>
      </c>
      <c r="B1" s="135" t="s">
        <v>4391</v>
      </c>
      <c r="C1" s="135" t="s">
        <v>4392</v>
      </c>
      <c r="D1" s="135" t="s">
        <v>1624</v>
      </c>
      <c r="E1" s="135" t="s">
        <v>4393</v>
      </c>
      <c r="F1" s="135" t="s">
        <v>4394</v>
      </c>
      <c r="G1" s="135" t="s">
        <v>2033</v>
      </c>
      <c r="H1" s="135" t="s">
        <v>1154</v>
      </c>
    </row>
    <row r="2" spans="1:8" ht="84">
      <c r="A2" s="162" t="s">
        <v>4161</v>
      </c>
      <c r="B2" s="164" t="s">
        <v>4164</v>
      </c>
      <c r="C2" s="164" t="s">
        <v>4165</v>
      </c>
      <c r="D2" s="139" t="s">
        <v>1626</v>
      </c>
      <c r="E2" s="140" t="s">
        <v>2171</v>
      </c>
      <c r="F2" s="140" t="s">
        <v>4002</v>
      </c>
      <c r="G2" s="139" t="s">
        <v>4162</v>
      </c>
      <c r="H2" s="140" t="s">
        <v>3788</v>
      </c>
    </row>
    <row r="3" spans="1:8" ht="84" customHeight="1">
      <c r="A3" s="163"/>
      <c r="B3" s="165"/>
      <c r="C3" s="165"/>
      <c r="D3" s="139" t="s">
        <v>4013</v>
      </c>
      <c r="E3" s="140" t="s">
        <v>4012</v>
      </c>
      <c r="F3" s="140" t="s">
        <v>4014</v>
      </c>
      <c r="G3" s="139" t="s">
        <v>4162</v>
      </c>
      <c r="H3" s="140" t="s">
        <v>3788</v>
      </c>
    </row>
    <row r="4" spans="1:8" ht="84">
      <c r="A4" s="139" t="s">
        <v>4168</v>
      </c>
      <c r="B4" s="140" t="s">
        <v>4171</v>
      </c>
      <c r="C4" s="140" t="s">
        <v>4165</v>
      </c>
      <c r="D4" s="139" t="s">
        <v>1626</v>
      </c>
      <c r="E4" s="140" t="s">
        <v>2171</v>
      </c>
      <c r="F4" s="140" t="s">
        <v>4002</v>
      </c>
      <c r="G4" s="139" t="s">
        <v>4169</v>
      </c>
      <c r="H4" s="140" t="s">
        <v>4172</v>
      </c>
    </row>
    <row r="5" spans="1:8" ht="42">
      <c r="A5" s="162" t="s">
        <v>7</v>
      </c>
      <c r="B5" s="164" t="s">
        <v>3528</v>
      </c>
      <c r="C5" s="164" t="s">
        <v>3529</v>
      </c>
      <c r="D5" s="139" t="s">
        <v>1631</v>
      </c>
      <c r="E5" s="140" t="s">
        <v>3296</v>
      </c>
      <c r="F5" s="140" t="s">
        <v>2262</v>
      </c>
      <c r="G5" s="139" t="s">
        <v>4162</v>
      </c>
      <c r="H5" s="140" t="s">
        <v>3788</v>
      </c>
    </row>
    <row r="6" spans="1:8" ht="42">
      <c r="A6" s="163"/>
      <c r="B6" s="165"/>
      <c r="C6" s="165"/>
      <c r="D6" s="139" t="s">
        <v>2255</v>
      </c>
      <c r="E6" s="140" t="s">
        <v>2206</v>
      </c>
      <c r="F6" s="140" t="s">
        <v>4009</v>
      </c>
      <c r="G6" s="139" t="s">
        <v>4162</v>
      </c>
      <c r="H6" s="140" t="s">
        <v>3788</v>
      </c>
    </row>
    <row r="7" spans="1:8" ht="42">
      <c r="A7" s="162" t="s">
        <v>8</v>
      </c>
      <c r="B7" s="164" t="s">
        <v>9</v>
      </c>
      <c r="C7" s="164" t="s">
        <v>3531</v>
      </c>
      <c r="D7" s="139" t="s">
        <v>1631</v>
      </c>
      <c r="E7" s="140" t="s">
        <v>3296</v>
      </c>
      <c r="F7" s="140" t="s">
        <v>2262</v>
      </c>
      <c r="G7" s="139" t="s">
        <v>4162</v>
      </c>
      <c r="H7" s="140" t="s">
        <v>3788</v>
      </c>
    </row>
    <row r="8" spans="1:8" ht="42">
      <c r="A8" s="163"/>
      <c r="B8" s="165"/>
      <c r="C8" s="165"/>
      <c r="D8" s="139" t="s">
        <v>2255</v>
      </c>
      <c r="E8" s="140" t="s">
        <v>2206</v>
      </c>
      <c r="F8" s="140" t="s">
        <v>4009</v>
      </c>
      <c r="G8" s="139" t="s">
        <v>4162</v>
      </c>
      <c r="H8" s="140" t="s">
        <v>3788</v>
      </c>
    </row>
    <row r="9" spans="1:8" ht="42">
      <c r="A9" s="139" t="s">
        <v>10</v>
      </c>
      <c r="B9" s="140" t="s">
        <v>11</v>
      </c>
      <c r="C9" s="140" t="s">
        <v>3532</v>
      </c>
      <c r="D9" s="139" t="s">
        <v>1687</v>
      </c>
      <c r="E9" s="140" t="s">
        <v>3304</v>
      </c>
      <c r="F9" s="140" t="s">
        <v>2283</v>
      </c>
      <c r="G9" s="139" t="s">
        <v>4162</v>
      </c>
      <c r="H9" s="140" t="s">
        <v>3788</v>
      </c>
    </row>
    <row r="10" spans="1:8" ht="42">
      <c r="A10" s="139" t="s">
        <v>12</v>
      </c>
      <c r="B10" s="140" t="s">
        <v>13</v>
      </c>
      <c r="C10" s="140" t="s">
        <v>3533</v>
      </c>
      <c r="D10" s="139" t="s">
        <v>1688</v>
      </c>
      <c r="E10" s="140" t="s">
        <v>4711</v>
      </c>
      <c r="F10" s="140" t="s">
        <v>4712</v>
      </c>
      <c r="G10" s="139" t="s">
        <v>956</v>
      </c>
      <c r="H10" s="140" t="s">
        <v>3575</v>
      </c>
    </row>
    <row r="11" spans="1:8" ht="42">
      <c r="A11" s="139" t="s">
        <v>14</v>
      </c>
      <c r="B11" s="140" t="s">
        <v>3536</v>
      </c>
      <c r="C11" s="140" t="s">
        <v>3537</v>
      </c>
      <c r="D11" s="139" t="s">
        <v>956</v>
      </c>
      <c r="E11" s="140" t="s">
        <v>4395</v>
      </c>
      <c r="F11" s="140" t="s">
        <v>3538</v>
      </c>
      <c r="G11" s="139" t="s">
        <v>956</v>
      </c>
      <c r="H11" s="140" t="s">
        <v>3575</v>
      </c>
    </row>
    <row r="12" spans="1:8" ht="42">
      <c r="A12" s="139" t="s">
        <v>15</v>
      </c>
      <c r="B12" s="140" t="s">
        <v>3539</v>
      </c>
      <c r="C12" s="140" t="s">
        <v>3540</v>
      </c>
      <c r="D12" s="139" t="s">
        <v>956</v>
      </c>
      <c r="E12" s="140" t="s">
        <v>4395</v>
      </c>
      <c r="F12" s="140" t="s">
        <v>3541</v>
      </c>
      <c r="G12" s="139" t="s">
        <v>956</v>
      </c>
      <c r="H12" s="140" t="s">
        <v>3575</v>
      </c>
    </row>
    <row r="13" spans="1:8" ht="42">
      <c r="A13" s="139" t="s">
        <v>16</v>
      </c>
      <c r="B13" s="140" t="s">
        <v>17</v>
      </c>
      <c r="C13" s="140" t="s">
        <v>3542</v>
      </c>
      <c r="D13" s="139" t="s">
        <v>956</v>
      </c>
      <c r="E13" s="140" t="s">
        <v>4395</v>
      </c>
      <c r="F13" s="140" t="s">
        <v>3544</v>
      </c>
      <c r="G13" s="139" t="s">
        <v>956</v>
      </c>
      <c r="H13" s="140" t="s">
        <v>3575</v>
      </c>
    </row>
    <row r="14" spans="1:8" ht="84">
      <c r="A14" s="139" t="s">
        <v>18</v>
      </c>
      <c r="B14" s="140" t="s">
        <v>19</v>
      </c>
      <c r="C14" s="140" t="s">
        <v>3545</v>
      </c>
      <c r="D14" s="139" t="s">
        <v>1626</v>
      </c>
      <c r="E14" s="140" t="s">
        <v>2171</v>
      </c>
      <c r="F14" s="140" t="s">
        <v>4002</v>
      </c>
      <c r="G14" s="139" t="s">
        <v>4169</v>
      </c>
      <c r="H14" s="140" t="s">
        <v>4172</v>
      </c>
    </row>
    <row r="15" spans="1:8" ht="84">
      <c r="A15" s="139" t="s">
        <v>20</v>
      </c>
      <c r="B15" s="140" t="s">
        <v>3547</v>
      </c>
      <c r="C15" s="140" t="s">
        <v>3548</v>
      </c>
      <c r="D15" s="139" t="s">
        <v>1626</v>
      </c>
      <c r="E15" s="140" t="s">
        <v>2171</v>
      </c>
      <c r="F15" s="140" t="s">
        <v>4002</v>
      </c>
      <c r="G15" s="139" t="s">
        <v>4169</v>
      </c>
      <c r="H15" s="140" t="s">
        <v>4172</v>
      </c>
    </row>
    <row r="16" spans="1:8" ht="42">
      <c r="A16" s="139" t="s">
        <v>21</v>
      </c>
      <c r="B16" s="140" t="s">
        <v>3550</v>
      </c>
      <c r="C16" s="140" t="s">
        <v>3551</v>
      </c>
      <c r="D16" s="139" t="s">
        <v>1646</v>
      </c>
      <c r="E16" s="140" t="s">
        <v>1856</v>
      </c>
      <c r="F16" s="140" t="s">
        <v>2269</v>
      </c>
      <c r="G16" s="139" t="s">
        <v>4169</v>
      </c>
      <c r="H16" s="140" t="s">
        <v>4174</v>
      </c>
    </row>
    <row r="17" spans="1:8" ht="84">
      <c r="A17" s="139" t="s">
        <v>22</v>
      </c>
      <c r="B17" s="140" t="s">
        <v>23</v>
      </c>
      <c r="C17" s="140" t="s">
        <v>3552</v>
      </c>
      <c r="D17" s="139" t="s">
        <v>1626</v>
      </c>
      <c r="E17" s="140" t="s">
        <v>2171</v>
      </c>
      <c r="F17" s="140" t="s">
        <v>4002</v>
      </c>
      <c r="G17" s="139" t="s">
        <v>4169</v>
      </c>
      <c r="H17" s="140" t="s">
        <v>4172</v>
      </c>
    </row>
    <row r="18" spans="1:8" ht="21">
      <c r="A18" s="139" t="s">
        <v>24</v>
      </c>
      <c r="B18" s="140" t="s">
        <v>3553</v>
      </c>
      <c r="C18" s="140" t="s">
        <v>3554</v>
      </c>
      <c r="D18" s="139" t="s">
        <v>1644</v>
      </c>
      <c r="E18" s="140" t="s">
        <v>1854</v>
      </c>
      <c r="F18" s="140" t="s">
        <v>3315</v>
      </c>
      <c r="G18" s="139" t="s">
        <v>4169</v>
      </c>
      <c r="H18" s="140" t="s">
        <v>3962</v>
      </c>
    </row>
    <row r="19" spans="1:8" ht="21">
      <c r="A19" s="139" t="s">
        <v>25</v>
      </c>
      <c r="B19" s="140" t="s">
        <v>26</v>
      </c>
      <c r="C19" s="140" t="s">
        <v>3555</v>
      </c>
      <c r="D19" s="139" t="s">
        <v>1645</v>
      </c>
      <c r="E19" s="140" t="s">
        <v>1855</v>
      </c>
      <c r="F19" s="140" t="s">
        <v>1771</v>
      </c>
      <c r="G19" s="139" t="s">
        <v>4169</v>
      </c>
      <c r="H19" s="140" t="s">
        <v>3962</v>
      </c>
    </row>
    <row r="20" spans="1:8" ht="42">
      <c r="A20" s="139" t="s">
        <v>3556</v>
      </c>
      <c r="B20" s="140" t="s">
        <v>3557</v>
      </c>
      <c r="C20" s="140" t="s">
        <v>3558</v>
      </c>
      <c r="D20" s="139" t="s">
        <v>956</v>
      </c>
      <c r="E20" s="140" t="s">
        <v>4395</v>
      </c>
      <c r="F20" s="140" t="s">
        <v>3559</v>
      </c>
      <c r="G20" s="139" t="s">
        <v>956</v>
      </c>
      <c r="H20" s="140" t="s">
        <v>3575</v>
      </c>
    </row>
    <row r="21" spans="1:8" ht="42">
      <c r="A21" s="139" t="s">
        <v>4175</v>
      </c>
      <c r="B21" s="140" t="s">
        <v>2200</v>
      </c>
      <c r="C21" s="140" t="s">
        <v>4177</v>
      </c>
      <c r="D21" s="139" t="s">
        <v>2248</v>
      </c>
      <c r="E21" s="140" t="s">
        <v>2200</v>
      </c>
      <c r="F21" s="140" t="s">
        <v>4005</v>
      </c>
      <c r="G21" s="139" t="s">
        <v>4162</v>
      </c>
      <c r="H21" s="140" t="s">
        <v>4178</v>
      </c>
    </row>
    <row r="22" spans="1:8" ht="42">
      <c r="A22" s="162" t="s">
        <v>27</v>
      </c>
      <c r="B22" s="164" t="s">
        <v>3560</v>
      </c>
      <c r="C22" s="164" t="s">
        <v>3561</v>
      </c>
      <c r="D22" s="139" t="s">
        <v>1631</v>
      </c>
      <c r="E22" s="140" t="s">
        <v>3296</v>
      </c>
      <c r="F22" s="140" t="s">
        <v>2262</v>
      </c>
      <c r="G22" s="139" t="s">
        <v>4162</v>
      </c>
      <c r="H22" s="140" t="s">
        <v>3788</v>
      </c>
    </row>
    <row r="23" spans="1:8" ht="21">
      <c r="A23" s="163"/>
      <c r="B23" s="165"/>
      <c r="C23" s="165"/>
      <c r="D23" s="139" t="s">
        <v>1674</v>
      </c>
      <c r="E23" s="140" t="s">
        <v>3302</v>
      </c>
      <c r="F23" s="140" t="s">
        <v>3338</v>
      </c>
      <c r="G23" s="139" t="s">
        <v>4162</v>
      </c>
      <c r="H23" s="140" t="s">
        <v>3788</v>
      </c>
    </row>
    <row r="24" spans="1:8" ht="42">
      <c r="A24" s="162" t="s">
        <v>28</v>
      </c>
      <c r="B24" s="164" t="s">
        <v>3563</v>
      </c>
      <c r="C24" s="164" t="s">
        <v>3564</v>
      </c>
      <c r="D24" s="139" t="s">
        <v>1631</v>
      </c>
      <c r="E24" s="140" t="s">
        <v>3296</v>
      </c>
      <c r="F24" s="140" t="s">
        <v>2262</v>
      </c>
      <c r="G24" s="139" t="s">
        <v>4162</v>
      </c>
      <c r="H24" s="140" t="s">
        <v>3788</v>
      </c>
    </row>
    <row r="25" spans="1:8" ht="21">
      <c r="A25" s="163"/>
      <c r="B25" s="165"/>
      <c r="C25" s="165"/>
      <c r="D25" s="139" t="s">
        <v>1674</v>
      </c>
      <c r="E25" s="140" t="s">
        <v>3302</v>
      </c>
      <c r="F25" s="140" t="s">
        <v>3338</v>
      </c>
      <c r="G25" s="139" t="s">
        <v>4162</v>
      </c>
      <c r="H25" s="140" t="s">
        <v>3788</v>
      </c>
    </row>
    <row r="26" spans="1:8" ht="42">
      <c r="A26" s="162" t="s">
        <v>29</v>
      </c>
      <c r="B26" s="164" t="s">
        <v>3565</v>
      </c>
      <c r="C26" s="164" t="s">
        <v>3566</v>
      </c>
      <c r="D26" s="139" t="s">
        <v>1631</v>
      </c>
      <c r="E26" s="140" t="s">
        <v>3296</v>
      </c>
      <c r="F26" s="140" t="s">
        <v>2262</v>
      </c>
      <c r="G26" s="139" t="s">
        <v>4162</v>
      </c>
      <c r="H26" s="140" t="s">
        <v>3788</v>
      </c>
    </row>
    <row r="27" spans="1:8" ht="21">
      <c r="A27" s="163"/>
      <c r="B27" s="165"/>
      <c r="C27" s="165"/>
      <c r="D27" s="139" t="s">
        <v>1674</v>
      </c>
      <c r="E27" s="140" t="s">
        <v>3302</v>
      </c>
      <c r="F27" s="140" t="s">
        <v>3338</v>
      </c>
      <c r="G27" s="139" t="s">
        <v>4162</v>
      </c>
      <c r="H27" s="140" t="s">
        <v>3788</v>
      </c>
    </row>
    <row r="28" spans="1:8" ht="42">
      <c r="A28" s="162" t="s">
        <v>30</v>
      </c>
      <c r="B28" s="164" t="s">
        <v>3567</v>
      </c>
      <c r="C28" s="164" t="s">
        <v>3568</v>
      </c>
      <c r="D28" s="139" t="s">
        <v>1631</v>
      </c>
      <c r="E28" s="140" t="s">
        <v>3296</v>
      </c>
      <c r="F28" s="140" t="s">
        <v>2262</v>
      </c>
      <c r="G28" s="139" t="s">
        <v>4162</v>
      </c>
      <c r="H28" s="140" t="s">
        <v>3788</v>
      </c>
    </row>
    <row r="29" spans="1:8" ht="21">
      <c r="A29" s="163"/>
      <c r="B29" s="165"/>
      <c r="C29" s="165"/>
      <c r="D29" s="139" t="s">
        <v>1674</v>
      </c>
      <c r="E29" s="140" t="s">
        <v>3302</v>
      </c>
      <c r="F29" s="140" t="s">
        <v>3338</v>
      </c>
      <c r="G29" s="139" t="s">
        <v>4162</v>
      </c>
      <c r="H29" s="140" t="s">
        <v>3788</v>
      </c>
    </row>
    <row r="30" spans="1:8" ht="42">
      <c r="A30" s="162" t="s">
        <v>31</v>
      </c>
      <c r="B30" s="164" t="s">
        <v>3570</v>
      </c>
      <c r="C30" s="164" t="s">
        <v>3571</v>
      </c>
      <c r="D30" s="139" t="s">
        <v>1633</v>
      </c>
      <c r="E30" s="140" t="s">
        <v>3297</v>
      </c>
      <c r="F30" s="140" t="s">
        <v>2263</v>
      </c>
      <c r="G30" s="139" t="s">
        <v>4162</v>
      </c>
      <c r="H30" s="140" t="s">
        <v>3788</v>
      </c>
    </row>
    <row r="31" spans="1:8" ht="42" customHeight="1">
      <c r="A31" s="163"/>
      <c r="B31" s="165"/>
      <c r="C31" s="165"/>
      <c r="D31" s="139" t="s">
        <v>1674</v>
      </c>
      <c r="E31" s="140" t="s">
        <v>3302</v>
      </c>
      <c r="F31" s="140" t="s">
        <v>3338</v>
      </c>
      <c r="G31" s="139" t="s">
        <v>4162</v>
      </c>
      <c r="H31" s="140" t="s">
        <v>3788</v>
      </c>
    </row>
    <row r="32" spans="1:8" ht="42">
      <c r="A32" s="162" t="s">
        <v>32</v>
      </c>
      <c r="B32" s="164" t="s">
        <v>3572</v>
      </c>
      <c r="C32" s="164" t="s">
        <v>4180</v>
      </c>
      <c r="D32" s="139" t="s">
        <v>1689</v>
      </c>
      <c r="E32" s="140" t="s">
        <v>1848</v>
      </c>
      <c r="F32" s="140" t="s">
        <v>3984</v>
      </c>
      <c r="G32" s="139" t="s">
        <v>4162</v>
      </c>
      <c r="H32" s="140" t="s">
        <v>3788</v>
      </c>
    </row>
    <row r="33" spans="1:8" ht="42">
      <c r="A33" s="163"/>
      <c r="B33" s="165"/>
      <c r="C33" s="165"/>
      <c r="D33" s="139" t="s">
        <v>1690</v>
      </c>
      <c r="E33" s="140" t="s">
        <v>3305</v>
      </c>
      <c r="F33" s="140" t="s">
        <v>3350</v>
      </c>
      <c r="G33" s="139" t="s">
        <v>4162</v>
      </c>
      <c r="H33" s="140" t="s">
        <v>3788</v>
      </c>
    </row>
    <row r="34" spans="1:8" ht="21">
      <c r="A34" s="139" t="s">
        <v>33</v>
      </c>
      <c r="B34" s="140" t="s">
        <v>34</v>
      </c>
      <c r="C34" s="140" t="s">
        <v>3574</v>
      </c>
      <c r="D34" s="139" t="s">
        <v>956</v>
      </c>
      <c r="E34" s="140" t="s">
        <v>4395</v>
      </c>
      <c r="F34" s="140" t="s">
        <v>3575</v>
      </c>
      <c r="G34" s="139" t="s">
        <v>956</v>
      </c>
      <c r="H34" s="140" t="s">
        <v>3575</v>
      </c>
    </row>
    <row r="35" spans="1:8" ht="42">
      <c r="A35" s="162" t="s">
        <v>36</v>
      </c>
      <c r="B35" s="164" t="s">
        <v>3576</v>
      </c>
      <c r="C35" s="164" t="s">
        <v>3577</v>
      </c>
      <c r="D35" s="139" t="s">
        <v>1631</v>
      </c>
      <c r="E35" s="140" t="s">
        <v>3296</v>
      </c>
      <c r="F35" s="140" t="s">
        <v>2262</v>
      </c>
      <c r="G35" s="139" t="s">
        <v>4162</v>
      </c>
      <c r="H35" s="140" t="s">
        <v>3788</v>
      </c>
    </row>
    <row r="36" spans="1:8" ht="42">
      <c r="A36" s="166"/>
      <c r="B36" s="167"/>
      <c r="C36" s="167"/>
      <c r="D36" s="139" t="s">
        <v>1649</v>
      </c>
      <c r="E36" s="140" t="s">
        <v>2193</v>
      </c>
      <c r="F36" s="140" t="s">
        <v>4000</v>
      </c>
      <c r="G36" s="139" t="s">
        <v>4162</v>
      </c>
      <c r="H36" s="140" t="s">
        <v>3788</v>
      </c>
    </row>
    <row r="37" spans="1:8" ht="63">
      <c r="A37" s="163"/>
      <c r="B37" s="165"/>
      <c r="C37" s="165"/>
      <c r="D37" s="139" t="s">
        <v>1651</v>
      </c>
      <c r="E37" s="140" t="s">
        <v>4696</v>
      </c>
      <c r="F37" s="140" t="s">
        <v>4697</v>
      </c>
      <c r="G37" s="139" t="s">
        <v>4162</v>
      </c>
      <c r="H37" s="140" t="s">
        <v>3788</v>
      </c>
    </row>
    <row r="38" spans="1:8" ht="42">
      <c r="A38" s="162" t="s">
        <v>37</v>
      </c>
      <c r="B38" s="164" t="s">
        <v>3578</v>
      </c>
      <c r="C38" s="164" t="s">
        <v>3579</v>
      </c>
      <c r="D38" s="139" t="s">
        <v>1650</v>
      </c>
      <c r="E38" s="140" t="s">
        <v>1857</v>
      </c>
      <c r="F38" s="140" t="s">
        <v>2264</v>
      </c>
      <c r="G38" s="139" t="s">
        <v>4162</v>
      </c>
      <c r="H38" s="140" t="s">
        <v>3788</v>
      </c>
    </row>
    <row r="39" spans="1:8" ht="63">
      <c r="A39" s="166"/>
      <c r="B39" s="167"/>
      <c r="C39" s="167"/>
      <c r="D39" s="139" t="s">
        <v>1651</v>
      </c>
      <c r="E39" s="140" t="s">
        <v>4696</v>
      </c>
      <c r="F39" s="140" t="s">
        <v>4697</v>
      </c>
      <c r="G39" s="139" t="s">
        <v>4162</v>
      </c>
      <c r="H39" s="140" t="s">
        <v>3788</v>
      </c>
    </row>
    <row r="40" spans="1:8" ht="42">
      <c r="A40" s="163"/>
      <c r="B40" s="165"/>
      <c r="C40" s="165"/>
      <c r="D40" s="139" t="s">
        <v>1652</v>
      </c>
      <c r="E40" s="140" t="s">
        <v>4705</v>
      </c>
      <c r="F40" s="140" t="s">
        <v>3321</v>
      </c>
      <c r="G40" s="139" t="s">
        <v>4162</v>
      </c>
      <c r="H40" s="140" t="s">
        <v>3788</v>
      </c>
    </row>
    <row r="41" spans="1:8" ht="42">
      <c r="A41" s="162" t="s">
        <v>38</v>
      </c>
      <c r="B41" s="164" t="s">
        <v>3580</v>
      </c>
      <c r="C41" s="164" t="s">
        <v>3581</v>
      </c>
      <c r="D41" s="139" t="s">
        <v>1685</v>
      </c>
      <c r="E41" s="140" t="s">
        <v>3303</v>
      </c>
      <c r="F41" s="140" t="s">
        <v>3345</v>
      </c>
      <c r="G41" s="139" t="s">
        <v>4162</v>
      </c>
      <c r="H41" s="140" t="s">
        <v>3788</v>
      </c>
    </row>
    <row r="42" spans="1:8" ht="42">
      <c r="A42" s="163"/>
      <c r="B42" s="165"/>
      <c r="C42" s="165"/>
      <c r="D42" s="139" t="s">
        <v>2224</v>
      </c>
      <c r="E42" s="140" t="s">
        <v>2172</v>
      </c>
      <c r="F42" s="140" t="s">
        <v>3354</v>
      </c>
      <c r="G42" s="139" t="s">
        <v>4162</v>
      </c>
      <c r="H42" s="140" t="s">
        <v>3788</v>
      </c>
    </row>
    <row r="43" spans="1:8" ht="42" customHeight="1">
      <c r="A43" s="162" t="s">
        <v>4182</v>
      </c>
      <c r="B43" s="164" t="s">
        <v>4184</v>
      </c>
      <c r="C43" s="164" t="s">
        <v>3582</v>
      </c>
      <c r="D43" s="139" t="s">
        <v>1672</v>
      </c>
      <c r="E43" s="140" t="s">
        <v>1929</v>
      </c>
      <c r="F43" s="140" t="s">
        <v>3336</v>
      </c>
      <c r="G43" s="139" t="s">
        <v>4162</v>
      </c>
      <c r="H43" s="140" t="s">
        <v>3788</v>
      </c>
    </row>
    <row r="44" spans="1:8" ht="42" customHeight="1">
      <c r="A44" s="166"/>
      <c r="B44" s="167"/>
      <c r="C44" s="167"/>
      <c r="D44" s="139" t="s">
        <v>1674</v>
      </c>
      <c r="E44" s="140" t="s">
        <v>3302</v>
      </c>
      <c r="F44" s="140" t="s">
        <v>3338</v>
      </c>
      <c r="G44" s="139" t="s">
        <v>4162</v>
      </c>
      <c r="H44" s="140" t="s">
        <v>3788</v>
      </c>
    </row>
    <row r="45" spans="1:8" ht="42">
      <c r="A45" s="166"/>
      <c r="B45" s="167"/>
      <c r="C45" s="167"/>
      <c r="D45" s="139" t="s">
        <v>1675</v>
      </c>
      <c r="E45" s="140" t="s">
        <v>1869</v>
      </c>
      <c r="F45" s="140" t="s">
        <v>2278</v>
      </c>
      <c r="G45" s="139" t="s">
        <v>4162</v>
      </c>
      <c r="H45" s="140" t="s">
        <v>3788</v>
      </c>
    </row>
    <row r="46" spans="1:8" ht="42">
      <c r="A46" s="163"/>
      <c r="B46" s="165"/>
      <c r="C46" s="165"/>
      <c r="D46" s="139" t="s">
        <v>1696</v>
      </c>
      <c r="E46" s="140" t="s">
        <v>4708</v>
      </c>
      <c r="F46" s="140" t="s">
        <v>3339</v>
      </c>
      <c r="G46" s="139" t="s">
        <v>4162</v>
      </c>
      <c r="H46" s="140" t="s">
        <v>3788</v>
      </c>
    </row>
    <row r="47" spans="1:8" ht="42">
      <c r="A47" s="139" t="s">
        <v>4185</v>
      </c>
      <c r="B47" s="140" t="s">
        <v>4188</v>
      </c>
      <c r="C47" s="140" t="s">
        <v>3582</v>
      </c>
      <c r="D47" s="139" t="s">
        <v>1675</v>
      </c>
      <c r="E47" s="140" t="s">
        <v>1869</v>
      </c>
      <c r="F47" s="140" t="s">
        <v>2278</v>
      </c>
      <c r="G47" s="139" t="s">
        <v>4186</v>
      </c>
      <c r="H47" s="140" t="s">
        <v>3964</v>
      </c>
    </row>
    <row r="48" spans="1:8" ht="42">
      <c r="A48" s="162" t="s">
        <v>4189</v>
      </c>
      <c r="B48" s="164" t="s">
        <v>4191</v>
      </c>
      <c r="C48" s="164" t="s">
        <v>4192</v>
      </c>
      <c r="D48" s="139" t="s">
        <v>1631</v>
      </c>
      <c r="E48" s="140" t="s">
        <v>3296</v>
      </c>
      <c r="F48" s="140" t="s">
        <v>2262</v>
      </c>
      <c r="G48" s="139" t="s">
        <v>4162</v>
      </c>
      <c r="H48" s="140" t="s">
        <v>3788</v>
      </c>
    </row>
    <row r="49" spans="1:8" ht="126">
      <c r="A49" s="163"/>
      <c r="B49" s="165"/>
      <c r="C49" s="165"/>
      <c r="D49" s="139" t="s">
        <v>1635</v>
      </c>
      <c r="E49" s="140" t="s">
        <v>3313</v>
      </c>
      <c r="F49" s="140" t="s">
        <v>4001</v>
      </c>
      <c r="G49" s="139" t="s">
        <v>4162</v>
      </c>
      <c r="H49" s="140" t="s">
        <v>3788</v>
      </c>
    </row>
    <row r="50" spans="1:8" ht="42">
      <c r="A50" s="139" t="s">
        <v>4197</v>
      </c>
      <c r="B50" s="140" t="s">
        <v>4199</v>
      </c>
      <c r="C50" s="140" t="s">
        <v>4192</v>
      </c>
      <c r="D50" s="139" t="s">
        <v>1631</v>
      </c>
      <c r="E50" s="140" t="s">
        <v>3296</v>
      </c>
      <c r="F50" s="140" t="s">
        <v>2262</v>
      </c>
      <c r="G50" s="139" t="s">
        <v>4186</v>
      </c>
      <c r="H50" s="140" t="s">
        <v>3964</v>
      </c>
    </row>
    <row r="51" spans="1:8" ht="63" customHeight="1">
      <c r="A51" s="162" t="s">
        <v>40</v>
      </c>
      <c r="B51" s="164" t="s">
        <v>4200</v>
      </c>
      <c r="C51" s="164" t="s">
        <v>4201</v>
      </c>
      <c r="D51" s="139" t="s">
        <v>1628</v>
      </c>
      <c r="E51" s="140" t="s">
        <v>3294</v>
      </c>
      <c r="F51" s="140" t="s">
        <v>3310</v>
      </c>
      <c r="G51" s="139" t="s">
        <v>4162</v>
      </c>
      <c r="H51" s="140" t="s">
        <v>3788</v>
      </c>
    </row>
    <row r="52" spans="1:8" ht="63" customHeight="1">
      <c r="A52" s="166"/>
      <c r="B52" s="167"/>
      <c r="C52" s="167"/>
      <c r="D52" s="139" t="s">
        <v>1629</v>
      </c>
      <c r="E52" s="140" t="s">
        <v>1850</v>
      </c>
      <c r="F52" s="140" t="s">
        <v>3311</v>
      </c>
      <c r="G52" s="139" t="s">
        <v>4162</v>
      </c>
      <c r="H52" s="140" t="s">
        <v>3788</v>
      </c>
    </row>
    <row r="53" spans="1:8" ht="63" customHeight="1">
      <c r="A53" s="166"/>
      <c r="B53" s="167"/>
      <c r="C53" s="167"/>
      <c r="D53" s="139" t="s">
        <v>1630</v>
      </c>
      <c r="E53" s="140" t="s">
        <v>3295</v>
      </c>
      <c r="F53" s="140" t="s">
        <v>3312</v>
      </c>
      <c r="G53" s="139" t="s">
        <v>4162</v>
      </c>
      <c r="H53" s="140" t="s">
        <v>3788</v>
      </c>
    </row>
    <row r="54" spans="1:8" ht="63" customHeight="1">
      <c r="A54" s="163"/>
      <c r="B54" s="165"/>
      <c r="C54" s="165"/>
      <c r="D54" s="139" t="s">
        <v>2219</v>
      </c>
      <c r="E54" s="140" t="s">
        <v>2164</v>
      </c>
      <c r="F54" s="140" t="s">
        <v>3319</v>
      </c>
      <c r="G54" s="139" t="s">
        <v>4162</v>
      </c>
      <c r="H54" s="140" t="s">
        <v>3788</v>
      </c>
    </row>
    <row r="55" spans="1:8" ht="21">
      <c r="A55" s="139" t="s">
        <v>35</v>
      </c>
      <c r="B55" s="140" t="s">
        <v>3583</v>
      </c>
      <c r="C55" s="140" t="s">
        <v>3584</v>
      </c>
      <c r="D55" s="139" t="s">
        <v>956</v>
      </c>
      <c r="E55" s="140" t="s">
        <v>4395</v>
      </c>
      <c r="F55" s="140" t="s">
        <v>3575</v>
      </c>
      <c r="G55" s="139" t="s">
        <v>956</v>
      </c>
      <c r="H55" s="140" t="s">
        <v>3575</v>
      </c>
    </row>
    <row r="56" spans="1:8" ht="126">
      <c r="A56" s="139" t="s">
        <v>4078</v>
      </c>
      <c r="B56" s="140" t="s">
        <v>4203</v>
      </c>
      <c r="C56" s="140" t="s">
        <v>4204</v>
      </c>
      <c r="D56" s="139" t="s">
        <v>1635</v>
      </c>
      <c r="E56" s="140" t="s">
        <v>3313</v>
      </c>
      <c r="F56" s="140" t="s">
        <v>4001</v>
      </c>
      <c r="G56" s="139" t="s">
        <v>4162</v>
      </c>
      <c r="H56" s="140" t="s">
        <v>3788</v>
      </c>
    </row>
    <row r="57" spans="1:8" ht="42">
      <c r="A57" s="162" t="s">
        <v>41</v>
      </c>
      <c r="B57" s="164" t="s">
        <v>3585</v>
      </c>
      <c r="C57" s="164" t="s">
        <v>3586</v>
      </c>
      <c r="D57" s="139" t="s">
        <v>1636</v>
      </c>
      <c r="E57" s="140" t="s">
        <v>4693</v>
      </c>
      <c r="F57" s="140" t="s">
        <v>4694</v>
      </c>
      <c r="G57" s="139" t="s">
        <v>4169</v>
      </c>
      <c r="H57" s="140" t="s">
        <v>3962</v>
      </c>
    </row>
    <row r="58" spans="1:8" ht="42">
      <c r="A58" s="163"/>
      <c r="B58" s="165"/>
      <c r="C58" s="165"/>
      <c r="D58" s="139" t="s">
        <v>1638</v>
      </c>
      <c r="E58" s="140" t="s">
        <v>4574</v>
      </c>
      <c r="F58" s="140" t="s">
        <v>4695</v>
      </c>
      <c r="G58" s="139" t="s">
        <v>4169</v>
      </c>
      <c r="H58" s="140" t="s">
        <v>3962</v>
      </c>
    </row>
    <row r="59" spans="1:8" ht="42">
      <c r="A59" s="162" t="s">
        <v>42</v>
      </c>
      <c r="B59" s="164" t="s">
        <v>43</v>
      </c>
      <c r="C59" s="164" t="s">
        <v>3588</v>
      </c>
      <c r="D59" s="139" t="s">
        <v>1636</v>
      </c>
      <c r="E59" s="140" t="s">
        <v>4693</v>
      </c>
      <c r="F59" s="140" t="s">
        <v>4694</v>
      </c>
      <c r="G59" s="139" t="s">
        <v>4169</v>
      </c>
      <c r="H59" s="140" t="s">
        <v>3962</v>
      </c>
    </row>
    <row r="60" spans="1:8" ht="42">
      <c r="A60" s="163"/>
      <c r="B60" s="165"/>
      <c r="C60" s="165"/>
      <c r="D60" s="139" t="s">
        <v>1638</v>
      </c>
      <c r="E60" s="140" t="s">
        <v>4574</v>
      </c>
      <c r="F60" s="140" t="s">
        <v>4695</v>
      </c>
      <c r="G60" s="139" t="s">
        <v>4169</v>
      </c>
      <c r="H60" s="140" t="s">
        <v>3962</v>
      </c>
    </row>
    <row r="61" spans="1:8" ht="21">
      <c r="A61" s="139" t="s">
        <v>44</v>
      </c>
      <c r="B61" s="140" t="s">
        <v>45</v>
      </c>
      <c r="C61" s="140" t="s">
        <v>3589</v>
      </c>
      <c r="D61" s="139" t="s">
        <v>956</v>
      </c>
      <c r="E61" s="140" t="s">
        <v>4395</v>
      </c>
      <c r="F61" s="140" t="s">
        <v>3575</v>
      </c>
      <c r="G61" s="139" t="s">
        <v>956</v>
      </c>
      <c r="H61" s="140" t="s">
        <v>3575</v>
      </c>
    </row>
    <row r="62" spans="1:8" ht="21">
      <c r="A62" s="139" t="s">
        <v>46</v>
      </c>
      <c r="B62" s="140" t="s">
        <v>3590</v>
      </c>
      <c r="C62" s="140" t="s">
        <v>3591</v>
      </c>
      <c r="D62" s="139" t="s">
        <v>956</v>
      </c>
      <c r="E62" s="140" t="s">
        <v>4395</v>
      </c>
      <c r="F62" s="140" t="s">
        <v>3575</v>
      </c>
      <c r="G62" s="139" t="s">
        <v>956</v>
      </c>
      <c r="H62" s="140" t="s">
        <v>3575</v>
      </c>
    </row>
    <row r="63" spans="1:8" ht="42">
      <c r="A63" s="139" t="s">
        <v>47</v>
      </c>
      <c r="B63" s="140" t="s">
        <v>3592</v>
      </c>
      <c r="C63" s="140" t="s">
        <v>3593</v>
      </c>
      <c r="D63" s="139" t="s">
        <v>1641</v>
      </c>
      <c r="E63" s="140" t="s">
        <v>1852</v>
      </c>
      <c r="F63" s="140" t="s">
        <v>2268</v>
      </c>
      <c r="G63" s="139" t="s">
        <v>4169</v>
      </c>
      <c r="H63" s="140" t="s">
        <v>3962</v>
      </c>
    </row>
    <row r="64" spans="1:8" ht="21">
      <c r="A64" s="139" t="s">
        <v>48</v>
      </c>
      <c r="B64" s="140" t="s">
        <v>3594</v>
      </c>
      <c r="C64" s="140" t="s">
        <v>3595</v>
      </c>
      <c r="D64" s="139" t="s">
        <v>956</v>
      </c>
      <c r="E64" s="140" t="s">
        <v>4395</v>
      </c>
      <c r="F64" s="140" t="s">
        <v>3575</v>
      </c>
      <c r="G64" s="139" t="s">
        <v>956</v>
      </c>
      <c r="H64" s="140" t="s">
        <v>3575</v>
      </c>
    </row>
    <row r="65" spans="1:8" ht="42">
      <c r="A65" s="139" t="s">
        <v>49</v>
      </c>
      <c r="B65" s="140" t="s">
        <v>3596</v>
      </c>
      <c r="C65" s="140" t="s">
        <v>3597</v>
      </c>
      <c r="D65" s="139" t="s">
        <v>1636</v>
      </c>
      <c r="E65" s="140" t="s">
        <v>4693</v>
      </c>
      <c r="F65" s="140" t="s">
        <v>4694</v>
      </c>
      <c r="G65" s="139" t="s">
        <v>4169</v>
      </c>
      <c r="H65" s="140" t="s">
        <v>3962</v>
      </c>
    </row>
    <row r="66" spans="1:8" ht="42">
      <c r="A66" s="139" t="s">
        <v>50</v>
      </c>
      <c r="B66" s="140" t="s">
        <v>3598</v>
      </c>
      <c r="C66" s="140" t="s">
        <v>3599</v>
      </c>
      <c r="D66" s="139" t="s">
        <v>956</v>
      </c>
      <c r="E66" s="140" t="s">
        <v>4395</v>
      </c>
      <c r="F66" s="140" t="s">
        <v>3575</v>
      </c>
      <c r="G66" s="139" t="s">
        <v>956</v>
      </c>
      <c r="H66" s="140" t="s">
        <v>3575</v>
      </c>
    </row>
    <row r="67" spans="1:8" ht="42">
      <c r="A67" s="139" t="s">
        <v>51</v>
      </c>
      <c r="B67" s="140" t="s">
        <v>3600</v>
      </c>
      <c r="C67" s="140" t="s">
        <v>3601</v>
      </c>
      <c r="D67" s="139" t="s">
        <v>1636</v>
      </c>
      <c r="E67" s="140" t="s">
        <v>4693</v>
      </c>
      <c r="F67" s="140" t="s">
        <v>4694</v>
      </c>
      <c r="G67" s="139" t="s">
        <v>4169</v>
      </c>
      <c r="H67" s="140" t="s">
        <v>3962</v>
      </c>
    </row>
    <row r="68" spans="1:8" ht="42">
      <c r="A68" s="139" t="s">
        <v>52</v>
      </c>
      <c r="B68" s="140" t="s">
        <v>3602</v>
      </c>
      <c r="C68" s="140" t="s">
        <v>3603</v>
      </c>
      <c r="D68" s="139" t="s">
        <v>2245</v>
      </c>
      <c r="E68" s="140" t="s">
        <v>2192</v>
      </c>
      <c r="F68" s="140" t="s">
        <v>2272</v>
      </c>
      <c r="G68" s="139" t="s">
        <v>4162</v>
      </c>
      <c r="H68" s="140" t="s">
        <v>3788</v>
      </c>
    </row>
    <row r="69" spans="1:8" ht="42">
      <c r="A69" s="162" t="s">
        <v>53</v>
      </c>
      <c r="B69" s="164" t="s">
        <v>3604</v>
      </c>
      <c r="C69" s="164" t="s">
        <v>3605</v>
      </c>
      <c r="D69" s="139" t="s">
        <v>1631</v>
      </c>
      <c r="E69" s="140" t="s">
        <v>3296</v>
      </c>
      <c r="F69" s="140" t="s">
        <v>2262</v>
      </c>
      <c r="G69" s="139" t="s">
        <v>4162</v>
      </c>
      <c r="H69" s="140" t="s">
        <v>3788</v>
      </c>
    </row>
    <row r="70" spans="1:8" ht="42">
      <c r="A70" s="163"/>
      <c r="B70" s="165"/>
      <c r="C70" s="165"/>
      <c r="D70" s="139" t="s">
        <v>2245</v>
      </c>
      <c r="E70" s="140" t="s">
        <v>2192</v>
      </c>
      <c r="F70" s="140" t="s">
        <v>2272</v>
      </c>
      <c r="G70" s="139" t="s">
        <v>4162</v>
      </c>
      <c r="H70" s="140" t="s">
        <v>3788</v>
      </c>
    </row>
    <row r="71" spans="1:8" ht="42">
      <c r="A71" s="139" t="s">
        <v>4211</v>
      </c>
      <c r="B71" s="140" t="s">
        <v>4214</v>
      </c>
      <c r="C71" s="140" t="s">
        <v>4215</v>
      </c>
      <c r="D71" s="139" t="s">
        <v>2258</v>
      </c>
      <c r="E71" s="140" t="s">
        <v>2209</v>
      </c>
      <c r="F71" s="140" t="s">
        <v>2324</v>
      </c>
      <c r="G71" s="139" t="s">
        <v>4212</v>
      </c>
      <c r="H71" s="140" t="s">
        <v>3962</v>
      </c>
    </row>
    <row r="72" spans="1:8" ht="42">
      <c r="A72" s="162" t="s">
        <v>4216</v>
      </c>
      <c r="B72" s="164" t="s">
        <v>4218</v>
      </c>
      <c r="C72" s="164" t="s">
        <v>4215</v>
      </c>
      <c r="D72" s="139" t="s">
        <v>2260</v>
      </c>
      <c r="E72" s="140" t="s">
        <v>2211</v>
      </c>
      <c r="F72" s="140" t="s">
        <v>2273</v>
      </c>
      <c r="G72" s="139" t="s">
        <v>4162</v>
      </c>
      <c r="H72" s="140" t="s">
        <v>3788</v>
      </c>
    </row>
    <row r="73" spans="1:8" ht="42">
      <c r="A73" s="163"/>
      <c r="B73" s="165"/>
      <c r="C73" s="165"/>
      <c r="D73" s="139" t="s">
        <v>2258</v>
      </c>
      <c r="E73" s="140" t="s">
        <v>2209</v>
      </c>
      <c r="F73" s="140" t="s">
        <v>2324</v>
      </c>
      <c r="G73" s="139" t="s">
        <v>4162</v>
      </c>
      <c r="H73" s="140" t="s">
        <v>3788</v>
      </c>
    </row>
    <row r="74" spans="1:8" ht="42">
      <c r="A74" s="139" t="s">
        <v>54</v>
      </c>
      <c r="B74" s="140" t="s">
        <v>3606</v>
      </c>
      <c r="C74" s="140" t="s">
        <v>4219</v>
      </c>
      <c r="D74" s="139" t="s">
        <v>2260</v>
      </c>
      <c r="E74" s="140" t="s">
        <v>2211</v>
      </c>
      <c r="F74" s="140" t="s">
        <v>2273</v>
      </c>
      <c r="G74" s="139" t="s">
        <v>4162</v>
      </c>
      <c r="H74" s="140" t="s">
        <v>3788</v>
      </c>
    </row>
    <row r="75" spans="1:8" ht="42">
      <c r="A75" s="139" t="s">
        <v>55</v>
      </c>
      <c r="B75" s="140" t="s">
        <v>3607</v>
      </c>
      <c r="C75" s="140" t="s">
        <v>4220</v>
      </c>
      <c r="D75" s="139" t="s">
        <v>2260</v>
      </c>
      <c r="E75" s="140" t="s">
        <v>2211</v>
      </c>
      <c r="F75" s="140" t="s">
        <v>2273</v>
      </c>
      <c r="G75" s="139" t="s">
        <v>4162</v>
      </c>
      <c r="H75" s="140" t="s">
        <v>3788</v>
      </c>
    </row>
    <row r="76" spans="1:8" ht="21">
      <c r="A76" s="139" t="s">
        <v>56</v>
      </c>
      <c r="B76" s="140" t="s">
        <v>57</v>
      </c>
      <c r="C76" s="140" t="s">
        <v>3608</v>
      </c>
      <c r="D76" s="139" t="s">
        <v>956</v>
      </c>
      <c r="E76" s="140" t="s">
        <v>4395</v>
      </c>
      <c r="F76" s="140" t="s">
        <v>3609</v>
      </c>
      <c r="G76" s="139" t="s">
        <v>956</v>
      </c>
      <c r="H76" s="140" t="s">
        <v>3575</v>
      </c>
    </row>
    <row r="77" spans="1:8" ht="42">
      <c r="A77" s="139" t="s">
        <v>58</v>
      </c>
      <c r="B77" s="140" t="s">
        <v>59</v>
      </c>
      <c r="C77" s="140" t="s">
        <v>3610</v>
      </c>
      <c r="D77" s="139" t="s">
        <v>2260</v>
      </c>
      <c r="E77" s="140" t="s">
        <v>2211</v>
      </c>
      <c r="F77" s="140" t="s">
        <v>2273</v>
      </c>
      <c r="G77" s="139" t="s">
        <v>4162</v>
      </c>
      <c r="H77" s="140" t="s">
        <v>3788</v>
      </c>
    </row>
    <row r="78" spans="1:8" ht="42">
      <c r="A78" s="139" t="s">
        <v>60</v>
      </c>
      <c r="B78" s="140" t="s">
        <v>61</v>
      </c>
      <c r="C78" s="140" t="s">
        <v>4221</v>
      </c>
      <c r="D78" s="139" t="s">
        <v>2245</v>
      </c>
      <c r="E78" s="140" t="s">
        <v>2192</v>
      </c>
      <c r="F78" s="140" t="s">
        <v>2272</v>
      </c>
      <c r="G78" s="139" t="s">
        <v>4162</v>
      </c>
      <c r="H78" s="140" t="s">
        <v>3788</v>
      </c>
    </row>
    <row r="79" spans="1:8" ht="84" customHeight="1">
      <c r="A79" s="162" t="s">
        <v>62</v>
      </c>
      <c r="B79" s="164" t="s">
        <v>63</v>
      </c>
      <c r="C79" s="164" t="s">
        <v>4222</v>
      </c>
      <c r="D79" s="139" t="s">
        <v>1654</v>
      </c>
      <c r="E79" s="140" t="s">
        <v>3300</v>
      </c>
      <c r="F79" s="140" t="s">
        <v>3323</v>
      </c>
      <c r="G79" s="139" t="s">
        <v>4162</v>
      </c>
      <c r="H79" s="140" t="s">
        <v>3788</v>
      </c>
    </row>
    <row r="80" spans="1:8" ht="84" customHeight="1">
      <c r="A80" s="163"/>
      <c r="B80" s="165"/>
      <c r="C80" s="165"/>
      <c r="D80" s="139" t="s">
        <v>2250</v>
      </c>
      <c r="E80" s="140" t="s">
        <v>4709</v>
      </c>
      <c r="F80" s="140" t="s">
        <v>4710</v>
      </c>
      <c r="G80" s="139" t="s">
        <v>4162</v>
      </c>
      <c r="H80" s="140" t="s">
        <v>3788</v>
      </c>
    </row>
    <row r="81" spans="1:8" ht="42">
      <c r="A81" s="162" t="s">
        <v>4223</v>
      </c>
      <c r="B81" s="164" t="s">
        <v>4226</v>
      </c>
      <c r="C81" s="164" t="s">
        <v>3611</v>
      </c>
      <c r="D81" s="139" t="s">
        <v>1668</v>
      </c>
      <c r="E81" s="140" t="s">
        <v>2181</v>
      </c>
      <c r="F81" s="140" t="s">
        <v>3318</v>
      </c>
      <c r="G81" s="139" t="s">
        <v>4224</v>
      </c>
      <c r="H81" s="140" t="s">
        <v>3962</v>
      </c>
    </row>
    <row r="82" spans="1:8" ht="63">
      <c r="A82" s="163"/>
      <c r="B82" s="165"/>
      <c r="C82" s="165"/>
      <c r="D82" s="139" t="s">
        <v>4010</v>
      </c>
      <c r="E82" s="140" t="s">
        <v>4714</v>
      </c>
      <c r="F82" s="140" t="s">
        <v>4715</v>
      </c>
      <c r="G82" s="139" t="s">
        <v>4224</v>
      </c>
      <c r="H82" s="140" t="s">
        <v>3962</v>
      </c>
    </row>
    <row r="83" spans="1:8" ht="63">
      <c r="A83" s="139" t="s">
        <v>4227</v>
      </c>
      <c r="B83" s="140" t="s">
        <v>4229</v>
      </c>
      <c r="C83" s="140" t="s">
        <v>3611</v>
      </c>
      <c r="D83" s="139" t="s">
        <v>4010</v>
      </c>
      <c r="E83" s="140" t="s">
        <v>4714</v>
      </c>
      <c r="F83" s="140" t="s">
        <v>4715</v>
      </c>
      <c r="G83" s="139" t="s">
        <v>4162</v>
      </c>
      <c r="H83" s="140" t="s">
        <v>3788</v>
      </c>
    </row>
    <row r="84" spans="1:8" ht="42" customHeight="1">
      <c r="A84" s="162" t="s">
        <v>4230</v>
      </c>
      <c r="B84" s="164" t="s">
        <v>4232</v>
      </c>
      <c r="C84" s="164" t="s">
        <v>3612</v>
      </c>
      <c r="D84" s="139" t="s">
        <v>2250</v>
      </c>
      <c r="E84" s="140" t="s">
        <v>4709</v>
      </c>
      <c r="F84" s="140" t="s">
        <v>4710</v>
      </c>
      <c r="G84" s="139" t="s">
        <v>4162</v>
      </c>
      <c r="H84" s="140" t="s">
        <v>3788</v>
      </c>
    </row>
    <row r="85" spans="1:8" ht="42" customHeight="1">
      <c r="A85" s="163"/>
      <c r="B85" s="165"/>
      <c r="C85" s="165"/>
      <c r="D85" s="139" t="s">
        <v>1660</v>
      </c>
      <c r="E85" s="140" t="s">
        <v>1862</v>
      </c>
      <c r="F85" s="140" t="s">
        <v>3342</v>
      </c>
      <c r="G85" s="139" t="s">
        <v>4162</v>
      </c>
      <c r="H85" s="140" t="s">
        <v>3788</v>
      </c>
    </row>
    <row r="86" spans="1:8" ht="63">
      <c r="A86" s="162" t="s">
        <v>4233</v>
      </c>
      <c r="B86" s="164" t="s">
        <v>4235</v>
      </c>
      <c r="C86" s="164" t="s">
        <v>3612</v>
      </c>
      <c r="D86" s="139" t="s">
        <v>2250</v>
      </c>
      <c r="E86" s="140" t="s">
        <v>4709</v>
      </c>
      <c r="F86" s="140" t="s">
        <v>4710</v>
      </c>
      <c r="G86" s="139" t="s">
        <v>4212</v>
      </c>
      <c r="H86" s="140" t="s">
        <v>3962</v>
      </c>
    </row>
    <row r="87" spans="1:8" ht="21">
      <c r="A87" s="163"/>
      <c r="B87" s="165"/>
      <c r="C87" s="165"/>
      <c r="D87" s="139" t="s">
        <v>1683</v>
      </c>
      <c r="E87" s="140" t="s">
        <v>1871</v>
      </c>
      <c r="F87" s="140" t="s">
        <v>3343</v>
      </c>
      <c r="G87" s="139" t="s">
        <v>4212</v>
      </c>
      <c r="H87" s="140" t="s">
        <v>3962</v>
      </c>
    </row>
    <row r="88" spans="1:8" ht="63">
      <c r="A88" s="162" t="s">
        <v>4236</v>
      </c>
      <c r="B88" s="164" t="s">
        <v>4238</v>
      </c>
      <c r="C88" s="164" t="s">
        <v>3613</v>
      </c>
      <c r="D88" s="139" t="s">
        <v>1651</v>
      </c>
      <c r="E88" s="140" t="s">
        <v>4696</v>
      </c>
      <c r="F88" s="140" t="s">
        <v>4697</v>
      </c>
      <c r="G88" s="139" t="s">
        <v>4162</v>
      </c>
      <c r="H88" s="140" t="s">
        <v>3788</v>
      </c>
    </row>
    <row r="89" spans="1:8" ht="42">
      <c r="A89" s="163"/>
      <c r="B89" s="165"/>
      <c r="C89" s="165"/>
      <c r="D89" s="139" t="s">
        <v>1685</v>
      </c>
      <c r="E89" s="140" t="s">
        <v>3303</v>
      </c>
      <c r="F89" s="140" t="s">
        <v>3345</v>
      </c>
      <c r="G89" s="139" t="s">
        <v>4162</v>
      </c>
      <c r="H89" s="140" t="s">
        <v>3788</v>
      </c>
    </row>
    <row r="90" spans="1:8" ht="42">
      <c r="A90" s="139" t="s">
        <v>4239</v>
      </c>
      <c r="B90" s="140" t="s">
        <v>4241</v>
      </c>
      <c r="C90" s="140" t="s">
        <v>3613</v>
      </c>
      <c r="D90" s="139" t="s">
        <v>1685</v>
      </c>
      <c r="E90" s="140" t="s">
        <v>3303</v>
      </c>
      <c r="F90" s="140" t="s">
        <v>3345</v>
      </c>
      <c r="G90" s="139" t="s">
        <v>4224</v>
      </c>
      <c r="H90" s="140" t="s">
        <v>3962</v>
      </c>
    </row>
    <row r="91" spans="1:8" ht="21">
      <c r="A91" s="139" t="s">
        <v>65</v>
      </c>
      <c r="B91" s="140" t="s">
        <v>3614</v>
      </c>
      <c r="C91" s="140" t="s">
        <v>3615</v>
      </c>
      <c r="D91" s="139" t="s">
        <v>1684</v>
      </c>
      <c r="E91" s="140" t="s">
        <v>1872</v>
      </c>
      <c r="F91" s="140" t="s">
        <v>2281</v>
      </c>
      <c r="G91" s="139" t="s">
        <v>4212</v>
      </c>
      <c r="H91" s="140" t="s">
        <v>3962</v>
      </c>
    </row>
    <row r="92" spans="1:8" ht="21">
      <c r="A92" s="162" t="s">
        <v>66</v>
      </c>
      <c r="B92" s="164" t="s">
        <v>67</v>
      </c>
      <c r="C92" s="164" t="s">
        <v>3617</v>
      </c>
      <c r="D92" s="139" t="s">
        <v>1670</v>
      </c>
      <c r="E92" s="140" t="s">
        <v>1867</v>
      </c>
      <c r="F92" s="140" t="s">
        <v>3341</v>
      </c>
      <c r="G92" s="139" t="s">
        <v>4224</v>
      </c>
      <c r="H92" s="140" t="s">
        <v>3962</v>
      </c>
    </row>
    <row r="93" spans="1:8" ht="21">
      <c r="A93" s="163"/>
      <c r="B93" s="165"/>
      <c r="C93" s="165"/>
      <c r="D93" s="139" t="s">
        <v>1684</v>
      </c>
      <c r="E93" s="140" t="s">
        <v>1872</v>
      </c>
      <c r="F93" s="140" t="s">
        <v>2281</v>
      </c>
      <c r="G93" s="139" t="s">
        <v>4224</v>
      </c>
      <c r="H93" s="140" t="s">
        <v>3962</v>
      </c>
    </row>
    <row r="94" spans="1:8" ht="42">
      <c r="A94" s="139" t="s">
        <v>68</v>
      </c>
      <c r="B94" s="140" t="s">
        <v>3618</v>
      </c>
      <c r="C94" s="140" t="s">
        <v>3619</v>
      </c>
      <c r="D94" s="139" t="s">
        <v>1687</v>
      </c>
      <c r="E94" s="140" t="s">
        <v>3304</v>
      </c>
      <c r="F94" s="140" t="s">
        <v>2283</v>
      </c>
      <c r="G94" s="139" t="s">
        <v>4162</v>
      </c>
      <c r="H94" s="140" t="s">
        <v>3788</v>
      </c>
    </row>
    <row r="95" spans="1:8" ht="42">
      <c r="A95" s="162" t="s">
        <v>69</v>
      </c>
      <c r="B95" s="164" t="s">
        <v>70</v>
      </c>
      <c r="C95" s="164" t="s">
        <v>3620</v>
      </c>
      <c r="D95" s="139" t="s">
        <v>1652</v>
      </c>
      <c r="E95" s="140" t="s">
        <v>4705</v>
      </c>
      <c r="F95" s="140" t="s">
        <v>3321</v>
      </c>
      <c r="G95" s="139" t="s">
        <v>4162</v>
      </c>
      <c r="H95" s="140" t="s">
        <v>3788</v>
      </c>
    </row>
    <row r="96" spans="1:8" ht="63">
      <c r="A96" s="163"/>
      <c r="B96" s="165"/>
      <c r="C96" s="165"/>
      <c r="D96" s="139" t="s">
        <v>2250</v>
      </c>
      <c r="E96" s="140" t="s">
        <v>4709</v>
      </c>
      <c r="F96" s="140" t="s">
        <v>4710</v>
      </c>
      <c r="G96" s="139" t="s">
        <v>4162</v>
      </c>
      <c r="H96" s="140" t="s">
        <v>3788</v>
      </c>
    </row>
    <row r="97" spans="1:8" ht="63">
      <c r="A97" s="139" t="s">
        <v>4242</v>
      </c>
      <c r="B97" s="140" t="s">
        <v>4243</v>
      </c>
      <c r="C97" s="140" t="s">
        <v>4244</v>
      </c>
      <c r="D97" s="139" t="s">
        <v>2258</v>
      </c>
      <c r="E97" s="140" t="s">
        <v>2209</v>
      </c>
      <c r="F97" s="140" t="s">
        <v>2324</v>
      </c>
      <c r="G97" s="139" t="s">
        <v>4212</v>
      </c>
      <c r="H97" s="140" t="s">
        <v>3962</v>
      </c>
    </row>
    <row r="98" spans="1:8" ht="63" customHeight="1">
      <c r="A98" s="162" t="s">
        <v>4245</v>
      </c>
      <c r="B98" s="164" t="s">
        <v>4246</v>
      </c>
      <c r="C98" s="164" t="s">
        <v>4244</v>
      </c>
      <c r="D98" s="139" t="s">
        <v>2250</v>
      </c>
      <c r="E98" s="140" t="s">
        <v>4709</v>
      </c>
      <c r="F98" s="140" t="s">
        <v>4710</v>
      </c>
      <c r="G98" s="139" t="s">
        <v>4162</v>
      </c>
      <c r="H98" s="140" t="s">
        <v>3788</v>
      </c>
    </row>
    <row r="99" spans="1:8" ht="63" customHeight="1">
      <c r="A99" s="166"/>
      <c r="B99" s="167"/>
      <c r="C99" s="167"/>
      <c r="D99" s="139" t="s">
        <v>1701</v>
      </c>
      <c r="E99" s="140" t="s">
        <v>4718</v>
      </c>
      <c r="F99" s="140" t="s">
        <v>3351</v>
      </c>
      <c r="G99" s="139" t="s">
        <v>4162</v>
      </c>
      <c r="H99" s="140" t="s">
        <v>3788</v>
      </c>
    </row>
    <row r="100" spans="1:8" ht="63" customHeight="1">
      <c r="A100" s="163"/>
      <c r="B100" s="165"/>
      <c r="C100" s="165"/>
      <c r="D100" s="139" t="s">
        <v>2258</v>
      </c>
      <c r="E100" s="140" t="s">
        <v>2209</v>
      </c>
      <c r="F100" s="140" t="s">
        <v>2324</v>
      </c>
      <c r="G100" s="139" t="s">
        <v>4162</v>
      </c>
      <c r="H100" s="140" t="s">
        <v>3788</v>
      </c>
    </row>
    <row r="101" spans="1:8" ht="63">
      <c r="A101" s="162" t="s">
        <v>71</v>
      </c>
      <c r="B101" s="164" t="s">
        <v>3621</v>
      </c>
      <c r="C101" s="164" t="s">
        <v>3622</v>
      </c>
      <c r="D101" s="139" t="s">
        <v>2250</v>
      </c>
      <c r="E101" s="140" t="s">
        <v>4709</v>
      </c>
      <c r="F101" s="140" t="s">
        <v>4710</v>
      </c>
      <c r="G101" s="139" t="s">
        <v>4162</v>
      </c>
      <c r="H101" s="140" t="s">
        <v>3788</v>
      </c>
    </row>
    <row r="102" spans="1:8" ht="42">
      <c r="A102" s="163"/>
      <c r="B102" s="165"/>
      <c r="C102" s="165"/>
      <c r="D102" s="139" t="s">
        <v>2224</v>
      </c>
      <c r="E102" s="140" t="s">
        <v>2172</v>
      </c>
      <c r="F102" s="140" t="s">
        <v>3354</v>
      </c>
      <c r="G102" s="139" t="s">
        <v>4162</v>
      </c>
      <c r="H102" s="140" t="s">
        <v>3788</v>
      </c>
    </row>
    <row r="103" spans="1:8" ht="42">
      <c r="A103" s="139" t="s">
        <v>72</v>
      </c>
      <c r="B103" s="140" t="s">
        <v>73</v>
      </c>
      <c r="C103" s="140" t="s">
        <v>3623</v>
      </c>
      <c r="D103" s="139" t="s">
        <v>956</v>
      </c>
      <c r="E103" s="140" t="s">
        <v>4395</v>
      </c>
      <c r="F103" s="140" t="s">
        <v>3616</v>
      </c>
      <c r="G103" s="139" t="s">
        <v>4212</v>
      </c>
      <c r="H103" s="140" t="s">
        <v>3962</v>
      </c>
    </row>
    <row r="104" spans="1:8" ht="21">
      <c r="A104" s="139" t="s">
        <v>74</v>
      </c>
      <c r="B104" s="140" t="s">
        <v>75</v>
      </c>
      <c r="C104" s="140" t="s">
        <v>3624</v>
      </c>
      <c r="D104" s="139" t="s">
        <v>956</v>
      </c>
      <c r="E104" s="140" t="s">
        <v>4395</v>
      </c>
      <c r="F104" s="140" t="s">
        <v>2365</v>
      </c>
      <c r="G104" s="139" t="s">
        <v>4212</v>
      </c>
      <c r="H104" s="140" t="s">
        <v>3962</v>
      </c>
    </row>
    <row r="105" spans="1:8" ht="42" customHeight="1">
      <c r="A105" s="162" t="s">
        <v>4248</v>
      </c>
      <c r="B105" s="164" t="s">
        <v>4249</v>
      </c>
      <c r="C105" s="164" t="s">
        <v>3625</v>
      </c>
      <c r="D105" s="139" t="s">
        <v>1663</v>
      </c>
      <c r="E105" s="140" t="s">
        <v>4700</v>
      </c>
      <c r="F105" s="140" t="s">
        <v>4701</v>
      </c>
      <c r="G105" s="139" t="s">
        <v>4224</v>
      </c>
      <c r="H105" s="140" t="s">
        <v>3962</v>
      </c>
    </row>
    <row r="106" spans="1:8" ht="42" customHeight="1">
      <c r="A106" s="166"/>
      <c r="B106" s="167"/>
      <c r="C106" s="167"/>
      <c r="D106" s="139" t="s">
        <v>1663</v>
      </c>
      <c r="E106" s="140" t="s">
        <v>4700</v>
      </c>
      <c r="F106" s="140" t="s">
        <v>4701</v>
      </c>
      <c r="G106" s="139" t="s">
        <v>4224</v>
      </c>
      <c r="H106" s="140" t="s">
        <v>3962</v>
      </c>
    </row>
    <row r="107" spans="1:8" ht="42">
      <c r="A107" s="166"/>
      <c r="B107" s="167"/>
      <c r="C107" s="167"/>
      <c r="D107" s="139" t="s">
        <v>1664</v>
      </c>
      <c r="E107" s="140" t="s">
        <v>4702</v>
      </c>
      <c r="F107" s="140" t="s">
        <v>4703</v>
      </c>
      <c r="G107" s="139" t="s">
        <v>4224</v>
      </c>
      <c r="H107" s="140" t="s">
        <v>3962</v>
      </c>
    </row>
    <row r="108" spans="1:8" ht="63">
      <c r="A108" s="163"/>
      <c r="B108" s="165"/>
      <c r="C108" s="165"/>
      <c r="D108" s="139" t="s">
        <v>4010</v>
      </c>
      <c r="E108" s="140" t="s">
        <v>4714</v>
      </c>
      <c r="F108" s="140" t="s">
        <v>4715</v>
      </c>
      <c r="G108" s="139" t="s">
        <v>4224</v>
      </c>
      <c r="H108" s="140" t="s">
        <v>3962</v>
      </c>
    </row>
    <row r="109" spans="1:8" ht="63">
      <c r="A109" s="139" t="s">
        <v>4250</v>
      </c>
      <c r="B109" s="140" t="s">
        <v>4251</v>
      </c>
      <c r="C109" s="140" t="s">
        <v>3625</v>
      </c>
      <c r="D109" s="139" t="s">
        <v>4010</v>
      </c>
      <c r="E109" s="140" t="s">
        <v>4714</v>
      </c>
      <c r="F109" s="140" t="s">
        <v>4715</v>
      </c>
      <c r="G109" s="139" t="s">
        <v>4162</v>
      </c>
      <c r="H109" s="140" t="s">
        <v>3788</v>
      </c>
    </row>
    <row r="110" spans="1:8" ht="42">
      <c r="A110" s="162" t="s">
        <v>79</v>
      </c>
      <c r="B110" s="164" t="s">
        <v>80</v>
      </c>
      <c r="C110" s="164" t="s">
        <v>3626</v>
      </c>
      <c r="D110" s="139" t="s">
        <v>1652</v>
      </c>
      <c r="E110" s="140" t="s">
        <v>4705</v>
      </c>
      <c r="F110" s="140" t="s">
        <v>3321</v>
      </c>
      <c r="G110" s="139" t="s">
        <v>4162</v>
      </c>
      <c r="H110" s="140" t="s">
        <v>3788</v>
      </c>
    </row>
    <row r="111" spans="1:8" ht="42">
      <c r="A111" s="163"/>
      <c r="B111" s="165"/>
      <c r="C111" s="165"/>
      <c r="D111" s="139" t="s">
        <v>1653</v>
      </c>
      <c r="E111" s="140" t="s">
        <v>4706</v>
      </c>
      <c r="F111" s="140" t="s">
        <v>3322</v>
      </c>
      <c r="G111" s="139" t="s">
        <v>4162</v>
      </c>
      <c r="H111" s="140" t="s">
        <v>3788</v>
      </c>
    </row>
    <row r="112" spans="1:8" ht="63">
      <c r="A112" s="139" t="s">
        <v>4253</v>
      </c>
      <c r="B112" s="140" t="s">
        <v>4255</v>
      </c>
      <c r="C112" s="140" t="s">
        <v>3627</v>
      </c>
      <c r="D112" s="139" t="s">
        <v>1651</v>
      </c>
      <c r="E112" s="140" t="s">
        <v>4696</v>
      </c>
      <c r="F112" s="140" t="s">
        <v>4697</v>
      </c>
      <c r="G112" s="139" t="s">
        <v>4162</v>
      </c>
      <c r="H112" s="140" t="s">
        <v>3788</v>
      </c>
    </row>
    <row r="113" spans="1:8" ht="63">
      <c r="A113" s="139" t="s">
        <v>4256</v>
      </c>
      <c r="B113" s="140" t="s">
        <v>4258</v>
      </c>
      <c r="C113" s="140" t="s">
        <v>3627</v>
      </c>
      <c r="D113" s="139" t="s">
        <v>1651</v>
      </c>
      <c r="E113" s="140" t="s">
        <v>4696</v>
      </c>
      <c r="F113" s="140" t="s">
        <v>4697</v>
      </c>
      <c r="G113" s="139" t="s">
        <v>4186</v>
      </c>
      <c r="H113" s="140" t="s">
        <v>3964</v>
      </c>
    </row>
    <row r="114" spans="1:8" ht="84">
      <c r="A114" s="139" t="s">
        <v>85</v>
      </c>
      <c r="B114" s="140" t="s">
        <v>86</v>
      </c>
      <c r="C114" s="140" t="s">
        <v>3628</v>
      </c>
      <c r="D114" s="139" t="s">
        <v>1626</v>
      </c>
      <c r="E114" s="140" t="s">
        <v>2171</v>
      </c>
      <c r="F114" s="140" t="s">
        <v>4002</v>
      </c>
      <c r="G114" s="139" t="s">
        <v>4169</v>
      </c>
      <c r="H114" s="140" t="s">
        <v>4172</v>
      </c>
    </row>
    <row r="115" spans="1:8" ht="42">
      <c r="A115" s="139" t="s">
        <v>76</v>
      </c>
      <c r="B115" s="140" t="s">
        <v>77</v>
      </c>
      <c r="C115" s="140" t="s">
        <v>3630</v>
      </c>
      <c r="D115" s="139" t="s">
        <v>1662</v>
      </c>
      <c r="E115" s="140" t="s">
        <v>4698</v>
      </c>
      <c r="F115" s="140" t="s">
        <v>4699</v>
      </c>
      <c r="G115" s="139" t="s">
        <v>4224</v>
      </c>
      <c r="H115" s="140" t="s">
        <v>3962</v>
      </c>
    </row>
    <row r="116" spans="1:8" ht="84" customHeight="1">
      <c r="A116" s="162" t="s">
        <v>4259</v>
      </c>
      <c r="B116" s="164" t="s">
        <v>4261</v>
      </c>
      <c r="C116" s="164" t="s">
        <v>4262</v>
      </c>
      <c r="D116" s="139" t="s">
        <v>1654</v>
      </c>
      <c r="E116" s="140" t="s">
        <v>3300</v>
      </c>
      <c r="F116" s="140" t="s">
        <v>3323</v>
      </c>
      <c r="G116" s="139" t="s">
        <v>4162</v>
      </c>
      <c r="H116" s="140" t="s">
        <v>3788</v>
      </c>
    </row>
    <row r="117" spans="1:8" ht="84" customHeight="1">
      <c r="A117" s="163"/>
      <c r="B117" s="165"/>
      <c r="C117" s="165"/>
      <c r="D117" s="139" t="s">
        <v>1655</v>
      </c>
      <c r="E117" s="140" t="s">
        <v>3301</v>
      </c>
      <c r="F117" s="140" t="s">
        <v>3324</v>
      </c>
      <c r="G117" s="139" t="s">
        <v>4162</v>
      </c>
      <c r="H117" s="140" t="s">
        <v>3788</v>
      </c>
    </row>
    <row r="118" spans="1:8" ht="84">
      <c r="A118" s="139" t="s">
        <v>4263</v>
      </c>
      <c r="B118" s="140" t="s">
        <v>4265</v>
      </c>
      <c r="C118" s="140" t="s">
        <v>4262</v>
      </c>
      <c r="D118" s="139" t="s">
        <v>4010</v>
      </c>
      <c r="E118" s="140" t="s">
        <v>4714</v>
      </c>
      <c r="F118" s="140" t="s">
        <v>4715</v>
      </c>
      <c r="G118" s="139" t="s">
        <v>4224</v>
      </c>
      <c r="H118" s="140" t="s">
        <v>3962</v>
      </c>
    </row>
    <row r="119" spans="1:8" ht="84" customHeight="1">
      <c r="A119" s="139" t="s">
        <v>81</v>
      </c>
      <c r="B119" s="140" t="s">
        <v>82</v>
      </c>
      <c r="C119" s="140" t="s">
        <v>3632</v>
      </c>
      <c r="D119" s="139" t="s">
        <v>1651</v>
      </c>
      <c r="E119" s="140" t="s">
        <v>4696</v>
      </c>
      <c r="F119" s="140" t="s">
        <v>4697</v>
      </c>
      <c r="G119" s="139" t="s">
        <v>956</v>
      </c>
      <c r="H119" s="140" t="s">
        <v>3575</v>
      </c>
    </row>
    <row r="120" spans="1:8" ht="84" customHeight="1">
      <c r="A120" s="139" t="s">
        <v>83</v>
      </c>
      <c r="B120" s="140" t="s">
        <v>84</v>
      </c>
      <c r="C120" s="140" t="s">
        <v>3634</v>
      </c>
      <c r="D120" s="139" t="s">
        <v>1670</v>
      </c>
      <c r="E120" s="140" t="s">
        <v>1867</v>
      </c>
      <c r="F120" s="140" t="s">
        <v>3341</v>
      </c>
      <c r="G120" s="139" t="s">
        <v>4224</v>
      </c>
      <c r="H120" s="140" t="s">
        <v>3962</v>
      </c>
    </row>
    <row r="121" spans="1:8" ht="21">
      <c r="A121" s="139" t="s">
        <v>90</v>
      </c>
      <c r="B121" s="140" t="s">
        <v>91</v>
      </c>
      <c r="C121" s="140" t="s">
        <v>3636</v>
      </c>
      <c r="D121" s="139" t="s">
        <v>1678</v>
      </c>
      <c r="E121" s="140" t="s">
        <v>3333</v>
      </c>
      <c r="F121" s="140" t="s">
        <v>3334</v>
      </c>
      <c r="G121" s="139" t="s">
        <v>4224</v>
      </c>
      <c r="H121" s="140" t="s">
        <v>3962</v>
      </c>
    </row>
    <row r="122" spans="1:8" ht="21">
      <c r="A122" s="139" t="s">
        <v>92</v>
      </c>
      <c r="B122" s="140" t="s">
        <v>93</v>
      </c>
      <c r="C122" s="140" t="s">
        <v>3637</v>
      </c>
      <c r="D122" s="139" t="s">
        <v>1665</v>
      </c>
      <c r="E122" s="140" t="s">
        <v>1864</v>
      </c>
      <c r="F122" s="140" t="s">
        <v>3316</v>
      </c>
      <c r="G122" s="139" t="s">
        <v>4169</v>
      </c>
      <c r="H122" s="140" t="s">
        <v>3962</v>
      </c>
    </row>
    <row r="123" spans="1:8" ht="63" customHeight="1">
      <c r="A123" s="162" t="s">
        <v>4266</v>
      </c>
      <c r="B123" s="164" t="s">
        <v>4268</v>
      </c>
      <c r="C123" s="164" t="s">
        <v>3638</v>
      </c>
      <c r="D123" s="139" t="s">
        <v>1707</v>
      </c>
      <c r="E123" s="140" t="s">
        <v>1880</v>
      </c>
      <c r="F123" s="140" t="s">
        <v>2275</v>
      </c>
      <c r="G123" s="139" t="s">
        <v>4162</v>
      </c>
      <c r="H123" s="140" t="s">
        <v>3788</v>
      </c>
    </row>
    <row r="124" spans="1:8" ht="63" customHeight="1">
      <c r="A124" s="163"/>
      <c r="B124" s="165"/>
      <c r="C124" s="165"/>
      <c r="D124" s="139" t="s">
        <v>2259</v>
      </c>
      <c r="E124" s="140" t="s">
        <v>2210</v>
      </c>
      <c r="F124" s="140" t="s">
        <v>2289</v>
      </c>
      <c r="G124" s="139" t="s">
        <v>4162</v>
      </c>
      <c r="H124" s="140" t="s">
        <v>3788</v>
      </c>
    </row>
    <row r="125" spans="1:8" ht="42">
      <c r="A125" s="139" t="s">
        <v>4269</v>
      </c>
      <c r="B125" s="140" t="s">
        <v>4271</v>
      </c>
      <c r="C125" s="140" t="s">
        <v>3638</v>
      </c>
      <c r="D125" s="139" t="s">
        <v>2259</v>
      </c>
      <c r="E125" s="140" t="s">
        <v>2210</v>
      </c>
      <c r="F125" s="140" t="s">
        <v>2289</v>
      </c>
      <c r="G125" s="139" t="s">
        <v>4224</v>
      </c>
      <c r="H125" s="140" t="s">
        <v>3962</v>
      </c>
    </row>
    <row r="126" spans="1:8" ht="63" customHeight="1">
      <c r="A126" s="139" t="s">
        <v>87</v>
      </c>
      <c r="B126" s="140" t="s">
        <v>88</v>
      </c>
      <c r="C126" s="140" t="s">
        <v>3639</v>
      </c>
      <c r="D126" s="139" t="s">
        <v>1666</v>
      </c>
      <c r="E126" s="140" t="s">
        <v>3331</v>
      </c>
      <c r="F126" s="140" t="s">
        <v>3332</v>
      </c>
      <c r="G126" s="139" t="s">
        <v>4224</v>
      </c>
      <c r="H126" s="140" t="s">
        <v>3962</v>
      </c>
    </row>
    <row r="127" spans="1:8" ht="63" customHeight="1">
      <c r="A127" s="139" t="s">
        <v>4095</v>
      </c>
      <c r="B127" s="140" t="s">
        <v>4273</v>
      </c>
      <c r="C127" s="140" t="s">
        <v>4274</v>
      </c>
      <c r="D127" s="139" t="s">
        <v>1698</v>
      </c>
      <c r="E127" s="140" t="s">
        <v>1877</v>
      </c>
      <c r="F127" s="140" t="s">
        <v>4006</v>
      </c>
      <c r="G127" s="139" t="s">
        <v>4162</v>
      </c>
      <c r="H127" s="140" t="s">
        <v>3788</v>
      </c>
    </row>
    <row r="128" spans="1:8" ht="42">
      <c r="A128" s="139" t="s">
        <v>94</v>
      </c>
      <c r="B128" s="140" t="s">
        <v>3640</v>
      </c>
      <c r="C128" s="140" t="s">
        <v>3641</v>
      </c>
      <c r="D128" s="139" t="s">
        <v>1662</v>
      </c>
      <c r="E128" s="140" t="s">
        <v>4698</v>
      </c>
      <c r="F128" s="140" t="s">
        <v>4699</v>
      </c>
      <c r="G128" s="139" t="s">
        <v>4224</v>
      </c>
      <c r="H128" s="140" t="s">
        <v>3962</v>
      </c>
    </row>
    <row r="129" spans="1:8" ht="21">
      <c r="A129" s="162" t="s">
        <v>95</v>
      </c>
      <c r="B129" s="164" t="s">
        <v>96</v>
      </c>
      <c r="C129" s="164" t="s">
        <v>3643</v>
      </c>
      <c r="D129" s="139" t="s">
        <v>1672</v>
      </c>
      <c r="E129" s="140" t="s">
        <v>1929</v>
      </c>
      <c r="F129" s="140" t="s">
        <v>3336</v>
      </c>
      <c r="G129" s="139" t="s">
        <v>4162</v>
      </c>
      <c r="H129" s="140" t="s">
        <v>3788</v>
      </c>
    </row>
    <row r="130" spans="1:8" ht="42">
      <c r="A130" s="163"/>
      <c r="B130" s="165"/>
      <c r="C130" s="165"/>
      <c r="D130" s="139" t="s">
        <v>2230</v>
      </c>
      <c r="E130" s="140" t="s">
        <v>2178</v>
      </c>
      <c r="F130" s="140" t="s">
        <v>2277</v>
      </c>
      <c r="G130" s="139" t="s">
        <v>4162</v>
      </c>
      <c r="H130" s="140" t="s">
        <v>3788</v>
      </c>
    </row>
    <row r="131" spans="1:8" ht="21">
      <c r="A131" s="162" t="s">
        <v>97</v>
      </c>
      <c r="B131" s="164" t="s">
        <v>3645</v>
      </c>
      <c r="C131" s="164" t="s">
        <v>3646</v>
      </c>
      <c r="D131" s="139" t="s">
        <v>1674</v>
      </c>
      <c r="E131" s="140" t="s">
        <v>3302</v>
      </c>
      <c r="F131" s="140" t="s">
        <v>3338</v>
      </c>
      <c r="G131" s="139" t="s">
        <v>4162</v>
      </c>
      <c r="H131" s="140" t="s">
        <v>3788</v>
      </c>
    </row>
    <row r="132" spans="1:8" ht="42">
      <c r="A132" s="163"/>
      <c r="B132" s="165"/>
      <c r="C132" s="165"/>
      <c r="D132" s="139" t="s">
        <v>1675</v>
      </c>
      <c r="E132" s="140" t="s">
        <v>1869</v>
      </c>
      <c r="F132" s="140" t="s">
        <v>2278</v>
      </c>
      <c r="G132" s="139" t="s">
        <v>4162</v>
      </c>
      <c r="H132" s="140" t="s">
        <v>3788</v>
      </c>
    </row>
    <row r="133" spans="1:8" ht="42">
      <c r="A133" s="139" t="s">
        <v>98</v>
      </c>
      <c r="B133" s="140" t="s">
        <v>99</v>
      </c>
      <c r="C133" s="140" t="s">
        <v>3647</v>
      </c>
      <c r="D133" s="139" t="s">
        <v>2255</v>
      </c>
      <c r="E133" s="140" t="s">
        <v>2206</v>
      </c>
      <c r="F133" s="140" t="s">
        <v>4009</v>
      </c>
      <c r="G133" s="139" t="s">
        <v>4162</v>
      </c>
      <c r="H133" s="140" t="s">
        <v>3788</v>
      </c>
    </row>
    <row r="134" spans="1:8" ht="21">
      <c r="A134" s="139" t="s">
        <v>100</v>
      </c>
      <c r="B134" s="140" t="s">
        <v>101</v>
      </c>
      <c r="C134" s="140" t="s">
        <v>3648</v>
      </c>
      <c r="D134" s="139" t="s">
        <v>1670</v>
      </c>
      <c r="E134" s="140" t="s">
        <v>1867</v>
      </c>
      <c r="F134" s="140" t="s">
        <v>3341</v>
      </c>
      <c r="G134" s="139" t="s">
        <v>4224</v>
      </c>
      <c r="H134" s="140" t="s">
        <v>3962</v>
      </c>
    </row>
    <row r="135" spans="1:8" ht="21">
      <c r="A135" s="162" t="s">
        <v>106</v>
      </c>
      <c r="B135" s="164" t="s">
        <v>107</v>
      </c>
      <c r="C135" s="164" t="s">
        <v>3649</v>
      </c>
      <c r="D135" s="139" t="s">
        <v>1669</v>
      </c>
      <c r="E135" s="140" t="s">
        <v>1866</v>
      </c>
      <c r="F135" s="140" t="s">
        <v>3340</v>
      </c>
      <c r="G135" s="139" t="s">
        <v>4224</v>
      </c>
      <c r="H135" s="140" t="s">
        <v>3962</v>
      </c>
    </row>
    <row r="136" spans="1:8" ht="21">
      <c r="A136" s="163"/>
      <c r="B136" s="165"/>
      <c r="C136" s="165"/>
      <c r="D136" s="139" t="s">
        <v>1670</v>
      </c>
      <c r="E136" s="140" t="s">
        <v>1867</v>
      </c>
      <c r="F136" s="140" t="s">
        <v>3341</v>
      </c>
      <c r="G136" s="139" t="s">
        <v>4224</v>
      </c>
      <c r="H136" s="140" t="s">
        <v>3962</v>
      </c>
    </row>
    <row r="137" spans="1:8" ht="63">
      <c r="A137" s="139" t="s">
        <v>4276</v>
      </c>
      <c r="B137" s="140" t="s">
        <v>4278</v>
      </c>
      <c r="C137" s="140" t="s">
        <v>4279</v>
      </c>
      <c r="D137" s="139" t="s">
        <v>2238</v>
      </c>
      <c r="E137" s="140" t="s">
        <v>4717</v>
      </c>
      <c r="F137" s="140" t="s">
        <v>2287</v>
      </c>
      <c r="G137" s="139" t="s">
        <v>4162</v>
      </c>
      <c r="H137" s="140" t="s">
        <v>3788</v>
      </c>
    </row>
    <row r="138" spans="1:8" ht="63">
      <c r="A138" s="139" t="s">
        <v>4280</v>
      </c>
      <c r="B138" s="140" t="s">
        <v>4283</v>
      </c>
      <c r="C138" s="140" t="s">
        <v>4279</v>
      </c>
      <c r="D138" s="139" t="s">
        <v>2238</v>
      </c>
      <c r="E138" s="140" t="s">
        <v>4717</v>
      </c>
      <c r="F138" s="140" t="s">
        <v>2287</v>
      </c>
      <c r="G138" s="139" t="s">
        <v>4281</v>
      </c>
      <c r="H138" s="140" t="s">
        <v>4284</v>
      </c>
    </row>
    <row r="139" spans="1:8" ht="42">
      <c r="A139" s="139" t="s">
        <v>104</v>
      </c>
      <c r="B139" s="140" t="s">
        <v>105</v>
      </c>
      <c r="C139" s="140" t="s">
        <v>3650</v>
      </c>
      <c r="D139" s="139" t="s">
        <v>2238</v>
      </c>
      <c r="E139" s="140" t="s">
        <v>4717</v>
      </c>
      <c r="F139" s="140" t="s">
        <v>2287</v>
      </c>
      <c r="G139" s="139" t="s">
        <v>4162</v>
      </c>
      <c r="H139" s="140" t="s">
        <v>3788</v>
      </c>
    </row>
    <row r="140" spans="1:8" ht="42">
      <c r="A140" s="162" t="s">
        <v>102</v>
      </c>
      <c r="B140" s="164" t="s">
        <v>103</v>
      </c>
      <c r="C140" s="164" t="s">
        <v>3651</v>
      </c>
      <c r="D140" s="139" t="s">
        <v>1685</v>
      </c>
      <c r="E140" s="140" t="s">
        <v>3303</v>
      </c>
      <c r="F140" s="140" t="s">
        <v>3345</v>
      </c>
      <c r="G140" s="139" t="s">
        <v>4162</v>
      </c>
      <c r="H140" s="140" t="s">
        <v>3788</v>
      </c>
    </row>
    <row r="141" spans="1:8" ht="42">
      <c r="A141" s="163"/>
      <c r="B141" s="165"/>
      <c r="C141" s="165"/>
      <c r="D141" s="139" t="s">
        <v>2224</v>
      </c>
      <c r="E141" s="140" t="s">
        <v>2172</v>
      </c>
      <c r="F141" s="140" t="s">
        <v>3354</v>
      </c>
      <c r="G141" s="139" t="s">
        <v>4162</v>
      </c>
      <c r="H141" s="140" t="s">
        <v>3788</v>
      </c>
    </row>
    <row r="142" spans="1:8" ht="42">
      <c r="A142" s="139" t="s">
        <v>108</v>
      </c>
      <c r="B142" s="140" t="s">
        <v>109</v>
      </c>
      <c r="C142" s="140" t="s">
        <v>3652</v>
      </c>
      <c r="D142" s="139" t="s">
        <v>1686</v>
      </c>
      <c r="E142" s="140" t="s">
        <v>2169</v>
      </c>
      <c r="F142" s="140" t="s">
        <v>3346</v>
      </c>
      <c r="G142" s="139" t="s">
        <v>4224</v>
      </c>
      <c r="H142" s="140" t="s">
        <v>3962</v>
      </c>
    </row>
    <row r="143" spans="1:8" ht="42">
      <c r="A143" s="139" t="s">
        <v>110</v>
      </c>
      <c r="B143" s="140" t="s">
        <v>111</v>
      </c>
      <c r="C143" s="140" t="s">
        <v>3654</v>
      </c>
      <c r="D143" s="139" t="s">
        <v>1686</v>
      </c>
      <c r="E143" s="140" t="s">
        <v>2169</v>
      </c>
      <c r="F143" s="140" t="s">
        <v>3346</v>
      </c>
      <c r="G143" s="139" t="s">
        <v>4224</v>
      </c>
      <c r="H143" s="140" t="s">
        <v>3962</v>
      </c>
    </row>
    <row r="144" spans="1:8" ht="42">
      <c r="A144" s="162" t="s">
        <v>112</v>
      </c>
      <c r="B144" s="164" t="s">
        <v>3655</v>
      </c>
      <c r="C144" s="164" t="s">
        <v>3656</v>
      </c>
      <c r="D144" s="139" t="s">
        <v>2219</v>
      </c>
      <c r="E144" s="140" t="s">
        <v>2164</v>
      </c>
      <c r="F144" s="140" t="s">
        <v>3319</v>
      </c>
      <c r="G144" s="139" t="s">
        <v>4162</v>
      </c>
      <c r="H144" s="140" t="s">
        <v>3788</v>
      </c>
    </row>
    <row r="145" spans="1:8" ht="42">
      <c r="A145" s="163"/>
      <c r="B145" s="165"/>
      <c r="C145" s="165"/>
      <c r="D145" s="139" t="s">
        <v>2247</v>
      </c>
      <c r="E145" s="140" t="s">
        <v>3299</v>
      </c>
      <c r="F145" s="140" t="s">
        <v>3320</v>
      </c>
      <c r="G145" s="139" t="s">
        <v>4162</v>
      </c>
      <c r="H145" s="140" t="s">
        <v>3788</v>
      </c>
    </row>
    <row r="146" spans="1:8" ht="42">
      <c r="A146" s="162" t="s">
        <v>113</v>
      </c>
      <c r="B146" s="164" t="s">
        <v>114</v>
      </c>
      <c r="C146" s="164" t="s">
        <v>3657</v>
      </c>
      <c r="D146" s="139" t="s">
        <v>1631</v>
      </c>
      <c r="E146" s="140" t="s">
        <v>3296</v>
      </c>
      <c r="F146" s="140" t="s">
        <v>2262</v>
      </c>
      <c r="G146" s="139" t="s">
        <v>4162</v>
      </c>
      <c r="H146" s="140" t="s">
        <v>3788</v>
      </c>
    </row>
    <row r="147" spans="1:8" ht="63">
      <c r="A147" s="163"/>
      <c r="B147" s="165"/>
      <c r="C147" s="165"/>
      <c r="D147" s="139" t="s">
        <v>2250</v>
      </c>
      <c r="E147" s="140" t="s">
        <v>4709</v>
      </c>
      <c r="F147" s="140" t="s">
        <v>4710</v>
      </c>
      <c r="G147" s="139" t="s">
        <v>4162</v>
      </c>
      <c r="H147" s="140" t="s">
        <v>3788</v>
      </c>
    </row>
    <row r="148" spans="1:8" ht="42">
      <c r="A148" s="139" t="s">
        <v>115</v>
      </c>
      <c r="B148" s="140" t="s">
        <v>3658</v>
      </c>
      <c r="C148" s="140" t="s">
        <v>3659</v>
      </c>
      <c r="D148" s="139" t="s">
        <v>2255</v>
      </c>
      <c r="E148" s="140" t="s">
        <v>2206</v>
      </c>
      <c r="F148" s="140" t="s">
        <v>4009</v>
      </c>
      <c r="G148" s="139" t="s">
        <v>4162</v>
      </c>
      <c r="H148" s="140" t="s">
        <v>3788</v>
      </c>
    </row>
    <row r="149" spans="1:8" ht="63">
      <c r="A149" s="162" t="s">
        <v>116</v>
      </c>
      <c r="B149" s="164" t="s">
        <v>3660</v>
      </c>
      <c r="C149" s="164" t="s">
        <v>3661</v>
      </c>
      <c r="D149" s="139" t="s">
        <v>2250</v>
      </c>
      <c r="E149" s="140" t="s">
        <v>4709</v>
      </c>
      <c r="F149" s="140" t="s">
        <v>4710</v>
      </c>
      <c r="G149" s="139" t="s">
        <v>4162</v>
      </c>
      <c r="H149" s="140" t="s">
        <v>3788</v>
      </c>
    </row>
    <row r="150" spans="1:8" ht="42">
      <c r="A150" s="166"/>
      <c r="B150" s="167"/>
      <c r="C150" s="167"/>
      <c r="D150" s="139" t="s">
        <v>2255</v>
      </c>
      <c r="E150" s="140" t="s">
        <v>2206</v>
      </c>
      <c r="F150" s="140" t="s">
        <v>4009</v>
      </c>
      <c r="G150" s="139" t="s">
        <v>4162</v>
      </c>
      <c r="H150" s="140" t="s">
        <v>3788</v>
      </c>
    </row>
    <row r="151" spans="1:8" ht="42">
      <c r="A151" s="163"/>
      <c r="B151" s="165"/>
      <c r="C151" s="165"/>
      <c r="D151" s="139" t="s">
        <v>1701</v>
      </c>
      <c r="E151" s="140" t="s">
        <v>4718</v>
      </c>
      <c r="F151" s="140" t="s">
        <v>3351</v>
      </c>
      <c r="G151" s="139" t="s">
        <v>4162</v>
      </c>
      <c r="H151" s="140" t="s">
        <v>3788</v>
      </c>
    </row>
    <row r="152" spans="1:8" ht="42">
      <c r="A152" s="162" t="s">
        <v>117</v>
      </c>
      <c r="B152" s="164" t="s">
        <v>118</v>
      </c>
      <c r="C152" s="164" t="s">
        <v>3662</v>
      </c>
      <c r="D152" s="139" t="s">
        <v>1633</v>
      </c>
      <c r="E152" s="140" t="s">
        <v>3297</v>
      </c>
      <c r="F152" s="140" t="s">
        <v>2263</v>
      </c>
      <c r="G152" s="139" t="s">
        <v>4162</v>
      </c>
      <c r="H152" s="140" t="s">
        <v>3788</v>
      </c>
    </row>
    <row r="153" spans="1:8" ht="42">
      <c r="A153" s="166"/>
      <c r="B153" s="167"/>
      <c r="C153" s="167"/>
      <c r="D153" s="139" t="s">
        <v>1689</v>
      </c>
      <c r="E153" s="140" t="s">
        <v>1848</v>
      </c>
      <c r="F153" s="140" t="s">
        <v>3984</v>
      </c>
      <c r="G153" s="139" t="s">
        <v>4162</v>
      </c>
      <c r="H153" s="140" t="s">
        <v>3788</v>
      </c>
    </row>
    <row r="154" spans="1:8" ht="42">
      <c r="A154" s="163"/>
      <c r="B154" s="165"/>
      <c r="C154" s="165"/>
      <c r="D154" s="139" t="s">
        <v>1691</v>
      </c>
      <c r="E154" s="140" t="s">
        <v>1873</v>
      </c>
      <c r="F154" s="140" t="s">
        <v>2285</v>
      </c>
      <c r="G154" s="139" t="s">
        <v>4162</v>
      </c>
      <c r="H154" s="140" t="s">
        <v>3788</v>
      </c>
    </row>
    <row r="155" spans="1:8" ht="42">
      <c r="A155" s="139" t="s">
        <v>122</v>
      </c>
      <c r="B155" s="140" t="s">
        <v>3663</v>
      </c>
      <c r="C155" s="140" t="s">
        <v>3664</v>
      </c>
      <c r="D155" s="139" t="s">
        <v>1692</v>
      </c>
      <c r="E155" s="140" t="s">
        <v>2198</v>
      </c>
      <c r="F155" s="140" t="s">
        <v>3348</v>
      </c>
      <c r="G155" s="139" t="s">
        <v>956</v>
      </c>
      <c r="H155" s="140" t="s">
        <v>3575</v>
      </c>
    </row>
    <row r="156" spans="1:8" ht="42">
      <c r="A156" s="162" t="s">
        <v>123</v>
      </c>
      <c r="B156" s="164" t="s">
        <v>3665</v>
      </c>
      <c r="C156" s="164" t="s">
        <v>3666</v>
      </c>
      <c r="D156" s="139" t="s">
        <v>2255</v>
      </c>
      <c r="E156" s="140" t="s">
        <v>2206</v>
      </c>
      <c r="F156" s="140" t="s">
        <v>4009</v>
      </c>
      <c r="G156" s="139" t="s">
        <v>4162</v>
      </c>
      <c r="H156" s="140" t="s">
        <v>3788</v>
      </c>
    </row>
    <row r="157" spans="1:8" ht="63">
      <c r="A157" s="166"/>
      <c r="B157" s="167"/>
      <c r="C157" s="167"/>
      <c r="D157" s="139" t="s">
        <v>4010</v>
      </c>
      <c r="E157" s="140" t="s">
        <v>4714</v>
      </c>
      <c r="F157" s="140" t="s">
        <v>4715</v>
      </c>
      <c r="G157" s="139" t="s">
        <v>4162</v>
      </c>
      <c r="H157" s="140" t="s">
        <v>3788</v>
      </c>
    </row>
    <row r="158" spans="1:8" ht="42">
      <c r="A158" s="163"/>
      <c r="B158" s="165"/>
      <c r="C158" s="165"/>
      <c r="D158" s="139" t="s">
        <v>2241</v>
      </c>
      <c r="E158" s="140" t="s">
        <v>2189</v>
      </c>
      <c r="F158" s="140" t="s">
        <v>2315</v>
      </c>
      <c r="G158" s="139" t="s">
        <v>4162</v>
      </c>
      <c r="H158" s="140" t="s">
        <v>3788</v>
      </c>
    </row>
    <row r="159" spans="1:8" ht="42">
      <c r="A159" s="139" t="s">
        <v>4291</v>
      </c>
      <c r="B159" s="140" t="s">
        <v>4292</v>
      </c>
      <c r="C159" s="140" t="s">
        <v>4293</v>
      </c>
      <c r="D159" s="139" t="s">
        <v>2258</v>
      </c>
      <c r="E159" s="140" t="s">
        <v>2209</v>
      </c>
      <c r="F159" s="140" t="s">
        <v>2324</v>
      </c>
      <c r="G159" s="139" t="s">
        <v>4212</v>
      </c>
      <c r="H159" s="140" t="s">
        <v>3962</v>
      </c>
    </row>
    <row r="160" spans="1:8" ht="63">
      <c r="A160" s="162" t="s">
        <v>4294</v>
      </c>
      <c r="B160" s="164" t="s">
        <v>4295</v>
      </c>
      <c r="C160" s="164" t="s">
        <v>4293</v>
      </c>
      <c r="D160" s="139" t="s">
        <v>2250</v>
      </c>
      <c r="E160" s="140" t="s">
        <v>4709</v>
      </c>
      <c r="F160" s="140" t="s">
        <v>4710</v>
      </c>
      <c r="G160" s="139" t="s">
        <v>4162</v>
      </c>
      <c r="H160" s="140" t="s">
        <v>3788</v>
      </c>
    </row>
    <row r="161" spans="1:8" ht="42">
      <c r="A161" s="166"/>
      <c r="B161" s="167"/>
      <c r="C161" s="167"/>
      <c r="D161" s="139" t="s">
        <v>1701</v>
      </c>
      <c r="E161" s="140" t="s">
        <v>4718</v>
      </c>
      <c r="F161" s="140" t="s">
        <v>3351</v>
      </c>
      <c r="G161" s="139" t="s">
        <v>4162</v>
      </c>
      <c r="H161" s="140" t="s">
        <v>3788</v>
      </c>
    </row>
    <row r="162" spans="1:8" ht="42">
      <c r="A162" s="163"/>
      <c r="B162" s="165"/>
      <c r="C162" s="165"/>
      <c r="D162" s="139" t="s">
        <v>2258</v>
      </c>
      <c r="E162" s="140" t="s">
        <v>2209</v>
      </c>
      <c r="F162" s="140" t="s">
        <v>2324</v>
      </c>
      <c r="G162" s="139" t="s">
        <v>4162</v>
      </c>
      <c r="H162" s="140" t="s">
        <v>3788</v>
      </c>
    </row>
    <row r="163" spans="1:8" ht="42">
      <c r="A163" s="139" t="s">
        <v>119</v>
      </c>
      <c r="B163" s="140" t="s">
        <v>120</v>
      </c>
      <c r="C163" s="140" t="s">
        <v>3667</v>
      </c>
      <c r="D163" s="139" t="s">
        <v>2238</v>
      </c>
      <c r="E163" s="140" t="s">
        <v>4717</v>
      </c>
      <c r="F163" s="140" t="s">
        <v>2287</v>
      </c>
      <c r="G163" s="139" t="s">
        <v>4162</v>
      </c>
      <c r="H163" s="140" t="s">
        <v>3788</v>
      </c>
    </row>
    <row r="164" spans="1:8" ht="21">
      <c r="A164" s="139" t="s">
        <v>121</v>
      </c>
      <c r="B164" s="140" t="s">
        <v>3669</v>
      </c>
      <c r="C164" s="140" t="s">
        <v>3670</v>
      </c>
      <c r="D164" s="139" t="s">
        <v>956</v>
      </c>
      <c r="E164" s="140" t="s">
        <v>4395</v>
      </c>
      <c r="F164" s="140" t="s">
        <v>3671</v>
      </c>
      <c r="G164" s="139" t="s">
        <v>956</v>
      </c>
      <c r="H164" s="140" t="s">
        <v>3575</v>
      </c>
    </row>
    <row r="165" spans="1:8" ht="42">
      <c r="A165" s="139" t="s">
        <v>124</v>
      </c>
      <c r="B165" s="140" t="s">
        <v>3672</v>
      </c>
      <c r="C165" s="140" t="s">
        <v>3673</v>
      </c>
      <c r="D165" s="139" t="s">
        <v>2240</v>
      </c>
      <c r="E165" s="140" t="s">
        <v>2188</v>
      </c>
      <c r="F165" s="140" t="s">
        <v>2317</v>
      </c>
      <c r="G165" s="139" t="s">
        <v>4162</v>
      </c>
      <c r="H165" s="140" t="s">
        <v>3788</v>
      </c>
    </row>
    <row r="166" spans="1:8" ht="21">
      <c r="A166" s="139" t="s">
        <v>125</v>
      </c>
      <c r="B166" s="140" t="s">
        <v>3674</v>
      </c>
      <c r="C166" s="140" t="s">
        <v>3675</v>
      </c>
      <c r="D166" s="139" t="s">
        <v>2257</v>
      </c>
      <c r="E166" s="140" t="s">
        <v>2208</v>
      </c>
      <c r="F166" s="140" t="s">
        <v>2303</v>
      </c>
      <c r="G166" s="139" t="s">
        <v>4162</v>
      </c>
      <c r="H166" s="140" t="s">
        <v>3965</v>
      </c>
    </row>
    <row r="167" spans="1:8" ht="42">
      <c r="A167" s="139" t="s">
        <v>126</v>
      </c>
      <c r="B167" s="140" t="s">
        <v>3676</v>
      </c>
      <c r="C167" s="140" t="s">
        <v>3677</v>
      </c>
      <c r="D167" s="139" t="s">
        <v>2216</v>
      </c>
      <c r="E167" s="140" t="s">
        <v>3307</v>
      </c>
      <c r="F167" s="140" t="s">
        <v>3355</v>
      </c>
      <c r="G167" s="139" t="s">
        <v>4162</v>
      </c>
      <c r="H167" s="140" t="s">
        <v>3788</v>
      </c>
    </row>
    <row r="168" spans="1:8" ht="42">
      <c r="A168" s="162" t="s">
        <v>127</v>
      </c>
      <c r="B168" s="164" t="s">
        <v>3678</v>
      </c>
      <c r="C168" s="164" t="s">
        <v>3679</v>
      </c>
      <c r="D168" s="139" t="s">
        <v>2218</v>
      </c>
      <c r="E168" s="140" t="s">
        <v>2163</v>
      </c>
      <c r="F168" s="140" t="s">
        <v>3353</v>
      </c>
      <c r="G168" s="139" t="s">
        <v>4162</v>
      </c>
      <c r="H168" s="140" t="s">
        <v>3788</v>
      </c>
    </row>
    <row r="169" spans="1:8" ht="21">
      <c r="A169" s="163"/>
      <c r="B169" s="165"/>
      <c r="C169" s="165"/>
      <c r="D169" s="139" t="s">
        <v>2233</v>
      </c>
      <c r="E169" s="140" t="s">
        <v>2182</v>
      </c>
      <c r="F169" s="140" t="s">
        <v>2302</v>
      </c>
      <c r="G169" s="139" t="s">
        <v>4162</v>
      </c>
      <c r="H169" s="140" t="s">
        <v>3788</v>
      </c>
    </row>
    <row r="170" spans="1:8" ht="42">
      <c r="A170" s="139" t="s">
        <v>128</v>
      </c>
      <c r="B170" s="140" t="s">
        <v>129</v>
      </c>
      <c r="C170" s="140" t="s">
        <v>3680</v>
      </c>
      <c r="D170" s="139" t="s">
        <v>2218</v>
      </c>
      <c r="E170" s="140" t="s">
        <v>2163</v>
      </c>
      <c r="F170" s="140" t="s">
        <v>3353</v>
      </c>
      <c r="G170" s="139" t="s">
        <v>4162</v>
      </c>
      <c r="H170" s="140" t="s">
        <v>3788</v>
      </c>
    </row>
    <row r="171" spans="1:8" ht="42">
      <c r="A171" s="162" t="s">
        <v>130</v>
      </c>
      <c r="B171" s="164" t="s">
        <v>131</v>
      </c>
      <c r="C171" s="164" t="s">
        <v>3681</v>
      </c>
      <c r="D171" s="139" t="s">
        <v>2218</v>
      </c>
      <c r="E171" s="140" t="s">
        <v>2163</v>
      </c>
      <c r="F171" s="140" t="s">
        <v>3353</v>
      </c>
      <c r="G171" s="139" t="s">
        <v>4162</v>
      </c>
      <c r="H171" s="140" t="s">
        <v>3788</v>
      </c>
    </row>
    <row r="172" spans="1:8" ht="63">
      <c r="A172" s="163"/>
      <c r="B172" s="165"/>
      <c r="C172" s="165"/>
      <c r="D172" s="139" t="s">
        <v>2400</v>
      </c>
      <c r="E172" s="140" t="s">
        <v>3306</v>
      </c>
      <c r="F172" s="140" t="s">
        <v>3358</v>
      </c>
      <c r="G172" s="139" t="s">
        <v>4162</v>
      </c>
      <c r="H172" s="140" t="s">
        <v>3788</v>
      </c>
    </row>
    <row r="173" spans="1:8" ht="42">
      <c r="A173" s="139" t="s">
        <v>132</v>
      </c>
      <c r="B173" s="140" t="s">
        <v>133</v>
      </c>
      <c r="C173" s="140" t="s">
        <v>3682</v>
      </c>
      <c r="D173" s="139" t="s">
        <v>2216</v>
      </c>
      <c r="E173" s="140" t="s">
        <v>3307</v>
      </c>
      <c r="F173" s="140" t="s">
        <v>3355</v>
      </c>
      <c r="G173" s="139" t="s">
        <v>4162</v>
      </c>
      <c r="H173" s="140" t="s">
        <v>3788</v>
      </c>
    </row>
    <row r="174" spans="1:8" ht="21">
      <c r="A174" s="139" t="s">
        <v>134</v>
      </c>
      <c r="B174" s="140" t="s">
        <v>3683</v>
      </c>
      <c r="C174" s="140" t="s">
        <v>3684</v>
      </c>
      <c r="D174" s="139" t="s">
        <v>2229</v>
      </c>
      <c r="E174" s="140" t="s">
        <v>2177</v>
      </c>
      <c r="F174" s="140" t="s">
        <v>2297</v>
      </c>
      <c r="G174" s="139" t="s">
        <v>4162</v>
      </c>
      <c r="H174" s="140" t="s">
        <v>3788</v>
      </c>
    </row>
    <row r="175" spans="1:8" ht="63">
      <c r="A175" s="162" t="s">
        <v>138</v>
      </c>
      <c r="B175" s="164" t="s">
        <v>139</v>
      </c>
      <c r="C175" s="164" t="s">
        <v>3685</v>
      </c>
      <c r="D175" s="139" t="s">
        <v>1651</v>
      </c>
      <c r="E175" s="140" t="s">
        <v>4696</v>
      </c>
      <c r="F175" s="140" t="s">
        <v>4697</v>
      </c>
      <c r="G175" s="139" t="s">
        <v>4162</v>
      </c>
      <c r="H175" s="140" t="s">
        <v>3788</v>
      </c>
    </row>
    <row r="176" spans="1:8" ht="21">
      <c r="A176" s="166"/>
      <c r="B176" s="167"/>
      <c r="C176" s="167"/>
      <c r="D176" s="139" t="s">
        <v>2229</v>
      </c>
      <c r="E176" s="140" t="s">
        <v>2177</v>
      </c>
      <c r="F176" s="140" t="s">
        <v>2297</v>
      </c>
      <c r="G176" s="139" t="s">
        <v>4162</v>
      </c>
      <c r="H176" s="140" t="s">
        <v>3788</v>
      </c>
    </row>
    <row r="177" spans="1:8" ht="42">
      <c r="A177" s="163"/>
      <c r="B177" s="165"/>
      <c r="C177" s="165"/>
      <c r="D177" s="139" t="s">
        <v>2222</v>
      </c>
      <c r="E177" s="140" t="s">
        <v>2168</v>
      </c>
      <c r="F177" s="140" t="s">
        <v>2299</v>
      </c>
      <c r="G177" s="139" t="s">
        <v>4162</v>
      </c>
      <c r="H177" s="140" t="s">
        <v>3788</v>
      </c>
    </row>
    <row r="178" spans="1:8" ht="42">
      <c r="A178" s="139" t="s">
        <v>4298</v>
      </c>
      <c r="B178" s="140" t="s">
        <v>4299</v>
      </c>
      <c r="C178" s="140" t="s">
        <v>4300</v>
      </c>
      <c r="D178" s="139" t="s">
        <v>2258</v>
      </c>
      <c r="E178" s="140" t="s">
        <v>2209</v>
      </c>
      <c r="F178" s="140" t="s">
        <v>2324</v>
      </c>
      <c r="G178" s="139" t="s">
        <v>4212</v>
      </c>
      <c r="H178" s="140" t="s">
        <v>3962</v>
      </c>
    </row>
    <row r="179" spans="1:8" ht="63">
      <c r="A179" s="162" t="s">
        <v>4301</v>
      </c>
      <c r="B179" s="164" t="s">
        <v>4302</v>
      </c>
      <c r="C179" s="164" t="s">
        <v>4300</v>
      </c>
      <c r="D179" s="139" t="s">
        <v>2250</v>
      </c>
      <c r="E179" s="140" t="s">
        <v>4709</v>
      </c>
      <c r="F179" s="140" t="s">
        <v>4710</v>
      </c>
      <c r="G179" s="139" t="s">
        <v>4162</v>
      </c>
      <c r="H179" s="140" t="s">
        <v>3788</v>
      </c>
    </row>
    <row r="180" spans="1:8" ht="42">
      <c r="A180" s="166"/>
      <c r="B180" s="167"/>
      <c r="C180" s="167"/>
      <c r="D180" s="139" t="s">
        <v>1701</v>
      </c>
      <c r="E180" s="140" t="s">
        <v>4718</v>
      </c>
      <c r="F180" s="140" t="s">
        <v>3351</v>
      </c>
      <c r="G180" s="139" t="s">
        <v>4162</v>
      </c>
      <c r="H180" s="140" t="s">
        <v>3788</v>
      </c>
    </row>
    <row r="181" spans="1:8" ht="42">
      <c r="A181" s="163"/>
      <c r="B181" s="165"/>
      <c r="C181" s="165"/>
      <c r="D181" s="139" t="s">
        <v>2258</v>
      </c>
      <c r="E181" s="140" t="s">
        <v>2209</v>
      </c>
      <c r="F181" s="140" t="s">
        <v>2324</v>
      </c>
      <c r="G181" s="139" t="s">
        <v>4162</v>
      </c>
      <c r="H181" s="140" t="s">
        <v>3788</v>
      </c>
    </row>
    <row r="182" spans="1:8" ht="63">
      <c r="A182" s="162" t="s">
        <v>135</v>
      </c>
      <c r="B182" s="164" t="s">
        <v>3686</v>
      </c>
      <c r="C182" s="164" t="s">
        <v>3687</v>
      </c>
      <c r="D182" s="139" t="s">
        <v>2250</v>
      </c>
      <c r="E182" s="140" t="s">
        <v>4709</v>
      </c>
      <c r="F182" s="140" t="s">
        <v>4710</v>
      </c>
      <c r="G182" s="139" t="s">
        <v>4162</v>
      </c>
      <c r="H182" s="140" t="s">
        <v>3788</v>
      </c>
    </row>
    <row r="183" spans="1:8" ht="21">
      <c r="A183" s="163"/>
      <c r="B183" s="165"/>
      <c r="C183" s="165"/>
      <c r="D183" s="139" t="s">
        <v>2229</v>
      </c>
      <c r="E183" s="140" t="s">
        <v>2177</v>
      </c>
      <c r="F183" s="140" t="s">
        <v>2297</v>
      </c>
      <c r="G183" s="139" t="s">
        <v>4162</v>
      </c>
      <c r="H183" s="140" t="s">
        <v>3788</v>
      </c>
    </row>
    <row r="184" spans="1:8" ht="42">
      <c r="A184" s="162" t="s">
        <v>136</v>
      </c>
      <c r="B184" s="164" t="s">
        <v>3688</v>
      </c>
      <c r="C184" s="164" t="s">
        <v>3689</v>
      </c>
      <c r="D184" s="139" t="s">
        <v>2213</v>
      </c>
      <c r="E184" s="140" t="s">
        <v>2158</v>
      </c>
      <c r="F184" s="140" t="s">
        <v>2298</v>
      </c>
      <c r="G184" s="139" t="s">
        <v>4162</v>
      </c>
      <c r="H184" s="140" t="s">
        <v>3788</v>
      </c>
    </row>
    <row r="185" spans="1:8" ht="42">
      <c r="A185" s="163"/>
      <c r="B185" s="165"/>
      <c r="C185" s="165"/>
      <c r="D185" s="139" t="s">
        <v>2237</v>
      </c>
      <c r="E185" s="140" t="s">
        <v>2186</v>
      </c>
      <c r="F185" s="140" t="s">
        <v>2314</v>
      </c>
      <c r="G185" s="139" t="s">
        <v>4162</v>
      </c>
      <c r="H185" s="140" t="s">
        <v>3788</v>
      </c>
    </row>
    <row r="186" spans="1:8" ht="63">
      <c r="A186" s="139" t="s">
        <v>140</v>
      </c>
      <c r="B186" s="140" t="s">
        <v>4303</v>
      </c>
      <c r="C186" s="140" t="s">
        <v>4304</v>
      </c>
      <c r="D186" s="139" t="s">
        <v>2222</v>
      </c>
      <c r="E186" s="140" t="s">
        <v>2168</v>
      </c>
      <c r="F186" s="140" t="s">
        <v>2299</v>
      </c>
      <c r="G186" s="139" t="s">
        <v>4162</v>
      </c>
      <c r="H186" s="140" t="s">
        <v>3788</v>
      </c>
    </row>
    <row r="187" spans="1:8" ht="21">
      <c r="A187" s="162" t="s">
        <v>141</v>
      </c>
      <c r="B187" s="164" t="s">
        <v>142</v>
      </c>
      <c r="C187" s="164" t="s">
        <v>3690</v>
      </c>
      <c r="D187" s="139" t="s">
        <v>2229</v>
      </c>
      <c r="E187" s="140" t="s">
        <v>2177</v>
      </c>
      <c r="F187" s="140" t="s">
        <v>2297</v>
      </c>
      <c r="G187" s="139" t="s">
        <v>4162</v>
      </c>
      <c r="H187" s="140" t="s">
        <v>3788</v>
      </c>
    </row>
    <row r="188" spans="1:8" ht="21">
      <c r="A188" s="163"/>
      <c r="B188" s="165"/>
      <c r="C188" s="165"/>
      <c r="D188" s="139" t="s">
        <v>2226</v>
      </c>
      <c r="E188" s="140" t="s">
        <v>2174</v>
      </c>
      <c r="F188" s="140" t="s">
        <v>2300</v>
      </c>
      <c r="G188" s="139" t="s">
        <v>4162</v>
      </c>
      <c r="H188" s="140" t="s">
        <v>3788</v>
      </c>
    </row>
    <row r="189" spans="1:8" ht="63">
      <c r="A189" s="139" t="s">
        <v>137</v>
      </c>
      <c r="B189" s="140" t="s">
        <v>3691</v>
      </c>
      <c r="C189" s="140" t="s">
        <v>3692</v>
      </c>
      <c r="D189" s="139" t="s">
        <v>2400</v>
      </c>
      <c r="E189" s="140" t="s">
        <v>3306</v>
      </c>
      <c r="F189" s="140" t="s">
        <v>3358</v>
      </c>
      <c r="G189" s="139" t="s">
        <v>4162</v>
      </c>
      <c r="H189" s="140" t="s">
        <v>3965</v>
      </c>
    </row>
    <row r="190" spans="1:8" ht="42">
      <c r="A190" s="139" t="s">
        <v>143</v>
      </c>
      <c r="B190" s="140" t="s">
        <v>3693</v>
      </c>
      <c r="C190" s="140" t="s">
        <v>3694</v>
      </c>
      <c r="D190" s="139" t="s">
        <v>2213</v>
      </c>
      <c r="E190" s="140" t="s">
        <v>2158</v>
      </c>
      <c r="F190" s="140" t="s">
        <v>2298</v>
      </c>
      <c r="G190" s="139" t="s">
        <v>4162</v>
      </c>
      <c r="H190" s="140" t="s">
        <v>3788</v>
      </c>
    </row>
    <row r="191" spans="1:8" ht="21">
      <c r="A191" s="162" t="s">
        <v>144</v>
      </c>
      <c r="B191" s="164" t="s">
        <v>145</v>
      </c>
      <c r="C191" s="164" t="s">
        <v>3695</v>
      </c>
      <c r="D191" s="139" t="s">
        <v>2229</v>
      </c>
      <c r="E191" s="140" t="s">
        <v>2177</v>
      </c>
      <c r="F191" s="140" t="s">
        <v>2297</v>
      </c>
      <c r="G191" s="139" t="s">
        <v>4162</v>
      </c>
      <c r="H191" s="140" t="s">
        <v>3788</v>
      </c>
    </row>
    <row r="192" spans="1:8" ht="42">
      <c r="A192" s="163"/>
      <c r="B192" s="165"/>
      <c r="C192" s="165"/>
      <c r="D192" s="139" t="s">
        <v>2213</v>
      </c>
      <c r="E192" s="140" t="s">
        <v>2158</v>
      </c>
      <c r="F192" s="140" t="s">
        <v>2298</v>
      </c>
      <c r="G192" s="139" t="s">
        <v>4162</v>
      </c>
      <c r="H192" s="140" t="s">
        <v>3788</v>
      </c>
    </row>
    <row r="193" spans="1:8" ht="21">
      <c r="A193" s="162" t="s">
        <v>146</v>
      </c>
      <c r="B193" s="164" t="s">
        <v>3696</v>
      </c>
      <c r="C193" s="164" t="s">
        <v>3697</v>
      </c>
      <c r="D193" s="139" t="s">
        <v>1674</v>
      </c>
      <c r="E193" s="140" t="s">
        <v>3302</v>
      </c>
      <c r="F193" s="140" t="s">
        <v>3338</v>
      </c>
      <c r="G193" s="139" t="s">
        <v>4162</v>
      </c>
      <c r="H193" s="140" t="s">
        <v>3788</v>
      </c>
    </row>
    <row r="194" spans="1:8" ht="42">
      <c r="A194" s="163"/>
      <c r="B194" s="165"/>
      <c r="C194" s="165"/>
      <c r="D194" s="139" t="s">
        <v>2213</v>
      </c>
      <c r="E194" s="140" t="s">
        <v>2158</v>
      </c>
      <c r="F194" s="140" t="s">
        <v>2298</v>
      </c>
      <c r="G194" s="139" t="s">
        <v>4162</v>
      </c>
      <c r="H194" s="140" t="s">
        <v>3788</v>
      </c>
    </row>
    <row r="195" spans="1:8" ht="63">
      <c r="A195" s="139" t="s">
        <v>4305</v>
      </c>
      <c r="B195" s="140" t="s">
        <v>4307</v>
      </c>
      <c r="C195" s="140" t="s">
        <v>4308</v>
      </c>
      <c r="D195" s="139" t="s">
        <v>1674</v>
      </c>
      <c r="E195" s="140" t="s">
        <v>3302</v>
      </c>
      <c r="F195" s="140" t="s">
        <v>3338</v>
      </c>
      <c r="G195" s="139" t="s">
        <v>4162</v>
      </c>
      <c r="H195" s="140" t="s">
        <v>3965</v>
      </c>
    </row>
    <row r="196" spans="1:8" ht="63">
      <c r="A196" s="139" t="s">
        <v>4309</v>
      </c>
      <c r="B196" s="140" t="s">
        <v>4311</v>
      </c>
      <c r="C196" s="140" t="s">
        <v>4308</v>
      </c>
      <c r="D196" s="139" t="s">
        <v>1674</v>
      </c>
      <c r="E196" s="140" t="s">
        <v>3302</v>
      </c>
      <c r="F196" s="140" t="s">
        <v>3338</v>
      </c>
      <c r="G196" s="139" t="s">
        <v>4281</v>
      </c>
      <c r="H196" s="140" t="s">
        <v>4284</v>
      </c>
    </row>
    <row r="197" spans="1:8" ht="42">
      <c r="A197" s="139" t="s">
        <v>147</v>
      </c>
      <c r="B197" s="140" t="s">
        <v>148</v>
      </c>
      <c r="C197" s="140" t="s">
        <v>3698</v>
      </c>
      <c r="D197" s="139" t="s">
        <v>2218</v>
      </c>
      <c r="E197" s="140" t="s">
        <v>2163</v>
      </c>
      <c r="F197" s="140" t="s">
        <v>3353</v>
      </c>
      <c r="G197" s="139" t="s">
        <v>4162</v>
      </c>
      <c r="H197" s="140" t="s">
        <v>3788</v>
      </c>
    </row>
    <row r="198" spans="1:8" ht="42">
      <c r="A198" s="139" t="s">
        <v>149</v>
      </c>
      <c r="B198" s="140" t="s">
        <v>3699</v>
      </c>
      <c r="C198" s="140" t="s">
        <v>3700</v>
      </c>
      <c r="D198" s="139" t="s">
        <v>956</v>
      </c>
      <c r="E198" s="140" t="s">
        <v>4395</v>
      </c>
      <c r="F198" s="140" t="s">
        <v>3701</v>
      </c>
      <c r="G198" s="139" t="s">
        <v>956</v>
      </c>
      <c r="H198" s="140" t="s">
        <v>3575</v>
      </c>
    </row>
    <row r="199" spans="1:8" ht="63">
      <c r="A199" s="139" t="s">
        <v>150</v>
      </c>
      <c r="B199" s="140" t="s">
        <v>151</v>
      </c>
      <c r="C199" s="140" t="s">
        <v>3702</v>
      </c>
      <c r="D199" s="139" t="s">
        <v>2400</v>
      </c>
      <c r="E199" s="140" t="s">
        <v>3306</v>
      </c>
      <c r="F199" s="140" t="s">
        <v>3358</v>
      </c>
      <c r="G199" s="139" t="s">
        <v>4162</v>
      </c>
      <c r="H199" s="140" t="s">
        <v>3965</v>
      </c>
    </row>
    <row r="200" spans="1:8" ht="42">
      <c r="A200" s="162" t="s">
        <v>152</v>
      </c>
      <c r="B200" s="164" t="s">
        <v>153</v>
      </c>
      <c r="C200" s="164" t="s">
        <v>3703</v>
      </c>
      <c r="D200" s="139" t="s">
        <v>2217</v>
      </c>
      <c r="E200" s="140" t="s">
        <v>2162</v>
      </c>
      <c r="F200" s="140" t="s">
        <v>2294</v>
      </c>
      <c r="G200" s="139" t="s">
        <v>4162</v>
      </c>
      <c r="H200" s="140" t="s">
        <v>3788</v>
      </c>
    </row>
    <row r="201" spans="1:8" ht="42">
      <c r="A201" s="163"/>
      <c r="B201" s="165"/>
      <c r="C201" s="165"/>
      <c r="D201" s="139" t="s">
        <v>2228</v>
      </c>
      <c r="E201" s="140" t="s">
        <v>2176</v>
      </c>
      <c r="F201" s="140" t="s">
        <v>2305</v>
      </c>
      <c r="G201" s="139" t="s">
        <v>4162</v>
      </c>
      <c r="H201" s="140" t="s">
        <v>3788</v>
      </c>
    </row>
    <row r="202" spans="1:8" ht="42">
      <c r="A202" s="162" t="s">
        <v>154</v>
      </c>
      <c r="B202" s="164" t="s">
        <v>155</v>
      </c>
      <c r="C202" s="164" t="s">
        <v>3704</v>
      </c>
      <c r="D202" s="139" t="s">
        <v>2228</v>
      </c>
      <c r="E202" s="140" t="s">
        <v>2176</v>
      </c>
      <c r="F202" s="140" t="s">
        <v>2305</v>
      </c>
      <c r="G202" s="139" t="s">
        <v>4162</v>
      </c>
      <c r="H202" s="140" t="s">
        <v>3788</v>
      </c>
    </row>
    <row r="203" spans="1:8" ht="21">
      <c r="A203" s="163"/>
      <c r="B203" s="165"/>
      <c r="C203" s="165"/>
      <c r="D203" s="139" t="s">
        <v>2239</v>
      </c>
      <c r="E203" s="140" t="s">
        <v>2187</v>
      </c>
      <c r="F203" s="140" t="s">
        <v>2306</v>
      </c>
      <c r="G203" s="139" t="s">
        <v>4162</v>
      </c>
      <c r="H203" s="140" t="s">
        <v>3788</v>
      </c>
    </row>
    <row r="204" spans="1:8" ht="63">
      <c r="A204" s="162" t="s">
        <v>156</v>
      </c>
      <c r="B204" s="164" t="s">
        <v>157</v>
      </c>
      <c r="C204" s="164" t="s">
        <v>3705</v>
      </c>
      <c r="D204" s="139" t="s">
        <v>2250</v>
      </c>
      <c r="E204" s="140" t="s">
        <v>4709</v>
      </c>
      <c r="F204" s="140" t="s">
        <v>4710</v>
      </c>
      <c r="G204" s="139" t="s">
        <v>4162</v>
      </c>
      <c r="H204" s="140" t="s">
        <v>3788</v>
      </c>
    </row>
    <row r="205" spans="1:8" ht="42">
      <c r="A205" s="163"/>
      <c r="B205" s="165"/>
      <c r="C205" s="165"/>
      <c r="D205" s="139" t="s">
        <v>1701</v>
      </c>
      <c r="E205" s="140" t="s">
        <v>4718</v>
      </c>
      <c r="F205" s="140" t="s">
        <v>3351</v>
      </c>
      <c r="G205" s="139" t="s">
        <v>4162</v>
      </c>
      <c r="H205" s="140" t="s">
        <v>3788</v>
      </c>
    </row>
    <row r="206" spans="1:8" ht="63">
      <c r="A206" s="139" t="s">
        <v>162</v>
      </c>
      <c r="B206" s="140" t="s">
        <v>163</v>
      </c>
      <c r="C206" s="140" t="s">
        <v>3706</v>
      </c>
      <c r="D206" s="139" t="s">
        <v>2250</v>
      </c>
      <c r="E206" s="140" t="s">
        <v>4709</v>
      </c>
      <c r="F206" s="140" t="s">
        <v>4710</v>
      </c>
      <c r="G206" s="139" t="s">
        <v>4162</v>
      </c>
      <c r="H206" s="140" t="s">
        <v>3788</v>
      </c>
    </row>
    <row r="207" spans="1:8" ht="63">
      <c r="A207" s="139" t="s">
        <v>164</v>
      </c>
      <c r="B207" s="140" t="s">
        <v>165</v>
      </c>
      <c r="C207" s="140" t="s">
        <v>4312</v>
      </c>
      <c r="D207" s="139" t="s">
        <v>2245</v>
      </c>
      <c r="E207" s="140" t="s">
        <v>2192</v>
      </c>
      <c r="F207" s="140" t="s">
        <v>2272</v>
      </c>
      <c r="G207" s="139" t="s">
        <v>4162</v>
      </c>
      <c r="H207" s="140" t="s">
        <v>3788</v>
      </c>
    </row>
    <row r="208" spans="1:8" ht="63">
      <c r="A208" s="139" t="s">
        <v>166</v>
      </c>
      <c r="B208" s="140" t="s">
        <v>167</v>
      </c>
      <c r="C208" s="140" t="s">
        <v>3707</v>
      </c>
      <c r="D208" s="139" t="s">
        <v>2250</v>
      </c>
      <c r="E208" s="140" t="s">
        <v>4709</v>
      </c>
      <c r="F208" s="140" t="s">
        <v>4710</v>
      </c>
      <c r="G208" s="139" t="s">
        <v>4162</v>
      </c>
      <c r="H208" s="140" t="s">
        <v>3788</v>
      </c>
    </row>
    <row r="209" spans="1:8" ht="42">
      <c r="A209" s="139" t="s">
        <v>168</v>
      </c>
      <c r="B209" s="140" t="s">
        <v>169</v>
      </c>
      <c r="C209" s="140" t="s">
        <v>3708</v>
      </c>
      <c r="D209" s="139" t="s">
        <v>2245</v>
      </c>
      <c r="E209" s="140" t="s">
        <v>2192</v>
      </c>
      <c r="F209" s="140" t="s">
        <v>2272</v>
      </c>
      <c r="G209" s="139" t="s">
        <v>4162</v>
      </c>
      <c r="H209" s="140" t="s">
        <v>3788</v>
      </c>
    </row>
    <row r="210" spans="1:8" ht="42">
      <c r="A210" s="139" t="s">
        <v>170</v>
      </c>
      <c r="B210" s="140" t="s">
        <v>171</v>
      </c>
      <c r="C210" s="140" t="s">
        <v>4313</v>
      </c>
      <c r="D210" s="139" t="s">
        <v>1654</v>
      </c>
      <c r="E210" s="140" t="s">
        <v>3300</v>
      </c>
      <c r="F210" s="140" t="s">
        <v>3323</v>
      </c>
      <c r="G210" s="139" t="s">
        <v>4162</v>
      </c>
      <c r="H210" s="140" t="s">
        <v>3788</v>
      </c>
    </row>
    <row r="211" spans="1:8" ht="84">
      <c r="A211" s="139" t="s">
        <v>158</v>
      </c>
      <c r="B211" s="140" t="s">
        <v>159</v>
      </c>
      <c r="C211" s="140" t="s">
        <v>3709</v>
      </c>
      <c r="D211" s="139" t="s">
        <v>1626</v>
      </c>
      <c r="E211" s="140" t="s">
        <v>2171</v>
      </c>
      <c r="F211" s="140" t="s">
        <v>4002</v>
      </c>
      <c r="G211" s="139" t="s">
        <v>4169</v>
      </c>
      <c r="H211" s="140" t="s">
        <v>4172</v>
      </c>
    </row>
    <row r="212" spans="1:8" ht="42">
      <c r="A212" s="162" t="s">
        <v>174</v>
      </c>
      <c r="B212" s="164" t="s">
        <v>175</v>
      </c>
      <c r="C212" s="164" t="s">
        <v>3710</v>
      </c>
      <c r="D212" s="139" t="s">
        <v>1628</v>
      </c>
      <c r="E212" s="140" t="s">
        <v>3294</v>
      </c>
      <c r="F212" s="140" t="s">
        <v>3310</v>
      </c>
      <c r="G212" s="139" t="s">
        <v>4162</v>
      </c>
      <c r="H212" s="140" t="s">
        <v>3788</v>
      </c>
    </row>
    <row r="213" spans="1:8" ht="42">
      <c r="A213" s="166"/>
      <c r="B213" s="167"/>
      <c r="C213" s="167"/>
      <c r="D213" s="139" t="s">
        <v>1647</v>
      </c>
      <c r="E213" s="140" t="s">
        <v>3298</v>
      </c>
      <c r="F213" s="140" t="s">
        <v>2270</v>
      </c>
      <c r="G213" s="139" t="s">
        <v>4162</v>
      </c>
      <c r="H213" s="140" t="s">
        <v>3788</v>
      </c>
    </row>
    <row r="214" spans="1:8" ht="42">
      <c r="A214" s="166"/>
      <c r="B214" s="167"/>
      <c r="C214" s="167"/>
      <c r="D214" s="139" t="s">
        <v>2247</v>
      </c>
      <c r="E214" s="140" t="s">
        <v>3299</v>
      </c>
      <c r="F214" s="140" t="s">
        <v>3320</v>
      </c>
      <c r="G214" s="139" t="s">
        <v>4162</v>
      </c>
      <c r="H214" s="140" t="s">
        <v>3788</v>
      </c>
    </row>
    <row r="215" spans="1:8" ht="42">
      <c r="A215" s="163"/>
      <c r="B215" s="165"/>
      <c r="C215" s="165"/>
      <c r="D215" s="139" t="s">
        <v>2215</v>
      </c>
      <c r="E215" s="140" t="s">
        <v>2161</v>
      </c>
      <c r="F215" s="140" t="s">
        <v>2304</v>
      </c>
      <c r="G215" s="139" t="s">
        <v>4162</v>
      </c>
      <c r="H215" s="140" t="s">
        <v>3788</v>
      </c>
    </row>
    <row r="216" spans="1:8" ht="42">
      <c r="A216" s="162" t="s">
        <v>4314</v>
      </c>
      <c r="B216" s="164" t="s">
        <v>4316</v>
      </c>
      <c r="C216" s="164" t="s">
        <v>3712</v>
      </c>
      <c r="D216" s="139" t="s">
        <v>2217</v>
      </c>
      <c r="E216" s="140" t="s">
        <v>2162</v>
      </c>
      <c r="F216" s="140" t="s">
        <v>2294</v>
      </c>
      <c r="G216" s="139" t="s">
        <v>4281</v>
      </c>
      <c r="H216" s="140" t="s">
        <v>4284</v>
      </c>
    </row>
    <row r="217" spans="1:8" ht="42">
      <c r="A217" s="163"/>
      <c r="B217" s="165"/>
      <c r="C217" s="165"/>
      <c r="D217" s="139" t="s">
        <v>2215</v>
      </c>
      <c r="E217" s="140" t="s">
        <v>2161</v>
      </c>
      <c r="F217" s="140" t="s">
        <v>2304</v>
      </c>
      <c r="G217" s="139" t="s">
        <v>4281</v>
      </c>
      <c r="H217" s="140" t="s">
        <v>4284</v>
      </c>
    </row>
    <row r="218" spans="1:8" ht="42">
      <c r="A218" s="162" t="s">
        <v>4317</v>
      </c>
      <c r="B218" s="164" t="s">
        <v>4319</v>
      </c>
      <c r="C218" s="164" t="s">
        <v>3712</v>
      </c>
      <c r="D218" s="139" t="s">
        <v>2217</v>
      </c>
      <c r="E218" s="140" t="s">
        <v>2162</v>
      </c>
      <c r="F218" s="140" t="s">
        <v>2294</v>
      </c>
      <c r="G218" s="139" t="s">
        <v>4162</v>
      </c>
      <c r="H218" s="140" t="s">
        <v>3965</v>
      </c>
    </row>
    <row r="219" spans="1:8" ht="42">
      <c r="A219" s="166"/>
      <c r="B219" s="167"/>
      <c r="C219" s="167"/>
      <c r="D219" s="139" t="s">
        <v>2221</v>
      </c>
      <c r="E219" s="140" t="s">
        <v>2166</v>
      </c>
      <c r="F219" s="140" t="s">
        <v>2296</v>
      </c>
      <c r="G219" s="139" t="s">
        <v>4162</v>
      </c>
      <c r="H219" s="140" t="s">
        <v>3965</v>
      </c>
    </row>
    <row r="220" spans="1:8" ht="42">
      <c r="A220" s="163"/>
      <c r="B220" s="165"/>
      <c r="C220" s="165"/>
      <c r="D220" s="139" t="s">
        <v>2215</v>
      </c>
      <c r="E220" s="140" t="s">
        <v>2161</v>
      </c>
      <c r="F220" s="140" t="s">
        <v>2304</v>
      </c>
      <c r="G220" s="139" t="s">
        <v>4162</v>
      </c>
      <c r="H220" s="140" t="s">
        <v>3965</v>
      </c>
    </row>
    <row r="221" spans="1:8" ht="42">
      <c r="A221" s="162" t="s">
        <v>4322</v>
      </c>
      <c r="B221" s="164" t="s">
        <v>4323</v>
      </c>
      <c r="C221" s="164" t="s">
        <v>3713</v>
      </c>
      <c r="D221" s="139" t="s">
        <v>2217</v>
      </c>
      <c r="E221" s="140" t="s">
        <v>2162</v>
      </c>
      <c r="F221" s="140" t="s">
        <v>2294</v>
      </c>
      <c r="G221" s="139" t="s">
        <v>4281</v>
      </c>
      <c r="H221" s="140" t="s">
        <v>4284</v>
      </c>
    </row>
    <row r="222" spans="1:8" ht="42">
      <c r="A222" s="163"/>
      <c r="B222" s="165"/>
      <c r="C222" s="165"/>
      <c r="D222" s="139" t="s">
        <v>2215</v>
      </c>
      <c r="E222" s="140" t="s">
        <v>2161</v>
      </c>
      <c r="F222" s="140" t="s">
        <v>2304</v>
      </c>
      <c r="G222" s="139" t="s">
        <v>4281</v>
      </c>
      <c r="H222" s="140" t="s">
        <v>4284</v>
      </c>
    </row>
    <row r="223" spans="1:8" ht="42">
      <c r="A223" s="162" t="s">
        <v>4324</v>
      </c>
      <c r="B223" s="164" t="s">
        <v>4325</v>
      </c>
      <c r="C223" s="164" t="s">
        <v>3713</v>
      </c>
      <c r="D223" s="139" t="s">
        <v>2221</v>
      </c>
      <c r="E223" s="140" t="s">
        <v>2166</v>
      </c>
      <c r="F223" s="140" t="s">
        <v>2296</v>
      </c>
      <c r="G223" s="139" t="s">
        <v>4162</v>
      </c>
      <c r="H223" s="140" t="s">
        <v>3965</v>
      </c>
    </row>
    <row r="224" spans="1:8" ht="42">
      <c r="A224" s="163"/>
      <c r="B224" s="165"/>
      <c r="C224" s="165"/>
      <c r="D224" s="139" t="s">
        <v>2215</v>
      </c>
      <c r="E224" s="140" t="s">
        <v>2161</v>
      </c>
      <c r="F224" s="140" t="s">
        <v>2304</v>
      </c>
      <c r="G224" s="139" t="s">
        <v>4162</v>
      </c>
      <c r="H224" s="140" t="s">
        <v>3965</v>
      </c>
    </row>
    <row r="225" spans="1:8" ht="42">
      <c r="A225" s="139" t="s">
        <v>177</v>
      </c>
      <c r="B225" s="140" t="s">
        <v>178</v>
      </c>
      <c r="C225" s="140" t="s">
        <v>3714</v>
      </c>
      <c r="D225" s="139" t="s">
        <v>2215</v>
      </c>
      <c r="E225" s="140" t="s">
        <v>2161</v>
      </c>
      <c r="F225" s="140" t="s">
        <v>2304</v>
      </c>
      <c r="G225" s="139" t="s">
        <v>4162</v>
      </c>
      <c r="H225" s="140" t="s">
        <v>3788</v>
      </c>
    </row>
    <row r="226" spans="1:8" ht="42">
      <c r="A226" s="139" t="s">
        <v>179</v>
      </c>
      <c r="B226" s="140" t="s">
        <v>180</v>
      </c>
      <c r="C226" s="140" t="s">
        <v>3715</v>
      </c>
      <c r="D226" s="139" t="s">
        <v>2216</v>
      </c>
      <c r="E226" s="140" t="s">
        <v>3307</v>
      </c>
      <c r="F226" s="140" t="s">
        <v>3355</v>
      </c>
      <c r="G226" s="139" t="s">
        <v>4162</v>
      </c>
      <c r="H226" s="140" t="s">
        <v>3788</v>
      </c>
    </row>
    <row r="227" spans="1:8" ht="42">
      <c r="A227" s="162" t="s">
        <v>160</v>
      </c>
      <c r="B227" s="164" t="s">
        <v>161</v>
      </c>
      <c r="C227" s="164" t="s">
        <v>3716</v>
      </c>
      <c r="D227" s="139" t="s">
        <v>1703</v>
      </c>
      <c r="E227" s="140" t="s">
        <v>4719</v>
      </c>
      <c r="F227" s="140" t="s">
        <v>2290</v>
      </c>
      <c r="G227" s="139" t="s">
        <v>4162</v>
      </c>
      <c r="H227" s="140" t="s">
        <v>3788</v>
      </c>
    </row>
    <row r="228" spans="1:8" ht="42">
      <c r="A228" s="163"/>
      <c r="B228" s="165"/>
      <c r="C228" s="165"/>
      <c r="D228" s="139" t="s">
        <v>2228</v>
      </c>
      <c r="E228" s="140" t="s">
        <v>2176</v>
      </c>
      <c r="F228" s="140" t="s">
        <v>2305</v>
      </c>
      <c r="G228" s="139" t="s">
        <v>4162</v>
      </c>
      <c r="H228" s="140" t="s">
        <v>3788</v>
      </c>
    </row>
    <row r="229" spans="1:8" ht="42">
      <c r="A229" s="139" t="s">
        <v>181</v>
      </c>
      <c r="B229" s="140" t="s">
        <v>182</v>
      </c>
      <c r="C229" s="140" t="s">
        <v>3717</v>
      </c>
      <c r="D229" s="139" t="s">
        <v>2217</v>
      </c>
      <c r="E229" s="140" t="s">
        <v>2162</v>
      </c>
      <c r="F229" s="140" t="s">
        <v>2294</v>
      </c>
      <c r="G229" s="139" t="s">
        <v>4162</v>
      </c>
      <c r="H229" s="140" t="s">
        <v>3788</v>
      </c>
    </row>
    <row r="230" spans="1:8" ht="42">
      <c r="A230" s="162" t="s">
        <v>183</v>
      </c>
      <c r="B230" s="164" t="s">
        <v>184</v>
      </c>
      <c r="C230" s="164" t="s">
        <v>3718</v>
      </c>
      <c r="D230" s="139" t="s">
        <v>2217</v>
      </c>
      <c r="E230" s="140" t="s">
        <v>2162</v>
      </c>
      <c r="F230" s="140" t="s">
        <v>2294</v>
      </c>
      <c r="G230" s="139" t="s">
        <v>4162</v>
      </c>
      <c r="H230" s="140" t="s">
        <v>3788</v>
      </c>
    </row>
    <row r="231" spans="1:8" ht="21">
      <c r="A231" s="163"/>
      <c r="B231" s="165"/>
      <c r="C231" s="165"/>
      <c r="D231" s="139" t="s">
        <v>2232</v>
      </c>
      <c r="E231" s="140" t="s">
        <v>2180</v>
      </c>
      <c r="F231" s="140" t="s">
        <v>2310</v>
      </c>
      <c r="G231" s="139" t="s">
        <v>4162</v>
      </c>
      <c r="H231" s="140" t="s">
        <v>3788</v>
      </c>
    </row>
    <row r="232" spans="1:8" ht="42">
      <c r="A232" s="162" t="s">
        <v>185</v>
      </c>
      <c r="B232" s="164" t="s">
        <v>3719</v>
      </c>
      <c r="C232" s="164" t="s">
        <v>3720</v>
      </c>
      <c r="D232" s="139" t="s">
        <v>2221</v>
      </c>
      <c r="E232" s="140" t="s">
        <v>2166</v>
      </c>
      <c r="F232" s="140" t="s">
        <v>2296</v>
      </c>
      <c r="G232" s="139" t="s">
        <v>4162</v>
      </c>
      <c r="H232" s="140" t="s">
        <v>3788</v>
      </c>
    </row>
    <row r="233" spans="1:8" ht="42">
      <c r="A233" s="163"/>
      <c r="B233" s="165"/>
      <c r="C233" s="165"/>
      <c r="D233" s="139" t="s">
        <v>2215</v>
      </c>
      <c r="E233" s="140" t="s">
        <v>2161</v>
      </c>
      <c r="F233" s="140" t="s">
        <v>2304</v>
      </c>
      <c r="G233" s="139" t="s">
        <v>4162</v>
      </c>
      <c r="H233" s="140" t="s">
        <v>3788</v>
      </c>
    </row>
    <row r="234" spans="1:8" ht="126">
      <c r="A234" s="162" t="s">
        <v>186</v>
      </c>
      <c r="B234" s="164" t="s">
        <v>4328</v>
      </c>
      <c r="C234" s="164" t="s">
        <v>4329</v>
      </c>
      <c r="D234" s="139" t="s">
        <v>1635</v>
      </c>
      <c r="E234" s="140" t="s">
        <v>3313</v>
      </c>
      <c r="F234" s="140" t="s">
        <v>4001</v>
      </c>
      <c r="G234" s="139" t="s">
        <v>4162</v>
      </c>
      <c r="H234" s="140" t="s">
        <v>3788</v>
      </c>
    </row>
    <row r="235" spans="1:8" ht="63">
      <c r="A235" s="166"/>
      <c r="B235" s="167"/>
      <c r="C235" s="167"/>
      <c r="D235" s="139" t="s">
        <v>4010</v>
      </c>
      <c r="E235" s="140" t="s">
        <v>4714</v>
      </c>
      <c r="F235" s="140" t="s">
        <v>4715</v>
      </c>
      <c r="G235" s="139" t="s">
        <v>4162</v>
      </c>
      <c r="H235" s="140" t="s">
        <v>3788</v>
      </c>
    </row>
    <row r="236" spans="1:8" ht="63" customHeight="1">
      <c r="A236" s="163"/>
      <c r="B236" s="165"/>
      <c r="C236" s="165"/>
      <c r="D236" s="139" t="s">
        <v>2217</v>
      </c>
      <c r="E236" s="140" t="s">
        <v>2162</v>
      </c>
      <c r="F236" s="140" t="s">
        <v>2294</v>
      </c>
      <c r="G236" s="139" t="s">
        <v>4162</v>
      </c>
      <c r="H236" s="140" t="s">
        <v>3788</v>
      </c>
    </row>
    <row r="237" spans="1:8" ht="42">
      <c r="A237" s="139" t="s">
        <v>172</v>
      </c>
      <c r="B237" s="140" t="s">
        <v>173</v>
      </c>
      <c r="C237" s="140" t="s">
        <v>3721</v>
      </c>
      <c r="D237" s="139" t="s">
        <v>2245</v>
      </c>
      <c r="E237" s="140" t="s">
        <v>2192</v>
      </c>
      <c r="F237" s="140" t="s">
        <v>2272</v>
      </c>
      <c r="G237" s="139" t="s">
        <v>4162</v>
      </c>
      <c r="H237" s="140" t="s">
        <v>3788</v>
      </c>
    </row>
    <row r="238" spans="1:8" ht="42">
      <c r="A238" s="139" t="s">
        <v>176</v>
      </c>
      <c r="B238" s="140" t="s">
        <v>4333</v>
      </c>
      <c r="C238" s="140" t="s">
        <v>4334</v>
      </c>
      <c r="D238" s="139" t="s">
        <v>1648</v>
      </c>
      <c r="E238" s="140" t="s">
        <v>1928</v>
      </c>
      <c r="F238" s="140" t="s">
        <v>2271</v>
      </c>
      <c r="G238" s="139" t="s">
        <v>4169</v>
      </c>
      <c r="H238" s="140" t="s">
        <v>4174</v>
      </c>
    </row>
    <row r="239" spans="1:8" ht="63" customHeight="1">
      <c r="A239" s="162" t="s">
        <v>4104</v>
      </c>
      <c r="B239" s="164" t="s">
        <v>4012</v>
      </c>
      <c r="C239" s="164" t="s">
        <v>4336</v>
      </c>
      <c r="D239" s="139" t="s">
        <v>2232</v>
      </c>
      <c r="E239" s="140" t="s">
        <v>2180</v>
      </c>
      <c r="F239" s="140" t="s">
        <v>2310</v>
      </c>
      <c r="G239" s="139" t="s">
        <v>4162</v>
      </c>
      <c r="H239" s="140" t="s">
        <v>3788</v>
      </c>
    </row>
    <row r="240" spans="1:8" ht="63">
      <c r="A240" s="166"/>
      <c r="B240" s="167"/>
      <c r="C240" s="167"/>
      <c r="D240" s="139" t="s">
        <v>4013</v>
      </c>
      <c r="E240" s="140" t="s">
        <v>4012</v>
      </c>
      <c r="F240" s="140" t="s">
        <v>4014</v>
      </c>
      <c r="G240" s="139" t="s">
        <v>4162</v>
      </c>
      <c r="H240" s="140" t="s">
        <v>3788</v>
      </c>
    </row>
    <row r="241" spans="1:8" ht="42">
      <c r="A241" s="163"/>
      <c r="B241" s="165"/>
      <c r="C241" s="165"/>
      <c r="D241" s="139" t="s">
        <v>3101</v>
      </c>
      <c r="E241" s="140" t="s">
        <v>3100</v>
      </c>
      <c r="F241" s="140" t="s">
        <v>3102</v>
      </c>
      <c r="G241" s="139" t="s">
        <v>4162</v>
      </c>
      <c r="H241" s="140" t="s">
        <v>3788</v>
      </c>
    </row>
    <row r="242" spans="1:8" ht="42" customHeight="1">
      <c r="A242" s="139" t="s">
        <v>4341</v>
      </c>
      <c r="B242" s="140" t="s">
        <v>4343</v>
      </c>
      <c r="C242" s="140" t="s">
        <v>4344</v>
      </c>
      <c r="D242" s="139" t="s">
        <v>2216</v>
      </c>
      <c r="E242" s="140" t="s">
        <v>3307</v>
      </c>
      <c r="F242" s="140" t="s">
        <v>3355</v>
      </c>
      <c r="G242" s="139" t="s">
        <v>4162</v>
      </c>
      <c r="H242" s="140" t="s">
        <v>3788</v>
      </c>
    </row>
    <row r="243" spans="1:8" ht="42">
      <c r="A243" s="139" t="s">
        <v>4109</v>
      </c>
      <c r="B243" s="140" t="s">
        <v>1875</v>
      </c>
      <c r="C243" s="140" t="s">
        <v>4349</v>
      </c>
      <c r="D243" s="139" t="s">
        <v>1694</v>
      </c>
      <c r="E243" s="140" t="s">
        <v>4722</v>
      </c>
      <c r="F243" s="140" t="s">
        <v>2292</v>
      </c>
      <c r="G243" s="139" t="s">
        <v>4162</v>
      </c>
      <c r="H243" s="140" t="s">
        <v>3788</v>
      </c>
    </row>
    <row r="244" spans="1:8" ht="21">
      <c r="A244" s="162" t="s">
        <v>187</v>
      </c>
      <c r="B244" s="164" t="s">
        <v>188</v>
      </c>
      <c r="C244" s="164" t="s">
        <v>3722</v>
      </c>
      <c r="D244" s="139" t="s">
        <v>2220</v>
      </c>
      <c r="E244" s="140" t="s">
        <v>2165</v>
      </c>
      <c r="F244" s="140" t="s">
        <v>2301</v>
      </c>
      <c r="G244" s="139" t="s">
        <v>4162</v>
      </c>
      <c r="H244" s="140" t="s">
        <v>3788</v>
      </c>
    </row>
    <row r="245" spans="1:8" ht="21">
      <c r="A245" s="163"/>
      <c r="B245" s="165"/>
      <c r="C245" s="165"/>
      <c r="D245" s="139" t="s">
        <v>2257</v>
      </c>
      <c r="E245" s="140" t="s">
        <v>2208</v>
      </c>
      <c r="F245" s="140" t="s">
        <v>2303</v>
      </c>
      <c r="G245" s="139" t="s">
        <v>4162</v>
      </c>
      <c r="H245" s="140" t="s">
        <v>3788</v>
      </c>
    </row>
    <row r="246" spans="1:8" ht="21">
      <c r="A246" s="162" t="s">
        <v>189</v>
      </c>
      <c r="B246" s="164" t="s">
        <v>190</v>
      </c>
      <c r="C246" s="164" t="s">
        <v>3723</v>
      </c>
      <c r="D246" s="139" t="s">
        <v>2220</v>
      </c>
      <c r="E246" s="140" t="s">
        <v>2165</v>
      </c>
      <c r="F246" s="140" t="s">
        <v>2301</v>
      </c>
      <c r="G246" s="139" t="s">
        <v>4162</v>
      </c>
      <c r="H246" s="140" t="s">
        <v>3788</v>
      </c>
    </row>
    <row r="247" spans="1:8" ht="21">
      <c r="A247" s="163"/>
      <c r="B247" s="165"/>
      <c r="C247" s="165"/>
      <c r="D247" s="139" t="s">
        <v>2257</v>
      </c>
      <c r="E247" s="140" t="s">
        <v>2208</v>
      </c>
      <c r="F247" s="140" t="s">
        <v>2303</v>
      </c>
      <c r="G247" s="139" t="s">
        <v>4162</v>
      </c>
      <c r="H247" s="140" t="s">
        <v>3788</v>
      </c>
    </row>
    <row r="248" spans="1:8" ht="63">
      <c r="A248" s="139" t="s">
        <v>191</v>
      </c>
      <c r="B248" s="140" t="s">
        <v>192</v>
      </c>
      <c r="C248" s="140" t="s">
        <v>4351</v>
      </c>
      <c r="D248" s="139" t="s">
        <v>2220</v>
      </c>
      <c r="E248" s="140" t="s">
        <v>2165</v>
      </c>
      <c r="F248" s="140" t="s">
        <v>2301</v>
      </c>
      <c r="G248" s="139" t="s">
        <v>4162</v>
      </c>
      <c r="H248" s="140" t="s">
        <v>3788</v>
      </c>
    </row>
    <row r="249" spans="1:8" ht="21">
      <c r="A249" s="139" t="s">
        <v>193</v>
      </c>
      <c r="B249" s="140" t="s">
        <v>194</v>
      </c>
      <c r="C249" s="140" t="s">
        <v>3724</v>
      </c>
      <c r="D249" s="139" t="s">
        <v>2233</v>
      </c>
      <c r="E249" s="140" t="s">
        <v>2182</v>
      </c>
      <c r="F249" s="140" t="s">
        <v>2302</v>
      </c>
      <c r="G249" s="139" t="s">
        <v>4162</v>
      </c>
      <c r="H249" s="140" t="s">
        <v>3788</v>
      </c>
    </row>
    <row r="250" spans="1:8" ht="21">
      <c r="A250" s="139" t="s">
        <v>195</v>
      </c>
      <c r="B250" s="140" t="s">
        <v>196</v>
      </c>
      <c r="C250" s="140" t="s">
        <v>3725</v>
      </c>
      <c r="D250" s="139" t="s">
        <v>2233</v>
      </c>
      <c r="E250" s="140" t="s">
        <v>2182</v>
      </c>
      <c r="F250" s="140" t="s">
        <v>2302</v>
      </c>
      <c r="G250" s="139" t="s">
        <v>4162</v>
      </c>
      <c r="H250" s="140" t="s">
        <v>3788</v>
      </c>
    </row>
    <row r="251" spans="1:8" ht="21">
      <c r="A251" s="139" t="s">
        <v>197</v>
      </c>
      <c r="B251" s="140" t="s">
        <v>198</v>
      </c>
      <c r="C251" s="140" t="s">
        <v>3726</v>
      </c>
      <c r="D251" s="139" t="s">
        <v>2220</v>
      </c>
      <c r="E251" s="140" t="s">
        <v>2165</v>
      </c>
      <c r="F251" s="140" t="s">
        <v>2301</v>
      </c>
      <c r="G251" s="139" t="s">
        <v>4162</v>
      </c>
      <c r="H251" s="140" t="s">
        <v>3788</v>
      </c>
    </row>
    <row r="252" spans="1:8" ht="21">
      <c r="A252" s="139" t="s">
        <v>199</v>
      </c>
      <c r="B252" s="140" t="s">
        <v>3727</v>
      </c>
      <c r="C252" s="140" t="s">
        <v>3728</v>
      </c>
      <c r="D252" s="139" t="s">
        <v>2220</v>
      </c>
      <c r="E252" s="140" t="s">
        <v>2165</v>
      </c>
      <c r="F252" s="140" t="s">
        <v>2301</v>
      </c>
      <c r="G252" s="139" t="s">
        <v>4162</v>
      </c>
      <c r="H252" s="140" t="s">
        <v>3788</v>
      </c>
    </row>
    <row r="253" spans="1:8" ht="42">
      <c r="A253" s="139" t="s">
        <v>200</v>
      </c>
      <c r="B253" s="140" t="s">
        <v>3729</v>
      </c>
      <c r="C253" s="140" t="s">
        <v>3730</v>
      </c>
      <c r="D253" s="139" t="s">
        <v>2220</v>
      </c>
      <c r="E253" s="140" t="s">
        <v>2165</v>
      </c>
      <c r="F253" s="140" t="s">
        <v>2301</v>
      </c>
      <c r="G253" s="139" t="s">
        <v>956</v>
      </c>
      <c r="H253" s="140" t="s">
        <v>4353</v>
      </c>
    </row>
    <row r="254" spans="1:8" ht="21">
      <c r="A254" s="139" t="s">
        <v>201</v>
      </c>
      <c r="B254" s="140" t="s">
        <v>202</v>
      </c>
      <c r="C254" s="140" t="s">
        <v>3731</v>
      </c>
      <c r="D254" s="139" t="s">
        <v>2252</v>
      </c>
      <c r="E254" s="140" t="s">
        <v>2203</v>
      </c>
      <c r="F254" s="140" t="s">
        <v>2307</v>
      </c>
      <c r="G254" s="139" t="s">
        <v>4162</v>
      </c>
      <c r="H254" s="140" t="s">
        <v>3788</v>
      </c>
    </row>
    <row r="255" spans="1:8" ht="42">
      <c r="A255" s="162" t="s">
        <v>203</v>
      </c>
      <c r="B255" s="164" t="s">
        <v>204</v>
      </c>
      <c r="C255" s="164" t="s">
        <v>3732</v>
      </c>
      <c r="D255" s="139" t="s">
        <v>1696</v>
      </c>
      <c r="E255" s="140" t="s">
        <v>4708</v>
      </c>
      <c r="F255" s="140" t="s">
        <v>3339</v>
      </c>
      <c r="G255" s="139" t="s">
        <v>4162</v>
      </c>
      <c r="H255" s="140" t="s">
        <v>3788</v>
      </c>
    </row>
    <row r="256" spans="1:8" ht="42">
      <c r="A256" s="166"/>
      <c r="B256" s="167"/>
      <c r="C256" s="167"/>
      <c r="D256" s="139" t="s">
        <v>1705</v>
      </c>
      <c r="E256" s="140" t="s">
        <v>4720</v>
      </c>
      <c r="F256" s="140" t="s">
        <v>4721</v>
      </c>
      <c r="G256" s="139" t="s">
        <v>4162</v>
      </c>
      <c r="H256" s="140" t="s">
        <v>3788</v>
      </c>
    </row>
    <row r="257" spans="1:8" ht="21">
      <c r="A257" s="163"/>
      <c r="B257" s="165"/>
      <c r="C257" s="165"/>
      <c r="D257" s="139" t="s">
        <v>2252</v>
      </c>
      <c r="E257" s="140" t="s">
        <v>2203</v>
      </c>
      <c r="F257" s="140" t="s">
        <v>2307</v>
      </c>
      <c r="G257" s="139" t="s">
        <v>4162</v>
      </c>
      <c r="H257" s="140" t="s">
        <v>3788</v>
      </c>
    </row>
    <row r="258" spans="1:8" ht="42">
      <c r="A258" s="139" t="s">
        <v>4354</v>
      </c>
      <c r="B258" s="140" t="s">
        <v>4355</v>
      </c>
      <c r="C258" s="140" t="s">
        <v>3733</v>
      </c>
      <c r="D258" s="139" t="s">
        <v>2238</v>
      </c>
      <c r="E258" s="140" t="s">
        <v>4717</v>
      </c>
      <c r="F258" s="140" t="s">
        <v>2287</v>
      </c>
      <c r="G258" s="139" t="s">
        <v>4162</v>
      </c>
      <c r="H258" s="140" t="s">
        <v>3788</v>
      </c>
    </row>
    <row r="259" spans="1:8" ht="42">
      <c r="A259" s="139" t="s">
        <v>4356</v>
      </c>
      <c r="B259" s="140" t="s">
        <v>4358</v>
      </c>
      <c r="C259" s="140" t="s">
        <v>3733</v>
      </c>
      <c r="D259" s="139" t="s">
        <v>2238</v>
      </c>
      <c r="E259" s="140" t="s">
        <v>4717</v>
      </c>
      <c r="F259" s="140" t="s">
        <v>2287</v>
      </c>
      <c r="G259" s="139" t="s">
        <v>4281</v>
      </c>
      <c r="H259" s="140" t="s">
        <v>4284</v>
      </c>
    </row>
    <row r="260" spans="1:8" ht="42">
      <c r="A260" s="139" t="s">
        <v>4359</v>
      </c>
      <c r="B260" s="140" t="s">
        <v>4360</v>
      </c>
      <c r="C260" s="140" t="s">
        <v>3734</v>
      </c>
      <c r="D260" s="139" t="s">
        <v>2238</v>
      </c>
      <c r="E260" s="140" t="s">
        <v>4717</v>
      </c>
      <c r="F260" s="140" t="s">
        <v>2287</v>
      </c>
      <c r="G260" s="139" t="s">
        <v>4162</v>
      </c>
      <c r="H260" s="140" t="s">
        <v>3788</v>
      </c>
    </row>
    <row r="261" spans="1:8" ht="42">
      <c r="A261" s="139" t="s">
        <v>4361</v>
      </c>
      <c r="B261" s="140" t="s">
        <v>4363</v>
      </c>
      <c r="C261" s="140" t="s">
        <v>3734</v>
      </c>
      <c r="D261" s="139" t="s">
        <v>2238</v>
      </c>
      <c r="E261" s="140" t="s">
        <v>4717</v>
      </c>
      <c r="F261" s="140" t="s">
        <v>2287</v>
      </c>
      <c r="G261" s="139" t="s">
        <v>4281</v>
      </c>
      <c r="H261" s="140" t="s">
        <v>4284</v>
      </c>
    </row>
    <row r="262" spans="1:8" ht="42">
      <c r="A262" s="139" t="s">
        <v>205</v>
      </c>
      <c r="B262" s="140" t="s">
        <v>206</v>
      </c>
      <c r="C262" s="140" t="s">
        <v>3735</v>
      </c>
      <c r="D262" s="139" t="s">
        <v>2216</v>
      </c>
      <c r="E262" s="140" t="s">
        <v>3307</v>
      </c>
      <c r="F262" s="140" t="s">
        <v>3355</v>
      </c>
      <c r="G262" s="139" t="s">
        <v>4162</v>
      </c>
      <c r="H262" s="140" t="s">
        <v>3788</v>
      </c>
    </row>
    <row r="263" spans="1:8" ht="42">
      <c r="A263" s="139" t="s">
        <v>207</v>
      </c>
      <c r="B263" s="140" t="s">
        <v>3736</v>
      </c>
      <c r="C263" s="140" t="s">
        <v>3737</v>
      </c>
      <c r="D263" s="139" t="s">
        <v>2216</v>
      </c>
      <c r="E263" s="140" t="s">
        <v>3307</v>
      </c>
      <c r="F263" s="140" t="s">
        <v>3355</v>
      </c>
      <c r="G263" s="139" t="s">
        <v>4162</v>
      </c>
      <c r="H263" s="140" t="s">
        <v>3788</v>
      </c>
    </row>
    <row r="264" spans="1:8" ht="42">
      <c r="A264" s="139" t="s">
        <v>208</v>
      </c>
      <c r="B264" s="140" t="s">
        <v>3738</v>
      </c>
      <c r="C264" s="140" t="s">
        <v>3739</v>
      </c>
      <c r="D264" s="139" t="s">
        <v>3101</v>
      </c>
      <c r="E264" s="140" t="s">
        <v>3100</v>
      </c>
      <c r="F264" s="140" t="s">
        <v>3102</v>
      </c>
      <c r="G264" s="139" t="s">
        <v>4162</v>
      </c>
      <c r="H264" s="140" t="s">
        <v>3965</v>
      </c>
    </row>
    <row r="265" spans="1:8" ht="21">
      <c r="A265" s="162" t="s">
        <v>211</v>
      </c>
      <c r="B265" s="164" t="s">
        <v>3740</v>
      </c>
      <c r="C265" s="164" t="s">
        <v>3741</v>
      </c>
      <c r="D265" s="139" t="s">
        <v>2234</v>
      </c>
      <c r="E265" s="140" t="s">
        <v>2183</v>
      </c>
      <c r="F265" s="140" t="s">
        <v>2308</v>
      </c>
      <c r="G265" s="139" t="s">
        <v>4162</v>
      </c>
      <c r="H265" s="140" t="s">
        <v>3965</v>
      </c>
    </row>
    <row r="266" spans="1:8" ht="42">
      <c r="A266" s="166"/>
      <c r="B266" s="167"/>
      <c r="C266" s="167"/>
      <c r="D266" s="139" t="s">
        <v>2231</v>
      </c>
      <c r="E266" s="140" t="s">
        <v>2179</v>
      </c>
      <c r="F266" s="140" t="s">
        <v>2309</v>
      </c>
      <c r="G266" s="139" t="s">
        <v>4162</v>
      </c>
      <c r="H266" s="140" t="s">
        <v>3965</v>
      </c>
    </row>
    <row r="267" spans="1:8" ht="42">
      <c r="A267" s="163"/>
      <c r="B267" s="165"/>
      <c r="C267" s="165"/>
      <c r="D267" s="139" t="s">
        <v>3101</v>
      </c>
      <c r="E267" s="140" t="s">
        <v>3100</v>
      </c>
      <c r="F267" s="140" t="s">
        <v>3102</v>
      </c>
      <c r="G267" s="139" t="s">
        <v>4162</v>
      </c>
      <c r="H267" s="140" t="s">
        <v>3965</v>
      </c>
    </row>
    <row r="268" spans="1:8" ht="42">
      <c r="A268" s="139" t="s">
        <v>212</v>
      </c>
      <c r="B268" s="140" t="s">
        <v>213</v>
      </c>
      <c r="C268" s="140" t="s">
        <v>3742</v>
      </c>
      <c r="D268" s="139" t="s">
        <v>3107</v>
      </c>
      <c r="E268" s="140" t="s">
        <v>3106</v>
      </c>
      <c r="F268" s="140" t="s">
        <v>3108</v>
      </c>
      <c r="G268" s="139" t="s">
        <v>4162</v>
      </c>
      <c r="H268" s="140" t="s">
        <v>3965</v>
      </c>
    </row>
    <row r="269" spans="1:8" ht="42">
      <c r="A269" s="139" t="s">
        <v>209</v>
      </c>
      <c r="B269" s="140" t="s">
        <v>210</v>
      </c>
      <c r="C269" s="140" t="s">
        <v>3743</v>
      </c>
      <c r="D269" s="139" t="s">
        <v>2240</v>
      </c>
      <c r="E269" s="140" t="s">
        <v>2188</v>
      </c>
      <c r="F269" s="140" t="s">
        <v>2317</v>
      </c>
      <c r="G269" s="139" t="s">
        <v>4162</v>
      </c>
      <c r="H269" s="140" t="s">
        <v>3788</v>
      </c>
    </row>
    <row r="270" spans="1:8" ht="42" customHeight="1">
      <c r="A270" s="162" t="s">
        <v>4364</v>
      </c>
      <c r="B270" s="164" t="s">
        <v>4365</v>
      </c>
      <c r="C270" s="164" t="s">
        <v>4366</v>
      </c>
      <c r="D270" s="139" t="s">
        <v>1674</v>
      </c>
      <c r="E270" s="140" t="s">
        <v>3302</v>
      </c>
      <c r="F270" s="140" t="s">
        <v>3338</v>
      </c>
      <c r="G270" s="139" t="s">
        <v>4162</v>
      </c>
      <c r="H270" s="140" t="s">
        <v>3965</v>
      </c>
    </row>
    <row r="271" spans="1:8" ht="42">
      <c r="A271" s="163"/>
      <c r="B271" s="165"/>
      <c r="C271" s="165"/>
      <c r="D271" s="139" t="s">
        <v>3104</v>
      </c>
      <c r="E271" s="140" t="s">
        <v>3103</v>
      </c>
      <c r="F271" s="140" t="s">
        <v>3105</v>
      </c>
      <c r="G271" s="139" t="s">
        <v>4162</v>
      </c>
      <c r="H271" s="140" t="s">
        <v>3965</v>
      </c>
    </row>
    <row r="272" spans="1:8" ht="42" customHeight="1">
      <c r="A272" s="162" t="s">
        <v>4367</v>
      </c>
      <c r="B272" s="164" t="s">
        <v>4368</v>
      </c>
      <c r="C272" s="164" t="s">
        <v>4366</v>
      </c>
      <c r="D272" s="139" t="s">
        <v>1674</v>
      </c>
      <c r="E272" s="140" t="s">
        <v>3302</v>
      </c>
      <c r="F272" s="140" t="s">
        <v>3338</v>
      </c>
      <c r="G272" s="139" t="s">
        <v>4281</v>
      </c>
      <c r="H272" s="140" t="s">
        <v>4284</v>
      </c>
    </row>
    <row r="273" spans="1:8" ht="42" customHeight="1">
      <c r="A273" s="163"/>
      <c r="B273" s="165"/>
      <c r="C273" s="165"/>
      <c r="D273" s="139" t="s">
        <v>3104</v>
      </c>
      <c r="E273" s="140" t="s">
        <v>3103</v>
      </c>
      <c r="F273" s="140" t="s">
        <v>3105</v>
      </c>
      <c r="G273" s="139" t="s">
        <v>4281</v>
      </c>
      <c r="H273" s="140" t="s">
        <v>4284</v>
      </c>
    </row>
    <row r="274" spans="1:8" ht="84">
      <c r="A274" s="139" t="s">
        <v>4072</v>
      </c>
      <c r="B274" s="140" t="s">
        <v>4370</v>
      </c>
      <c r="C274" s="140" t="s">
        <v>4371</v>
      </c>
      <c r="D274" s="139" t="s">
        <v>4004</v>
      </c>
      <c r="E274" s="140" t="s">
        <v>4003</v>
      </c>
      <c r="F274" s="140" t="s">
        <v>4692</v>
      </c>
      <c r="G274" s="139" t="s">
        <v>4162</v>
      </c>
      <c r="H274" s="140" t="s">
        <v>3788</v>
      </c>
    </row>
    <row r="275" spans="1:8" ht="42" customHeight="1">
      <c r="A275" s="162" t="s">
        <v>4074</v>
      </c>
      <c r="B275" s="164" t="s">
        <v>4374</v>
      </c>
      <c r="C275" s="164" t="s">
        <v>4375</v>
      </c>
      <c r="D275" s="139" t="s">
        <v>2253</v>
      </c>
      <c r="E275" s="140" t="s">
        <v>2204</v>
      </c>
      <c r="F275" s="140" t="s">
        <v>2295</v>
      </c>
      <c r="G275" s="139" t="s">
        <v>4162</v>
      </c>
      <c r="H275" s="140" t="s">
        <v>3788</v>
      </c>
    </row>
    <row r="276" spans="1:8" ht="42" customHeight="1">
      <c r="A276" s="163"/>
      <c r="B276" s="165"/>
      <c r="C276" s="165"/>
      <c r="D276" s="139" t="s">
        <v>2225</v>
      </c>
      <c r="E276" s="140" t="s">
        <v>2173</v>
      </c>
      <c r="F276" s="140" t="s">
        <v>2313</v>
      </c>
      <c r="G276" s="139" t="s">
        <v>4162</v>
      </c>
      <c r="H276" s="140" t="s">
        <v>3788</v>
      </c>
    </row>
    <row r="277" spans="1:8" ht="21">
      <c r="A277" s="139" t="s">
        <v>214</v>
      </c>
      <c r="B277" s="140" t="s">
        <v>215</v>
      </c>
      <c r="C277" s="140" t="s">
        <v>3744</v>
      </c>
      <c r="D277" s="139" t="s">
        <v>2239</v>
      </c>
      <c r="E277" s="140" t="s">
        <v>2187</v>
      </c>
      <c r="F277" s="140" t="s">
        <v>2306</v>
      </c>
      <c r="G277" s="139" t="s">
        <v>4162</v>
      </c>
      <c r="H277" s="140" t="s">
        <v>3788</v>
      </c>
    </row>
    <row r="278" spans="1:8" ht="42" customHeight="1">
      <c r="A278" s="139" t="s">
        <v>216</v>
      </c>
      <c r="B278" s="140" t="s">
        <v>217</v>
      </c>
      <c r="C278" s="140" t="s">
        <v>3745</v>
      </c>
      <c r="D278" s="139" t="s">
        <v>956</v>
      </c>
      <c r="E278" s="140" t="s">
        <v>4395</v>
      </c>
      <c r="F278" s="140" t="s">
        <v>3746</v>
      </c>
      <c r="G278" s="139" t="s">
        <v>956</v>
      </c>
      <c r="H278" s="140" t="s">
        <v>3575</v>
      </c>
    </row>
    <row r="279" spans="1:8" ht="42" customHeight="1">
      <c r="A279" s="139" t="s">
        <v>220</v>
      </c>
      <c r="B279" s="140" t="s">
        <v>221</v>
      </c>
      <c r="C279" s="140" t="s">
        <v>3747</v>
      </c>
      <c r="D279" s="139" t="s">
        <v>956</v>
      </c>
      <c r="E279" s="140" t="s">
        <v>4395</v>
      </c>
      <c r="F279" s="140" t="s">
        <v>3748</v>
      </c>
      <c r="G279" s="139" t="s">
        <v>956</v>
      </c>
      <c r="H279" s="140" t="s">
        <v>3575</v>
      </c>
    </row>
    <row r="280" spans="1:8" ht="21">
      <c r="A280" s="139" t="s">
        <v>222</v>
      </c>
      <c r="B280" s="140" t="s">
        <v>223</v>
      </c>
      <c r="C280" s="140" t="s">
        <v>3749</v>
      </c>
      <c r="D280" s="139" t="s">
        <v>956</v>
      </c>
      <c r="E280" s="140" t="s">
        <v>4395</v>
      </c>
      <c r="F280" s="140" t="s">
        <v>2365</v>
      </c>
      <c r="G280" s="139" t="s">
        <v>956</v>
      </c>
      <c r="H280" s="140" t="s">
        <v>3575</v>
      </c>
    </row>
    <row r="281" spans="1:8" ht="21">
      <c r="A281" s="139" t="s">
        <v>224</v>
      </c>
      <c r="B281" s="140" t="s">
        <v>3750</v>
      </c>
      <c r="C281" s="140" t="s">
        <v>3751</v>
      </c>
      <c r="D281" s="139" t="s">
        <v>956</v>
      </c>
      <c r="E281" s="140" t="s">
        <v>4395</v>
      </c>
      <c r="F281" s="140" t="s">
        <v>3752</v>
      </c>
      <c r="G281" s="139" t="s">
        <v>956</v>
      </c>
      <c r="H281" s="140" t="s">
        <v>3575</v>
      </c>
    </row>
    <row r="282" spans="1:8" ht="42">
      <c r="A282" s="139" t="s">
        <v>225</v>
      </c>
      <c r="B282" s="140" t="s">
        <v>3753</v>
      </c>
      <c r="C282" s="140" t="s">
        <v>3754</v>
      </c>
      <c r="D282" s="139" t="s">
        <v>956</v>
      </c>
      <c r="E282" s="140" t="s">
        <v>4395</v>
      </c>
      <c r="F282" s="140" t="s">
        <v>3755</v>
      </c>
      <c r="G282" s="139" t="s">
        <v>956</v>
      </c>
      <c r="H282" s="140" t="s">
        <v>3575</v>
      </c>
    </row>
    <row r="283" spans="1:8" ht="42">
      <c r="A283" s="162" t="s">
        <v>4379</v>
      </c>
      <c r="B283" s="164" t="s">
        <v>4380</v>
      </c>
      <c r="C283" s="164" t="s">
        <v>3756</v>
      </c>
      <c r="D283" s="139" t="s">
        <v>1707</v>
      </c>
      <c r="E283" s="140" t="s">
        <v>1880</v>
      </c>
      <c r="F283" s="140" t="s">
        <v>2275</v>
      </c>
      <c r="G283" s="139" t="s">
        <v>4162</v>
      </c>
      <c r="H283" s="140" t="s">
        <v>3788</v>
      </c>
    </row>
    <row r="284" spans="1:8" ht="42">
      <c r="A284" s="163"/>
      <c r="B284" s="165"/>
      <c r="C284" s="165"/>
      <c r="D284" s="139" t="s">
        <v>2238</v>
      </c>
      <c r="E284" s="140" t="s">
        <v>4717</v>
      </c>
      <c r="F284" s="140" t="s">
        <v>2287</v>
      </c>
      <c r="G284" s="139" t="s">
        <v>4162</v>
      </c>
      <c r="H284" s="140" t="s">
        <v>3788</v>
      </c>
    </row>
    <row r="285" spans="1:8" ht="42">
      <c r="A285" s="139" t="s">
        <v>4381</v>
      </c>
      <c r="B285" s="140" t="s">
        <v>4382</v>
      </c>
      <c r="C285" s="140" t="s">
        <v>3756</v>
      </c>
      <c r="D285" s="139" t="s">
        <v>2238</v>
      </c>
      <c r="E285" s="140" t="s">
        <v>4717</v>
      </c>
      <c r="F285" s="140" t="s">
        <v>2287</v>
      </c>
      <c r="G285" s="139" t="s">
        <v>4281</v>
      </c>
      <c r="H285" s="140" t="s">
        <v>4284</v>
      </c>
    </row>
    <row r="286" spans="1:8" ht="42">
      <c r="A286" s="139" t="s">
        <v>218</v>
      </c>
      <c r="B286" s="140" t="s">
        <v>219</v>
      </c>
      <c r="C286" s="140" t="s">
        <v>3757</v>
      </c>
      <c r="D286" s="139" t="s">
        <v>2236</v>
      </c>
      <c r="E286" s="140" t="s">
        <v>2185</v>
      </c>
      <c r="F286" s="140" t="s">
        <v>2293</v>
      </c>
      <c r="G286" s="139" t="s">
        <v>4162</v>
      </c>
      <c r="H286" s="140" t="s">
        <v>3788</v>
      </c>
    </row>
    <row r="287" spans="1:8" ht="63" customHeight="1">
      <c r="A287" s="162" t="s">
        <v>4383</v>
      </c>
      <c r="B287" s="164" t="s">
        <v>4385</v>
      </c>
      <c r="C287" s="164" t="s">
        <v>3758</v>
      </c>
      <c r="D287" s="139" t="s">
        <v>2230</v>
      </c>
      <c r="E287" s="140" t="s">
        <v>2178</v>
      </c>
      <c r="F287" s="140" t="s">
        <v>2277</v>
      </c>
      <c r="G287" s="139" t="s">
        <v>4162</v>
      </c>
      <c r="H287" s="140" t="s">
        <v>3788</v>
      </c>
    </row>
    <row r="288" spans="1:8" ht="63" customHeight="1">
      <c r="A288" s="163"/>
      <c r="B288" s="165"/>
      <c r="C288" s="165"/>
      <c r="D288" s="139" t="s">
        <v>2259</v>
      </c>
      <c r="E288" s="140" t="s">
        <v>2210</v>
      </c>
      <c r="F288" s="140" t="s">
        <v>2289</v>
      </c>
      <c r="G288" s="139" t="s">
        <v>4162</v>
      </c>
      <c r="H288" s="140" t="s">
        <v>3788</v>
      </c>
    </row>
    <row r="289" spans="1:8" ht="42">
      <c r="A289" s="139" t="s">
        <v>4386</v>
      </c>
      <c r="B289" s="140" t="s">
        <v>4387</v>
      </c>
      <c r="C289" s="140" t="s">
        <v>3758</v>
      </c>
      <c r="D289" s="139" t="s">
        <v>2259</v>
      </c>
      <c r="E289" s="140" t="s">
        <v>2210</v>
      </c>
      <c r="F289" s="140" t="s">
        <v>2289</v>
      </c>
      <c r="G289" s="139" t="s">
        <v>4224</v>
      </c>
      <c r="H289" s="140" t="s">
        <v>3962</v>
      </c>
    </row>
    <row r="290" spans="1:8" ht="63" customHeight="1">
      <c r="A290" s="139" t="s">
        <v>226</v>
      </c>
      <c r="B290" s="140" t="s">
        <v>227</v>
      </c>
      <c r="C290" s="140" t="s">
        <v>3759</v>
      </c>
      <c r="D290" s="139" t="s">
        <v>2238</v>
      </c>
      <c r="E290" s="140" t="s">
        <v>4717</v>
      </c>
      <c r="F290" s="140" t="s">
        <v>2287</v>
      </c>
      <c r="G290" s="139" t="s">
        <v>4162</v>
      </c>
      <c r="H290" s="140" t="s">
        <v>3788</v>
      </c>
    </row>
    <row r="291" spans="1:8" ht="63" customHeight="1">
      <c r="A291" s="162" t="s">
        <v>229</v>
      </c>
      <c r="B291" s="164" t="s">
        <v>3760</v>
      </c>
      <c r="C291" s="164" t="s">
        <v>3761</v>
      </c>
      <c r="D291" s="139" t="s">
        <v>1701</v>
      </c>
      <c r="E291" s="140" t="s">
        <v>4718</v>
      </c>
      <c r="F291" s="140" t="s">
        <v>3351</v>
      </c>
      <c r="G291" s="139" t="s">
        <v>4162</v>
      </c>
      <c r="H291" s="140" t="s">
        <v>3788</v>
      </c>
    </row>
    <row r="292" spans="1:8" ht="42">
      <c r="A292" s="166"/>
      <c r="B292" s="167"/>
      <c r="C292" s="167"/>
      <c r="D292" s="139" t="s">
        <v>1703</v>
      </c>
      <c r="E292" s="140" t="s">
        <v>4719</v>
      </c>
      <c r="F292" s="140" t="s">
        <v>2290</v>
      </c>
      <c r="G292" s="139" t="s">
        <v>4162</v>
      </c>
      <c r="H292" s="140" t="s">
        <v>3788</v>
      </c>
    </row>
    <row r="293" spans="1:8" ht="42">
      <c r="A293" s="166"/>
      <c r="B293" s="167"/>
      <c r="C293" s="167"/>
      <c r="D293" s="139" t="s">
        <v>1705</v>
      </c>
      <c r="E293" s="140" t="s">
        <v>4720</v>
      </c>
      <c r="F293" s="140" t="s">
        <v>4721</v>
      </c>
      <c r="G293" s="139" t="s">
        <v>4162</v>
      </c>
      <c r="H293" s="140" t="s">
        <v>3788</v>
      </c>
    </row>
    <row r="294" spans="1:8" ht="42">
      <c r="A294" s="163"/>
      <c r="B294" s="165"/>
      <c r="C294" s="165"/>
      <c r="D294" s="139" t="s">
        <v>2228</v>
      </c>
      <c r="E294" s="140" t="s">
        <v>2176</v>
      </c>
      <c r="F294" s="140" t="s">
        <v>2305</v>
      </c>
      <c r="G294" s="139" t="s">
        <v>4162</v>
      </c>
      <c r="H294" s="140" t="s">
        <v>3788</v>
      </c>
    </row>
    <row r="295" spans="1:8" ht="21">
      <c r="A295" s="139" t="s">
        <v>230</v>
      </c>
      <c r="B295" s="140" t="s">
        <v>231</v>
      </c>
      <c r="C295" s="140" t="s">
        <v>3762</v>
      </c>
      <c r="D295" s="139" t="s">
        <v>2227</v>
      </c>
      <c r="E295" s="140" t="s">
        <v>2175</v>
      </c>
      <c r="F295" s="140" t="s">
        <v>2312</v>
      </c>
      <c r="G295" s="139" t="s">
        <v>4162</v>
      </c>
      <c r="H295" s="140" t="s">
        <v>3955</v>
      </c>
    </row>
    <row r="296" spans="1:8" ht="21">
      <c r="A296" s="139" t="s">
        <v>232</v>
      </c>
      <c r="B296" s="140" t="s">
        <v>233</v>
      </c>
      <c r="C296" s="140" t="s">
        <v>3763</v>
      </c>
      <c r="D296" s="139" t="s">
        <v>2227</v>
      </c>
      <c r="E296" s="140" t="s">
        <v>2175</v>
      </c>
      <c r="F296" s="140" t="s">
        <v>2312</v>
      </c>
      <c r="G296" s="139" t="s">
        <v>4162</v>
      </c>
      <c r="H296" s="140" t="s">
        <v>3955</v>
      </c>
    </row>
    <row r="297" spans="1:8" ht="21">
      <c r="A297" s="139" t="s">
        <v>234</v>
      </c>
      <c r="B297" s="140" t="s">
        <v>3764</v>
      </c>
      <c r="C297" s="140" t="s">
        <v>3765</v>
      </c>
      <c r="D297" s="139" t="s">
        <v>2227</v>
      </c>
      <c r="E297" s="140" t="s">
        <v>2175</v>
      </c>
      <c r="F297" s="140" t="s">
        <v>2312</v>
      </c>
      <c r="G297" s="139" t="s">
        <v>4162</v>
      </c>
      <c r="H297" s="140" t="s">
        <v>3955</v>
      </c>
    </row>
    <row r="298" spans="1:8" ht="21">
      <c r="A298" s="139" t="s">
        <v>235</v>
      </c>
      <c r="B298" s="140" t="s">
        <v>3766</v>
      </c>
      <c r="C298" s="140" t="s">
        <v>3767</v>
      </c>
      <c r="D298" s="139" t="s">
        <v>2220</v>
      </c>
      <c r="E298" s="140" t="s">
        <v>2165</v>
      </c>
      <c r="F298" s="140" t="s">
        <v>2301</v>
      </c>
      <c r="G298" s="139" t="s">
        <v>4162</v>
      </c>
      <c r="H298" s="140" t="s">
        <v>3955</v>
      </c>
    </row>
    <row r="299" spans="1:8" ht="42">
      <c r="A299" s="139" t="s">
        <v>236</v>
      </c>
      <c r="B299" s="140" t="s">
        <v>237</v>
      </c>
      <c r="C299" s="140" t="s">
        <v>3768</v>
      </c>
      <c r="D299" s="139" t="s">
        <v>3107</v>
      </c>
      <c r="E299" s="140" t="s">
        <v>3106</v>
      </c>
      <c r="F299" s="140" t="s">
        <v>3108</v>
      </c>
      <c r="G299" s="139" t="s">
        <v>4162</v>
      </c>
      <c r="H299" s="140" t="s">
        <v>3955</v>
      </c>
    </row>
    <row r="300" spans="1:8" ht="42">
      <c r="A300" s="139" t="s">
        <v>238</v>
      </c>
      <c r="B300" s="140" t="s">
        <v>3769</v>
      </c>
      <c r="C300" s="140" t="s">
        <v>3770</v>
      </c>
      <c r="D300" s="139" t="s">
        <v>2216</v>
      </c>
      <c r="E300" s="140" t="s">
        <v>3307</v>
      </c>
      <c r="F300" s="140" t="s">
        <v>3355</v>
      </c>
      <c r="G300" s="139" t="s">
        <v>4162</v>
      </c>
      <c r="H300" s="140" t="s">
        <v>4388</v>
      </c>
    </row>
    <row r="301" spans="1:8" ht="21">
      <c r="A301" s="139" t="s">
        <v>239</v>
      </c>
      <c r="B301" s="140" t="s">
        <v>3771</v>
      </c>
      <c r="C301" s="140" t="s">
        <v>3772</v>
      </c>
      <c r="D301" s="139" t="s">
        <v>2227</v>
      </c>
      <c r="E301" s="140" t="s">
        <v>2175</v>
      </c>
      <c r="F301" s="140" t="s">
        <v>2312</v>
      </c>
      <c r="G301" s="139" t="s">
        <v>4162</v>
      </c>
      <c r="H301" s="140" t="s">
        <v>3955</v>
      </c>
    </row>
    <row r="302" spans="1:8" ht="21">
      <c r="A302" s="139" t="s">
        <v>240</v>
      </c>
      <c r="B302" s="140" t="s">
        <v>3773</v>
      </c>
      <c r="C302" s="140" t="s">
        <v>3774</v>
      </c>
      <c r="D302" s="139" t="s">
        <v>2227</v>
      </c>
      <c r="E302" s="140" t="s">
        <v>2175</v>
      </c>
      <c r="F302" s="140" t="s">
        <v>2312</v>
      </c>
      <c r="G302" s="139" t="s">
        <v>4162</v>
      </c>
      <c r="H302" s="140" t="s">
        <v>3955</v>
      </c>
    </row>
    <row r="303" spans="1:8" ht="21">
      <c r="A303" s="139" t="s">
        <v>241</v>
      </c>
      <c r="B303" s="140" t="s">
        <v>3775</v>
      </c>
      <c r="C303" s="140" t="s">
        <v>3776</v>
      </c>
      <c r="D303" s="139" t="s">
        <v>2227</v>
      </c>
      <c r="E303" s="140" t="s">
        <v>2175</v>
      </c>
      <c r="F303" s="140" t="s">
        <v>2312</v>
      </c>
      <c r="G303" s="139" t="s">
        <v>4162</v>
      </c>
      <c r="H303" s="140" t="s">
        <v>3955</v>
      </c>
    </row>
    <row r="304" spans="1:8" ht="42">
      <c r="A304" s="139" t="s">
        <v>242</v>
      </c>
      <c r="B304" s="140" t="s">
        <v>243</v>
      </c>
      <c r="C304" s="140" t="s">
        <v>3777</v>
      </c>
      <c r="D304" s="139" t="s">
        <v>2223</v>
      </c>
      <c r="E304" s="140" t="s">
        <v>2170</v>
      </c>
      <c r="F304" s="140" t="s">
        <v>3356</v>
      </c>
      <c r="G304" s="139" t="s">
        <v>4169</v>
      </c>
      <c r="H304" s="140" t="s">
        <v>3962</v>
      </c>
    </row>
    <row r="305" spans="1:8" ht="42">
      <c r="A305" s="139" t="s">
        <v>244</v>
      </c>
      <c r="B305" s="140" t="s">
        <v>245</v>
      </c>
      <c r="C305" s="140" t="s">
        <v>3778</v>
      </c>
      <c r="D305" s="139" t="s">
        <v>2223</v>
      </c>
      <c r="E305" s="140" t="s">
        <v>2170</v>
      </c>
      <c r="F305" s="140" t="s">
        <v>3356</v>
      </c>
      <c r="G305" s="139" t="s">
        <v>4169</v>
      </c>
      <c r="H305" s="140" t="s">
        <v>3962</v>
      </c>
    </row>
    <row r="306" spans="1:8" ht="42">
      <c r="A306" s="162" t="s">
        <v>246</v>
      </c>
      <c r="B306" s="164" t="s">
        <v>247</v>
      </c>
      <c r="C306" s="164" t="s">
        <v>3779</v>
      </c>
      <c r="D306" s="139" t="s">
        <v>1631</v>
      </c>
      <c r="E306" s="140" t="s">
        <v>3296</v>
      </c>
      <c r="F306" s="140" t="s">
        <v>2262</v>
      </c>
      <c r="G306" s="139" t="s">
        <v>4162</v>
      </c>
      <c r="H306" s="140" t="s">
        <v>3788</v>
      </c>
    </row>
    <row r="307" spans="1:8" ht="42">
      <c r="A307" s="163"/>
      <c r="B307" s="165"/>
      <c r="C307" s="165"/>
      <c r="D307" s="139" t="s">
        <v>2241</v>
      </c>
      <c r="E307" s="140" t="s">
        <v>2189</v>
      </c>
      <c r="F307" s="140" t="s">
        <v>2315</v>
      </c>
      <c r="G307" s="139" t="s">
        <v>4162</v>
      </c>
      <c r="H307" s="140" t="s">
        <v>3788</v>
      </c>
    </row>
    <row r="308" spans="1:8" ht="42">
      <c r="A308" s="139" t="s">
        <v>248</v>
      </c>
      <c r="B308" s="140" t="s">
        <v>249</v>
      </c>
      <c r="C308" s="140" t="s">
        <v>3780</v>
      </c>
      <c r="D308" s="139" t="s">
        <v>2230</v>
      </c>
      <c r="E308" s="140" t="s">
        <v>2178</v>
      </c>
      <c r="F308" s="140" t="s">
        <v>2277</v>
      </c>
      <c r="G308" s="139" t="s">
        <v>4162</v>
      </c>
      <c r="H308" s="140" t="s">
        <v>3788</v>
      </c>
    </row>
    <row r="309" spans="1:8" ht="42">
      <c r="A309" s="139" t="s">
        <v>250</v>
      </c>
      <c r="B309" s="140" t="s">
        <v>251</v>
      </c>
      <c r="C309" s="140" t="s">
        <v>3781</v>
      </c>
      <c r="D309" s="139" t="s">
        <v>2223</v>
      </c>
      <c r="E309" s="140" t="s">
        <v>2170</v>
      </c>
      <c r="F309" s="140" t="s">
        <v>3356</v>
      </c>
      <c r="G309" s="139" t="s">
        <v>4162</v>
      </c>
      <c r="H309" s="140" t="s">
        <v>3788</v>
      </c>
    </row>
    <row r="310" spans="1:8" ht="63" customHeight="1">
      <c r="A310" s="162" t="s">
        <v>4396</v>
      </c>
      <c r="B310" s="164" t="s">
        <v>4397</v>
      </c>
      <c r="C310" s="164" t="s">
        <v>4398</v>
      </c>
      <c r="D310" s="139" t="s">
        <v>2235</v>
      </c>
      <c r="E310" s="140" t="s">
        <v>2184</v>
      </c>
      <c r="F310" s="140" t="s">
        <v>2318</v>
      </c>
      <c r="G310" s="139" t="s">
        <v>4162</v>
      </c>
      <c r="H310" s="140" t="s">
        <v>3788</v>
      </c>
    </row>
    <row r="311" spans="1:8" ht="63" customHeight="1">
      <c r="A311" s="166"/>
      <c r="B311" s="167"/>
      <c r="C311" s="167"/>
      <c r="D311" s="139" t="s">
        <v>2243</v>
      </c>
      <c r="E311" s="140" t="s">
        <v>2190</v>
      </c>
      <c r="F311" s="140" t="s">
        <v>2321</v>
      </c>
      <c r="G311" s="139" t="s">
        <v>4162</v>
      </c>
      <c r="H311" s="140" t="s">
        <v>3788</v>
      </c>
    </row>
    <row r="312" spans="1:8" ht="63" customHeight="1">
      <c r="A312" s="166"/>
      <c r="B312" s="167"/>
      <c r="C312" s="167"/>
      <c r="D312" s="139" t="s">
        <v>2254</v>
      </c>
      <c r="E312" s="140" t="s">
        <v>2205</v>
      </c>
      <c r="F312" s="140" t="s">
        <v>2322</v>
      </c>
      <c r="G312" s="139" t="s">
        <v>4162</v>
      </c>
      <c r="H312" s="140" t="s">
        <v>3788</v>
      </c>
    </row>
    <row r="313" spans="1:8" ht="63" customHeight="1">
      <c r="A313" s="163"/>
      <c r="B313" s="165"/>
      <c r="C313" s="165"/>
      <c r="D313" s="139" t="s">
        <v>2256</v>
      </c>
      <c r="E313" s="140" t="s">
        <v>2207</v>
      </c>
      <c r="F313" s="140" t="s">
        <v>2325</v>
      </c>
      <c r="G313" s="139" t="s">
        <v>4162</v>
      </c>
      <c r="H313" s="140" t="s">
        <v>3788</v>
      </c>
    </row>
    <row r="314" spans="1:8" ht="63" customHeight="1"/>
    <row r="315" spans="1:8" ht="63" customHeight="1"/>
    <row r="316" spans="1:8" ht="63" customHeight="1"/>
  </sheetData>
  <mergeCells count="228">
    <mergeCell ref="B306:B307"/>
    <mergeCell ref="C306:C307"/>
    <mergeCell ref="A310:A313"/>
    <mergeCell ref="B310:B313"/>
    <mergeCell ref="C310:C313"/>
    <mergeCell ref="B272:B273"/>
    <mergeCell ref="C272:C273"/>
    <mergeCell ref="A283:A284"/>
    <mergeCell ref="B283:B284"/>
    <mergeCell ref="C283:C284"/>
    <mergeCell ref="A287:A288"/>
    <mergeCell ref="B287:B288"/>
    <mergeCell ref="C287:C288"/>
    <mergeCell ref="B246:B247"/>
    <mergeCell ref="C246:C247"/>
    <mergeCell ref="A255:A257"/>
    <mergeCell ref="B255:B257"/>
    <mergeCell ref="C255:C257"/>
    <mergeCell ref="A265:A267"/>
    <mergeCell ref="B265:B267"/>
    <mergeCell ref="C265:C267"/>
    <mergeCell ref="B227:B228"/>
    <mergeCell ref="C227:C228"/>
    <mergeCell ref="A232:A233"/>
    <mergeCell ref="B232:B233"/>
    <mergeCell ref="C232:C233"/>
    <mergeCell ref="A234:A236"/>
    <mergeCell ref="B234:B236"/>
    <mergeCell ref="C234:C236"/>
    <mergeCell ref="B216:B217"/>
    <mergeCell ref="C216:C217"/>
    <mergeCell ref="A218:A220"/>
    <mergeCell ref="B218:B220"/>
    <mergeCell ref="C218:C220"/>
    <mergeCell ref="A221:A222"/>
    <mergeCell ref="B221:B222"/>
    <mergeCell ref="C221:C222"/>
    <mergeCell ref="A200:A201"/>
    <mergeCell ref="B200:B201"/>
    <mergeCell ref="C200:C201"/>
    <mergeCell ref="A202:A203"/>
    <mergeCell ref="B202:B203"/>
    <mergeCell ref="C202:C203"/>
    <mergeCell ref="B179:B181"/>
    <mergeCell ref="C179:C181"/>
    <mergeCell ref="A182:A183"/>
    <mergeCell ref="B182:B183"/>
    <mergeCell ref="C182:C183"/>
    <mergeCell ref="A184:A185"/>
    <mergeCell ref="B184:B185"/>
    <mergeCell ref="C184:C185"/>
    <mergeCell ref="B146:B147"/>
    <mergeCell ref="C146:C147"/>
    <mergeCell ref="A149:A151"/>
    <mergeCell ref="B149:B151"/>
    <mergeCell ref="C149:C151"/>
    <mergeCell ref="A156:A158"/>
    <mergeCell ref="B156:B158"/>
    <mergeCell ref="C156:C158"/>
    <mergeCell ref="C131:C132"/>
    <mergeCell ref="A135:A136"/>
    <mergeCell ref="B135:B136"/>
    <mergeCell ref="C135:C136"/>
    <mergeCell ref="A140:A141"/>
    <mergeCell ref="B140:B141"/>
    <mergeCell ref="C140:C141"/>
    <mergeCell ref="A116:A117"/>
    <mergeCell ref="B116:B117"/>
    <mergeCell ref="C116:C117"/>
    <mergeCell ref="A123:A124"/>
    <mergeCell ref="B123:B124"/>
    <mergeCell ref="C123:C124"/>
    <mergeCell ref="A129:A130"/>
    <mergeCell ref="A291:A294"/>
    <mergeCell ref="B291:B294"/>
    <mergeCell ref="C291:C294"/>
    <mergeCell ref="A306:A307"/>
    <mergeCell ref="A275:A276"/>
    <mergeCell ref="B275:B276"/>
    <mergeCell ref="C275:C276"/>
    <mergeCell ref="A270:A271"/>
    <mergeCell ref="B270:B271"/>
    <mergeCell ref="C270:C271"/>
    <mergeCell ref="A272:A273"/>
    <mergeCell ref="A244:A245"/>
    <mergeCell ref="B244:B245"/>
    <mergeCell ref="C244:C245"/>
    <mergeCell ref="A246:A247"/>
    <mergeCell ref="A239:A241"/>
    <mergeCell ref="B239:B241"/>
    <mergeCell ref="C239:C241"/>
    <mergeCell ref="A230:A231"/>
    <mergeCell ref="B230:B231"/>
    <mergeCell ref="C230:C231"/>
    <mergeCell ref="A223:A224"/>
    <mergeCell ref="B223:B224"/>
    <mergeCell ref="C223:C224"/>
    <mergeCell ref="A227:A228"/>
    <mergeCell ref="A212:A215"/>
    <mergeCell ref="B212:B215"/>
    <mergeCell ref="C212:C215"/>
    <mergeCell ref="A216:A217"/>
    <mergeCell ref="A204:A205"/>
    <mergeCell ref="B204:B205"/>
    <mergeCell ref="C204:C205"/>
    <mergeCell ref="A193:A194"/>
    <mergeCell ref="B193:B194"/>
    <mergeCell ref="C193:C194"/>
    <mergeCell ref="A187:A188"/>
    <mergeCell ref="B187:B188"/>
    <mergeCell ref="C187:C188"/>
    <mergeCell ref="A191:A192"/>
    <mergeCell ref="B191:B192"/>
    <mergeCell ref="C191:C192"/>
    <mergeCell ref="A175:A177"/>
    <mergeCell ref="B175:B177"/>
    <mergeCell ref="C175:C177"/>
    <mergeCell ref="A179:A181"/>
    <mergeCell ref="A171:A172"/>
    <mergeCell ref="B171:B172"/>
    <mergeCell ref="C171:C172"/>
    <mergeCell ref="A168:A169"/>
    <mergeCell ref="B168:B169"/>
    <mergeCell ref="C168:C169"/>
    <mergeCell ref="A160:A162"/>
    <mergeCell ref="B160:B162"/>
    <mergeCell ref="C160:C162"/>
    <mergeCell ref="A152:A154"/>
    <mergeCell ref="B152:B154"/>
    <mergeCell ref="C152:C154"/>
    <mergeCell ref="A144:A145"/>
    <mergeCell ref="B144:B145"/>
    <mergeCell ref="C144:C145"/>
    <mergeCell ref="A146:A147"/>
    <mergeCell ref="B129:B130"/>
    <mergeCell ref="C129:C130"/>
    <mergeCell ref="A131:A132"/>
    <mergeCell ref="B131:B132"/>
    <mergeCell ref="A105:A108"/>
    <mergeCell ref="B105:B108"/>
    <mergeCell ref="C105:C108"/>
    <mergeCell ref="A110:A111"/>
    <mergeCell ref="B110:B111"/>
    <mergeCell ref="C110:C111"/>
    <mergeCell ref="A98:A100"/>
    <mergeCell ref="B98:B100"/>
    <mergeCell ref="C98:C100"/>
    <mergeCell ref="A101:A102"/>
    <mergeCell ref="B101:B102"/>
    <mergeCell ref="C101:C102"/>
    <mergeCell ref="A92:A93"/>
    <mergeCell ref="B92:B93"/>
    <mergeCell ref="C92:C93"/>
    <mergeCell ref="A95:A96"/>
    <mergeCell ref="B95:B96"/>
    <mergeCell ref="C95:C96"/>
    <mergeCell ref="A86:A87"/>
    <mergeCell ref="B86:B87"/>
    <mergeCell ref="C86:C87"/>
    <mergeCell ref="A88:A89"/>
    <mergeCell ref="B88:B89"/>
    <mergeCell ref="C88:C89"/>
    <mergeCell ref="A81:A82"/>
    <mergeCell ref="B81:B82"/>
    <mergeCell ref="C81:C82"/>
    <mergeCell ref="A84:A85"/>
    <mergeCell ref="B84:B85"/>
    <mergeCell ref="C84:C85"/>
    <mergeCell ref="A72:A73"/>
    <mergeCell ref="B72:B73"/>
    <mergeCell ref="C72:C73"/>
    <mergeCell ref="A79:A80"/>
    <mergeCell ref="B79:B80"/>
    <mergeCell ref="C79:C80"/>
    <mergeCell ref="A59:A60"/>
    <mergeCell ref="B59:B60"/>
    <mergeCell ref="C59:C60"/>
    <mergeCell ref="A69:A70"/>
    <mergeCell ref="B69:B70"/>
    <mergeCell ref="C69:C70"/>
    <mergeCell ref="A51:A54"/>
    <mergeCell ref="B51:B54"/>
    <mergeCell ref="C51:C54"/>
    <mergeCell ref="A57:A58"/>
    <mergeCell ref="B57:B58"/>
    <mergeCell ref="C57:C58"/>
    <mergeCell ref="A43:A46"/>
    <mergeCell ref="B43:B46"/>
    <mergeCell ref="C43:C46"/>
    <mergeCell ref="A48:A49"/>
    <mergeCell ref="B48:B49"/>
    <mergeCell ref="C48:C49"/>
    <mergeCell ref="A38:A40"/>
    <mergeCell ref="B38:B40"/>
    <mergeCell ref="C38:C40"/>
    <mergeCell ref="A41:A42"/>
    <mergeCell ref="B41:B42"/>
    <mergeCell ref="C41:C42"/>
    <mergeCell ref="A32:A33"/>
    <mergeCell ref="B32:B33"/>
    <mergeCell ref="C32:C33"/>
    <mergeCell ref="A35:A37"/>
    <mergeCell ref="B35:B37"/>
    <mergeCell ref="C35:C37"/>
    <mergeCell ref="A28:A29"/>
    <mergeCell ref="B28:B29"/>
    <mergeCell ref="C28:C29"/>
    <mergeCell ref="A30:A31"/>
    <mergeCell ref="B30:B31"/>
    <mergeCell ref="C30:C31"/>
    <mergeCell ref="A24:A25"/>
    <mergeCell ref="B24:B25"/>
    <mergeCell ref="C24:C25"/>
    <mergeCell ref="A26:A27"/>
    <mergeCell ref="B26:B27"/>
    <mergeCell ref="C26:C27"/>
    <mergeCell ref="A7:A8"/>
    <mergeCell ref="B7:B8"/>
    <mergeCell ref="C7:C8"/>
    <mergeCell ref="A22:A23"/>
    <mergeCell ref="B22:B23"/>
    <mergeCell ref="C22:C23"/>
    <mergeCell ref="A2:A3"/>
    <mergeCell ref="B2:B3"/>
    <mergeCell ref="C2:C3"/>
    <mergeCell ref="A5:A6"/>
    <mergeCell ref="B5:B6"/>
    <mergeCell ref="C5:C6"/>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50CDA-FE4E-E74B-968F-00BE7CB94CEE}">
  <dimension ref="A1:Y159"/>
  <sheetViews>
    <sheetView zoomScaleNormal="100" workbookViewId="0">
      <pane ySplit="1" topLeftCell="A15" activePane="bottomLeft" state="frozen"/>
      <selection pane="bottomLeft" activeCell="F14" sqref="F14"/>
    </sheetView>
  </sheetViews>
  <sheetFormatPr baseColWidth="10" defaultRowHeight="22" customHeight="1"/>
  <cols>
    <col min="1" max="1" width="12.5703125" style="37" customWidth="1"/>
    <col min="2" max="2" width="21.42578125" style="37" customWidth="1"/>
    <col min="3" max="3" width="20.28515625" style="37" customWidth="1"/>
    <col min="4" max="5" width="28.5703125" style="37" customWidth="1"/>
    <col min="6" max="6" width="35.7109375" style="37" customWidth="1"/>
    <col min="7" max="7" width="66.85546875" style="37" customWidth="1"/>
    <col min="8" max="8" width="48.5703125" style="37" hidden="1" customWidth="1"/>
    <col min="9" max="9" width="7.42578125" style="46" customWidth="1"/>
    <col min="10" max="10" width="16.28515625" style="37" customWidth="1"/>
    <col min="11" max="11" width="15" style="37" customWidth="1"/>
    <col min="12" max="12" width="20" style="37" customWidth="1"/>
    <col min="13" max="13" width="45.7109375" style="37" customWidth="1"/>
    <col min="14" max="14" width="30" style="37" customWidth="1"/>
    <col min="15" max="15" width="21.42578125" style="37" customWidth="1"/>
    <col min="16" max="16" width="15.7109375" style="37" customWidth="1"/>
    <col min="17" max="17" width="10" style="37" customWidth="1"/>
    <col min="18" max="18" width="28.5703125" style="37" customWidth="1"/>
    <col min="19" max="19" width="21.42578125" style="37" customWidth="1"/>
    <col min="20" max="20" width="10" style="37" customWidth="1"/>
    <col min="21" max="21" width="15.7109375" style="37" customWidth="1"/>
    <col min="22" max="22" width="10" style="37" customWidth="1"/>
    <col min="23" max="23" width="14.28515625" style="37" customWidth="1"/>
    <col min="24" max="24" width="12.85546875" style="37" customWidth="1"/>
    <col min="25" max="25" width="28.5703125" style="37" customWidth="1"/>
    <col min="26" max="26" width="24.28515625" style="37" customWidth="1"/>
    <col min="27" max="16384" width="10.7109375" style="37"/>
  </cols>
  <sheetData>
    <row r="1" spans="1:21" ht="22" customHeight="1">
      <c r="A1" s="149" t="s">
        <v>1397</v>
      </c>
      <c r="B1" s="149" t="s">
        <v>1973</v>
      </c>
      <c r="C1" s="149" t="s">
        <v>2044</v>
      </c>
      <c r="D1" s="149" t="s">
        <v>1926</v>
      </c>
      <c r="E1" s="149" t="s">
        <v>1847</v>
      </c>
      <c r="F1" s="149" t="s">
        <v>1974</v>
      </c>
      <c r="G1" s="149" t="s">
        <v>1881</v>
      </c>
      <c r="H1" s="149" t="s">
        <v>1882</v>
      </c>
      <c r="I1" s="149" t="s">
        <v>1398</v>
      </c>
      <c r="J1" s="149" t="s">
        <v>2052</v>
      </c>
      <c r="K1" s="149" t="s">
        <v>2053</v>
      </c>
      <c r="L1" s="149" t="s">
        <v>1997</v>
      </c>
      <c r="M1" s="149" t="s">
        <v>2011</v>
      </c>
      <c r="N1" s="149" t="s">
        <v>1399</v>
      </c>
      <c r="O1" s="149" t="s">
        <v>2036</v>
      </c>
      <c r="P1" s="149" t="s">
        <v>1883</v>
      </c>
      <c r="Q1" s="149" t="s">
        <v>959</v>
      </c>
      <c r="R1" s="149" t="s">
        <v>311</v>
      </c>
      <c r="S1" s="149" t="s">
        <v>1708</v>
      </c>
      <c r="T1"/>
    </row>
    <row r="2" spans="1:21" ht="22" customHeight="1">
      <c r="A2" s="113" t="s">
        <v>1711</v>
      </c>
      <c r="B2" s="113" t="s">
        <v>2340</v>
      </c>
      <c r="C2" s="113" t="s">
        <v>2049</v>
      </c>
      <c r="D2" s="113" t="s">
        <v>4682</v>
      </c>
      <c r="E2" s="113" t="s">
        <v>3294</v>
      </c>
      <c r="F2" s="113" t="s">
        <v>3443</v>
      </c>
      <c r="G2" s="113" t="s">
        <v>3444</v>
      </c>
      <c r="H2" s="113" t="s">
        <v>2341</v>
      </c>
      <c r="I2" s="145">
        <v>1</v>
      </c>
      <c r="J2" s="113" t="s">
        <v>2050</v>
      </c>
      <c r="K2" s="113" t="s">
        <v>2050</v>
      </c>
      <c r="L2" s="113" t="s">
        <v>1998</v>
      </c>
      <c r="M2" s="113" t="s">
        <v>3445</v>
      </c>
      <c r="N2" s="113" t="s">
        <v>2031</v>
      </c>
      <c r="O2" s="113" t="s">
        <v>2041</v>
      </c>
      <c r="P2" s="113" t="s">
        <v>956</v>
      </c>
      <c r="Q2" s="113" t="s">
        <v>1</v>
      </c>
      <c r="R2" s="113"/>
      <c r="S2" s="113" t="s">
        <v>1628</v>
      </c>
      <c r="T2"/>
      <c r="U2"/>
    </row>
    <row r="3" spans="1:21" ht="22" customHeight="1">
      <c r="A3" s="113" t="s">
        <v>1534</v>
      </c>
      <c r="B3" s="113" t="s">
        <v>3446</v>
      </c>
      <c r="C3" s="113" t="s">
        <v>2049</v>
      </c>
      <c r="D3" s="113" t="s">
        <v>4682</v>
      </c>
      <c r="E3" s="113" t="s">
        <v>3294</v>
      </c>
      <c r="F3" s="113" t="s">
        <v>2342</v>
      </c>
      <c r="G3" s="113" t="s">
        <v>3447</v>
      </c>
      <c r="H3" s="113" t="s">
        <v>2343</v>
      </c>
      <c r="I3" s="145">
        <v>2</v>
      </c>
      <c r="J3" s="113" t="s">
        <v>2050</v>
      </c>
      <c r="K3" s="113" t="s">
        <v>2050</v>
      </c>
      <c r="L3" s="113" t="s">
        <v>1998</v>
      </c>
      <c r="M3" s="113" t="s">
        <v>3448</v>
      </c>
      <c r="N3" s="113" t="s">
        <v>2031</v>
      </c>
      <c r="O3" s="113" t="s">
        <v>2041</v>
      </c>
      <c r="P3" s="113" t="s">
        <v>956</v>
      </c>
      <c r="Q3" s="113" t="s">
        <v>1</v>
      </c>
      <c r="R3" s="113"/>
      <c r="S3" s="113" t="s">
        <v>1628</v>
      </c>
      <c r="T3"/>
    </row>
    <row r="4" spans="1:21" ht="22" customHeight="1">
      <c r="A4" s="113" t="s">
        <v>1712</v>
      </c>
      <c r="B4" s="113" t="s">
        <v>2340</v>
      </c>
      <c r="C4" s="113" t="s">
        <v>2049</v>
      </c>
      <c r="D4" s="113" t="s">
        <v>4682</v>
      </c>
      <c r="E4" s="113" t="s">
        <v>1850</v>
      </c>
      <c r="F4" s="113" t="s">
        <v>2344</v>
      </c>
      <c r="G4" s="113" t="s">
        <v>3449</v>
      </c>
      <c r="H4" s="113" t="s">
        <v>2345</v>
      </c>
      <c r="I4" s="145">
        <v>0.5</v>
      </c>
      <c r="J4" s="113" t="s">
        <v>2050</v>
      </c>
      <c r="K4" s="113" t="s">
        <v>2050</v>
      </c>
      <c r="L4" s="113" t="s">
        <v>2002</v>
      </c>
      <c r="M4" s="113" t="s">
        <v>3450</v>
      </c>
      <c r="N4" s="113" t="s">
        <v>2031</v>
      </c>
      <c r="O4" s="113" t="s">
        <v>2041</v>
      </c>
      <c r="P4" s="113" t="s">
        <v>956</v>
      </c>
      <c r="Q4" s="113" t="s">
        <v>1</v>
      </c>
      <c r="R4" s="113"/>
      <c r="S4" s="113" t="s">
        <v>1629</v>
      </c>
      <c r="T4"/>
    </row>
    <row r="5" spans="1:21" ht="22" customHeight="1">
      <c r="A5" s="113" t="s">
        <v>1713</v>
      </c>
      <c r="B5" s="113" t="s">
        <v>2340</v>
      </c>
      <c r="C5" s="113" t="s">
        <v>2049</v>
      </c>
      <c r="D5" s="113" t="s">
        <v>4682</v>
      </c>
      <c r="E5" s="113" t="s">
        <v>3295</v>
      </c>
      <c r="F5" s="113" t="s">
        <v>3451</v>
      </c>
      <c r="G5" s="113" t="s">
        <v>3312</v>
      </c>
      <c r="H5" s="113" t="s">
        <v>2346</v>
      </c>
      <c r="I5" s="145">
        <v>0.5</v>
      </c>
      <c r="J5" s="113" t="s">
        <v>2050</v>
      </c>
      <c r="K5" s="113" t="s">
        <v>2050</v>
      </c>
      <c r="L5" s="113" t="s">
        <v>1998</v>
      </c>
      <c r="M5" s="113" t="s">
        <v>2347</v>
      </c>
      <c r="N5" s="113" t="s">
        <v>2031</v>
      </c>
      <c r="O5" s="113" t="s">
        <v>2041</v>
      </c>
      <c r="P5" s="113" t="s">
        <v>956</v>
      </c>
      <c r="Q5" s="113" t="s">
        <v>1</v>
      </c>
      <c r="R5" s="113"/>
      <c r="S5" s="113" t="s">
        <v>1630</v>
      </c>
      <c r="T5"/>
    </row>
    <row r="6" spans="1:21" ht="22" customHeight="1">
      <c r="A6" s="146" t="s">
        <v>1714</v>
      </c>
      <c r="B6" s="146" t="s">
        <v>3242</v>
      </c>
      <c r="C6" s="146" t="s">
        <v>2049</v>
      </c>
      <c r="D6" s="147" t="s">
        <v>4683</v>
      </c>
      <c r="E6" s="147" t="s">
        <v>3296</v>
      </c>
      <c r="F6" s="147" t="s">
        <v>4725</v>
      </c>
      <c r="G6" s="147" t="s">
        <v>1765</v>
      </c>
      <c r="H6" s="147" t="s">
        <v>1766</v>
      </c>
      <c r="I6" s="150">
        <v>0.5</v>
      </c>
      <c r="J6" s="146" t="s">
        <v>2050</v>
      </c>
      <c r="K6" s="146" t="s">
        <v>2050</v>
      </c>
      <c r="L6" s="147" t="s">
        <v>1998</v>
      </c>
      <c r="M6" s="147" t="s">
        <v>3452</v>
      </c>
      <c r="N6" s="147" t="s">
        <v>2031</v>
      </c>
      <c r="O6" s="146" t="s">
        <v>2040</v>
      </c>
      <c r="P6" s="146" t="s">
        <v>956</v>
      </c>
      <c r="Q6" s="146" t="s">
        <v>1</v>
      </c>
      <c r="R6" s="146" t="s">
        <v>1632</v>
      </c>
      <c r="S6" s="146" t="s">
        <v>1631</v>
      </c>
      <c r="T6"/>
    </row>
    <row r="7" spans="1:21" ht="22" customHeight="1">
      <c r="A7" s="146" t="s">
        <v>1517</v>
      </c>
      <c r="B7" s="146" t="s">
        <v>2359</v>
      </c>
      <c r="C7" s="146" t="s">
        <v>2049</v>
      </c>
      <c r="D7" s="147" t="s">
        <v>4683</v>
      </c>
      <c r="E7" s="147" t="s">
        <v>3296</v>
      </c>
      <c r="F7" s="147" t="s">
        <v>1604</v>
      </c>
      <c r="G7" s="147" t="s">
        <v>2100</v>
      </c>
      <c r="H7" s="147" t="s">
        <v>3453</v>
      </c>
      <c r="I7" s="150">
        <v>4</v>
      </c>
      <c r="J7" s="146" t="s">
        <v>2050</v>
      </c>
      <c r="K7" s="146" t="s">
        <v>2050</v>
      </c>
      <c r="L7" s="147" t="s">
        <v>1998</v>
      </c>
      <c r="M7" s="147" t="s">
        <v>3452</v>
      </c>
      <c r="N7" s="147" t="s">
        <v>2031</v>
      </c>
      <c r="O7" s="146" t="s">
        <v>2040</v>
      </c>
      <c r="P7" s="146" t="s">
        <v>956</v>
      </c>
      <c r="Q7" s="146" t="s">
        <v>1</v>
      </c>
      <c r="R7" s="146"/>
      <c r="S7" s="146" t="s">
        <v>1631</v>
      </c>
      <c r="T7"/>
    </row>
    <row r="8" spans="1:21" ht="22" customHeight="1">
      <c r="A8" s="146" t="s">
        <v>1890</v>
      </c>
      <c r="B8" s="146" t="s">
        <v>3454</v>
      </c>
      <c r="C8" s="146" t="s">
        <v>2049</v>
      </c>
      <c r="D8" s="147" t="s">
        <v>4683</v>
      </c>
      <c r="E8" s="147" t="s">
        <v>3296</v>
      </c>
      <c r="F8" s="147" t="s">
        <v>2094</v>
      </c>
      <c r="G8" s="147" t="s">
        <v>1896</v>
      </c>
      <c r="H8" s="147" t="s">
        <v>1897</v>
      </c>
      <c r="I8" s="150">
        <v>1</v>
      </c>
      <c r="J8" s="146" t="s">
        <v>2050</v>
      </c>
      <c r="K8" s="146" t="s">
        <v>2050</v>
      </c>
      <c r="L8" s="147" t="s">
        <v>1998</v>
      </c>
      <c r="M8" s="147" t="s">
        <v>3452</v>
      </c>
      <c r="N8" s="147" t="s">
        <v>2031</v>
      </c>
      <c r="O8" s="146" t="s">
        <v>2040</v>
      </c>
      <c r="P8" s="146" t="s">
        <v>956</v>
      </c>
      <c r="Q8" s="146" t="s">
        <v>1</v>
      </c>
      <c r="R8" s="146"/>
      <c r="S8" s="146" t="s">
        <v>1631</v>
      </c>
      <c r="T8"/>
    </row>
    <row r="9" spans="1:21" ht="22" customHeight="1">
      <c r="A9" s="146" t="s">
        <v>1891</v>
      </c>
      <c r="B9" s="146" t="s">
        <v>3454</v>
      </c>
      <c r="C9" s="146" t="s">
        <v>2049</v>
      </c>
      <c r="D9" s="147" t="s">
        <v>4683</v>
      </c>
      <c r="E9" s="147" t="s">
        <v>3296</v>
      </c>
      <c r="F9" s="147" t="s">
        <v>3455</v>
      </c>
      <c r="G9" s="147" t="s">
        <v>3456</v>
      </c>
      <c r="H9" s="147" t="s">
        <v>1898</v>
      </c>
      <c r="I9" s="150">
        <v>2</v>
      </c>
      <c r="J9" s="146" t="s">
        <v>2050</v>
      </c>
      <c r="K9" s="146" t="s">
        <v>2050</v>
      </c>
      <c r="L9" s="147" t="s">
        <v>1998</v>
      </c>
      <c r="M9" s="147" t="s">
        <v>3452</v>
      </c>
      <c r="N9" s="147" t="s">
        <v>2031</v>
      </c>
      <c r="O9" s="146" t="s">
        <v>2040</v>
      </c>
      <c r="P9" s="146" t="s">
        <v>956</v>
      </c>
      <c r="Q9" s="146" t="s">
        <v>1</v>
      </c>
      <c r="R9" s="146"/>
      <c r="S9" s="146" t="s">
        <v>1631</v>
      </c>
      <c r="T9"/>
    </row>
    <row r="10" spans="1:21" ht="22" customHeight="1">
      <c r="A10" s="146" t="s">
        <v>1520</v>
      </c>
      <c r="B10" s="146" t="s">
        <v>2359</v>
      </c>
      <c r="C10" s="146" t="s">
        <v>2049</v>
      </c>
      <c r="D10" s="147" t="s">
        <v>4683</v>
      </c>
      <c r="E10" s="147" t="s">
        <v>3296</v>
      </c>
      <c r="F10" s="147" t="s">
        <v>1606</v>
      </c>
      <c r="G10" s="147" t="s">
        <v>3457</v>
      </c>
      <c r="H10" s="147" t="s">
        <v>1803</v>
      </c>
      <c r="I10" s="150">
        <v>2</v>
      </c>
      <c r="J10" s="146" t="s">
        <v>2050</v>
      </c>
      <c r="K10" s="146" t="s">
        <v>2050</v>
      </c>
      <c r="L10" s="147" t="s">
        <v>1998</v>
      </c>
      <c r="M10" s="147" t="s">
        <v>2428</v>
      </c>
      <c r="N10" s="147" t="s">
        <v>2119</v>
      </c>
      <c r="O10" s="146" t="s">
        <v>2040</v>
      </c>
      <c r="P10" s="146" t="s">
        <v>956</v>
      </c>
      <c r="Q10" s="146" t="s">
        <v>1</v>
      </c>
      <c r="R10" s="146"/>
      <c r="S10" s="146" t="s">
        <v>1631</v>
      </c>
      <c r="T10"/>
    </row>
    <row r="11" spans="1:21" ht="22" customHeight="1">
      <c r="A11" s="146" t="s">
        <v>1612</v>
      </c>
      <c r="B11" s="146" t="s">
        <v>2393</v>
      </c>
      <c r="C11" s="146" t="s">
        <v>2048</v>
      </c>
      <c r="D11" s="147" t="s">
        <v>4683</v>
      </c>
      <c r="E11" s="147" t="s">
        <v>3296</v>
      </c>
      <c r="F11" s="147" t="s">
        <v>1963</v>
      </c>
      <c r="G11" s="147" t="s">
        <v>3980</v>
      </c>
      <c r="H11" s="147" t="s">
        <v>1748</v>
      </c>
      <c r="I11" s="150">
        <v>1</v>
      </c>
      <c r="J11" s="146" t="s">
        <v>2050</v>
      </c>
      <c r="K11" s="146" t="s">
        <v>2050</v>
      </c>
      <c r="L11" s="147" t="s">
        <v>1998</v>
      </c>
      <c r="M11" s="147" t="s">
        <v>3452</v>
      </c>
      <c r="N11" s="147" t="s">
        <v>2031</v>
      </c>
      <c r="O11" s="146" t="s">
        <v>2040</v>
      </c>
      <c r="P11" s="146" t="s">
        <v>956</v>
      </c>
      <c r="Q11" s="146" t="s">
        <v>1</v>
      </c>
      <c r="R11" s="146"/>
      <c r="S11" s="146" t="s">
        <v>1631</v>
      </c>
      <c r="T11"/>
    </row>
    <row r="12" spans="1:21" ht="22" customHeight="1">
      <c r="A12" s="146" t="s">
        <v>1613</v>
      </c>
      <c r="B12" s="146" t="s">
        <v>2393</v>
      </c>
      <c r="C12" s="146" t="s">
        <v>2048</v>
      </c>
      <c r="D12" s="147" t="s">
        <v>4683</v>
      </c>
      <c r="E12" s="148" t="s">
        <v>3296</v>
      </c>
      <c r="F12" s="147" t="s">
        <v>1964</v>
      </c>
      <c r="G12" s="147" t="s">
        <v>1749</v>
      </c>
      <c r="H12" s="147" t="s">
        <v>3458</v>
      </c>
      <c r="I12" s="151">
        <v>1</v>
      </c>
      <c r="J12" s="152" t="s">
        <v>2050</v>
      </c>
      <c r="K12" s="152" t="s">
        <v>2050</v>
      </c>
      <c r="L12" s="148" t="s">
        <v>1998</v>
      </c>
      <c r="M12" s="148" t="s">
        <v>3452</v>
      </c>
      <c r="N12" s="147" t="s">
        <v>2031</v>
      </c>
      <c r="O12" s="146" t="s">
        <v>2040</v>
      </c>
      <c r="P12" s="146" t="s">
        <v>956</v>
      </c>
      <c r="Q12" s="146" t="s">
        <v>1</v>
      </c>
      <c r="R12" s="146"/>
      <c r="S12" s="146" t="s">
        <v>1631</v>
      </c>
      <c r="T12"/>
    </row>
    <row r="13" spans="1:21" ht="22" customHeight="1">
      <c r="A13" s="146" t="s">
        <v>1615</v>
      </c>
      <c r="B13" s="146" t="s">
        <v>2393</v>
      </c>
      <c r="C13" s="146" t="s">
        <v>2048</v>
      </c>
      <c r="D13" s="147" t="s">
        <v>4683</v>
      </c>
      <c r="E13" s="148" t="s">
        <v>3296</v>
      </c>
      <c r="F13" s="147" t="s">
        <v>1965</v>
      </c>
      <c r="G13" s="147" t="s">
        <v>1750</v>
      </c>
      <c r="H13" s="147" t="s">
        <v>1751</v>
      </c>
      <c r="I13" s="151">
        <v>2</v>
      </c>
      <c r="J13" s="152" t="s">
        <v>2050</v>
      </c>
      <c r="K13" s="152" t="s">
        <v>2050</v>
      </c>
      <c r="L13" s="148" t="s">
        <v>1998</v>
      </c>
      <c r="M13" s="148" t="s">
        <v>3452</v>
      </c>
      <c r="N13" s="147" t="s">
        <v>2031</v>
      </c>
      <c r="O13" s="146" t="s">
        <v>2040</v>
      </c>
      <c r="P13" s="146" t="s">
        <v>956</v>
      </c>
      <c r="Q13" s="146" t="s">
        <v>1</v>
      </c>
      <c r="R13" s="146"/>
      <c r="S13" s="146" t="s">
        <v>1631</v>
      </c>
      <c r="T13"/>
    </row>
    <row r="14" spans="1:21" ht="22" customHeight="1">
      <c r="A14" s="146" t="s">
        <v>1616</v>
      </c>
      <c r="B14" s="146" t="s">
        <v>2393</v>
      </c>
      <c r="C14" s="146" t="s">
        <v>2048</v>
      </c>
      <c r="D14" s="147" t="s">
        <v>4683</v>
      </c>
      <c r="E14" s="148" t="s">
        <v>3296</v>
      </c>
      <c r="F14" s="147" t="s">
        <v>3459</v>
      </c>
      <c r="G14" s="147" t="s">
        <v>3460</v>
      </c>
      <c r="H14" s="147" t="s">
        <v>1752</v>
      </c>
      <c r="I14" s="151">
        <v>2</v>
      </c>
      <c r="J14" s="152" t="s">
        <v>2050</v>
      </c>
      <c r="K14" s="152" t="s">
        <v>2050</v>
      </c>
      <c r="L14" s="148" t="s">
        <v>1998</v>
      </c>
      <c r="M14" s="148" t="s">
        <v>3452</v>
      </c>
      <c r="N14" s="147" t="s">
        <v>2031</v>
      </c>
      <c r="O14" s="146" t="s">
        <v>2040</v>
      </c>
      <c r="P14" s="146" t="s">
        <v>956</v>
      </c>
      <c r="Q14" s="146" t="s">
        <v>1</v>
      </c>
      <c r="R14" s="146"/>
      <c r="S14" s="146" t="s">
        <v>1631</v>
      </c>
      <c r="T14"/>
    </row>
    <row r="15" spans="1:21" ht="22" customHeight="1">
      <c r="A15" s="146" t="s">
        <v>1715</v>
      </c>
      <c r="B15" s="146" t="s">
        <v>3242</v>
      </c>
      <c r="C15" s="146" t="s">
        <v>2049</v>
      </c>
      <c r="D15" s="147" t="s">
        <v>4683</v>
      </c>
      <c r="E15" s="147" t="s">
        <v>3297</v>
      </c>
      <c r="F15" s="147" t="s">
        <v>4726</v>
      </c>
      <c r="G15" s="147" t="s">
        <v>1767</v>
      </c>
      <c r="H15" s="147" t="s">
        <v>1768</v>
      </c>
      <c r="I15" s="150">
        <v>0.5</v>
      </c>
      <c r="J15" s="146" t="s">
        <v>2050</v>
      </c>
      <c r="K15" s="146" t="s">
        <v>2050</v>
      </c>
      <c r="L15" s="147" t="s">
        <v>1998</v>
      </c>
      <c r="M15" s="147" t="s">
        <v>3452</v>
      </c>
      <c r="N15" s="147" t="s">
        <v>2031</v>
      </c>
      <c r="O15" s="146" t="s">
        <v>2040</v>
      </c>
      <c r="P15" s="146" t="s">
        <v>956</v>
      </c>
      <c r="Q15" s="146" t="s">
        <v>1</v>
      </c>
      <c r="R15" s="146" t="s">
        <v>1634</v>
      </c>
      <c r="S15" s="146" t="s">
        <v>1633</v>
      </c>
      <c r="T15"/>
    </row>
    <row r="16" spans="1:21" ht="22" customHeight="1">
      <c r="A16" s="146" t="s">
        <v>1518</v>
      </c>
      <c r="B16" s="146" t="s">
        <v>2359</v>
      </c>
      <c r="C16" s="146" t="s">
        <v>2049</v>
      </c>
      <c r="D16" s="147" t="s">
        <v>4683</v>
      </c>
      <c r="E16" s="147" t="s">
        <v>3297</v>
      </c>
      <c r="F16" s="147" t="s">
        <v>1605</v>
      </c>
      <c r="G16" s="147" t="s">
        <v>2101</v>
      </c>
      <c r="H16" s="147" t="s">
        <v>1802</v>
      </c>
      <c r="I16" s="150">
        <v>4</v>
      </c>
      <c r="J16" s="146" t="s">
        <v>2050</v>
      </c>
      <c r="K16" s="146" t="s">
        <v>2050</v>
      </c>
      <c r="L16" s="147" t="s">
        <v>1998</v>
      </c>
      <c r="M16" s="147" t="s">
        <v>3452</v>
      </c>
      <c r="N16" s="147" t="s">
        <v>2031</v>
      </c>
      <c r="O16" s="146" t="s">
        <v>2040</v>
      </c>
      <c r="P16" s="146" t="s">
        <v>956</v>
      </c>
      <c r="Q16" s="146" t="s">
        <v>1</v>
      </c>
      <c r="R16" s="146"/>
      <c r="S16" s="146" t="s">
        <v>1633</v>
      </c>
      <c r="T16"/>
    </row>
    <row r="17" spans="1:20" ht="22" customHeight="1">
      <c r="A17" s="146" t="s">
        <v>253</v>
      </c>
      <c r="B17" s="146" t="s">
        <v>2417</v>
      </c>
      <c r="C17" s="146" t="s">
        <v>2047</v>
      </c>
      <c r="D17" s="147" t="s">
        <v>4683</v>
      </c>
      <c r="E17" s="147" t="s">
        <v>3297</v>
      </c>
      <c r="F17" s="147" t="s">
        <v>3461</v>
      </c>
      <c r="G17" s="147" t="s">
        <v>3462</v>
      </c>
      <c r="H17" s="147" t="s">
        <v>1836</v>
      </c>
      <c r="I17" s="150">
        <v>2</v>
      </c>
      <c r="J17" s="146" t="s">
        <v>2050</v>
      </c>
      <c r="K17" s="146" t="s">
        <v>2050</v>
      </c>
      <c r="L17" s="147" t="s">
        <v>1998</v>
      </c>
      <c r="M17" s="147" t="s">
        <v>2427</v>
      </c>
      <c r="N17" s="147" t="s">
        <v>2119</v>
      </c>
      <c r="O17" s="146" t="s">
        <v>2040</v>
      </c>
      <c r="P17" s="146" t="s">
        <v>956</v>
      </c>
      <c r="Q17" s="146" t="s">
        <v>1</v>
      </c>
      <c r="R17" s="146"/>
      <c r="S17" s="146" t="s">
        <v>1633</v>
      </c>
      <c r="T17"/>
    </row>
    <row r="18" spans="1:20" ht="22" customHeight="1">
      <c r="A18" s="113" t="s">
        <v>1716</v>
      </c>
      <c r="B18" s="113" t="s">
        <v>2340</v>
      </c>
      <c r="C18" s="113" t="s">
        <v>2049</v>
      </c>
      <c r="D18" s="113" t="s">
        <v>4683</v>
      </c>
      <c r="E18" s="113" t="s">
        <v>2193</v>
      </c>
      <c r="F18" s="113" t="s">
        <v>2348</v>
      </c>
      <c r="G18" s="113" t="s">
        <v>3981</v>
      </c>
      <c r="H18" s="113" t="s">
        <v>2349</v>
      </c>
      <c r="I18" s="145">
        <v>1</v>
      </c>
      <c r="J18" s="113" t="s">
        <v>2050</v>
      </c>
      <c r="K18" s="113" t="s">
        <v>2050</v>
      </c>
      <c r="L18" s="113" t="s">
        <v>1998</v>
      </c>
      <c r="M18" s="113" t="s">
        <v>3463</v>
      </c>
      <c r="N18" s="113" t="s">
        <v>2031</v>
      </c>
      <c r="O18" s="113" t="s">
        <v>2041</v>
      </c>
      <c r="P18" s="113" t="s">
        <v>956</v>
      </c>
      <c r="Q18" s="113" t="s">
        <v>1</v>
      </c>
      <c r="R18" s="113"/>
      <c r="S18" s="113" t="s">
        <v>1649</v>
      </c>
      <c r="T18"/>
    </row>
    <row r="19" spans="1:20" ht="22" customHeight="1">
      <c r="A19" s="113" t="s">
        <v>1723</v>
      </c>
      <c r="B19" s="113" t="s">
        <v>2340</v>
      </c>
      <c r="C19" s="113" t="s">
        <v>2049</v>
      </c>
      <c r="D19" s="113" t="s">
        <v>4683</v>
      </c>
      <c r="E19" s="113" t="s">
        <v>1857</v>
      </c>
      <c r="F19" s="113" t="s">
        <v>2350</v>
      </c>
      <c r="G19" s="113" t="s">
        <v>2351</v>
      </c>
      <c r="H19" s="113" t="s">
        <v>2352</v>
      </c>
      <c r="I19" s="145">
        <v>0.5</v>
      </c>
      <c r="J19" s="113" t="s">
        <v>2050</v>
      </c>
      <c r="K19" s="113" t="s">
        <v>2050</v>
      </c>
      <c r="L19" s="113" t="s">
        <v>1998</v>
      </c>
      <c r="M19" s="113" t="s">
        <v>2353</v>
      </c>
      <c r="N19" s="113" t="s">
        <v>2031</v>
      </c>
      <c r="O19" s="113" t="s">
        <v>2041</v>
      </c>
      <c r="P19" s="113" t="s">
        <v>956</v>
      </c>
      <c r="Q19" s="113" t="s">
        <v>1</v>
      </c>
      <c r="R19" s="113"/>
      <c r="S19" s="113" t="s">
        <v>1650</v>
      </c>
      <c r="T19"/>
    </row>
    <row r="20" spans="1:20" ht="22" customHeight="1">
      <c r="A20" s="113" t="s">
        <v>1717</v>
      </c>
      <c r="B20" s="113" t="s">
        <v>2340</v>
      </c>
      <c r="C20" s="113" t="s">
        <v>2049</v>
      </c>
      <c r="D20" s="113" t="s">
        <v>4683</v>
      </c>
      <c r="E20" s="113" t="s">
        <v>3313</v>
      </c>
      <c r="F20" s="113" t="s">
        <v>4043</v>
      </c>
      <c r="G20" s="113" t="s">
        <v>4044</v>
      </c>
      <c r="H20" s="113" t="s">
        <v>4045</v>
      </c>
      <c r="I20" s="145">
        <v>1</v>
      </c>
      <c r="J20" s="113" t="s">
        <v>2050</v>
      </c>
      <c r="K20" s="113" t="s">
        <v>2050</v>
      </c>
      <c r="L20" s="113" t="s">
        <v>1998</v>
      </c>
      <c r="M20" s="113" t="s">
        <v>4046</v>
      </c>
      <c r="N20" s="113" t="s">
        <v>2031</v>
      </c>
      <c r="O20" s="113" t="s">
        <v>2041</v>
      </c>
      <c r="P20" s="113" t="s">
        <v>956</v>
      </c>
      <c r="Q20" s="113" t="s">
        <v>1</v>
      </c>
      <c r="R20" s="113"/>
      <c r="S20" s="113" t="s">
        <v>1635</v>
      </c>
      <c r="T20"/>
    </row>
    <row r="21" spans="1:20" ht="22" customHeight="1">
      <c r="A21" s="113" t="s">
        <v>4047</v>
      </c>
      <c r="B21" s="113" t="s">
        <v>2359</v>
      </c>
      <c r="C21" s="113" t="s">
        <v>2049</v>
      </c>
      <c r="D21" s="113" t="s">
        <v>4683</v>
      </c>
      <c r="E21" s="113" t="s">
        <v>3313</v>
      </c>
      <c r="F21" s="113" t="s">
        <v>4048</v>
      </c>
      <c r="G21" s="113" t="s">
        <v>4049</v>
      </c>
      <c r="H21" s="113" t="s">
        <v>4050</v>
      </c>
      <c r="I21" s="145">
        <v>2.5</v>
      </c>
      <c r="J21" s="113" t="s">
        <v>2050</v>
      </c>
      <c r="K21" s="113" t="s">
        <v>2050</v>
      </c>
      <c r="L21" s="113" t="s">
        <v>1998</v>
      </c>
      <c r="M21" s="113" t="s">
        <v>4051</v>
      </c>
      <c r="N21" s="113" t="s">
        <v>2031</v>
      </c>
      <c r="O21" s="113" t="s">
        <v>2041</v>
      </c>
      <c r="P21" s="113" t="s">
        <v>956</v>
      </c>
      <c r="Q21" s="113" t="s">
        <v>1</v>
      </c>
      <c r="R21" s="113"/>
      <c r="S21" s="113" t="s">
        <v>1635</v>
      </c>
      <c r="T21"/>
    </row>
    <row r="22" spans="1:20" ht="22" customHeight="1">
      <c r="A22" s="113" t="s">
        <v>4052</v>
      </c>
      <c r="B22" s="113" t="s">
        <v>3250</v>
      </c>
      <c r="C22" s="113" t="s">
        <v>2046</v>
      </c>
      <c r="D22" s="113" t="s">
        <v>4683</v>
      </c>
      <c r="E22" s="113" t="s">
        <v>3313</v>
      </c>
      <c r="F22" s="113" t="s">
        <v>4053</v>
      </c>
      <c r="G22" s="113" t="s">
        <v>4054</v>
      </c>
      <c r="H22" s="113" t="s">
        <v>4055</v>
      </c>
      <c r="I22" s="145">
        <v>1</v>
      </c>
      <c r="J22" s="113" t="s">
        <v>2050</v>
      </c>
      <c r="K22" s="113" t="s">
        <v>2050</v>
      </c>
      <c r="L22" s="113" t="s">
        <v>2010</v>
      </c>
      <c r="M22" s="113" t="s">
        <v>4056</v>
      </c>
      <c r="N22" s="113" t="s">
        <v>2031</v>
      </c>
      <c r="O22" s="113" t="s">
        <v>2041</v>
      </c>
      <c r="P22" s="113" t="s">
        <v>956</v>
      </c>
      <c r="Q22" s="113" t="s">
        <v>1</v>
      </c>
      <c r="R22" s="113"/>
      <c r="S22" s="113" t="s">
        <v>1635</v>
      </c>
      <c r="T22"/>
    </row>
    <row r="23" spans="1:20" ht="22" customHeight="1">
      <c r="A23" s="146" t="s">
        <v>1709</v>
      </c>
      <c r="B23" s="146" t="s">
        <v>3242</v>
      </c>
      <c r="C23" s="146" t="s">
        <v>2049</v>
      </c>
      <c r="D23" s="147" t="s">
        <v>4684</v>
      </c>
      <c r="E23" s="147" t="s">
        <v>2171</v>
      </c>
      <c r="F23" s="147" t="s">
        <v>1710</v>
      </c>
      <c r="G23" s="147" t="s">
        <v>4058</v>
      </c>
      <c r="H23" s="147" t="s">
        <v>4059</v>
      </c>
      <c r="I23" s="150">
        <v>0.5</v>
      </c>
      <c r="J23" s="146" t="s">
        <v>2050</v>
      </c>
      <c r="K23" s="146" t="s">
        <v>2050</v>
      </c>
      <c r="L23" s="147" t="s">
        <v>1998</v>
      </c>
      <c r="M23" s="147" t="s">
        <v>4060</v>
      </c>
      <c r="N23" s="147" t="s">
        <v>2031</v>
      </c>
      <c r="O23" s="146" t="s">
        <v>2040</v>
      </c>
      <c r="P23" s="146" t="s">
        <v>956</v>
      </c>
      <c r="Q23" s="146" t="s">
        <v>1</v>
      </c>
      <c r="R23" s="146" t="s">
        <v>1627</v>
      </c>
      <c r="S23" s="146" t="s">
        <v>1626</v>
      </c>
      <c r="T23"/>
    </row>
    <row r="24" spans="1:20" ht="22" customHeight="1">
      <c r="A24" s="146" t="s">
        <v>1892</v>
      </c>
      <c r="B24" s="146" t="s">
        <v>3454</v>
      </c>
      <c r="C24" s="146" t="s">
        <v>2049</v>
      </c>
      <c r="D24" s="147" t="s">
        <v>4684</v>
      </c>
      <c r="E24" s="147" t="s">
        <v>2171</v>
      </c>
      <c r="F24" s="147" t="s">
        <v>3464</v>
      </c>
      <c r="G24" s="147" t="s">
        <v>3465</v>
      </c>
      <c r="H24" s="147" t="s">
        <v>1899</v>
      </c>
      <c r="I24" s="150">
        <v>2</v>
      </c>
      <c r="J24" s="146" t="s">
        <v>2050</v>
      </c>
      <c r="K24" s="146" t="s">
        <v>2050</v>
      </c>
      <c r="L24" s="147" t="s">
        <v>2010</v>
      </c>
      <c r="M24" s="147" t="s">
        <v>4057</v>
      </c>
      <c r="N24" s="147" t="s">
        <v>3468</v>
      </c>
      <c r="O24" s="146" t="s">
        <v>2040</v>
      </c>
      <c r="P24" s="146" t="s">
        <v>956</v>
      </c>
      <c r="Q24" s="146" t="s">
        <v>1</v>
      </c>
      <c r="R24" s="146"/>
      <c r="S24" s="146" t="s">
        <v>1626</v>
      </c>
      <c r="T24"/>
    </row>
    <row r="25" spans="1:20" ht="22" customHeight="1">
      <c r="A25" s="113" t="s">
        <v>2408</v>
      </c>
      <c r="B25" s="113" t="s">
        <v>3446</v>
      </c>
      <c r="C25" s="113" t="s">
        <v>2046</v>
      </c>
      <c r="D25" s="113" t="s">
        <v>4684</v>
      </c>
      <c r="E25" s="113" t="s">
        <v>4003</v>
      </c>
      <c r="F25" s="113" t="s">
        <v>3466</v>
      </c>
      <c r="G25" s="113" t="s">
        <v>2409</v>
      </c>
      <c r="H25" s="113" t="s">
        <v>2410</v>
      </c>
      <c r="I25" s="145">
        <v>1.5</v>
      </c>
      <c r="J25" s="113" t="s">
        <v>2050</v>
      </c>
      <c r="K25" s="113" t="s">
        <v>2050</v>
      </c>
      <c r="L25" s="113" t="s">
        <v>2010</v>
      </c>
      <c r="M25" s="113" t="s">
        <v>2411</v>
      </c>
      <c r="N25" s="113" t="s">
        <v>2031</v>
      </c>
      <c r="O25" s="113" t="s">
        <v>2041</v>
      </c>
      <c r="P25" s="113" t="s">
        <v>956</v>
      </c>
      <c r="Q25" s="113" t="s">
        <v>1</v>
      </c>
      <c r="R25" s="113"/>
      <c r="S25" s="113" t="s">
        <v>4004</v>
      </c>
      <c r="T25"/>
    </row>
    <row r="26" spans="1:20" ht="22" customHeight="1">
      <c r="A26" s="113" t="s">
        <v>2032</v>
      </c>
      <c r="B26" s="113" t="s">
        <v>2417</v>
      </c>
      <c r="C26" s="113" t="s">
        <v>2046</v>
      </c>
      <c r="D26" s="113" t="s">
        <v>4684</v>
      </c>
      <c r="E26" s="113" t="s">
        <v>4003</v>
      </c>
      <c r="F26" s="113" t="s">
        <v>4039</v>
      </c>
      <c r="G26" s="113" t="s">
        <v>4040</v>
      </c>
      <c r="H26" s="113" t="s">
        <v>4041</v>
      </c>
      <c r="I26" s="145">
        <v>1.5</v>
      </c>
      <c r="J26" s="113" t="s">
        <v>2050</v>
      </c>
      <c r="K26" s="113" t="s">
        <v>2050</v>
      </c>
      <c r="L26" s="113" t="s">
        <v>2010</v>
      </c>
      <c r="M26" s="113" t="s">
        <v>4042</v>
      </c>
      <c r="N26" s="113" t="s">
        <v>2031</v>
      </c>
      <c r="O26" s="113" t="s">
        <v>2039</v>
      </c>
      <c r="P26" s="113" t="s">
        <v>956</v>
      </c>
      <c r="Q26" s="113" t="s">
        <v>1</v>
      </c>
      <c r="R26" s="113"/>
      <c r="S26" s="113" t="s">
        <v>4004</v>
      </c>
      <c r="T26"/>
    </row>
    <row r="27" spans="1:20" ht="22" customHeight="1">
      <c r="A27" s="146" t="s">
        <v>1718</v>
      </c>
      <c r="B27" s="146" t="s">
        <v>3242</v>
      </c>
      <c r="C27" s="146" t="s">
        <v>2049</v>
      </c>
      <c r="D27" s="147" t="s">
        <v>1927</v>
      </c>
      <c r="E27" s="147" t="s">
        <v>4693</v>
      </c>
      <c r="F27" s="147" t="s">
        <v>1719</v>
      </c>
      <c r="G27" s="147" t="s">
        <v>1769</v>
      </c>
      <c r="H27" s="147" t="s">
        <v>2105</v>
      </c>
      <c r="I27" s="150">
        <v>0.5</v>
      </c>
      <c r="J27" s="146" t="s">
        <v>2050</v>
      </c>
      <c r="K27" s="146" t="s">
        <v>2050</v>
      </c>
      <c r="L27" s="147" t="s">
        <v>2000</v>
      </c>
      <c r="M27" s="147" t="s">
        <v>3467</v>
      </c>
      <c r="N27" s="147" t="s">
        <v>3468</v>
      </c>
      <c r="O27" s="146" t="s">
        <v>2040</v>
      </c>
      <c r="P27" s="146" t="s">
        <v>956</v>
      </c>
      <c r="Q27" s="146" t="s">
        <v>1</v>
      </c>
      <c r="R27" s="146" t="s">
        <v>1637</v>
      </c>
      <c r="S27" s="146" t="s">
        <v>1636</v>
      </c>
      <c r="T27"/>
    </row>
    <row r="28" spans="1:20" ht="22" customHeight="1">
      <c r="A28" s="146" t="s">
        <v>1720</v>
      </c>
      <c r="B28" s="146" t="s">
        <v>3242</v>
      </c>
      <c r="C28" s="146" t="s">
        <v>2049</v>
      </c>
      <c r="D28" s="147" t="s">
        <v>1927</v>
      </c>
      <c r="E28" s="147" t="s">
        <v>4574</v>
      </c>
      <c r="F28" s="147" t="s">
        <v>1721</v>
      </c>
      <c r="G28" s="147" t="s">
        <v>1770</v>
      </c>
      <c r="H28" s="147" t="s">
        <v>2106</v>
      </c>
      <c r="I28" s="150">
        <v>0.5</v>
      </c>
      <c r="J28" s="146" t="s">
        <v>2050</v>
      </c>
      <c r="K28" s="146" t="s">
        <v>2050</v>
      </c>
      <c r="L28" s="147" t="s">
        <v>2000</v>
      </c>
      <c r="M28" s="147" t="s">
        <v>3467</v>
      </c>
      <c r="N28" s="147" t="s">
        <v>3468</v>
      </c>
      <c r="O28" s="146" t="s">
        <v>2040</v>
      </c>
      <c r="P28" s="146" t="s">
        <v>956</v>
      </c>
      <c r="Q28" s="146" t="s">
        <v>1</v>
      </c>
      <c r="R28" s="146" t="s">
        <v>1639</v>
      </c>
      <c r="S28" s="146" t="s">
        <v>1638</v>
      </c>
      <c r="T28"/>
    </row>
    <row r="29" spans="1:20" ht="22" customHeight="1">
      <c r="A29" s="113" t="s">
        <v>1722</v>
      </c>
      <c r="B29" s="113" t="s">
        <v>2340</v>
      </c>
      <c r="C29" s="113" t="s">
        <v>2049</v>
      </c>
      <c r="D29" s="113" t="s">
        <v>4686</v>
      </c>
      <c r="E29" s="113" t="s">
        <v>3298</v>
      </c>
      <c r="F29" s="113" t="s">
        <v>2817</v>
      </c>
      <c r="G29" s="113" t="s">
        <v>2818</v>
      </c>
      <c r="H29" s="113" t="s">
        <v>2819</v>
      </c>
      <c r="I29" s="145">
        <v>1</v>
      </c>
      <c r="J29" s="113" t="s">
        <v>2050</v>
      </c>
      <c r="K29" s="113" t="s">
        <v>2050</v>
      </c>
      <c r="L29" s="113" t="s">
        <v>2002</v>
      </c>
      <c r="M29" s="113" t="s">
        <v>3469</v>
      </c>
      <c r="N29" s="113" t="s">
        <v>2031</v>
      </c>
      <c r="O29" s="113" t="s">
        <v>2041</v>
      </c>
      <c r="P29" s="113" t="s">
        <v>956</v>
      </c>
      <c r="Q29" s="113" t="s">
        <v>1</v>
      </c>
      <c r="R29" s="113"/>
      <c r="S29" s="113" t="s">
        <v>1647</v>
      </c>
      <c r="T29"/>
    </row>
    <row r="30" spans="1:20" ht="22" customHeight="1">
      <c r="A30" s="146" t="s">
        <v>1501</v>
      </c>
      <c r="B30" s="146" t="s">
        <v>3243</v>
      </c>
      <c r="C30" s="146" t="s">
        <v>2049</v>
      </c>
      <c r="D30" s="147" t="s">
        <v>4687</v>
      </c>
      <c r="E30" s="147" t="s">
        <v>2192</v>
      </c>
      <c r="F30" s="147" t="s">
        <v>2075</v>
      </c>
      <c r="G30" s="147" t="s">
        <v>1782</v>
      </c>
      <c r="H30" s="147" t="s">
        <v>1783</v>
      </c>
      <c r="I30" s="150">
        <v>2</v>
      </c>
      <c r="J30" s="146" t="s">
        <v>2113</v>
      </c>
      <c r="K30" s="146" t="s">
        <v>2113</v>
      </c>
      <c r="L30" s="147" t="s">
        <v>2008</v>
      </c>
      <c r="M30" s="147" t="s">
        <v>3470</v>
      </c>
      <c r="N30" s="147" t="s">
        <v>2031</v>
      </c>
      <c r="O30" s="146" t="s">
        <v>2040</v>
      </c>
      <c r="P30" s="146" t="s">
        <v>956</v>
      </c>
      <c r="Q30" s="146" t="s">
        <v>1</v>
      </c>
      <c r="R30" s="146"/>
      <c r="S30" s="146" t="s">
        <v>2245</v>
      </c>
      <c r="T30"/>
    </row>
    <row r="31" spans="1:20" ht="22" customHeight="1">
      <c r="A31" s="146" t="s">
        <v>1620</v>
      </c>
      <c r="B31" s="146" t="s">
        <v>2393</v>
      </c>
      <c r="C31" s="146" t="s">
        <v>2048</v>
      </c>
      <c r="D31" s="147" t="s">
        <v>4687</v>
      </c>
      <c r="E31" s="148" t="s">
        <v>2192</v>
      </c>
      <c r="F31" s="147" t="s">
        <v>1969</v>
      </c>
      <c r="G31" s="147" t="s">
        <v>1758</v>
      </c>
      <c r="H31" s="147" t="s">
        <v>1759</v>
      </c>
      <c r="I31" s="151">
        <v>2</v>
      </c>
      <c r="J31" s="152" t="s">
        <v>2050</v>
      </c>
      <c r="K31" s="152" t="s">
        <v>2050</v>
      </c>
      <c r="L31" s="148" t="s">
        <v>1998</v>
      </c>
      <c r="M31" s="148" t="s">
        <v>3452</v>
      </c>
      <c r="N31" s="147" t="s">
        <v>2031</v>
      </c>
      <c r="O31" s="146" t="s">
        <v>2040</v>
      </c>
      <c r="P31" s="146" t="s">
        <v>956</v>
      </c>
      <c r="Q31" s="146" t="s">
        <v>1</v>
      </c>
      <c r="R31" s="146"/>
      <c r="S31" s="146" t="s">
        <v>2245</v>
      </c>
      <c r="T31"/>
    </row>
    <row r="32" spans="1:20" ht="22" customHeight="1">
      <c r="A32" s="146" t="s">
        <v>1623</v>
      </c>
      <c r="B32" s="146" t="s">
        <v>2393</v>
      </c>
      <c r="C32" s="146" t="s">
        <v>2048</v>
      </c>
      <c r="D32" s="147" t="s">
        <v>4687</v>
      </c>
      <c r="E32" s="148" t="s">
        <v>2192</v>
      </c>
      <c r="F32" s="147" t="s">
        <v>1972</v>
      </c>
      <c r="G32" s="147" t="s">
        <v>3471</v>
      </c>
      <c r="H32" s="147" t="s">
        <v>1764</v>
      </c>
      <c r="I32" s="151">
        <v>1</v>
      </c>
      <c r="J32" s="146" t="s">
        <v>2050</v>
      </c>
      <c r="K32" s="152" t="s">
        <v>2050</v>
      </c>
      <c r="L32" s="148" t="s">
        <v>1998</v>
      </c>
      <c r="M32" s="148" t="s">
        <v>3452</v>
      </c>
      <c r="N32" s="147" t="s">
        <v>2031</v>
      </c>
      <c r="O32" s="146" t="s">
        <v>2040</v>
      </c>
      <c r="P32" s="146" t="s">
        <v>956</v>
      </c>
      <c r="Q32" s="146" t="s">
        <v>1</v>
      </c>
      <c r="R32" s="146"/>
      <c r="S32" s="146" t="s">
        <v>2245</v>
      </c>
      <c r="T32"/>
    </row>
    <row r="33" spans="1:20" ht="22" customHeight="1">
      <c r="A33" s="146" t="s">
        <v>1621</v>
      </c>
      <c r="B33" s="146" t="s">
        <v>2393</v>
      </c>
      <c r="C33" s="146" t="s">
        <v>2048</v>
      </c>
      <c r="D33" s="147" t="s">
        <v>4687</v>
      </c>
      <c r="E33" s="148" t="s">
        <v>2211</v>
      </c>
      <c r="F33" s="147" t="s">
        <v>1970</v>
      </c>
      <c r="G33" s="147" t="s">
        <v>1760</v>
      </c>
      <c r="H33" s="147" t="s">
        <v>1761</v>
      </c>
      <c r="I33" s="151">
        <v>2</v>
      </c>
      <c r="J33" s="152" t="s">
        <v>2050</v>
      </c>
      <c r="K33" s="152" t="s">
        <v>2050</v>
      </c>
      <c r="L33" s="148" t="s">
        <v>1998</v>
      </c>
      <c r="M33" s="148" t="s">
        <v>3452</v>
      </c>
      <c r="N33" s="147" t="s">
        <v>2031</v>
      </c>
      <c r="O33" s="146" t="s">
        <v>2040</v>
      </c>
      <c r="P33" s="146" t="s">
        <v>956</v>
      </c>
      <c r="Q33" s="146" t="s">
        <v>1</v>
      </c>
      <c r="R33" s="146"/>
      <c r="S33" s="146" t="s">
        <v>2260</v>
      </c>
      <c r="T33"/>
    </row>
    <row r="34" spans="1:20" ht="22" customHeight="1">
      <c r="A34" s="146" t="s">
        <v>1622</v>
      </c>
      <c r="B34" s="146" t="s">
        <v>2393</v>
      </c>
      <c r="C34" s="146" t="s">
        <v>2048</v>
      </c>
      <c r="D34" s="147" t="s">
        <v>4687</v>
      </c>
      <c r="E34" s="148" t="s">
        <v>2211</v>
      </c>
      <c r="F34" s="147" t="s">
        <v>1971</v>
      </c>
      <c r="G34" s="147" t="s">
        <v>1762</v>
      </c>
      <c r="H34" s="147" t="s">
        <v>1763</v>
      </c>
      <c r="I34" s="151">
        <v>2</v>
      </c>
      <c r="J34" s="152" t="s">
        <v>2050</v>
      </c>
      <c r="K34" s="152" t="s">
        <v>2050</v>
      </c>
      <c r="L34" s="148" t="s">
        <v>1998</v>
      </c>
      <c r="M34" s="148" t="s">
        <v>3452</v>
      </c>
      <c r="N34" s="147" t="s">
        <v>2031</v>
      </c>
      <c r="O34" s="146" t="s">
        <v>2040</v>
      </c>
      <c r="P34" s="146" t="s">
        <v>956</v>
      </c>
      <c r="Q34" s="146" t="s">
        <v>1</v>
      </c>
      <c r="R34" s="146"/>
      <c r="S34" s="146" t="s">
        <v>2260</v>
      </c>
      <c r="T34"/>
    </row>
    <row r="35" spans="1:20" ht="22" customHeight="1">
      <c r="A35" s="113" t="s">
        <v>2028</v>
      </c>
      <c r="B35" s="113" t="s">
        <v>2808</v>
      </c>
      <c r="C35" s="113" t="s">
        <v>2049</v>
      </c>
      <c r="D35" s="113" t="s">
        <v>2125</v>
      </c>
      <c r="E35" s="113" t="s">
        <v>2164</v>
      </c>
      <c r="F35" s="113" t="s">
        <v>2809</v>
      </c>
      <c r="G35" s="113" t="s">
        <v>2810</v>
      </c>
      <c r="H35" s="113" t="s">
        <v>2811</v>
      </c>
      <c r="I35" s="145">
        <v>1</v>
      </c>
      <c r="J35" s="113" t="s">
        <v>2050</v>
      </c>
      <c r="K35" s="113" t="s">
        <v>2050</v>
      </c>
      <c r="L35" s="113" t="s">
        <v>1998</v>
      </c>
      <c r="M35" s="113" t="s">
        <v>2812</v>
      </c>
      <c r="N35" s="113" t="s">
        <v>2031</v>
      </c>
      <c r="O35" s="113" t="s">
        <v>2041</v>
      </c>
      <c r="P35" s="113" t="s">
        <v>956</v>
      </c>
      <c r="Q35" s="113" t="s">
        <v>1</v>
      </c>
      <c r="R35" s="113"/>
      <c r="S35" s="113" t="s">
        <v>2219</v>
      </c>
      <c r="T35"/>
    </row>
    <row r="36" spans="1:20" ht="22" customHeight="1">
      <c r="A36" s="113" t="s">
        <v>2029</v>
      </c>
      <c r="B36" s="113" t="s">
        <v>2808</v>
      </c>
      <c r="C36" s="113" t="s">
        <v>2049</v>
      </c>
      <c r="D36" s="113" t="s">
        <v>2125</v>
      </c>
      <c r="E36" s="113" t="s">
        <v>3299</v>
      </c>
      <c r="F36" s="113" t="s">
        <v>3472</v>
      </c>
      <c r="G36" s="113" t="s">
        <v>2813</v>
      </c>
      <c r="H36" s="113" t="s">
        <v>2814</v>
      </c>
      <c r="I36" s="145">
        <v>1</v>
      </c>
      <c r="J36" s="113" t="s">
        <v>2050</v>
      </c>
      <c r="K36" s="113" t="s">
        <v>2050</v>
      </c>
      <c r="L36" s="113" t="s">
        <v>2002</v>
      </c>
      <c r="M36" s="113" t="s">
        <v>3473</v>
      </c>
      <c r="N36" s="113" t="s">
        <v>2031</v>
      </c>
      <c r="O36" s="113" t="s">
        <v>2041</v>
      </c>
      <c r="P36" s="113" t="s">
        <v>956</v>
      </c>
      <c r="Q36" s="113" t="s">
        <v>1</v>
      </c>
      <c r="R36" s="113"/>
      <c r="S36" s="113" t="s">
        <v>2247</v>
      </c>
      <c r="T36"/>
    </row>
    <row r="37" spans="1:20" ht="22" customHeight="1">
      <c r="A37" s="113" t="s">
        <v>4061</v>
      </c>
      <c r="B37" s="113" t="s">
        <v>2417</v>
      </c>
      <c r="C37" s="113" t="s">
        <v>2047</v>
      </c>
      <c r="D37" s="113" t="s">
        <v>2125</v>
      </c>
      <c r="E37" s="113" t="s">
        <v>2200</v>
      </c>
      <c r="F37" s="113" t="s">
        <v>4062</v>
      </c>
      <c r="G37" s="113" t="s">
        <v>4063</v>
      </c>
      <c r="H37" s="113" t="s">
        <v>4064</v>
      </c>
      <c r="I37" s="145">
        <v>0.5</v>
      </c>
      <c r="J37" s="113" t="s">
        <v>2050</v>
      </c>
      <c r="K37" s="113" t="s">
        <v>2050</v>
      </c>
      <c r="L37" s="113" t="s">
        <v>2005</v>
      </c>
      <c r="M37" s="113" t="s">
        <v>4065</v>
      </c>
      <c r="N37" s="113" t="s">
        <v>2031</v>
      </c>
      <c r="O37" s="113" t="s">
        <v>2041</v>
      </c>
      <c r="P37" s="113" t="s">
        <v>956</v>
      </c>
      <c r="Q37" s="113" t="s">
        <v>2054</v>
      </c>
      <c r="R37" s="113"/>
      <c r="S37" s="113" t="s">
        <v>2248</v>
      </c>
      <c r="T37"/>
    </row>
    <row r="38" spans="1:20" ht="22" customHeight="1">
      <c r="A38" s="113" t="s">
        <v>1516</v>
      </c>
      <c r="B38" s="113" t="s">
        <v>2359</v>
      </c>
      <c r="C38" s="113" t="s">
        <v>2049</v>
      </c>
      <c r="D38" s="113" t="s">
        <v>2128</v>
      </c>
      <c r="E38" s="113" t="s">
        <v>4696</v>
      </c>
      <c r="F38" s="113" t="s">
        <v>2360</v>
      </c>
      <c r="G38" s="113" t="s">
        <v>3474</v>
      </c>
      <c r="H38" s="113" t="s">
        <v>2361</v>
      </c>
      <c r="I38" s="145">
        <v>3</v>
      </c>
      <c r="J38" s="113" t="s">
        <v>2050</v>
      </c>
      <c r="K38" s="113" t="s">
        <v>1470</v>
      </c>
      <c r="L38" s="113" t="s">
        <v>1998</v>
      </c>
      <c r="M38" s="113" t="s">
        <v>3475</v>
      </c>
      <c r="N38" s="113" t="s">
        <v>2031</v>
      </c>
      <c r="O38" s="113" t="s">
        <v>2041</v>
      </c>
      <c r="P38" s="113" t="s">
        <v>956</v>
      </c>
      <c r="Q38" s="113" t="s">
        <v>1</v>
      </c>
      <c r="R38" s="113"/>
      <c r="S38" s="113" t="s">
        <v>1651</v>
      </c>
      <c r="T38"/>
    </row>
    <row r="39" spans="1:20" ht="22" customHeight="1">
      <c r="A39" s="113" t="s">
        <v>1724</v>
      </c>
      <c r="B39" s="113" t="s">
        <v>2340</v>
      </c>
      <c r="C39" s="113" t="s">
        <v>2049</v>
      </c>
      <c r="D39" s="113" t="s">
        <v>2128</v>
      </c>
      <c r="E39" s="113" t="s">
        <v>4696</v>
      </c>
      <c r="F39" s="113" t="s">
        <v>3476</v>
      </c>
      <c r="G39" s="113" t="s">
        <v>3477</v>
      </c>
      <c r="H39" s="113" t="s">
        <v>2362</v>
      </c>
      <c r="I39" s="145">
        <v>1</v>
      </c>
      <c r="J39" s="113" t="s">
        <v>2050</v>
      </c>
      <c r="K39" s="113" t="s">
        <v>1470</v>
      </c>
      <c r="L39" s="113" t="s">
        <v>1998</v>
      </c>
      <c r="M39" s="113" t="s">
        <v>2363</v>
      </c>
      <c r="N39" s="113" t="s">
        <v>2031</v>
      </c>
      <c r="O39" s="113" t="s">
        <v>2041</v>
      </c>
      <c r="P39" s="113" t="s">
        <v>956</v>
      </c>
      <c r="Q39" s="113" t="s">
        <v>1</v>
      </c>
      <c r="R39" s="113"/>
      <c r="S39" s="113" t="s">
        <v>1651</v>
      </c>
      <c r="T39"/>
    </row>
    <row r="40" spans="1:20" ht="22" customHeight="1">
      <c r="A40" s="113" t="s">
        <v>1725</v>
      </c>
      <c r="B40" s="113" t="s">
        <v>2340</v>
      </c>
      <c r="C40" s="113" t="s">
        <v>2049</v>
      </c>
      <c r="D40" s="113" t="s">
        <v>2128</v>
      </c>
      <c r="E40" s="113" t="s">
        <v>4696</v>
      </c>
      <c r="F40" s="113" t="s">
        <v>3478</v>
      </c>
      <c r="G40" s="113" t="s">
        <v>3479</v>
      </c>
      <c r="H40" s="113" t="s">
        <v>2364</v>
      </c>
      <c r="I40" s="145">
        <v>0.75</v>
      </c>
      <c r="J40" s="113" t="s">
        <v>2050</v>
      </c>
      <c r="K40" s="113" t="s">
        <v>1470</v>
      </c>
      <c r="L40" s="113" t="s">
        <v>1998</v>
      </c>
      <c r="M40" s="113" t="s">
        <v>2365</v>
      </c>
      <c r="N40" s="113" t="s">
        <v>2031</v>
      </c>
      <c r="O40" s="113" t="s">
        <v>2041</v>
      </c>
      <c r="P40" s="113" t="s">
        <v>956</v>
      </c>
      <c r="Q40" s="113" t="s">
        <v>1</v>
      </c>
      <c r="R40" s="113"/>
      <c r="S40" s="113" t="s">
        <v>1651</v>
      </c>
      <c r="T40"/>
    </row>
    <row r="41" spans="1:20" ht="22" customHeight="1">
      <c r="A41" s="113" t="s">
        <v>1726</v>
      </c>
      <c r="B41" s="113" t="s">
        <v>2340</v>
      </c>
      <c r="C41" s="113" t="s">
        <v>2049</v>
      </c>
      <c r="D41" s="113" t="s">
        <v>2128</v>
      </c>
      <c r="E41" s="113" t="s">
        <v>4696</v>
      </c>
      <c r="F41" s="113" t="s">
        <v>2366</v>
      </c>
      <c r="G41" s="113" t="s">
        <v>2367</v>
      </c>
      <c r="H41" s="113" t="s">
        <v>2368</v>
      </c>
      <c r="I41" s="145">
        <v>1</v>
      </c>
      <c r="J41" s="113" t="s">
        <v>2050</v>
      </c>
      <c r="K41" s="113" t="s">
        <v>1470</v>
      </c>
      <c r="L41" s="113" t="s">
        <v>2002</v>
      </c>
      <c r="M41" s="113" t="s">
        <v>2369</v>
      </c>
      <c r="N41" s="113" t="s">
        <v>2031</v>
      </c>
      <c r="O41" s="113" t="s">
        <v>2041</v>
      </c>
      <c r="P41" s="113" t="s">
        <v>956</v>
      </c>
      <c r="Q41" s="113" t="s">
        <v>1</v>
      </c>
      <c r="R41" s="113"/>
      <c r="S41" s="113" t="s">
        <v>1651</v>
      </c>
      <c r="T41"/>
    </row>
    <row r="42" spans="1:20" ht="22" customHeight="1">
      <c r="A42" s="113" t="s">
        <v>1727</v>
      </c>
      <c r="B42" s="113" t="s">
        <v>2340</v>
      </c>
      <c r="C42" s="113" t="s">
        <v>2049</v>
      </c>
      <c r="D42" s="113" t="s">
        <v>2128</v>
      </c>
      <c r="E42" s="113" t="s">
        <v>4696</v>
      </c>
      <c r="F42" s="113" t="s">
        <v>3480</v>
      </c>
      <c r="G42" s="113" t="s">
        <v>3481</v>
      </c>
      <c r="H42" s="113" t="s">
        <v>2370</v>
      </c>
      <c r="I42" s="145">
        <v>0.5</v>
      </c>
      <c r="J42" s="113" t="s">
        <v>2050</v>
      </c>
      <c r="K42" s="113" t="s">
        <v>1470</v>
      </c>
      <c r="L42" s="113" t="s">
        <v>1998</v>
      </c>
      <c r="M42" s="113" t="s">
        <v>2365</v>
      </c>
      <c r="N42" s="113" t="s">
        <v>2031</v>
      </c>
      <c r="O42" s="113" t="s">
        <v>2041</v>
      </c>
      <c r="P42" s="113" t="s">
        <v>956</v>
      </c>
      <c r="Q42" s="113" t="s">
        <v>1</v>
      </c>
      <c r="R42" s="113"/>
      <c r="S42" s="113" t="s">
        <v>1651</v>
      </c>
      <c r="T42"/>
    </row>
    <row r="43" spans="1:20" ht="22" customHeight="1">
      <c r="A43" s="113" t="s">
        <v>1728</v>
      </c>
      <c r="B43" s="113" t="s">
        <v>2340</v>
      </c>
      <c r="C43" s="113" t="s">
        <v>2049</v>
      </c>
      <c r="D43" s="113" t="s">
        <v>2128</v>
      </c>
      <c r="E43" s="113" t="s">
        <v>4696</v>
      </c>
      <c r="F43" s="113" t="s">
        <v>2084</v>
      </c>
      <c r="G43" s="113" t="s">
        <v>2371</v>
      </c>
      <c r="H43" s="113" t="s">
        <v>2372</v>
      </c>
      <c r="I43" s="145">
        <v>0.5</v>
      </c>
      <c r="J43" s="113" t="s">
        <v>2050</v>
      </c>
      <c r="K43" s="113" t="s">
        <v>1470</v>
      </c>
      <c r="L43" s="113" t="s">
        <v>2001</v>
      </c>
      <c r="M43" s="113" t="s">
        <v>2373</v>
      </c>
      <c r="N43" s="113" t="s">
        <v>2031</v>
      </c>
      <c r="O43" s="113" t="s">
        <v>2041</v>
      </c>
      <c r="P43" s="113" t="s">
        <v>956</v>
      </c>
      <c r="Q43" s="113" t="s">
        <v>1</v>
      </c>
      <c r="R43" s="113"/>
      <c r="S43" s="113" t="s">
        <v>1651</v>
      </c>
      <c r="T43"/>
    </row>
    <row r="44" spans="1:20" ht="22" customHeight="1">
      <c r="A44" s="113" t="s">
        <v>1514</v>
      </c>
      <c r="B44" s="113" t="s">
        <v>2354</v>
      </c>
      <c r="C44" s="113" t="s">
        <v>2049</v>
      </c>
      <c r="D44" s="113" t="s">
        <v>2129</v>
      </c>
      <c r="E44" s="113" t="s">
        <v>4705</v>
      </c>
      <c r="F44" s="113" t="s">
        <v>3482</v>
      </c>
      <c r="G44" s="113" t="s">
        <v>3483</v>
      </c>
      <c r="H44" s="113" t="s">
        <v>2355</v>
      </c>
      <c r="I44" s="145">
        <v>1.5</v>
      </c>
      <c r="J44" s="113" t="s">
        <v>2050</v>
      </c>
      <c r="K44" s="113" t="s">
        <v>1470</v>
      </c>
      <c r="L44" s="113" t="s">
        <v>1998</v>
      </c>
      <c r="M44" s="113" t="s">
        <v>3484</v>
      </c>
      <c r="N44" s="113" t="s">
        <v>2031</v>
      </c>
      <c r="O44" s="113" t="s">
        <v>2041</v>
      </c>
      <c r="P44" s="113" t="s">
        <v>956</v>
      </c>
      <c r="Q44" s="113" t="s">
        <v>1</v>
      </c>
      <c r="R44" s="113"/>
      <c r="S44" s="113" t="s">
        <v>1652</v>
      </c>
      <c r="T44"/>
    </row>
    <row r="45" spans="1:20" ht="22" customHeight="1">
      <c r="A45" s="113" t="s">
        <v>1885</v>
      </c>
      <c r="B45" s="113" t="s">
        <v>2354</v>
      </c>
      <c r="C45" s="113" t="s">
        <v>2049</v>
      </c>
      <c r="D45" s="113" t="s">
        <v>2129</v>
      </c>
      <c r="E45" s="113" t="s">
        <v>4705</v>
      </c>
      <c r="F45" s="113" t="s">
        <v>3485</v>
      </c>
      <c r="G45" s="113" t="s">
        <v>2356</v>
      </c>
      <c r="H45" s="113" t="s">
        <v>2357</v>
      </c>
      <c r="I45" s="145">
        <v>1.5</v>
      </c>
      <c r="J45" s="113" t="s">
        <v>2050</v>
      </c>
      <c r="K45" s="113" t="s">
        <v>1470</v>
      </c>
      <c r="L45" s="113" t="s">
        <v>1998</v>
      </c>
      <c r="M45" s="113" t="s">
        <v>2358</v>
      </c>
      <c r="N45" s="113" t="s">
        <v>2031</v>
      </c>
      <c r="O45" s="113" t="s">
        <v>2041</v>
      </c>
      <c r="P45" s="113" t="s">
        <v>956</v>
      </c>
      <c r="Q45" s="113" t="s">
        <v>1</v>
      </c>
      <c r="R45" s="113"/>
      <c r="S45" s="113" t="s">
        <v>1652</v>
      </c>
      <c r="T45"/>
    </row>
    <row r="46" spans="1:20" ht="22" customHeight="1">
      <c r="A46" s="113" t="s">
        <v>1729</v>
      </c>
      <c r="B46" s="113" t="s">
        <v>2340</v>
      </c>
      <c r="C46" s="113" t="s">
        <v>2049</v>
      </c>
      <c r="D46" s="113" t="s">
        <v>2129</v>
      </c>
      <c r="E46" s="113" t="s">
        <v>4706</v>
      </c>
      <c r="F46" s="113" t="s">
        <v>2374</v>
      </c>
      <c r="G46" s="113" t="s">
        <v>3486</v>
      </c>
      <c r="H46" s="113" t="s">
        <v>2375</v>
      </c>
      <c r="I46" s="145">
        <v>0.75</v>
      </c>
      <c r="J46" s="113" t="s">
        <v>2050</v>
      </c>
      <c r="K46" s="113" t="s">
        <v>1470</v>
      </c>
      <c r="L46" s="113" t="s">
        <v>2002</v>
      </c>
      <c r="M46" s="113" t="s">
        <v>2376</v>
      </c>
      <c r="N46" s="113" t="s">
        <v>2031</v>
      </c>
      <c r="O46" s="113" t="s">
        <v>2041</v>
      </c>
      <c r="P46" s="113" t="s">
        <v>956</v>
      </c>
      <c r="Q46" s="113" t="s">
        <v>1</v>
      </c>
      <c r="R46" s="113"/>
      <c r="S46" s="113" t="s">
        <v>1653</v>
      </c>
      <c r="T46"/>
    </row>
    <row r="47" spans="1:20" ht="22" customHeight="1">
      <c r="A47" s="113" t="s">
        <v>1730</v>
      </c>
      <c r="B47" s="113" t="s">
        <v>2340</v>
      </c>
      <c r="C47" s="113" t="s">
        <v>2049</v>
      </c>
      <c r="D47" s="113" t="s">
        <v>2131</v>
      </c>
      <c r="E47" s="113" t="s">
        <v>3300</v>
      </c>
      <c r="F47" s="113" t="s">
        <v>3487</v>
      </c>
      <c r="G47" s="113" t="s">
        <v>3488</v>
      </c>
      <c r="H47" s="113" t="s">
        <v>2377</v>
      </c>
      <c r="I47" s="145">
        <v>0.75</v>
      </c>
      <c r="J47" s="113" t="s">
        <v>2050</v>
      </c>
      <c r="K47" s="113" t="s">
        <v>1470</v>
      </c>
      <c r="L47" s="113" t="s">
        <v>2002</v>
      </c>
      <c r="M47" s="113" t="s">
        <v>2378</v>
      </c>
      <c r="N47" s="113" t="s">
        <v>2031</v>
      </c>
      <c r="O47" s="113" t="s">
        <v>2041</v>
      </c>
      <c r="P47" s="113" t="s">
        <v>956</v>
      </c>
      <c r="Q47" s="113" t="s">
        <v>1</v>
      </c>
      <c r="R47" s="113"/>
      <c r="S47" s="113" t="s">
        <v>1654</v>
      </c>
      <c r="T47"/>
    </row>
    <row r="48" spans="1:20" ht="22" customHeight="1">
      <c r="A48" s="113" t="s">
        <v>1731</v>
      </c>
      <c r="B48" s="113" t="s">
        <v>2340</v>
      </c>
      <c r="C48" s="113" t="s">
        <v>2049</v>
      </c>
      <c r="D48" s="113" t="s">
        <v>2131</v>
      </c>
      <c r="E48" s="113" t="s">
        <v>3301</v>
      </c>
      <c r="F48" s="113" t="s">
        <v>3489</v>
      </c>
      <c r="G48" s="113" t="s">
        <v>3324</v>
      </c>
      <c r="H48" s="113" t="s">
        <v>2379</v>
      </c>
      <c r="I48" s="145">
        <v>0.75</v>
      </c>
      <c r="J48" s="113" t="s">
        <v>2050</v>
      </c>
      <c r="K48" s="113" t="s">
        <v>1470</v>
      </c>
      <c r="L48" s="113" t="s">
        <v>2002</v>
      </c>
      <c r="M48" s="113" t="s">
        <v>2380</v>
      </c>
      <c r="N48" s="113" t="s">
        <v>2031</v>
      </c>
      <c r="O48" s="113" t="s">
        <v>2041</v>
      </c>
      <c r="P48" s="113" t="s">
        <v>956</v>
      </c>
      <c r="Q48" s="113" t="s">
        <v>1</v>
      </c>
      <c r="R48" s="113"/>
      <c r="S48" s="113" t="s">
        <v>1655</v>
      </c>
      <c r="T48"/>
    </row>
    <row r="49" spans="1:20" ht="22" customHeight="1">
      <c r="A49" s="113" t="s">
        <v>1739</v>
      </c>
      <c r="B49" s="113" t="s">
        <v>3242</v>
      </c>
      <c r="C49" s="113" t="s">
        <v>2049</v>
      </c>
      <c r="D49" s="113" t="s">
        <v>2131</v>
      </c>
      <c r="E49" s="113" t="s">
        <v>1877</v>
      </c>
      <c r="F49" s="113" t="s">
        <v>4035</v>
      </c>
      <c r="G49" s="113" t="s">
        <v>4036</v>
      </c>
      <c r="H49" s="113" t="s">
        <v>4037</v>
      </c>
      <c r="I49" s="145">
        <v>1</v>
      </c>
      <c r="J49" s="113" t="s">
        <v>2050</v>
      </c>
      <c r="K49" s="113" t="s">
        <v>2050</v>
      </c>
      <c r="L49" s="113" t="s">
        <v>2006</v>
      </c>
      <c r="M49" s="113" t="s">
        <v>4038</v>
      </c>
      <c r="N49" s="113" t="s">
        <v>2031</v>
      </c>
      <c r="O49" s="113" t="s">
        <v>2041</v>
      </c>
      <c r="P49" s="113" t="s">
        <v>956</v>
      </c>
      <c r="Q49" s="113" t="s">
        <v>1</v>
      </c>
      <c r="R49" s="113"/>
      <c r="S49" s="113" t="s">
        <v>1698</v>
      </c>
      <c r="T49"/>
    </row>
    <row r="50" spans="1:20" ht="22" customHeight="1">
      <c r="A50" s="113" t="s">
        <v>1887</v>
      </c>
      <c r="B50" s="113" t="s">
        <v>2354</v>
      </c>
      <c r="C50" s="113" t="s">
        <v>2049</v>
      </c>
      <c r="D50" s="113" t="s">
        <v>2131</v>
      </c>
      <c r="E50" s="113" t="s">
        <v>1880</v>
      </c>
      <c r="F50" s="113" t="s">
        <v>3970</v>
      </c>
      <c r="G50" s="113" t="s">
        <v>3971</v>
      </c>
      <c r="H50" s="113" t="s">
        <v>3972</v>
      </c>
      <c r="I50" s="145">
        <v>1.5</v>
      </c>
      <c r="J50" s="113" t="s">
        <v>2050</v>
      </c>
      <c r="K50" s="113" t="s">
        <v>2050</v>
      </c>
      <c r="L50" s="113" t="s">
        <v>2006</v>
      </c>
      <c r="M50" s="113" t="s">
        <v>3973</v>
      </c>
      <c r="N50" s="113" t="s">
        <v>2031</v>
      </c>
      <c r="O50" s="113" t="s">
        <v>2039</v>
      </c>
      <c r="P50" s="113" t="s">
        <v>956</v>
      </c>
      <c r="Q50" s="113" t="s">
        <v>1</v>
      </c>
      <c r="R50" s="113"/>
      <c r="S50" s="113" t="s">
        <v>1707</v>
      </c>
      <c r="T50"/>
    </row>
    <row r="51" spans="1:20" ht="22" customHeight="1">
      <c r="A51" s="146" t="s">
        <v>1732</v>
      </c>
      <c r="B51" s="146" t="s">
        <v>2340</v>
      </c>
      <c r="C51" s="146" t="s">
        <v>2049</v>
      </c>
      <c r="D51" s="147" t="s">
        <v>2132</v>
      </c>
      <c r="E51" s="147" t="s">
        <v>1929</v>
      </c>
      <c r="F51" s="147" t="s">
        <v>3490</v>
      </c>
      <c r="G51" s="147" t="s">
        <v>2801</v>
      </c>
      <c r="H51" s="147" t="s">
        <v>2802</v>
      </c>
      <c r="I51" s="150">
        <v>1</v>
      </c>
      <c r="J51" s="146" t="s">
        <v>2050</v>
      </c>
      <c r="K51" s="146" t="s">
        <v>2050</v>
      </c>
      <c r="L51" s="147" t="s">
        <v>2009</v>
      </c>
      <c r="M51" s="147" t="s">
        <v>2803</v>
      </c>
      <c r="N51" s="147" t="s">
        <v>2031</v>
      </c>
      <c r="O51" s="146" t="s">
        <v>2041</v>
      </c>
      <c r="P51" s="146" t="s">
        <v>956</v>
      </c>
      <c r="Q51" s="146" t="s">
        <v>1</v>
      </c>
      <c r="R51" s="146"/>
      <c r="S51" s="146" t="s">
        <v>1672</v>
      </c>
      <c r="T51"/>
    </row>
    <row r="52" spans="1:20" ht="22" customHeight="1">
      <c r="A52" s="113" t="s">
        <v>1481</v>
      </c>
      <c r="B52" s="113" t="s">
        <v>2412</v>
      </c>
      <c r="C52" s="113" t="s">
        <v>2048</v>
      </c>
      <c r="D52" s="113" t="s">
        <v>2132</v>
      </c>
      <c r="E52" s="113" t="s">
        <v>2178</v>
      </c>
      <c r="F52" s="113" t="s">
        <v>1914</v>
      </c>
      <c r="G52" s="113" t="s">
        <v>1946</v>
      </c>
      <c r="H52" s="113" t="s">
        <v>1947</v>
      </c>
      <c r="I52" s="145">
        <v>1</v>
      </c>
      <c r="J52" s="113" t="s">
        <v>2050</v>
      </c>
      <c r="K52" s="113" t="s">
        <v>2050</v>
      </c>
      <c r="L52" s="113" t="s">
        <v>2009</v>
      </c>
      <c r="M52" s="113" t="s">
        <v>2025</v>
      </c>
      <c r="N52" s="113" t="s">
        <v>2031</v>
      </c>
      <c r="O52" s="113" t="s">
        <v>2039</v>
      </c>
      <c r="P52" s="113" t="s">
        <v>956</v>
      </c>
      <c r="Q52" s="113" t="s">
        <v>1</v>
      </c>
      <c r="R52" s="113"/>
      <c r="S52" s="113" t="s">
        <v>2230</v>
      </c>
      <c r="T52"/>
    </row>
    <row r="53" spans="1:20" ht="22" customHeight="1">
      <c r="A53" s="146" t="s">
        <v>1733</v>
      </c>
      <c r="B53" s="146" t="s">
        <v>2340</v>
      </c>
      <c r="C53" s="146" t="s">
        <v>2049</v>
      </c>
      <c r="D53" s="147" t="s">
        <v>4688</v>
      </c>
      <c r="E53" s="147" t="s">
        <v>3302</v>
      </c>
      <c r="F53" s="147" t="s">
        <v>3491</v>
      </c>
      <c r="G53" s="147" t="s">
        <v>3982</v>
      </c>
      <c r="H53" s="147" t="s">
        <v>2804</v>
      </c>
      <c r="I53" s="150">
        <v>2</v>
      </c>
      <c r="J53" s="146" t="s">
        <v>2050</v>
      </c>
      <c r="K53" s="146" t="s">
        <v>2050</v>
      </c>
      <c r="L53" s="147" t="s">
        <v>1998</v>
      </c>
      <c r="M53" s="147" t="s">
        <v>2805</v>
      </c>
      <c r="N53" s="147" t="s">
        <v>2031</v>
      </c>
      <c r="O53" s="146" t="s">
        <v>2041</v>
      </c>
      <c r="P53" s="146" t="s">
        <v>956</v>
      </c>
      <c r="Q53" s="146" t="s">
        <v>1</v>
      </c>
      <c r="R53" s="146"/>
      <c r="S53" s="146" t="s">
        <v>1674</v>
      </c>
      <c r="T53"/>
    </row>
    <row r="54" spans="1:20" ht="22" customHeight="1">
      <c r="A54" s="113" t="s">
        <v>254</v>
      </c>
      <c r="B54" s="113" t="s">
        <v>2417</v>
      </c>
      <c r="C54" s="113" t="s">
        <v>2047</v>
      </c>
      <c r="D54" s="113" t="s">
        <v>4688</v>
      </c>
      <c r="E54" s="113" t="s">
        <v>1869</v>
      </c>
      <c r="F54" s="113" t="s">
        <v>3983</v>
      </c>
      <c r="G54" s="113" t="s">
        <v>3492</v>
      </c>
      <c r="H54" s="113" t="s">
        <v>2102</v>
      </c>
      <c r="I54" s="145">
        <v>3</v>
      </c>
      <c r="J54" s="113" t="s">
        <v>2050</v>
      </c>
      <c r="K54" s="113" t="s">
        <v>2050</v>
      </c>
      <c r="L54" s="113" t="s">
        <v>1999</v>
      </c>
      <c r="M54" s="113" t="s">
        <v>2016</v>
      </c>
      <c r="N54" s="113" t="s">
        <v>2031</v>
      </c>
      <c r="O54" s="113" t="s">
        <v>2041</v>
      </c>
      <c r="P54" s="113" t="s">
        <v>956</v>
      </c>
      <c r="Q54" s="113" t="s">
        <v>1</v>
      </c>
      <c r="R54" s="113"/>
      <c r="S54" s="113" t="s">
        <v>1675</v>
      </c>
      <c r="T54"/>
    </row>
    <row r="55" spans="1:20" ht="22" customHeight="1">
      <c r="A55" s="146" t="s">
        <v>1738</v>
      </c>
      <c r="B55" s="146" t="s">
        <v>2340</v>
      </c>
      <c r="C55" s="146" t="s">
        <v>2049</v>
      </c>
      <c r="D55" s="147" t="s">
        <v>4688</v>
      </c>
      <c r="E55" s="147" t="s">
        <v>4708</v>
      </c>
      <c r="F55" s="147" t="s">
        <v>2806</v>
      </c>
      <c r="G55" s="147" t="s">
        <v>3493</v>
      </c>
      <c r="H55" s="147" t="s">
        <v>2807</v>
      </c>
      <c r="I55" s="150">
        <v>1</v>
      </c>
      <c r="J55" s="146" t="s">
        <v>2050</v>
      </c>
      <c r="K55" s="146" t="s">
        <v>2050</v>
      </c>
      <c r="L55" s="147" t="s">
        <v>2009</v>
      </c>
      <c r="M55" s="147" t="s">
        <v>3494</v>
      </c>
      <c r="N55" s="147" t="s">
        <v>2031</v>
      </c>
      <c r="O55" s="146" t="s">
        <v>2041</v>
      </c>
      <c r="P55" s="146" t="s">
        <v>956</v>
      </c>
      <c r="Q55" s="146" t="s">
        <v>1</v>
      </c>
      <c r="R55" s="146"/>
      <c r="S55" s="146" t="s">
        <v>1696</v>
      </c>
      <c r="T55"/>
    </row>
    <row r="56" spans="1:20" ht="22" customHeight="1">
      <c r="A56" s="113" t="s">
        <v>1536</v>
      </c>
      <c r="B56" s="113" t="s">
        <v>3454</v>
      </c>
      <c r="C56" s="113" t="s">
        <v>2049</v>
      </c>
      <c r="D56" s="113" t="s">
        <v>4689</v>
      </c>
      <c r="E56" s="113" t="s">
        <v>4709</v>
      </c>
      <c r="F56" s="113" t="s">
        <v>3498</v>
      </c>
      <c r="G56" s="113" t="s">
        <v>3499</v>
      </c>
      <c r="H56" s="113" t="s">
        <v>1823</v>
      </c>
      <c r="I56" s="145">
        <v>1</v>
      </c>
      <c r="J56" s="113" t="s">
        <v>2050</v>
      </c>
      <c r="K56" s="113" t="s">
        <v>2050</v>
      </c>
      <c r="L56" s="113" t="s">
        <v>2000</v>
      </c>
      <c r="M56" s="113" t="s">
        <v>3500</v>
      </c>
      <c r="N56" s="113" t="s">
        <v>2031</v>
      </c>
      <c r="O56" s="113" t="s">
        <v>2038</v>
      </c>
      <c r="P56" s="113" t="s">
        <v>956</v>
      </c>
      <c r="Q56" s="113" t="s">
        <v>1</v>
      </c>
      <c r="R56" s="113"/>
      <c r="S56" s="113" t="s">
        <v>2250</v>
      </c>
      <c r="T56"/>
    </row>
    <row r="57" spans="1:20" ht="22" customHeight="1">
      <c r="A57" s="146" t="s">
        <v>1617</v>
      </c>
      <c r="B57" s="146" t="s">
        <v>2393</v>
      </c>
      <c r="C57" s="146" t="s">
        <v>2048</v>
      </c>
      <c r="D57" s="147" t="s">
        <v>4689</v>
      </c>
      <c r="E57" s="147" t="s">
        <v>4709</v>
      </c>
      <c r="F57" s="147" t="s">
        <v>1966</v>
      </c>
      <c r="G57" s="147" t="s">
        <v>3501</v>
      </c>
      <c r="H57" s="147" t="s">
        <v>1753</v>
      </c>
      <c r="I57" s="150">
        <v>2</v>
      </c>
      <c r="J57" s="146" t="s">
        <v>2050</v>
      </c>
      <c r="K57" s="146" t="s">
        <v>2050</v>
      </c>
      <c r="L57" s="147" t="s">
        <v>1998</v>
      </c>
      <c r="M57" s="147" t="s">
        <v>3452</v>
      </c>
      <c r="N57" s="147" t="s">
        <v>2031</v>
      </c>
      <c r="O57" s="146" t="s">
        <v>2040</v>
      </c>
      <c r="P57" s="146" t="s">
        <v>956</v>
      </c>
      <c r="Q57" s="146" t="s">
        <v>1</v>
      </c>
      <c r="R57" s="146"/>
      <c r="S57" s="146" t="s">
        <v>2250</v>
      </c>
      <c r="T57"/>
    </row>
    <row r="58" spans="1:20" ht="22" customHeight="1">
      <c r="A58" s="146" t="s">
        <v>1618</v>
      </c>
      <c r="B58" s="146" t="s">
        <v>2393</v>
      </c>
      <c r="C58" s="146" t="s">
        <v>2048</v>
      </c>
      <c r="D58" s="147" t="s">
        <v>4689</v>
      </c>
      <c r="E58" s="148" t="s">
        <v>4709</v>
      </c>
      <c r="F58" s="147" t="s">
        <v>1967</v>
      </c>
      <c r="G58" s="147" t="s">
        <v>1754</v>
      </c>
      <c r="H58" s="147" t="s">
        <v>1755</v>
      </c>
      <c r="I58" s="151">
        <v>1</v>
      </c>
      <c r="J58" s="152" t="s">
        <v>2050</v>
      </c>
      <c r="K58" s="152" t="s">
        <v>2050</v>
      </c>
      <c r="L58" s="148" t="s">
        <v>1998</v>
      </c>
      <c r="M58" s="148" t="s">
        <v>3452</v>
      </c>
      <c r="N58" s="147" t="s">
        <v>2031</v>
      </c>
      <c r="O58" s="146" t="s">
        <v>2040</v>
      </c>
      <c r="P58" s="146" t="s">
        <v>956</v>
      </c>
      <c r="Q58" s="146" t="s">
        <v>1</v>
      </c>
      <c r="R58" s="146"/>
      <c r="S58" s="146" t="s">
        <v>2250</v>
      </c>
      <c r="T58"/>
    </row>
    <row r="59" spans="1:20" ht="22" customHeight="1">
      <c r="A59" s="146" t="s">
        <v>1734</v>
      </c>
      <c r="B59" s="146" t="s">
        <v>2340</v>
      </c>
      <c r="C59" s="146" t="s">
        <v>2049</v>
      </c>
      <c r="D59" s="147" t="s">
        <v>4689</v>
      </c>
      <c r="E59" s="148" t="s">
        <v>3304</v>
      </c>
      <c r="F59" s="147" t="s">
        <v>3506</v>
      </c>
      <c r="G59" s="147" t="s">
        <v>4066</v>
      </c>
      <c r="H59" s="147" t="s">
        <v>2815</v>
      </c>
      <c r="I59" s="151">
        <v>1.5</v>
      </c>
      <c r="J59" s="152" t="s">
        <v>2050</v>
      </c>
      <c r="K59" s="152" t="s">
        <v>2050</v>
      </c>
      <c r="L59" s="148" t="s">
        <v>1998</v>
      </c>
      <c r="M59" s="148" t="s">
        <v>2816</v>
      </c>
      <c r="N59" s="147" t="s">
        <v>2031</v>
      </c>
      <c r="O59" s="146" t="s">
        <v>2041</v>
      </c>
      <c r="P59" s="146" t="s">
        <v>956</v>
      </c>
      <c r="Q59" s="146" t="s">
        <v>1</v>
      </c>
      <c r="R59" s="146"/>
      <c r="S59" s="146" t="s">
        <v>1687</v>
      </c>
      <c r="T59"/>
    </row>
    <row r="60" spans="1:20" ht="22" customHeight="1">
      <c r="A60" s="113" t="s">
        <v>1504</v>
      </c>
      <c r="B60" s="113" t="s">
        <v>3243</v>
      </c>
      <c r="C60" s="113" t="s">
        <v>2049</v>
      </c>
      <c r="D60" s="113" t="s">
        <v>2134</v>
      </c>
      <c r="E60" s="113" t="s">
        <v>1862</v>
      </c>
      <c r="F60" s="113" t="s">
        <v>2078</v>
      </c>
      <c r="G60" s="113" t="s">
        <v>1788</v>
      </c>
      <c r="H60" s="113" t="s">
        <v>1789</v>
      </c>
      <c r="I60" s="145">
        <v>2</v>
      </c>
      <c r="J60" s="113" t="s">
        <v>2113</v>
      </c>
      <c r="K60" s="113" t="s">
        <v>2113</v>
      </c>
      <c r="L60" s="113" t="s">
        <v>2003</v>
      </c>
      <c r="M60" s="113" t="s">
        <v>3495</v>
      </c>
      <c r="N60" s="113" t="s">
        <v>2031</v>
      </c>
      <c r="O60" s="113" t="s">
        <v>2041</v>
      </c>
      <c r="P60" s="113" t="s">
        <v>956</v>
      </c>
      <c r="Q60" s="113" t="s">
        <v>1</v>
      </c>
      <c r="R60" s="113"/>
      <c r="S60" s="113" t="s">
        <v>1660</v>
      </c>
      <c r="T60"/>
    </row>
    <row r="61" spans="1:20" ht="22" customHeight="1">
      <c r="A61" s="146" t="s">
        <v>1886</v>
      </c>
      <c r="B61" s="146" t="s">
        <v>2354</v>
      </c>
      <c r="C61" s="146" t="s">
        <v>2047</v>
      </c>
      <c r="D61" s="147" t="s">
        <v>2134</v>
      </c>
      <c r="E61" s="147" t="s">
        <v>1862</v>
      </c>
      <c r="F61" s="147" t="s">
        <v>3496</v>
      </c>
      <c r="G61" s="147" t="s">
        <v>3497</v>
      </c>
      <c r="H61" s="147" t="s">
        <v>2405</v>
      </c>
      <c r="I61" s="150">
        <v>1</v>
      </c>
      <c r="J61" s="146" t="s">
        <v>2051</v>
      </c>
      <c r="K61" s="146" t="s">
        <v>1470</v>
      </c>
      <c r="L61" s="147" t="s">
        <v>2005</v>
      </c>
      <c r="M61" s="147" t="s">
        <v>2406</v>
      </c>
      <c r="N61" s="147" t="s">
        <v>2031</v>
      </c>
      <c r="O61" s="146" t="s">
        <v>2041</v>
      </c>
      <c r="P61" s="146" t="s">
        <v>956</v>
      </c>
      <c r="Q61" s="146" t="s">
        <v>1</v>
      </c>
      <c r="R61" s="146"/>
      <c r="S61" s="146" t="s">
        <v>1660</v>
      </c>
      <c r="T61"/>
    </row>
    <row r="62" spans="1:20" ht="22" customHeight="1">
      <c r="A62" s="113" t="s">
        <v>2056</v>
      </c>
      <c r="B62" s="113" t="s">
        <v>2340</v>
      </c>
      <c r="C62" s="113" t="s">
        <v>2049</v>
      </c>
      <c r="D62" s="113" t="s">
        <v>2134</v>
      </c>
      <c r="E62" s="113" t="s">
        <v>3303</v>
      </c>
      <c r="F62" s="113" t="s">
        <v>3502</v>
      </c>
      <c r="G62" s="113" t="s">
        <v>3503</v>
      </c>
      <c r="H62" s="113" t="s">
        <v>2407</v>
      </c>
      <c r="I62" s="145">
        <v>0.5</v>
      </c>
      <c r="J62" s="113" t="s">
        <v>2050</v>
      </c>
      <c r="K62" s="113" t="s">
        <v>2050</v>
      </c>
      <c r="L62" s="113" t="s">
        <v>2002</v>
      </c>
      <c r="M62" s="113" t="s">
        <v>3504</v>
      </c>
      <c r="N62" s="113" t="s">
        <v>2031</v>
      </c>
      <c r="O62" s="113" t="s">
        <v>2041</v>
      </c>
      <c r="P62" s="113" t="s">
        <v>956</v>
      </c>
      <c r="Q62" s="113" t="s">
        <v>1</v>
      </c>
      <c r="R62" s="113"/>
      <c r="S62" s="113" t="s">
        <v>1685</v>
      </c>
      <c r="T62"/>
    </row>
    <row r="63" spans="1:20" ht="22" customHeight="1">
      <c r="A63" s="146" t="s">
        <v>255</v>
      </c>
      <c r="B63" s="146" t="s">
        <v>2417</v>
      </c>
      <c r="C63" s="146" t="s">
        <v>2047</v>
      </c>
      <c r="D63" s="147" t="s">
        <v>2134</v>
      </c>
      <c r="E63" s="147" t="s">
        <v>2169</v>
      </c>
      <c r="F63" s="147" t="s">
        <v>1902</v>
      </c>
      <c r="G63" s="147" t="s">
        <v>1837</v>
      </c>
      <c r="H63" s="147" t="s">
        <v>3505</v>
      </c>
      <c r="I63" s="150">
        <v>1</v>
      </c>
      <c r="J63" s="146" t="s">
        <v>2050</v>
      </c>
      <c r="K63" s="146" t="s">
        <v>2050</v>
      </c>
      <c r="L63" s="147" t="s">
        <v>2010</v>
      </c>
      <c r="M63" s="147" t="s">
        <v>2114</v>
      </c>
      <c r="N63" s="147" t="s">
        <v>2119</v>
      </c>
      <c r="O63" s="146" t="s">
        <v>2041</v>
      </c>
      <c r="P63" s="146" t="s">
        <v>956</v>
      </c>
      <c r="Q63" s="146" t="s">
        <v>1</v>
      </c>
      <c r="R63" s="146"/>
      <c r="S63" s="146" t="s">
        <v>1686</v>
      </c>
      <c r="T63"/>
    </row>
    <row r="64" spans="1:20" ht="22" customHeight="1">
      <c r="A64" s="146" t="s">
        <v>1537</v>
      </c>
      <c r="B64" s="146" t="s">
        <v>3454</v>
      </c>
      <c r="C64" s="146" t="s">
        <v>2049</v>
      </c>
      <c r="D64" s="147" t="s">
        <v>4690</v>
      </c>
      <c r="E64" s="147" t="s">
        <v>2206</v>
      </c>
      <c r="F64" s="147" t="s">
        <v>1609</v>
      </c>
      <c r="G64" s="147" t="s">
        <v>1824</v>
      </c>
      <c r="H64" s="147" t="s">
        <v>1825</v>
      </c>
      <c r="I64" s="150">
        <v>1</v>
      </c>
      <c r="J64" s="146" t="s">
        <v>2050</v>
      </c>
      <c r="K64" s="146" t="s">
        <v>2050</v>
      </c>
      <c r="L64" s="147" t="s">
        <v>2000</v>
      </c>
      <c r="M64" s="147" t="s">
        <v>3500</v>
      </c>
      <c r="N64" s="147" t="s">
        <v>2031</v>
      </c>
      <c r="O64" s="146" t="s">
        <v>2038</v>
      </c>
      <c r="P64" s="146" t="s">
        <v>956</v>
      </c>
      <c r="Q64" s="146" t="s">
        <v>1</v>
      </c>
      <c r="R64" s="146"/>
      <c r="S64" s="146" t="s">
        <v>2255</v>
      </c>
      <c r="T64"/>
    </row>
    <row r="65" spans="1:20" ht="22" customHeight="1">
      <c r="A65" s="113" t="s">
        <v>4030</v>
      </c>
      <c r="B65" s="113" t="s">
        <v>2359</v>
      </c>
      <c r="C65" s="113" t="s">
        <v>2049</v>
      </c>
      <c r="D65" s="113" t="s">
        <v>4690</v>
      </c>
      <c r="E65" s="113" t="s">
        <v>4714</v>
      </c>
      <c r="F65" s="113" t="s">
        <v>4031</v>
      </c>
      <c r="G65" s="113" t="s">
        <v>4032</v>
      </c>
      <c r="H65" s="113" t="s">
        <v>4033</v>
      </c>
      <c r="I65" s="145">
        <v>2</v>
      </c>
      <c r="J65" s="113" t="s">
        <v>2050</v>
      </c>
      <c r="K65" s="113" t="s">
        <v>2050</v>
      </c>
      <c r="L65" s="113" t="s">
        <v>2002</v>
      </c>
      <c r="M65" s="113" t="s">
        <v>4034</v>
      </c>
      <c r="N65" s="113" t="s">
        <v>2031</v>
      </c>
      <c r="O65" s="113" t="s">
        <v>2041</v>
      </c>
      <c r="P65" s="113" t="s">
        <v>956</v>
      </c>
      <c r="Q65" s="113" t="s">
        <v>1</v>
      </c>
      <c r="R65" s="113"/>
      <c r="S65" s="113" t="s">
        <v>4010</v>
      </c>
      <c r="T65"/>
    </row>
    <row r="66" spans="1:20" ht="22" customHeight="1">
      <c r="A66" s="113" t="s">
        <v>1735</v>
      </c>
      <c r="B66" s="113" t="s">
        <v>2340</v>
      </c>
      <c r="C66" s="113" t="s">
        <v>2049</v>
      </c>
      <c r="D66" s="113" t="s">
        <v>1848</v>
      </c>
      <c r="E66" s="113" t="s">
        <v>1848</v>
      </c>
      <c r="F66" s="113" t="s">
        <v>2381</v>
      </c>
      <c r="G66" s="113" t="s">
        <v>3984</v>
      </c>
      <c r="H66" s="113" t="s">
        <v>2382</v>
      </c>
      <c r="I66" s="145">
        <v>2</v>
      </c>
      <c r="J66" s="113" t="s">
        <v>2050</v>
      </c>
      <c r="K66" s="113" t="s">
        <v>2050</v>
      </c>
      <c r="L66" s="113" t="s">
        <v>1998</v>
      </c>
      <c r="M66" s="113" t="s">
        <v>2383</v>
      </c>
      <c r="N66" s="113" t="s">
        <v>2031</v>
      </c>
      <c r="O66" s="113" t="s">
        <v>2041</v>
      </c>
      <c r="P66" s="113" t="s">
        <v>956</v>
      </c>
      <c r="Q66" s="113" t="s">
        <v>1</v>
      </c>
      <c r="R66" s="113"/>
      <c r="S66" s="113" t="s">
        <v>1689</v>
      </c>
      <c r="T66"/>
    </row>
    <row r="67" spans="1:20" ht="22" customHeight="1">
      <c r="A67" s="113" t="s">
        <v>1519</v>
      </c>
      <c r="B67" s="113" t="s">
        <v>2359</v>
      </c>
      <c r="C67" s="113" t="s">
        <v>2049</v>
      </c>
      <c r="D67" s="113" t="s">
        <v>1848</v>
      </c>
      <c r="E67" s="113" t="s">
        <v>1848</v>
      </c>
      <c r="F67" s="113" t="s">
        <v>2389</v>
      </c>
      <c r="G67" s="113" t="s">
        <v>2390</v>
      </c>
      <c r="H67" s="113" t="s">
        <v>2391</v>
      </c>
      <c r="I67" s="145">
        <v>3</v>
      </c>
      <c r="J67" s="113" t="s">
        <v>2050</v>
      </c>
      <c r="K67" s="113" t="s">
        <v>2050</v>
      </c>
      <c r="L67" s="113" t="s">
        <v>1998</v>
      </c>
      <c r="M67" s="113" t="s">
        <v>2392</v>
      </c>
      <c r="N67" s="113" t="s">
        <v>2031</v>
      </c>
      <c r="O67" s="113" t="s">
        <v>2041</v>
      </c>
      <c r="P67" s="113" t="s">
        <v>956</v>
      </c>
      <c r="Q67" s="113" t="s">
        <v>1</v>
      </c>
      <c r="R67" s="113"/>
      <c r="S67" s="113" t="s">
        <v>1689</v>
      </c>
      <c r="T67"/>
    </row>
    <row r="68" spans="1:20" ht="22" customHeight="1">
      <c r="A68" s="113" t="s">
        <v>1614</v>
      </c>
      <c r="B68" s="113" t="s">
        <v>2393</v>
      </c>
      <c r="C68" s="113" t="s">
        <v>2048</v>
      </c>
      <c r="D68" s="113" t="s">
        <v>1848</v>
      </c>
      <c r="E68" s="113" t="s">
        <v>1848</v>
      </c>
      <c r="F68" s="113" t="s">
        <v>2394</v>
      </c>
      <c r="G68" s="113" t="s">
        <v>2395</v>
      </c>
      <c r="H68" s="113" t="s">
        <v>2396</v>
      </c>
      <c r="I68" s="145">
        <v>2</v>
      </c>
      <c r="J68" s="113" t="s">
        <v>2050</v>
      </c>
      <c r="K68" s="113" t="s">
        <v>1470</v>
      </c>
      <c r="L68" s="113" t="s">
        <v>1998</v>
      </c>
      <c r="M68" s="113" t="s">
        <v>2397</v>
      </c>
      <c r="N68" s="113" t="s">
        <v>2031</v>
      </c>
      <c r="O68" s="113" t="s">
        <v>2041</v>
      </c>
      <c r="P68" s="113" t="s">
        <v>956</v>
      </c>
      <c r="Q68" s="113" t="s">
        <v>1</v>
      </c>
      <c r="R68" s="113"/>
      <c r="S68" s="113" t="s">
        <v>1689</v>
      </c>
      <c r="T68"/>
    </row>
    <row r="69" spans="1:20" ht="22" customHeight="1">
      <c r="A69" s="113" t="s">
        <v>1736</v>
      </c>
      <c r="B69" s="113" t="s">
        <v>2340</v>
      </c>
      <c r="C69" s="113" t="s">
        <v>2049</v>
      </c>
      <c r="D69" s="113" t="s">
        <v>1848</v>
      </c>
      <c r="E69" s="113" t="s">
        <v>3305</v>
      </c>
      <c r="F69" s="113" t="s">
        <v>3507</v>
      </c>
      <c r="G69" s="113" t="s">
        <v>3350</v>
      </c>
      <c r="H69" s="113" t="s">
        <v>2384</v>
      </c>
      <c r="I69" s="145">
        <v>2</v>
      </c>
      <c r="J69" s="113" t="s">
        <v>2050</v>
      </c>
      <c r="K69" s="113" t="s">
        <v>1470</v>
      </c>
      <c r="L69" s="113" t="s">
        <v>1998</v>
      </c>
      <c r="M69" s="113" t="s">
        <v>3508</v>
      </c>
      <c r="N69" s="113" t="s">
        <v>2031</v>
      </c>
      <c r="O69" s="113" t="s">
        <v>2041</v>
      </c>
      <c r="P69" s="113" t="s">
        <v>956</v>
      </c>
      <c r="Q69" s="113" t="s">
        <v>1</v>
      </c>
      <c r="R69" s="113"/>
      <c r="S69" s="113" t="s">
        <v>1690</v>
      </c>
      <c r="T69"/>
    </row>
    <row r="70" spans="1:20" ht="22" customHeight="1">
      <c r="A70" s="146" t="s">
        <v>1737</v>
      </c>
      <c r="B70" s="146" t="s">
        <v>2340</v>
      </c>
      <c r="C70" s="146" t="s">
        <v>2049</v>
      </c>
      <c r="D70" s="147" t="s">
        <v>1848</v>
      </c>
      <c r="E70" s="147" t="s">
        <v>1873</v>
      </c>
      <c r="F70" s="147" t="s">
        <v>2385</v>
      </c>
      <c r="G70" s="147" t="s">
        <v>2386</v>
      </c>
      <c r="H70" s="147" t="s">
        <v>2387</v>
      </c>
      <c r="I70" s="150">
        <v>1</v>
      </c>
      <c r="J70" s="146" t="s">
        <v>2050</v>
      </c>
      <c r="K70" s="146" t="s">
        <v>1470</v>
      </c>
      <c r="L70" s="147" t="s">
        <v>2001</v>
      </c>
      <c r="M70" s="147" t="s">
        <v>2388</v>
      </c>
      <c r="N70" s="147" t="s">
        <v>2031</v>
      </c>
      <c r="O70" s="146" t="s">
        <v>2041</v>
      </c>
      <c r="P70" s="146" t="s">
        <v>956</v>
      </c>
      <c r="Q70" s="146" t="s">
        <v>1</v>
      </c>
      <c r="R70" s="146"/>
      <c r="S70" s="146" t="s">
        <v>1691</v>
      </c>
      <c r="T70"/>
    </row>
    <row r="71" spans="1:20" ht="22" customHeight="1">
      <c r="A71" s="146" t="s">
        <v>1521</v>
      </c>
      <c r="B71" s="146" t="s">
        <v>3244</v>
      </c>
      <c r="C71" s="146" t="s">
        <v>2049</v>
      </c>
      <c r="D71" s="147" t="s">
        <v>2135</v>
      </c>
      <c r="E71" s="147" t="s">
        <v>4717</v>
      </c>
      <c r="F71" s="147" t="s">
        <v>2086</v>
      </c>
      <c r="G71" s="147" t="s">
        <v>2431</v>
      </c>
      <c r="H71" s="147" t="s">
        <v>2111</v>
      </c>
      <c r="I71" s="150">
        <v>1</v>
      </c>
      <c r="J71" s="146" t="s">
        <v>2050</v>
      </c>
      <c r="K71" s="146" t="s">
        <v>2050</v>
      </c>
      <c r="L71" s="147" t="s">
        <v>2004</v>
      </c>
      <c r="M71" s="147" t="s">
        <v>2015</v>
      </c>
      <c r="N71" s="147" t="s">
        <v>2031</v>
      </c>
      <c r="O71" s="146" t="s">
        <v>2039</v>
      </c>
      <c r="P71" s="146" t="s">
        <v>956</v>
      </c>
      <c r="Q71" s="146" t="s">
        <v>1</v>
      </c>
      <c r="R71" s="146"/>
      <c r="S71" s="146" t="s">
        <v>2238</v>
      </c>
      <c r="T71"/>
    </row>
    <row r="72" spans="1:20" ht="22" customHeight="1">
      <c r="A72" s="146" t="s">
        <v>1522</v>
      </c>
      <c r="B72" s="146" t="s">
        <v>3244</v>
      </c>
      <c r="C72" s="146" t="s">
        <v>2049</v>
      </c>
      <c r="D72" s="147" t="s">
        <v>2135</v>
      </c>
      <c r="E72" s="147" t="s">
        <v>4717</v>
      </c>
      <c r="F72" s="147" t="s">
        <v>2087</v>
      </c>
      <c r="G72" s="147" t="s">
        <v>3985</v>
      </c>
      <c r="H72" s="147" t="s">
        <v>2112</v>
      </c>
      <c r="I72" s="150">
        <v>1</v>
      </c>
      <c r="J72" s="146" t="s">
        <v>2050</v>
      </c>
      <c r="K72" s="146" t="s">
        <v>2050</v>
      </c>
      <c r="L72" s="147" t="s">
        <v>2004</v>
      </c>
      <c r="M72" s="147" t="s">
        <v>3986</v>
      </c>
      <c r="N72" s="147" t="s">
        <v>2031</v>
      </c>
      <c r="O72" s="146" t="s">
        <v>2039</v>
      </c>
      <c r="P72" s="146" t="s">
        <v>1521</v>
      </c>
      <c r="Q72" s="146" t="s">
        <v>1</v>
      </c>
      <c r="R72" s="146"/>
      <c r="S72" s="146" t="s">
        <v>2238</v>
      </c>
      <c r="T72"/>
    </row>
    <row r="73" spans="1:20" ht="22" customHeight="1">
      <c r="A73" s="146" t="s">
        <v>1473</v>
      </c>
      <c r="B73" s="146" t="s">
        <v>2417</v>
      </c>
      <c r="C73" s="146" t="s">
        <v>2047</v>
      </c>
      <c r="D73" s="147" t="s">
        <v>2135</v>
      </c>
      <c r="E73" s="147" t="s">
        <v>4717</v>
      </c>
      <c r="F73" s="147" t="s">
        <v>1901</v>
      </c>
      <c r="G73" s="147" t="s">
        <v>1907</v>
      </c>
      <c r="H73" s="147" t="s">
        <v>1908</v>
      </c>
      <c r="I73" s="150">
        <v>1</v>
      </c>
      <c r="J73" s="146" t="s">
        <v>2050</v>
      </c>
      <c r="K73" s="146" t="s">
        <v>2050</v>
      </c>
      <c r="L73" s="147" t="s">
        <v>2004</v>
      </c>
      <c r="M73" s="147" t="s">
        <v>2115</v>
      </c>
      <c r="N73" s="147" t="s">
        <v>2119</v>
      </c>
      <c r="O73" s="146" t="s">
        <v>2039</v>
      </c>
      <c r="P73" s="146" t="s">
        <v>956</v>
      </c>
      <c r="Q73" s="146" t="s">
        <v>1</v>
      </c>
      <c r="R73" s="146"/>
      <c r="S73" s="146" t="s">
        <v>2238</v>
      </c>
      <c r="T73"/>
    </row>
    <row r="74" spans="1:20" ht="22" customHeight="1">
      <c r="A74" s="146" t="s">
        <v>1515</v>
      </c>
      <c r="B74" s="146" t="s">
        <v>2354</v>
      </c>
      <c r="C74" s="146" t="s">
        <v>2049</v>
      </c>
      <c r="D74" s="147" t="s">
        <v>2135</v>
      </c>
      <c r="E74" s="147" t="s">
        <v>4717</v>
      </c>
      <c r="F74" s="147" t="s">
        <v>1884</v>
      </c>
      <c r="G74" s="147" t="s">
        <v>1893</v>
      </c>
      <c r="H74" s="147" t="s">
        <v>3509</v>
      </c>
      <c r="I74" s="150">
        <v>2</v>
      </c>
      <c r="J74" s="146" t="s">
        <v>2050</v>
      </c>
      <c r="K74" s="146" t="s">
        <v>2050</v>
      </c>
      <c r="L74" s="147" t="s">
        <v>2007</v>
      </c>
      <c r="M74" s="147" t="s">
        <v>2118</v>
      </c>
      <c r="N74" s="147" t="s">
        <v>2119</v>
      </c>
      <c r="O74" s="146" t="s">
        <v>2039</v>
      </c>
      <c r="P74" s="146"/>
      <c r="Q74" s="146" t="s">
        <v>1</v>
      </c>
      <c r="R74" s="146"/>
      <c r="S74" s="146" t="s">
        <v>2238</v>
      </c>
      <c r="T74"/>
    </row>
    <row r="75" spans="1:20" ht="22" customHeight="1">
      <c r="A75" s="146" t="s">
        <v>1543</v>
      </c>
      <c r="B75" s="146" t="s">
        <v>3249</v>
      </c>
      <c r="C75" s="146" t="s">
        <v>2048</v>
      </c>
      <c r="D75" s="147" t="s">
        <v>2135</v>
      </c>
      <c r="E75" s="147" t="s">
        <v>2210</v>
      </c>
      <c r="F75" s="147" t="s">
        <v>3966</v>
      </c>
      <c r="G75" s="147" t="s">
        <v>3967</v>
      </c>
      <c r="H75" s="147" t="s">
        <v>3968</v>
      </c>
      <c r="I75" s="150">
        <v>1</v>
      </c>
      <c r="J75" s="146" t="s">
        <v>2050</v>
      </c>
      <c r="K75" s="146" t="s">
        <v>2050</v>
      </c>
      <c r="L75" s="147" t="s">
        <v>2006</v>
      </c>
      <c r="M75" s="147" t="s">
        <v>3969</v>
      </c>
      <c r="N75" s="147" t="s">
        <v>2031</v>
      </c>
      <c r="O75" s="146" t="s">
        <v>2039</v>
      </c>
      <c r="P75" s="146" t="s">
        <v>956</v>
      </c>
      <c r="Q75" s="146" t="s">
        <v>1</v>
      </c>
      <c r="R75" s="146"/>
      <c r="S75" s="146" t="s">
        <v>2259</v>
      </c>
      <c r="T75"/>
    </row>
    <row r="76" spans="1:20" ht="22" customHeight="1">
      <c r="A76" s="146" t="s">
        <v>1740</v>
      </c>
      <c r="B76" s="146" t="s">
        <v>3242</v>
      </c>
      <c r="C76" s="146" t="s">
        <v>2049</v>
      </c>
      <c r="D76" s="147" t="s">
        <v>2138</v>
      </c>
      <c r="E76" s="148" t="s">
        <v>4718</v>
      </c>
      <c r="F76" s="147" t="s">
        <v>1741</v>
      </c>
      <c r="G76" s="147" t="s">
        <v>3510</v>
      </c>
      <c r="H76" s="147" t="s">
        <v>2107</v>
      </c>
      <c r="I76" s="151">
        <v>0.5</v>
      </c>
      <c r="J76" s="152" t="s">
        <v>2050</v>
      </c>
      <c r="K76" s="152" t="s">
        <v>2050</v>
      </c>
      <c r="L76" s="148" t="s">
        <v>2002</v>
      </c>
      <c r="M76" s="148" t="s">
        <v>2017</v>
      </c>
      <c r="N76" s="147" t="s">
        <v>2031</v>
      </c>
      <c r="O76" s="146" t="s">
        <v>2039</v>
      </c>
      <c r="P76" s="146" t="s">
        <v>956</v>
      </c>
      <c r="Q76" s="146" t="s">
        <v>1</v>
      </c>
      <c r="R76" s="146" t="s">
        <v>1702</v>
      </c>
      <c r="S76" s="146" t="s">
        <v>1701</v>
      </c>
      <c r="T76"/>
    </row>
    <row r="77" spans="1:20" ht="22" customHeight="1">
      <c r="A77" s="146" t="s">
        <v>1619</v>
      </c>
      <c r="B77" s="146" t="s">
        <v>2393</v>
      </c>
      <c r="C77" s="146" t="s">
        <v>2048</v>
      </c>
      <c r="D77" s="147" t="s">
        <v>2138</v>
      </c>
      <c r="E77" s="147" t="s">
        <v>4718</v>
      </c>
      <c r="F77" s="147" t="s">
        <v>1968</v>
      </c>
      <c r="G77" s="147" t="s">
        <v>1756</v>
      </c>
      <c r="H77" s="147" t="s">
        <v>1757</v>
      </c>
      <c r="I77" s="150">
        <v>2</v>
      </c>
      <c r="J77" s="146" t="s">
        <v>2050</v>
      </c>
      <c r="K77" s="146" t="s">
        <v>2050</v>
      </c>
      <c r="L77" s="147" t="s">
        <v>1998</v>
      </c>
      <c r="M77" s="147" t="s">
        <v>3452</v>
      </c>
      <c r="N77" s="147" t="s">
        <v>2031</v>
      </c>
      <c r="O77" s="146" t="s">
        <v>2040</v>
      </c>
      <c r="P77" s="146" t="s">
        <v>956</v>
      </c>
      <c r="Q77" s="146" t="s">
        <v>1</v>
      </c>
      <c r="R77" s="146"/>
      <c r="S77" s="146" t="s">
        <v>1701</v>
      </c>
      <c r="T77"/>
    </row>
    <row r="78" spans="1:20" ht="22" customHeight="1">
      <c r="A78" s="146" t="s">
        <v>1742</v>
      </c>
      <c r="B78" s="146" t="s">
        <v>3242</v>
      </c>
      <c r="C78" s="146" t="s">
        <v>2049</v>
      </c>
      <c r="D78" s="147" t="s">
        <v>2138</v>
      </c>
      <c r="E78" s="147" t="s">
        <v>4719</v>
      </c>
      <c r="F78" s="147" t="s">
        <v>1743</v>
      </c>
      <c r="G78" s="147" t="s">
        <v>1772</v>
      </c>
      <c r="H78" s="147" t="s">
        <v>2108</v>
      </c>
      <c r="I78" s="150">
        <v>0.5</v>
      </c>
      <c r="J78" s="146" t="s">
        <v>2050</v>
      </c>
      <c r="K78" s="146" t="s">
        <v>2050</v>
      </c>
      <c r="L78" s="147" t="s">
        <v>2002</v>
      </c>
      <c r="M78" s="147" t="s">
        <v>2017</v>
      </c>
      <c r="N78" s="147" t="s">
        <v>2031</v>
      </c>
      <c r="O78" s="146" t="s">
        <v>2039</v>
      </c>
      <c r="P78" s="146" t="s">
        <v>956</v>
      </c>
      <c r="Q78" s="146" t="s">
        <v>1</v>
      </c>
      <c r="R78" s="146" t="s">
        <v>1704</v>
      </c>
      <c r="S78" s="146" t="s">
        <v>1703</v>
      </c>
      <c r="T78"/>
    </row>
    <row r="79" spans="1:20" ht="22" customHeight="1">
      <c r="A79" s="146" t="s">
        <v>1744</v>
      </c>
      <c r="B79" s="146" t="s">
        <v>3242</v>
      </c>
      <c r="C79" s="146" t="s">
        <v>2049</v>
      </c>
      <c r="D79" s="147" t="s">
        <v>2138</v>
      </c>
      <c r="E79" s="147" t="s">
        <v>4720</v>
      </c>
      <c r="F79" s="147" t="s">
        <v>1745</v>
      </c>
      <c r="G79" s="147" t="s">
        <v>1773</v>
      </c>
      <c r="H79" s="147" t="s">
        <v>2109</v>
      </c>
      <c r="I79" s="150">
        <v>0.5</v>
      </c>
      <c r="J79" s="146" t="s">
        <v>2050</v>
      </c>
      <c r="K79" s="146" t="s">
        <v>2050</v>
      </c>
      <c r="L79" s="147" t="s">
        <v>2002</v>
      </c>
      <c r="M79" s="147" t="s">
        <v>2018</v>
      </c>
      <c r="N79" s="147" t="s">
        <v>2031</v>
      </c>
      <c r="O79" s="146" t="s">
        <v>2039</v>
      </c>
      <c r="P79" s="146" t="s">
        <v>956</v>
      </c>
      <c r="Q79" s="146" t="s">
        <v>1</v>
      </c>
      <c r="R79" s="146" t="s">
        <v>254</v>
      </c>
      <c r="S79" s="146" t="s">
        <v>1705</v>
      </c>
      <c r="T79"/>
    </row>
    <row r="80" spans="1:20" ht="22" customHeight="1">
      <c r="A80" s="146" t="s">
        <v>4067</v>
      </c>
      <c r="B80" s="146" t="s">
        <v>3246</v>
      </c>
      <c r="C80" s="146" t="s">
        <v>2049</v>
      </c>
      <c r="D80" s="147" t="s">
        <v>1932</v>
      </c>
      <c r="E80" s="147" t="s">
        <v>4722</v>
      </c>
      <c r="F80" s="147" t="s">
        <v>4068</v>
      </c>
      <c r="G80" s="147" t="s">
        <v>4069</v>
      </c>
      <c r="H80" s="147" t="s">
        <v>4070</v>
      </c>
      <c r="I80" s="150">
        <v>1</v>
      </c>
      <c r="J80" s="146" t="s">
        <v>2050</v>
      </c>
      <c r="K80" s="146" t="s">
        <v>2050</v>
      </c>
      <c r="L80" s="147" t="s">
        <v>2002</v>
      </c>
      <c r="M80" s="147" t="s">
        <v>4071</v>
      </c>
      <c r="N80" s="147" t="s">
        <v>2031</v>
      </c>
      <c r="O80" s="146" t="s">
        <v>2039</v>
      </c>
      <c r="P80" s="146" t="s">
        <v>956</v>
      </c>
      <c r="Q80" s="146" t="s">
        <v>1</v>
      </c>
      <c r="R80" s="146"/>
      <c r="S80" s="146" t="s">
        <v>1694</v>
      </c>
      <c r="T80"/>
    </row>
    <row r="81" spans="1:20" ht="22" customHeight="1">
      <c r="A81" s="146" t="s">
        <v>1499</v>
      </c>
      <c r="B81" s="146" t="s">
        <v>3243</v>
      </c>
      <c r="C81" s="146" t="s">
        <v>2049</v>
      </c>
      <c r="D81" s="147" t="s">
        <v>2141</v>
      </c>
      <c r="E81" s="147" t="s">
        <v>2185</v>
      </c>
      <c r="F81" s="147" t="s">
        <v>2073</v>
      </c>
      <c r="G81" s="147" t="s">
        <v>2097</v>
      </c>
      <c r="H81" s="147" t="s">
        <v>1780</v>
      </c>
      <c r="I81" s="150">
        <v>2</v>
      </c>
      <c r="J81" s="146" t="s">
        <v>2050</v>
      </c>
      <c r="K81" s="146" t="s">
        <v>2050</v>
      </c>
      <c r="L81" s="147" t="s">
        <v>2008</v>
      </c>
      <c r="M81" s="147" t="s">
        <v>2022</v>
      </c>
      <c r="N81" s="147" t="s">
        <v>2031</v>
      </c>
      <c r="O81" s="146" t="s">
        <v>2040</v>
      </c>
      <c r="P81" s="146" t="s">
        <v>956</v>
      </c>
      <c r="Q81" s="146" t="s">
        <v>1</v>
      </c>
      <c r="R81" s="146"/>
      <c r="S81" s="146" t="s">
        <v>2236</v>
      </c>
      <c r="T81"/>
    </row>
    <row r="82" spans="1:20" ht="22" customHeight="1">
      <c r="A82" s="146" t="s">
        <v>1500</v>
      </c>
      <c r="B82" s="146" t="s">
        <v>3243</v>
      </c>
      <c r="C82" s="146" t="s">
        <v>2049</v>
      </c>
      <c r="D82" s="147" t="s">
        <v>2141</v>
      </c>
      <c r="E82" s="147" t="s">
        <v>2162</v>
      </c>
      <c r="F82" s="147" t="s">
        <v>2074</v>
      </c>
      <c r="G82" s="147" t="s">
        <v>2098</v>
      </c>
      <c r="H82" s="147" t="s">
        <v>1781</v>
      </c>
      <c r="I82" s="150">
        <v>2</v>
      </c>
      <c r="J82" s="146" t="s">
        <v>2050</v>
      </c>
      <c r="K82" s="146" t="s">
        <v>2050</v>
      </c>
      <c r="L82" s="147" t="s">
        <v>2008</v>
      </c>
      <c r="M82" s="147" t="s">
        <v>3511</v>
      </c>
      <c r="N82" s="147" t="s">
        <v>2031</v>
      </c>
      <c r="O82" s="146" t="s">
        <v>2040</v>
      </c>
      <c r="P82" s="146" t="s">
        <v>956</v>
      </c>
      <c r="Q82" s="146" t="s">
        <v>1</v>
      </c>
      <c r="R82" s="146"/>
      <c r="S82" s="146" t="s">
        <v>2217</v>
      </c>
      <c r="T82"/>
    </row>
    <row r="83" spans="1:20" ht="22" customHeight="1">
      <c r="A83" s="146" t="s">
        <v>1489</v>
      </c>
      <c r="B83" s="146" t="s">
        <v>3245</v>
      </c>
      <c r="C83" s="146" t="s">
        <v>2049</v>
      </c>
      <c r="D83" s="147" t="s">
        <v>2141</v>
      </c>
      <c r="E83" s="147" t="s">
        <v>2162</v>
      </c>
      <c r="F83" s="147" t="s">
        <v>2069</v>
      </c>
      <c r="G83" s="147" t="s">
        <v>2430</v>
      </c>
      <c r="H83" s="147" t="s">
        <v>1962</v>
      </c>
      <c r="I83" s="150">
        <v>2</v>
      </c>
      <c r="J83" s="146" t="s">
        <v>2050</v>
      </c>
      <c r="K83" s="146" t="s">
        <v>2050</v>
      </c>
      <c r="L83" s="147" t="s">
        <v>2326</v>
      </c>
      <c r="M83" s="147" t="s">
        <v>3511</v>
      </c>
      <c r="N83" s="147" t="s">
        <v>2031</v>
      </c>
      <c r="O83" s="146" t="s">
        <v>2039</v>
      </c>
      <c r="P83" s="146" t="s">
        <v>956</v>
      </c>
      <c r="Q83" s="146" t="s">
        <v>1</v>
      </c>
      <c r="R83" s="146"/>
      <c r="S83" s="146" t="s">
        <v>2217</v>
      </c>
      <c r="T83"/>
    </row>
    <row r="84" spans="1:20" ht="22" customHeight="1">
      <c r="A84" s="146" t="s">
        <v>1538</v>
      </c>
      <c r="B84" s="146" t="s">
        <v>3454</v>
      </c>
      <c r="C84" s="146" t="s">
        <v>2049</v>
      </c>
      <c r="D84" s="147" t="s">
        <v>2141</v>
      </c>
      <c r="E84" s="147" t="s">
        <v>2163</v>
      </c>
      <c r="F84" s="147" t="s">
        <v>2095</v>
      </c>
      <c r="G84" s="147" t="s">
        <v>1826</v>
      </c>
      <c r="H84" s="147" t="s">
        <v>1827</v>
      </c>
      <c r="I84" s="150">
        <v>1</v>
      </c>
      <c r="J84" s="146" t="s">
        <v>2050</v>
      </c>
      <c r="K84" s="146" t="s">
        <v>2050</v>
      </c>
      <c r="L84" s="147" t="s">
        <v>2000</v>
      </c>
      <c r="M84" s="147" t="s">
        <v>3500</v>
      </c>
      <c r="N84" s="147" t="s">
        <v>2031</v>
      </c>
      <c r="O84" s="146" t="s">
        <v>2038</v>
      </c>
      <c r="P84" s="146" t="s">
        <v>956</v>
      </c>
      <c r="Q84" s="146" t="s">
        <v>1</v>
      </c>
      <c r="R84" s="146"/>
      <c r="S84" s="146" t="s">
        <v>2218</v>
      </c>
      <c r="T84"/>
    </row>
    <row r="85" spans="1:20" ht="22" customHeight="1">
      <c r="A85" s="146" t="s">
        <v>1539</v>
      </c>
      <c r="B85" s="146" t="s">
        <v>3454</v>
      </c>
      <c r="C85" s="146" t="s">
        <v>2049</v>
      </c>
      <c r="D85" s="147" t="s">
        <v>2141</v>
      </c>
      <c r="E85" s="147" t="s">
        <v>2163</v>
      </c>
      <c r="F85" s="147" t="s">
        <v>2096</v>
      </c>
      <c r="G85" s="147" t="s">
        <v>1828</v>
      </c>
      <c r="H85" s="147" t="s">
        <v>1829</v>
      </c>
      <c r="I85" s="150">
        <v>1</v>
      </c>
      <c r="J85" s="146" t="s">
        <v>2050</v>
      </c>
      <c r="K85" s="146" t="s">
        <v>2050</v>
      </c>
      <c r="L85" s="147" t="s">
        <v>2000</v>
      </c>
      <c r="M85" s="147" t="s">
        <v>3500</v>
      </c>
      <c r="N85" s="147" t="s">
        <v>2031</v>
      </c>
      <c r="O85" s="146" t="s">
        <v>2038</v>
      </c>
      <c r="P85" s="146" t="s">
        <v>956</v>
      </c>
      <c r="Q85" s="146" t="s">
        <v>1</v>
      </c>
      <c r="R85" s="146"/>
      <c r="S85" s="146" t="s">
        <v>2218</v>
      </c>
      <c r="T85"/>
    </row>
    <row r="86" spans="1:20" ht="22" customHeight="1">
      <c r="A86" s="113" t="s">
        <v>1889</v>
      </c>
      <c r="B86" s="113" t="s">
        <v>3454</v>
      </c>
      <c r="C86" s="113" t="s">
        <v>2049</v>
      </c>
      <c r="D86" s="113" t="s">
        <v>2141</v>
      </c>
      <c r="E86" s="113" t="s">
        <v>2172</v>
      </c>
      <c r="F86" s="113" t="s">
        <v>2093</v>
      </c>
      <c r="G86" s="113" t="s">
        <v>1894</v>
      </c>
      <c r="H86" s="113" t="s">
        <v>1895</v>
      </c>
      <c r="I86" s="145">
        <v>4</v>
      </c>
      <c r="J86" s="113" t="s">
        <v>2050</v>
      </c>
      <c r="K86" s="113" t="s">
        <v>2050</v>
      </c>
      <c r="L86" s="113" t="s">
        <v>1998</v>
      </c>
      <c r="M86" s="113" t="s">
        <v>3452</v>
      </c>
      <c r="N86" s="113" t="s">
        <v>2031</v>
      </c>
      <c r="O86" s="113" t="s">
        <v>2040</v>
      </c>
      <c r="P86" s="113" t="s">
        <v>956</v>
      </c>
      <c r="Q86" s="113" t="s">
        <v>1</v>
      </c>
      <c r="R86" s="113"/>
      <c r="S86" s="113" t="s">
        <v>2224</v>
      </c>
      <c r="T86"/>
    </row>
    <row r="87" spans="1:20" ht="22" customHeight="1">
      <c r="A87" s="113" t="s">
        <v>1527</v>
      </c>
      <c r="B87" s="113" t="s">
        <v>3246</v>
      </c>
      <c r="C87" s="113" t="s">
        <v>2049</v>
      </c>
      <c r="D87" s="113" t="s">
        <v>2141</v>
      </c>
      <c r="E87" s="113" t="s">
        <v>2204</v>
      </c>
      <c r="F87" s="113" t="s">
        <v>2092</v>
      </c>
      <c r="G87" s="113" t="s">
        <v>1811</v>
      </c>
      <c r="H87" s="113" t="s">
        <v>1812</v>
      </c>
      <c r="I87" s="145">
        <v>1</v>
      </c>
      <c r="J87" s="113" t="s">
        <v>2050</v>
      </c>
      <c r="K87" s="113" t="s">
        <v>2050</v>
      </c>
      <c r="L87" s="113" t="s">
        <v>2009</v>
      </c>
      <c r="M87" s="113" t="s">
        <v>2021</v>
      </c>
      <c r="N87" s="113" t="s">
        <v>2031</v>
      </c>
      <c r="O87" s="113" t="s">
        <v>2039</v>
      </c>
      <c r="P87" s="113" t="s">
        <v>956</v>
      </c>
      <c r="Q87" s="113" t="s">
        <v>1</v>
      </c>
      <c r="R87" s="113"/>
      <c r="S87" s="113" t="s">
        <v>2253</v>
      </c>
      <c r="T87"/>
    </row>
    <row r="88" spans="1:20" ht="22" customHeight="1">
      <c r="A88" s="113" t="s">
        <v>4025</v>
      </c>
      <c r="B88" s="113" t="s">
        <v>3249</v>
      </c>
      <c r="C88" s="113" t="s">
        <v>2048</v>
      </c>
      <c r="D88" s="113" t="s">
        <v>2141</v>
      </c>
      <c r="E88" s="113" t="s">
        <v>2166</v>
      </c>
      <c r="F88" s="113" t="s">
        <v>4026</v>
      </c>
      <c r="G88" s="113" t="s">
        <v>4027</v>
      </c>
      <c r="H88" s="113" t="s">
        <v>4028</v>
      </c>
      <c r="I88" s="145">
        <v>1.5</v>
      </c>
      <c r="J88" s="113" t="s">
        <v>2050</v>
      </c>
      <c r="K88" s="113" t="s">
        <v>2050</v>
      </c>
      <c r="L88" s="113" t="s">
        <v>2002</v>
      </c>
      <c r="M88" s="113" t="s">
        <v>4029</v>
      </c>
      <c r="N88" s="113" t="s">
        <v>2031</v>
      </c>
      <c r="O88" s="113" t="s">
        <v>2039</v>
      </c>
      <c r="P88" s="113" t="s">
        <v>956</v>
      </c>
      <c r="Q88" s="113" t="s">
        <v>1</v>
      </c>
      <c r="R88" s="113"/>
      <c r="S88" s="113" t="s">
        <v>2221</v>
      </c>
      <c r="T88"/>
    </row>
    <row r="89" spans="1:20" ht="22" customHeight="1">
      <c r="A89" s="113" t="s">
        <v>1512</v>
      </c>
      <c r="B89" s="113" t="s">
        <v>2354</v>
      </c>
      <c r="C89" s="113" t="s">
        <v>2049</v>
      </c>
      <c r="D89" s="113" t="s">
        <v>2141</v>
      </c>
      <c r="E89" s="113" t="s">
        <v>3306</v>
      </c>
      <c r="F89" s="113" t="s">
        <v>3512</v>
      </c>
      <c r="G89" s="113" t="s">
        <v>2398</v>
      </c>
      <c r="H89" s="113" t="s">
        <v>2399</v>
      </c>
      <c r="I89" s="145">
        <v>1</v>
      </c>
      <c r="J89" s="113" t="s">
        <v>2050</v>
      </c>
      <c r="K89" s="113" t="s">
        <v>2050</v>
      </c>
      <c r="L89" s="113" t="s">
        <v>2010</v>
      </c>
      <c r="M89" s="113" t="s">
        <v>3513</v>
      </c>
      <c r="N89" s="113" t="s">
        <v>2031</v>
      </c>
      <c r="O89" s="113" t="s">
        <v>2041</v>
      </c>
      <c r="P89" s="113" t="s">
        <v>956</v>
      </c>
      <c r="Q89" s="113" t="s">
        <v>1</v>
      </c>
      <c r="R89" s="113"/>
      <c r="S89" s="113" t="s">
        <v>2400</v>
      </c>
      <c r="T89"/>
    </row>
    <row r="90" spans="1:20" ht="22" customHeight="1">
      <c r="A90" s="146" t="s">
        <v>1513</v>
      </c>
      <c r="B90" s="146" t="s">
        <v>2354</v>
      </c>
      <c r="C90" s="146" t="s">
        <v>2049</v>
      </c>
      <c r="D90" s="147" t="s">
        <v>2141</v>
      </c>
      <c r="E90" s="147" t="s">
        <v>3306</v>
      </c>
      <c r="F90" s="147" t="s">
        <v>3514</v>
      </c>
      <c r="G90" s="147" t="s">
        <v>3515</v>
      </c>
      <c r="H90" s="147" t="s">
        <v>2401</v>
      </c>
      <c r="I90" s="150">
        <v>1</v>
      </c>
      <c r="J90" s="146" t="s">
        <v>2050</v>
      </c>
      <c r="K90" s="146" t="s">
        <v>2050</v>
      </c>
      <c r="L90" s="147" t="s">
        <v>2002</v>
      </c>
      <c r="M90" s="147" t="s">
        <v>2402</v>
      </c>
      <c r="N90" s="147" t="s">
        <v>2031</v>
      </c>
      <c r="O90" s="146" t="s">
        <v>2041</v>
      </c>
      <c r="P90" s="146" t="s">
        <v>956</v>
      </c>
      <c r="Q90" s="146" t="s">
        <v>1</v>
      </c>
      <c r="R90" s="146"/>
      <c r="S90" s="146" t="s">
        <v>2400</v>
      </c>
      <c r="T90"/>
    </row>
    <row r="91" spans="1:20" ht="22" customHeight="1">
      <c r="A91" s="146" t="s">
        <v>1888</v>
      </c>
      <c r="B91" s="146" t="s">
        <v>2354</v>
      </c>
      <c r="C91" s="146" t="s">
        <v>2049</v>
      </c>
      <c r="D91" s="147" t="s">
        <v>2141</v>
      </c>
      <c r="E91" s="147" t="s">
        <v>3306</v>
      </c>
      <c r="F91" s="147" t="s">
        <v>3516</v>
      </c>
      <c r="G91" s="147" t="s">
        <v>2403</v>
      </c>
      <c r="H91" s="147" t="s">
        <v>2404</v>
      </c>
      <c r="I91" s="150">
        <v>1</v>
      </c>
      <c r="J91" s="146" t="s">
        <v>2050</v>
      </c>
      <c r="K91" s="146" t="s">
        <v>2050</v>
      </c>
      <c r="L91" s="147" t="s">
        <v>2010</v>
      </c>
      <c r="M91" s="147" t="s">
        <v>3517</v>
      </c>
      <c r="N91" s="147" t="s">
        <v>2031</v>
      </c>
      <c r="O91" s="146" t="s">
        <v>2041</v>
      </c>
      <c r="P91" s="146" t="s">
        <v>956</v>
      </c>
      <c r="Q91" s="146" t="s">
        <v>1</v>
      </c>
      <c r="R91" s="146"/>
      <c r="S91" s="146" t="s">
        <v>2400</v>
      </c>
      <c r="T91"/>
    </row>
    <row r="92" spans="1:20" ht="22" customHeight="1">
      <c r="A92" s="146" t="s">
        <v>1508</v>
      </c>
      <c r="B92" s="146" t="s">
        <v>3243</v>
      </c>
      <c r="C92" s="146" t="s">
        <v>2049</v>
      </c>
      <c r="D92" s="147" t="s">
        <v>2144</v>
      </c>
      <c r="E92" s="147" t="s">
        <v>2177</v>
      </c>
      <c r="F92" s="147" t="s">
        <v>2081</v>
      </c>
      <c r="G92" s="147" t="s">
        <v>1795</v>
      </c>
      <c r="H92" s="147" t="s">
        <v>1796</v>
      </c>
      <c r="I92" s="150">
        <v>4</v>
      </c>
      <c r="J92" s="146" t="s">
        <v>2050</v>
      </c>
      <c r="K92" s="146" t="s">
        <v>2113</v>
      </c>
      <c r="L92" s="147" t="s">
        <v>2008</v>
      </c>
      <c r="M92" s="147" t="s">
        <v>2043</v>
      </c>
      <c r="N92" s="147" t="s">
        <v>2031</v>
      </c>
      <c r="O92" s="146" t="s">
        <v>2037</v>
      </c>
      <c r="P92" s="146" t="s">
        <v>956</v>
      </c>
      <c r="Q92" s="146" t="s">
        <v>1</v>
      </c>
      <c r="R92" s="146"/>
      <c r="S92" s="146" t="s">
        <v>2229</v>
      </c>
      <c r="T92"/>
    </row>
    <row r="93" spans="1:20" ht="22" customHeight="1">
      <c r="A93" s="113" t="s">
        <v>1471</v>
      </c>
      <c r="B93" s="113" t="s">
        <v>3247</v>
      </c>
      <c r="C93" s="113" t="s">
        <v>2045</v>
      </c>
      <c r="D93" s="113" t="s">
        <v>2144</v>
      </c>
      <c r="E93" s="113" t="s">
        <v>2158</v>
      </c>
      <c r="F93" s="113" t="s">
        <v>2066</v>
      </c>
      <c r="G93" s="113" t="s">
        <v>3518</v>
      </c>
      <c r="H93" s="113" t="s">
        <v>1909</v>
      </c>
      <c r="I93" s="145">
        <v>1</v>
      </c>
      <c r="J93" s="113" t="s">
        <v>2050</v>
      </c>
      <c r="K93" s="113" t="s">
        <v>2050</v>
      </c>
      <c r="L93" s="113" t="s">
        <v>2010</v>
      </c>
      <c r="M93" s="113" t="s">
        <v>2013</v>
      </c>
      <c r="N93" s="113" t="s">
        <v>2031</v>
      </c>
      <c r="O93" s="113" t="s">
        <v>2038</v>
      </c>
      <c r="P93" s="113" t="s">
        <v>956</v>
      </c>
      <c r="Q93" s="113" t="s">
        <v>1</v>
      </c>
      <c r="R93" s="113"/>
      <c r="S93" s="113" t="s">
        <v>2213</v>
      </c>
      <c r="T93"/>
    </row>
    <row r="94" spans="1:20" ht="22" customHeight="1">
      <c r="A94" s="146" t="s">
        <v>1509</v>
      </c>
      <c r="B94" s="146" t="s">
        <v>3243</v>
      </c>
      <c r="C94" s="146" t="s">
        <v>2049</v>
      </c>
      <c r="D94" s="147" t="s">
        <v>2144</v>
      </c>
      <c r="E94" s="147" t="s">
        <v>2158</v>
      </c>
      <c r="F94" s="147" t="s">
        <v>2082</v>
      </c>
      <c r="G94" s="147" t="s">
        <v>2099</v>
      </c>
      <c r="H94" s="147" t="s">
        <v>1797</v>
      </c>
      <c r="I94" s="150">
        <v>4</v>
      </c>
      <c r="J94" s="146" t="s">
        <v>2050</v>
      </c>
      <c r="K94" s="146" t="s">
        <v>2050</v>
      </c>
      <c r="L94" s="147" t="s">
        <v>2008</v>
      </c>
      <c r="M94" s="147" t="s">
        <v>2022</v>
      </c>
      <c r="N94" s="147" t="s">
        <v>2031</v>
      </c>
      <c r="O94" s="146" t="s">
        <v>2037</v>
      </c>
      <c r="P94" s="146" t="s">
        <v>956</v>
      </c>
      <c r="Q94" s="146" t="s">
        <v>1</v>
      </c>
      <c r="R94" s="146"/>
      <c r="S94" s="146" t="s">
        <v>2213</v>
      </c>
      <c r="T94"/>
    </row>
    <row r="95" spans="1:20" ht="22" customHeight="1">
      <c r="A95" s="146" t="s">
        <v>3144</v>
      </c>
      <c r="B95" s="146" t="s">
        <v>3110</v>
      </c>
      <c r="C95" s="146" t="s">
        <v>2049</v>
      </c>
      <c r="D95" s="147" t="s">
        <v>2144</v>
      </c>
      <c r="E95" s="147" t="s">
        <v>2158</v>
      </c>
      <c r="F95" s="147" t="s">
        <v>3145</v>
      </c>
      <c r="G95" s="147" t="s">
        <v>3519</v>
      </c>
      <c r="H95" s="147" t="s">
        <v>3146</v>
      </c>
      <c r="I95" s="150">
        <v>1.5</v>
      </c>
      <c r="J95" s="146" t="s">
        <v>2050</v>
      </c>
      <c r="K95" s="146" t="s">
        <v>2050</v>
      </c>
      <c r="L95" s="147" t="s">
        <v>2009</v>
      </c>
      <c r="M95" s="147" t="s">
        <v>3147</v>
      </c>
      <c r="N95" s="147" t="s">
        <v>2031</v>
      </c>
      <c r="O95" s="146" t="s">
        <v>2039</v>
      </c>
      <c r="P95" s="146" t="s">
        <v>956</v>
      </c>
      <c r="Q95" s="146" t="s">
        <v>1</v>
      </c>
      <c r="R95" s="146"/>
      <c r="S95" s="146" t="s">
        <v>2213</v>
      </c>
      <c r="T95"/>
    </row>
    <row r="96" spans="1:20" ht="22" customHeight="1">
      <c r="A96" s="146" t="s">
        <v>2057</v>
      </c>
      <c r="B96" s="146" t="s">
        <v>3248</v>
      </c>
      <c r="C96" s="146" t="s">
        <v>2047</v>
      </c>
      <c r="D96" s="147" t="s">
        <v>2144</v>
      </c>
      <c r="E96" s="147" t="s">
        <v>2168</v>
      </c>
      <c r="F96" s="147" t="s">
        <v>2058</v>
      </c>
      <c r="G96" s="147" t="s">
        <v>3520</v>
      </c>
      <c r="H96" s="147" t="s">
        <v>1943</v>
      </c>
      <c r="I96" s="150">
        <v>1</v>
      </c>
      <c r="J96" s="146" t="s">
        <v>2050</v>
      </c>
      <c r="K96" s="146" t="s">
        <v>2050</v>
      </c>
      <c r="L96" s="147" t="s">
        <v>2010</v>
      </c>
      <c r="M96" s="147" t="s">
        <v>2024</v>
      </c>
      <c r="N96" s="147" t="s">
        <v>2031</v>
      </c>
      <c r="O96" s="146" t="s">
        <v>2038</v>
      </c>
      <c r="P96" s="146" t="s">
        <v>956</v>
      </c>
      <c r="Q96" s="146" t="s">
        <v>1</v>
      </c>
      <c r="R96" s="146"/>
      <c r="S96" s="146" t="s">
        <v>2222</v>
      </c>
      <c r="T96"/>
    </row>
    <row r="97" spans="1:25" ht="22" customHeight="1">
      <c r="A97" s="146" t="s">
        <v>2062</v>
      </c>
      <c r="B97" s="146" t="s">
        <v>3248</v>
      </c>
      <c r="C97" s="146" t="s">
        <v>2047</v>
      </c>
      <c r="D97" s="147" t="s">
        <v>2144</v>
      </c>
      <c r="E97" s="147" t="s">
        <v>2168</v>
      </c>
      <c r="F97" s="147" t="s">
        <v>2063</v>
      </c>
      <c r="G97" s="147" t="s">
        <v>3520</v>
      </c>
      <c r="H97" s="147" t="s">
        <v>1943</v>
      </c>
      <c r="I97" s="150">
        <v>1</v>
      </c>
      <c r="J97" s="146" t="s">
        <v>2050</v>
      </c>
      <c r="K97" s="146" t="s">
        <v>2050</v>
      </c>
      <c r="L97" s="147" t="s">
        <v>2010</v>
      </c>
      <c r="M97" s="147" t="s">
        <v>2024</v>
      </c>
      <c r="N97" s="147" t="s">
        <v>2031</v>
      </c>
      <c r="O97" s="146" t="s">
        <v>2038</v>
      </c>
      <c r="P97" s="146" t="s">
        <v>956</v>
      </c>
      <c r="Q97" s="146" t="s">
        <v>1</v>
      </c>
      <c r="R97" s="146"/>
      <c r="S97" s="146" t="s">
        <v>2222</v>
      </c>
      <c r="T97"/>
    </row>
    <row r="98" spans="1:25" ht="22" customHeight="1">
      <c r="A98" s="146" t="s">
        <v>2064</v>
      </c>
      <c r="B98" s="146" t="s">
        <v>3248</v>
      </c>
      <c r="C98" s="146" t="s">
        <v>2047</v>
      </c>
      <c r="D98" s="147" t="s">
        <v>2144</v>
      </c>
      <c r="E98" s="147" t="s">
        <v>2168</v>
      </c>
      <c r="F98" s="147" t="s">
        <v>2065</v>
      </c>
      <c r="G98" s="147" t="s">
        <v>3520</v>
      </c>
      <c r="H98" s="147" t="s">
        <v>1943</v>
      </c>
      <c r="I98" s="150">
        <v>1</v>
      </c>
      <c r="J98" s="146" t="s">
        <v>2050</v>
      </c>
      <c r="K98" s="146" t="s">
        <v>2050</v>
      </c>
      <c r="L98" s="147" t="s">
        <v>2010</v>
      </c>
      <c r="M98" s="147" t="s">
        <v>2024</v>
      </c>
      <c r="N98" s="147" t="s">
        <v>2031</v>
      </c>
      <c r="O98" s="146" t="s">
        <v>2038</v>
      </c>
      <c r="P98" s="146" t="s">
        <v>956</v>
      </c>
      <c r="Q98" s="146" t="s">
        <v>1</v>
      </c>
      <c r="R98" s="146"/>
      <c r="S98" s="146" t="s">
        <v>2222</v>
      </c>
      <c r="T98"/>
    </row>
    <row r="99" spans="1:25" ht="22" customHeight="1">
      <c r="A99" s="146" t="s">
        <v>256</v>
      </c>
      <c r="B99" s="146" t="s">
        <v>3248</v>
      </c>
      <c r="C99" s="146" t="s">
        <v>2047</v>
      </c>
      <c r="D99" s="147" t="s">
        <v>2144</v>
      </c>
      <c r="E99" s="147" t="s">
        <v>2174</v>
      </c>
      <c r="F99" s="147" t="s">
        <v>1913</v>
      </c>
      <c r="G99" s="147" t="s">
        <v>1941</v>
      </c>
      <c r="H99" s="147" t="s">
        <v>1942</v>
      </c>
      <c r="I99" s="150">
        <v>4</v>
      </c>
      <c r="J99" s="146" t="s">
        <v>2050</v>
      </c>
      <c r="K99" s="146" t="s">
        <v>2050</v>
      </c>
      <c r="L99" s="147" t="s">
        <v>2010</v>
      </c>
      <c r="M99" s="147" t="s">
        <v>2024</v>
      </c>
      <c r="N99" s="147" t="s">
        <v>2031</v>
      </c>
      <c r="O99" s="146" t="s">
        <v>2037</v>
      </c>
      <c r="P99" s="146" t="s">
        <v>956</v>
      </c>
      <c r="Q99" s="146" t="s">
        <v>1</v>
      </c>
      <c r="R99" s="146"/>
      <c r="S99" s="146" t="s">
        <v>2226</v>
      </c>
      <c r="T99"/>
    </row>
    <row r="100" spans="1:25" ht="22" customHeight="1">
      <c r="A100" s="146" t="s">
        <v>1474</v>
      </c>
      <c r="B100" s="146" t="s">
        <v>2417</v>
      </c>
      <c r="C100" s="146" t="s">
        <v>2047</v>
      </c>
      <c r="D100" s="147" t="s">
        <v>2146</v>
      </c>
      <c r="E100" s="147" t="s">
        <v>2165</v>
      </c>
      <c r="F100" s="147" t="s">
        <v>1903</v>
      </c>
      <c r="G100" s="147" t="s">
        <v>1838</v>
      </c>
      <c r="H100" s="147" t="s">
        <v>1839</v>
      </c>
      <c r="I100" s="150">
        <v>0.5</v>
      </c>
      <c r="J100" s="146" t="s">
        <v>2050</v>
      </c>
      <c r="K100" s="146" t="s">
        <v>2050</v>
      </c>
      <c r="L100" s="147" t="s">
        <v>2010</v>
      </c>
      <c r="M100" s="147" t="s">
        <v>2426</v>
      </c>
      <c r="N100" s="147" t="s">
        <v>2031</v>
      </c>
      <c r="O100" s="146" t="s">
        <v>2041</v>
      </c>
      <c r="P100" s="146" t="s">
        <v>956</v>
      </c>
      <c r="Q100" s="146" t="s">
        <v>1</v>
      </c>
      <c r="R100" s="146"/>
      <c r="S100" s="146" t="s">
        <v>2220</v>
      </c>
      <c r="T100"/>
    </row>
    <row r="101" spans="1:25" ht="22" customHeight="1">
      <c r="A101" s="146" t="s">
        <v>1472</v>
      </c>
      <c r="B101" s="146" t="s">
        <v>2417</v>
      </c>
      <c r="C101" s="146" t="s">
        <v>2047</v>
      </c>
      <c r="D101" s="147" t="s">
        <v>2146</v>
      </c>
      <c r="E101" s="147" t="s">
        <v>2165</v>
      </c>
      <c r="F101" s="147" t="s">
        <v>1904</v>
      </c>
      <c r="G101" s="147" t="s">
        <v>1840</v>
      </c>
      <c r="H101" s="147" t="s">
        <v>1841</v>
      </c>
      <c r="I101" s="150">
        <v>2</v>
      </c>
      <c r="J101" s="146" t="s">
        <v>2050</v>
      </c>
      <c r="K101" s="146" t="s">
        <v>2050</v>
      </c>
      <c r="L101" s="147" t="s">
        <v>2010</v>
      </c>
      <c r="M101" s="147" t="s">
        <v>2426</v>
      </c>
      <c r="N101" s="147" t="s">
        <v>2031</v>
      </c>
      <c r="O101" s="146" t="s">
        <v>2041</v>
      </c>
      <c r="P101" s="146" t="s">
        <v>1474</v>
      </c>
      <c r="Q101" s="146" t="s">
        <v>1</v>
      </c>
      <c r="R101" s="146"/>
      <c r="S101" s="146" t="s">
        <v>2220</v>
      </c>
      <c r="T101"/>
      <c r="U101" s="101"/>
      <c r="V101" s="101"/>
      <c r="W101" s="101"/>
      <c r="X101" s="103"/>
      <c r="Y101" s="104"/>
    </row>
    <row r="102" spans="1:25" ht="22" customHeight="1">
      <c r="A102" s="146" t="s">
        <v>1475</v>
      </c>
      <c r="B102" s="146" t="s">
        <v>2417</v>
      </c>
      <c r="C102" s="146" t="s">
        <v>2047</v>
      </c>
      <c r="D102" s="147" t="s">
        <v>2146</v>
      </c>
      <c r="E102" s="147" t="s">
        <v>2165</v>
      </c>
      <c r="F102" s="147" t="s">
        <v>1905</v>
      </c>
      <c r="G102" s="147" t="s">
        <v>1842</v>
      </c>
      <c r="H102" s="147" t="s">
        <v>1843</v>
      </c>
      <c r="I102" s="150">
        <v>1</v>
      </c>
      <c r="J102" s="146" t="s">
        <v>2050</v>
      </c>
      <c r="K102" s="146" t="s">
        <v>2050</v>
      </c>
      <c r="L102" s="147" t="s">
        <v>2010</v>
      </c>
      <c r="M102" s="147" t="s">
        <v>2426</v>
      </c>
      <c r="N102" s="147" t="s">
        <v>2031</v>
      </c>
      <c r="O102" s="146" t="s">
        <v>2041</v>
      </c>
      <c r="P102" s="146" t="s">
        <v>1472</v>
      </c>
      <c r="Q102" s="146" t="s">
        <v>1</v>
      </c>
      <c r="R102" s="146"/>
      <c r="S102" s="146" t="s">
        <v>2220</v>
      </c>
      <c r="T102"/>
      <c r="U102" s="101"/>
      <c r="V102" s="101"/>
      <c r="W102" s="101"/>
      <c r="X102" s="103"/>
      <c r="Y102" s="104"/>
    </row>
    <row r="103" spans="1:25" ht="22" customHeight="1">
      <c r="A103" s="146" t="s">
        <v>1476</v>
      </c>
      <c r="B103" s="146" t="s">
        <v>2417</v>
      </c>
      <c r="C103" s="146" t="s">
        <v>2047</v>
      </c>
      <c r="D103" s="147" t="s">
        <v>2146</v>
      </c>
      <c r="E103" s="147" t="s">
        <v>2165</v>
      </c>
      <c r="F103" s="147" t="s">
        <v>1906</v>
      </c>
      <c r="G103" s="147" t="s">
        <v>1844</v>
      </c>
      <c r="H103" s="147" t="s">
        <v>1845</v>
      </c>
      <c r="I103" s="150">
        <v>3</v>
      </c>
      <c r="J103" s="146" t="s">
        <v>2050</v>
      </c>
      <c r="K103" s="146" t="s">
        <v>2050</v>
      </c>
      <c r="L103" s="147" t="s">
        <v>2010</v>
      </c>
      <c r="M103" s="147" t="s">
        <v>2426</v>
      </c>
      <c r="N103" s="147" t="s">
        <v>2031</v>
      </c>
      <c r="O103" s="146" t="s">
        <v>2041</v>
      </c>
      <c r="P103" s="146" t="s">
        <v>1475</v>
      </c>
      <c r="Q103" s="146" t="s">
        <v>1</v>
      </c>
      <c r="R103" s="146"/>
      <c r="S103" s="146" t="s">
        <v>2220</v>
      </c>
      <c r="T103"/>
      <c r="U103" s="105"/>
      <c r="V103" s="105"/>
      <c r="W103" s="105"/>
      <c r="X103" s="106"/>
      <c r="Y103" s="104"/>
    </row>
    <row r="104" spans="1:25" ht="22" customHeight="1">
      <c r="A104" s="146" t="s">
        <v>1485</v>
      </c>
      <c r="B104" s="146" t="s">
        <v>2412</v>
      </c>
      <c r="C104" s="146" t="s">
        <v>2048</v>
      </c>
      <c r="D104" s="147" t="s">
        <v>2146</v>
      </c>
      <c r="E104" s="147" t="s">
        <v>2165</v>
      </c>
      <c r="F104" s="147" t="s">
        <v>1918</v>
      </c>
      <c r="G104" s="147" t="s">
        <v>1952</v>
      </c>
      <c r="H104" s="147" t="s">
        <v>1953</v>
      </c>
      <c r="I104" s="150">
        <v>0.5</v>
      </c>
      <c r="J104" s="146" t="s">
        <v>2050</v>
      </c>
      <c r="K104" s="146" t="s">
        <v>2050</v>
      </c>
      <c r="L104" s="147" t="s">
        <v>2009</v>
      </c>
      <c r="M104" s="147" t="s">
        <v>2426</v>
      </c>
      <c r="N104" s="147" t="s">
        <v>2031</v>
      </c>
      <c r="O104" s="146" t="s">
        <v>2039</v>
      </c>
      <c r="P104" s="146" t="s">
        <v>956</v>
      </c>
      <c r="Q104" s="146" t="s">
        <v>1</v>
      </c>
      <c r="R104" s="146"/>
      <c r="S104" s="146" t="s">
        <v>2220</v>
      </c>
      <c r="T104"/>
      <c r="U104" s="102"/>
      <c r="V104" s="102"/>
      <c r="W104" s="102"/>
      <c r="X104" s="102"/>
      <c r="Y104" s="102"/>
    </row>
    <row r="105" spans="1:25" ht="22" customHeight="1">
      <c r="A105" s="146" t="s">
        <v>1486</v>
      </c>
      <c r="B105" s="146" t="s">
        <v>2412</v>
      </c>
      <c r="C105" s="146" t="s">
        <v>2048</v>
      </c>
      <c r="D105" s="147" t="s">
        <v>2146</v>
      </c>
      <c r="E105" s="147" t="s">
        <v>2165</v>
      </c>
      <c r="F105" s="147" t="s">
        <v>1919</v>
      </c>
      <c r="G105" s="147" t="s">
        <v>1954</v>
      </c>
      <c r="H105" s="147" t="s">
        <v>1955</v>
      </c>
      <c r="I105" s="150">
        <v>2.5</v>
      </c>
      <c r="J105" s="146" t="s">
        <v>2050</v>
      </c>
      <c r="K105" s="146" t="s">
        <v>2050</v>
      </c>
      <c r="L105" s="147" t="s">
        <v>2009</v>
      </c>
      <c r="M105" s="147" t="s">
        <v>2426</v>
      </c>
      <c r="N105" s="147" t="s">
        <v>2031</v>
      </c>
      <c r="O105" s="146" t="s">
        <v>2039</v>
      </c>
      <c r="P105" s="146" t="s">
        <v>1472</v>
      </c>
      <c r="Q105" s="146" t="s">
        <v>1</v>
      </c>
      <c r="R105" s="146"/>
      <c r="S105" s="146" t="s">
        <v>2220</v>
      </c>
      <c r="T105"/>
      <c r="U105" s="102"/>
      <c r="V105" s="102"/>
      <c r="W105" s="102"/>
      <c r="X105" s="102"/>
      <c r="Y105" s="102"/>
    </row>
    <row r="106" spans="1:25" ht="22" customHeight="1">
      <c r="A106" s="146" t="s">
        <v>1488</v>
      </c>
      <c r="B106" s="146" t="s">
        <v>2412</v>
      </c>
      <c r="C106" s="146" t="s">
        <v>2048</v>
      </c>
      <c r="D106" s="147" t="s">
        <v>2146</v>
      </c>
      <c r="E106" s="147" t="s">
        <v>2165</v>
      </c>
      <c r="F106" s="147" t="s">
        <v>1921</v>
      </c>
      <c r="G106" s="147" t="s">
        <v>1958</v>
      </c>
      <c r="H106" s="147" t="s">
        <v>1959</v>
      </c>
      <c r="I106" s="150">
        <v>2</v>
      </c>
      <c r="J106" s="146" t="s">
        <v>2050</v>
      </c>
      <c r="K106" s="146" t="s">
        <v>2050</v>
      </c>
      <c r="L106" s="147" t="s">
        <v>2009</v>
      </c>
      <c r="M106" s="147" t="s">
        <v>2426</v>
      </c>
      <c r="N106" s="147" t="s">
        <v>2031</v>
      </c>
      <c r="O106" s="146" t="s">
        <v>2039</v>
      </c>
      <c r="P106" s="146" t="s">
        <v>956</v>
      </c>
      <c r="Q106" s="146" t="s">
        <v>1</v>
      </c>
      <c r="R106" s="146"/>
      <c r="S106" s="146" t="s">
        <v>2220</v>
      </c>
      <c r="T106"/>
      <c r="U106" s="102"/>
      <c r="V106" s="102"/>
      <c r="W106" s="102"/>
      <c r="X106" s="102"/>
      <c r="Y106" s="102"/>
    </row>
    <row r="107" spans="1:25" ht="22" customHeight="1">
      <c r="A107" s="146" t="s">
        <v>1487</v>
      </c>
      <c r="B107" s="146" t="s">
        <v>2412</v>
      </c>
      <c r="C107" s="146" t="s">
        <v>2048</v>
      </c>
      <c r="D107" s="147" t="s">
        <v>2146</v>
      </c>
      <c r="E107" s="147" t="s">
        <v>2182</v>
      </c>
      <c r="F107" s="147" t="s">
        <v>1920</v>
      </c>
      <c r="G107" s="147" t="s">
        <v>1956</v>
      </c>
      <c r="H107" s="147" t="s">
        <v>1957</v>
      </c>
      <c r="I107" s="150">
        <v>2</v>
      </c>
      <c r="J107" s="146" t="s">
        <v>2050</v>
      </c>
      <c r="K107" s="146" t="s">
        <v>2050</v>
      </c>
      <c r="L107" s="147" t="s">
        <v>2009</v>
      </c>
      <c r="M107" s="147" t="s">
        <v>2025</v>
      </c>
      <c r="N107" s="147" t="s">
        <v>2031</v>
      </c>
      <c r="O107" s="146" t="s">
        <v>2039</v>
      </c>
      <c r="P107" s="146" t="s">
        <v>1475</v>
      </c>
      <c r="Q107" s="146" t="s">
        <v>1</v>
      </c>
      <c r="R107" s="146"/>
      <c r="S107" s="146" t="s">
        <v>2233</v>
      </c>
      <c r="T107"/>
      <c r="U107" s="102"/>
      <c r="V107" s="102"/>
      <c r="W107" s="102"/>
      <c r="X107" s="102"/>
      <c r="Y107" s="102"/>
    </row>
    <row r="108" spans="1:25" ht="22" customHeight="1">
      <c r="A108" s="146" t="s">
        <v>1541</v>
      </c>
      <c r="B108" s="146" t="s">
        <v>3249</v>
      </c>
      <c r="C108" s="146" t="s">
        <v>2046</v>
      </c>
      <c r="D108" s="147" t="s">
        <v>2146</v>
      </c>
      <c r="E108" s="147" t="s">
        <v>2208</v>
      </c>
      <c r="F108" s="147" t="s">
        <v>1610</v>
      </c>
      <c r="G108" s="147" t="s">
        <v>1832</v>
      </c>
      <c r="H108" s="147" t="s">
        <v>1833</v>
      </c>
      <c r="I108" s="150">
        <v>1</v>
      </c>
      <c r="J108" s="146" t="s">
        <v>2050</v>
      </c>
      <c r="K108" s="146" t="s">
        <v>2050</v>
      </c>
      <c r="L108" s="147" t="s">
        <v>2006</v>
      </c>
      <c r="M108" s="147" t="s">
        <v>2012</v>
      </c>
      <c r="N108" s="147" t="s">
        <v>2031</v>
      </c>
      <c r="O108" s="146" t="s">
        <v>2039</v>
      </c>
      <c r="P108" s="146" t="s">
        <v>1472</v>
      </c>
      <c r="Q108" s="146" t="s">
        <v>1</v>
      </c>
      <c r="R108" s="146"/>
      <c r="S108" s="146" t="s">
        <v>2257</v>
      </c>
      <c r="T108"/>
      <c r="U108" s="102"/>
      <c r="V108" s="102"/>
      <c r="W108" s="102"/>
      <c r="X108" s="102"/>
      <c r="Y108" s="102"/>
    </row>
    <row r="109" spans="1:25" ht="22" customHeight="1">
      <c r="A109" s="146" t="s">
        <v>2059</v>
      </c>
      <c r="B109" s="146" t="s">
        <v>3248</v>
      </c>
      <c r="C109" s="146" t="s">
        <v>2047</v>
      </c>
      <c r="D109" s="147" t="s">
        <v>2148</v>
      </c>
      <c r="E109" s="147" t="s">
        <v>2161</v>
      </c>
      <c r="F109" s="147" t="s">
        <v>2060</v>
      </c>
      <c r="G109" s="147" t="s">
        <v>3520</v>
      </c>
      <c r="H109" s="147" t="s">
        <v>1943</v>
      </c>
      <c r="I109" s="150">
        <v>1</v>
      </c>
      <c r="J109" s="146" t="s">
        <v>2050</v>
      </c>
      <c r="K109" s="146" t="s">
        <v>2050</v>
      </c>
      <c r="L109" s="147" t="s">
        <v>2010</v>
      </c>
      <c r="M109" s="147" t="s">
        <v>2024</v>
      </c>
      <c r="N109" s="147" t="s">
        <v>2031</v>
      </c>
      <c r="O109" s="146" t="s">
        <v>2038</v>
      </c>
      <c r="P109" s="146" t="s">
        <v>956</v>
      </c>
      <c r="Q109" s="146" t="s">
        <v>1</v>
      </c>
      <c r="R109" s="146"/>
      <c r="S109" s="146" t="s">
        <v>2215</v>
      </c>
      <c r="T109"/>
      <c r="U109" s="102"/>
      <c r="V109" s="102"/>
      <c r="W109" s="102"/>
      <c r="X109" s="102"/>
      <c r="Y109" s="102"/>
    </row>
    <row r="110" spans="1:25" ht="22" customHeight="1">
      <c r="A110" s="146" t="s">
        <v>1523</v>
      </c>
      <c r="B110" s="146" t="s">
        <v>3244</v>
      </c>
      <c r="C110" s="146" t="s">
        <v>2049</v>
      </c>
      <c r="D110" s="147" t="s">
        <v>2148</v>
      </c>
      <c r="E110" s="147" t="s">
        <v>2161</v>
      </c>
      <c r="F110" s="147" t="s">
        <v>2088</v>
      </c>
      <c r="G110" s="147" t="s">
        <v>2429</v>
      </c>
      <c r="H110" s="147" t="s">
        <v>1804</v>
      </c>
      <c r="I110" s="150">
        <v>3</v>
      </c>
      <c r="J110" s="146" t="s">
        <v>2050</v>
      </c>
      <c r="K110" s="146" t="s">
        <v>2050</v>
      </c>
      <c r="L110" s="147" t="s">
        <v>2007</v>
      </c>
      <c r="M110" s="147" t="s">
        <v>2020</v>
      </c>
      <c r="N110" s="147" t="s">
        <v>2031</v>
      </c>
      <c r="O110" s="146" t="s">
        <v>2039</v>
      </c>
      <c r="P110" s="146" t="s">
        <v>956</v>
      </c>
      <c r="Q110" s="146" t="s">
        <v>1</v>
      </c>
      <c r="R110" s="146"/>
      <c r="S110" s="146" t="s">
        <v>2215</v>
      </c>
      <c r="T110"/>
      <c r="U110" s="102"/>
      <c r="V110" s="102"/>
      <c r="W110" s="102"/>
      <c r="X110" s="102"/>
      <c r="Y110" s="102"/>
    </row>
    <row r="111" spans="1:25" ht="22" customHeight="1">
      <c r="A111" s="146" t="s">
        <v>2061</v>
      </c>
      <c r="B111" s="146" t="s">
        <v>3248</v>
      </c>
      <c r="C111" s="146" t="s">
        <v>2047</v>
      </c>
      <c r="D111" s="147" t="s">
        <v>2148</v>
      </c>
      <c r="E111" s="147" t="s">
        <v>2176</v>
      </c>
      <c r="F111" s="147" t="s">
        <v>3257</v>
      </c>
      <c r="G111" s="147" t="s">
        <v>3520</v>
      </c>
      <c r="H111" s="147" t="s">
        <v>1943</v>
      </c>
      <c r="I111" s="150">
        <v>1</v>
      </c>
      <c r="J111" s="146" t="s">
        <v>2050</v>
      </c>
      <c r="K111" s="146" t="s">
        <v>2050</v>
      </c>
      <c r="L111" s="147" t="s">
        <v>2010</v>
      </c>
      <c r="M111" s="147" t="s">
        <v>2024</v>
      </c>
      <c r="N111" s="147" t="s">
        <v>2031</v>
      </c>
      <c r="O111" s="146" t="s">
        <v>2038</v>
      </c>
      <c r="P111" s="146" t="s">
        <v>956</v>
      </c>
      <c r="Q111" s="146" t="s">
        <v>1</v>
      </c>
      <c r="R111" s="146"/>
      <c r="S111" s="146" t="s">
        <v>2228</v>
      </c>
      <c r="T111"/>
      <c r="U111" s="102"/>
      <c r="V111" s="102"/>
      <c r="W111" s="102"/>
      <c r="X111" s="102"/>
      <c r="Y111" s="102"/>
    </row>
    <row r="112" spans="1:25" ht="22" customHeight="1">
      <c r="A112" s="146" t="s">
        <v>2026</v>
      </c>
      <c r="B112" s="146" t="s">
        <v>2359</v>
      </c>
      <c r="C112" s="146" t="s">
        <v>2049</v>
      </c>
      <c r="D112" s="147" t="s">
        <v>2148</v>
      </c>
      <c r="E112" s="147" t="s">
        <v>2176</v>
      </c>
      <c r="F112" s="147" t="s">
        <v>2085</v>
      </c>
      <c r="G112" s="147" t="s">
        <v>2027</v>
      </c>
      <c r="H112" s="147" t="s">
        <v>2110</v>
      </c>
      <c r="I112" s="150">
        <v>1</v>
      </c>
      <c r="J112" s="146" t="s">
        <v>2050</v>
      </c>
      <c r="K112" s="146" t="s">
        <v>2050</v>
      </c>
      <c r="L112" s="147" t="s">
        <v>2002</v>
      </c>
      <c r="M112" s="147" t="s">
        <v>2017</v>
      </c>
      <c r="N112" s="147" t="s">
        <v>2031</v>
      </c>
      <c r="O112" s="146" t="s">
        <v>2039</v>
      </c>
      <c r="P112" s="146" t="s">
        <v>956</v>
      </c>
      <c r="Q112" s="146" t="s">
        <v>1</v>
      </c>
      <c r="R112" s="146"/>
      <c r="S112" s="146" t="s">
        <v>2228</v>
      </c>
      <c r="T112"/>
    </row>
    <row r="113" spans="1:20" ht="22" customHeight="1">
      <c r="A113" s="146" t="s">
        <v>1511</v>
      </c>
      <c r="B113" s="146" t="s">
        <v>3243</v>
      </c>
      <c r="C113" s="146" t="s">
        <v>2049</v>
      </c>
      <c r="D113" s="147" t="s">
        <v>2148</v>
      </c>
      <c r="E113" s="147" t="s">
        <v>2176</v>
      </c>
      <c r="F113" s="147" t="s">
        <v>2083</v>
      </c>
      <c r="G113" s="147" t="s">
        <v>1800</v>
      </c>
      <c r="H113" s="147" t="s">
        <v>2104</v>
      </c>
      <c r="I113" s="150">
        <v>1</v>
      </c>
      <c r="J113" s="146" t="s">
        <v>2050</v>
      </c>
      <c r="K113" s="146" t="s">
        <v>2050</v>
      </c>
      <c r="L113" s="147" t="s">
        <v>2002</v>
      </c>
      <c r="M113" s="147" t="s">
        <v>2017</v>
      </c>
      <c r="N113" s="147" t="s">
        <v>2031</v>
      </c>
      <c r="O113" s="146" t="s">
        <v>2039</v>
      </c>
      <c r="P113" s="146" t="s">
        <v>956</v>
      </c>
      <c r="Q113" s="146" t="s">
        <v>1</v>
      </c>
      <c r="R113" s="146"/>
      <c r="S113" s="146" t="s">
        <v>2228</v>
      </c>
      <c r="T113"/>
    </row>
    <row r="114" spans="1:20" ht="22" customHeight="1">
      <c r="A114" s="146" t="s">
        <v>1477</v>
      </c>
      <c r="B114" s="146" t="s">
        <v>2417</v>
      </c>
      <c r="C114" s="146" t="s">
        <v>2047</v>
      </c>
      <c r="D114" s="147" t="s">
        <v>2148</v>
      </c>
      <c r="E114" s="147" t="s">
        <v>2187</v>
      </c>
      <c r="F114" s="147" t="s">
        <v>2067</v>
      </c>
      <c r="G114" s="147" t="s">
        <v>1846</v>
      </c>
      <c r="H114" s="147" t="s">
        <v>2103</v>
      </c>
      <c r="I114" s="150">
        <v>3</v>
      </c>
      <c r="J114" s="146" t="s">
        <v>2050</v>
      </c>
      <c r="K114" s="146" t="s">
        <v>2050</v>
      </c>
      <c r="L114" s="147" t="s">
        <v>2010</v>
      </c>
      <c r="M114" s="147" t="s">
        <v>2014</v>
      </c>
      <c r="N114" s="147" t="s">
        <v>2031</v>
      </c>
      <c r="O114" s="146" t="s">
        <v>2041</v>
      </c>
      <c r="P114" s="146" t="s">
        <v>956</v>
      </c>
      <c r="Q114" s="146" t="s">
        <v>1</v>
      </c>
      <c r="R114" s="146"/>
      <c r="S114" s="146" t="s">
        <v>2239</v>
      </c>
      <c r="T114"/>
    </row>
    <row r="115" spans="1:20" ht="22" customHeight="1">
      <c r="A115" s="146" t="s">
        <v>1524</v>
      </c>
      <c r="B115" s="146" t="s">
        <v>3246</v>
      </c>
      <c r="C115" s="146" t="s">
        <v>2049</v>
      </c>
      <c r="D115" s="147" t="s">
        <v>2150</v>
      </c>
      <c r="E115" s="147" t="s">
        <v>2203</v>
      </c>
      <c r="F115" s="147" t="s">
        <v>2089</v>
      </c>
      <c r="G115" s="147" t="s">
        <v>1805</v>
      </c>
      <c r="H115" s="147" t="s">
        <v>1806</v>
      </c>
      <c r="I115" s="150">
        <v>1</v>
      </c>
      <c r="J115" s="146" t="s">
        <v>2050</v>
      </c>
      <c r="K115" s="146" t="s">
        <v>2050</v>
      </c>
      <c r="L115" s="147" t="s">
        <v>2009</v>
      </c>
      <c r="M115" s="147" t="s">
        <v>2021</v>
      </c>
      <c r="N115" s="147" t="s">
        <v>2031</v>
      </c>
      <c r="O115" s="146" t="s">
        <v>2039</v>
      </c>
      <c r="P115" s="146" t="s">
        <v>956</v>
      </c>
      <c r="Q115" s="146" t="s">
        <v>1</v>
      </c>
      <c r="R115" s="146"/>
      <c r="S115" s="146" t="s">
        <v>2252</v>
      </c>
      <c r="T115"/>
    </row>
    <row r="116" spans="1:20" ht="22" customHeight="1">
      <c r="A116" s="146" t="s">
        <v>1525</v>
      </c>
      <c r="B116" s="146" t="s">
        <v>3246</v>
      </c>
      <c r="C116" s="146" t="s">
        <v>2049</v>
      </c>
      <c r="D116" s="147" t="s">
        <v>2150</v>
      </c>
      <c r="E116" s="147" t="s">
        <v>2203</v>
      </c>
      <c r="F116" s="147" t="s">
        <v>2090</v>
      </c>
      <c r="G116" s="147" t="s">
        <v>1807</v>
      </c>
      <c r="H116" s="147" t="s">
        <v>1808</v>
      </c>
      <c r="I116" s="150">
        <v>1</v>
      </c>
      <c r="J116" s="146" t="s">
        <v>2050</v>
      </c>
      <c r="K116" s="146" t="s">
        <v>2050</v>
      </c>
      <c r="L116" s="147" t="s">
        <v>2009</v>
      </c>
      <c r="M116" s="147" t="s">
        <v>2021</v>
      </c>
      <c r="N116" s="147" t="s">
        <v>2031</v>
      </c>
      <c r="O116" s="146" t="s">
        <v>2039</v>
      </c>
      <c r="P116" s="146" t="s">
        <v>956</v>
      </c>
      <c r="Q116" s="146" t="s">
        <v>1</v>
      </c>
      <c r="R116" s="146"/>
      <c r="S116" s="146" t="s">
        <v>2252</v>
      </c>
      <c r="T116"/>
    </row>
    <row r="117" spans="1:20" ht="22" customHeight="1">
      <c r="A117" s="113" t="s">
        <v>1526</v>
      </c>
      <c r="B117" s="113" t="s">
        <v>3246</v>
      </c>
      <c r="C117" s="113" t="s">
        <v>2049</v>
      </c>
      <c r="D117" s="113" t="s">
        <v>2150</v>
      </c>
      <c r="E117" s="113" t="s">
        <v>2203</v>
      </c>
      <c r="F117" s="113" t="s">
        <v>2091</v>
      </c>
      <c r="G117" s="113" t="s">
        <v>1809</v>
      </c>
      <c r="H117" s="113" t="s">
        <v>1810</v>
      </c>
      <c r="I117" s="145">
        <v>1</v>
      </c>
      <c r="J117" s="113" t="s">
        <v>2050</v>
      </c>
      <c r="K117" s="113" t="s">
        <v>2050</v>
      </c>
      <c r="L117" s="113" t="s">
        <v>2009</v>
      </c>
      <c r="M117" s="113" t="s">
        <v>2021</v>
      </c>
      <c r="N117" s="113" t="s">
        <v>2031</v>
      </c>
      <c r="O117" s="113" t="s">
        <v>2039</v>
      </c>
      <c r="P117" s="113" t="s">
        <v>956</v>
      </c>
      <c r="Q117" s="113" t="s">
        <v>1</v>
      </c>
      <c r="R117" s="113"/>
      <c r="S117" s="113" t="s">
        <v>2252</v>
      </c>
      <c r="T117"/>
    </row>
    <row r="118" spans="1:20" ht="22" customHeight="1">
      <c r="A118" s="113" t="s">
        <v>258</v>
      </c>
      <c r="B118" s="113" t="s">
        <v>3110</v>
      </c>
      <c r="C118" s="113" t="s">
        <v>2049</v>
      </c>
      <c r="D118" s="113" t="s">
        <v>2150</v>
      </c>
      <c r="E118" s="113" t="s">
        <v>2183</v>
      </c>
      <c r="F118" s="113" t="s">
        <v>2068</v>
      </c>
      <c r="G118" s="113" t="s">
        <v>1960</v>
      </c>
      <c r="H118" s="113" t="s">
        <v>1961</v>
      </c>
      <c r="I118" s="145">
        <v>1</v>
      </c>
      <c r="J118" s="113" t="s">
        <v>2050</v>
      </c>
      <c r="K118" s="113" t="s">
        <v>2050</v>
      </c>
      <c r="L118" s="113" t="s">
        <v>2009</v>
      </c>
      <c r="M118" s="113" t="s">
        <v>2025</v>
      </c>
      <c r="N118" s="113" t="s">
        <v>2031</v>
      </c>
      <c r="O118" s="113" t="s">
        <v>2039</v>
      </c>
      <c r="P118" s="113" t="s">
        <v>956</v>
      </c>
      <c r="Q118" s="113" t="s">
        <v>1</v>
      </c>
      <c r="R118" s="113"/>
      <c r="S118" s="113" t="s">
        <v>2234</v>
      </c>
      <c r="T118"/>
    </row>
    <row r="119" spans="1:20" ht="22" customHeight="1">
      <c r="A119" s="146" t="s">
        <v>1482</v>
      </c>
      <c r="B119" s="146" t="s">
        <v>2412</v>
      </c>
      <c r="C119" s="146" t="s">
        <v>2048</v>
      </c>
      <c r="D119" s="147" t="s">
        <v>2150</v>
      </c>
      <c r="E119" s="147" t="s">
        <v>2179</v>
      </c>
      <c r="F119" s="147" t="s">
        <v>1915</v>
      </c>
      <c r="G119" s="147" t="s">
        <v>2413</v>
      </c>
      <c r="H119" s="147" t="s">
        <v>2414</v>
      </c>
      <c r="I119" s="150">
        <v>1.5</v>
      </c>
      <c r="J119" s="146" t="s">
        <v>2050</v>
      </c>
      <c r="K119" s="146" t="s">
        <v>2050</v>
      </c>
      <c r="L119" s="147" t="s">
        <v>2002</v>
      </c>
      <c r="M119" s="147" t="s">
        <v>2415</v>
      </c>
      <c r="N119" s="147" t="s">
        <v>2031</v>
      </c>
      <c r="O119" s="146" t="s">
        <v>2041</v>
      </c>
      <c r="P119" s="146" t="s">
        <v>956</v>
      </c>
      <c r="Q119" s="146" t="s">
        <v>1</v>
      </c>
      <c r="R119" s="146"/>
      <c r="S119" s="146" t="s">
        <v>2231</v>
      </c>
      <c r="T119"/>
    </row>
    <row r="120" spans="1:20" ht="22" customHeight="1">
      <c r="A120" s="146" t="s">
        <v>1483</v>
      </c>
      <c r="B120" s="146" t="s">
        <v>2412</v>
      </c>
      <c r="C120" s="146" t="s">
        <v>2048</v>
      </c>
      <c r="D120" s="147" t="s">
        <v>2150</v>
      </c>
      <c r="E120" s="147" t="s">
        <v>2179</v>
      </c>
      <c r="F120" s="147" t="s">
        <v>1916</v>
      </c>
      <c r="G120" s="147" t="s">
        <v>1948</v>
      </c>
      <c r="H120" s="147" t="s">
        <v>1949</v>
      </c>
      <c r="I120" s="150">
        <v>0.5</v>
      </c>
      <c r="J120" s="146" t="s">
        <v>2050</v>
      </c>
      <c r="K120" s="146" t="s">
        <v>2050</v>
      </c>
      <c r="L120" s="147" t="s">
        <v>2009</v>
      </c>
      <c r="M120" s="147" t="s">
        <v>2025</v>
      </c>
      <c r="N120" s="147" t="s">
        <v>2031</v>
      </c>
      <c r="O120" s="146" t="s">
        <v>2039</v>
      </c>
      <c r="P120" s="146" t="s">
        <v>956</v>
      </c>
      <c r="Q120" s="146" t="s">
        <v>1</v>
      </c>
      <c r="R120" s="146"/>
      <c r="S120" s="146" t="s">
        <v>2231</v>
      </c>
      <c r="T120"/>
    </row>
    <row r="121" spans="1:20" ht="22" customHeight="1">
      <c r="A121" s="146" t="s">
        <v>1484</v>
      </c>
      <c r="B121" s="146" t="s">
        <v>2412</v>
      </c>
      <c r="C121" s="146" t="s">
        <v>2048</v>
      </c>
      <c r="D121" s="147" t="s">
        <v>2150</v>
      </c>
      <c r="E121" s="147" t="s">
        <v>2180</v>
      </c>
      <c r="F121" s="147" t="s">
        <v>1917</v>
      </c>
      <c r="G121" s="147" t="s">
        <v>1950</v>
      </c>
      <c r="H121" s="147" t="s">
        <v>1951</v>
      </c>
      <c r="I121" s="150">
        <v>0.5</v>
      </c>
      <c r="J121" s="146" t="s">
        <v>2050</v>
      </c>
      <c r="K121" s="146" t="s">
        <v>2050</v>
      </c>
      <c r="L121" s="147" t="s">
        <v>2009</v>
      </c>
      <c r="M121" s="147" t="s">
        <v>2025</v>
      </c>
      <c r="N121" s="147" t="s">
        <v>2031</v>
      </c>
      <c r="O121" s="146" t="s">
        <v>2039</v>
      </c>
      <c r="P121" s="146" t="s">
        <v>956</v>
      </c>
      <c r="Q121" s="146" t="s">
        <v>1</v>
      </c>
      <c r="R121" s="146"/>
      <c r="S121" s="146" t="s">
        <v>2232</v>
      </c>
      <c r="T121"/>
    </row>
    <row r="122" spans="1:20" ht="22" customHeight="1">
      <c r="A122" s="146" t="s">
        <v>4015</v>
      </c>
      <c r="B122" s="146" t="s">
        <v>3244</v>
      </c>
      <c r="C122" s="146" t="s">
        <v>2049</v>
      </c>
      <c r="D122" s="147" t="s">
        <v>2150</v>
      </c>
      <c r="E122" s="147" t="s">
        <v>4012</v>
      </c>
      <c r="F122" s="147" t="s">
        <v>4016</v>
      </c>
      <c r="G122" s="147" t="s">
        <v>4017</v>
      </c>
      <c r="H122" s="147" t="s">
        <v>4018</v>
      </c>
      <c r="I122" s="150">
        <v>2</v>
      </c>
      <c r="J122" s="146" t="s">
        <v>2050</v>
      </c>
      <c r="K122" s="146" t="s">
        <v>2050</v>
      </c>
      <c r="L122" s="147" t="s">
        <v>2002</v>
      </c>
      <c r="M122" s="147" t="s">
        <v>4019</v>
      </c>
      <c r="N122" s="147" t="s">
        <v>2031</v>
      </c>
      <c r="O122" s="146" t="s">
        <v>2039</v>
      </c>
      <c r="P122" s="146" t="s">
        <v>956</v>
      </c>
      <c r="Q122" s="146" t="s">
        <v>1</v>
      </c>
      <c r="R122" s="146"/>
      <c r="S122" s="146" t="s">
        <v>4013</v>
      </c>
      <c r="T122"/>
    </row>
    <row r="123" spans="1:20" ht="22" customHeight="1">
      <c r="A123" s="113" t="s">
        <v>257</v>
      </c>
      <c r="B123" s="113" t="s">
        <v>3248</v>
      </c>
      <c r="C123" s="113" t="s">
        <v>2047</v>
      </c>
      <c r="D123" s="113" t="s">
        <v>2150</v>
      </c>
      <c r="E123" s="113" t="s">
        <v>3307</v>
      </c>
      <c r="F123" s="113" t="s">
        <v>3521</v>
      </c>
      <c r="G123" s="113" t="s">
        <v>1944</v>
      </c>
      <c r="H123" s="113" t="s">
        <v>1945</v>
      </c>
      <c r="I123" s="145">
        <v>1</v>
      </c>
      <c r="J123" s="113" t="s">
        <v>2050</v>
      </c>
      <c r="K123" s="113" t="s">
        <v>2050</v>
      </c>
      <c r="L123" s="113" t="s">
        <v>2010</v>
      </c>
      <c r="M123" s="113" t="s">
        <v>2024</v>
      </c>
      <c r="N123" s="113" t="s">
        <v>2031</v>
      </c>
      <c r="O123" s="113" t="s">
        <v>2038</v>
      </c>
      <c r="P123" s="113" t="s">
        <v>956</v>
      </c>
      <c r="Q123" s="113" t="s">
        <v>1</v>
      </c>
      <c r="R123" s="113"/>
      <c r="S123" s="113" t="s">
        <v>2216</v>
      </c>
      <c r="T123"/>
    </row>
    <row r="124" spans="1:20" ht="22" customHeight="1">
      <c r="A124" s="113" t="s">
        <v>1535</v>
      </c>
      <c r="B124" s="113" t="s">
        <v>3454</v>
      </c>
      <c r="C124" s="113" t="s">
        <v>2049</v>
      </c>
      <c r="D124" s="113" t="s">
        <v>2150</v>
      </c>
      <c r="E124" s="113" t="s">
        <v>3307</v>
      </c>
      <c r="F124" s="113" t="s">
        <v>1922</v>
      </c>
      <c r="G124" s="113" t="s">
        <v>1821</v>
      </c>
      <c r="H124" s="113" t="s">
        <v>1822</v>
      </c>
      <c r="I124" s="145">
        <v>4</v>
      </c>
      <c r="J124" s="113" t="s">
        <v>2050</v>
      </c>
      <c r="K124" s="113" t="s">
        <v>2050</v>
      </c>
      <c r="L124" s="113" t="s">
        <v>2000</v>
      </c>
      <c r="M124" s="113" t="s">
        <v>3500</v>
      </c>
      <c r="N124" s="113" t="s">
        <v>2031</v>
      </c>
      <c r="O124" s="113" t="s">
        <v>2038</v>
      </c>
      <c r="P124" s="113" t="s">
        <v>956</v>
      </c>
      <c r="Q124" s="113" t="s">
        <v>1</v>
      </c>
      <c r="R124" s="113"/>
      <c r="S124" s="113" t="s">
        <v>2216</v>
      </c>
      <c r="T124"/>
    </row>
    <row r="125" spans="1:20" ht="22" customHeight="1">
      <c r="A125" s="113" t="s">
        <v>4020</v>
      </c>
      <c r="B125" s="113" t="s">
        <v>3454</v>
      </c>
      <c r="C125" s="113" t="s">
        <v>2049</v>
      </c>
      <c r="D125" s="113" t="s">
        <v>2150</v>
      </c>
      <c r="E125" s="113" t="s">
        <v>3307</v>
      </c>
      <c r="F125" s="113" t="s">
        <v>4021</v>
      </c>
      <c r="G125" s="113" t="s">
        <v>4022</v>
      </c>
      <c r="H125" s="113" t="s">
        <v>4023</v>
      </c>
      <c r="I125" s="145">
        <v>1</v>
      </c>
      <c r="J125" s="113" t="s">
        <v>2050</v>
      </c>
      <c r="K125" s="113" t="s">
        <v>2050</v>
      </c>
      <c r="L125" s="113" t="s">
        <v>2002</v>
      </c>
      <c r="M125" s="113" t="s">
        <v>4024</v>
      </c>
      <c r="N125" s="113" t="s">
        <v>2031</v>
      </c>
      <c r="O125" s="113" t="s">
        <v>2039</v>
      </c>
      <c r="P125" s="113" t="s">
        <v>956</v>
      </c>
      <c r="Q125" s="113" t="s">
        <v>1</v>
      </c>
      <c r="R125" s="113"/>
      <c r="S125" s="113" t="s">
        <v>2216</v>
      </c>
      <c r="T125"/>
    </row>
    <row r="126" spans="1:20" ht="22" customHeight="1">
      <c r="A126" s="113" t="s">
        <v>3109</v>
      </c>
      <c r="B126" s="113" t="s">
        <v>3110</v>
      </c>
      <c r="C126" s="113" t="s">
        <v>2049</v>
      </c>
      <c r="D126" s="113" t="s">
        <v>2150</v>
      </c>
      <c r="E126" s="113" t="s">
        <v>3100</v>
      </c>
      <c r="F126" s="113" t="s">
        <v>3111</v>
      </c>
      <c r="G126" s="113" t="s">
        <v>3112</v>
      </c>
      <c r="H126" s="113" t="s">
        <v>3113</v>
      </c>
      <c r="I126" s="145">
        <v>2</v>
      </c>
      <c r="J126" s="113" t="s">
        <v>2050</v>
      </c>
      <c r="K126" s="113" t="s">
        <v>2050</v>
      </c>
      <c r="L126" s="113" t="s">
        <v>2009</v>
      </c>
      <c r="M126" s="113" t="s">
        <v>3114</v>
      </c>
      <c r="N126" s="113" t="s">
        <v>2031</v>
      </c>
      <c r="O126" s="113" t="s">
        <v>2039</v>
      </c>
      <c r="P126" s="113" t="s">
        <v>956</v>
      </c>
      <c r="Q126" s="113" t="s">
        <v>1</v>
      </c>
      <c r="R126" s="113"/>
      <c r="S126" s="113" t="s">
        <v>3101</v>
      </c>
      <c r="T126"/>
    </row>
    <row r="127" spans="1:20" ht="22" customHeight="1">
      <c r="A127" s="113" t="s">
        <v>3115</v>
      </c>
      <c r="B127" s="113" t="s">
        <v>3110</v>
      </c>
      <c r="C127" s="113" t="s">
        <v>2049</v>
      </c>
      <c r="D127" s="113" t="s">
        <v>2150</v>
      </c>
      <c r="E127" s="113" t="s">
        <v>3100</v>
      </c>
      <c r="F127" s="113" t="s">
        <v>3116</v>
      </c>
      <c r="G127" s="113" t="s">
        <v>3117</v>
      </c>
      <c r="H127" s="113" t="s">
        <v>3118</v>
      </c>
      <c r="I127" s="145">
        <v>2</v>
      </c>
      <c r="J127" s="113" t="s">
        <v>2050</v>
      </c>
      <c r="K127" s="113" t="s">
        <v>2050</v>
      </c>
      <c r="L127" s="113" t="s">
        <v>2002</v>
      </c>
      <c r="M127" s="113" t="s">
        <v>3119</v>
      </c>
      <c r="N127" s="113" t="s">
        <v>2031</v>
      </c>
      <c r="O127" s="113" t="s">
        <v>2039</v>
      </c>
      <c r="P127" s="113" t="s">
        <v>956</v>
      </c>
      <c r="Q127" s="113" t="s">
        <v>1</v>
      </c>
      <c r="R127" s="113"/>
      <c r="S127" s="113" t="s">
        <v>3101</v>
      </c>
      <c r="T127"/>
    </row>
    <row r="128" spans="1:20" ht="22" customHeight="1">
      <c r="A128" s="113" t="s">
        <v>3120</v>
      </c>
      <c r="B128" s="113" t="s">
        <v>3110</v>
      </c>
      <c r="C128" s="113" t="s">
        <v>2049</v>
      </c>
      <c r="D128" s="113" t="s">
        <v>2150</v>
      </c>
      <c r="E128" s="113" t="s">
        <v>3100</v>
      </c>
      <c r="F128" s="113" t="s">
        <v>3121</v>
      </c>
      <c r="G128" s="113" t="s">
        <v>3122</v>
      </c>
      <c r="H128" s="113" t="s">
        <v>3123</v>
      </c>
      <c r="I128" s="145">
        <v>1.5</v>
      </c>
      <c r="J128" s="113" t="s">
        <v>2050</v>
      </c>
      <c r="K128" s="113" t="s">
        <v>2050</v>
      </c>
      <c r="L128" s="113" t="s">
        <v>2009</v>
      </c>
      <c r="M128" s="113" t="s">
        <v>3124</v>
      </c>
      <c r="N128" s="113" t="s">
        <v>2031</v>
      </c>
      <c r="O128" s="113" t="s">
        <v>2039</v>
      </c>
      <c r="P128" s="113" t="s">
        <v>956</v>
      </c>
      <c r="Q128" s="113" t="s">
        <v>1</v>
      </c>
      <c r="R128" s="113"/>
      <c r="S128" s="113" t="s">
        <v>3101</v>
      </c>
      <c r="T128"/>
    </row>
    <row r="129" spans="1:20" ht="22" customHeight="1">
      <c r="A129" s="113" t="s">
        <v>3135</v>
      </c>
      <c r="B129" s="113" t="s">
        <v>3110</v>
      </c>
      <c r="C129" s="113" t="s">
        <v>2049</v>
      </c>
      <c r="D129" s="113" t="s">
        <v>2150</v>
      </c>
      <c r="E129" s="113" t="s">
        <v>3100</v>
      </c>
      <c r="F129" s="113" t="s">
        <v>3136</v>
      </c>
      <c r="G129" s="113" t="s">
        <v>3137</v>
      </c>
      <c r="H129" s="113" t="s">
        <v>3138</v>
      </c>
      <c r="I129" s="145">
        <v>1.5</v>
      </c>
      <c r="J129" s="113" t="s">
        <v>2050</v>
      </c>
      <c r="K129" s="113" t="s">
        <v>2050</v>
      </c>
      <c r="L129" s="113" t="s">
        <v>2002</v>
      </c>
      <c r="M129" s="113" t="s">
        <v>3258</v>
      </c>
      <c r="N129" s="113" t="s">
        <v>2031</v>
      </c>
      <c r="O129" s="113" t="s">
        <v>2039</v>
      </c>
      <c r="P129" s="113" t="s">
        <v>956</v>
      </c>
      <c r="Q129" s="113" t="s">
        <v>1</v>
      </c>
      <c r="R129" s="113"/>
      <c r="S129" s="113" t="s">
        <v>3101</v>
      </c>
      <c r="T129"/>
    </row>
    <row r="130" spans="1:20" ht="22" customHeight="1">
      <c r="A130" s="113" t="s">
        <v>3125</v>
      </c>
      <c r="B130" s="113" t="s">
        <v>3110</v>
      </c>
      <c r="C130" s="113" t="s">
        <v>2049</v>
      </c>
      <c r="D130" s="113" t="s">
        <v>2150</v>
      </c>
      <c r="E130" s="113" t="s">
        <v>3103</v>
      </c>
      <c r="F130" s="113" t="s">
        <v>3126</v>
      </c>
      <c r="G130" s="113" t="s">
        <v>3127</v>
      </c>
      <c r="H130" s="113" t="s">
        <v>3128</v>
      </c>
      <c r="I130" s="145">
        <v>2</v>
      </c>
      <c r="J130" s="113" t="s">
        <v>2050</v>
      </c>
      <c r="K130" s="113" t="s">
        <v>2050</v>
      </c>
      <c r="L130" s="113" t="s">
        <v>2006</v>
      </c>
      <c r="M130" s="113" t="s">
        <v>3129</v>
      </c>
      <c r="N130" s="113" t="s">
        <v>2031</v>
      </c>
      <c r="O130" s="113" t="s">
        <v>2039</v>
      </c>
      <c r="P130" s="113" t="s">
        <v>956</v>
      </c>
      <c r="Q130" s="113" t="s">
        <v>1</v>
      </c>
      <c r="R130" s="113"/>
      <c r="S130" s="113" t="s">
        <v>3104</v>
      </c>
      <c r="T130"/>
    </row>
    <row r="131" spans="1:20" ht="22" customHeight="1">
      <c r="A131" s="146" t="s">
        <v>3130</v>
      </c>
      <c r="B131" s="146" t="s">
        <v>3110</v>
      </c>
      <c r="C131" s="146" t="s">
        <v>2049</v>
      </c>
      <c r="D131" s="147" t="s">
        <v>2150</v>
      </c>
      <c r="E131" s="147" t="s">
        <v>3106</v>
      </c>
      <c r="F131" s="147" t="s">
        <v>3131</v>
      </c>
      <c r="G131" s="147" t="s">
        <v>3132</v>
      </c>
      <c r="H131" s="147" t="s">
        <v>3133</v>
      </c>
      <c r="I131" s="150">
        <v>2</v>
      </c>
      <c r="J131" s="146" t="s">
        <v>2050</v>
      </c>
      <c r="K131" s="146" t="s">
        <v>2050</v>
      </c>
      <c r="L131" s="147" t="s">
        <v>2009</v>
      </c>
      <c r="M131" s="147" t="s">
        <v>3134</v>
      </c>
      <c r="N131" s="147" t="s">
        <v>2031</v>
      </c>
      <c r="O131" s="146" t="s">
        <v>2039</v>
      </c>
      <c r="P131" s="146" t="s">
        <v>956</v>
      </c>
      <c r="Q131" s="146" t="s">
        <v>1</v>
      </c>
      <c r="R131" s="146"/>
      <c r="S131" s="146" t="s">
        <v>3107</v>
      </c>
      <c r="T131"/>
    </row>
    <row r="132" spans="1:20" ht="22" customHeight="1">
      <c r="A132" s="146" t="s">
        <v>3139</v>
      </c>
      <c r="B132" s="146" t="s">
        <v>3110</v>
      </c>
      <c r="C132" s="146" t="s">
        <v>2048</v>
      </c>
      <c r="D132" s="147" t="s">
        <v>2150</v>
      </c>
      <c r="E132" s="147" t="s">
        <v>3106</v>
      </c>
      <c r="F132" s="147" t="s">
        <v>3140</v>
      </c>
      <c r="G132" s="147" t="s">
        <v>3141</v>
      </c>
      <c r="H132" s="147" t="s">
        <v>3142</v>
      </c>
      <c r="I132" s="150">
        <v>1.5</v>
      </c>
      <c r="J132" s="146" t="s">
        <v>2050</v>
      </c>
      <c r="K132" s="146" t="s">
        <v>2050</v>
      </c>
      <c r="L132" s="147" t="s">
        <v>2009</v>
      </c>
      <c r="M132" s="147" t="s">
        <v>3143</v>
      </c>
      <c r="N132" s="147" t="s">
        <v>2031</v>
      </c>
      <c r="O132" s="146" t="s">
        <v>2039</v>
      </c>
      <c r="P132" s="146" t="s">
        <v>956</v>
      </c>
      <c r="Q132" s="146" t="s">
        <v>1</v>
      </c>
      <c r="R132" s="146"/>
      <c r="S132" s="146" t="s">
        <v>3107</v>
      </c>
      <c r="T132"/>
    </row>
    <row r="133" spans="1:20" ht="22" customHeight="1">
      <c r="A133" s="146" t="s">
        <v>1478</v>
      </c>
      <c r="B133" s="146" t="s">
        <v>3248</v>
      </c>
      <c r="C133" s="146" t="s">
        <v>2047</v>
      </c>
      <c r="D133" s="147" t="s">
        <v>2151</v>
      </c>
      <c r="E133" s="147" t="s">
        <v>2173</v>
      </c>
      <c r="F133" s="147" t="s">
        <v>1910</v>
      </c>
      <c r="G133" s="147" t="s">
        <v>1935</v>
      </c>
      <c r="H133" s="147" t="s">
        <v>1936</v>
      </c>
      <c r="I133" s="150">
        <v>1</v>
      </c>
      <c r="J133" s="146" t="s">
        <v>2050</v>
      </c>
      <c r="K133" s="146" t="s">
        <v>2050</v>
      </c>
      <c r="L133" s="147" t="s">
        <v>2010</v>
      </c>
      <c r="M133" s="147" t="s">
        <v>2116</v>
      </c>
      <c r="N133" s="147" t="s">
        <v>2119</v>
      </c>
      <c r="O133" s="146" t="s">
        <v>2038</v>
      </c>
      <c r="P133" s="146" t="s">
        <v>956</v>
      </c>
      <c r="Q133" s="146" t="s">
        <v>1</v>
      </c>
      <c r="R133" s="146"/>
      <c r="S133" s="146" t="s">
        <v>2225</v>
      </c>
      <c r="T133"/>
    </row>
    <row r="134" spans="1:20" ht="22" customHeight="1">
      <c r="A134" s="113" t="s">
        <v>1479</v>
      </c>
      <c r="B134" s="113" t="s">
        <v>3248</v>
      </c>
      <c r="C134" s="113" t="s">
        <v>2047</v>
      </c>
      <c r="D134" s="113" t="s">
        <v>2151</v>
      </c>
      <c r="E134" s="113" t="s">
        <v>2173</v>
      </c>
      <c r="F134" s="113" t="s">
        <v>1911</v>
      </c>
      <c r="G134" s="113" t="s">
        <v>1937</v>
      </c>
      <c r="H134" s="113" t="s">
        <v>1938</v>
      </c>
      <c r="I134" s="145">
        <v>1</v>
      </c>
      <c r="J134" s="113" t="s">
        <v>2050</v>
      </c>
      <c r="K134" s="113" t="s">
        <v>2050</v>
      </c>
      <c r="L134" s="113" t="s">
        <v>2010</v>
      </c>
      <c r="M134" s="113" t="s">
        <v>2024</v>
      </c>
      <c r="N134" s="113" t="s">
        <v>2031</v>
      </c>
      <c r="O134" s="113" t="s">
        <v>2038</v>
      </c>
      <c r="P134" s="113" t="s">
        <v>1478</v>
      </c>
      <c r="Q134" s="113" t="s">
        <v>1</v>
      </c>
      <c r="R134" s="113"/>
      <c r="S134" s="113" t="s">
        <v>2225</v>
      </c>
      <c r="T134"/>
    </row>
    <row r="135" spans="1:20" ht="22" customHeight="1">
      <c r="A135" s="146" t="s">
        <v>1480</v>
      </c>
      <c r="B135" s="146" t="s">
        <v>3248</v>
      </c>
      <c r="C135" s="146" t="s">
        <v>2047</v>
      </c>
      <c r="D135" s="147" t="s">
        <v>2151</v>
      </c>
      <c r="E135" s="147" t="s">
        <v>2173</v>
      </c>
      <c r="F135" s="147" t="s">
        <v>1912</v>
      </c>
      <c r="G135" s="147" t="s">
        <v>1939</v>
      </c>
      <c r="H135" s="147" t="s">
        <v>1940</v>
      </c>
      <c r="I135" s="150">
        <v>1</v>
      </c>
      <c r="J135" s="146" t="s">
        <v>2050</v>
      </c>
      <c r="K135" s="146" t="s">
        <v>2050</v>
      </c>
      <c r="L135" s="147" t="s">
        <v>2010</v>
      </c>
      <c r="M135" s="147" t="s">
        <v>2117</v>
      </c>
      <c r="N135" s="147" t="s">
        <v>2119</v>
      </c>
      <c r="O135" s="146" t="s">
        <v>2038</v>
      </c>
      <c r="P135" s="146" t="s">
        <v>1478</v>
      </c>
      <c r="Q135" s="146" t="s">
        <v>1</v>
      </c>
      <c r="R135" s="146"/>
      <c r="S135" s="146" t="s">
        <v>2225</v>
      </c>
      <c r="T135"/>
    </row>
    <row r="136" spans="1:20" ht="22" customHeight="1">
      <c r="A136" s="146" t="s">
        <v>2416</v>
      </c>
      <c r="B136" s="146" t="s">
        <v>2417</v>
      </c>
      <c r="C136" s="146" t="s">
        <v>2047</v>
      </c>
      <c r="D136" s="147" t="s">
        <v>2151</v>
      </c>
      <c r="E136" s="147" t="s">
        <v>2170</v>
      </c>
      <c r="F136" s="147" t="s">
        <v>2418</v>
      </c>
      <c r="G136" s="147" t="s">
        <v>2419</v>
      </c>
      <c r="H136" s="147" t="s">
        <v>2420</v>
      </c>
      <c r="I136" s="150">
        <v>1.5</v>
      </c>
      <c r="J136" s="146" t="s">
        <v>2050</v>
      </c>
      <c r="K136" s="146" t="s">
        <v>1470</v>
      </c>
      <c r="L136" s="147" t="s">
        <v>2002</v>
      </c>
      <c r="M136" s="147" t="s">
        <v>3522</v>
      </c>
      <c r="N136" s="147" t="s">
        <v>2031</v>
      </c>
      <c r="O136" s="146" t="s">
        <v>2041</v>
      </c>
      <c r="P136" s="146" t="s">
        <v>956</v>
      </c>
      <c r="Q136" s="146" t="s">
        <v>1</v>
      </c>
      <c r="R136" s="146"/>
      <c r="S136" s="146" t="s">
        <v>2223</v>
      </c>
      <c r="T136"/>
    </row>
    <row r="137" spans="1:20" ht="22" customHeight="1">
      <c r="A137" s="146" t="s">
        <v>1502</v>
      </c>
      <c r="B137" s="146" t="s">
        <v>3243</v>
      </c>
      <c r="C137" s="146" t="s">
        <v>2049</v>
      </c>
      <c r="D137" s="147" t="s">
        <v>2153</v>
      </c>
      <c r="E137" s="147" t="s">
        <v>2186</v>
      </c>
      <c r="F137" s="147" t="s">
        <v>2076</v>
      </c>
      <c r="G137" s="147" t="s">
        <v>1784</v>
      </c>
      <c r="H137" s="147" t="s">
        <v>1785</v>
      </c>
      <c r="I137" s="150">
        <v>0.5</v>
      </c>
      <c r="J137" s="146" t="s">
        <v>2113</v>
      </c>
      <c r="K137" s="146" t="s">
        <v>2113</v>
      </c>
      <c r="L137" s="147" t="s">
        <v>2008</v>
      </c>
      <c r="M137" s="147" t="s">
        <v>2022</v>
      </c>
      <c r="N137" s="147" t="s">
        <v>2031</v>
      </c>
      <c r="O137" s="146" t="s">
        <v>2040</v>
      </c>
      <c r="P137" s="146" t="s">
        <v>956</v>
      </c>
      <c r="Q137" s="146" t="s">
        <v>1</v>
      </c>
      <c r="R137" s="146"/>
      <c r="S137" s="146" t="s">
        <v>2237</v>
      </c>
      <c r="T137"/>
    </row>
    <row r="138" spans="1:20" ht="22" customHeight="1">
      <c r="A138" s="146" t="s">
        <v>1503</v>
      </c>
      <c r="B138" s="146" t="s">
        <v>3243</v>
      </c>
      <c r="C138" s="146" t="s">
        <v>2049</v>
      </c>
      <c r="D138" s="147" t="s">
        <v>2153</v>
      </c>
      <c r="E138" s="147" t="s">
        <v>2186</v>
      </c>
      <c r="F138" s="147" t="s">
        <v>2077</v>
      </c>
      <c r="G138" s="147" t="s">
        <v>1786</v>
      </c>
      <c r="H138" s="147" t="s">
        <v>1787</v>
      </c>
      <c r="I138" s="150">
        <v>3</v>
      </c>
      <c r="J138" s="146" t="s">
        <v>2113</v>
      </c>
      <c r="K138" s="146" t="s">
        <v>2113</v>
      </c>
      <c r="L138" s="147" t="s">
        <v>1999</v>
      </c>
      <c r="M138" s="147" t="s">
        <v>3523</v>
      </c>
      <c r="N138" s="147" t="s">
        <v>2031</v>
      </c>
      <c r="O138" s="146" t="s">
        <v>2037</v>
      </c>
      <c r="P138" s="146" t="s">
        <v>956</v>
      </c>
      <c r="Q138" s="146" t="s">
        <v>1</v>
      </c>
      <c r="R138" s="146"/>
      <c r="S138" s="146" t="s">
        <v>2237</v>
      </c>
      <c r="T138"/>
    </row>
    <row r="139" spans="1:20" ht="22" customHeight="1">
      <c r="A139" s="146" t="s">
        <v>2055</v>
      </c>
      <c r="B139" s="146" t="s">
        <v>2359</v>
      </c>
      <c r="C139" s="146" t="s">
        <v>2049</v>
      </c>
      <c r="D139" s="147" t="s">
        <v>2153</v>
      </c>
      <c r="E139" s="147" t="s">
        <v>2189</v>
      </c>
      <c r="F139" s="147" t="s">
        <v>3524</v>
      </c>
      <c r="G139" s="147" t="s">
        <v>2030</v>
      </c>
      <c r="H139" s="147" t="s">
        <v>1801</v>
      </c>
      <c r="I139" s="150">
        <v>2</v>
      </c>
      <c r="J139" s="146" t="s">
        <v>2050</v>
      </c>
      <c r="K139" s="146" t="s">
        <v>2050</v>
      </c>
      <c r="L139" s="147" t="s">
        <v>2004</v>
      </c>
      <c r="M139" s="147" t="s">
        <v>2019</v>
      </c>
      <c r="N139" s="147" t="s">
        <v>2031</v>
      </c>
      <c r="O139" s="146" t="s">
        <v>2041</v>
      </c>
      <c r="P139" s="146" t="s">
        <v>956</v>
      </c>
      <c r="Q139" s="146" t="s">
        <v>1</v>
      </c>
      <c r="R139" s="146"/>
      <c r="S139" s="146" t="s">
        <v>2241</v>
      </c>
      <c r="T139"/>
    </row>
    <row r="140" spans="1:20" ht="22" customHeight="1">
      <c r="A140" s="146" t="s">
        <v>1505</v>
      </c>
      <c r="B140" s="146" t="s">
        <v>3243</v>
      </c>
      <c r="C140" s="146" t="s">
        <v>2049</v>
      </c>
      <c r="D140" s="147" t="s">
        <v>2153</v>
      </c>
      <c r="E140" s="147" t="s">
        <v>2188</v>
      </c>
      <c r="F140" s="147" t="s">
        <v>2079</v>
      </c>
      <c r="G140" s="147" t="s">
        <v>3525</v>
      </c>
      <c r="H140" s="147" t="s">
        <v>1790</v>
      </c>
      <c r="I140" s="150">
        <v>0.5</v>
      </c>
      <c r="J140" s="146" t="s">
        <v>2050</v>
      </c>
      <c r="K140" s="146" t="s">
        <v>2050</v>
      </c>
      <c r="L140" s="147" t="s">
        <v>2008</v>
      </c>
      <c r="M140" s="147" t="s">
        <v>2022</v>
      </c>
      <c r="N140" s="147" t="s">
        <v>2031</v>
      </c>
      <c r="O140" s="146" t="s">
        <v>2040</v>
      </c>
      <c r="P140" s="146" t="s">
        <v>956</v>
      </c>
      <c r="Q140" s="146" t="s">
        <v>1</v>
      </c>
      <c r="R140" s="146"/>
      <c r="S140" s="146" t="s">
        <v>2240</v>
      </c>
      <c r="T140"/>
    </row>
    <row r="141" spans="1:20" ht="22" customHeight="1">
      <c r="A141" s="146" t="s">
        <v>1506</v>
      </c>
      <c r="B141" s="146" t="s">
        <v>3243</v>
      </c>
      <c r="C141" s="146" t="s">
        <v>2049</v>
      </c>
      <c r="D141" s="147" t="s">
        <v>2153</v>
      </c>
      <c r="E141" s="147" t="s">
        <v>2188</v>
      </c>
      <c r="F141" s="147" t="s">
        <v>2080</v>
      </c>
      <c r="G141" s="147" t="s">
        <v>1791</v>
      </c>
      <c r="H141" s="147" t="s">
        <v>1792</v>
      </c>
      <c r="I141" s="150">
        <v>1</v>
      </c>
      <c r="J141" s="146" t="s">
        <v>2050</v>
      </c>
      <c r="K141" s="146" t="s">
        <v>2050</v>
      </c>
      <c r="L141" s="147" t="s">
        <v>2008</v>
      </c>
      <c r="M141" s="147" t="s">
        <v>2022</v>
      </c>
      <c r="N141" s="147" t="s">
        <v>2031</v>
      </c>
      <c r="O141" s="146" t="s">
        <v>2038</v>
      </c>
      <c r="P141" s="146" t="s">
        <v>956</v>
      </c>
      <c r="Q141" s="146" t="s">
        <v>1</v>
      </c>
      <c r="R141" s="146"/>
      <c r="S141" s="146" t="s">
        <v>2240</v>
      </c>
      <c r="T141"/>
    </row>
    <row r="142" spans="1:20" ht="22" customHeight="1">
      <c r="A142" s="146" t="s">
        <v>1496</v>
      </c>
      <c r="B142" s="146" t="s">
        <v>3243</v>
      </c>
      <c r="C142" s="146" t="s">
        <v>2049</v>
      </c>
      <c r="D142" s="147" t="s">
        <v>2155</v>
      </c>
      <c r="E142" s="147" t="s">
        <v>2184</v>
      </c>
      <c r="F142" s="147" t="s">
        <v>2070</v>
      </c>
      <c r="G142" s="147" t="s">
        <v>1774</v>
      </c>
      <c r="H142" s="147" t="s">
        <v>1775</v>
      </c>
      <c r="I142" s="150">
        <v>1</v>
      </c>
      <c r="J142" s="146" t="s">
        <v>2050</v>
      </c>
      <c r="K142" s="146" t="s">
        <v>2050</v>
      </c>
      <c r="L142" s="147" t="s">
        <v>2008</v>
      </c>
      <c r="M142" s="147" t="s">
        <v>2022</v>
      </c>
      <c r="N142" s="147" t="s">
        <v>2031</v>
      </c>
      <c r="O142" s="146" t="s">
        <v>2040</v>
      </c>
      <c r="P142" s="146" t="s">
        <v>956</v>
      </c>
      <c r="Q142" s="146" t="s">
        <v>1</v>
      </c>
      <c r="R142" s="146"/>
      <c r="S142" s="146" t="s">
        <v>2235</v>
      </c>
      <c r="T142"/>
    </row>
    <row r="143" spans="1:20" ht="22" customHeight="1">
      <c r="A143" s="146" t="s">
        <v>1497</v>
      </c>
      <c r="B143" s="146" t="s">
        <v>3243</v>
      </c>
      <c r="C143" s="146" t="s">
        <v>2049</v>
      </c>
      <c r="D143" s="147" t="s">
        <v>2155</v>
      </c>
      <c r="E143" s="147" t="s">
        <v>2184</v>
      </c>
      <c r="F143" s="147" t="s">
        <v>2071</v>
      </c>
      <c r="G143" s="147" t="s">
        <v>1776</v>
      </c>
      <c r="H143" s="147" t="s">
        <v>1777</v>
      </c>
      <c r="I143" s="150">
        <v>1</v>
      </c>
      <c r="J143" s="146" t="s">
        <v>2050</v>
      </c>
      <c r="K143" s="146" t="s">
        <v>2050</v>
      </c>
      <c r="L143" s="147" t="s">
        <v>2008</v>
      </c>
      <c r="M143" s="147" t="s">
        <v>2022</v>
      </c>
      <c r="N143" s="147" t="s">
        <v>2031</v>
      </c>
      <c r="O143" s="146" t="s">
        <v>2040</v>
      </c>
      <c r="P143" s="146" t="s">
        <v>956</v>
      </c>
      <c r="Q143" s="146" t="s">
        <v>1</v>
      </c>
      <c r="R143" s="146"/>
      <c r="S143" s="146" t="s">
        <v>2235</v>
      </c>
      <c r="T143"/>
    </row>
    <row r="144" spans="1:20" ht="22" customHeight="1">
      <c r="A144" s="146" t="s">
        <v>1498</v>
      </c>
      <c r="B144" s="146" t="s">
        <v>3243</v>
      </c>
      <c r="C144" s="146" t="s">
        <v>2049</v>
      </c>
      <c r="D144" s="147" t="s">
        <v>2155</v>
      </c>
      <c r="E144" s="147" t="s">
        <v>2184</v>
      </c>
      <c r="F144" s="147" t="s">
        <v>2072</v>
      </c>
      <c r="G144" s="147" t="s">
        <v>1778</v>
      </c>
      <c r="H144" s="147" t="s">
        <v>1779</v>
      </c>
      <c r="I144" s="150">
        <v>0.5</v>
      </c>
      <c r="J144" s="146" t="s">
        <v>2050</v>
      </c>
      <c r="K144" s="146" t="s">
        <v>2050</v>
      </c>
      <c r="L144" s="147" t="s">
        <v>2008</v>
      </c>
      <c r="M144" s="147" t="s">
        <v>2022</v>
      </c>
      <c r="N144" s="147" t="s">
        <v>2031</v>
      </c>
      <c r="O144" s="146" t="s">
        <v>2040</v>
      </c>
      <c r="P144" s="146" t="s">
        <v>956</v>
      </c>
      <c r="Q144" s="146" t="s">
        <v>1</v>
      </c>
      <c r="R144" s="146"/>
      <c r="S144" s="146" t="s">
        <v>2235</v>
      </c>
      <c r="T144"/>
    </row>
    <row r="145" spans="1:20" ht="22" customHeight="1">
      <c r="A145" s="146" t="s">
        <v>1507</v>
      </c>
      <c r="B145" s="146" t="s">
        <v>3243</v>
      </c>
      <c r="C145" s="146" t="s">
        <v>2049</v>
      </c>
      <c r="D145" s="147" t="s">
        <v>2155</v>
      </c>
      <c r="E145" s="147" t="s">
        <v>2190</v>
      </c>
      <c r="F145" s="147" t="s">
        <v>1602</v>
      </c>
      <c r="G145" s="147" t="s">
        <v>1793</v>
      </c>
      <c r="H145" s="147" t="s">
        <v>1794</v>
      </c>
      <c r="I145" s="150">
        <v>2</v>
      </c>
      <c r="J145" s="146" t="s">
        <v>2050</v>
      </c>
      <c r="K145" s="146" t="s">
        <v>2113</v>
      </c>
      <c r="L145" s="147" t="s">
        <v>2008</v>
      </c>
      <c r="M145" s="147" t="s">
        <v>2042</v>
      </c>
      <c r="N145" s="147" t="s">
        <v>2031</v>
      </c>
      <c r="O145" s="146" t="s">
        <v>2037</v>
      </c>
      <c r="P145" s="146" t="s">
        <v>956</v>
      </c>
      <c r="Q145" s="146" t="s">
        <v>2120</v>
      </c>
      <c r="R145" s="146"/>
      <c r="S145" s="146" t="s">
        <v>2243</v>
      </c>
      <c r="T145"/>
    </row>
    <row r="146" spans="1:20" ht="22" customHeight="1">
      <c r="A146" s="146" t="s">
        <v>1510</v>
      </c>
      <c r="B146" s="146" t="s">
        <v>3243</v>
      </c>
      <c r="C146" s="146" t="s">
        <v>2049</v>
      </c>
      <c r="D146" s="147" t="s">
        <v>2155</v>
      </c>
      <c r="E146" s="147" t="s">
        <v>2190</v>
      </c>
      <c r="F146" s="147" t="s">
        <v>1603</v>
      </c>
      <c r="G146" s="147" t="s">
        <v>1798</v>
      </c>
      <c r="H146" s="147" t="s">
        <v>1799</v>
      </c>
      <c r="I146" s="150">
        <v>5</v>
      </c>
      <c r="J146" s="146" t="s">
        <v>2050</v>
      </c>
      <c r="K146" s="146" t="s">
        <v>2050</v>
      </c>
      <c r="L146" s="147" t="s">
        <v>2008</v>
      </c>
      <c r="M146" s="147" t="s">
        <v>2022</v>
      </c>
      <c r="N146" s="147" t="s">
        <v>2031</v>
      </c>
      <c r="O146" s="146" t="s">
        <v>2040</v>
      </c>
      <c r="P146" s="146" t="s">
        <v>956</v>
      </c>
      <c r="Q146" s="146" t="s">
        <v>2120</v>
      </c>
      <c r="R146" s="146"/>
      <c r="S146" s="146" t="s">
        <v>2243</v>
      </c>
      <c r="T146"/>
    </row>
    <row r="147" spans="1:20" ht="22" customHeight="1">
      <c r="A147" s="146" t="s">
        <v>1528</v>
      </c>
      <c r="B147" s="146" t="s">
        <v>3250</v>
      </c>
      <c r="C147" s="146" t="s">
        <v>2046</v>
      </c>
      <c r="D147" s="147" t="s">
        <v>2155</v>
      </c>
      <c r="E147" s="147" t="s">
        <v>2205</v>
      </c>
      <c r="F147" s="147" t="s">
        <v>1607</v>
      </c>
      <c r="G147" s="147" t="s">
        <v>1813</v>
      </c>
      <c r="H147" s="152" t="s">
        <v>1814</v>
      </c>
      <c r="I147" s="150">
        <v>1</v>
      </c>
      <c r="J147" s="146" t="s">
        <v>2050</v>
      </c>
      <c r="K147" s="146" t="s">
        <v>2050</v>
      </c>
      <c r="L147" s="147" t="s">
        <v>2008</v>
      </c>
      <c r="M147" s="147" t="s">
        <v>2023</v>
      </c>
      <c r="N147" s="147" t="s">
        <v>2031</v>
      </c>
      <c r="O147" s="146" t="s">
        <v>2040</v>
      </c>
      <c r="P147" s="146" t="s">
        <v>956</v>
      </c>
      <c r="Q147" s="146" t="s">
        <v>1</v>
      </c>
      <c r="R147" s="146"/>
      <c r="S147" s="146" t="s">
        <v>2254</v>
      </c>
      <c r="T147"/>
    </row>
    <row r="148" spans="1:20" ht="22" customHeight="1">
      <c r="A148" s="146" t="s">
        <v>1529</v>
      </c>
      <c r="B148" s="146" t="s">
        <v>3250</v>
      </c>
      <c r="C148" s="146" t="s">
        <v>2046</v>
      </c>
      <c r="D148" s="147" t="s">
        <v>2155</v>
      </c>
      <c r="E148" s="147" t="s">
        <v>2205</v>
      </c>
      <c r="F148" s="147" t="s">
        <v>1596</v>
      </c>
      <c r="G148" s="147" t="s">
        <v>1815</v>
      </c>
      <c r="H148" s="152" t="s">
        <v>1816</v>
      </c>
      <c r="I148" s="150">
        <v>2</v>
      </c>
      <c r="J148" s="146" t="s">
        <v>2050</v>
      </c>
      <c r="K148" s="146" t="s">
        <v>2050</v>
      </c>
      <c r="L148" s="147" t="s">
        <v>2008</v>
      </c>
      <c r="M148" s="147" t="s">
        <v>2023</v>
      </c>
      <c r="N148" s="147" t="s">
        <v>2031</v>
      </c>
      <c r="O148" s="146" t="s">
        <v>2040</v>
      </c>
      <c r="P148" s="146" t="s">
        <v>1528</v>
      </c>
      <c r="Q148" s="146" t="s">
        <v>1</v>
      </c>
      <c r="R148" s="146"/>
      <c r="S148" s="146" t="s">
        <v>2254</v>
      </c>
      <c r="T148"/>
    </row>
    <row r="149" spans="1:20" ht="22" customHeight="1">
      <c r="A149" s="146" t="s">
        <v>1530</v>
      </c>
      <c r="B149" s="146" t="s">
        <v>3250</v>
      </c>
      <c r="C149" s="146" t="s">
        <v>2046</v>
      </c>
      <c r="D149" s="147" t="s">
        <v>2155</v>
      </c>
      <c r="E149" s="147" t="s">
        <v>2205</v>
      </c>
      <c r="F149" s="147" t="s">
        <v>1608</v>
      </c>
      <c r="G149" s="147" t="s">
        <v>1817</v>
      </c>
      <c r="H149" s="152" t="s">
        <v>3251</v>
      </c>
      <c r="I149" s="150">
        <v>1</v>
      </c>
      <c r="J149" s="146" t="s">
        <v>2050</v>
      </c>
      <c r="K149" s="146" t="s">
        <v>2050</v>
      </c>
      <c r="L149" s="147" t="s">
        <v>2008</v>
      </c>
      <c r="M149" s="147" t="s">
        <v>2425</v>
      </c>
      <c r="N149" s="147" t="s">
        <v>2031</v>
      </c>
      <c r="O149" s="146" t="s">
        <v>2038</v>
      </c>
      <c r="P149" s="146"/>
      <c r="Q149" s="146" t="s">
        <v>1</v>
      </c>
      <c r="R149" s="146"/>
      <c r="S149" s="146" t="s">
        <v>2254</v>
      </c>
      <c r="T149"/>
    </row>
    <row r="150" spans="1:20" ht="22" customHeight="1">
      <c r="A150" s="146" t="s">
        <v>1531</v>
      </c>
      <c r="B150" s="146" t="s">
        <v>3250</v>
      </c>
      <c r="C150" s="146" t="s">
        <v>2046</v>
      </c>
      <c r="D150" s="147" t="s">
        <v>2155</v>
      </c>
      <c r="E150" s="147" t="s">
        <v>2205</v>
      </c>
      <c r="F150" s="147" t="s">
        <v>1599</v>
      </c>
      <c r="G150" s="147" t="s">
        <v>1819</v>
      </c>
      <c r="H150" s="152" t="s">
        <v>3252</v>
      </c>
      <c r="I150" s="150">
        <v>2</v>
      </c>
      <c r="J150" s="146" t="s">
        <v>2050</v>
      </c>
      <c r="K150" s="146" t="s">
        <v>2050</v>
      </c>
      <c r="L150" s="147" t="s">
        <v>2008</v>
      </c>
      <c r="M150" s="147" t="s">
        <v>2425</v>
      </c>
      <c r="N150" s="147" t="s">
        <v>2031</v>
      </c>
      <c r="O150" s="146" t="s">
        <v>2038</v>
      </c>
      <c r="P150" s="146"/>
      <c r="Q150" s="146" t="s">
        <v>1</v>
      </c>
      <c r="R150" s="146"/>
      <c r="S150" s="146" t="s">
        <v>2254</v>
      </c>
      <c r="T150"/>
    </row>
    <row r="151" spans="1:20" ht="22" customHeight="1">
      <c r="A151" s="146" t="s">
        <v>1532</v>
      </c>
      <c r="B151" s="146" t="s">
        <v>3250</v>
      </c>
      <c r="C151" s="146" t="s">
        <v>2046</v>
      </c>
      <c r="D151" s="147" t="s">
        <v>2155</v>
      </c>
      <c r="E151" s="147" t="s">
        <v>2205</v>
      </c>
      <c r="F151" s="147" t="s">
        <v>2327</v>
      </c>
      <c r="G151" s="147" t="s">
        <v>2333</v>
      </c>
      <c r="H151" s="152" t="s">
        <v>3253</v>
      </c>
      <c r="I151" s="150">
        <v>1</v>
      </c>
      <c r="J151" s="146" t="s">
        <v>2050</v>
      </c>
      <c r="K151" s="146" t="s">
        <v>2050</v>
      </c>
      <c r="L151" s="147" t="s">
        <v>2008</v>
      </c>
      <c r="M151" s="147" t="s">
        <v>2425</v>
      </c>
      <c r="N151" s="147" t="s">
        <v>2031</v>
      </c>
      <c r="O151" s="146" t="s">
        <v>2038</v>
      </c>
      <c r="P151" s="146"/>
      <c r="Q151" s="146" t="s">
        <v>1</v>
      </c>
      <c r="R151" s="146"/>
      <c r="S151" s="146" t="s">
        <v>2254</v>
      </c>
      <c r="T151"/>
    </row>
    <row r="152" spans="1:20" ht="22" customHeight="1">
      <c r="A152" s="146" t="s">
        <v>1533</v>
      </c>
      <c r="B152" s="146" t="s">
        <v>3250</v>
      </c>
      <c r="C152" s="146" t="s">
        <v>2046</v>
      </c>
      <c r="D152" s="147" t="s">
        <v>2155</v>
      </c>
      <c r="E152" s="147" t="s">
        <v>2205</v>
      </c>
      <c r="F152" s="147" t="s">
        <v>2328</v>
      </c>
      <c r="G152" s="147" t="s">
        <v>2334</v>
      </c>
      <c r="H152" s="152" t="s">
        <v>3254</v>
      </c>
      <c r="I152" s="150">
        <v>2</v>
      </c>
      <c r="J152" s="146" t="s">
        <v>2050</v>
      </c>
      <c r="K152" s="146" t="s">
        <v>2050</v>
      </c>
      <c r="L152" s="147" t="s">
        <v>2008</v>
      </c>
      <c r="M152" s="147" t="s">
        <v>2425</v>
      </c>
      <c r="N152" s="147" t="s">
        <v>2031</v>
      </c>
      <c r="O152" s="146" t="s">
        <v>2038</v>
      </c>
      <c r="P152" s="146"/>
      <c r="Q152" s="146" t="s">
        <v>1</v>
      </c>
      <c r="R152" s="146"/>
      <c r="S152" s="146" t="s">
        <v>2254</v>
      </c>
      <c r="T152"/>
    </row>
    <row r="153" spans="1:20" ht="22" customHeight="1">
      <c r="A153" s="146" t="s">
        <v>2421</v>
      </c>
      <c r="B153" s="146" t="s">
        <v>3250</v>
      </c>
      <c r="C153" s="146" t="s">
        <v>2046</v>
      </c>
      <c r="D153" s="147" t="s">
        <v>2155</v>
      </c>
      <c r="E153" s="147" t="s">
        <v>2205</v>
      </c>
      <c r="F153" s="147" t="s">
        <v>2329</v>
      </c>
      <c r="G153" s="147" t="s">
        <v>2335</v>
      </c>
      <c r="H153" s="147" t="s">
        <v>3255</v>
      </c>
      <c r="I153" s="150">
        <v>1</v>
      </c>
      <c r="J153" s="146" t="s">
        <v>2050</v>
      </c>
      <c r="K153" s="146" t="s">
        <v>2050</v>
      </c>
      <c r="L153" s="147" t="s">
        <v>2008</v>
      </c>
      <c r="M153" s="147" t="s">
        <v>2425</v>
      </c>
      <c r="N153" s="147" t="s">
        <v>2031</v>
      </c>
      <c r="O153" s="146" t="s">
        <v>2038</v>
      </c>
      <c r="P153" s="146"/>
      <c r="Q153" s="146" t="s">
        <v>1</v>
      </c>
      <c r="R153" s="146"/>
      <c r="S153" s="146" t="s">
        <v>2254</v>
      </c>
      <c r="T153"/>
    </row>
    <row r="154" spans="1:20" ht="22" customHeight="1">
      <c r="A154" s="146" t="s">
        <v>2422</v>
      </c>
      <c r="B154" s="146" t="s">
        <v>3250</v>
      </c>
      <c r="C154" s="146" t="s">
        <v>2046</v>
      </c>
      <c r="D154" s="147" t="s">
        <v>2155</v>
      </c>
      <c r="E154" s="147" t="s">
        <v>2205</v>
      </c>
      <c r="F154" s="147" t="s">
        <v>2332</v>
      </c>
      <c r="G154" s="147" t="s">
        <v>2336</v>
      </c>
      <c r="H154" s="147" t="s">
        <v>3256</v>
      </c>
      <c r="I154" s="150">
        <v>2</v>
      </c>
      <c r="J154" s="146" t="s">
        <v>2050</v>
      </c>
      <c r="K154" s="146" t="s">
        <v>2050</v>
      </c>
      <c r="L154" s="147" t="s">
        <v>2008</v>
      </c>
      <c r="M154" s="147" t="s">
        <v>2425</v>
      </c>
      <c r="N154" s="147" t="s">
        <v>2031</v>
      </c>
      <c r="O154" s="146" t="s">
        <v>2038</v>
      </c>
      <c r="P154" s="146"/>
      <c r="Q154" s="146" t="s">
        <v>1</v>
      </c>
      <c r="R154" s="146"/>
      <c r="S154" s="146" t="s">
        <v>2254</v>
      </c>
      <c r="T154"/>
    </row>
    <row r="155" spans="1:20" ht="22" customHeight="1">
      <c r="A155" s="146" t="s">
        <v>2423</v>
      </c>
      <c r="B155" s="146" t="s">
        <v>3250</v>
      </c>
      <c r="C155" s="146" t="s">
        <v>2046</v>
      </c>
      <c r="D155" s="147" t="s">
        <v>2155</v>
      </c>
      <c r="E155" s="147" t="s">
        <v>2205</v>
      </c>
      <c r="F155" s="147" t="s">
        <v>2331</v>
      </c>
      <c r="G155" s="147" t="s">
        <v>2337</v>
      </c>
      <c r="H155" s="147" t="s">
        <v>1818</v>
      </c>
      <c r="I155" s="150">
        <v>1</v>
      </c>
      <c r="J155" s="146" t="s">
        <v>2050</v>
      </c>
      <c r="K155" s="146" t="s">
        <v>2050</v>
      </c>
      <c r="L155" s="147" t="s">
        <v>2008</v>
      </c>
      <c r="M155" s="147" t="s">
        <v>2023</v>
      </c>
      <c r="N155" s="147" t="s">
        <v>2031</v>
      </c>
      <c r="O155" s="146" t="s">
        <v>2040</v>
      </c>
      <c r="P155" s="146" t="s">
        <v>1529</v>
      </c>
      <c r="Q155" s="146" t="s">
        <v>1</v>
      </c>
      <c r="R155" s="146"/>
      <c r="S155" s="146" t="s">
        <v>2254</v>
      </c>
      <c r="T155"/>
    </row>
    <row r="156" spans="1:20" ht="22" customHeight="1">
      <c r="A156" s="146" t="s">
        <v>2424</v>
      </c>
      <c r="B156" s="146" t="s">
        <v>3250</v>
      </c>
      <c r="C156" s="146" t="s">
        <v>2046</v>
      </c>
      <c r="D156" s="147" t="s">
        <v>2155</v>
      </c>
      <c r="E156" s="147" t="s">
        <v>2205</v>
      </c>
      <c r="F156" s="147" t="s">
        <v>2330</v>
      </c>
      <c r="G156" s="147" t="s">
        <v>2338</v>
      </c>
      <c r="H156" s="147" t="s">
        <v>1820</v>
      </c>
      <c r="I156" s="150">
        <v>2</v>
      </c>
      <c r="J156" s="146" t="s">
        <v>2050</v>
      </c>
      <c r="K156" s="146" t="s">
        <v>2050</v>
      </c>
      <c r="L156" s="147" t="s">
        <v>2008</v>
      </c>
      <c r="M156" s="147" t="s">
        <v>2023</v>
      </c>
      <c r="N156" s="147" t="s">
        <v>2031</v>
      </c>
      <c r="O156" s="146" t="s">
        <v>2040</v>
      </c>
      <c r="P156" s="146" t="s">
        <v>1530</v>
      </c>
      <c r="Q156" s="146" t="s">
        <v>1</v>
      </c>
      <c r="R156" s="146"/>
      <c r="S156" s="146" t="s">
        <v>2254</v>
      </c>
      <c r="T156"/>
    </row>
    <row r="157" spans="1:20" ht="22" customHeight="1">
      <c r="A157" s="146" t="s">
        <v>1542</v>
      </c>
      <c r="B157" s="146" t="s">
        <v>3249</v>
      </c>
      <c r="C157" s="146" t="s">
        <v>2048</v>
      </c>
      <c r="D157" s="147" t="s">
        <v>2156</v>
      </c>
      <c r="E157" s="147" t="s">
        <v>2209</v>
      </c>
      <c r="F157" s="147" t="s">
        <v>1924</v>
      </c>
      <c r="G157" s="147" t="s">
        <v>1746</v>
      </c>
      <c r="H157" s="147" t="s">
        <v>1747</v>
      </c>
      <c r="I157" s="150">
        <v>1</v>
      </c>
      <c r="J157" s="146" t="s">
        <v>2050</v>
      </c>
      <c r="K157" s="146" t="s">
        <v>2050</v>
      </c>
      <c r="L157" s="147" t="s">
        <v>2006</v>
      </c>
      <c r="M157" s="147" t="s">
        <v>2012</v>
      </c>
      <c r="N157" s="147" t="s">
        <v>2031</v>
      </c>
      <c r="O157" s="146" t="s">
        <v>2039</v>
      </c>
      <c r="P157" s="146" t="s">
        <v>956</v>
      </c>
      <c r="Q157" s="146" t="s">
        <v>1</v>
      </c>
      <c r="R157" s="146"/>
      <c r="S157" s="146" t="s">
        <v>2258</v>
      </c>
      <c r="T157"/>
    </row>
    <row r="158" spans="1:20" ht="22" customHeight="1">
      <c r="A158" s="113" t="s">
        <v>1540</v>
      </c>
      <c r="B158" s="113" t="s">
        <v>3249</v>
      </c>
      <c r="C158" s="113" t="s">
        <v>2046</v>
      </c>
      <c r="D158" s="113" t="s">
        <v>2156</v>
      </c>
      <c r="E158" s="113" t="s">
        <v>2207</v>
      </c>
      <c r="F158" s="113" t="s">
        <v>1923</v>
      </c>
      <c r="G158" s="113" t="s">
        <v>1830</v>
      </c>
      <c r="H158" s="113" t="s">
        <v>1831</v>
      </c>
      <c r="I158" s="145">
        <v>2</v>
      </c>
      <c r="J158" s="113" t="s">
        <v>2050</v>
      </c>
      <c r="K158" s="113" t="s">
        <v>2050</v>
      </c>
      <c r="L158" s="113" t="s">
        <v>2006</v>
      </c>
      <c r="M158" s="113" t="s">
        <v>2012</v>
      </c>
      <c r="N158" s="113" t="s">
        <v>2031</v>
      </c>
      <c r="O158" s="113" t="s">
        <v>2039</v>
      </c>
      <c r="P158" s="113" t="s">
        <v>956</v>
      </c>
      <c r="Q158" s="113" t="s">
        <v>1</v>
      </c>
      <c r="R158" s="113"/>
      <c r="S158" s="113" t="s">
        <v>2256</v>
      </c>
    </row>
    <row r="159" spans="1:20" ht="22" customHeight="1">
      <c r="A159" s="113" t="s">
        <v>1544</v>
      </c>
      <c r="B159" s="113" t="s">
        <v>3249</v>
      </c>
      <c r="C159" s="113" t="s">
        <v>2048</v>
      </c>
      <c r="D159" s="113" t="s">
        <v>2156</v>
      </c>
      <c r="E159" s="113" t="s">
        <v>2207</v>
      </c>
      <c r="F159" s="113" t="s">
        <v>1611</v>
      </c>
      <c r="G159" s="113" t="s">
        <v>1834</v>
      </c>
      <c r="H159" s="113" t="s">
        <v>1835</v>
      </c>
      <c r="I159" s="145">
        <v>1</v>
      </c>
      <c r="J159" s="113" t="s">
        <v>2050</v>
      </c>
      <c r="K159" s="113" t="s">
        <v>2050</v>
      </c>
      <c r="L159" s="113" t="s">
        <v>2339</v>
      </c>
      <c r="M159" s="113" t="s">
        <v>2012</v>
      </c>
      <c r="N159" s="113" t="s">
        <v>2031</v>
      </c>
      <c r="O159" s="113" t="s">
        <v>2039</v>
      </c>
      <c r="P159" s="113" t="s">
        <v>956</v>
      </c>
      <c r="Q159" s="113" t="s">
        <v>1</v>
      </c>
      <c r="R159" s="113"/>
      <c r="S159" s="113" t="s">
        <v>2256</v>
      </c>
    </row>
  </sheetData>
  <autoFilter ref="A1:S159" xr:uid="{66250CDA-FE4E-E74B-968F-00BE7CB94CEE}"/>
  <phoneticPr fontId="2"/>
  <conditionalFormatting sqref="C2:C111">
    <cfRule type="expression" dxfId="27" priority="205">
      <formula>$C2="設計書の執筆"</formula>
    </cfRule>
    <cfRule type="expression" dxfId="26" priority="206">
      <formula>$C2="ガイド・手順書の執筆"</formula>
    </cfRule>
    <cfRule type="expression" dxfId="25" priority="207">
      <formula>$C2="調査・計画"</formula>
    </cfRule>
    <cfRule type="expression" dxfId="24" priority="208">
      <formula>$C2="実機検証・照会"</formula>
    </cfRule>
    <cfRule type="expression" dxfId="23" priority="209">
      <formula>$C2="レビュー・合意"</formula>
    </cfRule>
    <cfRule type="expression" dxfId="22" priority="210">
      <formula>$C2="外部調整"</formula>
    </cfRule>
  </conditionalFormatting>
  <conditionalFormatting sqref="J2:K111">
    <cfRule type="expression" dxfId="21" priority="214">
      <formula>J2="アプリチーム"</formula>
    </cfRule>
    <cfRule type="expression" dxfId="20" priority="215">
      <formula>J2="基盤チーム"</formula>
    </cfRule>
    <cfRule type="expression" dxfId="19" priority="216">
      <formula>J2="要判断"</formula>
    </cfRule>
    <cfRule type="expression" dxfId="18" priority="217">
      <formula>J2="共同"</formula>
    </cfRule>
  </conditionalFormatting>
  <conditionalFormatting sqref="N2:N111">
    <cfRule type="expression" dxfId="17" priority="198">
      <formula>LEFT($N2,3)="対象外"</formula>
    </cfRule>
    <cfRule type="expression" dxfId="16" priority="199">
      <formula>$N2="対象"</formula>
    </cfRule>
  </conditionalFormatting>
  <conditionalFormatting sqref="O2:O111">
    <cfRule type="expression" dxfId="15" priority="211">
      <formula>$O2="当初あり"</formula>
    </cfRule>
    <cfRule type="expression" dxfId="14" priority="212">
      <formula>LEFT($O2,2)="新規"</formula>
    </cfRule>
  </conditionalFormatting>
  <conditionalFormatting sqref="S2:S111">
    <cfRule type="expression" dxfId="13" priority="213">
      <formula>LEFT($S2,2)="F-"</formula>
    </cfRule>
  </conditionalFormatting>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7693-5B40-0444-B227-D6033B94776C}">
  <dimension ref="A1:I216"/>
  <sheetViews>
    <sheetView zoomScale="89" zoomScaleNormal="120" workbookViewId="0">
      <pane ySplit="1" topLeftCell="A2" activePane="bottomLeft" state="frozen"/>
      <selection activeCell="C39" sqref="C39"/>
      <selection pane="bottomLeft" activeCell="G7" sqref="G7"/>
    </sheetView>
  </sheetViews>
  <sheetFormatPr baseColWidth="10" defaultRowHeight="20"/>
  <cols>
    <col min="1" max="1" width="14.28515625" customWidth="1"/>
    <col min="2" max="2" width="34.28515625" customWidth="1"/>
    <col min="3" max="3" width="24.28515625" customWidth="1"/>
    <col min="4" max="4" width="27.140625" customWidth="1"/>
    <col min="5" max="5" width="28.5703125" customWidth="1"/>
    <col min="6" max="6" width="35.7109375" customWidth="1"/>
    <col min="7" max="7" width="8" customWidth="1"/>
    <col min="8" max="8" width="9.28515625" customWidth="1"/>
    <col min="9" max="9" width="28.5703125" customWidth="1"/>
    <col min="10" max="10" width="40" customWidth="1"/>
    <col min="11" max="11" width="100" customWidth="1"/>
    <col min="12" max="12" width="74.28515625" customWidth="1"/>
    <col min="13" max="15" width="13.5703125" customWidth="1"/>
    <col min="16" max="16" width="15.7109375" customWidth="1"/>
    <col min="17" max="17" width="65.7109375" customWidth="1"/>
  </cols>
  <sheetData>
    <row r="1" spans="1:9" ht="26" customHeight="1">
      <c r="A1" s="115" t="s">
        <v>1397</v>
      </c>
      <c r="B1" s="115" t="s">
        <v>1973</v>
      </c>
      <c r="C1" s="115" t="s">
        <v>1926</v>
      </c>
      <c r="D1" s="115" t="s">
        <v>1847</v>
      </c>
      <c r="E1" s="115" t="s">
        <v>1974</v>
      </c>
      <c r="F1" s="115" t="s">
        <v>1975</v>
      </c>
      <c r="G1" s="115" t="s">
        <v>2799</v>
      </c>
      <c r="H1" s="115" t="s">
        <v>2800</v>
      </c>
      <c r="I1" s="115" t="s">
        <v>1976</v>
      </c>
    </row>
    <row r="2" spans="1:9" ht="19" customHeight="1">
      <c r="A2" s="107" t="s">
        <v>1585</v>
      </c>
      <c r="B2" s="107" t="s">
        <v>2432</v>
      </c>
      <c r="C2" s="107" t="s">
        <v>4682</v>
      </c>
      <c r="D2" s="108" t="s">
        <v>3294</v>
      </c>
      <c r="E2" s="108" t="s">
        <v>2433</v>
      </c>
      <c r="F2" s="108" t="s">
        <v>2434</v>
      </c>
      <c r="G2" s="116">
        <v>3</v>
      </c>
      <c r="H2" s="109"/>
      <c r="I2" s="108"/>
    </row>
    <row r="3" spans="1:9" ht="19" customHeight="1">
      <c r="A3" s="107" t="s">
        <v>1587</v>
      </c>
      <c r="B3" s="107" t="s">
        <v>1994</v>
      </c>
      <c r="C3" s="107" t="s">
        <v>4682</v>
      </c>
      <c r="D3" s="108" t="s">
        <v>3294</v>
      </c>
      <c r="E3" s="108" t="s">
        <v>2435</v>
      </c>
      <c r="F3" s="108" t="s">
        <v>2436</v>
      </c>
      <c r="G3" s="116">
        <v>1</v>
      </c>
      <c r="H3" s="109"/>
      <c r="I3" s="108"/>
    </row>
    <row r="4" spans="1:9" ht="19" customHeight="1">
      <c r="A4" s="107" t="s">
        <v>2438</v>
      </c>
      <c r="B4" s="107" t="s">
        <v>2439</v>
      </c>
      <c r="C4" s="107" t="s">
        <v>4682</v>
      </c>
      <c r="D4" s="108" t="s">
        <v>3294</v>
      </c>
      <c r="E4" s="108" t="s">
        <v>2440</v>
      </c>
      <c r="F4" s="108" t="s">
        <v>2441</v>
      </c>
      <c r="G4" s="116"/>
      <c r="H4" s="109">
        <v>5</v>
      </c>
      <c r="I4" s="108"/>
    </row>
    <row r="5" spans="1:9" ht="19" customHeight="1">
      <c r="A5" s="107" t="s">
        <v>2442</v>
      </c>
      <c r="B5" s="107" t="s">
        <v>2443</v>
      </c>
      <c r="C5" s="107" t="s">
        <v>4682</v>
      </c>
      <c r="D5" s="108" t="s">
        <v>3294</v>
      </c>
      <c r="E5" s="108" t="s">
        <v>2444</v>
      </c>
      <c r="F5" s="108" t="s">
        <v>2445</v>
      </c>
      <c r="G5" s="116"/>
      <c r="H5" s="109">
        <v>2</v>
      </c>
      <c r="I5" s="108"/>
    </row>
    <row r="6" spans="1:9" ht="19" customHeight="1">
      <c r="A6" s="107" t="s">
        <v>2446</v>
      </c>
      <c r="B6" s="107" t="s">
        <v>2439</v>
      </c>
      <c r="C6" s="107" t="s">
        <v>4682</v>
      </c>
      <c r="D6" s="108" t="s">
        <v>1850</v>
      </c>
      <c r="E6" s="108" t="s">
        <v>2447</v>
      </c>
      <c r="F6" s="108" t="s">
        <v>2448</v>
      </c>
      <c r="G6" s="116"/>
      <c r="H6" s="109">
        <v>1.5</v>
      </c>
      <c r="I6" s="108"/>
    </row>
    <row r="7" spans="1:9" ht="19" customHeight="1">
      <c r="A7" s="107" t="s">
        <v>2449</v>
      </c>
      <c r="B7" s="107" t="s">
        <v>3407</v>
      </c>
      <c r="C7" s="107" t="s">
        <v>4682</v>
      </c>
      <c r="D7" s="108" t="s">
        <v>3295</v>
      </c>
      <c r="E7" s="108" t="s">
        <v>3408</v>
      </c>
      <c r="F7" s="108" t="s">
        <v>2450</v>
      </c>
      <c r="G7" s="116"/>
      <c r="H7" s="109">
        <v>1.5</v>
      </c>
      <c r="I7" s="108"/>
    </row>
    <row r="8" spans="1:9" ht="19" customHeight="1">
      <c r="A8" s="107" t="s">
        <v>1552</v>
      </c>
      <c r="B8" s="107" t="s">
        <v>1977</v>
      </c>
      <c r="C8" s="107" t="s">
        <v>4683</v>
      </c>
      <c r="D8" s="108" t="s">
        <v>3296</v>
      </c>
      <c r="E8" s="108" t="s">
        <v>2451</v>
      </c>
      <c r="F8" s="108" t="s">
        <v>3409</v>
      </c>
      <c r="G8" s="116">
        <v>4</v>
      </c>
      <c r="H8" s="109"/>
      <c r="I8" s="108" t="s">
        <v>2452</v>
      </c>
    </row>
    <row r="9" spans="1:9" ht="19" customHeight="1">
      <c r="A9" s="107" t="s">
        <v>1570</v>
      </c>
      <c r="B9" s="107" t="s">
        <v>2453</v>
      </c>
      <c r="C9" s="107" t="s">
        <v>4683</v>
      </c>
      <c r="D9" s="108" t="s">
        <v>3296</v>
      </c>
      <c r="E9" s="108" t="s">
        <v>2454</v>
      </c>
      <c r="F9" s="108" t="s">
        <v>2455</v>
      </c>
      <c r="G9" s="116">
        <v>3</v>
      </c>
      <c r="H9" s="109"/>
      <c r="I9" s="108"/>
    </row>
    <row r="10" spans="1:9" ht="19" customHeight="1">
      <c r="A10" s="107" t="s">
        <v>1588</v>
      </c>
      <c r="B10" s="107" t="s">
        <v>1994</v>
      </c>
      <c r="C10" s="107" t="s">
        <v>4683</v>
      </c>
      <c r="D10" s="108" t="s">
        <v>3296</v>
      </c>
      <c r="E10" s="108" t="s">
        <v>2456</v>
      </c>
      <c r="F10" s="108" t="s">
        <v>2457</v>
      </c>
      <c r="G10" s="116">
        <v>2</v>
      </c>
      <c r="H10" s="109"/>
      <c r="I10" s="108"/>
    </row>
    <row r="11" spans="1:9" ht="19" customHeight="1">
      <c r="A11" s="107" t="s">
        <v>2458</v>
      </c>
      <c r="B11" s="107" t="s">
        <v>3407</v>
      </c>
      <c r="C11" s="107" t="s">
        <v>4683</v>
      </c>
      <c r="D11" s="108" t="s">
        <v>3296</v>
      </c>
      <c r="E11" s="108" t="s">
        <v>3410</v>
      </c>
      <c r="F11" s="108" t="s">
        <v>3411</v>
      </c>
      <c r="G11" s="116"/>
      <c r="H11" s="109">
        <v>5</v>
      </c>
      <c r="I11" s="108" t="s">
        <v>2459</v>
      </c>
    </row>
    <row r="12" spans="1:9" ht="19" customHeight="1">
      <c r="A12" s="107" t="s">
        <v>2460</v>
      </c>
      <c r="B12" s="107" t="s">
        <v>3407</v>
      </c>
      <c r="C12" s="107" t="s">
        <v>4683</v>
      </c>
      <c r="D12" s="108" t="s">
        <v>3296</v>
      </c>
      <c r="E12" s="108" t="s">
        <v>2461</v>
      </c>
      <c r="F12" s="108" t="s">
        <v>2462</v>
      </c>
      <c r="G12" s="116"/>
      <c r="H12" s="109">
        <v>4</v>
      </c>
      <c r="I12" s="108"/>
    </row>
    <row r="13" spans="1:9" ht="19" customHeight="1">
      <c r="A13" s="107" t="s">
        <v>2463</v>
      </c>
      <c r="B13" s="107" t="s">
        <v>2443</v>
      </c>
      <c r="C13" s="107" t="s">
        <v>4683</v>
      </c>
      <c r="D13" s="108" t="s">
        <v>3296</v>
      </c>
      <c r="E13" s="108" t="s">
        <v>2464</v>
      </c>
      <c r="F13" s="108" t="s">
        <v>2445</v>
      </c>
      <c r="G13" s="116"/>
      <c r="H13" s="109">
        <v>3</v>
      </c>
      <c r="I13" s="108"/>
    </row>
    <row r="14" spans="1:9" ht="19" customHeight="1">
      <c r="A14" s="107" t="s">
        <v>1553</v>
      </c>
      <c r="B14" s="107" t="s">
        <v>1977</v>
      </c>
      <c r="C14" s="107" t="s">
        <v>4683</v>
      </c>
      <c r="D14" s="108" t="s">
        <v>3297</v>
      </c>
      <c r="E14" s="108" t="s">
        <v>2465</v>
      </c>
      <c r="F14" s="108" t="s">
        <v>3412</v>
      </c>
      <c r="G14" s="116">
        <v>3</v>
      </c>
      <c r="H14" s="109"/>
      <c r="I14" s="108"/>
    </row>
    <row r="15" spans="1:9" ht="19" customHeight="1">
      <c r="A15" s="107" t="s">
        <v>1571</v>
      </c>
      <c r="B15" s="107" t="s">
        <v>2453</v>
      </c>
      <c r="C15" s="107" t="s">
        <v>4683</v>
      </c>
      <c r="D15" s="108" t="s">
        <v>3297</v>
      </c>
      <c r="E15" s="108" t="s">
        <v>2466</v>
      </c>
      <c r="F15" s="108" t="s">
        <v>2467</v>
      </c>
      <c r="G15" s="116">
        <v>3</v>
      </c>
      <c r="H15" s="109"/>
      <c r="I15" s="108"/>
    </row>
    <row r="16" spans="1:9" ht="19" customHeight="1">
      <c r="A16" s="107" t="s">
        <v>1589</v>
      </c>
      <c r="B16" s="107" t="s">
        <v>1994</v>
      </c>
      <c r="C16" s="107" t="s">
        <v>4683</v>
      </c>
      <c r="D16" s="108" t="s">
        <v>3297</v>
      </c>
      <c r="E16" s="108" t="s">
        <v>2468</v>
      </c>
      <c r="F16" s="108" t="s">
        <v>2469</v>
      </c>
      <c r="G16" s="116">
        <v>1.5</v>
      </c>
      <c r="H16" s="109"/>
      <c r="I16" s="108"/>
    </row>
    <row r="17" spans="1:9" ht="19" customHeight="1">
      <c r="A17" s="107" t="s">
        <v>2470</v>
      </c>
      <c r="B17" s="107" t="s">
        <v>3407</v>
      </c>
      <c r="C17" s="107" t="s">
        <v>4683</v>
      </c>
      <c r="D17" s="108" t="s">
        <v>3297</v>
      </c>
      <c r="E17" s="108" t="s">
        <v>3413</v>
      </c>
      <c r="F17" s="108" t="s">
        <v>3414</v>
      </c>
      <c r="G17" s="116"/>
      <c r="H17" s="109">
        <v>4</v>
      </c>
      <c r="I17" s="108"/>
    </row>
    <row r="18" spans="1:9" ht="19" customHeight="1">
      <c r="A18" s="107" t="s">
        <v>2471</v>
      </c>
      <c r="B18" s="107" t="s">
        <v>2443</v>
      </c>
      <c r="C18" s="107" t="s">
        <v>4683</v>
      </c>
      <c r="D18" s="108" t="s">
        <v>3297</v>
      </c>
      <c r="E18" s="108" t="s">
        <v>2472</v>
      </c>
      <c r="F18" s="108" t="s">
        <v>2445</v>
      </c>
      <c r="G18" s="116"/>
      <c r="H18" s="109">
        <v>2</v>
      </c>
      <c r="I18" s="108"/>
    </row>
    <row r="19" spans="1:9" ht="19" customHeight="1">
      <c r="A19" s="107" t="s">
        <v>1554</v>
      </c>
      <c r="B19" s="107" t="s">
        <v>1977</v>
      </c>
      <c r="C19" s="107" t="s">
        <v>4683</v>
      </c>
      <c r="D19" s="108" t="s">
        <v>2193</v>
      </c>
      <c r="E19" s="108" t="s">
        <v>2473</v>
      </c>
      <c r="F19" s="108" t="s">
        <v>2474</v>
      </c>
      <c r="G19" s="116">
        <v>3</v>
      </c>
      <c r="H19" s="109"/>
      <c r="I19" s="108"/>
    </row>
    <row r="20" spans="1:9" ht="19" customHeight="1">
      <c r="A20" s="107" t="s">
        <v>1590</v>
      </c>
      <c r="B20" s="107" t="s">
        <v>1994</v>
      </c>
      <c r="C20" s="107" t="s">
        <v>4683</v>
      </c>
      <c r="D20" s="108" t="s">
        <v>2193</v>
      </c>
      <c r="E20" s="108" t="s">
        <v>2475</v>
      </c>
      <c r="F20" s="108" t="s">
        <v>2476</v>
      </c>
      <c r="G20" s="116">
        <v>1</v>
      </c>
      <c r="H20" s="109"/>
      <c r="I20" s="108"/>
    </row>
    <row r="21" spans="1:9" ht="19" customHeight="1">
      <c r="A21" s="107" t="s">
        <v>2477</v>
      </c>
      <c r="B21" s="107" t="s">
        <v>3407</v>
      </c>
      <c r="C21" s="107" t="s">
        <v>4683</v>
      </c>
      <c r="D21" s="108" t="s">
        <v>2193</v>
      </c>
      <c r="E21" s="108" t="s">
        <v>2478</v>
      </c>
      <c r="F21" s="108" t="s">
        <v>3415</v>
      </c>
      <c r="G21" s="116"/>
      <c r="H21" s="109">
        <v>3</v>
      </c>
      <c r="I21" s="108"/>
    </row>
    <row r="22" spans="1:9" ht="19" customHeight="1">
      <c r="A22" s="107" t="s">
        <v>2479</v>
      </c>
      <c r="B22" s="107" t="s">
        <v>2443</v>
      </c>
      <c r="C22" s="107" t="s">
        <v>4683</v>
      </c>
      <c r="D22" s="108" t="s">
        <v>2193</v>
      </c>
      <c r="E22" s="108" t="s">
        <v>2480</v>
      </c>
      <c r="F22" s="108" t="s">
        <v>2445</v>
      </c>
      <c r="G22" s="116"/>
      <c r="H22" s="109">
        <v>2</v>
      </c>
      <c r="I22" s="108"/>
    </row>
    <row r="23" spans="1:9" ht="19" customHeight="1">
      <c r="A23" s="107" t="s">
        <v>1555</v>
      </c>
      <c r="B23" s="107" t="s">
        <v>1977</v>
      </c>
      <c r="C23" s="107" t="s">
        <v>4683</v>
      </c>
      <c r="D23" s="108" t="s">
        <v>1857</v>
      </c>
      <c r="E23" s="108" t="s">
        <v>2481</v>
      </c>
      <c r="F23" s="108" t="s">
        <v>2482</v>
      </c>
      <c r="G23" s="116">
        <v>1.5</v>
      </c>
      <c r="H23" s="109"/>
      <c r="I23" s="108"/>
    </row>
    <row r="24" spans="1:9" ht="19" customHeight="1">
      <c r="A24" s="107" t="s">
        <v>2483</v>
      </c>
      <c r="B24" s="107" t="s">
        <v>3407</v>
      </c>
      <c r="C24" s="107" t="s">
        <v>4683</v>
      </c>
      <c r="D24" s="108" t="s">
        <v>1857</v>
      </c>
      <c r="E24" s="108" t="s">
        <v>2484</v>
      </c>
      <c r="F24" s="108" t="s">
        <v>2485</v>
      </c>
      <c r="G24" s="116"/>
      <c r="H24" s="109">
        <v>2</v>
      </c>
      <c r="I24" s="108"/>
    </row>
    <row r="25" spans="1:9" ht="19" customHeight="1">
      <c r="A25" s="107" t="s">
        <v>1986</v>
      </c>
      <c r="B25" s="107" t="s">
        <v>1977</v>
      </c>
      <c r="C25" s="107" t="s">
        <v>4683</v>
      </c>
      <c r="D25" s="108" t="s">
        <v>3313</v>
      </c>
      <c r="E25" s="108" t="s">
        <v>4111</v>
      </c>
      <c r="F25" s="108" t="s">
        <v>4112</v>
      </c>
      <c r="G25" s="116">
        <v>2</v>
      </c>
      <c r="H25" s="109"/>
      <c r="I25" s="108"/>
    </row>
    <row r="26" spans="1:9" ht="19" customHeight="1">
      <c r="A26" s="107" t="s">
        <v>4113</v>
      </c>
      <c r="B26" s="107" t="s">
        <v>2453</v>
      </c>
      <c r="C26" s="107" t="s">
        <v>4683</v>
      </c>
      <c r="D26" s="108" t="s">
        <v>3313</v>
      </c>
      <c r="E26" s="108" t="s">
        <v>4114</v>
      </c>
      <c r="F26" s="108" t="s">
        <v>4115</v>
      </c>
      <c r="G26" s="116">
        <v>1.5</v>
      </c>
      <c r="H26" s="109"/>
      <c r="I26" s="108"/>
    </row>
    <row r="27" spans="1:9" ht="19" customHeight="1">
      <c r="A27" s="107" t="s">
        <v>4116</v>
      </c>
      <c r="B27" s="107" t="s">
        <v>1994</v>
      </c>
      <c r="C27" s="107" t="s">
        <v>4683</v>
      </c>
      <c r="D27" s="108" t="s">
        <v>3313</v>
      </c>
      <c r="E27" s="108" t="s">
        <v>4117</v>
      </c>
      <c r="F27" s="108" t="s">
        <v>4118</v>
      </c>
      <c r="G27" s="116">
        <v>1</v>
      </c>
      <c r="H27" s="109"/>
      <c r="I27" s="108"/>
    </row>
    <row r="28" spans="1:9" ht="19" customHeight="1">
      <c r="A28" s="107" t="s">
        <v>4119</v>
      </c>
      <c r="B28" s="107" t="s">
        <v>2490</v>
      </c>
      <c r="C28" s="107" t="s">
        <v>4683</v>
      </c>
      <c r="D28" s="108" t="s">
        <v>3313</v>
      </c>
      <c r="E28" s="108" t="s">
        <v>4120</v>
      </c>
      <c r="F28" s="108" t="s">
        <v>4121</v>
      </c>
      <c r="G28" s="116"/>
      <c r="H28" s="109">
        <v>3</v>
      </c>
      <c r="I28" s="108" t="s">
        <v>4122</v>
      </c>
    </row>
    <row r="29" spans="1:9" ht="19" customHeight="1">
      <c r="A29" s="107" t="s">
        <v>4123</v>
      </c>
      <c r="B29" s="107" t="s">
        <v>3407</v>
      </c>
      <c r="C29" s="107" t="s">
        <v>4683</v>
      </c>
      <c r="D29" s="108" t="s">
        <v>3313</v>
      </c>
      <c r="E29" s="108" t="s">
        <v>4124</v>
      </c>
      <c r="F29" s="108" t="s">
        <v>4125</v>
      </c>
      <c r="G29" s="116"/>
      <c r="H29" s="109">
        <v>3</v>
      </c>
      <c r="I29" s="108"/>
    </row>
    <row r="30" spans="1:9" ht="19" customHeight="1">
      <c r="A30" s="107" t="s">
        <v>4126</v>
      </c>
      <c r="B30" s="107" t="s">
        <v>2443</v>
      </c>
      <c r="C30" s="107" t="s">
        <v>4683</v>
      </c>
      <c r="D30" s="108" t="s">
        <v>3313</v>
      </c>
      <c r="E30" s="108" t="s">
        <v>4127</v>
      </c>
      <c r="F30" s="108" t="s">
        <v>2445</v>
      </c>
      <c r="G30" s="116"/>
      <c r="H30" s="109">
        <v>2</v>
      </c>
      <c r="I30" s="108"/>
    </row>
    <row r="31" spans="1:9" ht="19" customHeight="1">
      <c r="A31" s="107" t="s">
        <v>1579</v>
      </c>
      <c r="B31" s="107" t="s">
        <v>2486</v>
      </c>
      <c r="C31" s="107" t="s">
        <v>4684</v>
      </c>
      <c r="D31" s="108" t="s">
        <v>4003</v>
      </c>
      <c r="E31" s="108" t="s">
        <v>2487</v>
      </c>
      <c r="F31" s="108" t="s">
        <v>4128</v>
      </c>
      <c r="G31" s="116">
        <v>2</v>
      </c>
      <c r="H31" s="109"/>
      <c r="I31" s="108" t="s">
        <v>2488</v>
      </c>
    </row>
    <row r="32" spans="1:9" ht="19" customHeight="1">
      <c r="A32" s="107" t="s">
        <v>2489</v>
      </c>
      <c r="B32" s="107" t="s">
        <v>2490</v>
      </c>
      <c r="C32" s="107" t="s">
        <v>4684</v>
      </c>
      <c r="D32" s="108" t="s">
        <v>4003</v>
      </c>
      <c r="E32" s="108" t="s">
        <v>3416</v>
      </c>
      <c r="F32" s="108" t="s">
        <v>3417</v>
      </c>
      <c r="G32" s="116"/>
      <c r="H32" s="109">
        <v>6</v>
      </c>
      <c r="I32" s="108" t="s">
        <v>2491</v>
      </c>
    </row>
    <row r="33" spans="1:9" ht="19" customHeight="1">
      <c r="A33" s="107" t="s">
        <v>2492</v>
      </c>
      <c r="B33" s="107" t="s">
        <v>2493</v>
      </c>
      <c r="C33" s="107" t="s">
        <v>4684</v>
      </c>
      <c r="D33" s="108" t="s">
        <v>4003</v>
      </c>
      <c r="E33" s="108" t="s">
        <v>2494</v>
      </c>
      <c r="F33" s="108" t="s">
        <v>2495</v>
      </c>
      <c r="G33" s="116"/>
      <c r="H33" s="109">
        <v>2</v>
      </c>
      <c r="I33" s="108"/>
    </row>
    <row r="34" spans="1:9" ht="19" customHeight="1">
      <c r="A34" s="107" t="s">
        <v>1556</v>
      </c>
      <c r="B34" s="107" t="s">
        <v>1977</v>
      </c>
      <c r="C34" s="107" t="s">
        <v>4686</v>
      </c>
      <c r="D34" s="108" t="s">
        <v>3298</v>
      </c>
      <c r="E34" s="108" t="s">
        <v>2850</v>
      </c>
      <c r="F34" s="108" t="s">
        <v>2851</v>
      </c>
      <c r="G34" s="116">
        <v>1.5</v>
      </c>
      <c r="H34" s="109"/>
      <c r="I34" s="108"/>
    </row>
    <row r="35" spans="1:9" ht="19" customHeight="1">
      <c r="A35" s="107" t="s">
        <v>2500</v>
      </c>
      <c r="B35" s="107" t="s">
        <v>3407</v>
      </c>
      <c r="C35" s="107" t="s">
        <v>4686</v>
      </c>
      <c r="D35" s="108" t="s">
        <v>3298</v>
      </c>
      <c r="E35" s="108" t="s">
        <v>2853</v>
      </c>
      <c r="F35" s="108" t="s">
        <v>2854</v>
      </c>
      <c r="G35" s="116"/>
      <c r="H35" s="109">
        <v>2</v>
      </c>
      <c r="I35" s="108"/>
    </row>
    <row r="36" spans="1:9" ht="19" customHeight="1">
      <c r="A36" s="107" t="s">
        <v>2503</v>
      </c>
      <c r="B36" s="107" t="s">
        <v>2443</v>
      </c>
      <c r="C36" s="107" t="s">
        <v>4686</v>
      </c>
      <c r="D36" s="108" t="s">
        <v>3298</v>
      </c>
      <c r="E36" s="108" t="s">
        <v>2856</v>
      </c>
      <c r="F36" s="108" t="s">
        <v>2857</v>
      </c>
      <c r="G36" s="116"/>
      <c r="H36" s="109">
        <v>1</v>
      </c>
      <c r="I36" s="108"/>
    </row>
    <row r="37" spans="1:9" ht="19" customHeight="1">
      <c r="A37" s="107" t="s">
        <v>1545</v>
      </c>
      <c r="B37" s="107" t="s">
        <v>1995</v>
      </c>
      <c r="C37" s="107" t="s">
        <v>4687</v>
      </c>
      <c r="D37" s="108" t="s">
        <v>2192</v>
      </c>
      <c r="E37" s="108" t="s">
        <v>2496</v>
      </c>
      <c r="F37" s="108" t="s">
        <v>2497</v>
      </c>
      <c r="G37" s="116">
        <v>3</v>
      </c>
      <c r="H37" s="109"/>
      <c r="I37" s="108"/>
    </row>
    <row r="38" spans="1:9" ht="19" customHeight="1">
      <c r="A38" s="107" t="s">
        <v>1591</v>
      </c>
      <c r="B38" s="107" t="s">
        <v>1994</v>
      </c>
      <c r="C38" s="107" t="s">
        <v>4687</v>
      </c>
      <c r="D38" s="108" t="s">
        <v>2192</v>
      </c>
      <c r="E38" s="108" t="s">
        <v>2498</v>
      </c>
      <c r="F38" s="108" t="s">
        <v>2499</v>
      </c>
      <c r="G38" s="116">
        <v>1</v>
      </c>
      <c r="H38" s="109"/>
      <c r="I38" s="108"/>
    </row>
    <row r="39" spans="1:9" ht="19" customHeight="1">
      <c r="A39" s="107" t="s">
        <v>2507</v>
      </c>
      <c r="B39" s="107" t="s">
        <v>3407</v>
      </c>
      <c r="C39" s="107" t="s">
        <v>4687</v>
      </c>
      <c r="D39" s="108" t="s">
        <v>2192</v>
      </c>
      <c r="E39" s="108" t="s">
        <v>2501</v>
      </c>
      <c r="F39" s="108" t="s">
        <v>2502</v>
      </c>
      <c r="G39" s="116"/>
      <c r="H39" s="109">
        <v>2</v>
      </c>
      <c r="I39" s="108"/>
    </row>
    <row r="40" spans="1:9" ht="19" customHeight="1">
      <c r="A40" s="107" t="s">
        <v>2510</v>
      </c>
      <c r="B40" s="107" t="s">
        <v>2443</v>
      </c>
      <c r="C40" s="107" t="s">
        <v>4687</v>
      </c>
      <c r="D40" s="108" t="s">
        <v>2192</v>
      </c>
      <c r="E40" s="108" t="s">
        <v>2504</v>
      </c>
      <c r="F40" s="108" t="s">
        <v>2445</v>
      </c>
      <c r="G40" s="116"/>
      <c r="H40" s="109">
        <v>1</v>
      </c>
      <c r="I40" s="108"/>
    </row>
    <row r="41" spans="1:9" ht="19" customHeight="1">
      <c r="A41" s="107" t="s">
        <v>1572</v>
      </c>
      <c r="B41" s="107" t="s">
        <v>2453</v>
      </c>
      <c r="C41" s="107" t="s">
        <v>4687</v>
      </c>
      <c r="D41" s="108" t="s">
        <v>2211</v>
      </c>
      <c r="E41" s="108" t="s">
        <v>2505</v>
      </c>
      <c r="F41" s="108" t="s">
        <v>2506</v>
      </c>
      <c r="G41" s="116">
        <v>3</v>
      </c>
      <c r="H41" s="109"/>
      <c r="I41" s="108"/>
    </row>
    <row r="42" spans="1:9" ht="19" customHeight="1">
      <c r="A42" s="107" t="s">
        <v>2533</v>
      </c>
      <c r="B42" s="107" t="s">
        <v>3407</v>
      </c>
      <c r="C42" s="107" t="s">
        <v>4687</v>
      </c>
      <c r="D42" s="108" t="s">
        <v>2211</v>
      </c>
      <c r="E42" s="108" t="s">
        <v>2508</v>
      </c>
      <c r="F42" s="108" t="s">
        <v>2509</v>
      </c>
      <c r="G42" s="116"/>
      <c r="H42" s="109">
        <v>2</v>
      </c>
      <c r="I42" s="108"/>
    </row>
    <row r="43" spans="1:9" ht="19" customHeight="1">
      <c r="A43" s="107" t="s">
        <v>2521</v>
      </c>
      <c r="B43" s="107" t="s">
        <v>2443</v>
      </c>
      <c r="C43" s="107" t="s">
        <v>4687</v>
      </c>
      <c r="D43" s="108" t="s">
        <v>2211</v>
      </c>
      <c r="E43" s="108" t="s">
        <v>2511</v>
      </c>
      <c r="F43" s="108" t="s">
        <v>2512</v>
      </c>
      <c r="G43" s="116"/>
      <c r="H43" s="109">
        <v>1.5</v>
      </c>
      <c r="I43" s="108"/>
    </row>
    <row r="44" spans="1:9" ht="19" customHeight="1">
      <c r="A44" s="107" t="s">
        <v>1561</v>
      </c>
      <c r="B44" s="107" t="s">
        <v>1988</v>
      </c>
      <c r="C44" s="107" t="s">
        <v>2125</v>
      </c>
      <c r="D44" s="108" t="s">
        <v>2164</v>
      </c>
      <c r="E44" s="108" t="s">
        <v>2837</v>
      </c>
      <c r="F44" s="108" t="s">
        <v>3418</v>
      </c>
      <c r="G44" s="116">
        <v>2</v>
      </c>
      <c r="H44" s="109"/>
      <c r="I44" s="108"/>
    </row>
    <row r="45" spans="1:9" ht="19" customHeight="1">
      <c r="A45" s="107" t="s">
        <v>2758</v>
      </c>
      <c r="B45" s="107" t="s">
        <v>2839</v>
      </c>
      <c r="C45" s="107" t="s">
        <v>2125</v>
      </c>
      <c r="D45" s="108" t="s">
        <v>2164</v>
      </c>
      <c r="E45" s="108" t="s">
        <v>2840</v>
      </c>
      <c r="F45" s="108" t="s">
        <v>2841</v>
      </c>
      <c r="G45" s="116"/>
      <c r="H45" s="109">
        <v>3</v>
      </c>
      <c r="I45" s="108"/>
    </row>
    <row r="46" spans="1:9" ht="19" customHeight="1">
      <c r="A46" s="107" t="s">
        <v>2571</v>
      </c>
      <c r="B46" s="107" t="s">
        <v>2443</v>
      </c>
      <c r="C46" s="107" t="s">
        <v>2125</v>
      </c>
      <c r="D46" s="108" t="s">
        <v>2164</v>
      </c>
      <c r="E46" s="108" t="s">
        <v>2843</v>
      </c>
      <c r="F46" s="108" t="s">
        <v>2844</v>
      </c>
      <c r="G46" s="116"/>
      <c r="H46" s="109">
        <v>1</v>
      </c>
      <c r="I46" s="108"/>
    </row>
    <row r="47" spans="1:9" ht="19" customHeight="1">
      <c r="A47" s="107" t="s">
        <v>1562</v>
      </c>
      <c r="B47" s="107" t="s">
        <v>1988</v>
      </c>
      <c r="C47" s="107" t="s">
        <v>2125</v>
      </c>
      <c r="D47" s="108" t="s">
        <v>3299</v>
      </c>
      <c r="E47" s="108" t="s">
        <v>2845</v>
      </c>
      <c r="F47" s="108" t="s">
        <v>2846</v>
      </c>
      <c r="G47" s="116">
        <v>1</v>
      </c>
      <c r="H47" s="109"/>
      <c r="I47" s="108"/>
    </row>
    <row r="48" spans="1:9" ht="19" customHeight="1">
      <c r="A48" s="107" t="s">
        <v>2838</v>
      </c>
      <c r="B48" s="107" t="s">
        <v>2839</v>
      </c>
      <c r="C48" s="107" t="s">
        <v>2125</v>
      </c>
      <c r="D48" s="108" t="s">
        <v>3299</v>
      </c>
      <c r="E48" s="108" t="s">
        <v>2848</v>
      </c>
      <c r="F48" s="108" t="s">
        <v>2849</v>
      </c>
      <c r="G48" s="116"/>
      <c r="H48" s="109">
        <v>2</v>
      </c>
      <c r="I48" s="108"/>
    </row>
    <row r="49" spans="1:9" ht="19" customHeight="1">
      <c r="A49" s="107" t="s">
        <v>1573</v>
      </c>
      <c r="B49" s="107" t="s">
        <v>2453</v>
      </c>
      <c r="C49" s="107" t="s">
        <v>2128</v>
      </c>
      <c r="D49" s="108" t="s">
        <v>4696</v>
      </c>
      <c r="E49" s="108" t="s">
        <v>2513</v>
      </c>
      <c r="F49" s="108" t="s">
        <v>3419</v>
      </c>
      <c r="G49" s="116">
        <v>4</v>
      </c>
      <c r="H49" s="109"/>
      <c r="I49" s="108" t="s">
        <v>2514</v>
      </c>
    </row>
    <row r="50" spans="1:9" ht="19" customHeight="1">
      <c r="A50" s="107" t="s">
        <v>1592</v>
      </c>
      <c r="B50" s="107" t="s">
        <v>1994</v>
      </c>
      <c r="C50" s="107" t="s">
        <v>2128</v>
      </c>
      <c r="D50" s="108" t="s">
        <v>4696</v>
      </c>
      <c r="E50" s="108" t="s">
        <v>2515</v>
      </c>
      <c r="F50" s="108" t="s">
        <v>2516</v>
      </c>
      <c r="G50" s="116">
        <v>2</v>
      </c>
      <c r="H50" s="109"/>
      <c r="I50" s="108"/>
    </row>
    <row r="51" spans="1:9" ht="19" customHeight="1">
      <c r="A51" s="107" t="s">
        <v>2517</v>
      </c>
      <c r="B51" s="107" t="s">
        <v>2518</v>
      </c>
      <c r="C51" s="107" t="s">
        <v>2128</v>
      </c>
      <c r="D51" s="108" t="s">
        <v>4696</v>
      </c>
      <c r="E51" s="108" t="s">
        <v>2519</v>
      </c>
      <c r="F51" s="108" t="s">
        <v>3420</v>
      </c>
      <c r="G51" s="116"/>
      <c r="H51" s="109">
        <v>8</v>
      </c>
      <c r="I51" s="108" t="s">
        <v>2520</v>
      </c>
    </row>
    <row r="52" spans="1:9" ht="19" customHeight="1">
      <c r="A52" s="107" t="s">
        <v>2576</v>
      </c>
      <c r="B52" s="107" t="s">
        <v>2443</v>
      </c>
      <c r="C52" s="107" t="s">
        <v>2128</v>
      </c>
      <c r="D52" s="108" t="s">
        <v>4696</v>
      </c>
      <c r="E52" s="108" t="s">
        <v>2522</v>
      </c>
      <c r="F52" s="108" t="s">
        <v>2445</v>
      </c>
      <c r="G52" s="116"/>
      <c r="H52" s="109">
        <v>3</v>
      </c>
      <c r="I52" s="108"/>
    </row>
    <row r="53" spans="1:9" ht="19" customHeight="1">
      <c r="A53" s="107" t="s">
        <v>1574</v>
      </c>
      <c r="B53" s="107" t="s">
        <v>2453</v>
      </c>
      <c r="C53" s="107" t="s">
        <v>2128</v>
      </c>
      <c r="D53" s="108" t="s">
        <v>4696</v>
      </c>
      <c r="E53" s="108" t="s">
        <v>2523</v>
      </c>
      <c r="F53" s="108" t="s">
        <v>3421</v>
      </c>
      <c r="G53" s="116">
        <v>1</v>
      </c>
      <c r="H53" s="109"/>
      <c r="I53" s="108"/>
    </row>
    <row r="54" spans="1:9" ht="19" customHeight="1">
      <c r="A54" s="107" t="s">
        <v>1575</v>
      </c>
      <c r="B54" s="107" t="s">
        <v>2453</v>
      </c>
      <c r="C54" s="107" t="s">
        <v>2128</v>
      </c>
      <c r="D54" s="108" t="s">
        <v>4696</v>
      </c>
      <c r="E54" s="108" t="s">
        <v>2524</v>
      </c>
      <c r="F54" s="108" t="s">
        <v>2525</v>
      </c>
      <c r="G54" s="116">
        <v>1</v>
      </c>
      <c r="H54" s="109"/>
      <c r="I54" s="108"/>
    </row>
    <row r="55" spans="1:9" ht="19" customHeight="1">
      <c r="A55" s="107" t="s">
        <v>2526</v>
      </c>
      <c r="B55" s="107" t="s">
        <v>2518</v>
      </c>
      <c r="C55" s="107" t="s">
        <v>2128</v>
      </c>
      <c r="D55" s="108" t="s">
        <v>4696</v>
      </c>
      <c r="E55" s="108" t="s">
        <v>2527</v>
      </c>
      <c r="F55" s="108" t="s">
        <v>3422</v>
      </c>
      <c r="G55" s="116"/>
      <c r="H55" s="109">
        <v>1.5</v>
      </c>
      <c r="I55" s="108"/>
    </row>
    <row r="56" spans="1:9" ht="19" customHeight="1">
      <c r="A56" s="107" t="s">
        <v>2528</v>
      </c>
      <c r="B56" s="107" t="s">
        <v>2453</v>
      </c>
      <c r="C56" s="107" t="s">
        <v>2128</v>
      </c>
      <c r="D56" s="108" t="s">
        <v>4696</v>
      </c>
      <c r="E56" s="108" t="s">
        <v>2529</v>
      </c>
      <c r="F56" s="108" t="s">
        <v>2530</v>
      </c>
      <c r="G56" s="116">
        <v>2</v>
      </c>
      <c r="H56" s="109"/>
      <c r="I56" s="108"/>
    </row>
    <row r="57" spans="1:9" ht="19" customHeight="1">
      <c r="A57" s="107" t="s">
        <v>1563</v>
      </c>
      <c r="B57" s="107" t="s">
        <v>1989</v>
      </c>
      <c r="C57" s="107" t="s">
        <v>2129</v>
      </c>
      <c r="D57" s="108" t="s">
        <v>4705</v>
      </c>
      <c r="E57" s="108" t="s">
        <v>2531</v>
      </c>
      <c r="F57" s="108" t="s">
        <v>2532</v>
      </c>
      <c r="G57" s="116">
        <v>3</v>
      </c>
      <c r="H57" s="109"/>
      <c r="I57" s="108"/>
    </row>
    <row r="58" spans="1:9" ht="19" customHeight="1">
      <c r="A58" s="107" t="s">
        <v>2538</v>
      </c>
      <c r="B58" s="107" t="s">
        <v>3407</v>
      </c>
      <c r="C58" s="107" t="s">
        <v>2129</v>
      </c>
      <c r="D58" s="108" t="s">
        <v>4705</v>
      </c>
      <c r="E58" s="108" t="s">
        <v>2534</v>
      </c>
      <c r="F58" s="108" t="s">
        <v>2535</v>
      </c>
      <c r="G58" s="116"/>
      <c r="H58" s="109">
        <v>3</v>
      </c>
      <c r="I58" s="108"/>
    </row>
    <row r="59" spans="1:9" ht="19" customHeight="1">
      <c r="A59" s="107" t="s">
        <v>1557</v>
      </c>
      <c r="B59" s="107" t="s">
        <v>1977</v>
      </c>
      <c r="C59" s="107" t="s">
        <v>2129</v>
      </c>
      <c r="D59" s="108" t="s">
        <v>4706</v>
      </c>
      <c r="E59" s="108" t="s">
        <v>2536</v>
      </c>
      <c r="F59" s="108" t="s">
        <v>2537</v>
      </c>
      <c r="G59" s="116">
        <v>1.5</v>
      </c>
      <c r="H59" s="109"/>
      <c r="I59" s="108"/>
    </row>
    <row r="60" spans="1:9" ht="19" customHeight="1">
      <c r="A60" s="107" t="s">
        <v>2543</v>
      </c>
      <c r="B60" s="107" t="s">
        <v>3407</v>
      </c>
      <c r="C60" s="107" t="s">
        <v>2129</v>
      </c>
      <c r="D60" s="108" t="s">
        <v>4706</v>
      </c>
      <c r="E60" s="108" t="s">
        <v>2539</v>
      </c>
      <c r="F60" s="108" t="s">
        <v>2540</v>
      </c>
      <c r="G60" s="116"/>
      <c r="H60" s="109">
        <v>1.5</v>
      </c>
      <c r="I60" s="108"/>
    </row>
    <row r="61" spans="1:9" ht="19" customHeight="1">
      <c r="A61" s="107" t="s">
        <v>1558</v>
      </c>
      <c r="B61" s="107" t="s">
        <v>1977</v>
      </c>
      <c r="C61" s="107" t="s">
        <v>2131</v>
      </c>
      <c r="D61" s="108" t="s">
        <v>3300</v>
      </c>
      <c r="E61" s="108" t="s">
        <v>2541</v>
      </c>
      <c r="F61" s="108" t="s">
        <v>2542</v>
      </c>
      <c r="G61" s="116">
        <v>1.5</v>
      </c>
      <c r="H61" s="109"/>
      <c r="I61" s="108"/>
    </row>
    <row r="62" spans="1:9" ht="19" customHeight="1">
      <c r="A62" s="107" t="s">
        <v>2548</v>
      </c>
      <c r="B62" s="107" t="s">
        <v>3407</v>
      </c>
      <c r="C62" s="107" t="s">
        <v>2131</v>
      </c>
      <c r="D62" s="108" t="s">
        <v>3300</v>
      </c>
      <c r="E62" s="108" t="s">
        <v>2544</v>
      </c>
      <c r="F62" s="108" t="s">
        <v>2545</v>
      </c>
      <c r="G62" s="116"/>
      <c r="H62" s="109">
        <v>2</v>
      </c>
      <c r="I62" s="108"/>
    </row>
    <row r="63" spans="1:9" ht="19" customHeight="1">
      <c r="A63" s="107" t="s">
        <v>1559</v>
      </c>
      <c r="B63" s="107" t="s">
        <v>1977</v>
      </c>
      <c r="C63" s="107" t="s">
        <v>2131</v>
      </c>
      <c r="D63" s="108" t="s">
        <v>3301</v>
      </c>
      <c r="E63" s="108" t="s">
        <v>2546</v>
      </c>
      <c r="F63" s="108" t="s">
        <v>2547</v>
      </c>
      <c r="G63" s="116">
        <v>0.5</v>
      </c>
      <c r="H63" s="109"/>
      <c r="I63" s="108"/>
    </row>
    <row r="64" spans="1:9" ht="19" customHeight="1">
      <c r="A64" s="107" t="s">
        <v>2553</v>
      </c>
      <c r="B64" s="107" t="s">
        <v>3407</v>
      </c>
      <c r="C64" s="107" t="s">
        <v>2131</v>
      </c>
      <c r="D64" s="108" t="s">
        <v>3301</v>
      </c>
      <c r="E64" s="108" t="s">
        <v>2549</v>
      </c>
      <c r="F64" s="108" t="s">
        <v>2550</v>
      </c>
      <c r="G64" s="116"/>
      <c r="H64" s="109">
        <v>1</v>
      </c>
      <c r="I64" s="108"/>
    </row>
    <row r="65" spans="1:9" ht="19" customHeight="1">
      <c r="A65" s="107" t="s">
        <v>4129</v>
      </c>
      <c r="B65" s="107" t="s">
        <v>1991</v>
      </c>
      <c r="C65" s="107" t="s">
        <v>2131</v>
      </c>
      <c r="D65" s="108" t="s">
        <v>1877</v>
      </c>
      <c r="E65" s="108" t="s">
        <v>4130</v>
      </c>
      <c r="F65" s="108" t="s">
        <v>4131</v>
      </c>
      <c r="G65" s="116">
        <v>1</v>
      </c>
      <c r="H65" s="109"/>
      <c r="I65" s="108"/>
    </row>
    <row r="66" spans="1:9" ht="19" customHeight="1">
      <c r="A66" s="107" t="s">
        <v>4132</v>
      </c>
      <c r="B66" s="107" t="s">
        <v>2616</v>
      </c>
      <c r="C66" s="107" t="s">
        <v>2131</v>
      </c>
      <c r="D66" s="108" t="s">
        <v>1877</v>
      </c>
      <c r="E66" s="108" t="s">
        <v>4133</v>
      </c>
      <c r="F66" s="108" t="s">
        <v>4134</v>
      </c>
      <c r="G66" s="116"/>
      <c r="H66" s="109">
        <v>1.5</v>
      </c>
      <c r="I66" s="108"/>
    </row>
    <row r="67" spans="1:9" ht="19" customHeight="1">
      <c r="A67" s="107" t="s">
        <v>1564</v>
      </c>
      <c r="B67" s="107" t="s">
        <v>1989</v>
      </c>
      <c r="C67" s="107" t="s">
        <v>2131</v>
      </c>
      <c r="D67" s="108" t="s">
        <v>1880</v>
      </c>
      <c r="E67" s="108" t="s">
        <v>1990</v>
      </c>
      <c r="F67" s="108" t="s">
        <v>3993</v>
      </c>
      <c r="G67" s="116">
        <v>1.5</v>
      </c>
      <c r="H67" s="109"/>
      <c r="I67" s="108"/>
    </row>
    <row r="68" spans="1:9" ht="19" customHeight="1">
      <c r="A68" s="107" t="s">
        <v>2615</v>
      </c>
      <c r="B68" s="107" t="s">
        <v>2616</v>
      </c>
      <c r="C68" s="107" t="s">
        <v>2131</v>
      </c>
      <c r="D68" s="108" t="s">
        <v>1880</v>
      </c>
      <c r="E68" s="108" t="s">
        <v>3994</v>
      </c>
      <c r="F68" s="108" t="s">
        <v>3995</v>
      </c>
      <c r="G68" s="116"/>
      <c r="H68" s="109">
        <v>2</v>
      </c>
      <c r="I68" s="108"/>
    </row>
    <row r="69" spans="1:9" ht="19" customHeight="1">
      <c r="A69" s="107" t="s">
        <v>1560</v>
      </c>
      <c r="B69" s="107" t="s">
        <v>1977</v>
      </c>
      <c r="C69" s="107" t="s">
        <v>2132</v>
      </c>
      <c r="D69" s="108" t="s">
        <v>1929</v>
      </c>
      <c r="E69" s="108" t="s">
        <v>3423</v>
      </c>
      <c r="F69" s="108" t="s">
        <v>2833</v>
      </c>
      <c r="G69" s="116">
        <v>2</v>
      </c>
      <c r="H69" s="109"/>
      <c r="I69" s="108"/>
    </row>
    <row r="70" spans="1:9" ht="19" customHeight="1">
      <c r="A70" s="107" t="s">
        <v>2558</v>
      </c>
      <c r="B70" s="107" t="s">
        <v>3407</v>
      </c>
      <c r="C70" s="107" t="s">
        <v>2132</v>
      </c>
      <c r="D70" s="108" t="s">
        <v>1929</v>
      </c>
      <c r="E70" s="108" t="s">
        <v>2835</v>
      </c>
      <c r="F70" s="108" t="s">
        <v>2836</v>
      </c>
      <c r="G70" s="116"/>
      <c r="H70" s="109">
        <v>2</v>
      </c>
      <c r="I70" s="108"/>
    </row>
    <row r="71" spans="1:9" ht="19" customHeight="1">
      <c r="A71" s="107" t="s">
        <v>1978</v>
      </c>
      <c r="B71" s="107" t="s">
        <v>1977</v>
      </c>
      <c r="C71" s="107" t="s">
        <v>2132</v>
      </c>
      <c r="D71" s="108" t="s">
        <v>2178</v>
      </c>
      <c r="E71" s="108" t="s">
        <v>2551</v>
      </c>
      <c r="F71" s="108" t="s">
        <v>2552</v>
      </c>
      <c r="G71" s="116">
        <v>1.5</v>
      </c>
      <c r="H71" s="109"/>
      <c r="I71" s="108"/>
    </row>
    <row r="72" spans="1:9" ht="19" customHeight="1">
      <c r="A72" s="107" t="s">
        <v>2563</v>
      </c>
      <c r="B72" s="107" t="s">
        <v>3407</v>
      </c>
      <c r="C72" s="107" t="s">
        <v>2132</v>
      </c>
      <c r="D72" s="108" t="s">
        <v>2178</v>
      </c>
      <c r="E72" s="108" t="s">
        <v>2554</v>
      </c>
      <c r="F72" s="108" t="s">
        <v>2555</v>
      </c>
      <c r="G72" s="116"/>
      <c r="H72" s="109">
        <v>1.5</v>
      </c>
      <c r="I72" s="108"/>
    </row>
    <row r="73" spans="1:9" ht="19" customHeight="1">
      <c r="A73" s="107" t="s">
        <v>2570</v>
      </c>
      <c r="B73" s="107" t="s">
        <v>3407</v>
      </c>
      <c r="C73" s="107" t="s">
        <v>4688</v>
      </c>
      <c r="D73" s="108" t="s">
        <v>3302</v>
      </c>
      <c r="E73" s="108" t="s">
        <v>2832</v>
      </c>
      <c r="F73" s="108" t="s">
        <v>3424</v>
      </c>
      <c r="G73" s="116"/>
      <c r="H73" s="109">
        <v>3</v>
      </c>
      <c r="I73" s="108"/>
    </row>
    <row r="74" spans="1:9" ht="19" customHeight="1">
      <c r="A74" s="107" t="s">
        <v>1979</v>
      </c>
      <c r="B74" s="107" t="s">
        <v>1977</v>
      </c>
      <c r="C74" s="107" t="s">
        <v>4688</v>
      </c>
      <c r="D74" s="108" t="s">
        <v>1869</v>
      </c>
      <c r="E74" s="108" t="s">
        <v>2556</v>
      </c>
      <c r="F74" s="108" t="s">
        <v>2557</v>
      </c>
      <c r="G74" s="116">
        <v>2</v>
      </c>
      <c r="H74" s="109"/>
      <c r="I74" s="108"/>
    </row>
    <row r="75" spans="1:9" ht="19" customHeight="1">
      <c r="A75" s="107" t="s">
        <v>2574</v>
      </c>
      <c r="B75" s="107" t="s">
        <v>3407</v>
      </c>
      <c r="C75" s="107" t="s">
        <v>4688</v>
      </c>
      <c r="D75" s="108" t="s">
        <v>1869</v>
      </c>
      <c r="E75" s="108" t="s">
        <v>2559</v>
      </c>
      <c r="F75" s="108" t="s">
        <v>2560</v>
      </c>
      <c r="G75" s="116"/>
      <c r="H75" s="109">
        <v>3</v>
      </c>
      <c r="I75" s="108"/>
    </row>
    <row r="76" spans="1:9" ht="19" customHeight="1">
      <c r="A76" s="107" t="s">
        <v>1576</v>
      </c>
      <c r="B76" s="107" t="s">
        <v>1991</v>
      </c>
      <c r="C76" s="107" t="s">
        <v>4688</v>
      </c>
      <c r="D76" s="108" t="s">
        <v>4708</v>
      </c>
      <c r="E76" s="108" t="s">
        <v>2826</v>
      </c>
      <c r="F76" s="108" t="s">
        <v>2827</v>
      </c>
      <c r="G76" s="116">
        <v>1.5</v>
      </c>
      <c r="H76" s="109"/>
      <c r="I76" s="108"/>
    </row>
    <row r="77" spans="1:9" ht="19" customHeight="1">
      <c r="A77" s="107" t="s">
        <v>2624</v>
      </c>
      <c r="B77" s="107" t="s">
        <v>2616</v>
      </c>
      <c r="C77" s="107" t="s">
        <v>4688</v>
      </c>
      <c r="D77" s="108" t="s">
        <v>4708</v>
      </c>
      <c r="E77" s="108" t="s">
        <v>2829</v>
      </c>
      <c r="F77" s="108" t="s">
        <v>2830</v>
      </c>
      <c r="G77" s="116"/>
      <c r="H77" s="109">
        <v>2</v>
      </c>
      <c r="I77" s="108"/>
    </row>
    <row r="78" spans="1:9" ht="19" customHeight="1">
      <c r="A78" s="107" t="s">
        <v>2566</v>
      </c>
      <c r="B78" s="107" t="s">
        <v>2453</v>
      </c>
      <c r="C78" s="107" t="s">
        <v>4689</v>
      </c>
      <c r="D78" s="108" t="s">
        <v>4709</v>
      </c>
      <c r="E78" s="108" t="s">
        <v>3425</v>
      </c>
      <c r="F78" s="108" t="s">
        <v>2567</v>
      </c>
      <c r="G78" s="116">
        <v>3</v>
      </c>
      <c r="H78" s="109"/>
      <c r="I78" s="108"/>
    </row>
    <row r="79" spans="1:9" ht="19" customHeight="1">
      <c r="A79" s="107" t="s">
        <v>2568</v>
      </c>
      <c r="B79" s="107" t="s">
        <v>1994</v>
      </c>
      <c r="C79" s="107" t="s">
        <v>4689</v>
      </c>
      <c r="D79" s="108" t="s">
        <v>4709</v>
      </c>
      <c r="E79" s="108" t="s">
        <v>3426</v>
      </c>
      <c r="F79" s="108" t="s">
        <v>2569</v>
      </c>
      <c r="G79" s="116">
        <v>1</v>
      </c>
      <c r="H79" s="109"/>
      <c r="I79" s="108"/>
    </row>
    <row r="80" spans="1:9" ht="19" customHeight="1">
      <c r="A80" s="107" t="s">
        <v>2591</v>
      </c>
      <c r="B80" s="107" t="s">
        <v>3407</v>
      </c>
      <c r="C80" s="107" t="s">
        <v>4689</v>
      </c>
      <c r="D80" s="108" t="s">
        <v>4709</v>
      </c>
      <c r="E80" s="108" t="s">
        <v>3427</v>
      </c>
      <c r="F80" s="108" t="s">
        <v>3428</v>
      </c>
      <c r="G80" s="116"/>
      <c r="H80" s="109">
        <v>3</v>
      </c>
      <c r="I80" s="108"/>
    </row>
    <row r="81" spans="1:9" ht="19" customHeight="1">
      <c r="A81" s="107" t="s">
        <v>2584</v>
      </c>
      <c r="B81" s="107" t="s">
        <v>2443</v>
      </c>
      <c r="C81" s="107" t="s">
        <v>4689</v>
      </c>
      <c r="D81" s="108" t="s">
        <v>4709</v>
      </c>
      <c r="E81" s="108" t="s">
        <v>3429</v>
      </c>
      <c r="F81" s="108" t="s">
        <v>2445</v>
      </c>
      <c r="G81" s="116"/>
      <c r="H81" s="109">
        <v>1.5</v>
      </c>
      <c r="I81" s="108"/>
    </row>
    <row r="82" spans="1:9" ht="19" customHeight="1">
      <c r="A82" s="107" t="s">
        <v>1981</v>
      </c>
      <c r="B82" s="107" t="s">
        <v>1977</v>
      </c>
      <c r="C82" s="107" t="s">
        <v>4689</v>
      </c>
      <c r="D82" s="108" t="s">
        <v>3304</v>
      </c>
      <c r="E82" s="108" t="s">
        <v>3431</v>
      </c>
      <c r="F82" s="108" t="s">
        <v>2820</v>
      </c>
      <c r="G82" s="116">
        <v>1.5</v>
      </c>
      <c r="H82" s="109"/>
      <c r="I82" s="108"/>
    </row>
    <row r="83" spans="1:9" ht="19" customHeight="1">
      <c r="A83" s="107" t="s">
        <v>2597</v>
      </c>
      <c r="B83" s="107" t="s">
        <v>3407</v>
      </c>
      <c r="C83" s="107" t="s">
        <v>4689</v>
      </c>
      <c r="D83" s="108" t="s">
        <v>3304</v>
      </c>
      <c r="E83" s="108" t="s">
        <v>3432</v>
      </c>
      <c r="F83" s="108" t="s">
        <v>2822</v>
      </c>
      <c r="G83" s="116"/>
      <c r="H83" s="109">
        <v>2</v>
      </c>
      <c r="I83" s="108"/>
    </row>
    <row r="84" spans="1:9" ht="19" customHeight="1">
      <c r="A84" s="107" t="s">
        <v>2610</v>
      </c>
      <c r="B84" s="107" t="s">
        <v>2443</v>
      </c>
      <c r="C84" s="107" t="s">
        <v>4689</v>
      </c>
      <c r="D84" s="108" t="s">
        <v>3304</v>
      </c>
      <c r="E84" s="108" t="s">
        <v>3433</v>
      </c>
      <c r="F84" s="108" t="s">
        <v>2824</v>
      </c>
      <c r="G84" s="116"/>
      <c r="H84" s="109">
        <v>1</v>
      </c>
      <c r="I84" s="108"/>
    </row>
    <row r="85" spans="1:9" ht="19" customHeight="1">
      <c r="A85" s="107" t="s">
        <v>1565</v>
      </c>
      <c r="B85" s="107" t="s">
        <v>1989</v>
      </c>
      <c r="C85" s="107" t="s">
        <v>2134</v>
      </c>
      <c r="D85" s="108" t="s">
        <v>1862</v>
      </c>
      <c r="E85" s="108" t="s">
        <v>2561</v>
      </c>
      <c r="F85" s="108" t="s">
        <v>2562</v>
      </c>
      <c r="G85" s="116">
        <v>2</v>
      </c>
      <c r="H85" s="109"/>
      <c r="I85" s="108"/>
    </row>
    <row r="86" spans="1:9" ht="19" customHeight="1">
      <c r="A86" s="107" t="s">
        <v>2581</v>
      </c>
      <c r="B86" s="107" t="s">
        <v>3407</v>
      </c>
      <c r="C86" s="107" t="s">
        <v>2134</v>
      </c>
      <c r="D86" s="108" t="s">
        <v>1862</v>
      </c>
      <c r="E86" s="108" t="s">
        <v>2564</v>
      </c>
      <c r="F86" s="108" t="s">
        <v>2565</v>
      </c>
      <c r="G86" s="116"/>
      <c r="H86" s="109">
        <v>2</v>
      </c>
      <c r="I86" s="108"/>
    </row>
    <row r="87" spans="1:9" ht="19" customHeight="1">
      <c r="A87" s="107" t="s">
        <v>1980</v>
      </c>
      <c r="B87" s="107" t="s">
        <v>1977</v>
      </c>
      <c r="C87" s="107" t="s">
        <v>2134</v>
      </c>
      <c r="D87" s="108" t="s">
        <v>3303</v>
      </c>
      <c r="E87" s="108" t="s">
        <v>2572</v>
      </c>
      <c r="F87" s="108" t="s">
        <v>2573</v>
      </c>
      <c r="G87" s="116">
        <v>1.5</v>
      </c>
      <c r="H87" s="109"/>
      <c r="I87" s="108"/>
    </row>
    <row r="88" spans="1:9" ht="19" customHeight="1">
      <c r="A88" s="107" t="s">
        <v>2596</v>
      </c>
      <c r="B88" s="107" t="s">
        <v>3407</v>
      </c>
      <c r="C88" s="107" t="s">
        <v>2134</v>
      </c>
      <c r="D88" s="108" t="s">
        <v>3303</v>
      </c>
      <c r="E88" s="108" t="s">
        <v>2575</v>
      </c>
      <c r="F88" s="108" t="s">
        <v>3430</v>
      </c>
      <c r="G88" s="116"/>
      <c r="H88" s="109">
        <v>1.5</v>
      </c>
      <c r="I88" s="108"/>
    </row>
    <row r="89" spans="1:9" ht="19" customHeight="1">
      <c r="A89" s="107" t="s">
        <v>2594</v>
      </c>
      <c r="B89" s="107" t="s">
        <v>2443</v>
      </c>
      <c r="C89" s="107" t="s">
        <v>2134</v>
      </c>
      <c r="D89" s="108" t="s">
        <v>3303</v>
      </c>
      <c r="E89" s="108" t="s">
        <v>2577</v>
      </c>
      <c r="F89" s="108" t="s">
        <v>2578</v>
      </c>
      <c r="G89" s="116"/>
      <c r="H89" s="109">
        <v>1</v>
      </c>
      <c r="I89" s="108"/>
    </row>
    <row r="90" spans="1:9" ht="19" customHeight="1">
      <c r="A90" s="107" t="s">
        <v>1982</v>
      </c>
      <c r="B90" s="107" t="s">
        <v>1977</v>
      </c>
      <c r="C90" s="107" t="s">
        <v>4690</v>
      </c>
      <c r="D90" s="108" t="s">
        <v>2206</v>
      </c>
      <c r="E90" s="108" t="s">
        <v>2579</v>
      </c>
      <c r="F90" s="108" t="s">
        <v>2580</v>
      </c>
      <c r="G90" s="116">
        <v>2</v>
      </c>
      <c r="H90" s="109"/>
      <c r="I90" s="108"/>
    </row>
    <row r="91" spans="1:9" ht="19" customHeight="1">
      <c r="A91" s="107" t="s">
        <v>2658</v>
      </c>
      <c r="B91" s="107" t="s">
        <v>3407</v>
      </c>
      <c r="C91" s="107" t="s">
        <v>4690</v>
      </c>
      <c r="D91" s="108" t="s">
        <v>2206</v>
      </c>
      <c r="E91" s="108" t="s">
        <v>2582</v>
      </c>
      <c r="F91" s="108" t="s">
        <v>2583</v>
      </c>
      <c r="G91" s="116"/>
      <c r="H91" s="109">
        <v>3</v>
      </c>
      <c r="I91" s="108"/>
    </row>
    <row r="92" spans="1:9" ht="19" customHeight="1">
      <c r="A92" s="107" t="s">
        <v>2619</v>
      </c>
      <c r="B92" s="107" t="s">
        <v>2443</v>
      </c>
      <c r="C92" s="107" t="s">
        <v>4690</v>
      </c>
      <c r="D92" s="108" t="s">
        <v>2206</v>
      </c>
      <c r="E92" s="108" t="s">
        <v>2585</v>
      </c>
      <c r="F92" s="108" t="s">
        <v>2586</v>
      </c>
      <c r="G92" s="116"/>
      <c r="H92" s="109">
        <v>1</v>
      </c>
      <c r="I92" s="108"/>
    </row>
    <row r="93" spans="1:9" ht="19" customHeight="1">
      <c r="A93" s="107" t="s">
        <v>4135</v>
      </c>
      <c r="B93" s="107" t="s">
        <v>2453</v>
      </c>
      <c r="C93" s="107" t="s">
        <v>4690</v>
      </c>
      <c r="D93" s="108" t="s">
        <v>4714</v>
      </c>
      <c r="E93" s="108" t="s">
        <v>4136</v>
      </c>
      <c r="F93" s="108" t="s">
        <v>4137</v>
      </c>
      <c r="G93" s="116">
        <v>1.5</v>
      </c>
      <c r="H93" s="109"/>
      <c r="I93" s="108"/>
    </row>
    <row r="94" spans="1:9" ht="19" customHeight="1">
      <c r="A94" s="107" t="s">
        <v>4138</v>
      </c>
      <c r="B94" s="107" t="s">
        <v>3407</v>
      </c>
      <c r="C94" s="107" t="s">
        <v>4690</v>
      </c>
      <c r="D94" s="108" t="s">
        <v>4714</v>
      </c>
      <c r="E94" s="108" t="s">
        <v>4139</v>
      </c>
      <c r="F94" s="108" t="s">
        <v>4140</v>
      </c>
      <c r="G94" s="116"/>
      <c r="H94" s="109">
        <v>2</v>
      </c>
      <c r="I94" s="108"/>
    </row>
    <row r="95" spans="1:9" ht="19" customHeight="1">
      <c r="A95" s="107" t="s">
        <v>1983</v>
      </c>
      <c r="B95" s="107" t="s">
        <v>1977</v>
      </c>
      <c r="C95" s="107" t="s">
        <v>1848</v>
      </c>
      <c r="D95" s="108" t="s">
        <v>1848</v>
      </c>
      <c r="E95" s="108" t="s">
        <v>2587</v>
      </c>
      <c r="F95" s="108" t="s">
        <v>2588</v>
      </c>
      <c r="G95" s="116">
        <v>4</v>
      </c>
      <c r="H95" s="109"/>
      <c r="I95" s="108"/>
    </row>
    <row r="96" spans="1:9" ht="19" customHeight="1">
      <c r="A96" s="107" t="s">
        <v>2589</v>
      </c>
      <c r="B96" s="107" t="s">
        <v>1994</v>
      </c>
      <c r="C96" s="107" t="s">
        <v>1848</v>
      </c>
      <c r="D96" s="108" t="s">
        <v>1848</v>
      </c>
      <c r="E96" s="108" t="s">
        <v>2590</v>
      </c>
      <c r="F96" s="108" t="s">
        <v>3434</v>
      </c>
      <c r="G96" s="116">
        <v>1</v>
      </c>
      <c r="H96" s="109"/>
      <c r="I96" s="108"/>
    </row>
    <row r="97" spans="1:9" ht="19" customHeight="1">
      <c r="A97" s="107" t="s">
        <v>2685</v>
      </c>
      <c r="B97" s="107" t="s">
        <v>3407</v>
      </c>
      <c r="C97" s="107" t="s">
        <v>1848</v>
      </c>
      <c r="D97" s="108" t="s">
        <v>1848</v>
      </c>
      <c r="E97" s="108" t="s">
        <v>2592</v>
      </c>
      <c r="F97" s="108" t="s">
        <v>3435</v>
      </c>
      <c r="G97" s="116"/>
      <c r="H97" s="109">
        <v>4</v>
      </c>
      <c r="I97" s="108" t="s">
        <v>2593</v>
      </c>
    </row>
    <row r="98" spans="1:9" ht="19" customHeight="1">
      <c r="A98" s="107" t="s">
        <v>2706</v>
      </c>
      <c r="B98" s="107" t="s">
        <v>2443</v>
      </c>
      <c r="C98" s="107" t="s">
        <v>1848</v>
      </c>
      <c r="D98" s="108" t="s">
        <v>1848</v>
      </c>
      <c r="E98" s="108" t="s">
        <v>2595</v>
      </c>
      <c r="F98" s="108" t="s">
        <v>2445</v>
      </c>
      <c r="G98" s="116"/>
      <c r="H98" s="109">
        <v>2</v>
      </c>
      <c r="I98" s="108"/>
    </row>
    <row r="99" spans="1:9" ht="19" customHeight="1">
      <c r="A99" s="107" t="s">
        <v>2768</v>
      </c>
      <c r="B99" s="107" t="s">
        <v>3407</v>
      </c>
      <c r="C99" s="107" t="s">
        <v>1848</v>
      </c>
      <c r="D99" s="108" t="s">
        <v>3305</v>
      </c>
      <c r="E99" s="108" t="s">
        <v>3436</v>
      </c>
      <c r="F99" s="108" t="s">
        <v>3437</v>
      </c>
      <c r="G99" s="116"/>
      <c r="H99" s="109">
        <v>2</v>
      </c>
      <c r="I99" s="108" t="s">
        <v>2593</v>
      </c>
    </row>
    <row r="100" spans="1:9" ht="19" customHeight="1">
      <c r="A100" s="107" t="s">
        <v>2834</v>
      </c>
      <c r="B100" s="107" t="s">
        <v>3407</v>
      </c>
      <c r="C100" s="107" t="s">
        <v>1848</v>
      </c>
      <c r="D100" s="108" t="s">
        <v>1873</v>
      </c>
      <c r="E100" s="108" t="s">
        <v>2598</v>
      </c>
      <c r="F100" s="108" t="s">
        <v>2599</v>
      </c>
      <c r="G100" s="116"/>
      <c r="H100" s="109">
        <v>1</v>
      </c>
      <c r="I100" s="108"/>
    </row>
    <row r="101" spans="1:9" ht="19" customHeight="1">
      <c r="A101" s="107" t="s">
        <v>1566</v>
      </c>
      <c r="B101" s="107" t="s">
        <v>1989</v>
      </c>
      <c r="C101" s="107" t="s">
        <v>2135</v>
      </c>
      <c r="D101" s="108" t="s">
        <v>4717</v>
      </c>
      <c r="E101" s="108" t="s">
        <v>2600</v>
      </c>
      <c r="F101" s="108" t="s">
        <v>2601</v>
      </c>
      <c r="G101" s="116">
        <v>2</v>
      </c>
      <c r="H101" s="109"/>
      <c r="I101" s="108"/>
    </row>
    <row r="102" spans="1:9" ht="19" customHeight="1">
      <c r="A102" s="107" t="s">
        <v>2602</v>
      </c>
      <c r="B102" s="107" t="s">
        <v>2453</v>
      </c>
      <c r="C102" s="107" t="s">
        <v>2135</v>
      </c>
      <c r="D102" s="108" t="s">
        <v>4717</v>
      </c>
      <c r="E102" s="108" t="s">
        <v>2603</v>
      </c>
      <c r="F102" s="108" t="s">
        <v>2604</v>
      </c>
      <c r="G102" s="116">
        <v>2</v>
      </c>
      <c r="H102" s="109"/>
      <c r="I102" s="108"/>
    </row>
    <row r="103" spans="1:9" ht="19" customHeight="1">
      <c r="A103" s="107" t="s">
        <v>2605</v>
      </c>
      <c r="B103" s="107" t="s">
        <v>2606</v>
      </c>
      <c r="C103" s="107" t="s">
        <v>2135</v>
      </c>
      <c r="D103" s="108" t="s">
        <v>4717</v>
      </c>
      <c r="E103" s="108" t="s">
        <v>2607</v>
      </c>
      <c r="F103" s="108" t="s">
        <v>2608</v>
      </c>
      <c r="G103" s="116"/>
      <c r="H103" s="109">
        <v>3</v>
      </c>
      <c r="I103" s="108" t="s">
        <v>2609</v>
      </c>
    </row>
    <row r="104" spans="1:9" ht="19" customHeight="1">
      <c r="A104" s="107" t="s">
        <v>2720</v>
      </c>
      <c r="B104" s="107" t="s">
        <v>2443</v>
      </c>
      <c r="C104" s="107" t="s">
        <v>2135</v>
      </c>
      <c r="D104" s="108" t="s">
        <v>4717</v>
      </c>
      <c r="E104" s="108" t="s">
        <v>2611</v>
      </c>
      <c r="F104" s="108" t="s">
        <v>2612</v>
      </c>
      <c r="G104" s="116"/>
      <c r="H104" s="109">
        <v>1.5</v>
      </c>
      <c r="I104" s="108"/>
    </row>
    <row r="105" spans="1:9" ht="19" customHeight="1">
      <c r="A105" s="107" t="s">
        <v>1984</v>
      </c>
      <c r="B105" s="107" t="s">
        <v>1977</v>
      </c>
      <c r="C105" s="107" t="s">
        <v>2135</v>
      </c>
      <c r="D105" s="108" t="s">
        <v>2210</v>
      </c>
      <c r="E105" s="108" t="s">
        <v>3988</v>
      </c>
      <c r="F105" s="108" t="s">
        <v>3989</v>
      </c>
      <c r="G105" s="116">
        <v>1</v>
      </c>
      <c r="H105" s="109"/>
      <c r="I105" s="108"/>
    </row>
    <row r="106" spans="1:9" ht="19" customHeight="1">
      <c r="A106" s="107" t="s">
        <v>2831</v>
      </c>
      <c r="B106" s="107" t="s">
        <v>3990</v>
      </c>
      <c r="C106" s="107" t="s">
        <v>2135</v>
      </c>
      <c r="D106" s="108" t="s">
        <v>2210</v>
      </c>
      <c r="E106" s="108" t="s">
        <v>3991</v>
      </c>
      <c r="F106" s="108" t="s">
        <v>3992</v>
      </c>
      <c r="G106" s="116"/>
      <c r="H106" s="109">
        <v>1.5</v>
      </c>
      <c r="I106" s="108"/>
    </row>
    <row r="107" spans="1:9" ht="19" customHeight="1">
      <c r="A107" s="107" t="s">
        <v>1577</v>
      </c>
      <c r="B107" s="107" t="s">
        <v>1991</v>
      </c>
      <c r="C107" s="107" t="s">
        <v>2138</v>
      </c>
      <c r="D107" s="108" t="s">
        <v>4718</v>
      </c>
      <c r="E107" s="108" t="s">
        <v>2613</v>
      </c>
      <c r="F107" s="108" t="s">
        <v>2614</v>
      </c>
      <c r="G107" s="116">
        <v>2</v>
      </c>
      <c r="H107" s="109"/>
      <c r="I107" s="108"/>
    </row>
    <row r="108" spans="1:9" ht="19" customHeight="1">
      <c r="A108" s="107" t="s">
        <v>2629</v>
      </c>
      <c r="B108" s="107" t="s">
        <v>2616</v>
      </c>
      <c r="C108" s="107" t="s">
        <v>2138</v>
      </c>
      <c r="D108" s="108" t="s">
        <v>4718</v>
      </c>
      <c r="E108" s="108" t="s">
        <v>2617</v>
      </c>
      <c r="F108" s="108" t="s">
        <v>2618</v>
      </c>
      <c r="G108" s="116"/>
      <c r="H108" s="109">
        <v>2</v>
      </c>
      <c r="I108" s="108"/>
    </row>
    <row r="109" spans="1:9" ht="19" customHeight="1">
      <c r="A109" s="107" t="s">
        <v>2842</v>
      </c>
      <c r="B109" s="107" t="s">
        <v>2443</v>
      </c>
      <c r="C109" s="107" t="s">
        <v>2138</v>
      </c>
      <c r="D109" s="108" t="s">
        <v>4718</v>
      </c>
      <c r="E109" s="108" t="s">
        <v>2620</v>
      </c>
      <c r="F109" s="108" t="s">
        <v>2621</v>
      </c>
      <c r="G109" s="116"/>
      <c r="H109" s="109">
        <v>1</v>
      </c>
      <c r="I109" s="108"/>
    </row>
    <row r="110" spans="1:9" ht="19" customHeight="1">
      <c r="A110" s="107" t="s">
        <v>1578</v>
      </c>
      <c r="B110" s="107" t="s">
        <v>1991</v>
      </c>
      <c r="C110" s="107" t="s">
        <v>2138</v>
      </c>
      <c r="D110" s="108" t="s">
        <v>4719</v>
      </c>
      <c r="E110" s="108" t="s">
        <v>2622</v>
      </c>
      <c r="F110" s="108" t="s">
        <v>2623</v>
      </c>
      <c r="G110" s="116">
        <v>1.5</v>
      </c>
      <c r="H110" s="109"/>
      <c r="I110" s="108"/>
    </row>
    <row r="111" spans="1:9" ht="19" customHeight="1">
      <c r="A111" s="107" t="s">
        <v>2828</v>
      </c>
      <c r="B111" s="107" t="s">
        <v>2616</v>
      </c>
      <c r="C111" s="107" t="s">
        <v>2138</v>
      </c>
      <c r="D111" s="108" t="s">
        <v>4719</v>
      </c>
      <c r="E111" s="108" t="s">
        <v>2625</v>
      </c>
      <c r="F111" s="108" t="s">
        <v>2626</v>
      </c>
      <c r="G111" s="116"/>
      <c r="H111" s="109">
        <v>2</v>
      </c>
      <c r="I111" s="108"/>
    </row>
    <row r="112" spans="1:9" ht="19" customHeight="1">
      <c r="A112" s="107" t="s">
        <v>2825</v>
      </c>
      <c r="B112" s="107" t="s">
        <v>1991</v>
      </c>
      <c r="C112" s="107" t="s">
        <v>2138</v>
      </c>
      <c r="D112" s="108" t="s">
        <v>4720</v>
      </c>
      <c r="E112" s="108" t="s">
        <v>2627</v>
      </c>
      <c r="F112" s="108" t="s">
        <v>2628</v>
      </c>
      <c r="G112" s="116">
        <v>1.5</v>
      </c>
      <c r="H112" s="109"/>
      <c r="I112" s="108"/>
    </row>
    <row r="113" spans="1:9" ht="19" customHeight="1">
      <c r="A113" s="107" t="s">
        <v>3987</v>
      </c>
      <c r="B113" s="107" t="s">
        <v>2616</v>
      </c>
      <c r="C113" s="107" t="s">
        <v>2138</v>
      </c>
      <c r="D113" s="108" t="s">
        <v>4720</v>
      </c>
      <c r="E113" s="108" t="s">
        <v>2630</v>
      </c>
      <c r="F113" s="108" t="s">
        <v>2631</v>
      </c>
      <c r="G113" s="116"/>
      <c r="H113" s="109">
        <v>2</v>
      </c>
      <c r="I113" s="108"/>
    </row>
    <row r="114" spans="1:9" ht="19" customHeight="1">
      <c r="A114" s="107" t="s">
        <v>4141</v>
      </c>
      <c r="B114" s="107" t="s">
        <v>2486</v>
      </c>
      <c r="C114" s="107" t="s">
        <v>1932</v>
      </c>
      <c r="D114" s="108" t="s">
        <v>4722</v>
      </c>
      <c r="E114" s="108" t="s">
        <v>4142</v>
      </c>
      <c r="F114" s="108" t="s">
        <v>4143</v>
      </c>
      <c r="G114" s="116">
        <v>1</v>
      </c>
      <c r="H114" s="109"/>
      <c r="I114" s="108"/>
    </row>
    <row r="115" spans="1:9" ht="19" customHeight="1">
      <c r="A115" s="107" t="s">
        <v>4144</v>
      </c>
      <c r="B115" s="107" t="s">
        <v>2606</v>
      </c>
      <c r="C115" s="107" t="s">
        <v>1932</v>
      </c>
      <c r="D115" s="108" t="s">
        <v>4722</v>
      </c>
      <c r="E115" s="108" t="s">
        <v>4145</v>
      </c>
      <c r="F115" s="108" t="s">
        <v>4146</v>
      </c>
      <c r="G115" s="116"/>
      <c r="H115" s="109">
        <v>2</v>
      </c>
      <c r="I115" s="108"/>
    </row>
    <row r="116" spans="1:9" ht="19" customHeight="1">
      <c r="A116" s="107" t="s">
        <v>1580</v>
      </c>
      <c r="B116" s="107" t="s">
        <v>2486</v>
      </c>
      <c r="C116" s="107" t="s">
        <v>2141</v>
      </c>
      <c r="D116" s="108" t="s">
        <v>2185</v>
      </c>
      <c r="E116" s="108" t="s">
        <v>2632</v>
      </c>
      <c r="F116" s="108" t="s">
        <v>2633</v>
      </c>
      <c r="G116" s="116">
        <v>2</v>
      </c>
      <c r="H116" s="109"/>
      <c r="I116" s="108"/>
    </row>
    <row r="117" spans="1:9" ht="19" customHeight="1">
      <c r="A117" s="107" t="s">
        <v>2634</v>
      </c>
      <c r="B117" s="107" t="s">
        <v>2490</v>
      </c>
      <c r="C117" s="107" t="s">
        <v>2141</v>
      </c>
      <c r="D117" s="108" t="s">
        <v>2185</v>
      </c>
      <c r="E117" s="108" t="s">
        <v>2635</v>
      </c>
      <c r="F117" s="108" t="s">
        <v>2636</v>
      </c>
      <c r="G117" s="116"/>
      <c r="H117" s="109">
        <v>2</v>
      </c>
      <c r="I117" s="108"/>
    </row>
    <row r="118" spans="1:9" ht="19" customHeight="1">
      <c r="A118" s="107" t="s">
        <v>1581</v>
      </c>
      <c r="B118" s="107" t="s">
        <v>2486</v>
      </c>
      <c r="C118" s="107" t="s">
        <v>2141</v>
      </c>
      <c r="D118" s="108" t="s">
        <v>2162</v>
      </c>
      <c r="E118" s="108" t="s">
        <v>2637</v>
      </c>
      <c r="F118" s="108" t="s">
        <v>2638</v>
      </c>
      <c r="G118" s="116">
        <v>5</v>
      </c>
      <c r="H118" s="109"/>
      <c r="I118" s="108" t="s">
        <v>2639</v>
      </c>
    </row>
    <row r="119" spans="1:9" ht="19" customHeight="1">
      <c r="A119" s="107" t="s">
        <v>2640</v>
      </c>
      <c r="B119" s="107" t="s">
        <v>2490</v>
      </c>
      <c r="C119" s="107" t="s">
        <v>2141</v>
      </c>
      <c r="D119" s="108" t="s">
        <v>2162</v>
      </c>
      <c r="E119" s="108" t="s">
        <v>2641</v>
      </c>
      <c r="F119" s="108" t="s">
        <v>2642</v>
      </c>
      <c r="G119" s="116"/>
      <c r="H119" s="109">
        <v>8</v>
      </c>
      <c r="I119" s="108"/>
    </row>
    <row r="120" spans="1:9" ht="19" customHeight="1">
      <c r="A120" s="107" t="s">
        <v>2643</v>
      </c>
      <c r="B120" s="107" t="s">
        <v>2490</v>
      </c>
      <c r="C120" s="107" t="s">
        <v>2141</v>
      </c>
      <c r="D120" s="108" t="s">
        <v>2162</v>
      </c>
      <c r="E120" s="108" t="s">
        <v>2644</v>
      </c>
      <c r="F120" s="108" t="s">
        <v>2645</v>
      </c>
      <c r="G120" s="116"/>
      <c r="H120" s="109">
        <v>4</v>
      </c>
      <c r="I120" s="108"/>
    </row>
    <row r="121" spans="1:9" ht="19" customHeight="1">
      <c r="A121" s="107" t="s">
        <v>1582</v>
      </c>
      <c r="B121" s="107" t="s">
        <v>2486</v>
      </c>
      <c r="C121" s="107" t="s">
        <v>2141</v>
      </c>
      <c r="D121" s="108" t="s">
        <v>2163</v>
      </c>
      <c r="E121" s="108" t="s">
        <v>2646</v>
      </c>
      <c r="F121" s="108" t="s">
        <v>2647</v>
      </c>
      <c r="G121" s="116">
        <v>4</v>
      </c>
      <c r="H121" s="109"/>
      <c r="I121" s="108"/>
    </row>
    <row r="122" spans="1:9" ht="19" customHeight="1">
      <c r="A122" s="107" t="s">
        <v>2648</v>
      </c>
      <c r="B122" s="107" t="s">
        <v>2490</v>
      </c>
      <c r="C122" s="107" t="s">
        <v>2141</v>
      </c>
      <c r="D122" s="108" t="s">
        <v>2163</v>
      </c>
      <c r="E122" s="108" t="s">
        <v>2649</v>
      </c>
      <c r="F122" s="108" t="s">
        <v>3438</v>
      </c>
      <c r="G122" s="116"/>
      <c r="H122" s="109">
        <v>8</v>
      </c>
      <c r="I122" s="108"/>
    </row>
    <row r="123" spans="1:9" ht="19" customHeight="1">
      <c r="A123" s="107" t="s">
        <v>2650</v>
      </c>
      <c r="B123" s="107" t="s">
        <v>2490</v>
      </c>
      <c r="C123" s="107" t="s">
        <v>2141</v>
      </c>
      <c r="D123" s="108" t="s">
        <v>2163</v>
      </c>
      <c r="E123" s="108" t="s">
        <v>2651</v>
      </c>
      <c r="F123" s="108" t="s">
        <v>2652</v>
      </c>
      <c r="G123" s="116"/>
      <c r="H123" s="109">
        <v>3</v>
      </c>
      <c r="I123" s="108"/>
    </row>
    <row r="124" spans="1:9" ht="19" customHeight="1">
      <c r="A124" s="107" t="s">
        <v>2653</v>
      </c>
      <c r="B124" s="107" t="s">
        <v>2654</v>
      </c>
      <c r="C124" s="107" t="s">
        <v>2141</v>
      </c>
      <c r="D124" s="108" t="s">
        <v>2163</v>
      </c>
      <c r="E124" s="108" t="s">
        <v>3439</v>
      </c>
      <c r="F124" s="108" t="s">
        <v>3440</v>
      </c>
      <c r="G124" s="116"/>
      <c r="H124" s="109">
        <v>4</v>
      </c>
      <c r="I124" s="108" t="s">
        <v>2655</v>
      </c>
    </row>
    <row r="125" spans="1:9" ht="19" customHeight="1">
      <c r="A125" s="107" t="s">
        <v>1985</v>
      </c>
      <c r="B125" s="107" t="s">
        <v>1977</v>
      </c>
      <c r="C125" s="107" t="s">
        <v>2141</v>
      </c>
      <c r="D125" s="108" t="s">
        <v>2172</v>
      </c>
      <c r="E125" s="108" t="s">
        <v>2656</v>
      </c>
      <c r="F125" s="108" t="s">
        <v>2657</v>
      </c>
      <c r="G125" s="116">
        <v>3</v>
      </c>
      <c r="H125" s="109"/>
      <c r="I125" s="108"/>
    </row>
    <row r="126" spans="1:9" ht="19" customHeight="1">
      <c r="A126" s="107" t="s">
        <v>2821</v>
      </c>
      <c r="B126" s="107" t="s">
        <v>3407</v>
      </c>
      <c r="C126" s="107" t="s">
        <v>2141</v>
      </c>
      <c r="D126" s="108" t="s">
        <v>2172</v>
      </c>
      <c r="E126" s="108" t="s">
        <v>2659</v>
      </c>
      <c r="F126" s="108" t="s">
        <v>2660</v>
      </c>
      <c r="G126" s="116"/>
      <c r="H126" s="109">
        <v>4</v>
      </c>
      <c r="I126" s="108"/>
    </row>
    <row r="127" spans="1:9" ht="19" customHeight="1">
      <c r="A127" s="107" t="s">
        <v>1583</v>
      </c>
      <c r="B127" s="107" t="s">
        <v>2486</v>
      </c>
      <c r="C127" s="107" t="s">
        <v>2141</v>
      </c>
      <c r="D127" s="108" t="s">
        <v>2204</v>
      </c>
      <c r="E127" s="108" t="s">
        <v>2661</v>
      </c>
      <c r="F127" s="108" t="s">
        <v>2662</v>
      </c>
      <c r="G127" s="116">
        <v>2</v>
      </c>
      <c r="H127" s="109"/>
      <c r="I127" s="108"/>
    </row>
    <row r="128" spans="1:9" ht="19" customHeight="1">
      <c r="A128" s="107" t="s">
        <v>2663</v>
      </c>
      <c r="B128" s="107" t="s">
        <v>2490</v>
      </c>
      <c r="C128" s="107" t="s">
        <v>2141</v>
      </c>
      <c r="D128" s="108" t="s">
        <v>2204</v>
      </c>
      <c r="E128" s="108" t="s">
        <v>2664</v>
      </c>
      <c r="F128" s="108" t="s">
        <v>2665</v>
      </c>
      <c r="G128" s="116"/>
      <c r="H128" s="109">
        <v>6</v>
      </c>
      <c r="I128" s="108"/>
    </row>
    <row r="129" spans="1:9" ht="19" customHeight="1">
      <c r="A129" s="107" t="s">
        <v>2666</v>
      </c>
      <c r="B129" s="107" t="s">
        <v>2490</v>
      </c>
      <c r="C129" s="107" t="s">
        <v>2141</v>
      </c>
      <c r="D129" s="108" t="s">
        <v>2204</v>
      </c>
      <c r="E129" s="108" t="s">
        <v>2667</v>
      </c>
      <c r="F129" s="108" t="s">
        <v>2668</v>
      </c>
      <c r="G129" s="116"/>
      <c r="H129" s="109">
        <v>4</v>
      </c>
      <c r="I129" s="108"/>
    </row>
    <row r="130" spans="1:9" ht="19" customHeight="1">
      <c r="A130" s="107" t="s">
        <v>1567</v>
      </c>
      <c r="B130" s="107" t="s">
        <v>1989</v>
      </c>
      <c r="C130" s="107" t="s">
        <v>2141</v>
      </c>
      <c r="D130" s="108" t="s">
        <v>3306</v>
      </c>
      <c r="E130" s="108" t="s">
        <v>2669</v>
      </c>
      <c r="F130" s="108" t="s">
        <v>2670</v>
      </c>
      <c r="G130" s="116">
        <v>3</v>
      </c>
      <c r="H130" s="109"/>
      <c r="I130" s="108"/>
    </row>
    <row r="131" spans="1:9" ht="19" customHeight="1">
      <c r="A131" s="107" t="s">
        <v>1568</v>
      </c>
      <c r="B131" s="107" t="s">
        <v>1989</v>
      </c>
      <c r="C131" s="107" t="s">
        <v>2141</v>
      </c>
      <c r="D131" s="108" t="s">
        <v>3306</v>
      </c>
      <c r="E131" s="108" t="s">
        <v>2671</v>
      </c>
      <c r="F131" s="108" t="s">
        <v>2672</v>
      </c>
      <c r="G131" s="116">
        <v>2</v>
      </c>
      <c r="H131" s="109"/>
      <c r="I131" s="108"/>
    </row>
    <row r="132" spans="1:9" ht="19" customHeight="1">
      <c r="A132" s="107" t="s">
        <v>1546</v>
      </c>
      <c r="B132" s="107" t="s">
        <v>1995</v>
      </c>
      <c r="C132" s="107" t="s">
        <v>2144</v>
      </c>
      <c r="D132" s="108" t="s">
        <v>2177</v>
      </c>
      <c r="E132" s="108" t="s">
        <v>2673</v>
      </c>
      <c r="F132" s="108" t="s">
        <v>2674</v>
      </c>
      <c r="G132" s="116">
        <v>3</v>
      </c>
      <c r="H132" s="109"/>
      <c r="I132" s="108"/>
    </row>
    <row r="133" spans="1:9" ht="19" customHeight="1">
      <c r="A133" s="107" t="s">
        <v>2675</v>
      </c>
      <c r="B133" s="107" t="s">
        <v>2490</v>
      </c>
      <c r="C133" s="107" t="s">
        <v>2144</v>
      </c>
      <c r="D133" s="108" t="s">
        <v>2177</v>
      </c>
      <c r="E133" s="108" t="s">
        <v>2676</v>
      </c>
      <c r="F133" s="108" t="s">
        <v>2677</v>
      </c>
      <c r="G133" s="116"/>
      <c r="H133" s="109">
        <v>3</v>
      </c>
      <c r="I133" s="108"/>
    </row>
    <row r="134" spans="1:9" ht="19" customHeight="1">
      <c r="A134" s="107" t="s">
        <v>1569</v>
      </c>
      <c r="B134" s="107" t="s">
        <v>1989</v>
      </c>
      <c r="C134" s="107" t="s">
        <v>2144</v>
      </c>
      <c r="D134" s="108" t="s">
        <v>2158</v>
      </c>
      <c r="E134" s="108" t="s">
        <v>2678</v>
      </c>
      <c r="F134" s="108" t="s">
        <v>2679</v>
      </c>
      <c r="G134" s="116">
        <v>2</v>
      </c>
      <c r="H134" s="109"/>
      <c r="I134" s="108"/>
    </row>
    <row r="135" spans="1:9" ht="19" customHeight="1">
      <c r="A135" s="107" t="s">
        <v>2680</v>
      </c>
      <c r="B135" s="107" t="s">
        <v>2490</v>
      </c>
      <c r="C135" s="107" t="s">
        <v>2144</v>
      </c>
      <c r="D135" s="108" t="s">
        <v>2158</v>
      </c>
      <c r="E135" s="108" t="s">
        <v>2681</v>
      </c>
      <c r="F135" s="108" t="s">
        <v>2682</v>
      </c>
      <c r="G135" s="116"/>
      <c r="H135" s="109">
        <v>1</v>
      </c>
      <c r="I135" s="108"/>
    </row>
    <row r="136" spans="1:9" ht="19" customHeight="1">
      <c r="A136" s="107" t="s">
        <v>1547</v>
      </c>
      <c r="B136" s="107" t="s">
        <v>1995</v>
      </c>
      <c r="C136" s="107" t="s">
        <v>2144</v>
      </c>
      <c r="D136" s="108" t="s">
        <v>2168</v>
      </c>
      <c r="E136" s="108" t="s">
        <v>2683</v>
      </c>
      <c r="F136" s="108" t="s">
        <v>2684</v>
      </c>
      <c r="G136" s="116">
        <v>2</v>
      </c>
      <c r="H136" s="109"/>
      <c r="I136" s="108"/>
    </row>
    <row r="137" spans="1:9" ht="19" customHeight="1">
      <c r="A137" s="107" t="s">
        <v>2852</v>
      </c>
      <c r="B137" s="107" t="s">
        <v>3407</v>
      </c>
      <c r="C137" s="107" t="s">
        <v>2144</v>
      </c>
      <c r="D137" s="108" t="s">
        <v>2168</v>
      </c>
      <c r="E137" s="108" t="s">
        <v>2686</v>
      </c>
      <c r="F137" s="108" t="s">
        <v>2687</v>
      </c>
      <c r="G137" s="116"/>
      <c r="H137" s="109">
        <v>2</v>
      </c>
      <c r="I137" s="108"/>
    </row>
    <row r="138" spans="1:9" ht="19" customHeight="1">
      <c r="A138" s="107" t="s">
        <v>2688</v>
      </c>
      <c r="B138" s="107" t="s">
        <v>1994</v>
      </c>
      <c r="C138" s="107" t="s">
        <v>2144</v>
      </c>
      <c r="D138" s="108" t="s">
        <v>2174</v>
      </c>
      <c r="E138" s="108" t="s">
        <v>2689</v>
      </c>
      <c r="F138" s="108" t="s">
        <v>2690</v>
      </c>
      <c r="G138" s="116">
        <v>2</v>
      </c>
      <c r="H138" s="109"/>
      <c r="I138" s="108"/>
    </row>
    <row r="139" spans="1:9" ht="19" customHeight="1">
      <c r="A139" s="107" t="s">
        <v>2691</v>
      </c>
      <c r="B139" s="107" t="s">
        <v>2606</v>
      </c>
      <c r="C139" s="107" t="s">
        <v>2144</v>
      </c>
      <c r="D139" s="108" t="s">
        <v>2174</v>
      </c>
      <c r="E139" s="108" t="s">
        <v>2692</v>
      </c>
      <c r="F139" s="108" t="s">
        <v>2693</v>
      </c>
      <c r="G139" s="116"/>
      <c r="H139" s="109">
        <v>2</v>
      </c>
      <c r="I139" s="108"/>
    </row>
    <row r="140" spans="1:9" ht="19" customHeight="1">
      <c r="A140" s="107" t="s">
        <v>1584</v>
      </c>
      <c r="B140" s="107" t="s">
        <v>2486</v>
      </c>
      <c r="C140" s="107" t="s">
        <v>2146</v>
      </c>
      <c r="D140" s="108" t="s">
        <v>2165</v>
      </c>
      <c r="E140" s="108" t="s">
        <v>2694</v>
      </c>
      <c r="F140" s="108" t="s">
        <v>2695</v>
      </c>
      <c r="G140" s="116">
        <v>4</v>
      </c>
      <c r="H140" s="109"/>
      <c r="I140" s="108" t="s">
        <v>2696</v>
      </c>
    </row>
    <row r="141" spans="1:9" ht="19" customHeight="1">
      <c r="A141" s="107" t="s">
        <v>1992</v>
      </c>
      <c r="B141" s="107" t="s">
        <v>2486</v>
      </c>
      <c r="C141" s="107" t="s">
        <v>2146</v>
      </c>
      <c r="D141" s="108" t="s">
        <v>2165</v>
      </c>
      <c r="E141" s="108" t="s">
        <v>2697</v>
      </c>
      <c r="F141" s="108" t="s">
        <v>2698</v>
      </c>
      <c r="G141" s="116">
        <v>3</v>
      </c>
      <c r="H141" s="109"/>
      <c r="I141" s="108"/>
    </row>
    <row r="142" spans="1:9" ht="19" customHeight="1">
      <c r="A142" s="107" t="s">
        <v>1993</v>
      </c>
      <c r="B142" s="107" t="s">
        <v>2486</v>
      </c>
      <c r="C142" s="107" t="s">
        <v>2146</v>
      </c>
      <c r="D142" s="108" t="s">
        <v>2165</v>
      </c>
      <c r="E142" s="108" t="s">
        <v>2699</v>
      </c>
      <c r="F142" s="108" t="s">
        <v>2700</v>
      </c>
      <c r="G142" s="116">
        <v>2</v>
      </c>
      <c r="H142" s="109"/>
      <c r="I142" s="108"/>
    </row>
    <row r="143" spans="1:9" ht="19" customHeight="1">
      <c r="A143" s="107" t="s">
        <v>2701</v>
      </c>
      <c r="B143" s="107" t="s">
        <v>2490</v>
      </c>
      <c r="C143" s="107" t="s">
        <v>2146</v>
      </c>
      <c r="D143" s="108" t="s">
        <v>2165</v>
      </c>
      <c r="E143" s="108" t="s">
        <v>2702</v>
      </c>
      <c r="F143" s="108" t="s">
        <v>2703</v>
      </c>
      <c r="G143" s="116"/>
      <c r="H143" s="109">
        <v>10</v>
      </c>
      <c r="I143" s="108"/>
    </row>
    <row r="144" spans="1:9" ht="19" customHeight="1">
      <c r="A144" s="107" t="s">
        <v>2704</v>
      </c>
      <c r="B144" s="107" t="s">
        <v>2490</v>
      </c>
      <c r="C144" s="107" t="s">
        <v>2146</v>
      </c>
      <c r="D144" s="108" t="s">
        <v>2165</v>
      </c>
      <c r="E144" s="108" t="s">
        <v>4147</v>
      </c>
      <c r="F144" s="108" t="s">
        <v>4148</v>
      </c>
      <c r="G144" s="116"/>
      <c r="H144" s="109">
        <v>4</v>
      </c>
      <c r="I144" s="108"/>
    </row>
    <row r="145" spans="1:9" ht="19" customHeight="1">
      <c r="A145" s="107" t="s">
        <v>2705</v>
      </c>
      <c r="B145" s="107" t="s">
        <v>2490</v>
      </c>
      <c r="C145" s="107" t="s">
        <v>2146</v>
      </c>
      <c r="D145" s="108" t="s">
        <v>2165</v>
      </c>
      <c r="E145" s="108" t="s">
        <v>4149</v>
      </c>
      <c r="F145" s="108" t="s">
        <v>4150</v>
      </c>
      <c r="G145" s="116"/>
      <c r="H145" s="109">
        <v>4</v>
      </c>
      <c r="I145" s="108"/>
    </row>
    <row r="146" spans="1:9" ht="19" customHeight="1">
      <c r="A146" s="107" t="s">
        <v>2823</v>
      </c>
      <c r="B146" s="107" t="s">
        <v>2443</v>
      </c>
      <c r="C146" s="107" t="s">
        <v>2146</v>
      </c>
      <c r="D146" s="108" t="s">
        <v>2165</v>
      </c>
      <c r="E146" s="108" t="s">
        <v>2707</v>
      </c>
      <c r="F146" s="108" t="s">
        <v>2708</v>
      </c>
      <c r="G146" s="116"/>
      <c r="H146" s="109">
        <v>4</v>
      </c>
      <c r="I146" s="108"/>
    </row>
    <row r="147" spans="1:9" ht="19" customHeight="1">
      <c r="A147" s="107" t="s">
        <v>2709</v>
      </c>
      <c r="B147" s="107" t="s">
        <v>2486</v>
      </c>
      <c r="C147" s="107" t="s">
        <v>2146</v>
      </c>
      <c r="D147" s="108" t="s">
        <v>2182</v>
      </c>
      <c r="E147" s="108" t="s">
        <v>2710</v>
      </c>
      <c r="F147" s="108" t="s">
        <v>2711</v>
      </c>
      <c r="G147" s="116">
        <v>2</v>
      </c>
      <c r="H147" s="109"/>
      <c r="I147" s="108"/>
    </row>
    <row r="148" spans="1:9" ht="19" customHeight="1">
      <c r="A148" s="107" t="s">
        <v>2712</v>
      </c>
      <c r="B148" s="107" t="s">
        <v>2490</v>
      </c>
      <c r="C148" s="107" t="s">
        <v>2146</v>
      </c>
      <c r="D148" s="108" t="s">
        <v>2182</v>
      </c>
      <c r="E148" s="108" t="s">
        <v>2713</v>
      </c>
      <c r="F148" s="108" t="s">
        <v>2714</v>
      </c>
      <c r="G148" s="116"/>
      <c r="H148" s="109">
        <v>4</v>
      </c>
      <c r="I148" s="108"/>
    </row>
    <row r="149" spans="1:9" ht="19" customHeight="1">
      <c r="A149" s="107" t="s">
        <v>1548</v>
      </c>
      <c r="B149" s="107" t="s">
        <v>1995</v>
      </c>
      <c r="C149" s="107" t="s">
        <v>2148</v>
      </c>
      <c r="D149" s="108" t="s">
        <v>2161</v>
      </c>
      <c r="E149" s="108" t="s">
        <v>2715</v>
      </c>
      <c r="F149" s="108" t="s">
        <v>2716</v>
      </c>
      <c r="G149" s="116">
        <v>3</v>
      </c>
      <c r="H149" s="109"/>
      <c r="I149" s="108"/>
    </row>
    <row r="150" spans="1:9" ht="19" customHeight="1">
      <c r="A150" s="107" t="s">
        <v>2717</v>
      </c>
      <c r="B150" s="107" t="s">
        <v>2490</v>
      </c>
      <c r="C150" s="107" t="s">
        <v>2148</v>
      </c>
      <c r="D150" s="108" t="s">
        <v>2161</v>
      </c>
      <c r="E150" s="108" t="s">
        <v>2718</v>
      </c>
      <c r="F150" s="108" t="s">
        <v>2719</v>
      </c>
      <c r="G150" s="116"/>
      <c r="H150" s="109">
        <v>4</v>
      </c>
      <c r="I150" s="108"/>
    </row>
    <row r="151" spans="1:9" ht="19" customHeight="1">
      <c r="A151" s="107" t="s">
        <v>2855</v>
      </c>
      <c r="B151" s="107" t="s">
        <v>2443</v>
      </c>
      <c r="C151" s="107" t="s">
        <v>2148</v>
      </c>
      <c r="D151" s="108" t="s">
        <v>2161</v>
      </c>
      <c r="E151" s="108" t="s">
        <v>2721</v>
      </c>
      <c r="F151" s="108" t="s">
        <v>2722</v>
      </c>
      <c r="G151" s="116"/>
      <c r="H151" s="109">
        <v>2</v>
      </c>
      <c r="I151" s="108"/>
    </row>
    <row r="152" spans="1:9" ht="19" customHeight="1">
      <c r="A152" s="107" t="s">
        <v>1549</v>
      </c>
      <c r="B152" s="107" t="s">
        <v>1995</v>
      </c>
      <c r="C152" s="107" t="s">
        <v>2148</v>
      </c>
      <c r="D152" s="108" t="s">
        <v>2176</v>
      </c>
      <c r="E152" s="108" t="s">
        <v>2723</v>
      </c>
      <c r="F152" s="108" t="s">
        <v>2724</v>
      </c>
      <c r="G152" s="116">
        <v>3</v>
      </c>
      <c r="H152" s="109"/>
      <c r="I152" s="108"/>
    </row>
    <row r="153" spans="1:9" ht="19" customHeight="1">
      <c r="A153" s="107" t="s">
        <v>2725</v>
      </c>
      <c r="B153" s="107" t="s">
        <v>2490</v>
      </c>
      <c r="C153" s="107" t="s">
        <v>2148</v>
      </c>
      <c r="D153" s="108" t="s">
        <v>2176</v>
      </c>
      <c r="E153" s="108" t="s">
        <v>2726</v>
      </c>
      <c r="F153" s="108" t="s">
        <v>2727</v>
      </c>
      <c r="G153" s="116"/>
      <c r="H153" s="109">
        <v>4</v>
      </c>
      <c r="I153" s="108"/>
    </row>
    <row r="154" spans="1:9" ht="19" customHeight="1">
      <c r="A154" s="107" t="s">
        <v>1550</v>
      </c>
      <c r="B154" s="107" t="s">
        <v>1995</v>
      </c>
      <c r="C154" s="107" t="s">
        <v>2148</v>
      </c>
      <c r="D154" s="108" t="s">
        <v>2187</v>
      </c>
      <c r="E154" s="108" t="s">
        <v>2728</v>
      </c>
      <c r="F154" s="108" t="s">
        <v>2729</v>
      </c>
      <c r="G154" s="116">
        <v>2</v>
      </c>
      <c r="H154" s="109"/>
      <c r="I154" s="108"/>
    </row>
    <row r="155" spans="1:9" ht="19" customHeight="1">
      <c r="A155" s="107" t="s">
        <v>2730</v>
      </c>
      <c r="B155" s="107" t="s">
        <v>2606</v>
      </c>
      <c r="C155" s="107" t="s">
        <v>2148</v>
      </c>
      <c r="D155" s="108" t="s">
        <v>2187</v>
      </c>
      <c r="E155" s="108" t="s">
        <v>2731</v>
      </c>
      <c r="F155" s="108" t="s">
        <v>2732</v>
      </c>
      <c r="G155" s="116"/>
      <c r="H155" s="109">
        <v>3</v>
      </c>
      <c r="I155" s="108"/>
    </row>
    <row r="156" spans="1:9" ht="19" customHeight="1">
      <c r="A156" s="107" t="s">
        <v>2733</v>
      </c>
      <c r="B156" s="107" t="s">
        <v>2486</v>
      </c>
      <c r="C156" s="107" t="s">
        <v>2150</v>
      </c>
      <c r="D156" s="108" t="s">
        <v>2203</v>
      </c>
      <c r="E156" s="108" t="s">
        <v>2734</v>
      </c>
      <c r="F156" s="108" t="s">
        <v>2735</v>
      </c>
      <c r="G156" s="116">
        <v>3</v>
      </c>
      <c r="H156" s="109"/>
      <c r="I156" s="108"/>
    </row>
    <row r="157" spans="1:9" ht="19" customHeight="1">
      <c r="A157" s="107" t="s">
        <v>2736</v>
      </c>
      <c r="B157" s="107" t="s">
        <v>2606</v>
      </c>
      <c r="C157" s="107" t="s">
        <v>2150</v>
      </c>
      <c r="D157" s="108" t="s">
        <v>2203</v>
      </c>
      <c r="E157" s="108" t="s">
        <v>2737</v>
      </c>
      <c r="F157" s="108" t="s">
        <v>2738</v>
      </c>
      <c r="G157" s="116"/>
      <c r="H157" s="109">
        <v>8</v>
      </c>
      <c r="I157" s="108" t="s">
        <v>2739</v>
      </c>
    </row>
    <row r="158" spans="1:9" ht="19" customHeight="1">
      <c r="A158" s="107" t="s">
        <v>2740</v>
      </c>
      <c r="B158" s="107" t="s">
        <v>2606</v>
      </c>
      <c r="C158" s="107" t="s">
        <v>2150</v>
      </c>
      <c r="D158" s="108" t="s">
        <v>2183</v>
      </c>
      <c r="E158" s="108" t="s">
        <v>2741</v>
      </c>
      <c r="F158" s="108" t="s">
        <v>2742</v>
      </c>
      <c r="G158" s="116"/>
      <c r="H158" s="109">
        <v>1</v>
      </c>
      <c r="I158" s="108"/>
    </row>
    <row r="159" spans="1:9" ht="19" customHeight="1">
      <c r="A159" s="107" t="s">
        <v>2743</v>
      </c>
      <c r="B159" s="107" t="s">
        <v>2606</v>
      </c>
      <c r="C159" s="107" t="s">
        <v>2150</v>
      </c>
      <c r="D159" s="108" t="s">
        <v>2179</v>
      </c>
      <c r="E159" s="108" t="s">
        <v>2744</v>
      </c>
      <c r="F159" s="108" t="s">
        <v>2745</v>
      </c>
      <c r="G159" s="116"/>
      <c r="H159" s="109">
        <v>1</v>
      </c>
      <c r="I159" s="108"/>
    </row>
    <row r="160" spans="1:9" ht="19" customHeight="1">
      <c r="A160" s="107" t="s">
        <v>2746</v>
      </c>
      <c r="B160" s="107" t="s">
        <v>2486</v>
      </c>
      <c r="C160" s="107" t="s">
        <v>2150</v>
      </c>
      <c r="D160" s="108" t="s">
        <v>2180</v>
      </c>
      <c r="E160" s="108" t="s">
        <v>2747</v>
      </c>
      <c r="F160" s="108" t="s">
        <v>2748</v>
      </c>
      <c r="G160" s="116">
        <v>1.5</v>
      </c>
      <c r="H160" s="109"/>
      <c r="I160" s="108"/>
    </row>
    <row r="161" spans="1:9" ht="19" customHeight="1">
      <c r="A161" s="107" t="s">
        <v>2749</v>
      </c>
      <c r="B161" s="107" t="s">
        <v>2490</v>
      </c>
      <c r="C161" s="107" t="s">
        <v>2150</v>
      </c>
      <c r="D161" s="108" t="s">
        <v>2180</v>
      </c>
      <c r="E161" s="108" t="s">
        <v>2750</v>
      </c>
      <c r="F161" s="108" t="s">
        <v>2751</v>
      </c>
      <c r="G161" s="116"/>
      <c r="H161" s="109">
        <v>2</v>
      </c>
      <c r="I161" s="108"/>
    </row>
    <row r="162" spans="1:9" ht="19" customHeight="1">
      <c r="A162" s="107" t="s">
        <v>1987</v>
      </c>
      <c r="B162" s="107" t="s">
        <v>1977</v>
      </c>
      <c r="C162" s="107" t="s">
        <v>2150</v>
      </c>
      <c r="D162" s="108" t="s">
        <v>4012</v>
      </c>
      <c r="E162" s="108" t="s">
        <v>4154</v>
      </c>
      <c r="F162" s="108" t="s">
        <v>4155</v>
      </c>
      <c r="G162" s="116">
        <v>1.5</v>
      </c>
      <c r="H162" s="109"/>
      <c r="I162" s="108"/>
    </row>
    <row r="163" spans="1:9" ht="19" customHeight="1">
      <c r="A163" s="107" t="s">
        <v>4156</v>
      </c>
      <c r="B163" s="107" t="s">
        <v>3407</v>
      </c>
      <c r="C163" s="107" t="s">
        <v>2150</v>
      </c>
      <c r="D163" s="108" t="s">
        <v>4012</v>
      </c>
      <c r="E163" s="108" t="s">
        <v>4157</v>
      </c>
      <c r="F163" s="108" t="s">
        <v>4158</v>
      </c>
      <c r="G163" s="116"/>
      <c r="H163" s="109">
        <v>2</v>
      </c>
      <c r="I163" s="108"/>
    </row>
    <row r="164" spans="1:9" ht="19" customHeight="1">
      <c r="A164" s="107" t="s">
        <v>2752</v>
      </c>
      <c r="B164" s="107" t="s">
        <v>2486</v>
      </c>
      <c r="C164" s="107" t="s">
        <v>2150</v>
      </c>
      <c r="D164" s="108" t="s">
        <v>3307</v>
      </c>
      <c r="E164" s="108" t="s">
        <v>3441</v>
      </c>
      <c r="F164" s="108" t="s">
        <v>2753</v>
      </c>
      <c r="G164" s="116">
        <v>3</v>
      </c>
      <c r="H164" s="109"/>
      <c r="I164" s="108"/>
    </row>
    <row r="165" spans="1:9" ht="19" customHeight="1">
      <c r="A165" s="107" t="s">
        <v>1586</v>
      </c>
      <c r="B165" s="107" t="s">
        <v>2432</v>
      </c>
      <c r="C165" s="107" t="s">
        <v>2150</v>
      </c>
      <c r="D165" s="108" t="s">
        <v>3307</v>
      </c>
      <c r="E165" s="108" t="s">
        <v>2754</v>
      </c>
      <c r="F165" s="108" t="s">
        <v>2755</v>
      </c>
      <c r="G165" s="116">
        <v>3</v>
      </c>
      <c r="H165" s="109"/>
      <c r="I165" s="108"/>
    </row>
    <row r="166" spans="1:9" ht="19" customHeight="1">
      <c r="A166" s="107" t="s">
        <v>2756</v>
      </c>
      <c r="B166" s="107" t="s">
        <v>2490</v>
      </c>
      <c r="C166" s="107" t="s">
        <v>2150</v>
      </c>
      <c r="D166" s="108" t="s">
        <v>3307</v>
      </c>
      <c r="E166" s="108" t="s">
        <v>3442</v>
      </c>
      <c r="F166" s="108" t="s">
        <v>2757</v>
      </c>
      <c r="G166" s="116"/>
      <c r="H166" s="109">
        <v>3</v>
      </c>
      <c r="I166" s="108"/>
    </row>
    <row r="167" spans="1:9" ht="19" customHeight="1">
      <c r="A167" s="107" t="s">
        <v>2847</v>
      </c>
      <c r="B167" s="107" t="s">
        <v>2439</v>
      </c>
      <c r="C167" s="107" t="s">
        <v>2150</v>
      </c>
      <c r="D167" s="108" t="s">
        <v>3307</v>
      </c>
      <c r="E167" s="108" t="s">
        <v>2759</v>
      </c>
      <c r="F167" s="108" t="s">
        <v>2760</v>
      </c>
      <c r="G167" s="116"/>
      <c r="H167" s="109">
        <v>4</v>
      </c>
      <c r="I167" s="108"/>
    </row>
    <row r="168" spans="1:9" ht="19" customHeight="1">
      <c r="A168" s="107" t="s">
        <v>4151</v>
      </c>
      <c r="B168" s="107" t="s">
        <v>2490</v>
      </c>
      <c r="C168" s="107" t="s">
        <v>2150</v>
      </c>
      <c r="D168" s="108" t="s">
        <v>3307</v>
      </c>
      <c r="E168" s="108" t="s">
        <v>4152</v>
      </c>
      <c r="F168" s="108" t="s">
        <v>4153</v>
      </c>
      <c r="G168" s="116"/>
      <c r="H168" s="109">
        <v>2</v>
      </c>
      <c r="I168" s="108"/>
    </row>
    <row r="169" spans="1:9" ht="19" customHeight="1">
      <c r="A169" s="107" t="s">
        <v>1593</v>
      </c>
      <c r="B169" s="107" t="s">
        <v>1594</v>
      </c>
      <c r="C169" s="107" t="s">
        <v>2151</v>
      </c>
      <c r="D169" s="108" t="s">
        <v>2170</v>
      </c>
      <c r="E169" s="108" t="s">
        <v>2761</v>
      </c>
      <c r="F169" s="108" t="s">
        <v>2762</v>
      </c>
      <c r="G169" s="116">
        <v>2</v>
      </c>
      <c r="H169" s="109"/>
      <c r="I169" s="108"/>
    </row>
    <row r="170" spans="1:9" ht="19" customHeight="1">
      <c r="A170" s="107" t="s">
        <v>2763</v>
      </c>
      <c r="B170" s="107" t="s">
        <v>2493</v>
      </c>
      <c r="C170" s="107" t="s">
        <v>2151</v>
      </c>
      <c r="D170" s="108" t="s">
        <v>2170</v>
      </c>
      <c r="E170" s="108" t="s">
        <v>2764</v>
      </c>
      <c r="F170" s="108" t="s">
        <v>2765</v>
      </c>
      <c r="G170" s="116"/>
      <c r="H170" s="109">
        <v>2</v>
      </c>
      <c r="I170" s="108"/>
    </row>
    <row r="171" spans="1:9" ht="19" customHeight="1">
      <c r="A171" s="107" t="s">
        <v>1551</v>
      </c>
      <c r="B171" s="107" t="s">
        <v>1995</v>
      </c>
      <c r="C171" s="107" t="s">
        <v>2153</v>
      </c>
      <c r="D171" s="108" t="s">
        <v>2186</v>
      </c>
      <c r="E171" s="108" t="s">
        <v>2766</v>
      </c>
      <c r="F171" s="108" t="s">
        <v>2767</v>
      </c>
      <c r="G171" s="116">
        <v>3</v>
      </c>
      <c r="H171" s="109"/>
      <c r="I171" s="108"/>
    </row>
    <row r="172" spans="1:9" ht="19" customHeight="1">
      <c r="A172" s="107" t="s">
        <v>3902</v>
      </c>
      <c r="B172" s="107" t="s">
        <v>3407</v>
      </c>
      <c r="C172" s="107" t="s">
        <v>2153</v>
      </c>
      <c r="D172" s="108" t="s">
        <v>2186</v>
      </c>
      <c r="E172" s="108" t="s">
        <v>2769</v>
      </c>
      <c r="F172" s="108" t="s">
        <v>2770</v>
      </c>
      <c r="G172" s="116"/>
      <c r="H172" s="109">
        <v>2</v>
      </c>
      <c r="I172" s="108"/>
    </row>
    <row r="173" spans="1:9" ht="19" customHeight="1">
      <c r="A173" s="107" t="s">
        <v>2771</v>
      </c>
      <c r="B173" s="107" t="s">
        <v>2453</v>
      </c>
      <c r="C173" s="107" t="s">
        <v>2153</v>
      </c>
      <c r="D173" s="108" t="s">
        <v>2189</v>
      </c>
      <c r="E173" s="108" t="s">
        <v>2772</v>
      </c>
      <c r="F173" s="108" t="s">
        <v>2773</v>
      </c>
      <c r="G173" s="116">
        <v>2</v>
      </c>
      <c r="H173" s="109"/>
      <c r="I173" s="108"/>
    </row>
    <row r="174" spans="1:9" ht="19" customHeight="1">
      <c r="A174" s="107" t="s">
        <v>2774</v>
      </c>
      <c r="B174" s="107" t="s">
        <v>2486</v>
      </c>
      <c r="C174" s="107" t="s">
        <v>2153</v>
      </c>
      <c r="D174" s="108" t="s">
        <v>2188</v>
      </c>
      <c r="E174" s="108" t="s">
        <v>2775</v>
      </c>
      <c r="F174" s="108" t="s">
        <v>2776</v>
      </c>
      <c r="G174" s="116">
        <v>2</v>
      </c>
      <c r="H174" s="109"/>
      <c r="I174" s="108"/>
    </row>
    <row r="175" spans="1:9" ht="19" customHeight="1">
      <c r="A175" s="107" t="s">
        <v>2777</v>
      </c>
      <c r="B175" s="107" t="s">
        <v>2490</v>
      </c>
      <c r="C175" s="107" t="s">
        <v>2153</v>
      </c>
      <c r="D175" s="108" t="s">
        <v>2188</v>
      </c>
      <c r="E175" s="108" t="s">
        <v>2778</v>
      </c>
      <c r="F175" s="108" t="s">
        <v>2779</v>
      </c>
      <c r="G175" s="116"/>
      <c r="H175" s="109">
        <v>4</v>
      </c>
      <c r="I175" s="108" t="s">
        <v>2655</v>
      </c>
    </row>
    <row r="176" spans="1:9" ht="19" customHeight="1">
      <c r="A176" s="107" t="s">
        <v>1595</v>
      </c>
      <c r="B176" s="107" t="s">
        <v>1594</v>
      </c>
      <c r="C176" s="107" t="s">
        <v>2155</v>
      </c>
      <c r="D176" s="108" t="s">
        <v>2184</v>
      </c>
      <c r="E176" s="108" t="s">
        <v>2780</v>
      </c>
      <c r="F176" s="108" t="s">
        <v>2781</v>
      </c>
      <c r="G176" s="116">
        <v>1.5</v>
      </c>
      <c r="H176" s="109"/>
      <c r="I176" s="108"/>
    </row>
    <row r="177" spans="1:9" ht="19" customHeight="1">
      <c r="A177" s="107" t="s">
        <v>1597</v>
      </c>
      <c r="B177" s="107" t="s">
        <v>1594</v>
      </c>
      <c r="C177" s="107" t="s">
        <v>2155</v>
      </c>
      <c r="D177" s="108" t="s">
        <v>2190</v>
      </c>
      <c r="E177" s="108" t="s">
        <v>2782</v>
      </c>
      <c r="F177" s="108" t="s">
        <v>2783</v>
      </c>
      <c r="G177" s="116">
        <v>3</v>
      </c>
      <c r="H177" s="109"/>
      <c r="I177" s="108"/>
    </row>
    <row r="178" spans="1:9" ht="19" customHeight="1">
      <c r="A178" s="107" t="s">
        <v>2784</v>
      </c>
      <c r="B178" s="107" t="s">
        <v>2493</v>
      </c>
      <c r="C178" s="107" t="s">
        <v>2155</v>
      </c>
      <c r="D178" s="108" t="s">
        <v>2190</v>
      </c>
      <c r="E178" s="108" t="s">
        <v>2785</v>
      </c>
      <c r="F178" s="108" t="s">
        <v>2786</v>
      </c>
      <c r="G178" s="116"/>
      <c r="H178" s="109">
        <v>2</v>
      </c>
      <c r="I178" s="108"/>
    </row>
    <row r="179" spans="1:9" ht="19" customHeight="1">
      <c r="A179" s="107" t="s">
        <v>1598</v>
      </c>
      <c r="B179" s="107" t="s">
        <v>1594</v>
      </c>
      <c r="C179" s="107" t="s">
        <v>2155</v>
      </c>
      <c r="D179" s="108" t="s">
        <v>2205</v>
      </c>
      <c r="E179" s="108" t="s">
        <v>2787</v>
      </c>
      <c r="F179" s="108" t="s">
        <v>2788</v>
      </c>
      <c r="G179" s="116">
        <v>9</v>
      </c>
      <c r="H179" s="109"/>
      <c r="I179" s="108" t="s">
        <v>2789</v>
      </c>
    </row>
    <row r="180" spans="1:9" ht="19" customHeight="1">
      <c r="A180" s="107" t="s">
        <v>2790</v>
      </c>
      <c r="B180" s="107" t="s">
        <v>2493</v>
      </c>
      <c r="C180" s="107" t="s">
        <v>2155</v>
      </c>
      <c r="D180" s="108" t="s">
        <v>2205</v>
      </c>
      <c r="E180" s="108" t="s">
        <v>2791</v>
      </c>
      <c r="F180" s="108" t="s">
        <v>2792</v>
      </c>
      <c r="G180" s="116"/>
      <c r="H180" s="109">
        <v>6</v>
      </c>
      <c r="I180" s="108" t="s">
        <v>2793</v>
      </c>
    </row>
    <row r="181" spans="1:9" ht="19" customHeight="1">
      <c r="A181" s="107" t="s">
        <v>1600</v>
      </c>
      <c r="B181" s="107" t="s">
        <v>1594</v>
      </c>
      <c r="C181" s="107" t="s">
        <v>2156</v>
      </c>
      <c r="D181" s="108" t="s">
        <v>2209</v>
      </c>
      <c r="E181" s="108" t="s">
        <v>2794</v>
      </c>
      <c r="F181" s="108" t="s">
        <v>2795</v>
      </c>
      <c r="G181" s="116">
        <v>2</v>
      </c>
      <c r="H181" s="109"/>
      <c r="I181" s="108"/>
    </row>
    <row r="182" spans="1:9" ht="19" customHeight="1">
      <c r="A182" s="107" t="s">
        <v>2796</v>
      </c>
      <c r="B182" s="107" t="s">
        <v>2493</v>
      </c>
      <c r="C182" s="107" t="s">
        <v>2156</v>
      </c>
      <c r="D182" s="108" t="s">
        <v>2209</v>
      </c>
      <c r="E182" s="108" t="s">
        <v>2797</v>
      </c>
      <c r="F182" s="108" t="s">
        <v>2798</v>
      </c>
      <c r="G182" s="116"/>
      <c r="H182" s="109">
        <v>4</v>
      </c>
      <c r="I182" s="108"/>
    </row>
    <row r="183" spans="1:9" ht="19" customHeight="1"/>
    <row r="184" spans="1:9" ht="19" customHeight="1"/>
    <row r="185" spans="1:9" ht="19" customHeight="1"/>
    <row r="186" spans="1:9" ht="19" customHeight="1"/>
    <row r="187" spans="1:9" ht="19" customHeight="1"/>
    <row r="188" spans="1:9" ht="19" customHeight="1"/>
    <row r="189" spans="1:9" ht="19" customHeight="1"/>
    <row r="190" spans="1:9" ht="19" customHeight="1"/>
    <row r="191" spans="1:9" ht="19" customHeight="1"/>
    <row r="192" spans="1:9" ht="19" customHeight="1"/>
    <row r="193" ht="19" customHeight="1"/>
    <row r="194" ht="19" customHeight="1"/>
    <row r="195" ht="19" customHeight="1"/>
    <row r="196" ht="19" customHeight="1"/>
    <row r="197" ht="19" customHeight="1"/>
    <row r="198" ht="19" customHeight="1"/>
    <row r="199" ht="19" customHeight="1"/>
    <row r="200" ht="19" customHeight="1"/>
    <row r="201" ht="26" customHeight="1"/>
    <row r="202" ht="26" customHeight="1"/>
    <row r="203" ht="26" customHeight="1"/>
    <row r="204" ht="26" customHeight="1"/>
    <row r="205" ht="26" customHeight="1"/>
    <row r="206" ht="26" customHeight="1"/>
    <row r="207" ht="26" customHeight="1"/>
    <row r="208" ht="26" customHeight="1"/>
    <row r="209" ht="26" customHeight="1"/>
    <row r="210" ht="26" customHeight="1"/>
    <row r="211" ht="26" customHeight="1"/>
    <row r="212" ht="26" customHeight="1"/>
    <row r="213" ht="26" customHeight="1"/>
    <row r="214" ht="26" customHeight="1"/>
    <row r="215" ht="26" customHeight="1"/>
    <row r="216" ht="26" customHeight="1"/>
  </sheetData>
  <autoFilter ref="A1:I182" xr:uid="{299E7693-5B40-0444-B227-D6033B94776C}"/>
  <phoneticPr fontId="2"/>
  <conditionalFormatting sqref="A2:I182">
    <cfRule type="expression" dxfId="4" priority="1">
      <formula>LEFT($B2,3)="DDK"</formula>
    </cfRule>
    <cfRule type="expression" dxfId="3" priority="2">
      <formula>LEFT($B2,3)="DDB"</formula>
    </cfRule>
  </conditionalFormatting>
  <conditionalFormatting sqref="D2:D182">
    <cfRule type="expression" dxfId="2" priority="222">
      <formula>AND($D2&lt;&gt;"横断",$D2&lt;&gt;"")</formula>
    </cfRule>
  </conditionalFormatting>
  <conditionalFormatting sqref="D2:E182">
    <cfRule type="expression" dxfId="1" priority="223">
      <formula>$D2="横断"</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85A0-2764-294B-9250-00ECB5CCB839}">
  <dimension ref="A1:N95"/>
  <sheetViews>
    <sheetView zoomScale="75" workbookViewId="0">
      <pane ySplit="1" topLeftCell="A2" activePane="bottomLeft" state="frozen"/>
      <selection activeCell="H37" sqref="H37"/>
      <selection pane="bottomLeft" activeCell="G10" sqref="G10"/>
    </sheetView>
  </sheetViews>
  <sheetFormatPr baseColWidth="10" defaultRowHeight="18"/>
  <cols>
    <col min="1" max="1" width="18.5703125" style="118" customWidth="1"/>
    <col min="2" max="2" width="15.7109375" style="118" customWidth="1"/>
    <col min="3" max="3" width="25.28515625" style="118" customWidth="1"/>
    <col min="4" max="4" width="33.5703125" style="118" customWidth="1"/>
    <col min="5" max="5" width="46.140625" style="118" customWidth="1"/>
    <col min="6" max="6" width="61.42578125" style="118" customWidth="1"/>
    <col min="7" max="7" width="21.42578125" style="118" customWidth="1"/>
    <col min="8" max="8" width="60" style="118" customWidth="1"/>
    <col min="9" max="9" width="65.28515625" style="118" customWidth="1"/>
    <col min="10" max="14" width="15.7109375" style="118" customWidth="1"/>
    <col min="15" max="16384" width="10.7109375" style="118"/>
  </cols>
  <sheetData>
    <row r="1" spans="1:14" ht="24" customHeight="1">
      <c r="A1" s="119" t="s">
        <v>958</v>
      </c>
      <c r="B1" s="119" t="s">
        <v>1397</v>
      </c>
      <c r="C1" s="119" t="s">
        <v>1926</v>
      </c>
      <c r="D1" s="119" t="s">
        <v>1847</v>
      </c>
      <c r="E1" s="119" t="s">
        <v>3359</v>
      </c>
      <c r="F1" s="119" t="s">
        <v>3360</v>
      </c>
      <c r="G1" s="119" t="s">
        <v>1398</v>
      </c>
      <c r="H1" s="119" t="s">
        <v>3361</v>
      </c>
      <c r="I1" s="119" t="s">
        <v>1394</v>
      </c>
      <c r="J1" s="120"/>
      <c r="K1" s="120"/>
      <c r="L1" s="120"/>
      <c r="M1" s="120"/>
      <c r="N1" s="120"/>
    </row>
    <row r="2" spans="1:14" ht="19">
      <c r="A2" s="107" t="s">
        <v>1156</v>
      </c>
      <c r="B2" s="107" t="s">
        <v>1157</v>
      </c>
      <c r="C2" s="107" t="s">
        <v>4683</v>
      </c>
      <c r="D2" s="107" t="s">
        <v>3296</v>
      </c>
      <c r="E2" s="107" t="s">
        <v>3362</v>
      </c>
      <c r="F2" s="107" t="s">
        <v>3363</v>
      </c>
      <c r="G2" s="141">
        <v>4</v>
      </c>
      <c r="H2" s="108" t="s">
        <v>2858</v>
      </c>
      <c r="I2" s="121" t="s">
        <v>3364</v>
      </c>
      <c r="J2" s="117"/>
      <c r="K2" s="117"/>
      <c r="L2" s="117"/>
      <c r="M2" s="117"/>
      <c r="N2" s="117"/>
    </row>
    <row r="3" spans="1:14" ht="19">
      <c r="A3" s="107" t="s">
        <v>1156</v>
      </c>
      <c r="B3" s="107" t="s">
        <v>1158</v>
      </c>
      <c r="C3" s="107" t="s">
        <v>4683</v>
      </c>
      <c r="D3" s="107" t="s">
        <v>3297</v>
      </c>
      <c r="E3" s="107" t="s">
        <v>3365</v>
      </c>
      <c r="F3" s="107" t="s">
        <v>3366</v>
      </c>
      <c r="G3" s="141">
        <v>4</v>
      </c>
      <c r="H3" s="108" t="s">
        <v>2859</v>
      </c>
      <c r="I3" s="121" t="s">
        <v>2860</v>
      </c>
      <c r="J3" s="117"/>
      <c r="K3" s="117"/>
      <c r="L3" s="117"/>
      <c r="M3" s="117"/>
      <c r="N3" s="117"/>
    </row>
    <row r="4" spans="1:14" ht="19">
      <c r="A4" s="107" t="s">
        <v>1156</v>
      </c>
      <c r="B4" s="107" t="s">
        <v>1159</v>
      </c>
      <c r="C4" s="107" t="s">
        <v>4684</v>
      </c>
      <c r="D4" s="107" t="s">
        <v>4003</v>
      </c>
      <c r="E4" s="107" t="s">
        <v>3367</v>
      </c>
      <c r="F4" s="107" t="s">
        <v>3368</v>
      </c>
      <c r="G4" s="141">
        <v>2</v>
      </c>
      <c r="H4" s="108" t="s">
        <v>4072</v>
      </c>
      <c r="I4" s="121" t="s">
        <v>2861</v>
      </c>
      <c r="J4" s="117"/>
      <c r="K4" s="117"/>
      <c r="L4" s="117"/>
      <c r="M4" s="117"/>
      <c r="N4" s="117"/>
    </row>
    <row r="5" spans="1:14" ht="19">
      <c r="A5" s="107" t="s">
        <v>1156</v>
      </c>
      <c r="B5" s="107" t="s">
        <v>1160</v>
      </c>
      <c r="C5" s="107" t="s">
        <v>2128</v>
      </c>
      <c r="D5" s="107" t="s">
        <v>4696</v>
      </c>
      <c r="E5" s="107" t="s">
        <v>3369</v>
      </c>
      <c r="F5" s="107" t="s">
        <v>3370</v>
      </c>
      <c r="G5" s="141">
        <v>5</v>
      </c>
      <c r="H5" s="108" t="s">
        <v>2862</v>
      </c>
      <c r="I5" s="121" t="s">
        <v>2863</v>
      </c>
      <c r="J5" s="117"/>
      <c r="K5" s="117"/>
      <c r="L5" s="117"/>
      <c r="M5" s="117"/>
      <c r="N5" s="117"/>
    </row>
    <row r="6" spans="1:14" ht="19">
      <c r="A6" s="107" t="s">
        <v>1156</v>
      </c>
      <c r="B6" s="107" t="s">
        <v>1161</v>
      </c>
      <c r="C6" s="107" t="s">
        <v>2134</v>
      </c>
      <c r="D6" s="107" t="s">
        <v>1862</v>
      </c>
      <c r="E6" s="107" t="s">
        <v>2864</v>
      </c>
      <c r="F6" s="107" t="s">
        <v>2865</v>
      </c>
      <c r="G6" s="141">
        <v>2</v>
      </c>
      <c r="H6" s="108" t="s">
        <v>64</v>
      </c>
      <c r="I6" s="121" t="s">
        <v>2866</v>
      </c>
      <c r="J6" s="117"/>
      <c r="K6" s="117"/>
      <c r="L6" s="117"/>
      <c r="M6" s="117"/>
      <c r="N6" s="117"/>
    </row>
    <row r="7" spans="1:14" ht="19">
      <c r="A7" s="107" t="s">
        <v>1156</v>
      </c>
      <c r="B7" s="107" t="s">
        <v>1162</v>
      </c>
      <c r="C7" s="107" t="s">
        <v>4689</v>
      </c>
      <c r="D7" s="107" t="s">
        <v>3304</v>
      </c>
      <c r="E7" s="107" t="s">
        <v>3371</v>
      </c>
      <c r="F7" s="107" t="s">
        <v>2868</v>
      </c>
      <c r="G7" s="141">
        <v>2</v>
      </c>
      <c r="H7" s="108" t="s">
        <v>2869</v>
      </c>
      <c r="I7" s="121" t="s">
        <v>2866</v>
      </c>
      <c r="J7" s="117"/>
      <c r="K7" s="117"/>
      <c r="L7" s="117"/>
      <c r="M7" s="117"/>
      <c r="N7" s="117"/>
    </row>
    <row r="8" spans="1:14" ht="19">
      <c r="A8" s="107" t="s">
        <v>1156</v>
      </c>
      <c r="B8" s="107" t="s">
        <v>1163</v>
      </c>
      <c r="C8" s="107" t="s">
        <v>4690</v>
      </c>
      <c r="D8" s="107" t="s">
        <v>2206</v>
      </c>
      <c r="E8" s="107" t="s">
        <v>3372</v>
      </c>
      <c r="F8" s="107" t="s">
        <v>3373</v>
      </c>
      <c r="G8" s="141">
        <v>4</v>
      </c>
      <c r="H8" s="108" t="s">
        <v>2870</v>
      </c>
      <c r="I8" s="121" t="s">
        <v>2871</v>
      </c>
      <c r="J8" s="117"/>
      <c r="K8" s="117"/>
      <c r="L8" s="117"/>
      <c r="M8" s="117"/>
      <c r="N8" s="117"/>
    </row>
    <row r="9" spans="1:14" ht="19">
      <c r="A9" s="122" t="s">
        <v>1156</v>
      </c>
      <c r="B9" s="122" t="s">
        <v>1490</v>
      </c>
      <c r="C9" s="122" t="s">
        <v>1848</v>
      </c>
      <c r="D9" s="122" t="s">
        <v>1848</v>
      </c>
      <c r="E9" s="122" t="s">
        <v>2872</v>
      </c>
      <c r="F9" s="122" t="s">
        <v>4073</v>
      </c>
      <c r="G9" s="142">
        <v>4</v>
      </c>
      <c r="H9" s="123" t="s">
        <v>2873</v>
      </c>
      <c r="I9" s="121" t="s">
        <v>2874</v>
      </c>
      <c r="J9" s="117"/>
      <c r="K9" s="117"/>
      <c r="L9" s="117"/>
      <c r="M9" s="117"/>
      <c r="N9" s="117"/>
    </row>
    <row r="10" spans="1:14" ht="19">
      <c r="A10" s="122" t="s">
        <v>1156</v>
      </c>
      <c r="B10" s="122" t="s">
        <v>1491</v>
      </c>
      <c r="C10" s="122" t="s">
        <v>2135</v>
      </c>
      <c r="D10" s="122" t="s">
        <v>4717</v>
      </c>
      <c r="E10" s="122" t="s">
        <v>2875</v>
      </c>
      <c r="F10" s="122" t="s">
        <v>2876</v>
      </c>
      <c r="G10" s="142">
        <v>4</v>
      </c>
      <c r="H10" s="123" t="s">
        <v>2877</v>
      </c>
      <c r="I10" s="121" t="s">
        <v>2878</v>
      </c>
      <c r="J10" s="117"/>
      <c r="K10" s="117"/>
      <c r="L10" s="117"/>
      <c r="M10" s="117"/>
      <c r="N10" s="117"/>
    </row>
    <row r="11" spans="1:14" ht="19">
      <c r="A11" s="107" t="s">
        <v>1156</v>
      </c>
      <c r="B11" s="107" t="s">
        <v>2894</v>
      </c>
      <c r="C11" s="107" t="s">
        <v>2141</v>
      </c>
      <c r="D11" s="107" t="s">
        <v>2185</v>
      </c>
      <c r="E11" s="107" t="s">
        <v>2880</v>
      </c>
      <c r="F11" s="107" t="s">
        <v>2881</v>
      </c>
      <c r="G11" s="141">
        <v>1.5</v>
      </c>
      <c r="H11" s="108" t="s">
        <v>956</v>
      </c>
      <c r="I11" s="121" t="s">
        <v>2882</v>
      </c>
      <c r="J11" s="117"/>
      <c r="K11" s="117"/>
      <c r="L11" s="117"/>
      <c r="M11" s="117"/>
      <c r="N11" s="117"/>
    </row>
    <row r="12" spans="1:14" ht="19">
      <c r="A12" s="107" t="s">
        <v>1156</v>
      </c>
      <c r="B12" s="107" t="s">
        <v>2883</v>
      </c>
      <c r="C12" s="107" t="s">
        <v>2141</v>
      </c>
      <c r="D12" s="107" t="s">
        <v>2162</v>
      </c>
      <c r="E12" s="107" t="s">
        <v>2884</v>
      </c>
      <c r="F12" s="107" t="s">
        <v>3374</v>
      </c>
      <c r="G12" s="141">
        <v>4</v>
      </c>
      <c r="H12" s="108" t="s">
        <v>2885</v>
      </c>
      <c r="I12" s="121" t="s">
        <v>2886</v>
      </c>
      <c r="J12" s="117"/>
      <c r="K12" s="117"/>
      <c r="L12" s="117"/>
      <c r="M12" s="117"/>
      <c r="N12" s="117"/>
    </row>
    <row r="13" spans="1:14" ht="19">
      <c r="A13" s="107" t="s">
        <v>1156</v>
      </c>
      <c r="B13" s="107" t="s">
        <v>2879</v>
      </c>
      <c r="C13" s="107" t="s">
        <v>2141</v>
      </c>
      <c r="D13" s="107" t="s">
        <v>2172</v>
      </c>
      <c r="E13" s="107" t="s">
        <v>2887</v>
      </c>
      <c r="F13" s="107" t="s">
        <v>3375</v>
      </c>
      <c r="G13" s="141">
        <v>2</v>
      </c>
      <c r="H13" s="108" t="s">
        <v>2888</v>
      </c>
      <c r="I13" s="121" t="s">
        <v>2889</v>
      </c>
      <c r="J13" s="117"/>
      <c r="K13" s="117"/>
      <c r="L13" s="117"/>
      <c r="M13" s="117"/>
      <c r="N13" s="117"/>
    </row>
    <row r="14" spans="1:14" ht="19">
      <c r="A14" s="107" t="s">
        <v>1156</v>
      </c>
      <c r="B14" s="107" t="s">
        <v>2890</v>
      </c>
      <c r="C14" s="107" t="s">
        <v>2141</v>
      </c>
      <c r="D14" s="107" t="s">
        <v>2204</v>
      </c>
      <c r="E14" s="107" t="s">
        <v>2891</v>
      </c>
      <c r="F14" s="107" t="s">
        <v>2892</v>
      </c>
      <c r="G14" s="141">
        <v>2</v>
      </c>
      <c r="H14" s="108" t="s">
        <v>4074</v>
      </c>
      <c r="I14" s="121" t="s">
        <v>2893</v>
      </c>
      <c r="J14" s="117"/>
      <c r="K14" s="117"/>
      <c r="L14" s="117"/>
      <c r="M14" s="117"/>
      <c r="N14" s="117"/>
    </row>
    <row r="15" spans="1:14" ht="19">
      <c r="A15" s="107" t="s">
        <v>1156</v>
      </c>
      <c r="B15" s="107" t="s">
        <v>2898</v>
      </c>
      <c r="C15" s="107" t="s">
        <v>2141</v>
      </c>
      <c r="D15" s="107" t="s">
        <v>3306</v>
      </c>
      <c r="E15" s="107" t="s">
        <v>3376</v>
      </c>
      <c r="F15" s="107" t="s">
        <v>2895</v>
      </c>
      <c r="G15" s="141">
        <v>3</v>
      </c>
      <c r="H15" s="108" t="s">
        <v>2896</v>
      </c>
      <c r="I15" s="121" t="s">
        <v>2897</v>
      </c>
      <c r="J15" s="117"/>
      <c r="K15" s="117"/>
      <c r="L15" s="117"/>
      <c r="M15" s="117"/>
      <c r="N15" s="117"/>
    </row>
    <row r="16" spans="1:14" ht="19">
      <c r="A16" s="107" t="s">
        <v>1156</v>
      </c>
      <c r="B16" s="107" t="s">
        <v>2867</v>
      </c>
      <c r="C16" s="107" t="s">
        <v>2153</v>
      </c>
      <c r="D16" s="107" t="s">
        <v>2189</v>
      </c>
      <c r="E16" s="107" t="s">
        <v>2899</v>
      </c>
      <c r="F16" s="107" t="s">
        <v>2900</v>
      </c>
      <c r="G16" s="141">
        <v>2</v>
      </c>
      <c r="H16" s="108" t="s">
        <v>123</v>
      </c>
      <c r="I16" s="121" t="s">
        <v>2365</v>
      </c>
      <c r="J16" s="117"/>
      <c r="K16" s="117"/>
      <c r="L16" s="117"/>
      <c r="M16" s="117"/>
      <c r="N16" s="117"/>
    </row>
    <row r="17" spans="1:14" ht="19">
      <c r="A17" s="107" t="s">
        <v>1156</v>
      </c>
      <c r="B17" s="107" t="s">
        <v>4075</v>
      </c>
      <c r="C17" s="107" t="s">
        <v>4683</v>
      </c>
      <c r="D17" s="107" t="s">
        <v>3313</v>
      </c>
      <c r="E17" s="107" t="s">
        <v>4076</v>
      </c>
      <c r="F17" s="107" t="s">
        <v>4077</v>
      </c>
      <c r="G17" s="141">
        <v>4</v>
      </c>
      <c r="H17" s="108" t="s">
        <v>4078</v>
      </c>
      <c r="I17" s="121" t="s">
        <v>4079</v>
      </c>
      <c r="J17" s="117"/>
      <c r="K17" s="117"/>
      <c r="L17" s="117"/>
      <c r="M17" s="117"/>
      <c r="N17" s="117"/>
    </row>
    <row r="18" spans="1:14" ht="19">
      <c r="A18" s="107" t="s">
        <v>1156</v>
      </c>
      <c r="B18" s="107" t="s">
        <v>4080</v>
      </c>
      <c r="C18" s="107" t="s">
        <v>4690</v>
      </c>
      <c r="D18" s="107" t="s">
        <v>4714</v>
      </c>
      <c r="E18" s="107" t="s">
        <v>4081</v>
      </c>
      <c r="F18" s="107" t="s">
        <v>4082</v>
      </c>
      <c r="G18" s="141">
        <v>2</v>
      </c>
      <c r="H18" s="108" t="s">
        <v>4083</v>
      </c>
      <c r="I18" s="121" t="s">
        <v>4084</v>
      </c>
      <c r="J18" s="117"/>
      <c r="K18" s="117"/>
      <c r="L18" s="117"/>
      <c r="M18" s="117"/>
      <c r="N18" s="117"/>
    </row>
    <row r="19" spans="1:14" ht="19">
      <c r="A19" s="107" t="s">
        <v>2901</v>
      </c>
      <c r="B19" s="107" t="s">
        <v>1164</v>
      </c>
      <c r="C19" s="107" t="s">
        <v>4682</v>
      </c>
      <c r="D19" s="107" t="s">
        <v>3294</v>
      </c>
      <c r="E19" s="107" t="s">
        <v>3377</v>
      </c>
      <c r="F19" s="107" t="s">
        <v>3378</v>
      </c>
      <c r="G19" s="141">
        <v>3</v>
      </c>
      <c r="H19" s="108" t="s">
        <v>2902</v>
      </c>
      <c r="I19" s="121" t="s">
        <v>2903</v>
      </c>
      <c r="J19" s="117"/>
      <c r="K19" s="117"/>
      <c r="L19" s="117"/>
      <c r="M19" s="117"/>
      <c r="N19" s="117"/>
    </row>
    <row r="20" spans="1:14" ht="19">
      <c r="A20" s="107" t="s">
        <v>2901</v>
      </c>
      <c r="B20" s="107" t="s">
        <v>1165</v>
      </c>
      <c r="C20" s="107" t="s">
        <v>4682</v>
      </c>
      <c r="D20" s="107" t="s">
        <v>1850</v>
      </c>
      <c r="E20" s="107" t="s">
        <v>2904</v>
      </c>
      <c r="F20" s="107" t="s">
        <v>2905</v>
      </c>
      <c r="G20" s="141">
        <v>1</v>
      </c>
      <c r="H20" s="108" t="s">
        <v>40</v>
      </c>
      <c r="I20" s="121" t="s">
        <v>2903</v>
      </c>
      <c r="J20" s="117"/>
      <c r="K20" s="117"/>
      <c r="L20" s="117"/>
      <c r="M20" s="117"/>
      <c r="N20" s="117"/>
    </row>
    <row r="21" spans="1:14" ht="19">
      <c r="A21" s="107" t="s">
        <v>2901</v>
      </c>
      <c r="B21" s="107" t="s">
        <v>1166</v>
      </c>
      <c r="C21" s="107" t="s">
        <v>4682</v>
      </c>
      <c r="D21" s="107" t="s">
        <v>3295</v>
      </c>
      <c r="E21" s="107" t="s">
        <v>3379</v>
      </c>
      <c r="F21" s="107" t="s">
        <v>2906</v>
      </c>
      <c r="G21" s="141">
        <v>1</v>
      </c>
      <c r="H21" s="108" t="s">
        <v>40</v>
      </c>
      <c r="I21" s="121" t="s">
        <v>2903</v>
      </c>
      <c r="J21" s="117"/>
      <c r="K21" s="117"/>
      <c r="L21" s="117"/>
      <c r="M21" s="117"/>
      <c r="N21" s="117"/>
    </row>
    <row r="22" spans="1:14" ht="19">
      <c r="A22" s="107" t="s">
        <v>2901</v>
      </c>
      <c r="B22" s="107" t="s">
        <v>1167</v>
      </c>
      <c r="C22" s="107" t="s">
        <v>4683</v>
      </c>
      <c r="D22" s="107" t="s">
        <v>3296</v>
      </c>
      <c r="E22" s="107" t="s">
        <v>4723</v>
      </c>
      <c r="F22" s="107" t="s">
        <v>3380</v>
      </c>
      <c r="G22" s="141">
        <v>4</v>
      </c>
      <c r="H22" s="108" t="s">
        <v>2907</v>
      </c>
      <c r="I22" s="121" t="s">
        <v>2908</v>
      </c>
      <c r="J22" s="117"/>
      <c r="K22" s="117"/>
      <c r="L22" s="117"/>
      <c r="M22" s="117"/>
      <c r="N22" s="117"/>
    </row>
    <row r="23" spans="1:14" ht="19">
      <c r="A23" s="107" t="s">
        <v>2901</v>
      </c>
      <c r="B23" s="107" t="s">
        <v>1168</v>
      </c>
      <c r="C23" s="107" t="s">
        <v>4683</v>
      </c>
      <c r="D23" s="107" t="s">
        <v>3297</v>
      </c>
      <c r="E23" s="107" t="s">
        <v>4724</v>
      </c>
      <c r="F23" s="107" t="s">
        <v>2909</v>
      </c>
      <c r="G23" s="141">
        <v>5</v>
      </c>
      <c r="H23" s="108" t="s">
        <v>2910</v>
      </c>
      <c r="I23" s="121" t="s">
        <v>2365</v>
      </c>
      <c r="J23" s="117"/>
      <c r="K23" s="117"/>
      <c r="L23" s="117"/>
      <c r="M23" s="117"/>
      <c r="N23" s="117"/>
    </row>
    <row r="24" spans="1:14" ht="19">
      <c r="A24" s="107" t="s">
        <v>2901</v>
      </c>
      <c r="B24" s="107" t="s">
        <v>1169</v>
      </c>
      <c r="C24" s="107" t="s">
        <v>4683</v>
      </c>
      <c r="D24" s="107" t="s">
        <v>2193</v>
      </c>
      <c r="E24" s="107" t="s">
        <v>2911</v>
      </c>
      <c r="F24" s="107" t="s">
        <v>3381</v>
      </c>
      <c r="G24" s="141">
        <v>2</v>
      </c>
      <c r="H24" s="108" t="s">
        <v>2912</v>
      </c>
      <c r="I24" s="121" t="s">
        <v>2908</v>
      </c>
      <c r="J24" s="117"/>
      <c r="K24" s="117"/>
      <c r="L24" s="117"/>
      <c r="M24" s="117"/>
      <c r="N24" s="117"/>
    </row>
    <row r="25" spans="1:14" ht="19">
      <c r="A25" s="107" t="s">
        <v>2901</v>
      </c>
      <c r="B25" s="107" t="s">
        <v>1170</v>
      </c>
      <c r="C25" s="107" t="s">
        <v>4683</v>
      </c>
      <c r="D25" s="107" t="s">
        <v>1857</v>
      </c>
      <c r="E25" s="107" t="s">
        <v>2913</v>
      </c>
      <c r="F25" s="107" t="s">
        <v>2914</v>
      </c>
      <c r="G25" s="141">
        <v>1</v>
      </c>
      <c r="H25" s="108" t="s">
        <v>37</v>
      </c>
      <c r="I25" s="121" t="s">
        <v>2908</v>
      </c>
      <c r="J25" s="117"/>
      <c r="K25" s="117"/>
      <c r="L25" s="117"/>
      <c r="M25" s="117"/>
      <c r="N25" s="117"/>
    </row>
    <row r="26" spans="1:14" ht="19">
      <c r="A26" s="107" t="s">
        <v>2901</v>
      </c>
      <c r="B26" s="107" t="s">
        <v>1171</v>
      </c>
      <c r="C26" s="107" t="s">
        <v>4687</v>
      </c>
      <c r="D26" s="107" t="s">
        <v>2192</v>
      </c>
      <c r="E26" s="107" t="s">
        <v>2915</v>
      </c>
      <c r="F26" s="107" t="s">
        <v>2916</v>
      </c>
      <c r="G26" s="141">
        <v>6</v>
      </c>
      <c r="H26" s="108" t="s">
        <v>2917</v>
      </c>
      <c r="I26" s="121" t="s">
        <v>2365</v>
      </c>
      <c r="J26" s="117"/>
      <c r="K26" s="117"/>
      <c r="L26" s="117"/>
      <c r="M26" s="117"/>
      <c r="N26" s="117"/>
    </row>
    <row r="27" spans="1:14" ht="19">
      <c r="A27" s="107" t="s">
        <v>2901</v>
      </c>
      <c r="B27" s="107" t="s">
        <v>1172</v>
      </c>
      <c r="C27" s="107" t="s">
        <v>4687</v>
      </c>
      <c r="D27" s="107" t="s">
        <v>2211</v>
      </c>
      <c r="E27" s="107" t="s">
        <v>2918</v>
      </c>
      <c r="F27" s="107" t="s">
        <v>3382</v>
      </c>
      <c r="G27" s="141">
        <v>4</v>
      </c>
      <c r="H27" s="108" t="s">
        <v>2919</v>
      </c>
      <c r="I27" s="121" t="s">
        <v>2365</v>
      </c>
      <c r="J27" s="117"/>
      <c r="K27" s="117"/>
      <c r="L27" s="117"/>
      <c r="M27" s="117"/>
      <c r="N27" s="117"/>
    </row>
    <row r="28" spans="1:14" ht="19">
      <c r="A28" s="107" t="s">
        <v>2901</v>
      </c>
      <c r="B28" s="107" t="s">
        <v>2930</v>
      </c>
      <c r="C28" s="107" t="s">
        <v>2125</v>
      </c>
      <c r="D28" s="107" t="s">
        <v>2164</v>
      </c>
      <c r="E28" s="107" t="s">
        <v>2921</v>
      </c>
      <c r="F28" s="107" t="s">
        <v>2922</v>
      </c>
      <c r="G28" s="141">
        <v>2</v>
      </c>
      <c r="H28" s="108" t="s">
        <v>112</v>
      </c>
      <c r="I28" s="121" t="s">
        <v>2365</v>
      </c>
      <c r="J28" s="117"/>
      <c r="K28" s="117"/>
      <c r="L28" s="117"/>
      <c r="M28" s="117"/>
      <c r="N28" s="117"/>
    </row>
    <row r="29" spans="1:14" ht="19">
      <c r="A29" s="107" t="s">
        <v>2901</v>
      </c>
      <c r="B29" s="107" t="s">
        <v>2937</v>
      </c>
      <c r="C29" s="107" t="s">
        <v>2125</v>
      </c>
      <c r="D29" s="107" t="s">
        <v>3299</v>
      </c>
      <c r="E29" s="107" t="s">
        <v>2924</v>
      </c>
      <c r="F29" s="107" t="s">
        <v>2925</v>
      </c>
      <c r="G29" s="141">
        <v>1.5</v>
      </c>
      <c r="H29" s="108" t="s">
        <v>2926</v>
      </c>
      <c r="I29" s="121" t="s">
        <v>2365</v>
      </c>
      <c r="J29" s="117"/>
      <c r="K29" s="117"/>
      <c r="L29" s="117"/>
      <c r="M29" s="117"/>
      <c r="N29" s="117"/>
    </row>
    <row r="30" spans="1:14" ht="19">
      <c r="A30" s="107" t="s">
        <v>2901</v>
      </c>
      <c r="B30" s="107" t="s">
        <v>2927</v>
      </c>
      <c r="C30" s="107" t="s">
        <v>2128</v>
      </c>
      <c r="D30" s="107" t="s">
        <v>4696</v>
      </c>
      <c r="E30" s="107" t="s">
        <v>2928</v>
      </c>
      <c r="F30" s="107" t="s">
        <v>4085</v>
      </c>
      <c r="G30" s="141">
        <v>3</v>
      </c>
      <c r="H30" s="108" t="s">
        <v>2929</v>
      </c>
      <c r="I30" s="121" t="s">
        <v>2365</v>
      </c>
      <c r="J30" s="117"/>
      <c r="K30" s="117"/>
      <c r="L30" s="117"/>
      <c r="M30" s="117"/>
      <c r="N30" s="117"/>
    </row>
    <row r="31" spans="1:14" ht="19">
      <c r="A31" s="107" t="s">
        <v>2901</v>
      </c>
      <c r="B31" s="107" t="s">
        <v>2933</v>
      </c>
      <c r="C31" s="107" t="s">
        <v>2128</v>
      </c>
      <c r="D31" s="107" t="s">
        <v>4696</v>
      </c>
      <c r="E31" s="107" t="s">
        <v>2931</v>
      </c>
      <c r="F31" s="107" t="s">
        <v>2932</v>
      </c>
      <c r="G31" s="141">
        <v>1</v>
      </c>
      <c r="H31" s="108" t="s">
        <v>89</v>
      </c>
      <c r="I31" s="121" t="s">
        <v>2863</v>
      </c>
      <c r="J31" s="117"/>
      <c r="K31" s="117"/>
      <c r="L31" s="117"/>
      <c r="M31" s="117"/>
      <c r="N31" s="117"/>
    </row>
    <row r="32" spans="1:14" ht="19">
      <c r="A32" s="107" t="s">
        <v>2901</v>
      </c>
      <c r="B32" s="107" t="s">
        <v>2944</v>
      </c>
      <c r="C32" s="107" t="s">
        <v>2128</v>
      </c>
      <c r="D32" s="107" t="s">
        <v>4696</v>
      </c>
      <c r="E32" s="107" t="s">
        <v>2934</v>
      </c>
      <c r="F32" s="107" t="s">
        <v>2935</v>
      </c>
      <c r="G32" s="141">
        <v>1.5</v>
      </c>
      <c r="H32" s="108" t="s">
        <v>2936</v>
      </c>
      <c r="I32" s="121" t="s">
        <v>2863</v>
      </c>
      <c r="J32" s="117"/>
      <c r="K32" s="117"/>
      <c r="L32" s="117"/>
      <c r="M32" s="117"/>
      <c r="N32" s="117"/>
    </row>
    <row r="33" spans="1:14" ht="19">
      <c r="A33" s="107" t="s">
        <v>2901</v>
      </c>
      <c r="B33" s="107" t="s">
        <v>2940</v>
      </c>
      <c r="C33" s="107" t="s">
        <v>2128</v>
      </c>
      <c r="D33" s="107" t="s">
        <v>4696</v>
      </c>
      <c r="E33" s="107" t="s">
        <v>2938</v>
      </c>
      <c r="F33" s="107" t="s">
        <v>3383</v>
      </c>
      <c r="G33" s="141">
        <v>0.5</v>
      </c>
      <c r="H33" s="108" t="s">
        <v>2939</v>
      </c>
      <c r="I33" s="121" t="s">
        <v>2863</v>
      </c>
      <c r="J33" s="117"/>
      <c r="K33" s="117"/>
      <c r="L33" s="117"/>
      <c r="M33" s="117"/>
      <c r="N33" s="117"/>
    </row>
    <row r="34" spans="1:14" ht="19">
      <c r="A34" s="107" t="s">
        <v>2901</v>
      </c>
      <c r="B34" s="107" t="s">
        <v>2949</v>
      </c>
      <c r="C34" s="107" t="s">
        <v>2129</v>
      </c>
      <c r="D34" s="107" t="s">
        <v>4705</v>
      </c>
      <c r="E34" s="107" t="s">
        <v>2941</v>
      </c>
      <c r="F34" s="107" t="s">
        <v>2942</v>
      </c>
      <c r="G34" s="141">
        <v>4</v>
      </c>
      <c r="H34" s="108" t="s">
        <v>2943</v>
      </c>
      <c r="I34" s="121" t="s">
        <v>2365</v>
      </c>
      <c r="J34" s="117"/>
      <c r="K34" s="117"/>
      <c r="L34" s="117"/>
      <c r="M34" s="117"/>
      <c r="N34" s="117"/>
    </row>
    <row r="35" spans="1:14" ht="19">
      <c r="A35" s="107" t="s">
        <v>2901</v>
      </c>
      <c r="B35" s="107" t="s">
        <v>2947</v>
      </c>
      <c r="C35" s="107" t="s">
        <v>2129</v>
      </c>
      <c r="D35" s="107" t="s">
        <v>4706</v>
      </c>
      <c r="E35" s="107" t="s">
        <v>2945</v>
      </c>
      <c r="F35" s="107" t="s">
        <v>2946</v>
      </c>
      <c r="G35" s="141">
        <v>1</v>
      </c>
      <c r="H35" s="108" t="s">
        <v>79</v>
      </c>
      <c r="I35" s="121" t="s">
        <v>2908</v>
      </c>
      <c r="J35" s="117"/>
      <c r="K35" s="117"/>
      <c r="L35" s="117"/>
      <c r="M35" s="117"/>
      <c r="N35" s="117"/>
    </row>
    <row r="36" spans="1:14" ht="19">
      <c r="A36" s="107" t="s">
        <v>2901</v>
      </c>
      <c r="B36" s="107" t="s">
        <v>2955</v>
      </c>
      <c r="C36" s="107" t="s">
        <v>2131</v>
      </c>
      <c r="D36" s="107" t="s">
        <v>3300</v>
      </c>
      <c r="E36" s="107" t="s">
        <v>2948</v>
      </c>
      <c r="F36" s="107" t="s">
        <v>3384</v>
      </c>
      <c r="G36" s="141">
        <v>3</v>
      </c>
      <c r="H36" s="108" t="s">
        <v>4086</v>
      </c>
      <c r="I36" s="121" t="s">
        <v>2365</v>
      </c>
      <c r="J36" s="117"/>
      <c r="K36" s="117"/>
      <c r="L36" s="117"/>
      <c r="M36" s="117"/>
      <c r="N36" s="117"/>
    </row>
    <row r="37" spans="1:14" ht="19">
      <c r="A37" s="107" t="s">
        <v>2901</v>
      </c>
      <c r="B37" s="107" t="s">
        <v>2960</v>
      </c>
      <c r="C37" s="107" t="s">
        <v>2131</v>
      </c>
      <c r="D37" s="107" t="s">
        <v>3301</v>
      </c>
      <c r="E37" s="107" t="s">
        <v>3301</v>
      </c>
      <c r="F37" s="107" t="s">
        <v>2950</v>
      </c>
      <c r="G37" s="141">
        <v>2</v>
      </c>
      <c r="H37" s="108" t="s">
        <v>78</v>
      </c>
      <c r="I37" s="121" t="s">
        <v>3259</v>
      </c>
      <c r="J37" s="117"/>
      <c r="K37" s="117"/>
      <c r="L37" s="117"/>
      <c r="M37" s="117"/>
      <c r="N37" s="117"/>
    </row>
    <row r="38" spans="1:14" ht="19">
      <c r="A38" s="107" t="s">
        <v>2901</v>
      </c>
      <c r="B38" s="107" t="s">
        <v>2958</v>
      </c>
      <c r="C38" s="107" t="s">
        <v>2131</v>
      </c>
      <c r="D38" s="107" t="s">
        <v>1880</v>
      </c>
      <c r="E38" s="107" t="s">
        <v>3977</v>
      </c>
      <c r="F38" s="107" t="s">
        <v>3978</v>
      </c>
      <c r="G38" s="141">
        <v>2</v>
      </c>
      <c r="H38" s="108" t="s">
        <v>3979</v>
      </c>
      <c r="I38" s="121" t="s">
        <v>2954</v>
      </c>
      <c r="J38" s="117"/>
      <c r="K38" s="117"/>
      <c r="L38" s="117"/>
      <c r="M38" s="117"/>
      <c r="N38" s="117"/>
    </row>
    <row r="39" spans="1:14" ht="19">
      <c r="A39" s="107" t="s">
        <v>2901</v>
      </c>
      <c r="B39" s="107" t="s">
        <v>2966</v>
      </c>
      <c r="C39" s="107" t="s">
        <v>2132</v>
      </c>
      <c r="D39" s="107" t="s">
        <v>1929</v>
      </c>
      <c r="E39" s="107" t="s">
        <v>2952</v>
      </c>
      <c r="F39" s="107" t="s">
        <v>3385</v>
      </c>
      <c r="G39" s="141">
        <v>3</v>
      </c>
      <c r="H39" s="108" t="s">
        <v>2953</v>
      </c>
      <c r="I39" s="121" t="s">
        <v>2954</v>
      </c>
      <c r="J39" s="117"/>
      <c r="K39" s="117"/>
      <c r="L39" s="117"/>
      <c r="M39" s="117"/>
      <c r="N39" s="117"/>
    </row>
    <row r="40" spans="1:14" ht="19">
      <c r="A40" s="107" t="s">
        <v>2901</v>
      </c>
      <c r="B40" s="107" t="s">
        <v>2962</v>
      </c>
      <c r="C40" s="107" t="s">
        <v>2132</v>
      </c>
      <c r="D40" s="107" t="s">
        <v>2178</v>
      </c>
      <c r="E40" s="107" t="s">
        <v>2956</v>
      </c>
      <c r="F40" s="107" t="s">
        <v>3386</v>
      </c>
      <c r="G40" s="141">
        <v>4</v>
      </c>
      <c r="H40" s="108" t="s">
        <v>2957</v>
      </c>
      <c r="I40" s="121" t="s">
        <v>2365</v>
      </c>
      <c r="J40" s="117"/>
      <c r="K40" s="117"/>
      <c r="L40" s="117"/>
      <c r="M40" s="117"/>
      <c r="N40" s="117"/>
    </row>
    <row r="41" spans="1:14" ht="19">
      <c r="A41" s="107" t="s">
        <v>2901</v>
      </c>
      <c r="B41" s="107" t="s">
        <v>2964</v>
      </c>
      <c r="C41" s="107" t="s">
        <v>4689</v>
      </c>
      <c r="D41" s="107" t="s">
        <v>4709</v>
      </c>
      <c r="E41" s="107" t="s">
        <v>3387</v>
      </c>
      <c r="F41" s="107" t="s">
        <v>3388</v>
      </c>
      <c r="G41" s="141">
        <v>5</v>
      </c>
      <c r="H41" s="108" t="s">
        <v>2959</v>
      </c>
      <c r="I41" s="121" t="s">
        <v>2365</v>
      </c>
      <c r="J41" s="117"/>
      <c r="K41" s="117"/>
      <c r="L41" s="117"/>
      <c r="M41" s="117"/>
      <c r="N41" s="117"/>
    </row>
    <row r="42" spans="1:14" ht="19">
      <c r="A42" s="107" t="s">
        <v>2901</v>
      </c>
      <c r="B42" s="107" t="s">
        <v>2951</v>
      </c>
      <c r="C42" s="107" t="s">
        <v>2134</v>
      </c>
      <c r="D42" s="107" t="s">
        <v>3303</v>
      </c>
      <c r="E42" s="107" t="s">
        <v>3389</v>
      </c>
      <c r="F42" s="107" t="s">
        <v>3390</v>
      </c>
      <c r="G42" s="141">
        <v>4</v>
      </c>
      <c r="H42" s="108" t="s">
        <v>2961</v>
      </c>
      <c r="I42" s="121" t="s">
        <v>2365</v>
      </c>
      <c r="J42" s="117"/>
      <c r="K42" s="117"/>
      <c r="L42" s="117"/>
      <c r="M42" s="117"/>
      <c r="N42" s="117"/>
    </row>
    <row r="43" spans="1:14" ht="19">
      <c r="A43" s="107" t="s">
        <v>2901</v>
      </c>
      <c r="B43" s="107" t="s">
        <v>2920</v>
      </c>
      <c r="C43" s="107" t="s">
        <v>1848</v>
      </c>
      <c r="D43" s="107" t="s">
        <v>1848</v>
      </c>
      <c r="E43" s="107" t="s">
        <v>2963</v>
      </c>
      <c r="F43" s="107" t="s">
        <v>4087</v>
      </c>
      <c r="G43" s="141">
        <v>3</v>
      </c>
      <c r="H43" s="108" t="s">
        <v>2873</v>
      </c>
      <c r="I43" s="121" t="s">
        <v>2365</v>
      </c>
      <c r="J43" s="117"/>
      <c r="K43" s="117"/>
      <c r="L43" s="117"/>
      <c r="M43" s="117"/>
      <c r="N43" s="117"/>
    </row>
    <row r="44" spans="1:14" ht="19">
      <c r="A44" s="122" t="s">
        <v>2901</v>
      </c>
      <c r="B44" s="122" t="s">
        <v>2923</v>
      </c>
      <c r="C44" s="122" t="s">
        <v>1848</v>
      </c>
      <c r="D44" s="122" t="s">
        <v>3305</v>
      </c>
      <c r="E44" s="122" t="s">
        <v>3305</v>
      </c>
      <c r="F44" s="122" t="s">
        <v>2965</v>
      </c>
      <c r="G44" s="142">
        <v>1</v>
      </c>
      <c r="H44" s="123" t="s">
        <v>32</v>
      </c>
      <c r="I44" s="121" t="s">
        <v>2874</v>
      </c>
      <c r="J44" s="117"/>
      <c r="K44" s="117"/>
      <c r="L44" s="117"/>
      <c r="M44" s="117"/>
      <c r="N44" s="117"/>
    </row>
    <row r="45" spans="1:14" ht="19">
      <c r="A45" s="107" t="s">
        <v>2901</v>
      </c>
      <c r="B45" s="107" t="s">
        <v>3974</v>
      </c>
      <c r="C45" s="107" t="s">
        <v>1848</v>
      </c>
      <c r="D45" s="107" t="s">
        <v>1873</v>
      </c>
      <c r="E45" s="107" t="s">
        <v>1873</v>
      </c>
      <c r="F45" s="107" t="s">
        <v>2967</v>
      </c>
      <c r="G45" s="141">
        <v>1</v>
      </c>
      <c r="H45" s="108" t="s">
        <v>117</v>
      </c>
      <c r="I45" s="121" t="s">
        <v>2874</v>
      </c>
      <c r="J45" s="117"/>
      <c r="K45" s="117"/>
      <c r="L45" s="117"/>
      <c r="M45" s="117"/>
      <c r="N45" s="117"/>
    </row>
    <row r="46" spans="1:14" ht="19">
      <c r="A46" s="107" t="s">
        <v>2901</v>
      </c>
      <c r="B46" s="107" t="s">
        <v>4088</v>
      </c>
      <c r="C46" s="107" t="s">
        <v>4683</v>
      </c>
      <c r="D46" s="107" t="s">
        <v>3313</v>
      </c>
      <c r="E46" s="107" t="s">
        <v>4089</v>
      </c>
      <c r="F46" s="107" t="s">
        <v>4090</v>
      </c>
      <c r="G46" s="141">
        <v>3</v>
      </c>
      <c r="H46" s="108" t="s">
        <v>4091</v>
      </c>
      <c r="I46" s="121" t="s">
        <v>4092</v>
      </c>
      <c r="J46" s="117"/>
      <c r="K46" s="117"/>
      <c r="L46" s="117"/>
      <c r="M46" s="117"/>
      <c r="N46" s="117"/>
    </row>
    <row r="47" spans="1:14" ht="19">
      <c r="A47" s="107" t="s">
        <v>2901</v>
      </c>
      <c r="B47" s="107" t="s">
        <v>4093</v>
      </c>
      <c r="C47" s="107" t="s">
        <v>2131</v>
      </c>
      <c r="D47" s="107" t="s">
        <v>1877</v>
      </c>
      <c r="E47" s="107" t="s">
        <v>1877</v>
      </c>
      <c r="F47" s="107" t="s">
        <v>4094</v>
      </c>
      <c r="G47" s="141">
        <v>1.5</v>
      </c>
      <c r="H47" s="108" t="s">
        <v>4095</v>
      </c>
      <c r="I47" s="121" t="s">
        <v>4096</v>
      </c>
      <c r="J47" s="117"/>
      <c r="K47" s="117"/>
      <c r="L47" s="117"/>
      <c r="M47" s="117"/>
      <c r="N47" s="117"/>
    </row>
    <row r="48" spans="1:14" ht="19">
      <c r="A48" s="107" t="s">
        <v>1173</v>
      </c>
      <c r="B48" s="107" t="s">
        <v>1174</v>
      </c>
      <c r="C48" s="107" t="s">
        <v>4683</v>
      </c>
      <c r="D48" s="107" t="s">
        <v>3296</v>
      </c>
      <c r="E48" s="107" t="s">
        <v>3391</v>
      </c>
      <c r="F48" s="107" t="s">
        <v>2968</v>
      </c>
      <c r="G48" s="141">
        <v>6</v>
      </c>
      <c r="H48" s="108" t="s">
        <v>2969</v>
      </c>
      <c r="I48" s="121" t="s">
        <v>2970</v>
      </c>
      <c r="J48" s="117"/>
      <c r="K48" s="117"/>
      <c r="L48" s="117"/>
      <c r="M48" s="117"/>
      <c r="N48" s="117"/>
    </row>
    <row r="49" spans="1:14" ht="19">
      <c r="A49" s="107" t="s">
        <v>1173</v>
      </c>
      <c r="B49" s="107" t="s">
        <v>1175</v>
      </c>
      <c r="C49" s="107" t="s">
        <v>4683</v>
      </c>
      <c r="D49" s="107" t="s">
        <v>3296</v>
      </c>
      <c r="E49" s="107" t="s">
        <v>3392</v>
      </c>
      <c r="F49" s="107" t="s">
        <v>2971</v>
      </c>
      <c r="G49" s="141">
        <v>5</v>
      </c>
      <c r="H49" s="108" t="s">
        <v>2972</v>
      </c>
      <c r="I49" s="121" t="s">
        <v>2365</v>
      </c>
      <c r="J49" s="117"/>
      <c r="K49" s="117"/>
      <c r="L49" s="117"/>
      <c r="M49" s="117"/>
      <c r="N49" s="117"/>
    </row>
    <row r="50" spans="1:14" ht="19">
      <c r="A50" s="107" t="s">
        <v>1173</v>
      </c>
      <c r="B50" s="107" t="s">
        <v>1176</v>
      </c>
      <c r="C50" s="107" t="s">
        <v>4683</v>
      </c>
      <c r="D50" s="107" t="s">
        <v>3297</v>
      </c>
      <c r="E50" s="107" t="s">
        <v>3393</v>
      </c>
      <c r="F50" s="107" t="s">
        <v>3394</v>
      </c>
      <c r="G50" s="141">
        <v>5</v>
      </c>
      <c r="H50" s="108" t="s">
        <v>31</v>
      </c>
      <c r="I50" s="121" t="s">
        <v>2365</v>
      </c>
      <c r="J50" s="117"/>
      <c r="K50" s="117"/>
      <c r="L50" s="117"/>
      <c r="M50" s="117"/>
      <c r="N50" s="117"/>
    </row>
    <row r="51" spans="1:14" ht="19">
      <c r="A51" s="107" t="s">
        <v>1173</v>
      </c>
      <c r="B51" s="107" t="s">
        <v>1177</v>
      </c>
      <c r="C51" s="107" t="s">
        <v>2128</v>
      </c>
      <c r="D51" s="107" t="s">
        <v>4696</v>
      </c>
      <c r="E51" s="107" t="s">
        <v>2973</v>
      </c>
      <c r="F51" s="107" t="s">
        <v>2974</v>
      </c>
      <c r="G51" s="141">
        <v>5</v>
      </c>
      <c r="H51" s="108" t="s">
        <v>89</v>
      </c>
      <c r="I51" s="121" t="s">
        <v>2970</v>
      </c>
      <c r="J51" s="117"/>
      <c r="K51" s="117"/>
      <c r="L51" s="117"/>
      <c r="M51" s="117"/>
      <c r="N51" s="117"/>
    </row>
    <row r="52" spans="1:14" ht="19">
      <c r="A52" s="107" t="s">
        <v>1173</v>
      </c>
      <c r="B52" s="107" t="s">
        <v>2975</v>
      </c>
      <c r="C52" s="107" t="s">
        <v>1848</v>
      </c>
      <c r="D52" s="107" t="s">
        <v>1848</v>
      </c>
      <c r="E52" s="107" t="s">
        <v>2976</v>
      </c>
      <c r="F52" s="107" t="s">
        <v>3395</v>
      </c>
      <c r="G52" s="141">
        <v>6</v>
      </c>
      <c r="H52" s="108" t="s">
        <v>32</v>
      </c>
      <c r="I52" s="121" t="s">
        <v>2365</v>
      </c>
      <c r="J52" s="117"/>
      <c r="K52" s="117"/>
      <c r="L52" s="117"/>
      <c r="M52" s="117"/>
      <c r="N52" s="117"/>
    </row>
    <row r="53" spans="1:14" ht="19">
      <c r="A53" s="124" t="s">
        <v>2977</v>
      </c>
      <c r="B53" s="124" t="s">
        <v>1178</v>
      </c>
      <c r="C53" s="124" t="s">
        <v>2128</v>
      </c>
      <c r="D53" s="124" t="s">
        <v>4696</v>
      </c>
      <c r="E53" s="124" t="s">
        <v>2978</v>
      </c>
      <c r="F53" s="124" t="s">
        <v>2979</v>
      </c>
      <c r="G53" s="143">
        <v>5</v>
      </c>
      <c r="H53" s="125" t="s">
        <v>138</v>
      </c>
      <c r="I53" s="121" t="s">
        <v>2365</v>
      </c>
      <c r="J53" s="117"/>
      <c r="K53" s="117"/>
      <c r="L53" s="117"/>
      <c r="M53" s="117"/>
      <c r="N53" s="117"/>
    </row>
    <row r="54" spans="1:14" ht="19">
      <c r="A54" s="124" t="s">
        <v>2977</v>
      </c>
      <c r="B54" s="124" t="s">
        <v>1179</v>
      </c>
      <c r="C54" s="124" t="s">
        <v>4689</v>
      </c>
      <c r="D54" s="124" t="s">
        <v>4709</v>
      </c>
      <c r="E54" s="124" t="s">
        <v>3396</v>
      </c>
      <c r="F54" s="124" t="s">
        <v>2980</v>
      </c>
      <c r="G54" s="143">
        <v>4</v>
      </c>
      <c r="H54" s="125" t="s">
        <v>2981</v>
      </c>
      <c r="I54" s="121" t="s">
        <v>2365</v>
      </c>
      <c r="J54" s="117"/>
      <c r="K54" s="117"/>
      <c r="L54" s="117"/>
      <c r="M54" s="117"/>
      <c r="N54" s="117"/>
    </row>
    <row r="55" spans="1:14" ht="19">
      <c r="A55" s="124" t="s">
        <v>2977</v>
      </c>
      <c r="B55" s="124" t="s">
        <v>1180</v>
      </c>
      <c r="C55" s="124" t="s">
        <v>2141</v>
      </c>
      <c r="D55" s="124" t="s">
        <v>2163</v>
      </c>
      <c r="E55" s="124" t="s">
        <v>2982</v>
      </c>
      <c r="F55" s="124" t="s">
        <v>2983</v>
      </c>
      <c r="G55" s="143">
        <v>4</v>
      </c>
      <c r="H55" s="125" t="s">
        <v>2984</v>
      </c>
      <c r="I55" s="121" t="s">
        <v>2985</v>
      </c>
      <c r="J55" s="117"/>
      <c r="K55" s="117"/>
      <c r="L55" s="117"/>
      <c r="M55" s="117"/>
      <c r="N55" s="117"/>
    </row>
    <row r="56" spans="1:14" ht="19">
      <c r="A56" s="124" t="s">
        <v>2977</v>
      </c>
      <c r="B56" s="124" t="s">
        <v>1181</v>
      </c>
      <c r="C56" s="124" t="s">
        <v>2141</v>
      </c>
      <c r="D56" s="124" t="s">
        <v>3306</v>
      </c>
      <c r="E56" s="124" t="s">
        <v>2986</v>
      </c>
      <c r="F56" s="124" t="s">
        <v>2987</v>
      </c>
      <c r="G56" s="143">
        <v>4</v>
      </c>
      <c r="H56" s="125" t="s">
        <v>2896</v>
      </c>
      <c r="I56" s="121" t="s">
        <v>2365</v>
      </c>
      <c r="J56" s="117"/>
      <c r="K56" s="117"/>
      <c r="L56" s="117"/>
      <c r="M56" s="117"/>
      <c r="N56" s="117"/>
    </row>
    <row r="57" spans="1:14" ht="19">
      <c r="A57" s="121" t="s">
        <v>2977</v>
      </c>
      <c r="B57" s="121" t="s">
        <v>1182</v>
      </c>
      <c r="C57" s="121" t="s">
        <v>2144</v>
      </c>
      <c r="D57" s="121" t="s">
        <v>2177</v>
      </c>
      <c r="E57" s="121" t="s">
        <v>2989</v>
      </c>
      <c r="F57" s="121" t="s">
        <v>2990</v>
      </c>
      <c r="G57" s="144">
        <v>8</v>
      </c>
      <c r="H57" s="108" t="s">
        <v>2991</v>
      </c>
      <c r="I57" s="121" t="s">
        <v>2992</v>
      </c>
      <c r="J57" s="117"/>
      <c r="K57" s="117"/>
      <c r="L57" s="117"/>
      <c r="M57" s="117"/>
      <c r="N57" s="117"/>
    </row>
    <row r="58" spans="1:14">
      <c r="A58" s="121" t="s">
        <v>2977</v>
      </c>
      <c r="B58" s="121" t="s">
        <v>1183</v>
      </c>
      <c r="C58" s="121" t="s">
        <v>2144</v>
      </c>
      <c r="D58" s="121" t="s">
        <v>2158</v>
      </c>
      <c r="E58" s="121" t="s">
        <v>3397</v>
      </c>
      <c r="F58" s="121" t="s">
        <v>3398</v>
      </c>
      <c r="G58" s="144">
        <v>6</v>
      </c>
      <c r="H58" s="121" t="s">
        <v>2993</v>
      </c>
      <c r="I58" s="121" t="s">
        <v>2365</v>
      </c>
      <c r="J58" s="117"/>
      <c r="K58" s="117"/>
      <c r="L58" s="117"/>
      <c r="M58" s="117"/>
      <c r="N58" s="117"/>
    </row>
    <row r="59" spans="1:14">
      <c r="A59" s="121" t="s">
        <v>2977</v>
      </c>
      <c r="B59" s="121" t="s">
        <v>2988</v>
      </c>
      <c r="C59" s="121" t="s">
        <v>2144</v>
      </c>
      <c r="D59" s="121" t="s">
        <v>2168</v>
      </c>
      <c r="E59" s="121" t="s">
        <v>2994</v>
      </c>
      <c r="F59" s="121" t="s">
        <v>2995</v>
      </c>
      <c r="G59" s="144">
        <v>3</v>
      </c>
      <c r="H59" s="121" t="s">
        <v>140</v>
      </c>
      <c r="I59" s="121" t="s">
        <v>2365</v>
      </c>
      <c r="J59" s="117"/>
      <c r="K59" s="117"/>
      <c r="L59" s="117"/>
      <c r="M59" s="117"/>
      <c r="N59" s="117"/>
    </row>
    <row r="60" spans="1:14">
      <c r="A60" s="115" t="s">
        <v>2996</v>
      </c>
      <c r="B60" s="115" t="s">
        <v>1184</v>
      </c>
      <c r="C60" s="115" t="s">
        <v>2146</v>
      </c>
      <c r="D60" s="115" t="s">
        <v>2165</v>
      </c>
      <c r="E60" s="115" t="s">
        <v>2997</v>
      </c>
      <c r="F60" s="121" t="s">
        <v>2998</v>
      </c>
      <c r="G60" s="144">
        <v>8</v>
      </c>
      <c r="H60" s="121" t="s">
        <v>2999</v>
      </c>
      <c r="I60" s="121" t="s">
        <v>3000</v>
      </c>
      <c r="J60" s="117"/>
      <c r="K60" s="117"/>
      <c r="L60" s="117"/>
      <c r="M60" s="117"/>
      <c r="N60" s="117"/>
    </row>
    <row r="61" spans="1:14">
      <c r="A61" s="121" t="s">
        <v>2996</v>
      </c>
      <c r="B61" s="121" t="s">
        <v>1185</v>
      </c>
      <c r="C61" s="121" t="s">
        <v>2146</v>
      </c>
      <c r="D61" s="121" t="s">
        <v>2165</v>
      </c>
      <c r="E61" s="121" t="s">
        <v>3399</v>
      </c>
      <c r="F61" s="121" t="s">
        <v>4097</v>
      </c>
      <c r="G61" s="144">
        <v>3</v>
      </c>
      <c r="H61" s="121" t="s">
        <v>200</v>
      </c>
      <c r="I61" s="121" t="s">
        <v>2365</v>
      </c>
      <c r="J61" s="117"/>
      <c r="K61" s="117"/>
      <c r="L61" s="117"/>
      <c r="M61" s="117"/>
      <c r="N61" s="117"/>
    </row>
    <row r="62" spans="1:14">
      <c r="A62" s="121" t="s">
        <v>2996</v>
      </c>
      <c r="B62" s="121" t="s">
        <v>1186</v>
      </c>
      <c r="C62" s="121" t="s">
        <v>2146</v>
      </c>
      <c r="D62" s="121" t="s">
        <v>2182</v>
      </c>
      <c r="E62" s="121" t="s">
        <v>960</v>
      </c>
      <c r="F62" s="121" t="s">
        <v>3001</v>
      </c>
      <c r="G62" s="144">
        <v>6</v>
      </c>
      <c r="H62" s="121" t="s">
        <v>3002</v>
      </c>
      <c r="I62" s="121" t="s">
        <v>3003</v>
      </c>
      <c r="J62" s="117"/>
      <c r="K62" s="117"/>
      <c r="L62" s="117"/>
      <c r="M62" s="117"/>
      <c r="N62" s="117"/>
    </row>
    <row r="63" spans="1:14">
      <c r="A63" s="121" t="s">
        <v>2996</v>
      </c>
      <c r="B63" s="121" t="s">
        <v>1187</v>
      </c>
      <c r="C63" s="121" t="s">
        <v>2146</v>
      </c>
      <c r="D63" s="121" t="s">
        <v>2182</v>
      </c>
      <c r="E63" s="121" t="s">
        <v>3004</v>
      </c>
      <c r="F63" s="121" t="s">
        <v>3005</v>
      </c>
      <c r="G63" s="144">
        <v>5</v>
      </c>
      <c r="H63" s="121" t="s">
        <v>3006</v>
      </c>
      <c r="I63" s="121" t="s">
        <v>3007</v>
      </c>
      <c r="J63" s="117"/>
      <c r="K63" s="117"/>
      <c r="L63" s="117"/>
      <c r="M63" s="117"/>
      <c r="N63" s="117"/>
    </row>
    <row r="64" spans="1:14">
      <c r="A64" s="121" t="s">
        <v>1188</v>
      </c>
      <c r="B64" s="121" t="s">
        <v>1189</v>
      </c>
      <c r="C64" s="121" t="s">
        <v>4686</v>
      </c>
      <c r="D64" s="121" t="s">
        <v>3298</v>
      </c>
      <c r="E64" s="121" t="s">
        <v>3009</v>
      </c>
      <c r="F64" s="121" t="s">
        <v>3400</v>
      </c>
      <c r="G64" s="144">
        <v>3</v>
      </c>
      <c r="H64" s="121" t="s">
        <v>174</v>
      </c>
      <c r="I64" s="121" t="s">
        <v>3010</v>
      </c>
      <c r="J64" s="117"/>
      <c r="K64" s="117"/>
      <c r="L64" s="117"/>
      <c r="M64" s="117"/>
      <c r="N64" s="117"/>
    </row>
    <row r="65" spans="1:14">
      <c r="A65" s="121" t="s">
        <v>1188</v>
      </c>
      <c r="B65" s="121" t="s">
        <v>1190</v>
      </c>
      <c r="C65" s="121" t="s">
        <v>2138</v>
      </c>
      <c r="D65" s="121" t="s">
        <v>4718</v>
      </c>
      <c r="E65" s="121" t="s">
        <v>3011</v>
      </c>
      <c r="F65" s="121" t="s">
        <v>3401</v>
      </c>
      <c r="G65" s="144">
        <v>1.5</v>
      </c>
      <c r="H65" s="121" t="s">
        <v>229</v>
      </c>
      <c r="I65" s="121" t="s">
        <v>3025</v>
      </c>
      <c r="J65" s="117"/>
      <c r="K65" s="117"/>
      <c r="L65" s="117"/>
      <c r="M65" s="117"/>
      <c r="N65" s="117"/>
    </row>
    <row r="66" spans="1:14">
      <c r="A66" s="121" t="s">
        <v>1188</v>
      </c>
      <c r="B66" s="121" t="s">
        <v>1191</v>
      </c>
      <c r="C66" s="121" t="s">
        <v>2138</v>
      </c>
      <c r="D66" s="121" t="s">
        <v>4719</v>
      </c>
      <c r="E66" s="121" t="s">
        <v>3012</v>
      </c>
      <c r="F66" s="121" t="s">
        <v>3013</v>
      </c>
      <c r="G66" s="144">
        <v>0.5</v>
      </c>
      <c r="H66" s="121" t="s">
        <v>160</v>
      </c>
      <c r="I66" s="121" t="s">
        <v>3025</v>
      </c>
      <c r="J66" s="117"/>
      <c r="K66" s="117"/>
      <c r="L66" s="117"/>
      <c r="M66" s="117"/>
      <c r="N66" s="117"/>
    </row>
    <row r="67" spans="1:14">
      <c r="A67" s="121" t="s">
        <v>1188</v>
      </c>
      <c r="B67" s="121" t="s">
        <v>1192</v>
      </c>
      <c r="C67" s="121" t="s">
        <v>2148</v>
      </c>
      <c r="D67" s="121" t="s">
        <v>2161</v>
      </c>
      <c r="E67" s="121" t="s">
        <v>3014</v>
      </c>
      <c r="F67" s="121" t="s">
        <v>3402</v>
      </c>
      <c r="G67" s="144">
        <v>10</v>
      </c>
      <c r="H67" s="121" t="s">
        <v>177</v>
      </c>
      <c r="I67" s="121" t="s">
        <v>3015</v>
      </c>
      <c r="J67" s="117"/>
      <c r="K67" s="117"/>
      <c r="L67" s="117"/>
      <c r="M67" s="117"/>
      <c r="N67" s="117"/>
    </row>
    <row r="68" spans="1:14">
      <c r="A68" s="121" t="s">
        <v>1188</v>
      </c>
      <c r="B68" s="121" t="s">
        <v>1193</v>
      </c>
      <c r="C68" s="121" t="s">
        <v>2148</v>
      </c>
      <c r="D68" s="121" t="s">
        <v>2161</v>
      </c>
      <c r="E68" s="121" t="s">
        <v>3016</v>
      </c>
      <c r="F68" s="121" t="s">
        <v>4098</v>
      </c>
      <c r="G68" s="144">
        <v>4</v>
      </c>
      <c r="H68" s="121" t="s">
        <v>3017</v>
      </c>
      <c r="I68" s="121" t="s">
        <v>3018</v>
      </c>
      <c r="J68" s="117"/>
      <c r="K68" s="117"/>
      <c r="L68" s="117"/>
      <c r="M68" s="117"/>
      <c r="N68" s="117"/>
    </row>
    <row r="69" spans="1:14">
      <c r="A69" s="121" t="s">
        <v>1188</v>
      </c>
      <c r="B69" s="121" t="s">
        <v>1492</v>
      </c>
      <c r="C69" s="121" t="s">
        <v>2148</v>
      </c>
      <c r="D69" s="121" t="s">
        <v>2176</v>
      </c>
      <c r="E69" s="121" t="s">
        <v>3019</v>
      </c>
      <c r="F69" s="121" t="s">
        <v>3020</v>
      </c>
      <c r="G69" s="144">
        <v>4</v>
      </c>
      <c r="H69" s="121" t="s">
        <v>4099</v>
      </c>
      <c r="I69" s="121" t="s">
        <v>2365</v>
      </c>
      <c r="J69" s="117"/>
      <c r="K69" s="117"/>
      <c r="L69" s="117"/>
      <c r="M69" s="117"/>
      <c r="N69" s="117"/>
    </row>
    <row r="70" spans="1:14">
      <c r="A70" s="121" t="s">
        <v>1188</v>
      </c>
      <c r="B70" s="121" t="s">
        <v>3021</v>
      </c>
      <c r="C70" s="121" t="s">
        <v>2148</v>
      </c>
      <c r="D70" s="121" t="s">
        <v>2176</v>
      </c>
      <c r="E70" s="121" t="s">
        <v>3022</v>
      </c>
      <c r="F70" s="121" t="s">
        <v>3023</v>
      </c>
      <c r="G70" s="144">
        <v>3</v>
      </c>
      <c r="H70" s="121" t="s">
        <v>3024</v>
      </c>
      <c r="I70" s="121" t="s">
        <v>3025</v>
      </c>
      <c r="J70" s="117"/>
      <c r="K70" s="117"/>
      <c r="L70" s="117"/>
      <c r="M70" s="117"/>
      <c r="N70" s="117"/>
    </row>
    <row r="71" spans="1:14">
      <c r="A71" s="126" t="s">
        <v>1188</v>
      </c>
      <c r="B71" s="126" t="s">
        <v>3030</v>
      </c>
      <c r="C71" s="126" t="s">
        <v>2148</v>
      </c>
      <c r="D71" s="126" t="s">
        <v>2187</v>
      </c>
      <c r="E71" s="121" t="s">
        <v>3026</v>
      </c>
      <c r="F71" s="121" t="s">
        <v>3027</v>
      </c>
      <c r="G71" s="144">
        <v>4</v>
      </c>
      <c r="H71" s="121" t="s">
        <v>3028</v>
      </c>
      <c r="I71" s="121" t="s">
        <v>3029</v>
      </c>
      <c r="J71" s="117"/>
      <c r="K71" s="117"/>
      <c r="L71" s="117"/>
      <c r="M71" s="117"/>
      <c r="N71" s="117"/>
    </row>
    <row r="72" spans="1:14">
      <c r="A72" s="126" t="s">
        <v>1188</v>
      </c>
      <c r="B72" s="126" t="s">
        <v>3008</v>
      </c>
      <c r="C72" s="126" t="s">
        <v>2150</v>
      </c>
      <c r="D72" s="126" t="s">
        <v>3307</v>
      </c>
      <c r="E72" s="121" t="s">
        <v>3031</v>
      </c>
      <c r="F72" s="121" t="s">
        <v>3032</v>
      </c>
      <c r="G72" s="144">
        <v>4</v>
      </c>
      <c r="H72" s="121" t="s">
        <v>4100</v>
      </c>
      <c r="I72" s="121" t="s">
        <v>3033</v>
      </c>
      <c r="J72" s="117"/>
      <c r="K72" s="117"/>
      <c r="L72" s="117"/>
      <c r="M72" s="117"/>
      <c r="N72" s="117"/>
    </row>
    <row r="73" spans="1:14">
      <c r="A73" s="113" t="s">
        <v>1188</v>
      </c>
      <c r="B73" s="113" t="s">
        <v>4101</v>
      </c>
      <c r="C73" s="113" t="s">
        <v>2150</v>
      </c>
      <c r="D73" s="113" t="s">
        <v>4012</v>
      </c>
      <c r="E73" s="113" t="s">
        <v>4102</v>
      </c>
      <c r="F73" s="113" t="s">
        <v>4103</v>
      </c>
      <c r="G73" s="145">
        <v>2</v>
      </c>
      <c r="H73" s="113" t="s">
        <v>4104</v>
      </c>
      <c r="I73" s="113" t="s">
        <v>4105</v>
      </c>
    </row>
    <row r="74" spans="1:14">
      <c r="A74" s="113" t="s">
        <v>1194</v>
      </c>
      <c r="B74" s="113" t="s">
        <v>1195</v>
      </c>
      <c r="C74" s="113" t="s">
        <v>4688</v>
      </c>
      <c r="D74" s="113" t="s">
        <v>3302</v>
      </c>
      <c r="E74" s="113" t="s">
        <v>3034</v>
      </c>
      <c r="F74" s="113" t="s">
        <v>3403</v>
      </c>
      <c r="G74" s="145">
        <v>4</v>
      </c>
      <c r="H74" s="113" t="s">
        <v>3035</v>
      </c>
      <c r="I74" s="113" t="s">
        <v>3036</v>
      </c>
    </row>
    <row r="75" spans="1:14">
      <c r="A75" s="113" t="s">
        <v>1194</v>
      </c>
      <c r="B75" s="113" t="s">
        <v>1196</v>
      </c>
      <c r="C75" s="113" t="s">
        <v>4688</v>
      </c>
      <c r="D75" s="113" t="s">
        <v>4708</v>
      </c>
      <c r="E75" s="113" t="s">
        <v>1876</v>
      </c>
      <c r="F75" s="113" t="s">
        <v>3038</v>
      </c>
      <c r="G75" s="145">
        <v>1.5</v>
      </c>
      <c r="H75" s="113" t="s">
        <v>3039</v>
      </c>
      <c r="I75" s="113" t="s">
        <v>3040</v>
      </c>
    </row>
    <row r="76" spans="1:14">
      <c r="A76" s="113" t="s">
        <v>1194</v>
      </c>
      <c r="B76" s="113" t="s">
        <v>1197</v>
      </c>
      <c r="C76" s="113" t="s">
        <v>2135</v>
      </c>
      <c r="D76" s="113" t="s">
        <v>4717</v>
      </c>
      <c r="E76" s="113" t="s">
        <v>3041</v>
      </c>
      <c r="F76" s="113" t="s">
        <v>3042</v>
      </c>
      <c r="G76" s="145">
        <v>3</v>
      </c>
      <c r="H76" s="113" t="s">
        <v>3043</v>
      </c>
      <c r="I76" s="113" t="s">
        <v>3044</v>
      </c>
    </row>
    <row r="77" spans="1:14">
      <c r="A77" s="113" t="s">
        <v>1194</v>
      </c>
      <c r="B77" s="113" t="s">
        <v>1198</v>
      </c>
      <c r="C77" s="113" t="s">
        <v>2135</v>
      </c>
      <c r="D77" s="113" t="s">
        <v>2210</v>
      </c>
      <c r="E77" s="113" t="s">
        <v>2210</v>
      </c>
      <c r="F77" s="113" t="s">
        <v>3975</v>
      </c>
      <c r="G77" s="145">
        <v>1.5</v>
      </c>
      <c r="H77" s="113" t="s">
        <v>228</v>
      </c>
      <c r="I77" s="113" t="s">
        <v>3976</v>
      </c>
    </row>
    <row r="78" spans="1:14">
      <c r="A78" s="113" t="s">
        <v>1194</v>
      </c>
      <c r="B78" s="113" t="s">
        <v>1900</v>
      </c>
      <c r="C78" s="113" t="s">
        <v>2138</v>
      </c>
      <c r="D78" s="113" t="s">
        <v>4720</v>
      </c>
      <c r="E78" s="113" t="s">
        <v>3045</v>
      </c>
      <c r="F78" s="113" t="s">
        <v>3046</v>
      </c>
      <c r="G78" s="145">
        <v>1</v>
      </c>
      <c r="H78" s="113" t="s">
        <v>203</v>
      </c>
      <c r="I78" s="113" t="s">
        <v>3260</v>
      </c>
    </row>
    <row r="79" spans="1:14">
      <c r="A79" s="113" t="s">
        <v>1194</v>
      </c>
      <c r="B79" s="113" t="s">
        <v>3059</v>
      </c>
      <c r="C79" s="113" t="s">
        <v>2146</v>
      </c>
      <c r="D79" s="113" t="s">
        <v>2208</v>
      </c>
      <c r="E79" s="113" t="s">
        <v>3047</v>
      </c>
      <c r="F79" s="113" t="s">
        <v>3048</v>
      </c>
      <c r="G79" s="145">
        <v>2</v>
      </c>
      <c r="H79" s="113" t="s">
        <v>3049</v>
      </c>
      <c r="I79" s="113" t="s">
        <v>3050</v>
      </c>
    </row>
    <row r="80" spans="1:14">
      <c r="A80" s="113" t="s">
        <v>1194</v>
      </c>
      <c r="B80" s="113" t="s">
        <v>3062</v>
      </c>
      <c r="C80" s="113" t="s">
        <v>2150</v>
      </c>
      <c r="D80" s="113" t="s">
        <v>2203</v>
      </c>
      <c r="E80" s="113" t="s">
        <v>3051</v>
      </c>
      <c r="F80" s="113" t="s">
        <v>3052</v>
      </c>
      <c r="G80" s="145">
        <v>6</v>
      </c>
      <c r="H80" s="113" t="s">
        <v>3053</v>
      </c>
      <c r="I80" s="113" t="s">
        <v>3054</v>
      </c>
    </row>
    <row r="81" spans="1:9">
      <c r="A81" s="113" t="s">
        <v>1194</v>
      </c>
      <c r="B81" s="113" t="s">
        <v>3055</v>
      </c>
      <c r="C81" s="113" t="s">
        <v>2150</v>
      </c>
      <c r="D81" s="113" t="s">
        <v>2179</v>
      </c>
      <c r="E81" s="113" t="s">
        <v>3056</v>
      </c>
      <c r="F81" s="113" t="s">
        <v>3057</v>
      </c>
      <c r="G81" s="145">
        <v>8</v>
      </c>
      <c r="H81" s="113" t="s">
        <v>211</v>
      </c>
      <c r="I81" s="113" t="s">
        <v>3058</v>
      </c>
    </row>
    <row r="82" spans="1:9">
      <c r="A82" s="113" t="s">
        <v>1194</v>
      </c>
      <c r="B82" s="113" t="s">
        <v>3067</v>
      </c>
      <c r="C82" s="113" t="s">
        <v>2150</v>
      </c>
      <c r="D82" s="113" t="s">
        <v>2180</v>
      </c>
      <c r="E82" s="113" t="s">
        <v>2180</v>
      </c>
      <c r="F82" s="113" t="s">
        <v>3060</v>
      </c>
      <c r="G82" s="145">
        <v>3</v>
      </c>
      <c r="H82" s="113" t="s">
        <v>183</v>
      </c>
      <c r="I82" s="113" t="s">
        <v>3061</v>
      </c>
    </row>
    <row r="83" spans="1:9">
      <c r="A83" s="113" t="s">
        <v>1194</v>
      </c>
      <c r="B83" s="113" t="s">
        <v>3037</v>
      </c>
      <c r="C83" s="113" t="s">
        <v>2150</v>
      </c>
      <c r="D83" s="113" t="s">
        <v>3307</v>
      </c>
      <c r="E83" s="113" t="s">
        <v>3063</v>
      </c>
      <c r="F83" s="113" t="s">
        <v>3064</v>
      </c>
      <c r="G83" s="145">
        <v>5</v>
      </c>
      <c r="H83" s="113" t="s">
        <v>3065</v>
      </c>
      <c r="I83" s="113" t="s">
        <v>3066</v>
      </c>
    </row>
    <row r="84" spans="1:9">
      <c r="A84" s="113" t="s">
        <v>1194</v>
      </c>
      <c r="B84" s="113" t="s">
        <v>3888</v>
      </c>
      <c r="C84" s="113" t="s">
        <v>2153</v>
      </c>
      <c r="D84" s="113" t="s">
        <v>2188</v>
      </c>
      <c r="E84" s="113" t="s">
        <v>3068</v>
      </c>
      <c r="F84" s="113" t="s">
        <v>3069</v>
      </c>
      <c r="G84" s="145">
        <v>4</v>
      </c>
      <c r="H84" s="113" t="s">
        <v>3070</v>
      </c>
      <c r="I84" s="113" t="s">
        <v>3071</v>
      </c>
    </row>
    <row r="85" spans="1:9">
      <c r="A85" s="113" t="s">
        <v>1194</v>
      </c>
      <c r="B85" s="113" t="s">
        <v>4106</v>
      </c>
      <c r="C85" s="113" t="s">
        <v>1932</v>
      </c>
      <c r="D85" s="113" t="s">
        <v>4722</v>
      </c>
      <c r="E85" s="113" t="s">
        <v>4107</v>
      </c>
      <c r="F85" s="113" t="s">
        <v>4108</v>
      </c>
      <c r="G85" s="145">
        <v>1.5</v>
      </c>
      <c r="H85" s="113" t="s">
        <v>4109</v>
      </c>
      <c r="I85" s="113" t="s">
        <v>4110</v>
      </c>
    </row>
    <row r="86" spans="1:9">
      <c r="A86" s="113" t="s">
        <v>1199</v>
      </c>
      <c r="B86" s="113" t="s">
        <v>1200</v>
      </c>
      <c r="C86" s="113" t="s">
        <v>4682</v>
      </c>
      <c r="D86" s="113" t="s">
        <v>3294</v>
      </c>
      <c r="E86" s="113" t="s">
        <v>3404</v>
      </c>
      <c r="F86" s="113" t="s">
        <v>3072</v>
      </c>
      <c r="G86" s="145">
        <v>5</v>
      </c>
      <c r="H86" s="113" t="s">
        <v>956</v>
      </c>
      <c r="I86" s="113" t="s">
        <v>3073</v>
      </c>
    </row>
    <row r="87" spans="1:9">
      <c r="A87" s="113" t="s">
        <v>1199</v>
      </c>
      <c r="B87" s="113" t="s">
        <v>1201</v>
      </c>
      <c r="C87" s="113" t="s">
        <v>4688</v>
      </c>
      <c r="D87" s="113" t="s">
        <v>1869</v>
      </c>
      <c r="E87" s="113" t="s">
        <v>3074</v>
      </c>
      <c r="F87" s="113" t="s">
        <v>3075</v>
      </c>
      <c r="G87" s="145">
        <v>5</v>
      </c>
      <c r="H87" s="113" t="s">
        <v>39</v>
      </c>
      <c r="I87" s="113" t="s">
        <v>3405</v>
      </c>
    </row>
    <row r="88" spans="1:9">
      <c r="A88" s="113" t="s">
        <v>1199</v>
      </c>
      <c r="B88" s="113" t="s">
        <v>1202</v>
      </c>
      <c r="C88" s="113" t="s">
        <v>2150</v>
      </c>
      <c r="D88" s="113" t="s">
        <v>2183</v>
      </c>
      <c r="E88" s="113" t="s">
        <v>3076</v>
      </c>
      <c r="F88" s="113" t="s">
        <v>3077</v>
      </c>
      <c r="G88" s="145">
        <v>4</v>
      </c>
      <c r="H88" s="113" t="s">
        <v>3078</v>
      </c>
      <c r="I88" s="113" t="s">
        <v>3079</v>
      </c>
    </row>
    <row r="89" spans="1:9">
      <c r="A89" s="113" t="s">
        <v>1199</v>
      </c>
      <c r="B89" s="113" t="s">
        <v>3080</v>
      </c>
      <c r="C89" s="113" t="s">
        <v>2156</v>
      </c>
      <c r="D89" s="113" t="s">
        <v>2209</v>
      </c>
      <c r="E89" s="113" t="s">
        <v>3081</v>
      </c>
      <c r="F89" s="113" t="s">
        <v>3406</v>
      </c>
      <c r="G89" s="145">
        <v>5</v>
      </c>
      <c r="H89" s="113" t="s">
        <v>956</v>
      </c>
      <c r="I89" s="113" t="s">
        <v>3082</v>
      </c>
    </row>
    <row r="90" spans="1:9">
      <c r="A90" s="113" t="s">
        <v>3083</v>
      </c>
      <c r="B90" s="113" t="s">
        <v>1493</v>
      </c>
      <c r="C90" s="113" t="s">
        <v>2151</v>
      </c>
      <c r="D90" s="113" t="s">
        <v>2173</v>
      </c>
      <c r="E90" s="113" t="s">
        <v>3084</v>
      </c>
      <c r="F90" s="113" t="s">
        <v>3085</v>
      </c>
      <c r="G90" s="145">
        <v>8</v>
      </c>
      <c r="H90" s="113" t="s">
        <v>956</v>
      </c>
      <c r="I90" s="113" t="s">
        <v>3261</v>
      </c>
    </row>
    <row r="91" spans="1:9">
      <c r="A91" s="113" t="s">
        <v>3083</v>
      </c>
      <c r="B91" s="113" t="s">
        <v>1494</v>
      </c>
      <c r="C91" s="113" t="s">
        <v>2151</v>
      </c>
      <c r="D91" s="113" t="s">
        <v>2173</v>
      </c>
      <c r="E91" s="113" t="s">
        <v>3086</v>
      </c>
      <c r="F91" s="113" t="s">
        <v>3087</v>
      </c>
      <c r="G91" s="145">
        <v>6</v>
      </c>
      <c r="H91" s="113" t="s">
        <v>956</v>
      </c>
      <c r="I91" s="113" t="s">
        <v>3262</v>
      </c>
    </row>
    <row r="92" spans="1:9">
      <c r="A92" s="113" t="s">
        <v>3083</v>
      </c>
      <c r="B92" s="113" t="s">
        <v>1495</v>
      </c>
      <c r="C92" s="113" t="s">
        <v>2151</v>
      </c>
      <c r="D92" s="113" t="s">
        <v>2170</v>
      </c>
      <c r="E92" s="113" t="s">
        <v>3088</v>
      </c>
      <c r="F92" s="113" t="s">
        <v>3089</v>
      </c>
      <c r="G92" s="145">
        <v>5</v>
      </c>
      <c r="H92" s="113" t="s">
        <v>250</v>
      </c>
      <c r="I92" s="113" t="s">
        <v>3090</v>
      </c>
    </row>
    <row r="93" spans="1:9">
      <c r="A93" s="113" t="s">
        <v>3083</v>
      </c>
      <c r="B93" s="113" t="s">
        <v>3091</v>
      </c>
      <c r="C93" s="113" t="s">
        <v>2153</v>
      </c>
      <c r="D93" s="113" t="s">
        <v>2186</v>
      </c>
      <c r="E93" s="113" t="s">
        <v>3092</v>
      </c>
      <c r="F93" s="113" t="s">
        <v>3093</v>
      </c>
      <c r="G93" s="145">
        <v>8</v>
      </c>
      <c r="H93" s="113" t="s">
        <v>956</v>
      </c>
      <c r="I93" s="113" t="s">
        <v>3263</v>
      </c>
    </row>
    <row r="94" spans="1:9">
      <c r="A94" s="113" t="s">
        <v>3083</v>
      </c>
      <c r="B94" s="113" t="s">
        <v>3094</v>
      </c>
      <c r="C94" s="113" t="s">
        <v>2155</v>
      </c>
      <c r="D94" s="113" t="s">
        <v>2190</v>
      </c>
      <c r="E94" s="113" t="s">
        <v>3095</v>
      </c>
      <c r="F94" s="113" t="s">
        <v>3096</v>
      </c>
      <c r="G94" s="145">
        <v>6</v>
      </c>
      <c r="H94" s="113" t="s">
        <v>956</v>
      </c>
      <c r="I94" s="113" t="s">
        <v>3264</v>
      </c>
    </row>
    <row r="95" spans="1:9">
      <c r="A95" s="113" t="s">
        <v>3083</v>
      </c>
      <c r="B95" s="113" t="s">
        <v>3097</v>
      </c>
      <c r="C95" s="113" t="s">
        <v>2155</v>
      </c>
      <c r="D95" s="113" t="s">
        <v>2205</v>
      </c>
      <c r="E95" s="113" t="s">
        <v>3098</v>
      </c>
      <c r="F95" s="113" t="s">
        <v>3099</v>
      </c>
      <c r="G95" s="145">
        <v>8</v>
      </c>
      <c r="H95" s="113" t="s">
        <v>956</v>
      </c>
      <c r="I95" s="113" t="s">
        <v>3265</v>
      </c>
    </row>
  </sheetData>
  <autoFilter ref="A1:I95" xr:uid="{513185A0-2764-294B-9250-00ECB5CCB839}"/>
  <phoneticPr fontId="2"/>
  <conditionalFormatting sqref="A2:G56">
    <cfRule type="expression" dxfId="0" priority="1">
      <formula>$G2="外部待ち"</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13B9-34CB-1A49-B668-06631CCEB550}">
  <dimension ref="A1:K30"/>
  <sheetViews>
    <sheetView workbookViewId="0">
      <pane ySplit="1" topLeftCell="A2" activePane="bottomLeft" state="frozen"/>
      <selection pane="bottomLeft" activeCell="H30" sqref="H30"/>
    </sheetView>
  </sheetViews>
  <sheetFormatPr baseColWidth="10" defaultRowHeight="20"/>
  <cols>
    <col min="1" max="1" width="8.5703125" customWidth="1"/>
    <col min="2" max="2" width="10" customWidth="1"/>
    <col min="3" max="3" width="28.5703125" customWidth="1"/>
    <col min="4" max="4" width="45.7109375" customWidth="1"/>
    <col min="5" max="5" width="12.85546875" customWidth="1"/>
    <col min="6" max="6" width="15" customWidth="1"/>
    <col min="7" max="10" width="11.42578125" customWidth="1"/>
    <col min="11" max="11" width="12.85546875" customWidth="1"/>
  </cols>
  <sheetData>
    <row r="1" spans="1:11">
      <c r="A1" s="129" t="s">
        <v>958</v>
      </c>
      <c r="B1" s="129" t="s">
        <v>1397</v>
      </c>
      <c r="C1" s="129" t="s">
        <v>3278</v>
      </c>
      <c r="D1" s="129" t="s">
        <v>957</v>
      </c>
      <c r="E1" s="129" t="s">
        <v>3279</v>
      </c>
      <c r="F1" s="129" t="s">
        <v>3280</v>
      </c>
      <c r="G1" s="129" t="s">
        <v>3281</v>
      </c>
      <c r="H1" s="129" t="s">
        <v>3282</v>
      </c>
      <c r="I1" s="129" t="s">
        <v>3283</v>
      </c>
      <c r="J1" s="129" t="s">
        <v>3284</v>
      </c>
      <c r="K1" s="129" t="s">
        <v>3285</v>
      </c>
    </row>
    <row r="2" spans="1:11">
      <c r="A2" s="100" t="s">
        <v>3148</v>
      </c>
      <c r="B2" s="100" t="s">
        <v>3149</v>
      </c>
      <c r="C2" s="100" t="s">
        <v>3150</v>
      </c>
      <c r="D2" s="100" t="s">
        <v>3151</v>
      </c>
      <c r="E2" s="100" t="s">
        <v>3152</v>
      </c>
      <c r="F2" s="130">
        <v>0.5</v>
      </c>
      <c r="G2" s="131">
        <v>250</v>
      </c>
      <c r="H2" s="132">
        <v>15.6</v>
      </c>
      <c r="I2" s="131">
        <v>250</v>
      </c>
      <c r="J2" s="132">
        <v>15.6</v>
      </c>
      <c r="K2" s="100" t="s">
        <v>2050</v>
      </c>
    </row>
    <row r="3" spans="1:11">
      <c r="A3" s="100" t="s">
        <v>3148</v>
      </c>
      <c r="B3" s="100" t="s">
        <v>3153</v>
      </c>
      <c r="C3" s="100" t="s">
        <v>3154</v>
      </c>
      <c r="D3" s="100" t="s">
        <v>3155</v>
      </c>
      <c r="E3" s="100" t="s">
        <v>3152</v>
      </c>
      <c r="F3" s="130">
        <v>0.25</v>
      </c>
      <c r="G3" s="131">
        <v>250</v>
      </c>
      <c r="H3" s="132">
        <v>7.8</v>
      </c>
      <c r="I3" s="131">
        <v>250</v>
      </c>
      <c r="J3" s="132">
        <v>7.8</v>
      </c>
      <c r="K3" s="100" t="s">
        <v>2050</v>
      </c>
    </row>
    <row r="4" spans="1:11">
      <c r="A4" s="100" t="s">
        <v>3156</v>
      </c>
      <c r="B4" s="100" t="s">
        <v>3157</v>
      </c>
      <c r="C4" s="100" t="s">
        <v>3158</v>
      </c>
      <c r="D4" s="100" t="s">
        <v>3159</v>
      </c>
      <c r="E4" s="100" t="s">
        <v>3160</v>
      </c>
      <c r="F4" s="130">
        <v>1</v>
      </c>
      <c r="G4" s="131">
        <v>50</v>
      </c>
      <c r="H4" s="132">
        <v>6.2</v>
      </c>
      <c r="I4" s="131">
        <v>50</v>
      </c>
      <c r="J4" s="132">
        <v>6.2</v>
      </c>
      <c r="K4" s="100" t="s">
        <v>2050</v>
      </c>
    </row>
    <row r="5" spans="1:11">
      <c r="A5" s="100" t="s">
        <v>3156</v>
      </c>
      <c r="B5" s="100" t="s">
        <v>3161</v>
      </c>
      <c r="C5" s="100" t="s">
        <v>3162</v>
      </c>
      <c r="D5" s="100" t="s">
        <v>3163</v>
      </c>
      <c r="E5" s="100" t="s">
        <v>3160</v>
      </c>
      <c r="F5" s="130">
        <v>1</v>
      </c>
      <c r="G5" s="131">
        <v>50</v>
      </c>
      <c r="H5" s="132">
        <v>6.2</v>
      </c>
      <c r="I5" s="131">
        <v>50</v>
      </c>
      <c r="J5" s="132">
        <v>6.2</v>
      </c>
      <c r="K5" s="100" t="s">
        <v>2050</v>
      </c>
    </row>
    <row r="6" spans="1:11">
      <c r="A6" s="100" t="s">
        <v>3156</v>
      </c>
      <c r="B6" s="100" t="s">
        <v>3164</v>
      </c>
      <c r="C6" s="100" t="s">
        <v>3165</v>
      </c>
      <c r="D6" s="100" t="s">
        <v>3286</v>
      </c>
      <c r="E6" s="100" t="s">
        <v>3160</v>
      </c>
      <c r="F6" s="130">
        <v>1</v>
      </c>
      <c r="G6" s="131">
        <v>50</v>
      </c>
      <c r="H6" s="132">
        <v>6.2</v>
      </c>
      <c r="I6" s="131">
        <v>50</v>
      </c>
      <c r="J6" s="132">
        <v>6.2</v>
      </c>
      <c r="K6" s="100" t="s">
        <v>2050</v>
      </c>
    </row>
    <row r="7" spans="1:11">
      <c r="A7" s="100" t="s">
        <v>3166</v>
      </c>
      <c r="B7" s="100" t="s">
        <v>3167</v>
      </c>
      <c r="C7" s="100" t="s">
        <v>3168</v>
      </c>
      <c r="D7" s="100" t="s">
        <v>3169</v>
      </c>
      <c r="E7" s="100" t="s">
        <v>3170</v>
      </c>
      <c r="F7" s="130">
        <v>4</v>
      </c>
      <c r="G7" s="131">
        <v>12</v>
      </c>
      <c r="H7" s="132">
        <v>6</v>
      </c>
      <c r="I7" s="131">
        <v>12</v>
      </c>
      <c r="J7" s="132">
        <v>6</v>
      </c>
      <c r="K7" s="100" t="s">
        <v>2050</v>
      </c>
    </row>
    <row r="8" spans="1:11">
      <c r="A8" s="100" t="s">
        <v>3166</v>
      </c>
      <c r="B8" s="100" t="s">
        <v>3171</v>
      </c>
      <c r="C8" s="100" t="s">
        <v>3172</v>
      </c>
      <c r="D8" s="100" t="s">
        <v>3287</v>
      </c>
      <c r="E8" s="100" t="s">
        <v>3170</v>
      </c>
      <c r="F8" s="130">
        <v>2</v>
      </c>
      <c r="G8" s="131">
        <v>12</v>
      </c>
      <c r="H8" s="132">
        <v>3</v>
      </c>
      <c r="I8" s="131">
        <v>12</v>
      </c>
      <c r="J8" s="132">
        <v>3</v>
      </c>
      <c r="K8" s="100" t="s">
        <v>2050</v>
      </c>
    </row>
    <row r="9" spans="1:11">
      <c r="A9" s="100" t="s">
        <v>3166</v>
      </c>
      <c r="B9" s="100" t="s">
        <v>3173</v>
      </c>
      <c r="C9" s="100" t="s">
        <v>3174</v>
      </c>
      <c r="D9" s="100" t="s">
        <v>3175</v>
      </c>
      <c r="E9" s="100" t="s">
        <v>3170</v>
      </c>
      <c r="F9" s="130">
        <v>4</v>
      </c>
      <c r="G9" s="131">
        <v>12</v>
      </c>
      <c r="H9" s="132">
        <v>6</v>
      </c>
      <c r="I9" s="131">
        <v>12</v>
      </c>
      <c r="J9" s="132">
        <v>6</v>
      </c>
      <c r="K9" s="100" t="s">
        <v>2050</v>
      </c>
    </row>
    <row r="10" spans="1:11">
      <c r="A10" s="100" t="s">
        <v>3166</v>
      </c>
      <c r="B10" s="100" t="s">
        <v>3176</v>
      </c>
      <c r="C10" s="100" t="s">
        <v>3177</v>
      </c>
      <c r="D10" s="100" t="s">
        <v>3178</v>
      </c>
      <c r="E10" s="100" t="s">
        <v>3170</v>
      </c>
      <c r="F10" s="130">
        <v>2</v>
      </c>
      <c r="G10" s="131">
        <v>12</v>
      </c>
      <c r="H10" s="132">
        <v>3</v>
      </c>
      <c r="I10" s="131">
        <v>12</v>
      </c>
      <c r="J10" s="132">
        <v>3</v>
      </c>
      <c r="K10" s="100" t="s">
        <v>2050</v>
      </c>
    </row>
    <row r="11" spans="1:11">
      <c r="A11" s="100" t="s">
        <v>3166</v>
      </c>
      <c r="B11" s="100" t="s">
        <v>3179</v>
      </c>
      <c r="C11" s="100" t="s">
        <v>3180</v>
      </c>
      <c r="D11" s="100" t="s">
        <v>3181</v>
      </c>
      <c r="E11" s="100" t="s">
        <v>3170</v>
      </c>
      <c r="F11" s="130">
        <v>2</v>
      </c>
      <c r="G11" s="131">
        <v>12</v>
      </c>
      <c r="H11" s="132">
        <v>3</v>
      </c>
      <c r="I11" s="131">
        <v>12</v>
      </c>
      <c r="J11" s="132">
        <v>3</v>
      </c>
      <c r="K11" s="100" t="s">
        <v>2050</v>
      </c>
    </row>
    <row r="12" spans="1:11">
      <c r="A12" s="100" t="s">
        <v>3166</v>
      </c>
      <c r="B12" s="100" t="s">
        <v>3182</v>
      </c>
      <c r="C12" s="100" t="s">
        <v>3183</v>
      </c>
      <c r="D12" s="100" t="s">
        <v>3184</v>
      </c>
      <c r="E12" s="100" t="s">
        <v>3170</v>
      </c>
      <c r="F12" s="130">
        <v>2</v>
      </c>
      <c r="G12" s="131">
        <v>12</v>
      </c>
      <c r="H12" s="132">
        <v>3</v>
      </c>
      <c r="I12" s="131">
        <v>12</v>
      </c>
      <c r="J12" s="132">
        <v>3</v>
      </c>
      <c r="K12" s="100" t="s">
        <v>2050</v>
      </c>
    </row>
    <row r="13" spans="1:11">
      <c r="A13" s="100" t="s">
        <v>3185</v>
      </c>
      <c r="B13" s="100" t="s">
        <v>3186</v>
      </c>
      <c r="C13" s="100" t="s">
        <v>3187</v>
      </c>
      <c r="D13" s="100" t="s">
        <v>3188</v>
      </c>
      <c r="E13" s="100" t="s">
        <v>3189</v>
      </c>
      <c r="F13" s="130">
        <v>8</v>
      </c>
      <c r="G13" s="131">
        <v>4</v>
      </c>
      <c r="H13" s="132">
        <v>4</v>
      </c>
      <c r="I13" s="131">
        <v>4</v>
      </c>
      <c r="J13" s="132">
        <v>4</v>
      </c>
      <c r="K13" s="100" t="s">
        <v>2050</v>
      </c>
    </row>
    <row r="14" spans="1:11">
      <c r="A14" s="100" t="s">
        <v>3185</v>
      </c>
      <c r="B14" s="100" t="s">
        <v>3190</v>
      </c>
      <c r="C14" s="100" t="s">
        <v>3191</v>
      </c>
      <c r="D14" s="100" t="s">
        <v>3192</v>
      </c>
      <c r="E14" s="100" t="s">
        <v>3189</v>
      </c>
      <c r="F14" s="130">
        <v>4</v>
      </c>
      <c r="G14" s="131">
        <v>4</v>
      </c>
      <c r="H14" s="132">
        <v>2</v>
      </c>
      <c r="I14" s="131">
        <v>4</v>
      </c>
      <c r="J14" s="132">
        <v>2</v>
      </c>
      <c r="K14" s="100" t="s">
        <v>2050</v>
      </c>
    </row>
    <row r="15" spans="1:11">
      <c r="A15" s="100" t="s">
        <v>3185</v>
      </c>
      <c r="B15" s="100" t="s">
        <v>3193</v>
      </c>
      <c r="C15" s="100" t="s">
        <v>3194</v>
      </c>
      <c r="D15" s="100" t="s">
        <v>3195</v>
      </c>
      <c r="E15" s="100" t="s">
        <v>3189</v>
      </c>
      <c r="F15" s="130">
        <v>4</v>
      </c>
      <c r="G15" s="131">
        <v>4</v>
      </c>
      <c r="H15" s="132">
        <v>2</v>
      </c>
      <c r="I15" s="131">
        <v>4</v>
      </c>
      <c r="J15" s="132">
        <v>2</v>
      </c>
      <c r="K15" s="100" t="s">
        <v>2050</v>
      </c>
    </row>
    <row r="16" spans="1:11">
      <c r="A16" s="100" t="s">
        <v>3196</v>
      </c>
      <c r="B16" s="100" t="s">
        <v>3197</v>
      </c>
      <c r="C16" s="100" t="s">
        <v>3198</v>
      </c>
      <c r="D16" s="100" t="s">
        <v>3199</v>
      </c>
      <c r="E16" s="100" t="s">
        <v>3200</v>
      </c>
      <c r="F16" s="130">
        <v>8</v>
      </c>
      <c r="G16" s="131">
        <v>1</v>
      </c>
      <c r="H16" s="132">
        <v>1</v>
      </c>
      <c r="I16" s="131">
        <v>1</v>
      </c>
      <c r="J16" s="132">
        <v>1</v>
      </c>
      <c r="K16" s="100" t="s">
        <v>2050</v>
      </c>
    </row>
    <row r="17" spans="1:11">
      <c r="A17" s="100" t="s">
        <v>3196</v>
      </c>
      <c r="B17" s="100" t="s">
        <v>3201</v>
      </c>
      <c r="C17" s="100" t="s">
        <v>3202</v>
      </c>
      <c r="D17" s="100" t="s">
        <v>3203</v>
      </c>
      <c r="E17" s="100" t="s">
        <v>3200</v>
      </c>
      <c r="F17" s="130">
        <v>8</v>
      </c>
      <c r="G17" s="131">
        <v>1</v>
      </c>
      <c r="H17" s="132">
        <v>1</v>
      </c>
      <c r="I17" s="131">
        <v>1</v>
      </c>
      <c r="J17" s="132">
        <v>1</v>
      </c>
      <c r="K17" s="100" t="s">
        <v>2050</v>
      </c>
    </row>
    <row r="18" spans="1:11">
      <c r="A18" s="100" t="s">
        <v>3196</v>
      </c>
      <c r="B18" s="100" t="s">
        <v>3204</v>
      </c>
      <c r="C18" s="100" t="s">
        <v>3288</v>
      </c>
      <c r="D18" s="100" t="s">
        <v>3205</v>
      </c>
      <c r="E18" s="100" t="s">
        <v>3206</v>
      </c>
      <c r="F18" s="130">
        <v>40</v>
      </c>
      <c r="G18" s="131">
        <v>2</v>
      </c>
      <c r="H18" s="132">
        <v>10</v>
      </c>
      <c r="I18" s="131">
        <v>2</v>
      </c>
      <c r="J18" s="132">
        <v>10</v>
      </c>
      <c r="K18" s="100" t="s">
        <v>2050</v>
      </c>
    </row>
    <row r="19" spans="1:11">
      <c r="A19" s="100" t="s">
        <v>3196</v>
      </c>
      <c r="B19" s="100" t="s">
        <v>3207</v>
      </c>
      <c r="C19" s="100" t="s">
        <v>3208</v>
      </c>
      <c r="D19" s="100" t="s">
        <v>3209</v>
      </c>
      <c r="E19" s="100" t="s">
        <v>3200</v>
      </c>
      <c r="F19" s="130">
        <v>40</v>
      </c>
      <c r="G19" s="131">
        <v>1</v>
      </c>
      <c r="H19" s="132">
        <v>5</v>
      </c>
      <c r="I19" s="131">
        <v>1</v>
      </c>
      <c r="J19" s="132">
        <v>5</v>
      </c>
      <c r="K19" s="100" t="s">
        <v>2050</v>
      </c>
    </row>
    <row r="20" spans="1:11">
      <c r="A20" s="100" t="s">
        <v>3196</v>
      </c>
      <c r="B20" s="100" t="s">
        <v>3210</v>
      </c>
      <c r="C20" s="100" t="s">
        <v>3211</v>
      </c>
      <c r="D20" s="100" t="s">
        <v>3212</v>
      </c>
      <c r="E20" s="100" t="s">
        <v>3200</v>
      </c>
      <c r="F20" s="130">
        <v>24</v>
      </c>
      <c r="G20" s="131">
        <v>1</v>
      </c>
      <c r="H20" s="132">
        <v>3</v>
      </c>
      <c r="I20" s="131">
        <v>1</v>
      </c>
      <c r="J20" s="132">
        <v>3</v>
      </c>
      <c r="K20" s="100" t="s">
        <v>2050</v>
      </c>
    </row>
    <row r="21" spans="1:11">
      <c r="A21" s="100" t="s">
        <v>3196</v>
      </c>
      <c r="B21" s="100" t="s">
        <v>3213</v>
      </c>
      <c r="C21" s="100" t="s">
        <v>3214</v>
      </c>
      <c r="D21" s="100" t="s">
        <v>3215</v>
      </c>
      <c r="E21" s="100" t="s">
        <v>3206</v>
      </c>
      <c r="F21" s="130">
        <v>8</v>
      </c>
      <c r="G21" s="131">
        <v>2</v>
      </c>
      <c r="H21" s="132">
        <v>2</v>
      </c>
      <c r="I21" s="131">
        <v>2</v>
      </c>
      <c r="J21" s="132">
        <v>2</v>
      </c>
      <c r="K21" s="100" t="s">
        <v>2050</v>
      </c>
    </row>
    <row r="22" spans="1:11">
      <c r="A22" s="100" t="s">
        <v>3196</v>
      </c>
      <c r="B22" s="100" t="s">
        <v>3216</v>
      </c>
      <c r="C22" s="100" t="s">
        <v>3217</v>
      </c>
      <c r="D22" s="100" t="s">
        <v>3218</v>
      </c>
      <c r="E22" s="100" t="s">
        <v>3200</v>
      </c>
      <c r="F22" s="130">
        <v>16</v>
      </c>
      <c r="G22" s="131">
        <v>1</v>
      </c>
      <c r="H22" s="132">
        <v>2</v>
      </c>
      <c r="I22" s="131">
        <v>1</v>
      </c>
      <c r="J22" s="132">
        <v>2</v>
      </c>
      <c r="K22" s="100" t="s">
        <v>2050</v>
      </c>
    </row>
    <row r="23" spans="1:11">
      <c r="A23" s="100" t="s">
        <v>3219</v>
      </c>
      <c r="B23" s="100" t="s">
        <v>3220</v>
      </c>
      <c r="C23" s="100" t="s">
        <v>3289</v>
      </c>
      <c r="D23" s="100" t="s">
        <v>3290</v>
      </c>
      <c r="E23" s="100" t="s">
        <v>3221</v>
      </c>
      <c r="F23" s="130">
        <v>8</v>
      </c>
      <c r="G23" s="131">
        <v>50</v>
      </c>
      <c r="H23" s="132">
        <v>50</v>
      </c>
      <c r="I23" s="131">
        <v>30</v>
      </c>
      <c r="J23" s="132">
        <v>30</v>
      </c>
      <c r="K23" s="100" t="s">
        <v>2050</v>
      </c>
    </row>
    <row r="24" spans="1:11">
      <c r="A24" s="100" t="s">
        <v>3219</v>
      </c>
      <c r="B24" s="100" t="s">
        <v>3222</v>
      </c>
      <c r="C24" s="100" t="s">
        <v>2178</v>
      </c>
      <c r="D24" s="100" t="s">
        <v>3223</v>
      </c>
      <c r="E24" s="100" t="s">
        <v>3221</v>
      </c>
      <c r="F24" s="130">
        <v>4</v>
      </c>
      <c r="G24" s="131">
        <v>2</v>
      </c>
      <c r="H24" s="132">
        <v>1</v>
      </c>
      <c r="I24" s="131">
        <v>5</v>
      </c>
      <c r="J24" s="132">
        <v>2.5</v>
      </c>
      <c r="K24" s="100" t="s">
        <v>2050</v>
      </c>
    </row>
    <row r="25" spans="1:11">
      <c r="A25" s="100" t="s">
        <v>3219</v>
      </c>
      <c r="B25" s="100" t="s">
        <v>3224</v>
      </c>
      <c r="C25" s="100" t="s">
        <v>3225</v>
      </c>
      <c r="D25" s="100" t="s">
        <v>3226</v>
      </c>
      <c r="E25" s="100" t="s">
        <v>3221</v>
      </c>
      <c r="F25" s="130">
        <v>4</v>
      </c>
      <c r="G25" s="131">
        <v>20</v>
      </c>
      <c r="H25" s="132">
        <v>10</v>
      </c>
      <c r="I25" s="131">
        <v>10</v>
      </c>
      <c r="J25" s="132">
        <v>5</v>
      </c>
      <c r="K25" s="100" t="s">
        <v>2050</v>
      </c>
    </row>
    <row r="26" spans="1:11">
      <c r="A26" s="100" t="s">
        <v>3219</v>
      </c>
      <c r="B26" s="100" t="s">
        <v>3227</v>
      </c>
      <c r="C26" s="100" t="s">
        <v>3228</v>
      </c>
      <c r="D26" s="100" t="s">
        <v>3229</v>
      </c>
      <c r="E26" s="100" t="s">
        <v>3221</v>
      </c>
      <c r="F26" s="130">
        <v>2</v>
      </c>
      <c r="G26" s="131">
        <v>10</v>
      </c>
      <c r="H26" s="132">
        <v>2.5</v>
      </c>
      <c r="I26" s="131">
        <v>17</v>
      </c>
      <c r="J26" s="132">
        <v>4.2</v>
      </c>
      <c r="K26" s="100" t="s">
        <v>2050</v>
      </c>
    </row>
    <row r="27" spans="1:11">
      <c r="A27" s="100" t="s">
        <v>3219</v>
      </c>
      <c r="B27" s="100" t="s">
        <v>3230</v>
      </c>
      <c r="C27" s="100" t="s">
        <v>3231</v>
      </c>
      <c r="D27" s="100" t="s">
        <v>3232</v>
      </c>
      <c r="E27" s="100" t="s">
        <v>3233</v>
      </c>
      <c r="F27" s="130">
        <v>1</v>
      </c>
      <c r="G27" s="131">
        <v>240</v>
      </c>
      <c r="H27" s="132">
        <v>30</v>
      </c>
      <c r="I27" s="131">
        <v>240</v>
      </c>
      <c r="J27" s="132">
        <v>30</v>
      </c>
      <c r="K27" s="100" t="s">
        <v>2050</v>
      </c>
    </row>
    <row r="28" spans="1:11">
      <c r="A28" s="100" t="s">
        <v>3219</v>
      </c>
      <c r="B28" s="100" t="s">
        <v>3234</v>
      </c>
      <c r="C28" s="100" t="s">
        <v>3235</v>
      </c>
      <c r="D28" s="100" t="s">
        <v>3236</v>
      </c>
      <c r="E28" s="100" t="s">
        <v>3237</v>
      </c>
      <c r="F28" s="130">
        <v>8</v>
      </c>
      <c r="G28" s="131">
        <v>4</v>
      </c>
      <c r="H28" s="132">
        <v>4</v>
      </c>
      <c r="I28" s="131">
        <v>4</v>
      </c>
      <c r="J28" s="132">
        <v>4</v>
      </c>
      <c r="K28" s="100" t="s">
        <v>2050</v>
      </c>
    </row>
    <row r="29" spans="1:11">
      <c r="A29" s="100" t="s">
        <v>3219</v>
      </c>
      <c r="B29" s="100" t="s">
        <v>3238</v>
      </c>
      <c r="C29" s="100" t="s">
        <v>3239</v>
      </c>
      <c r="D29" s="100" t="s">
        <v>3240</v>
      </c>
      <c r="E29" s="100" t="s">
        <v>3241</v>
      </c>
      <c r="F29" s="130">
        <v>2</v>
      </c>
      <c r="G29" s="131">
        <v>48</v>
      </c>
      <c r="H29" s="132">
        <v>12</v>
      </c>
      <c r="I29" s="131">
        <v>48</v>
      </c>
      <c r="J29" s="132">
        <v>12</v>
      </c>
      <c r="K29" s="100" t="s">
        <v>2050</v>
      </c>
    </row>
    <row r="30" spans="1:11">
      <c r="A30" s="100"/>
      <c r="B30" s="100"/>
      <c r="C30" s="133" t="s">
        <v>4</v>
      </c>
      <c r="D30" s="133"/>
      <c r="E30" s="133"/>
      <c r="F30" s="133"/>
      <c r="G30" s="133"/>
      <c r="H30" s="134">
        <f>SUM(H2:H29)</f>
        <v>207.5</v>
      </c>
      <c r="I30" s="133"/>
      <c r="J30" s="134">
        <f>SUM(J2:J29)</f>
        <v>185.7</v>
      </c>
      <c r="K30" s="100"/>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481B8-385A-E74C-AA63-82C9D712D0BD}">
  <dimension ref="A1:V143"/>
  <sheetViews>
    <sheetView zoomScaleNormal="114" workbookViewId="0">
      <pane ySplit="1" topLeftCell="A2" activePane="bottomLeft" state="frozen"/>
      <selection pane="bottomLeft" activeCell="E18" sqref="E18"/>
    </sheetView>
  </sheetViews>
  <sheetFormatPr baseColWidth="10" defaultRowHeight="20"/>
  <cols>
    <col min="1" max="2" width="28.5703125" customWidth="1"/>
    <col min="3" max="3" width="34.28515625" customWidth="1"/>
    <col min="4" max="4" width="12.140625" customWidth="1"/>
    <col min="5" max="5" width="60" customWidth="1"/>
    <col min="6" max="7" width="6.42578125" customWidth="1"/>
    <col min="8" max="10" width="8.5703125" customWidth="1"/>
  </cols>
  <sheetData>
    <row r="1" spans="1:22">
      <c r="A1" s="111" t="s">
        <v>1396</v>
      </c>
      <c r="B1" s="111" t="s">
        <v>1926</v>
      </c>
      <c r="C1" s="111" t="s">
        <v>1847</v>
      </c>
      <c r="D1" s="111" t="s">
        <v>1708</v>
      </c>
      <c r="E1" s="111" t="s">
        <v>1881</v>
      </c>
      <c r="F1" s="111" t="s">
        <v>3308</v>
      </c>
      <c r="G1" s="111" t="s">
        <v>2122</v>
      </c>
      <c r="H1" s="111" t="s">
        <v>3266</v>
      </c>
      <c r="I1" s="111" t="s">
        <v>1398</v>
      </c>
      <c r="J1" s="111" t="s">
        <v>3309</v>
      </c>
    </row>
    <row r="2" spans="1:22">
      <c r="A2" s="127" t="s">
        <v>2034</v>
      </c>
      <c r="B2" s="127" t="s">
        <v>4682</v>
      </c>
      <c r="C2" s="127" t="s">
        <v>3294</v>
      </c>
      <c r="D2" s="127" t="s">
        <v>1628</v>
      </c>
      <c r="E2" s="127" t="s">
        <v>3310</v>
      </c>
      <c r="F2" s="136" t="s">
        <v>1454</v>
      </c>
      <c r="G2" s="136" t="s">
        <v>1393</v>
      </c>
      <c r="H2" s="128">
        <v>2</v>
      </c>
      <c r="I2" s="128">
        <v>3</v>
      </c>
      <c r="J2" s="128">
        <v>3</v>
      </c>
    </row>
    <row r="3" spans="1:22">
      <c r="A3" s="127" t="s">
        <v>2034</v>
      </c>
      <c r="B3" s="127" t="s">
        <v>4682</v>
      </c>
      <c r="C3" s="127" t="s">
        <v>1850</v>
      </c>
      <c r="D3" s="127" t="s">
        <v>1629</v>
      </c>
      <c r="E3" s="127" t="s">
        <v>3311</v>
      </c>
      <c r="F3" s="136" t="s">
        <v>1454</v>
      </c>
      <c r="G3" s="136" t="s">
        <v>1393</v>
      </c>
      <c r="H3" s="128">
        <v>1</v>
      </c>
      <c r="I3" s="128">
        <v>0.5</v>
      </c>
      <c r="J3" s="128">
        <v>0.5</v>
      </c>
    </row>
    <row r="4" spans="1:22" s="112" customFormat="1">
      <c r="A4" s="127" t="s">
        <v>2034</v>
      </c>
      <c r="B4" s="127" t="s">
        <v>4682</v>
      </c>
      <c r="C4" s="127" t="s">
        <v>3295</v>
      </c>
      <c r="D4" s="127" t="s">
        <v>1630</v>
      </c>
      <c r="E4" s="127" t="s">
        <v>3312</v>
      </c>
      <c r="F4" s="136" t="s">
        <v>1454</v>
      </c>
      <c r="G4" s="136" t="s">
        <v>1393</v>
      </c>
      <c r="H4" s="128">
        <v>1</v>
      </c>
      <c r="I4" s="128">
        <v>0.5</v>
      </c>
      <c r="J4" s="128">
        <v>0.5</v>
      </c>
      <c r="K4"/>
      <c r="L4"/>
      <c r="M4"/>
      <c r="N4"/>
      <c r="O4"/>
      <c r="P4"/>
      <c r="Q4"/>
      <c r="R4"/>
      <c r="S4"/>
      <c r="T4"/>
      <c r="U4"/>
      <c r="V4"/>
    </row>
    <row r="5" spans="1:22">
      <c r="A5" s="127" t="s">
        <v>2034</v>
      </c>
      <c r="B5" s="127" t="s">
        <v>4683</v>
      </c>
      <c r="C5" s="127" t="s">
        <v>3296</v>
      </c>
      <c r="D5" s="127" t="s">
        <v>1631</v>
      </c>
      <c r="E5" s="127" t="s">
        <v>2262</v>
      </c>
      <c r="F5" s="136" t="s">
        <v>1454</v>
      </c>
      <c r="G5" s="136" t="s">
        <v>1393</v>
      </c>
      <c r="H5" s="128">
        <v>9</v>
      </c>
      <c r="I5" s="128">
        <v>15.5</v>
      </c>
      <c r="J5" s="128">
        <v>13.5</v>
      </c>
    </row>
    <row r="6" spans="1:22">
      <c r="A6" s="127" t="s">
        <v>2034</v>
      </c>
      <c r="B6" s="127" t="s">
        <v>4683</v>
      </c>
      <c r="C6" s="127" t="s">
        <v>3297</v>
      </c>
      <c r="D6" s="127" t="s">
        <v>1633</v>
      </c>
      <c r="E6" s="127" t="s">
        <v>2263</v>
      </c>
      <c r="F6" s="136" t="s">
        <v>1454</v>
      </c>
      <c r="G6" s="136" t="s">
        <v>1393</v>
      </c>
      <c r="H6" s="128">
        <v>3</v>
      </c>
      <c r="I6" s="128">
        <v>6.5</v>
      </c>
      <c r="J6" s="128">
        <v>4.5</v>
      </c>
    </row>
    <row r="7" spans="1:22">
      <c r="A7" s="127" t="s">
        <v>2034</v>
      </c>
      <c r="B7" s="127" t="s">
        <v>4683</v>
      </c>
      <c r="C7" s="127" t="s">
        <v>2193</v>
      </c>
      <c r="D7" s="127" t="s">
        <v>1649</v>
      </c>
      <c r="E7" s="127" t="s">
        <v>4000</v>
      </c>
      <c r="F7" s="136" t="s">
        <v>1454</v>
      </c>
      <c r="G7" s="136" t="s">
        <v>1393</v>
      </c>
      <c r="H7" s="128">
        <v>1</v>
      </c>
      <c r="I7" s="128">
        <v>1</v>
      </c>
      <c r="J7" s="128">
        <v>1</v>
      </c>
    </row>
    <row r="8" spans="1:22">
      <c r="A8" s="127" t="s">
        <v>2034</v>
      </c>
      <c r="B8" s="127" t="s">
        <v>4683</v>
      </c>
      <c r="C8" s="127" t="s">
        <v>1857</v>
      </c>
      <c r="D8" s="127" t="s">
        <v>1650</v>
      </c>
      <c r="E8" s="127" t="s">
        <v>2264</v>
      </c>
      <c r="F8" s="136" t="s">
        <v>1454</v>
      </c>
      <c r="G8" s="136" t="s">
        <v>1393</v>
      </c>
      <c r="H8" s="128">
        <v>1</v>
      </c>
      <c r="I8" s="128">
        <v>0.5</v>
      </c>
      <c r="J8" s="128">
        <v>0.5</v>
      </c>
    </row>
    <row r="9" spans="1:22">
      <c r="A9" s="127" t="s">
        <v>2034</v>
      </c>
      <c r="B9" s="127" t="s">
        <v>4683</v>
      </c>
      <c r="C9" s="127" t="s">
        <v>2195</v>
      </c>
      <c r="D9" s="127" t="s">
        <v>1658</v>
      </c>
      <c r="E9" s="127" t="s">
        <v>2265</v>
      </c>
      <c r="F9" s="136" t="s">
        <v>1393</v>
      </c>
      <c r="G9" s="136" t="s">
        <v>1454</v>
      </c>
      <c r="H9" s="128">
        <v>0</v>
      </c>
      <c r="I9" s="128">
        <v>0</v>
      </c>
      <c r="J9" s="128">
        <v>0</v>
      </c>
    </row>
    <row r="10" spans="1:22">
      <c r="A10" s="127" t="s">
        <v>2034</v>
      </c>
      <c r="B10" s="127" t="s">
        <v>4683</v>
      </c>
      <c r="C10" s="127" t="s">
        <v>2196</v>
      </c>
      <c r="D10" s="127" t="s">
        <v>1659</v>
      </c>
      <c r="E10" s="127" t="s">
        <v>4691</v>
      </c>
      <c r="F10" s="136" t="s">
        <v>1393</v>
      </c>
      <c r="G10" s="136" t="s">
        <v>1454</v>
      </c>
      <c r="H10" s="128">
        <v>0</v>
      </c>
      <c r="I10" s="128">
        <v>0</v>
      </c>
      <c r="J10" s="128">
        <v>0</v>
      </c>
    </row>
    <row r="11" spans="1:22">
      <c r="A11" s="127" t="s">
        <v>2034</v>
      </c>
      <c r="B11" s="127" t="s">
        <v>4683</v>
      </c>
      <c r="C11" s="127" t="s">
        <v>3313</v>
      </c>
      <c r="D11" s="127" t="s">
        <v>1635</v>
      </c>
      <c r="E11" s="127" t="s">
        <v>4001</v>
      </c>
      <c r="F11" s="136" t="s">
        <v>1454</v>
      </c>
      <c r="G11" s="136" t="s">
        <v>2123</v>
      </c>
      <c r="H11" s="128">
        <v>3</v>
      </c>
      <c r="I11" s="128">
        <v>4.5</v>
      </c>
      <c r="J11" s="128">
        <v>4.5</v>
      </c>
    </row>
    <row r="12" spans="1:22">
      <c r="A12" s="127" t="s">
        <v>2034</v>
      </c>
      <c r="B12" s="127" t="s">
        <v>4684</v>
      </c>
      <c r="C12" s="127" t="s">
        <v>2171</v>
      </c>
      <c r="D12" s="127" t="s">
        <v>1626</v>
      </c>
      <c r="E12" s="127" t="s">
        <v>4002</v>
      </c>
      <c r="F12" s="136" t="s">
        <v>1454</v>
      </c>
      <c r="G12" s="136" t="s">
        <v>2123</v>
      </c>
      <c r="H12" s="128">
        <v>2</v>
      </c>
      <c r="I12" s="128">
        <v>2.5</v>
      </c>
      <c r="J12" s="128">
        <v>0.5</v>
      </c>
    </row>
    <row r="13" spans="1:22">
      <c r="A13" s="127" t="s">
        <v>2034</v>
      </c>
      <c r="B13" s="127" t="s">
        <v>4684</v>
      </c>
      <c r="C13" s="127" t="s">
        <v>4003</v>
      </c>
      <c r="D13" s="127" t="s">
        <v>4004</v>
      </c>
      <c r="E13" s="127" t="s">
        <v>4692</v>
      </c>
      <c r="F13" s="136" t="s">
        <v>1454</v>
      </c>
      <c r="G13" s="136" t="s">
        <v>2123</v>
      </c>
      <c r="H13" s="128">
        <v>2</v>
      </c>
      <c r="I13" s="128">
        <v>3</v>
      </c>
      <c r="J13" s="128">
        <v>3</v>
      </c>
    </row>
    <row r="14" spans="1:22">
      <c r="A14" s="127" t="s">
        <v>2034</v>
      </c>
      <c r="B14" s="127" t="s">
        <v>1927</v>
      </c>
      <c r="C14" s="127" t="s">
        <v>4693</v>
      </c>
      <c r="D14" s="127" t="s">
        <v>1636</v>
      </c>
      <c r="E14" s="127" t="s">
        <v>4694</v>
      </c>
      <c r="F14" s="136" t="s">
        <v>1454</v>
      </c>
      <c r="G14" s="136" t="s">
        <v>1393</v>
      </c>
      <c r="H14" s="128">
        <v>1</v>
      </c>
      <c r="I14" s="128">
        <v>0.5</v>
      </c>
      <c r="J14" s="128">
        <v>0</v>
      </c>
    </row>
    <row r="15" spans="1:22">
      <c r="A15" s="127" t="s">
        <v>2034</v>
      </c>
      <c r="B15" s="127" t="s">
        <v>1927</v>
      </c>
      <c r="C15" s="127" t="s">
        <v>4574</v>
      </c>
      <c r="D15" s="127" t="s">
        <v>1638</v>
      </c>
      <c r="E15" s="127" t="s">
        <v>4695</v>
      </c>
      <c r="F15" s="136" t="s">
        <v>1454</v>
      </c>
      <c r="G15" s="136" t="s">
        <v>1393</v>
      </c>
      <c r="H15" s="128">
        <v>1</v>
      </c>
      <c r="I15" s="128">
        <v>0.5</v>
      </c>
      <c r="J15" s="128">
        <v>0</v>
      </c>
    </row>
    <row r="16" spans="1:22">
      <c r="A16" s="127" t="s">
        <v>2034</v>
      </c>
      <c r="B16" s="127" t="s">
        <v>1927</v>
      </c>
      <c r="C16" s="127" t="s">
        <v>2194</v>
      </c>
      <c r="D16" s="127" t="s">
        <v>1640</v>
      </c>
      <c r="E16" s="127" t="s">
        <v>2266</v>
      </c>
      <c r="F16" s="136" t="s">
        <v>1454</v>
      </c>
      <c r="G16" s="136" t="s">
        <v>1393</v>
      </c>
      <c r="H16" s="128">
        <v>0</v>
      </c>
      <c r="I16" s="128">
        <v>0</v>
      </c>
      <c r="J16" s="128">
        <v>0</v>
      </c>
    </row>
    <row r="17" spans="1:10">
      <c r="A17" s="127" t="s">
        <v>2034</v>
      </c>
      <c r="B17" s="127" t="s">
        <v>1927</v>
      </c>
      <c r="C17" s="127" t="s">
        <v>1865</v>
      </c>
      <c r="D17" s="127" t="s">
        <v>1667</v>
      </c>
      <c r="E17" s="127" t="s">
        <v>3314</v>
      </c>
      <c r="F17" s="136" t="s">
        <v>2123</v>
      </c>
      <c r="G17" s="136" t="s">
        <v>2123</v>
      </c>
      <c r="H17" s="128">
        <v>0</v>
      </c>
      <c r="I17" s="128">
        <v>0</v>
      </c>
      <c r="J17" s="128">
        <v>0</v>
      </c>
    </row>
    <row r="18" spans="1:10" ht="40" customHeight="1">
      <c r="A18" s="127" t="s">
        <v>2034</v>
      </c>
      <c r="B18" s="127" t="s">
        <v>1927</v>
      </c>
      <c r="C18" s="127" t="s">
        <v>1849</v>
      </c>
      <c r="D18" s="127" t="s">
        <v>1643</v>
      </c>
      <c r="E18" s="127" t="s">
        <v>2267</v>
      </c>
      <c r="F18" s="136" t="s">
        <v>1454</v>
      </c>
      <c r="G18" s="136" t="s">
        <v>1393</v>
      </c>
      <c r="H18" s="128">
        <v>0</v>
      </c>
      <c r="I18" s="128">
        <v>0</v>
      </c>
      <c r="J18" s="128">
        <v>0</v>
      </c>
    </row>
    <row r="19" spans="1:10">
      <c r="A19" s="127" t="s">
        <v>2034</v>
      </c>
      <c r="B19" s="127" t="s">
        <v>4685</v>
      </c>
      <c r="C19" s="127" t="s">
        <v>1854</v>
      </c>
      <c r="D19" s="127" t="s">
        <v>1644</v>
      </c>
      <c r="E19" s="127" t="s">
        <v>3315</v>
      </c>
      <c r="F19" s="136" t="s">
        <v>1454</v>
      </c>
      <c r="G19" s="136" t="s">
        <v>1393</v>
      </c>
      <c r="H19" s="128">
        <v>0</v>
      </c>
      <c r="I19" s="128">
        <v>0</v>
      </c>
      <c r="J19" s="128">
        <v>0</v>
      </c>
    </row>
    <row r="20" spans="1:10" ht="66" customHeight="1">
      <c r="A20" s="127" t="s">
        <v>2034</v>
      </c>
      <c r="B20" s="127" t="s">
        <v>4685</v>
      </c>
      <c r="C20" s="127" t="s">
        <v>1855</v>
      </c>
      <c r="D20" s="127" t="s">
        <v>1645</v>
      </c>
      <c r="E20" s="127" t="s">
        <v>1771</v>
      </c>
      <c r="F20" s="136" t="s">
        <v>1454</v>
      </c>
      <c r="G20" s="136" t="s">
        <v>1393</v>
      </c>
      <c r="H20" s="128">
        <v>0</v>
      </c>
      <c r="I20" s="128">
        <v>0</v>
      </c>
      <c r="J20" s="128">
        <v>0</v>
      </c>
    </row>
    <row r="21" spans="1:10">
      <c r="A21" s="127" t="s">
        <v>2034</v>
      </c>
      <c r="B21" s="127" t="s">
        <v>4685</v>
      </c>
      <c r="C21" s="127" t="s">
        <v>1864</v>
      </c>
      <c r="D21" s="127" t="s">
        <v>1665</v>
      </c>
      <c r="E21" s="127" t="s">
        <v>3316</v>
      </c>
      <c r="F21" s="136" t="s">
        <v>2123</v>
      </c>
      <c r="G21" s="136" t="s">
        <v>2123</v>
      </c>
      <c r="H21" s="128">
        <v>0</v>
      </c>
      <c r="I21" s="128">
        <v>0</v>
      </c>
      <c r="J21" s="128">
        <v>0</v>
      </c>
    </row>
    <row r="22" spans="1:10">
      <c r="A22" s="127" t="s">
        <v>2034</v>
      </c>
      <c r="B22" s="127" t="s">
        <v>4685</v>
      </c>
      <c r="C22" s="127" t="s">
        <v>1852</v>
      </c>
      <c r="D22" s="127" t="s">
        <v>1641</v>
      </c>
      <c r="E22" s="127" t="s">
        <v>2268</v>
      </c>
      <c r="F22" s="136" t="s">
        <v>1454</v>
      </c>
      <c r="G22" s="136" t="s">
        <v>1393</v>
      </c>
      <c r="H22" s="128">
        <v>0</v>
      </c>
      <c r="I22" s="128">
        <v>0</v>
      </c>
      <c r="J22" s="128">
        <v>0</v>
      </c>
    </row>
    <row r="23" spans="1:10" ht="58" customHeight="1">
      <c r="A23" s="127" t="s">
        <v>2034</v>
      </c>
      <c r="B23" s="127" t="s">
        <v>4685</v>
      </c>
      <c r="C23" s="127" t="s">
        <v>1853</v>
      </c>
      <c r="D23" s="127" t="s">
        <v>1642</v>
      </c>
      <c r="E23" s="127" t="s">
        <v>3317</v>
      </c>
      <c r="F23" s="136" t="s">
        <v>1454</v>
      </c>
      <c r="G23" s="136" t="s">
        <v>1393</v>
      </c>
      <c r="H23" s="128">
        <v>0</v>
      </c>
      <c r="I23" s="128">
        <v>0</v>
      </c>
      <c r="J23" s="128">
        <v>0</v>
      </c>
    </row>
    <row r="24" spans="1:10">
      <c r="A24" s="127" t="s">
        <v>2034</v>
      </c>
      <c r="B24" s="127" t="s">
        <v>4686</v>
      </c>
      <c r="C24" s="127" t="s">
        <v>1856</v>
      </c>
      <c r="D24" s="127" t="s">
        <v>1646</v>
      </c>
      <c r="E24" s="127" t="s">
        <v>2269</v>
      </c>
      <c r="F24" s="136" t="s">
        <v>1454</v>
      </c>
      <c r="G24" s="136" t="s">
        <v>1393</v>
      </c>
      <c r="H24" s="128">
        <v>0</v>
      </c>
      <c r="I24" s="128">
        <v>0</v>
      </c>
      <c r="J24" s="128">
        <v>0</v>
      </c>
    </row>
    <row r="25" spans="1:10">
      <c r="A25" s="127" t="s">
        <v>2034</v>
      </c>
      <c r="B25" s="127" t="s">
        <v>4686</v>
      </c>
      <c r="C25" s="127" t="s">
        <v>3298</v>
      </c>
      <c r="D25" s="127" t="s">
        <v>1647</v>
      </c>
      <c r="E25" s="127" t="s">
        <v>2270</v>
      </c>
      <c r="F25" s="136" t="s">
        <v>1454</v>
      </c>
      <c r="G25" s="136" t="s">
        <v>1393</v>
      </c>
      <c r="H25" s="128">
        <v>1</v>
      </c>
      <c r="I25" s="128">
        <v>1</v>
      </c>
      <c r="J25" s="128">
        <v>1</v>
      </c>
    </row>
    <row r="26" spans="1:10">
      <c r="A26" s="127" t="s">
        <v>2034</v>
      </c>
      <c r="B26" s="127" t="s">
        <v>4686</v>
      </c>
      <c r="C26" s="127" t="s">
        <v>1928</v>
      </c>
      <c r="D26" s="127" t="s">
        <v>1648</v>
      </c>
      <c r="E26" s="127" t="s">
        <v>2271</v>
      </c>
      <c r="F26" s="136" t="s">
        <v>1454</v>
      </c>
      <c r="G26" s="136" t="s">
        <v>1393</v>
      </c>
      <c r="H26" s="128">
        <v>0</v>
      </c>
      <c r="I26" s="128">
        <v>0</v>
      </c>
      <c r="J26" s="128">
        <v>0</v>
      </c>
    </row>
    <row r="27" spans="1:10" ht="40" customHeight="1">
      <c r="A27" s="127" t="s">
        <v>2034</v>
      </c>
      <c r="B27" s="127" t="s">
        <v>4687</v>
      </c>
      <c r="C27" s="127" t="s">
        <v>2192</v>
      </c>
      <c r="D27" s="127" t="s">
        <v>2245</v>
      </c>
      <c r="E27" s="127" t="s">
        <v>2272</v>
      </c>
      <c r="F27" s="136" t="s">
        <v>1454</v>
      </c>
      <c r="G27" s="136" t="s">
        <v>1393</v>
      </c>
      <c r="H27" s="128">
        <v>3</v>
      </c>
      <c r="I27" s="128">
        <v>5</v>
      </c>
      <c r="J27" s="128">
        <v>5</v>
      </c>
    </row>
    <row r="28" spans="1:10">
      <c r="A28" s="127" t="s">
        <v>2034</v>
      </c>
      <c r="B28" s="127" t="s">
        <v>4687</v>
      </c>
      <c r="C28" s="127" t="s">
        <v>2211</v>
      </c>
      <c r="D28" s="127" t="s">
        <v>2260</v>
      </c>
      <c r="E28" s="127" t="s">
        <v>2273</v>
      </c>
      <c r="F28" s="136" t="s">
        <v>1454</v>
      </c>
      <c r="G28" s="136" t="s">
        <v>1393</v>
      </c>
      <c r="H28" s="128">
        <v>2</v>
      </c>
      <c r="I28" s="128">
        <v>4</v>
      </c>
      <c r="J28" s="128">
        <v>4</v>
      </c>
    </row>
    <row r="29" spans="1:10">
      <c r="A29" s="127" t="s">
        <v>2034</v>
      </c>
      <c r="B29" s="127" t="s">
        <v>4687</v>
      </c>
      <c r="C29" s="127" t="s">
        <v>2181</v>
      </c>
      <c r="D29" s="127" t="s">
        <v>1668</v>
      </c>
      <c r="E29" s="127" t="s">
        <v>3318</v>
      </c>
      <c r="F29" s="136" t="s">
        <v>2123</v>
      </c>
      <c r="G29" s="136" t="s">
        <v>2123</v>
      </c>
      <c r="H29" s="128">
        <v>0</v>
      </c>
      <c r="I29" s="128">
        <v>0</v>
      </c>
      <c r="J29" s="128">
        <v>0</v>
      </c>
    </row>
    <row r="30" spans="1:10">
      <c r="A30" s="127" t="s">
        <v>2034</v>
      </c>
      <c r="B30" s="127" t="s">
        <v>2125</v>
      </c>
      <c r="C30" s="127" t="s">
        <v>2164</v>
      </c>
      <c r="D30" s="127" t="s">
        <v>2219</v>
      </c>
      <c r="E30" s="127" t="s">
        <v>3319</v>
      </c>
      <c r="F30" s="136" t="s">
        <v>1454</v>
      </c>
      <c r="G30" s="136" t="s">
        <v>1393</v>
      </c>
      <c r="H30" s="128">
        <v>1</v>
      </c>
      <c r="I30" s="128">
        <v>1</v>
      </c>
      <c r="J30" s="128">
        <v>1</v>
      </c>
    </row>
    <row r="31" spans="1:10">
      <c r="A31" s="127" t="s">
        <v>2034</v>
      </c>
      <c r="B31" s="127" t="s">
        <v>2125</v>
      </c>
      <c r="C31" s="127" t="s">
        <v>3299</v>
      </c>
      <c r="D31" s="127" t="s">
        <v>2247</v>
      </c>
      <c r="E31" s="127" t="s">
        <v>3320</v>
      </c>
      <c r="F31" s="136" t="s">
        <v>1454</v>
      </c>
      <c r="G31" s="136" t="s">
        <v>1393</v>
      </c>
      <c r="H31" s="128">
        <v>1</v>
      </c>
      <c r="I31" s="128">
        <v>1</v>
      </c>
      <c r="J31" s="128">
        <v>1</v>
      </c>
    </row>
    <row r="32" spans="1:10">
      <c r="A32" s="127" t="s">
        <v>2034</v>
      </c>
      <c r="B32" s="127" t="s">
        <v>2125</v>
      </c>
      <c r="C32" s="127" t="s">
        <v>2212</v>
      </c>
      <c r="D32" s="127" t="s">
        <v>2261</v>
      </c>
      <c r="E32" s="127" t="s">
        <v>2274</v>
      </c>
      <c r="F32" s="136" t="s">
        <v>1454</v>
      </c>
      <c r="G32" s="136" t="s">
        <v>1393</v>
      </c>
      <c r="H32" s="128">
        <v>0</v>
      </c>
      <c r="I32" s="128">
        <v>0</v>
      </c>
      <c r="J32" s="128">
        <v>0</v>
      </c>
    </row>
    <row r="33" spans="1:10">
      <c r="A33" s="127" t="s">
        <v>2034</v>
      </c>
      <c r="B33" s="127" t="s">
        <v>2125</v>
      </c>
      <c r="C33" s="127" t="s">
        <v>2200</v>
      </c>
      <c r="D33" s="127" t="s">
        <v>2248</v>
      </c>
      <c r="E33" s="127" t="s">
        <v>4005</v>
      </c>
      <c r="F33" s="136" t="s">
        <v>2123</v>
      </c>
      <c r="G33" s="136" t="s">
        <v>2123</v>
      </c>
      <c r="H33" s="128">
        <v>1</v>
      </c>
      <c r="I33" s="128">
        <v>0.5</v>
      </c>
      <c r="J33" s="128">
        <v>0.5</v>
      </c>
    </row>
    <row r="34" spans="1:10">
      <c r="A34" s="127" t="s">
        <v>2128</v>
      </c>
      <c r="B34" s="127" t="s">
        <v>2128</v>
      </c>
      <c r="C34" s="127" t="s">
        <v>4696</v>
      </c>
      <c r="D34" s="127" t="s">
        <v>1651</v>
      </c>
      <c r="E34" s="127" t="s">
        <v>4697</v>
      </c>
      <c r="F34" s="136" t="s">
        <v>1454</v>
      </c>
      <c r="G34" s="136" t="s">
        <v>1393</v>
      </c>
      <c r="H34" s="128">
        <v>6</v>
      </c>
      <c r="I34" s="128">
        <v>6.75</v>
      </c>
      <c r="J34" s="128">
        <v>6.75</v>
      </c>
    </row>
    <row r="35" spans="1:10">
      <c r="A35" s="127" t="s">
        <v>2128</v>
      </c>
      <c r="B35" s="127" t="s">
        <v>2128</v>
      </c>
      <c r="C35" s="127" t="s">
        <v>4698</v>
      </c>
      <c r="D35" s="127" t="s">
        <v>1662</v>
      </c>
      <c r="E35" s="127" t="s">
        <v>4699</v>
      </c>
      <c r="F35" s="136" t="s">
        <v>2123</v>
      </c>
      <c r="G35" s="136" t="s">
        <v>2123</v>
      </c>
      <c r="H35" s="128">
        <v>0</v>
      </c>
      <c r="I35" s="128">
        <v>0</v>
      </c>
      <c r="J35" s="128">
        <v>0</v>
      </c>
    </row>
    <row r="36" spans="1:10">
      <c r="A36" s="127" t="s">
        <v>2128</v>
      </c>
      <c r="B36" s="127" t="s">
        <v>2128</v>
      </c>
      <c r="C36" s="127" t="s">
        <v>4700</v>
      </c>
      <c r="D36" s="127" t="s">
        <v>1663</v>
      </c>
      <c r="E36" s="127" t="s">
        <v>4701</v>
      </c>
      <c r="F36" s="136" t="s">
        <v>2123</v>
      </c>
      <c r="G36" s="136" t="s">
        <v>2123</v>
      </c>
      <c r="H36" s="128">
        <v>0</v>
      </c>
      <c r="I36" s="128">
        <v>0</v>
      </c>
      <c r="J36" s="128">
        <v>0</v>
      </c>
    </row>
    <row r="37" spans="1:10">
      <c r="A37" s="127" t="s">
        <v>2128</v>
      </c>
      <c r="B37" s="127" t="s">
        <v>2128</v>
      </c>
      <c r="C37" s="127" t="s">
        <v>4702</v>
      </c>
      <c r="D37" s="127" t="s">
        <v>1664</v>
      </c>
      <c r="E37" s="127" t="s">
        <v>4703</v>
      </c>
      <c r="F37" s="136" t="s">
        <v>2123</v>
      </c>
      <c r="G37" s="136" t="s">
        <v>2123</v>
      </c>
      <c r="H37" s="128">
        <v>0</v>
      </c>
      <c r="I37" s="128">
        <v>0</v>
      </c>
      <c r="J37" s="128">
        <v>0</v>
      </c>
    </row>
    <row r="38" spans="1:10">
      <c r="A38" s="127" t="s">
        <v>2128</v>
      </c>
      <c r="B38" s="127" t="s">
        <v>2128</v>
      </c>
      <c r="C38" s="127" t="s">
        <v>3331</v>
      </c>
      <c r="D38" s="127" t="s">
        <v>1666</v>
      </c>
      <c r="E38" s="127" t="s">
        <v>3332</v>
      </c>
      <c r="F38" s="136" t="s">
        <v>2123</v>
      </c>
      <c r="G38" s="136" t="s">
        <v>2123</v>
      </c>
      <c r="H38" s="128">
        <v>0</v>
      </c>
      <c r="I38" s="128">
        <v>0</v>
      </c>
      <c r="J38" s="128">
        <v>0</v>
      </c>
    </row>
    <row r="39" spans="1:10">
      <c r="A39" s="127" t="s">
        <v>2128</v>
      </c>
      <c r="B39" s="127" t="s">
        <v>2128</v>
      </c>
      <c r="C39" s="127" t="s">
        <v>3333</v>
      </c>
      <c r="D39" s="127" t="s">
        <v>1678</v>
      </c>
      <c r="E39" s="127" t="s">
        <v>3334</v>
      </c>
      <c r="F39" s="136" t="s">
        <v>2123</v>
      </c>
      <c r="G39" s="136" t="s">
        <v>2123</v>
      </c>
      <c r="H39" s="128">
        <v>0</v>
      </c>
      <c r="I39" s="128">
        <v>0</v>
      </c>
      <c r="J39" s="128">
        <v>0</v>
      </c>
    </row>
    <row r="40" spans="1:10">
      <c r="A40" s="127" t="s">
        <v>2128</v>
      </c>
      <c r="B40" s="127" t="s">
        <v>2128</v>
      </c>
      <c r="C40" s="127" t="s">
        <v>4704</v>
      </c>
      <c r="D40" s="127" t="s">
        <v>1679</v>
      </c>
      <c r="E40" s="127" t="s">
        <v>3335</v>
      </c>
      <c r="F40" s="136" t="s">
        <v>2123</v>
      </c>
      <c r="G40" s="136" t="s">
        <v>2123</v>
      </c>
      <c r="H40" s="128">
        <v>0</v>
      </c>
      <c r="I40" s="128">
        <v>0</v>
      </c>
      <c r="J40" s="128">
        <v>0</v>
      </c>
    </row>
    <row r="41" spans="1:10">
      <c r="A41" s="127" t="s">
        <v>2128</v>
      </c>
      <c r="B41" s="127" t="s">
        <v>2129</v>
      </c>
      <c r="C41" s="127" t="s">
        <v>4705</v>
      </c>
      <c r="D41" s="127" t="s">
        <v>1652</v>
      </c>
      <c r="E41" s="127" t="s">
        <v>3321</v>
      </c>
      <c r="F41" s="136" t="s">
        <v>1454</v>
      </c>
      <c r="G41" s="136" t="s">
        <v>1393</v>
      </c>
      <c r="H41" s="128">
        <v>2</v>
      </c>
      <c r="I41" s="128">
        <v>3</v>
      </c>
      <c r="J41" s="128">
        <v>3</v>
      </c>
    </row>
    <row r="42" spans="1:10">
      <c r="A42" s="127" t="s">
        <v>2128</v>
      </c>
      <c r="B42" s="127" t="s">
        <v>2129</v>
      </c>
      <c r="C42" s="127" t="s">
        <v>4706</v>
      </c>
      <c r="D42" s="127" t="s">
        <v>1653</v>
      </c>
      <c r="E42" s="127" t="s">
        <v>3322</v>
      </c>
      <c r="F42" s="136" t="s">
        <v>2123</v>
      </c>
      <c r="G42" s="136" t="s">
        <v>2123</v>
      </c>
      <c r="H42" s="128">
        <v>1</v>
      </c>
      <c r="I42" s="128">
        <v>0.75</v>
      </c>
      <c r="J42" s="128">
        <v>0.75</v>
      </c>
    </row>
    <row r="43" spans="1:10">
      <c r="A43" s="127" t="s">
        <v>2128</v>
      </c>
      <c r="B43" s="127" t="s">
        <v>2131</v>
      </c>
      <c r="C43" s="127" t="s">
        <v>3300</v>
      </c>
      <c r="D43" s="127" t="s">
        <v>1654</v>
      </c>
      <c r="E43" s="127" t="s">
        <v>3323</v>
      </c>
      <c r="F43" s="136" t="s">
        <v>1454</v>
      </c>
      <c r="G43" s="136" t="s">
        <v>1393</v>
      </c>
      <c r="H43" s="128">
        <v>1</v>
      </c>
      <c r="I43" s="128">
        <v>0.75</v>
      </c>
      <c r="J43" s="128">
        <v>0.75</v>
      </c>
    </row>
    <row r="44" spans="1:10">
      <c r="A44" s="127" t="s">
        <v>2128</v>
      </c>
      <c r="B44" s="127" t="s">
        <v>2131</v>
      </c>
      <c r="C44" s="127" t="s">
        <v>3301</v>
      </c>
      <c r="D44" s="127" t="s">
        <v>1655</v>
      </c>
      <c r="E44" s="127" t="s">
        <v>3324</v>
      </c>
      <c r="F44" s="136" t="s">
        <v>1454</v>
      </c>
      <c r="G44" s="136" t="s">
        <v>1393</v>
      </c>
      <c r="H44" s="128">
        <v>1</v>
      </c>
      <c r="I44" s="128">
        <v>0.75</v>
      </c>
      <c r="J44" s="128">
        <v>0.75</v>
      </c>
    </row>
    <row r="45" spans="1:10">
      <c r="A45" s="127" t="s">
        <v>2128</v>
      </c>
      <c r="B45" s="127" t="s">
        <v>2131</v>
      </c>
      <c r="C45" s="127" t="s">
        <v>1877</v>
      </c>
      <c r="D45" s="127" t="s">
        <v>1698</v>
      </c>
      <c r="E45" s="127" t="s">
        <v>4006</v>
      </c>
      <c r="F45" s="136" t="s">
        <v>1454</v>
      </c>
      <c r="G45" s="136" t="s">
        <v>1393</v>
      </c>
      <c r="H45" s="128">
        <v>1</v>
      </c>
      <c r="I45" s="128">
        <v>1</v>
      </c>
      <c r="J45" s="128">
        <v>1</v>
      </c>
    </row>
    <row r="46" spans="1:10">
      <c r="A46" s="127" t="s">
        <v>2128</v>
      </c>
      <c r="B46" s="127" t="s">
        <v>2131</v>
      </c>
      <c r="C46" s="127" t="s">
        <v>1880</v>
      </c>
      <c r="D46" s="127" t="s">
        <v>1707</v>
      </c>
      <c r="E46" s="127" t="s">
        <v>2275</v>
      </c>
      <c r="F46" s="136" t="s">
        <v>1454</v>
      </c>
      <c r="G46" s="136" t="s">
        <v>1393</v>
      </c>
      <c r="H46" s="128">
        <v>1</v>
      </c>
      <c r="I46" s="128">
        <v>1.5</v>
      </c>
      <c r="J46" s="128">
        <v>1.5</v>
      </c>
    </row>
    <row r="47" spans="1:10">
      <c r="A47" s="127" t="s">
        <v>2128</v>
      </c>
      <c r="B47" s="127" t="s">
        <v>2131</v>
      </c>
      <c r="C47" s="127" t="s">
        <v>1860</v>
      </c>
      <c r="D47" s="127" t="s">
        <v>1656</v>
      </c>
      <c r="E47" s="127" t="s">
        <v>4007</v>
      </c>
      <c r="F47" s="136" t="s">
        <v>1454</v>
      </c>
      <c r="G47" s="136" t="s">
        <v>1393</v>
      </c>
      <c r="H47" s="128">
        <v>0</v>
      </c>
      <c r="I47" s="128">
        <v>0</v>
      </c>
      <c r="J47" s="128">
        <v>0</v>
      </c>
    </row>
    <row r="48" spans="1:10">
      <c r="A48" s="127" t="s">
        <v>2128</v>
      </c>
      <c r="B48" s="127" t="s">
        <v>2131</v>
      </c>
      <c r="C48" s="127" t="s">
        <v>1861</v>
      </c>
      <c r="D48" s="127" t="s">
        <v>1657</v>
      </c>
      <c r="E48" s="127" t="s">
        <v>4008</v>
      </c>
      <c r="F48" s="136" t="s">
        <v>1454</v>
      </c>
      <c r="G48" s="136" t="s">
        <v>1393</v>
      </c>
      <c r="H48" s="128">
        <v>0</v>
      </c>
      <c r="I48" s="128">
        <v>0</v>
      </c>
      <c r="J48" s="128">
        <v>0</v>
      </c>
    </row>
    <row r="49" spans="1:10">
      <c r="A49" s="127" t="s">
        <v>2136</v>
      </c>
      <c r="B49" s="127" t="s">
        <v>2131</v>
      </c>
      <c r="C49" s="127" t="s">
        <v>4707</v>
      </c>
      <c r="D49" s="127" t="s">
        <v>1700</v>
      </c>
      <c r="E49" s="127" t="s">
        <v>2291</v>
      </c>
      <c r="F49" s="136" t="s">
        <v>1454</v>
      </c>
      <c r="G49" s="136" t="s">
        <v>1393</v>
      </c>
      <c r="H49" s="128">
        <v>0</v>
      </c>
      <c r="I49" s="128">
        <v>0</v>
      </c>
      <c r="J49" s="128">
        <v>0</v>
      </c>
    </row>
    <row r="50" spans="1:10">
      <c r="A50" s="127" t="s">
        <v>2136</v>
      </c>
      <c r="B50" s="127" t="s">
        <v>2131</v>
      </c>
      <c r="C50" s="127" t="s">
        <v>1878</v>
      </c>
      <c r="D50" s="127" t="s">
        <v>1699</v>
      </c>
      <c r="E50" s="127" t="s">
        <v>4011</v>
      </c>
      <c r="F50" s="136" t="s">
        <v>1454</v>
      </c>
      <c r="G50" s="136" t="s">
        <v>1393</v>
      </c>
      <c r="H50" s="128">
        <v>0</v>
      </c>
      <c r="I50" s="128">
        <v>0</v>
      </c>
      <c r="J50" s="128">
        <v>0</v>
      </c>
    </row>
    <row r="51" spans="1:10">
      <c r="A51" s="127" t="s">
        <v>2128</v>
      </c>
      <c r="B51" s="127" t="s">
        <v>2132</v>
      </c>
      <c r="C51" s="127" t="s">
        <v>1929</v>
      </c>
      <c r="D51" s="127" t="s">
        <v>1672</v>
      </c>
      <c r="E51" s="127" t="s">
        <v>3336</v>
      </c>
      <c r="F51" s="136" t="s">
        <v>1454</v>
      </c>
      <c r="G51" s="136" t="s">
        <v>1393</v>
      </c>
      <c r="H51" s="128">
        <v>1</v>
      </c>
      <c r="I51" s="128">
        <v>1</v>
      </c>
      <c r="J51" s="128">
        <v>1</v>
      </c>
    </row>
    <row r="52" spans="1:10">
      <c r="A52" s="127" t="s">
        <v>2128</v>
      </c>
      <c r="B52" s="127" t="s">
        <v>2132</v>
      </c>
      <c r="C52" s="127" t="s">
        <v>1930</v>
      </c>
      <c r="D52" s="127" t="s">
        <v>1673</v>
      </c>
      <c r="E52" s="127" t="s">
        <v>2276</v>
      </c>
      <c r="F52" s="136" t="s">
        <v>2123</v>
      </c>
      <c r="G52" s="136" t="s">
        <v>2123</v>
      </c>
      <c r="H52" s="128">
        <v>0</v>
      </c>
      <c r="I52" s="128">
        <v>0</v>
      </c>
      <c r="J52" s="128">
        <v>0</v>
      </c>
    </row>
    <row r="53" spans="1:10">
      <c r="A53" s="127" t="s">
        <v>2128</v>
      </c>
      <c r="B53" s="127" t="s">
        <v>2132</v>
      </c>
      <c r="C53" s="127" t="s">
        <v>1868</v>
      </c>
      <c r="D53" s="127" t="s">
        <v>1671</v>
      </c>
      <c r="E53" s="127" t="s">
        <v>3337</v>
      </c>
      <c r="F53" s="136" t="s">
        <v>2123</v>
      </c>
      <c r="G53" s="136" t="s">
        <v>2123</v>
      </c>
      <c r="H53" s="128">
        <v>0</v>
      </c>
      <c r="I53" s="128">
        <v>0</v>
      </c>
      <c r="J53" s="128">
        <v>0</v>
      </c>
    </row>
    <row r="54" spans="1:10">
      <c r="A54" s="127" t="s">
        <v>2128</v>
      </c>
      <c r="B54" s="127" t="s">
        <v>2132</v>
      </c>
      <c r="C54" s="127" t="s">
        <v>2178</v>
      </c>
      <c r="D54" s="127" t="s">
        <v>2230</v>
      </c>
      <c r="E54" s="127" t="s">
        <v>2277</v>
      </c>
      <c r="F54" s="136" t="s">
        <v>1454</v>
      </c>
      <c r="G54" s="136" t="s">
        <v>1393</v>
      </c>
      <c r="H54" s="128">
        <v>1</v>
      </c>
      <c r="I54" s="128">
        <v>1</v>
      </c>
      <c r="J54" s="128">
        <v>1</v>
      </c>
    </row>
    <row r="55" spans="1:10">
      <c r="A55" s="127" t="s">
        <v>2128</v>
      </c>
      <c r="B55" s="127" t="s">
        <v>4688</v>
      </c>
      <c r="C55" s="127" t="s">
        <v>3302</v>
      </c>
      <c r="D55" s="127" t="s">
        <v>1674</v>
      </c>
      <c r="E55" s="127" t="s">
        <v>3338</v>
      </c>
      <c r="F55" s="136" t="s">
        <v>2123</v>
      </c>
      <c r="G55" s="136" t="s">
        <v>2123</v>
      </c>
      <c r="H55" s="128">
        <v>1</v>
      </c>
      <c r="I55" s="128">
        <v>2</v>
      </c>
      <c r="J55" s="128">
        <v>2</v>
      </c>
    </row>
    <row r="56" spans="1:10">
      <c r="A56" s="127" t="s">
        <v>2128</v>
      </c>
      <c r="B56" s="127" t="s">
        <v>4688</v>
      </c>
      <c r="C56" s="127" t="s">
        <v>1869</v>
      </c>
      <c r="D56" s="127" t="s">
        <v>1675</v>
      </c>
      <c r="E56" s="127" t="s">
        <v>2278</v>
      </c>
      <c r="F56" s="136" t="s">
        <v>1454</v>
      </c>
      <c r="G56" s="136" t="s">
        <v>1393</v>
      </c>
      <c r="H56" s="128">
        <v>1</v>
      </c>
      <c r="I56" s="128">
        <v>3</v>
      </c>
      <c r="J56" s="128">
        <v>3</v>
      </c>
    </row>
    <row r="57" spans="1:10">
      <c r="A57" s="127" t="s">
        <v>2128</v>
      </c>
      <c r="B57" s="127" t="s">
        <v>4688</v>
      </c>
      <c r="C57" s="127" t="s">
        <v>4708</v>
      </c>
      <c r="D57" s="127" t="s">
        <v>1696</v>
      </c>
      <c r="E57" s="127" t="s">
        <v>3339</v>
      </c>
      <c r="F57" s="136" t="s">
        <v>1454</v>
      </c>
      <c r="G57" s="136" t="s">
        <v>1393</v>
      </c>
      <c r="H57" s="128">
        <v>1</v>
      </c>
      <c r="I57" s="128">
        <v>1</v>
      </c>
      <c r="J57" s="128">
        <v>1</v>
      </c>
    </row>
    <row r="58" spans="1:10">
      <c r="A58" s="127" t="s">
        <v>2133</v>
      </c>
      <c r="B58" s="127" t="s">
        <v>4689</v>
      </c>
      <c r="C58" s="127" t="s">
        <v>4709</v>
      </c>
      <c r="D58" s="127" t="s">
        <v>2250</v>
      </c>
      <c r="E58" s="127" t="s">
        <v>4710</v>
      </c>
      <c r="F58" s="136" t="s">
        <v>1454</v>
      </c>
      <c r="G58" s="136" t="s">
        <v>1393</v>
      </c>
      <c r="H58" s="128">
        <v>3</v>
      </c>
      <c r="I58" s="128">
        <v>4</v>
      </c>
      <c r="J58" s="128">
        <v>4</v>
      </c>
    </row>
    <row r="59" spans="1:10">
      <c r="A59" s="127" t="s">
        <v>2133</v>
      </c>
      <c r="B59" s="127" t="s">
        <v>4689</v>
      </c>
      <c r="C59" s="127" t="s">
        <v>3304</v>
      </c>
      <c r="D59" s="127" t="s">
        <v>1687</v>
      </c>
      <c r="E59" s="127" t="s">
        <v>2283</v>
      </c>
      <c r="F59" s="136" t="s">
        <v>1454</v>
      </c>
      <c r="G59" s="136" t="s">
        <v>1393</v>
      </c>
      <c r="H59" s="128">
        <v>1</v>
      </c>
      <c r="I59" s="128">
        <v>1.5</v>
      </c>
      <c r="J59" s="128">
        <v>1.5</v>
      </c>
    </row>
    <row r="60" spans="1:10">
      <c r="A60" s="127" t="s">
        <v>2133</v>
      </c>
      <c r="B60" s="127" t="s">
        <v>4689</v>
      </c>
      <c r="C60" s="127" t="s">
        <v>4711</v>
      </c>
      <c r="D60" s="127" t="s">
        <v>1688</v>
      </c>
      <c r="E60" s="127" t="s">
        <v>4712</v>
      </c>
      <c r="F60" s="136" t="s">
        <v>1454</v>
      </c>
      <c r="G60" s="136" t="s">
        <v>1393</v>
      </c>
      <c r="H60" s="128">
        <v>0</v>
      </c>
      <c r="I60" s="128">
        <v>0</v>
      </c>
      <c r="J60" s="128">
        <v>0</v>
      </c>
    </row>
    <row r="61" spans="1:10">
      <c r="A61" s="127" t="s">
        <v>2133</v>
      </c>
      <c r="B61" s="127" t="s">
        <v>2134</v>
      </c>
      <c r="C61" s="127" t="s">
        <v>1866</v>
      </c>
      <c r="D61" s="127" t="s">
        <v>1669</v>
      </c>
      <c r="E61" s="127" t="s">
        <v>3340</v>
      </c>
      <c r="F61" s="136" t="s">
        <v>1393</v>
      </c>
      <c r="G61" s="136" t="s">
        <v>1454</v>
      </c>
      <c r="H61" s="128">
        <v>0</v>
      </c>
      <c r="I61" s="128">
        <v>0</v>
      </c>
      <c r="J61" s="128">
        <v>0</v>
      </c>
    </row>
    <row r="62" spans="1:10" ht="40" customHeight="1">
      <c r="A62" s="127" t="s">
        <v>2133</v>
      </c>
      <c r="B62" s="127" t="s">
        <v>2134</v>
      </c>
      <c r="C62" s="127" t="s">
        <v>1867</v>
      </c>
      <c r="D62" s="127" t="s">
        <v>1670</v>
      </c>
      <c r="E62" s="127" t="s">
        <v>3341</v>
      </c>
      <c r="F62" s="136" t="s">
        <v>1393</v>
      </c>
      <c r="G62" s="136" t="s">
        <v>1454</v>
      </c>
      <c r="H62" s="128">
        <v>0</v>
      </c>
      <c r="I62" s="128">
        <v>0</v>
      </c>
      <c r="J62" s="128">
        <v>0</v>
      </c>
    </row>
    <row r="63" spans="1:10">
      <c r="A63" s="127" t="s">
        <v>2133</v>
      </c>
      <c r="B63" s="127" t="s">
        <v>2134</v>
      </c>
      <c r="C63" s="127" t="s">
        <v>1931</v>
      </c>
      <c r="D63" s="127" t="s">
        <v>1677</v>
      </c>
      <c r="E63" s="127" t="s">
        <v>2279</v>
      </c>
      <c r="F63" s="136" t="s">
        <v>1393</v>
      </c>
      <c r="G63" s="136" t="s">
        <v>1454</v>
      </c>
      <c r="H63" s="128">
        <v>0</v>
      </c>
      <c r="I63" s="128">
        <v>0</v>
      </c>
      <c r="J63" s="128">
        <v>0</v>
      </c>
    </row>
    <row r="64" spans="1:10">
      <c r="A64" s="127" t="s">
        <v>2133</v>
      </c>
      <c r="B64" s="127" t="s">
        <v>2134</v>
      </c>
      <c r="C64" s="127" t="s">
        <v>1933</v>
      </c>
      <c r="D64" s="127" t="s">
        <v>1706</v>
      </c>
      <c r="E64" s="127" t="s">
        <v>1934</v>
      </c>
      <c r="F64" s="136" t="s">
        <v>1393</v>
      </c>
      <c r="G64" s="136" t="s">
        <v>1454</v>
      </c>
      <c r="H64" s="128">
        <v>0</v>
      </c>
      <c r="I64" s="128">
        <v>0</v>
      </c>
      <c r="J64" s="128">
        <v>0</v>
      </c>
    </row>
    <row r="65" spans="1:22">
      <c r="A65" s="127" t="s">
        <v>2133</v>
      </c>
      <c r="B65" s="127" t="s">
        <v>2134</v>
      </c>
      <c r="C65" s="127" t="s">
        <v>1862</v>
      </c>
      <c r="D65" s="127" t="s">
        <v>1660</v>
      </c>
      <c r="E65" s="127" t="s">
        <v>3342</v>
      </c>
      <c r="F65" s="136" t="s">
        <v>1393</v>
      </c>
      <c r="G65" s="136" t="s">
        <v>1454</v>
      </c>
      <c r="H65" s="128">
        <v>2</v>
      </c>
      <c r="I65" s="128">
        <v>3</v>
      </c>
      <c r="J65" s="128">
        <v>3</v>
      </c>
    </row>
    <row r="66" spans="1:22">
      <c r="A66" s="127" t="s">
        <v>2133</v>
      </c>
      <c r="B66" s="127" t="s">
        <v>2134</v>
      </c>
      <c r="C66" s="127" t="s">
        <v>1863</v>
      </c>
      <c r="D66" s="127" t="s">
        <v>1661</v>
      </c>
      <c r="E66" s="127" t="s">
        <v>2280</v>
      </c>
      <c r="F66" s="136" t="s">
        <v>1393</v>
      </c>
      <c r="G66" s="136" t="s">
        <v>1454</v>
      </c>
      <c r="H66" s="128">
        <v>0</v>
      </c>
      <c r="I66" s="128">
        <v>0</v>
      </c>
      <c r="J66" s="128">
        <v>0</v>
      </c>
    </row>
    <row r="67" spans="1:22">
      <c r="A67" s="127" t="s">
        <v>2133</v>
      </c>
      <c r="B67" s="127" t="s">
        <v>2134</v>
      </c>
      <c r="C67" s="127" t="s">
        <v>1871</v>
      </c>
      <c r="D67" s="127" t="s">
        <v>1683</v>
      </c>
      <c r="E67" s="127" t="s">
        <v>3343</v>
      </c>
      <c r="F67" s="136" t="s">
        <v>1393</v>
      </c>
      <c r="G67" s="136" t="s">
        <v>1454</v>
      </c>
      <c r="H67" s="128">
        <v>0</v>
      </c>
      <c r="I67" s="128">
        <v>0</v>
      </c>
      <c r="J67" s="128">
        <v>0</v>
      </c>
    </row>
    <row r="68" spans="1:22">
      <c r="A68" s="127" t="s">
        <v>2133</v>
      </c>
      <c r="B68" s="127" t="s">
        <v>2134</v>
      </c>
      <c r="C68" s="127" t="s">
        <v>1872</v>
      </c>
      <c r="D68" s="127" t="s">
        <v>1684</v>
      </c>
      <c r="E68" s="127" t="s">
        <v>2281</v>
      </c>
      <c r="F68" s="136" t="s">
        <v>1393</v>
      </c>
      <c r="G68" s="136" t="s">
        <v>1454</v>
      </c>
      <c r="H68" s="128">
        <v>0</v>
      </c>
      <c r="I68" s="128">
        <v>0</v>
      </c>
      <c r="J68" s="128">
        <v>0</v>
      </c>
    </row>
    <row r="69" spans="1:22">
      <c r="A69" s="127" t="s">
        <v>2133</v>
      </c>
      <c r="B69" s="127" t="s">
        <v>2134</v>
      </c>
      <c r="C69" s="127" t="s">
        <v>4713</v>
      </c>
      <c r="D69" s="127" t="s">
        <v>1681</v>
      </c>
      <c r="E69" s="127" t="s">
        <v>3344</v>
      </c>
      <c r="F69" s="136" t="s">
        <v>1393</v>
      </c>
      <c r="G69" s="136" t="s">
        <v>1454</v>
      </c>
      <c r="H69" s="128">
        <v>0</v>
      </c>
      <c r="I69" s="128">
        <v>0</v>
      </c>
      <c r="J69" s="128">
        <v>0</v>
      </c>
    </row>
    <row r="70" spans="1:22">
      <c r="A70" s="127" t="s">
        <v>2133</v>
      </c>
      <c r="B70" s="127" t="s">
        <v>2134</v>
      </c>
      <c r="C70" s="127" t="s">
        <v>2197</v>
      </c>
      <c r="D70" s="127" t="s">
        <v>1682</v>
      </c>
      <c r="E70" s="127" t="s">
        <v>2282</v>
      </c>
      <c r="F70" s="136" t="s">
        <v>2123</v>
      </c>
      <c r="G70" s="136" t="s">
        <v>2123</v>
      </c>
      <c r="H70" s="128">
        <v>0</v>
      </c>
      <c r="I70" s="128">
        <v>0</v>
      </c>
      <c r="J70" s="128">
        <v>0</v>
      </c>
    </row>
    <row r="71" spans="1:22">
      <c r="A71" s="127" t="s">
        <v>2133</v>
      </c>
      <c r="B71" s="127" t="s">
        <v>2134</v>
      </c>
      <c r="C71" s="127" t="s">
        <v>3303</v>
      </c>
      <c r="D71" s="127" t="s">
        <v>1685</v>
      </c>
      <c r="E71" s="127" t="s">
        <v>3345</v>
      </c>
      <c r="F71" s="136" t="s">
        <v>2123</v>
      </c>
      <c r="G71" s="136" t="s">
        <v>2123</v>
      </c>
      <c r="H71" s="128">
        <v>1</v>
      </c>
      <c r="I71" s="128">
        <v>0.5</v>
      </c>
      <c r="J71" s="128">
        <v>0.5</v>
      </c>
    </row>
    <row r="72" spans="1:22">
      <c r="A72" s="127" t="s">
        <v>2133</v>
      </c>
      <c r="B72" s="127" t="s">
        <v>2134</v>
      </c>
      <c r="C72" s="127" t="s">
        <v>2169</v>
      </c>
      <c r="D72" s="127" t="s">
        <v>1686</v>
      </c>
      <c r="E72" s="127" t="s">
        <v>3346</v>
      </c>
      <c r="F72" s="136" t="s">
        <v>1454</v>
      </c>
      <c r="G72" s="136" t="s">
        <v>1393</v>
      </c>
      <c r="H72" s="128">
        <v>1</v>
      </c>
      <c r="I72" s="128">
        <v>1</v>
      </c>
      <c r="J72" s="128">
        <v>0</v>
      </c>
    </row>
    <row r="73" spans="1:22">
      <c r="A73" s="127" t="s">
        <v>2035</v>
      </c>
      <c r="B73" s="127" t="s">
        <v>4690</v>
      </c>
      <c r="C73" s="127" t="s">
        <v>2206</v>
      </c>
      <c r="D73" s="127" t="s">
        <v>2255</v>
      </c>
      <c r="E73" s="127" t="s">
        <v>4009</v>
      </c>
      <c r="F73" s="136" t="s">
        <v>1454</v>
      </c>
      <c r="G73" s="136" t="s">
        <v>1393</v>
      </c>
      <c r="H73" s="128">
        <v>1</v>
      </c>
      <c r="I73" s="128">
        <v>1</v>
      </c>
      <c r="J73" s="128">
        <v>1</v>
      </c>
    </row>
    <row r="74" spans="1:22">
      <c r="A74" s="127" t="s">
        <v>2035</v>
      </c>
      <c r="B74" s="127" t="s">
        <v>4690</v>
      </c>
      <c r="C74" s="127" t="s">
        <v>4714</v>
      </c>
      <c r="D74" s="127" t="s">
        <v>4010</v>
      </c>
      <c r="E74" s="127" t="s">
        <v>4715</v>
      </c>
      <c r="F74" s="136" t="s">
        <v>1454</v>
      </c>
      <c r="G74" s="136" t="s">
        <v>2123</v>
      </c>
      <c r="H74" s="128">
        <v>1</v>
      </c>
      <c r="I74" s="128">
        <v>2</v>
      </c>
      <c r="J74" s="128">
        <v>2</v>
      </c>
    </row>
    <row r="75" spans="1:22">
      <c r="A75" s="127" t="s">
        <v>2035</v>
      </c>
      <c r="B75" s="127" t="s">
        <v>4690</v>
      </c>
      <c r="C75" s="127" t="s">
        <v>2198</v>
      </c>
      <c r="D75" s="127" t="s">
        <v>1692</v>
      </c>
      <c r="E75" s="127" t="s">
        <v>3348</v>
      </c>
      <c r="F75" s="136" t="s">
        <v>2123</v>
      </c>
      <c r="G75" s="136" t="s">
        <v>2123</v>
      </c>
      <c r="H75" s="128">
        <v>0</v>
      </c>
      <c r="I75" s="128">
        <v>0</v>
      </c>
      <c r="J75" s="128">
        <v>0</v>
      </c>
    </row>
    <row r="76" spans="1:22" s="112" customFormat="1">
      <c r="A76" s="127" t="s">
        <v>2035</v>
      </c>
      <c r="B76" s="127" t="s">
        <v>4690</v>
      </c>
      <c r="C76" s="127" t="s">
        <v>2159</v>
      </c>
      <c r="D76" s="127" t="s">
        <v>1697</v>
      </c>
      <c r="E76" s="127" t="s">
        <v>3349</v>
      </c>
      <c r="F76" s="136" t="s">
        <v>1454</v>
      </c>
      <c r="G76" s="136" t="s">
        <v>1393</v>
      </c>
      <c r="H76" s="128">
        <v>0</v>
      </c>
      <c r="I76" s="128">
        <v>0</v>
      </c>
      <c r="J76" s="128">
        <v>0</v>
      </c>
      <c r="K76"/>
      <c r="L76"/>
      <c r="M76"/>
      <c r="N76"/>
      <c r="O76"/>
      <c r="P76"/>
      <c r="Q76"/>
      <c r="R76"/>
      <c r="S76"/>
      <c r="T76"/>
      <c r="U76"/>
      <c r="V76"/>
    </row>
    <row r="77" spans="1:22">
      <c r="A77" s="127" t="s">
        <v>2035</v>
      </c>
      <c r="B77" s="127" t="s">
        <v>4690</v>
      </c>
      <c r="C77" s="127" t="s">
        <v>1874</v>
      </c>
      <c r="D77" s="127" t="s">
        <v>1693</v>
      </c>
      <c r="E77" s="127" t="s">
        <v>2284</v>
      </c>
      <c r="F77" s="136" t="s">
        <v>1454</v>
      </c>
      <c r="G77" s="136" t="s">
        <v>1393</v>
      </c>
      <c r="H77" s="128">
        <v>0</v>
      </c>
      <c r="I77" s="128">
        <v>0</v>
      </c>
      <c r="J77" s="128">
        <v>0</v>
      </c>
    </row>
    <row r="78" spans="1:22">
      <c r="A78" s="127" t="s">
        <v>2035</v>
      </c>
      <c r="B78" s="127" t="s">
        <v>1848</v>
      </c>
      <c r="C78" s="127" t="s">
        <v>1848</v>
      </c>
      <c r="D78" s="127" t="s">
        <v>1689</v>
      </c>
      <c r="E78" s="127" t="s">
        <v>3984</v>
      </c>
      <c r="F78" s="136" t="s">
        <v>1454</v>
      </c>
      <c r="G78" s="136" t="s">
        <v>1393</v>
      </c>
      <c r="H78" s="128">
        <v>3</v>
      </c>
      <c r="I78" s="128">
        <v>7</v>
      </c>
      <c r="J78" s="128">
        <v>7</v>
      </c>
    </row>
    <row r="79" spans="1:22">
      <c r="A79" s="127" t="s">
        <v>2035</v>
      </c>
      <c r="B79" s="127" t="s">
        <v>1848</v>
      </c>
      <c r="C79" s="127" t="s">
        <v>3305</v>
      </c>
      <c r="D79" s="127" t="s">
        <v>1690</v>
      </c>
      <c r="E79" s="127" t="s">
        <v>3350</v>
      </c>
      <c r="F79" s="136" t="s">
        <v>1454</v>
      </c>
      <c r="G79" s="136" t="s">
        <v>1393</v>
      </c>
      <c r="H79" s="128">
        <v>1</v>
      </c>
      <c r="I79" s="128">
        <v>2</v>
      </c>
      <c r="J79" s="128">
        <v>2</v>
      </c>
    </row>
    <row r="80" spans="1:22">
      <c r="A80" s="127" t="s">
        <v>2035</v>
      </c>
      <c r="B80" s="127" t="s">
        <v>1848</v>
      </c>
      <c r="C80" s="127" t="s">
        <v>1873</v>
      </c>
      <c r="D80" s="127" t="s">
        <v>1691</v>
      </c>
      <c r="E80" s="127" t="s">
        <v>2285</v>
      </c>
      <c r="F80" s="136" t="s">
        <v>1454</v>
      </c>
      <c r="G80" s="136" t="s">
        <v>1393</v>
      </c>
      <c r="H80" s="128">
        <v>1</v>
      </c>
      <c r="I80" s="128">
        <v>1</v>
      </c>
      <c r="J80" s="128">
        <v>1</v>
      </c>
    </row>
    <row r="81" spans="1:22" s="112" customFormat="1">
      <c r="A81" s="127" t="s">
        <v>2136</v>
      </c>
      <c r="B81" s="127" t="s">
        <v>2135</v>
      </c>
      <c r="C81" s="127" t="s">
        <v>4716</v>
      </c>
      <c r="D81" s="127" t="s">
        <v>1676</v>
      </c>
      <c r="E81" s="127" t="s">
        <v>2286</v>
      </c>
      <c r="F81" s="136" t="s">
        <v>2123</v>
      </c>
      <c r="G81" s="136" t="s">
        <v>2123</v>
      </c>
      <c r="H81" s="128">
        <v>0</v>
      </c>
      <c r="I81" s="128">
        <v>0</v>
      </c>
      <c r="J81" s="128">
        <v>0</v>
      </c>
      <c r="K81"/>
      <c r="L81"/>
      <c r="M81"/>
      <c r="N81"/>
      <c r="O81"/>
      <c r="P81"/>
      <c r="Q81"/>
      <c r="R81"/>
      <c r="S81"/>
      <c r="T81"/>
      <c r="U81"/>
      <c r="V81"/>
    </row>
    <row r="82" spans="1:22" s="112" customFormat="1" ht="48" customHeight="1">
      <c r="A82" s="127" t="s">
        <v>2136</v>
      </c>
      <c r="B82" s="127" t="s">
        <v>2135</v>
      </c>
      <c r="C82" s="127" t="s">
        <v>4717</v>
      </c>
      <c r="D82" s="127" t="s">
        <v>2238</v>
      </c>
      <c r="E82" s="127" t="s">
        <v>2287</v>
      </c>
      <c r="F82" s="136" t="s">
        <v>2123</v>
      </c>
      <c r="G82" s="136" t="s">
        <v>2123</v>
      </c>
      <c r="H82" s="128">
        <v>4</v>
      </c>
      <c r="I82" s="128">
        <v>5</v>
      </c>
      <c r="J82" s="128">
        <v>2</v>
      </c>
      <c r="K82"/>
      <c r="L82"/>
      <c r="M82"/>
      <c r="N82"/>
      <c r="O82"/>
      <c r="P82"/>
      <c r="Q82"/>
      <c r="R82"/>
      <c r="S82"/>
      <c r="T82"/>
      <c r="U82"/>
      <c r="V82"/>
    </row>
    <row r="83" spans="1:22">
      <c r="A83" s="127" t="s">
        <v>2136</v>
      </c>
      <c r="B83" s="127" t="s">
        <v>2135</v>
      </c>
      <c r="C83" s="127" t="s">
        <v>1870</v>
      </c>
      <c r="D83" s="127" t="s">
        <v>1680</v>
      </c>
      <c r="E83" s="127" t="s">
        <v>2288</v>
      </c>
      <c r="F83" s="136" t="s">
        <v>1454</v>
      </c>
      <c r="G83" s="136" t="s">
        <v>1393</v>
      </c>
      <c r="H83" s="128">
        <v>0</v>
      </c>
      <c r="I83" s="128">
        <v>0</v>
      </c>
      <c r="J83" s="128">
        <v>0</v>
      </c>
    </row>
    <row r="84" spans="1:22">
      <c r="A84" s="127" t="s">
        <v>2136</v>
      </c>
      <c r="B84" s="127" t="s">
        <v>2135</v>
      </c>
      <c r="C84" s="127" t="s">
        <v>2210</v>
      </c>
      <c r="D84" s="127" t="s">
        <v>2259</v>
      </c>
      <c r="E84" s="127" t="s">
        <v>2289</v>
      </c>
      <c r="F84" s="136" t="s">
        <v>1454</v>
      </c>
      <c r="G84" s="136" t="s">
        <v>1393</v>
      </c>
      <c r="H84" s="128">
        <v>1</v>
      </c>
      <c r="I84" s="128">
        <v>1</v>
      </c>
      <c r="J84" s="128">
        <v>1</v>
      </c>
    </row>
    <row r="85" spans="1:22">
      <c r="A85" s="127" t="s">
        <v>2136</v>
      </c>
      <c r="B85" s="127" t="s">
        <v>2138</v>
      </c>
      <c r="C85" s="127" t="s">
        <v>4718</v>
      </c>
      <c r="D85" s="127" t="s">
        <v>1701</v>
      </c>
      <c r="E85" s="127" t="s">
        <v>3351</v>
      </c>
      <c r="F85" s="136" t="s">
        <v>1454</v>
      </c>
      <c r="G85" s="136" t="s">
        <v>1393</v>
      </c>
      <c r="H85" s="128">
        <v>2</v>
      </c>
      <c r="I85" s="128">
        <v>2.5</v>
      </c>
      <c r="J85" s="128">
        <v>2.5</v>
      </c>
    </row>
    <row r="86" spans="1:22" s="112" customFormat="1">
      <c r="A86" s="127" t="s">
        <v>2136</v>
      </c>
      <c r="B86" s="127" t="s">
        <v>2138</v>
      </c>
      <c r="C86" s="127" t="s">
        <v>4719</v>
      </c>
      <c r="D86" s="127" t="s">
        <v>1703</v>
      </c>
      <c r="E86" s="127" t="s">
        <v>2290</v>
      </c>
      <c r="F86" s="136" t="s">
        <v>1454</v>
      </c>
      <c r="G86" s="136" t="s">
        <v>1393</v>
      </c>
      <c r="H86" s="128">
        <v>1</v>
      </c>
      <c r="I86" s="128">
        <v>0.5</v>
      </c>
      <c r="J86" s="128">
        <v>0.5</v>
      </c>
      <c r="K86"/>
      <c r="L86"/>
      <c r="M86"/>
      <c r="N86"/>
      <c r="O86"/>
      <c r="P86"/>
      <c r="Q86"/>
      <c r="R86"/>
      <c r="S86"/>
      <c r="T86"/>
      <c r="U86"/>
      <c r="V86"/>
    </row>
    <row r="87" spans="1:22">
      <c r="A87" s="127" t="s">
        <v>2136</v>
      </c>
      <c r="B87" s="127" t="s">
        <v>2138</v>
      </c>
      <c r="C87" s="127" t="s">
        <v>4720</v>
      </c>
      <c r="D87" s="127" t="s">
        <v>1705</v>
      </c>
      <c r="E87" s="127" t="s">
        <v>4721</v>
      </c>
      <c r="F87" s="136" t="s">
        <v>1454</v>
      </c>
      <c r="G87" s="136" t="s">
        <v>1393</v>
      </c>
      <c r="H87" s="128">
        <v>1</v>
      </c>
      <c r="I87" s="128">
        <v>0.5</v>
      </c>
      <c r="J87" s="128">
        <v>0.5</v>
      </c>
    </row>
    <row r="88" spans="1:22" s="112" customFormat="1">
      <c r="A88" s="127" t="s">
        <v>2136</v>
      </c>
      <c r="B88" s="127" t="s">
        <v>1932</v>
      </c>
      <c r="C88" s="127" t="s">
        <v>4722</v>
      </c>
      <c r="D88" s="127" t="s">
        <v>1694</v>
      </c>
      <c r="E88" s="127" t="s">
        <v>2292</v>
      </c>
      <c r="F88" s="136" t="s">
        <v>1454</v>
      </c>
      <c r="G88" s="136" t="s">
        <v>1393</v>
      </c>
      <c r="H88" s="128">
        <v>1</v>
      </c>
      <c r="I88" s="128">
        <v>1</v>
      </c>
      <c r="J88" s="128">
        <v>1</v>
      </c>
      <c r="K88"/>
      <c r="L88"/>
      <c r="M88"/>
      <c r="N88"/>
      <c r="O88"/>
      <c r="P88"/>
      <c r="Q88"/>
      <c r="R88"/>
      <c r="S88"/>
      <c r="T88"/>
      <c r="U88"/>
      <c r="V88"/>
    </row>
    <row r="89" spans="1:22">
      <c r="A89" s="127" t="s">
        <v>2136</v>
      </c>
      <c r="B89" s="127" t="s">
        <v>1932</v>
      </c>
      <c r="C89" s="127" t="s">
        <v>2167</v>
      </c>
      <c r="D89" s="127" t="s">
        <v>1695</v>
      </c>
      <c r="E89" s="127" t="s">
        <v>3352</v>
      </c>
      <c r="F89" s="136" t="s">
        <v>1454</v>
      </c>
      <c r="G89" s="136" t="s">
        <v>1393</v>
      </c>
      <c r="H89" s="128">
        <v>0</v>
      </c>
      <c r="I89" s="128">
        <v>0</v>
      </c>
      <c r="J89" s="128">
        <v>0</v>
      </c>
    </row>
    <row r="90" spans="1:22">
      <c r="A90" s="127" t="s">
        <v>2142</v>
      </c>
      <c r="B90" s="127" t="s">
        <v>2141</v>
      </c>
      <c r="C90" s="127" t="s">
        <v>2185</v>
      </c>
      <c r="D90" s="127" t="s">
        <v>2236</v>
      </c>
      <c r="E90" s="127" t="s">
        <v>2293</v>
      </c>
      <c r="F90" s="136" t="s">
        <v>1454</v>
      </c>
      <c r="G90" s="136" t="s">
        <v>1393</v>
      </c>
      <c r="H90" s="128">
        <v>1</v>
      </c>
      <c r="I90" s="128">
        <v>2</v>
      </c>
      <c r="J90" s="128">
        <v>2</v>
      </c>
    </row>
    <row r="91" spans="1:22">
      <c r="A91" s="127" t="s">
        <v>2142</v>
      </c>
      <c r="B91" s="127" t="s">
        <v>2141</v>
      </c>
      <c r="C91" s="127" t="s">
        <v>2162</v>
      </c>
      <c r="D91" s="127" t="s">
        <v>2217</v>
      </c>
      <c r="E91" s="127" t="s">
        <v>2294</v>
      </c>
      <c r="F91" s="136" t="s">
        <v>1454</v>
      </c>
      <c r="G91" s="136" t="s">
        <v>1393</v>
      </c>
      <c r="H91" s="128">
        <v>2</v>
      </c>
      <c r="I91" s="128">
        <v>4</v>
      </c>
      <c r="J91" s="128">
        <v>4</v>
      </c>
    </row>
    <row r="92" spans="1:22">
      <c r="A92" s="127" t="s">
        <v>2142</v>
      </c>
      <c r="B92" s="127" t="s">
        <v>2141</v>
      </c>
      <c r="C92" s="127" t="s">
        <v>2163</v>
      </c>
      <c r="D92" s="127" t="s">
        <v>2218</v>
      </c>
      <c r="E92" s="127" t="s">
        <v>3353</v>
      </c>
      <c r="F92" s="136" t="s">
        <v>1454</v>
      </c>
      <c r="G92" s="136" t="s">
        <v>1393</v>
      </c>
      <c r="H92" s="128">
        <v>2</v>
      </c>
      <c r="I92" s="128">
        <v>2</v>
      </c>
      <c r="J92" s="128">
        <v>2</v>
      </c>
    </row>
    <row r="93" spans="1:22">
      <c r="A93" s="127" t="s">
        <v>2142</v>
      </c>
      <c r="B93" s="127" t="s">
        <v>2141</v>
      </c>
      <c r="C93" s="127" t="s">
        <v>2172</v>
      </c>
      <c r="D93" s="127" t="s">
        <v>2224</v>
      </c>
      <c r="E93" s="127" t="s">
        <v>3354</v>
      </c>
      <c r="F93" s="136" t="s">
        <v>1454</v>
      </c>
      <c r="G93" s="136" t="s">
        <v>1393</v>
      </c>
      <c r="H93" s="128">
        <v>1</v>
      </c>
      <c r="I93" s="128">
        <v>4</v>
      </c>
      <c r="J93" s="128">
        <v>4</v>
      </c>
    </row>
    <row r="94" spans="1:22" s="112" customFormat="1">
      <c r="A94" s="127" t="s">
        <v>2142</v>
      </c>
      <c r="B94" s="127" t="s">
        <v>2141</v>
      </c>
      <c r="C94" s="127" t="s">
        <v>2204</v>
      </c>
      <c r="D94" s="127" t="s">
        <v>2253</v>
      </c>
      <c r="E94" s="127" t="s">
        <v>2295</v>
      </c>
      <c r="F94" s="136" t="s">
        <v>1454</v>
      </c>
      <c r="G94" s="136" t="s">
        <v>1393</v>
      </c>
      <c r="H94" s="128">
        <v>1</v>
      </c>
      <c r="I94" s="128">
        <v>1</v>
      </c>
      <c r="J94" s="128">
        <v>1</v>
      </c>
      <c r="K94"/>
      <c r="L94"/>
      <c r="M94"/>
      <c r="N94"/>
      <c r="O94"/>
      <c r="P94"/>
      <c r="Q94"/>
      <c r="R94"/>
      <c r="S94"/>
      <c r="T94"/>
      <c r="U94"/>
      <c r="V94"/>
    </row>
    <row r="95" spans="1:22">
      <c r="A95" s="127" t="s">
        <v>2142</v>
      </c>
      <c r="B95" s="127" t="s">
        <v>2141</v>
      </c>
      <c r="C95" s="127" t="s">
        <v>2166</v>
      </c>
      <c r="D95" s="127" t="s">
        <v>2221</v>
      </c>
      <c r="E95" s="127" t="s">
        <v>2296</v>
      </c>
      <c r="F95" s="136" t="s">
        <v>1454</v>
      </c>
      <c r="G95" s="136" t="s">
        <v>1393</v>
      </c>
      <c r="H95" s="128">
        <v>1</v>
      </c>
      <c r="I95" s="128">
        <v>1.5</v>
      </c>
      <c r="J95" s="128">
        <v>1.5</v>
      </c>
    </row>
    <row r="96" spans="1:22">
      <c r="A96" s="127" t="s">
        <v>2142</v>
      </c>
      <c r="B96" s="127" t="s">
        <v>2141</v>
      </c>
      <c r="C96" s="127" t="s">
        <v>3306</v>
      </c>
      <c r="D96" s="127" t="s">
        <v>2400</v>
      </c>
      <c r="E96" s="127" t="s">
        <v>3358</v>
      </c>
      <c r="F96" s="136" t="s">
        <v>1454</v>
      </c>
      <c r="G96" s="136" t="s">
        <v>1393</v>
      </c>
      <c r="H96" s="128">
        <v>3</v>
      </c>
      <c r="I96" s="128">
        <v>3</v>
      </c>
      <c r="J96" s="128">
        <v>3</v>
      </c>
    </row>
    <row r="97" spans="1:22">
      <c r="A97" s="127" t="s">
        <v>2142</v>
      </c>
      <c r="B97" s="127" t="s">
        <v>2144</v>
      </c>
      <c r="C97" s="127" t="s">
        <v>2177</v>
      </c>
      <c r="D97" s="127" t="s">
        <v>2229</v>
      </c>
      <c r="E97" s="127" t="s">
        <v>2297</v>
      </c>
      <c r="F97" s="136" t="s">
        <v>1454</v>
      </c>
      <c r="G97" s="136" t="s">
        <v>1393</v>
      </c>
      <c r="H97" s="128">
        <v>1</v>
      </c>
      <c r="I97" s="128">
        <v>4</v>
      </c>
      <c r="J97" s="128">
        <v>4</v>
      </c>
    </row>
    <row r="98" spans="1:22">
      <c r="A98" s="127" t="s">
        <v>2142</v>
      </c>
      <c r="B98" s="127" t="s">
        <v>2144</v>
      </c>
      <c r="C98" s="127" t="s">
        <v>2158</v>
      </c>
      <c r="D98" s="127" t="s">
        <v>2213</v>
      </c>
      <c r="E98" s="127" t="s">
        <v>2298</v>
      </c>
      <c r="F98" s="136" t="s">
        <v>1454</v>
      </c>
      <c r="G98" s="136" t="s">
        <v>1393</v>
      </c>
      <c r="H98" s="128">
        <v>3</v>
      </c>
      <c r="I98" s="128">
        <v>6.5</v>
      </c>
      <c r="J98" s="128">
        <v>6.5</v>
      </c>
    </row>
    <row r="99" spans="1:22" s="112" customFormat="1">
      <c r="A99" s="127" t="s">
        <v>2142</v>
      </c>
      <c r="B99" s="127" t="s">
        <v>2144</v>
      </c>
      <c r="C99" s="127" t="s">
        <v>2168</v>
      </c>
      <c r="D99" s="127" t="s">
        <v>2222</v>
      </c>
      <c r="E99" s="127" t="s">
        <v>2299</v>
      </c>
      <c r="F99" s="136" t="s">
        <v>1454</v>
      </c>
      <c r="G99" s="136" t="s">
        <v>1393</v>
      </c>
      <c r="H99" s="128">
        <v>3</v>
      </c>
      <c r="I99" s="128">
        <v>3</v>
      </c>
      <c r="J99" s="128">
        <v>3</v>
      </c>
      <c r="K99"/>
      <c r="L99"/>
      <c r="M99"/>
      <c r="N99"/>
      <c r="O99"/>
      <c r="P99"/>
      <c r="Q99"/>
      <c r="R99"/>
      <c r="S99"/>
      <c r="T99"/>
      <c r="U99"/>
      <c r="V99"/>
    </row>
    <row r="100" spans="1:22" s="112" customFormat="1" ht="48" customHeight="1">
      <c r="A100" s="127" t="s">
        <v>2142</v>
      </c>
      <c r="B100" s="127" t="s">
        <v>2144</v>
      </c>
      <c r="C100" s="127" t="s">
        <v>2174</v>
      </c>
      <c r="D100" s="127" t="s">
        <v>2226</v>
      </c>
      <c r="E100" s="127" t="s">
        <v>2300</v>
      </c>
      <c r="F100" s="136" t="s">
        <v>1454</v>
      </c>
      <c r="G100" s="136" t="s">
        <v>1393</v>
      </c>
      <c r="H100" s="128">
        <v>1</v>
      </c>
      <c r="I100" s="128">
        <v>4</v>
      </c>
      <c r="J100" s="128">
        <v>4</v>
      </c>
      <c r="K100"/>
      <c r="L100"/>
      <c r="M100"/>
      <c r="N100"/>
      <c r="O100"/>
      <c r="P100"/>
      <c r="Q100"/>
      <c r="R100"/>
      <c r="S100"/>
      <c r="T100"/>
      <c r="U100"/>
      <c r="V100"/>
    </row>
    <row r="101" spans="1:22">
      <c r="A101" s="127" t="s">
        <v>2142</v>
      </c>
      <c r="B101" s="127" t="s">
        <v>2146</v>
      </c>
      <c r="C101" s="127" t="s">
        <v>2165</v>
      </c>
      <c r="D101" s="127" t="s">
        <v>2220</v>
      </c>
      <c r="E101" s="127" t="s">
        <v>2301</v>
      </c>
      <c r="F101" s="136" t="s">
        <v>1454</v>
      </c>
      <c r="G101" s="136" t="s">
        <v>1393</v>
      </c>
      <c r="H101" s="128">
        <v>7</v>
      </c>
      <c r="I101" s="128">
        <v>11.5</v>
      </c>
      <c r="J101" s="128">
        <v>11.5</v>
      </c>
    </row>
    <row r="102" spans="1:22">
      <c r="A102" s="127" t="s">
        <v>2142</v>
      </c>
      <c r="B102" s="127" t="s">
        <v>2146</v>
      </c>
      <c r="C102" s="127" t="s">
        <v>2182</v>
      </c>
      <c r="D102" s="127" t="s">
        <v>2233</v>
      </c>
      <c r="E102" s="127" t="s">
        <v>2302</v>
      </c>
      <c r="F102" s="136" t="s">
        <v>1454</v>
      </c>
      <c r="G102" s="136" t="s">
        <v>1393</v>
      </c>
      <c r="H102" s="128">
        <v>1</v>
      </c>
      <c r="I102" s="128">
        <v>2</v>
      </c>
      <c r="J102" s="128">
        <v>2</v>
      </c>
    </row>
    <row r="103" spans="1:22">
      <c r="A103" s="127" t="s">
        <v>2142</v>
      </c>
      <c r="B103" s="127" t="s">
        <v>2146</v>
      </c>
      <c r="C103" s="127" t="s">
        <v>2208</v>
      </c>
      <c r="D103" s="127" t="s">
        <v>2257</v>
      </c>
      <c r="E103" s="127" t="s">
        <v>2303</v>
      </c>
      <c r="F103" s="136" t="s">
        <v>1454</v>
      </c>
      <c r="G103" s="136" t="s">
        <v>1393</v>
      </c>
      <c r="H103" s="128">
        <v>1</v>
      </c>
      <c r="I103" s="128">
        <v>1</v>
      </c>
      <c r="J103" s="128">
        <v>1</v>
      </c>
    </row>
    <row r="104" spans="1:22" s="112" customFormat="1">
      <c r="A104" s="127" t="s">
        <v>2142</v>
      </c>
      <c r="B104" s="127" t="s">
        <v>2148</v>
      </c>
      <c r="C104" s="127" t="s">
        <v>2161</v>
      </c>
      <c r="D104" s="127" t="s">
        <v>2215</v>
      </c>
      <c r="E104" s="127" t="s">
        <v>2304</v>
      </c>
      <c r="F104" s="136" t="s">
        <v>1454</v>
      </c>
      <c r="G104" s="136" t="s">
        <v>1393</v>
      </c>
      <c r="H104" s="128">
        <v>2</v>
      </c>
      <c r="I104" s="128">
        <v>4</v>
      </c>
      <c r="J104" s="128">
        <v>4</v>
      </c>
      <c r="K104"/>
      <c r="L104"/>
      <c r="M104"/>
      <c r="N104"/>
      <c r="O104"/>
      <c r="P104"/>
      <c r="Q104"/>
      <c r="R104"/>
      <c r="S104"/>
      <c r="T104"/>
      <c r="U104"/>
      <c r="V104"/>
    </row>
    <row r="105" spans="1:22" s="112" customFormat="1">
      <c r="A105" s="127" t="s">
        <v>2142</v>
      </c>
      <c r="B105" s="127" t="s">
        <v>2148</v>
      </c>
      <c r="C105" s="127" t="s">
        <v>2176</v>
      </c>
      <c r="D105" s="127" t="s">
        <v>2228</v>
      </c>
      <c r="E105" s="127" t="s">
        <v>2305</v>
      </c>
      <c r="F105" s="136" t="s">
        <v>1454</v>
      </c>
      <c r="G105" s="136" t="s">
        <v>1393</v>
      </c>
      <c r="H105" s="128">
        <v>3</v>
      </c>
      <c r="I105" s="128">
        <v>3</v>
      </c>
      <c r="J105" s="128">
        <v>3</v>
      </c>
      <c r="K105"/>
      <c r="L105"/>
      <c r="M105"/>
      <c r="N105"/>
      <c r="O105"/>
      <c r="P105"/>
      <c r="Q105"/>
      <c r="R105"/>
      <c r="S105"/>
      <c r="T105"/>
      <c r="U105"/>
      <c r="V105"/>
    </row>
    <row r="106" spans="1:22">
      <c r="A106" s="127" t="s">
        <v>2142</v>
      </c>
      <c r="B106" s="127" t="s">
        <v>2148</v>
      </c>
      <c r="C106" s="127" t="s">
        <v>2187</v>
      </c>
      <c r="D106" s="127" t="s">
        <v>2239</v>
      </c>
      <c r="E106" s="127" t="s">
        <v>2306</v>
      </c>
      <c r="F106" s="136" t="s">
        <v>1454</v>
      </c>
      <c r="G106" s="136" t="s">
        <v>1393</v>
      </c>
      <c r="H106" s="128">
        <v>1</v>
      </c>
      <c r="I106" s="128">
        <v>3</v>
      </c>
      <c r="J106" s="128">
        <v>3</v>
      </c>
    </row>
    <row r="107" spans="1:22">
      <c r="A107" s="127" t="s">
        <v>2142</v>
      </c>
      <c r="B107" s="127" t="s">
        <v>2150</v>
      </c>
      <c r="C107" s="127" t="s">
        <v>2203</v>
      </c>
      <c r="D107" s="127" t="s">
        <v>2252</v>
      </c>
      <c r="E107" s="127" t="s">
        <v>2307</v>
      </c>
      <c r="F107" s="136" t="s">
        <v>1454</v>
      </c>
      <c r="G107" s="136" t="s">
        <v>1393</v>
      </c>
      <c r="H107" s="128">
        <v>3</v>
      </c>
      <c r="I107" s="128">
        <v>3</v>
      </c>
      <c r="J107" s="128">
        <v>3</v>
      </c>
    </row>
    <row r="108" spans="1:22">
      <c r="A108" s="127" t="s">
        <v>2142</v>
      </c>
      <c r="B108" s="127" t="s">
        <v>2150</v>
      </c>
      <c r="C108" s="127" t="s">
        <v>2183</v>
      </c>
      <c r="D108" s="127" t="s">
        <v>2234</v>
      </c>
      <c r="E108" s="127" t="s">
        <v>2308</v>
      </c>
      <c r="F108" s="136" t="s">
        <v>1454</v>
      </c>
      <c r="G108" s="136" t="s">
        <v>1393</v>
      </c>
      <c r="H108" s="128">
        <v>1</v>
      </c>
      <c r="I108" s="128">
        <v>1</v>
      </c>
      <c r="J108" s="128">
        <v>1</v>
      </c>
    </row>
    <row r="109" spans="1:22">
      <c r="A109" s="127" t="s">
        <v>2142</v>
      </c>
      <c r="B109" s="127" t="s">
        <v>2150</v>
      </c>
      <c r="C109" s="127" t="s">
        <v>2179</v>
      </c>
      <c r="D109" s="127" t="s">
        <v>2231</v>
      </c>
      <c r="E109" s="127" t="s">
        <v>2309</v>
      </c>
      <c r="F109" s="136" t="s">
        <v>1454</v>
      </c>
      <c r="G109" s="136" t="s">
        <v>1393</v>
      </c>
      <c r="H109" s="128">
        <v>2</v>
      </c>
      <c r="I109" s="128">
        <v>2</v>
      </c>
      <c r="J109" s="128">
        <v>2</v>
      </c>
    </row>
    <row r="110" spans="1:22">
      <c r="A110" s="127" t="s">
        <v>2142</v>
      </c>
      <c r="B110" s="127" t="s">
        <v>2150</v>
      </c>
      <c r="C110" s="127" t="s">
        <v>2180</v>
      </c>
      <c r="D110" s="127" t="s">
        <v>2232</v>
      </c>
      <c r="E110" s="127" t="s">
        <v>2310</v>
      </c>
      <c r="F110" s="136" t="s">
        <v>1454</v>
      </c>
      <c r="G110" s="136" t="s">
        <v>1393</v>
      </c>
      <c r="H110" s="128">
        <v>1</v>
      </c>
      <c r="I110" s="128">
        <v>0.5</v>
      </c>
      <c r="J110" s="128">
        <v>0.5</v>
      </c>
    </row>
    <row r="111" spans="1:22" s="112" customFormat="1">
      <c r="A111" s="127" t="s">
        <v>2142</v>
      </c>
      <c r="B111" s="127" t="s">
        <v>2150</v>
      </c>
      <c r="C111" s="127" t="s">
        <v>4012</v>
      </c>
      <c r="D111" s="127" t="s">
        <v>4013</v>
      </c>
      <c r="E111" s="127" t="s">
        <v>4014</v>
      </c>
      <c r="F111" s="136" t="s">
        <v>1454</v>
      </c>
      <c r="G111" s="136" t="s">
        <v>1393</v>
      </c>
      <c r="H111" s="128">
        <v>1</v>
      </c>
      <c r="I111" s="128">
        <v>2</v>
      </c>
      <c r="J111" s="128">
        <v>2</v>
      </c>
      <c r="K111"/>
      <c r="L111"/>
      <c r="M111"/>
      <c r="N111"/>
      <c r="O111"/>
      <c r="P111"/>
      <c r="Q111"/>
      <c r="R111"/>
      <c r="S111"/>
      <c r="T111"/>
      <c r="U111"/>
      <c r="V111"/>
    </row>
    <row r="112" spans="1:22" s="112" customFormat="1">
      <c r="A112" s="127" t="s">
        <v>2142</v>
      </c>
      <c r="B112" s="127" t="s">
        <v>2150</v>
      </c>
      <c r="C112" s="127" t="s">
        <v>3307</v>
      </c>
      <c r="D112" s="127" t="s">
        <v>2216</v>
      </c>
      <c r="E112" s="127" t="s">
        <v>3355</v>
      </c>
      <c r="F112" s="136" t="s">
        <v>1454</v>
      </c>
      <c r="G112" s="136" t="s">
        <v>1393</v>
      </c>
      <c r="H112" s="128">
        <v>3</v>
      </c>
      <c r="I112" s="128">
        <v>6</v>
      </c>
      <c r="J112" s="128">
        <v>6</v>
      </c>
      <c r="K112"/>
      <c r="L112"/>
      <c r="M112"/>
      <c r="N112"/>
      <c r="O112"/>
      <c r="P112"/>
      <c r="Q112"/>
      <c r="R112"/>
      <c r="S112"/>
      <c r="T112"/>
      <c r="U112"/>
      <c r="V112"/>
    </row>
    <row r="113" spans="1:22" s="112" customFormat="1">
      <c r="A113" s="127" t="s">
        <v>2142</v>
      </c>
      <c r="B113" s="127" t="s">
        <v>2150</v>
      </c>
      <c r="C113" s="127" t="s">
        <v>2202</v>
      </c>
      <c r="D113" s="127" t="s">
        <v>2251</v>
      </c>
      <c r="E113" s="127" t="s">
        <v>2311</v>
      </c>
      <c r="F113" s="136" t="s">
        <v>1454</v>
      </c>
      <c r="G113" s="136" t="s">
        <v>1393</v>
      </c>
      <c r="H113" s="128">
        <v>0</v>
      </c>
      <c r="I113" s="128">
        <v>0</v>
      </c>
      <c r="J113" s="128">
        <v>0</v>
      </c>
      <c r="K113"/>
      <c r="L113"/>
      <c r="M113"/>
      <c r="N113"/>
      <c r="O113"/>
      <c r="P113"/>
      <c r="Q113"/>
      <c r="R113"/>
      <c r="S113"/>
      <c r="T113"/>
      <c r="U113"/>
      <c r="V113"/>
    </row>
    <row r="114" spans="1:22" s="112" customFormat="1" ht="51" customHeight="1">
      <c r="A114" s="127" t="s">
        <v>2142</v>
      </c>
      <c r="B114" s="127" t="s">
        <v>2150</v>
      </c>
      <c r="C114" s="127" t="s">
        <v>2175</v>
      </c>
      <c r="D114" s="127" t="s">
        <v>2227</v>
      </c>
      <c r="E114" s="127" t="s">
        <v>2312</v>
      </c>
      <c r="F114" s="136" t="s">
        <v>1454</v>
      </c>
      <c r="G114" s="136" t="s">
        <v>1393</v>
      </c>
      <c r="H114" s="128">
        <v>0</v>
      </c>
      <c r="I114" s="128">
        <v>0</v>
      </c>
      <c r="J114" s="128">
        <v>0</v>
      </c>
      <c r="K114"/>
      <c r="L114"/>
      <c r="M114"/>
      <c r="N114"/>
      <c r="O114"/>
      <c r="P114"/>
      <c r="Q114"/>
      <c r="R114"/>
      <c r="S114"/>
      <c r="T114"/>
      <c r="U114"/>
      <c r="V114"/>
    </row>
    <row r="115" spans="1:22">
      <c r="A115" s="127" t="s">
        <v>2142</v>
      </c>
      <c r="B115" s="127" t="s">
        <v>2150</v>
      </c>
      <c r="C115" s="127" t="s">
        <v>3100</v>
      </c>
      <c r="D115" s="127" t="s">
        <v>3101</v>
      </c>
      <c r="E115" s="127" t="s">
        <v>3102</v>
      </c>
      <c r="F115" s="136" t="s">
        <v>1454</v>
      </c>
      <c r="G115" s="136" t="s">
        <v>1393</v>
      </c>
      <c r="H115" s="128">
        <v>4</v>
      </c>
      <c r="I115" s="128">
        <v>7</v>
      </c>
      <c r="J115" s="128">
        <v>7</v>
      </c>
    </row>
    <row r="116" spans="1:22" s="112" customFormat="1">
      <c r="A116" s="127" t="s">
        <v>2142</v>
      </c>
      <c r="B116" s="127" t="s">
        <v>2150</v>
      </c>
      <c r="C116" s="127" t="s">
        <v>3103</v>
      </c>
      <c r="D116" s="127" t="s">
        <v>3104</v>
      </c>
      <c r="E116" s="127" t="s">
        <v>3105</v>
      </c>
      <c r="F116" s="136" t="s">
        <v>1454</v>
      </c>
      <c r="G116" s="136" t="s">
        <v>1393</v>
      </c>
      <c r="H116" s="128">
        <v>1</v>
      </c>
      <c r="I116" s="128">
        <v>2</v>
      </c>
      <c r="J116" s="128">
        <v>2</v>
      </c>
      <c r="K116"/>
      <c r="L116"/>
      <c r="M116"/>
      <c r="N116"/>
      <c r="O116"/>
      <c r="P116"/>
      <c r="Q116"/>
      <c r="R116"/>
      <c r="S116"/>
      <c r="T116"/>
      <c r="U116"/>
      <c r="V116"/>
    </row>
    <row r="117" spans="1:22" s="112" customFormat="1">
      <c r="A117" s="127" t="s">
        <v>2142</v>
      </c>
      <c r="B117" s="127" t="s">
        <v>2150</v>
      </c>
      <c r="C117" s="127" t="s">
        <v>3106</v>
      </c>
      <c r="D117" s="127" t="s">
        <v>3107</v>
      </c>
      <c r="E117" s="127" t="s">
        <v>3108</v>
      </c>
      <c r="F117" s="136" t="s">
        <v>1454</v>
      </c>
      <c r="G117" s="136" t="s">
        <v>1393</v>
      </c>
      <c r="H117" s="128">
        <v>2</v>
      </c>
      <c r="I117" s="128">
        <v>3.5</v>
      </c>
      <c r="J117" s="128">
        <v>3.5</v>
      </c>
      <c r="K117"/>
      <c r="L117"/>
      <c r="M117"/>
      <c r="N117"/>
      <c r="O117"/>
      <c r="P117"/>
      <c r="Q117"/>
      <c r="R117"/>
      <c r="S117"/>
      <c r="T117"/>
      <c r="U117"/>
      <c r="V117"/>
    </row>
    <row r="118" spans="1:22" s="112" customFormat="1">
      <c r="A118" s="127" t="s">
        <v>2142</v>
      </c>
      <c r="B118" s="127" t="s">
        <v>2151</v>
      </c>
      <c r="C118" s="127" t="s">
        <v>2173</v>
      </c>
      <c r="D118" s="127" t="s">
        <v>2225</v>
      </c>
      <c r="E118" s="127" t="s">
        <v>2313</v>
      </c>
      <c r="F118" s="136" t="s">
        <v>1454</v>
      </c>
      <c r="G118" s="136" t="s">
        <v>1393</v>
      </c>
      <c r="H118" s="128">
        <v>3</v>
      </c>
      <c r="I118" s="128">
        <v>3</v>
      </c>
      <c r="J118" s="128">
        <v>1</v>
      </c>
      <c r="K118"/>
      <c r="L118"/>
      <c r="M118"/>
      <c r="N118"/>
      <c r="O118"/>
      <c r="P118"/>
      <c r="Q118"/>
      <c r="R118"/>
      <c r="S118"/>
      <c r="T118"/>
      <c r="U118"/>
      <c r="V118"/>
    </row>
    <row r="119" spans="1:22" s="112" customFormat="1">
      <c r="A119" s="127" t="s">
        <v>2142</v>
      </c>
      <c r="B119" s="127" t="s">
        <v>2151</v>
      </c>
      <c r="C119" s="127" t="s">
        <v>2170</v>
      </c>
      <c r="D119" s="127" t="s">
        <v>2223</v>
      </c>
      <c r="E119" s="127" t="s">
        <v>3356</v>
      </c>
      <c r="F119" s="136" t="s">
        <v>2123</v>
      </c>
      <c r="G119" s="136" t="s">
        <v>2123</v>
      </c>
      <c r="H119" s="128">
        <v>1</v>
      </c>
      <c r="I119" s="128">
        <v>1.5</v>
      </c>
      <c r="J119" s="128">
        <v>1.5</v>
      </c>
      <c r="K119"/>
      <c r="L119"/>
      <c r="M119"/>
      <c r="N119"/>
      <c r="O119"/>
      <c r="P119"/>
      <c r="Q119"/>
      <c r="R119"/>
      <c r="S119"/>
      <c r="T119"/>
      <c r="U119"/>
      <c r="V119"/>
    </row>
    <row r="120" spans="1:22" s="112" customFormat="1">
      <c r="A120" s="127" t="s">
        <v>2142</v>
      </c>
      <c r="B120" s="127" t="s">
        <v>2153</v>
      </c>
      <c r="C120" s="127" t="s">
        <v>2186</v>
      </c>
      <c r="D120" s="127" t="s">
        <v>2237</v>
      </c>
      <c r="E120" s="127" t="s">
        <v>2314</v>
      </c>
      <c r="F120" s="136" t="s">
        <v>2123</v>
      </c>
      <c r="G120" s="136" t="s">
        <v>2123</v>
      </c>
      <c r="H120" s="128">
        <v>2</v>
      </c>
      <c r="I120" s="128">
        <v>3.5</v>
      </c>
      <c r="J120" s="128">
        <v>3.5</v>
      </c>
      <c r="K120"/>
      <c r="L120"/>
      <c r="M120"/>
      <c r="N120"/>
      <c r="O120"/>
      <c r="P120"/>
      <c r="Q120"/>
      <c r="R120"/>
      <c r="S120"/>
      <c r="T120"/>
      <c r="U120"/>
      <c r="V120"/>
    </row>
    <row r="121" spans="1:22" s="112" customFormat="1">
      <c r="A121" s="127" t="s">
        <v>2142</v>
      </c>
      <c r="B121" s="127" t="s">
        <v>2153</v>
      </c>
      <c r="C121" s="127" t="s">
        <v>2189</v>
      </c>
      <c r="D121" s="127" t="s">
        <v>2241</v>
      </c>
      <c r="E121" s="127" t="s">
        <v>2315</v>
      </c>
      <c r="F121" s="136" t="s">
        <v>2123</v>
      </c>
      <c r="G121" s="136" t="s">
        <v>2123</v>
      </c>
      <c r="H121" s="128">
        <v>1</v>
      </c>
      <c r="I121" s="128">
        <v>2</v>
      </c>
      <c r="J121" s="128">
        <v>2</v>
      </c>
      <c r="K121"/>
      <c r="L121"/>
      <c r="M121"/>
      <c r="N121"/>
      <c r="O121"/>
      <c r="P121"/>
      <c r="Q121"/>
      <c r="R121"/>
      <c r="S121"/>
      <c r="T121"/>
      <c r="U121"/>
      <c r="V121"/>
    </row>
    <row r="122" spans="1:22" s="112" customFormat="1">
      <c r="A122" s="127" t="s">
        <v>2142</v>
      </c>
      <c r="B122" s="127" t="s">
        <v>2153</v>
      </c>
      <c r="C122" s="127" t="s">
        <v>1601</v>
      </c>
      <c r="D122" s="127" t="s">
        <v>2242</v>
      </c>
      <c r="E122" s="127" t="s">
        <v>2316</v>
      </c>
      <c r="F122" s="136" t="s">
        <v>2123</v>
      </c>
      <c r="G122" s="136" t="s">
        <v>2123</v>
      </c>
      <c r="H122" s="128">
        <v>0</v>
      </c>
      <c r="I122" s="128">
        <v>0</v>
      </c>
      <c r="J122" s="128">
        <v>0</v>
      </c>
      <c r="K122"/>
      <c r="L122"/>
      <c r="M122"/>
      <c r="N122"/>
      <c r="O122"/>
      <c r="P122"/>
      <c r="Q122"/>
      <c r="R122"/>
      <c r="S122"/>
      <c r="T122"/>
      <c r="U122"/>
      <c r="V122"/>
    </row>
    <row r="123" spans="1:22" s="112" customFormat="1">
      <c r="A123" s="127" t="s">
        <v>2142</v>
      </c>
      <c r="B123" s="127" t="s">
        <v>2153</v>
      </c>
      <c r="C123" s="127" t="s">
        <v>2188</v>
      </c>
      <c r="D123" s="127" t="s">
        <v>2240</v>
      </c>
      <c r="E123" s="127" t="s">
        <v>2317</v>
      </c>
      <c r="F123" s="136" t="s">
        <v>1454</v>
      </c>
      <c r="G123" s="136" t="s">
        <v>1393</v>
      </c>
      <c r="H123" s="128">
        <v>2</v>
      </c>
      <c r="I123" s="128">
        <v>1.5</v>
      </c>
      <c r="J123" s="128">
        <v>1.5</v>
      </c>
      <c r="K123"/>
      <c r="L123"/>
      <c r="M123"/>
      <c r="N123"/>
      <c r="O123"/>
      <c r="P123"/>
      <c r="Q123"/>
      <c r="R123"/>
      <c r="S123"/>
      <c r="T123"/>
      <c r="U123"/>
      <c r="V123"/>
    </row>
    <row r="124" spans="1:22" s="112" customFormat="1">
      <c r="A124" s="127" t="s">
        <v>2142</v>
      </c>
      <c r="B124" s="127" t="s">
        <v>2155</v>
      </c>
      <c r="C124" s="127" t="s">
        <v>2184</v>
      </c>
      <c r="D124" s="127" t="s">
        <v>2235</v>
      </c>
      <c r="E124" s="127" t="s">
        <v>2318</v>
      </c>
      <c r="F124" s="136" t="s">
        <v>1454</v>
      </c>
      <c r="G124" s="136" t="s">
        <v>1393</v>
      </c>
      <c r="H124" s="128">
        <v>3</v>
      </c>
      <c r="I124" s="128">
        <v>2.5</v>
      </c>
      <c r="J124" s="128">
        <v>2.5</v>
      </c>
      <c r="K124"/>
      <c r="L124"/>
      <c r="M124"/>
      <c r="N124"/>
      <c r="O124"/>
      <c r="P124"/>
      <c r="Q124"/>
      <c r="R124"/>
      <c r="S124"/>
      <c r="T124"/>
      <c r="U124"/>
      <c r="V124"/>
    </row>
    <row r="125" spans="1:22" s="112" customFormat="1">
      <c r="A125" s="127" t="s">
        <v>2142</v>
      </c>
      <c r="B125" s="127" t="s">
        <v>2155</v>
      </c>
      <c r="C125" s="127" t="s">
        <v>2191</v>
      </c>
      <c r="D125" s="127" t="s">
        <v>2244</v>
      </c>
      <c r="E125" s="127" t="s">
        <v>3357</v>
      </c>
      <c r="F125" s="136" t="s">
        <v>1454</v>
      </c>
      <c r="G125" s="136" t="s">
        <v>1393</v>
      </c>
      <c r="H125" s="128">
        <v>0</v>
      </c>
      <c r="I125" s="128">
        <v>0</v>
      </c>
      <c r="J125" s="128">
        <v>0</v>
      </c>
      <c r="K125"/>
      <c r="L125"/>
      <c r="M125"/>
      <c r="N125"/>
      <c r="O125"/>
      <c r="P125"/>
      <c r="Q125"/>
      <c r="R125"/>
      <c r="S125"/>
      <c r="T125"/>
      <c r="U125"/>
      <c r="V125"/>
    </row>
    <row r="126" spans="1:22" s="112" customFormat="1">
      <c r="A126" s="127" t="s">
        <v>2142</v>
      </c>
      <c r="B126" s="127" t="s">
        <v>2155</v>
      </c>
      <c r="C126" s="127" t="s">
        <v>2199</v>
      </c>
      <c r="D126" s="127" t="s">
        <v>2246</v>
      </c>
      <c r="E126" s="127" t="s">
        <v>2319</v>
      </c>
      <c r="F126" s="136" t="s">
        <v>2123</v>
      </c>
      <c r="G126" s="136" t="s">
        <v>2123</v>
      </c>
      <c r="H126" s="128">
        <v>0</v>
      </c>
      <c r="I126" s="128">
        <v>0</v>
      </c>
      <c r="J126" s="128">
        <v>0</v>
      </c>
      <c r="K126"/>
      <c r="L126"/>
      <c r="M126"/>
      <c r="N126"/>
      <c r="O126"/>
      <c r="P126"/>
      <c r="Q126"/>
      <c r="R126"/>
      <c r="S126"/>
      <c r="T126"/>
      <c r="U126"/>
      <c r="V126"/>
    </row>
    <row r="127" spans="1:22" s="112" customFormat="1">
      <c r="A127" s="127" t="s">
        <v>2142</v>
      </c>
      <c r="B127" s="127" t="s">
        <v>2155</v>
      </c>
      <c r="C127" s="127" t="s">
        <v>2201</v>
      </c>
      <c r="D127" s="127" t="s">
        <v>2249</v>
      </c>
      <c r="E127" s="127" t="s">
        <v>2320</v>
      </c>
      <c r="F127" s="136" t="s">
        <v>2123</v>
      </c>
      <c r="G127" s="136" t="s">
        <v>2123</v>
      </c>
      <c r="H127" s="128">
        <v>0</v>
      </c>
      <c r="I127" s="128">
        <v>0</v>
      </c>
      <c r="J127" s="128">
        <v>0</v>
      </c>
      <c r="K127"/>
      <c r="L127"/>
      <c r="M127"/>
      <c r="N127"/>
      <c r="O127"/>
      <c r="P127"/>
      <c r="Q127"/>
      <c r="R127"/>
      <c r="S127"/>
      <c r="T127"/>
      <c r="U127"/>
      <c r="V127"/>
    </row>
    <row r="128" spans="1:22" s="112" customFormat="1">
      <c r="A128" s="127" t="s">
        <v>2142</v>
      </c>
      <c r="B128" s="127" t="s">
        <v>2155</v>
      </c>
      <c r="C128" s="127" t="s">
        <v>2190</v>
      </c>
      <c r="D128" s="127" t="s">
        <v>2243</v>
      </c>
      <c r="E128" s="127" t="s">
        <v>2321</v>
      </c>
      <c r="F128" s="136" t="s">
        <v>1454</v>
      </c>
      <c r="G128" s="136" t="s">
        <v>1393</v>
      </c>
      <c r="H128" s="128">
        <v>2</v>
      </c>
      <c r="I128" s="128">
        <v>7</v>
      </c>
      <c r="J128" s="128">
        <v>7</v>
      </c>
      <c r="K128"/>
      <c r="L128"/>
      <c r="M128"/>
      <c r="N128"/>
      <c r="O128"/>
      <c r="P128"/>
      <c r="Q128"/>
      <c r="R128"/>
      <c r="S128"/>
      <c r="T128"/>
      <c r="U128"/>
      <c r="V128"/>
    </row>
    <row r="129" spans="1:22" s="112" customFormat="1">
      <c r="A129" s="127" t="s">
        <v>2142</v>
      </c>
      <c r="B129" s="127" t="s">
        <v>2155</v>
      </c>
      <c r="C129" s="127" t="s">
        <v>2205</v>
      </c>
      <c r="D129" s="127" t="s">
        <v>2254</v>
      </c>
      <c r="E129" s="127" t="s">
        <v>2322</v>
      </c>
      <c r="F129" s="136" t="s">
        <v>1454</v>
      </c>
      <c r="G129" s="136" t="s">
        <v>1393</v>
      </c>
      <c r="H129" s="128">
        <v>10</v>
      </c>
      <c r="I129" s="128">
        <v>15</v>
      </c>
      <c r="J129" s="128">
        <v>15</v>
      </c>
      <c r="K129"/>
      <c r="L129"/>
      <c r="M129"/>
      <c r="N129"/>
      <c r="O129"/>
      <c r="P129"/>
      <c r="Q129"/>
      <c r="R129"/>
      <c r="S129"/>
      <c r="T129"/>
      <c r="U129"/>
      <c r="V129"/>
    </row>
    <row r="130" spans="1:22" s="112" customFormat="1">
      <c r="A130" s="127" t="s">
        <v>2142</v>
      </c>
      <c r="B130" s="127" t="s">
        <v>2155</v>
      </c>
      <c r="C130" s="127" t="s">
        <v>2160</v>
      </c>
      <c r="D130" s="127" t="s">
        <v>2214</v>
      </c>
      <c r="E130" s="127" t="s">
        <v>2323</v>
      </c>
      <c r="F130" s="136" t="s">
        <v>1454</v>
      </c>
      <c r="G130" s="136" t="s">
        <v>1393</v>
      </c>
      <c r="H130" s="128">
        <v>0</v>
      </c>
      <c r="I130" s="128">
        <v>0</v>
      </c>
      <c r="J130" s="128">
        <v>0</v>
      </c>
      <c r="K130"/>
      <c r="L130"/>
      <c r="M130"/>
      <c r="N130"/>
      <c r="O130"/>
      <c r="P130"/>
      <c r="Q130"/>
      <c r="R130"/>
      <c r="S130"/>
      <c r="T130"/>
      <c r="U130"/>
      <c r="V130"/>
    </row>
    <row r="131" spans="1:22" s="112" customFormat="1">
      <c r="A131" s="127" t="s">
        <v>2142</v>
      </c>
      <c r="B131" s="127" t="s">
        <v>2156</v>
      </c>
      <c r="C131" s="127" t="s">
        <v>2209</v>
      </c>
      <c r="D131" s="127" t="s">
        <v>2258</v>
      </c>
      <c r="E131" s="127" t="s">
        <v>2324</v>
      </c>
      <c r="F131" s="136" t="s">
        <v>1454</v>
      </c>
      <c r="G131" s="136" t="s">
        <v>1393</v>
      </c>
      <c r="H131" s="128">
        <v>1</v>
      </c>
      <c r="I131" s="128">
        <v>1</v>
      </c>
      <c r="J131" s="128">
        <v>1</v>
      </c>
      <c r="K131"/>
      <c r="L131"/>
      <c r="M131"/>
      <c r="N131"/>
      <c r="O131"/>
      <c r="P131"/>
      <c r="Q131"/>
      <c r="R131"/>
      <c r="S131"/>
      <c r="T131"/>
      <c r="U131"/>
      <c r="V131"/>
    </row>
    <row r="132" spans="1:22" s="112" customFormat="1">
      <c r="A132" s="127" t="s">
        <v>2142</v>
      </c>
      <c r="B132" s="127" t="s">
        <v>2156</v>
      </c>
      <c r="C132" s="127" t="s">
        <v>2207</v>
      </c>
      <c r="D132" s="127" t="s">
        <v>2256</v>
      </c>
      <c r="E132" s="127" t="s">
        <v>2325</v>
      </c>
      <c r="F132" s="136" t="s">
        <v>1454</v>
      </c>
      <c r="G132" s="136" t="s">
        <v>1393</v>
      </c>
      <c r="H132" s="128">
        <v>2</v>
      </c>
      <c r="I132" s="128">
        <v>3</v>
      </c>
      <c r="J132" s="128">
        <v>3</v>
      </c>
      <c r="K132"/>
      <c r="L132"/>
      <c r="M132"/>
      <c r="N132"/>
      <c r="O132"/>
      <c r="P132"/>
      <c r="Q132"/>
      <c r="R132"/>
      <c r="S132"/>
      <c r="T132"/>
      <c r="U132"/>
      <c r="V132"/>
    </row>
    <row r="133" spans="1:22" s="112" customFormat="1">
      <c r="A133" s="127"/>
      <c r="B133" s="127"/>
      <c r="C133" s="127"/>
      <c r="D133" s="127"/>
      <c r="E133" s="127"/>
      <c r="F133" s="136"/>
      <c r="G133" s="136"/>
      <c r="H133" s="128"/>
      <c r="I133" s="128"/>
      <c r="J133" s="128"/>
      <c r="K133"/>
      <c r="L133"/>
      <c r="M133"/>
      <c r="N133"/>
      <c r="O133"/>
      <c r="P133"/>
      <c r="Q133"/>
      <c r="R133"/>
      <c r="S133"/>
      <c r="T133"/>
      <c r="U133"/>
      <c r="V133"/>
    </row>
    <row r="134" spans="1:22" s="112" customFormat="1">
      <c r="A134" s="158" t="s">
        <v>4</v>
      </c>
      <c r="B134" s="158"/>
      <c r="C134" s="158"/>
      <c r="D134" s="158"/>
      <c r="E134" s="158"/>
      <c r="F134" s="159"/>
      <c r="G134" s="159"/>
      <c r="H134" s="160">
        <f>SUM(H2:H132)</f>
        <v>158</v>
      </c>
      <c r="I134" s="160">
        <f>SUM(I2:I132)</f>
        <v>233.5</v>
      </c>
      <c r="J134" s="160">
        <f>SUM(J2:J132)</f>
        <v>220.5</v>
      </c>
      <c r="K134"/>
      <c r="L134"/>
      <c r="M134"/>
      <c r="N134"/>
      <c r="O134"/>
      <c r="P134"/>
      <c r="Q134"/>
      <c r="R134"/>
      <c r="S134"/>
      <c r="T134"/>
      <c r="U134"/>
      <c r="V134"/>
    </row>
    <row r="135" spans="1:22" s="112" customFormat="1">
      <c r="A135"/>
      <c r="B135"/>
      <c r="C135"/>
      <c r="D135"/>
      <c r="E135"/>
      <c r="F135"/>
      <c r="G135"/>
      <c r="H135"/>
      <c r="I135"/>
      <c r="J135"/>
      <c r="K135"/>
      <c r="L135"/>
      <c r="M135"/>
      <c r="N135"/>
      <c r="O135"/>
      <c r="P135"/>
      <c r="Q135"/>
      <c r="R135"/>
      <c r="S135"/>
      <c r="T135"/>
      <c r="U135"/>
      <c r="V135"/>
    </row>
    <row r="136" spans="1:22" s="112" customFormat="1">
      <c r="A136"/>
      <c r="B136"/>
      <c r="C136"/>
      <c r="D136"/>
      <c r="E136"/>
      <c r="F136"/>
      <c r="G136"/>
      <c r="H136"/>
      <c r="I136"/>
      <c r="J136"/>
      <c r="K136"/>
      <c r="L136"/>
      <c r="M136"/>
      <c r="N136"/>
      <c r="O136"/>
      <c r="P136"/>
      <c r="Q136"/>
      <c r="R136"/>
      <c r="S136"/>
      <c r="T136"/>
      <c r="U136"/>
      <c r="V136"/>
    </row>
    <row r="137" spans="1:22" s="112" customFormat="1">
      <c r="A137"/>
      <c r="B137"/>
      <c r="C137"/>
      <c r="D137"/>
      <c r="E137"/>
      <c r="F137"/>
      <c r="G137"/>
      <c r="H137"/>
      <c r="I137"/>
      <c r="J137"/>
      <c r="K137"/>
      <c r="L137"/>
      <c r="M137"/>
      <c r="N137"/>
      <c r="O137"/>
      <c r="P137"/>
      <c r="Q137"/>
      <c r="R137"/>
      <c r="S137"/>
      <c r="T137"/>
      <c r="U137"/>
      <c r="V137"/>
    </row>
    <row r="138" spans="1:22" s="112" customFormat="1">
      <c r="A138"/>
      <c r="B138"/>
      <c r="C138"/>
      <c r="D138"/>
      <c r="E138"/>
      <c r="F138"/>
      <c r="G138"/>
      <c r="H138"/>
      <c r="I138"/>
      <c r="J138"/>
      <c r="K138"/>
      <c r="L138"/>
      <c r="M138"/>
      <c r="N138"/>
      <c r="O138"/>
      <c r="P138"/>
      <c r="Q138"/>
      <c r="R138"/>
      <c r="S138"/>
      <c r="T138"/>
      <c r="U138"/>
      <c r="V138"/>
    </row>
    <row r="139" spans="1:22" s="112" customFormat="1">
      <c r="A139"/>
      <c r="B139"/>
      <c r="C139"/>
      <c r="D139"/>
      <c r="E139"/>
      <c r="F139"/>
      <c r="G139"/>
      <c r="H139"/>
      <c r="I139"/>
      <c r="J139"/>
      <c r="K139"/>
      <c r="L139"/>
      <c r="M139"/>
      <c r="N139"/>
      <c r="O139"/>
      <c r="P139"/>
      <c r="Q139"/>
      <c r="R139"/>
      <c r="S139"/>
      <c r="T139"/>
      <c r="U139"/>
      <c r="V139"/>
    </row>
    <row r="140" spans="1:22" s="112" customFormat="1">
      <c r="A140"/>
      <c r="B140"/>
      <c r="C140"/>
      <c r="D140"/>
      <c r="E140"/>
      <c r="F140"/>
      <c r="G140"/>
      <c r="H140"/>
      <c r="I140"/>
      <c r="J140"/>
      <c r="K140"/>
      <c r="L140"/>
      <c r="M140"/>
      <c r="N140"/>
      <c r="O140"/>
      <c r="P140"/>
      <c r="Q140"/>
      <c r="R140"/>
      <c r="S140"/>
      <c r="T140"/>
      <c r="U140"/>
      <c r="V140"/>
    </row>
    <row r="143" spans="1:22">
      <c r="C143" s="2"/>
      <c r="D143" s="2"/>
      <c r="E143" s="2"/>
      <c r="F143" s="2"/>
      <c r="G143" s="2"/>
      <c r="H143" s="2"/>
      <c r="I143" s="2"/>
      <c r="J143" s="2"/>
    </row>
  </sheetData>
  <autoFilter ref="A1:J132" xr:uid="{BAB481B8-385A-E74C-AA63-82C9D712D0BD}"/>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A54F-346E-3646-A1DA-7D48FBCA8819}">
  <dimension ref="A1:H86"/>
  <sheetViews>
    <sheetView workbookViewId="0">
      <pane ySplit="1" topLeftCell="A11" activePane="bottomLeft" state="frozen"/>
      <selection pane="bottomLeft"/>
    </sheetView>
  </sheetViews>
  <sheetFormatPr baseColWidth="10" defaultRowHeight="20"/>
  <cols>
    <col min="1" max="1" width="27.140625" customWidth="1"/>
    <col min="2" max="2" width="32.85546875" customWidth="1"/>
    <col min="3" max="8" width="11.140625" customWidth="1"/>
  </cols>
  <sheetData>
    <row r="1" spans="1:8">
      <c r="A1" s="114" t="s">
        <v>1926</v>
      </c>
      <c r="B1" s="114" t="s">
        <v>1847</v>
      </c>
      <c r="C1" s="114" t="s">
        <v>3291</v>
      </c>
      <c r="D1" s="114" t="s">
        <v>1400</v>
      </c>
      <c r="E1" s="114" t="s">
        <v>3292</v>
      </c>
      <c r="F1" s="114" t="s">
        <v>1401</v>
      </c>
      <c r="G1" s="114" t="s">
        <v>1395</v>
      </c>
      <c r="H1" s="114" t="s">
        <v>3293</v>
      </c>
    </row>
    <row r="2" spans="1:8">
      <c r="A2" t="s">
        <v>4682</v>
      </c>
      <c r="B2" t="s">
        <v>3294</v>
      </c>
      <c r="C2" s="137">
        <f>SUMIFS('WBS(基本設計)'!$I$2:$I$159,'WBS(基本設計)'!$E$2:$E$159,$B2,'WBS(基本設計)'!$N$2:$N$159,"対象")</f>
        <v>3</v>
      </c>
      <c r="D2" s="137">
        <f>SUMIF('WBS(詳細設計_製造)'!$D$2:$D$182,$B2,'WBS(詳細設計_製造)'!$G$2:$G$182)</f>
        <v>4</v>
      </c>
      <c r="E2" s="137">
        <f>SUMIF('WBS(詳細設計_製造)'!$D$2:$D$182,$B2,'WBS(詳細設計_製造)'!$H$2:$H$182)</f>
        <v>7</v>
      </c>
      <c r="F2" s="137">
        <f>SUMIF('WBS(テスト)'!$D$2:$D$95,$B2,'WBS(テスト)'!$G$2:$G$95)</f>
        <v>8</v>
      </c>
      <c r="G2" s="137">
        <f>SUM(C2:F2)</f>
        <v>22</v>
      </c>
      <c r="H2" s="137">
        <f>COUNTIF('WBS(詳細設計_製造)'!$D$2:$D$182,$B2)+COUNTIF('WBS(テスト)'!$D$2:$D$95,$B2)</f>
        <v>6</v>
      </c>
    </row>
    <row r="3" spans="1:8">
      <c r="A3" t="s">
        <v>4682</v>
      </c>
      <c r="B3" t="s">
        <v>1850</v>
      </c>
      <c r="C3" s="137">
        <f>SUMIFS('WBS(基本設計)'!$I$2:$I$159,'WBS(基本設計)'!$E$2:$E$159,$B3,'WBS(基本設計)'!$N$2:$N$159,"対象")</f>
        <v>0.5</v>
      </c>
      <c r="D3" s="137">
        <f>SUMIF('WBS(詳細設計_製造)'!$D$2:$D$182,$B3,'WBS(詳細設計_製造)'!$G$2:$G$182)</f>
        <v>0</v>
      </c>
      <c r="E3" s="137">
        <f>SUMIF('WBS(詳細設計_製造)'!$D$2:$D$182,$B3,'WBS(詳細設計_製造)'!$H$2:$H$182)</f>
        <v>1.5</v>
      </c>
      <c r="F3" s="137">
        <f>SUMIF('WBS(テスト)'!$D$2:$D$95,$B3,'WBS(テスト)'!$G$2:$G$95)</f>
        <v>1</v>
      </c>
      <c r="G3" s="137">
        <f t="shared" ref="G3:G66" si="0">SUM(C3:F3)</f>
        <v>3</v>
      </c>
      <c r="H3" s="137">
        <f>COUNTIF('WBS(詳細設計_製造)'!$D$2:$D$182,$B3)+COUNTIF('WBS(テスト)'!$D$2:$D$95,$B3)</f>
        <v>2</v>
      </c>
    </row>
    <row r="4" spans="1:8">
      <c r="A4" t="s">
        <v>4682</v>
      </c>
      <c r="B4" t="s">
        <v>3295</v>
      </c>
      <c r="C4" s="137">
        <f>SUMIFS('WBS(基本設計)'!$I$2:$I$159,'WBS(基本設計)'!$E$2:$E$159,$B4,'WBS(基本設計)'!$N$2:$N$159,"対象")</f>
        <v>0.5</v>
      </c>
      <c r="D4" s="137">
        <f>SUMIF('WBS(詳細設計_製造)'!$D$2:$D$182,$B4,'WBS(詳細設計_製造)'!$G$2:$G$182)</f>
        <v>0</v>
      </c>
      <c r="E4" s="137">
        <f>SUMIF('WBS(詳細設計_製造)'!$D$2:$D$182,$B4,'WBS(詳細設計_製造)'!$H$2:$H$182)</f>
        <v>1.5</v>
      </c>
      <c r="F4" s="137">
        <f>SUMIF('WBS(テスト)'!$D$2:$D$95,$B4,'WBS(テスト)'!$G$2:$G$95)</f>
        <v>1</v>
      </c>
      <c r="G4" s="137">
        <f t="shared" si="0"/>
        <v>3</v>
      </c>
      <c r="H4" s="137">
        <f>COUNTIF('WBS(詳細設計_製造)'!$D$2:$D$182,$B4)+COUNTIF('WBS(テスト)'!$D$2:$D$95,$B4)</f>
        <v>2</v>
      </c>
    </row>
    <row r="5" spans="1:8">
      <c r="A5" t="s">
        <v>4683</v>
      </c>
      <c r="B5" t="s">
        <v>3296</v>
      </c>
      <c r="C5" s="137">
        <f>SUMIFS('WBS(基本設計)'!$I$2:$I$159,'WBS(基本設計)'!$E$2:$E$159,$B5,'WBS(基本設計)'!$N$2:$N$159,"対象")</f>
        <v>13.5</v>
      </c>
      <c r="D5" s="137">
        <f>SUMIF('WBS(詳細設計_製造)'!$D$2:$D$182,$B5,'WBS(詳細設計_製造)'!$G$2:$G$182)</f>
        <v>9</v>
      </c>
      <c r="E5" s="137">
        <f>SUMIF('WBS(詳細設計_製造)'!$D$2:$D$182,$B5,'WBS(詳細設計_製造)'!$H$2:$H$182)</f>
        <v>12</v>
      </c>
      <c r="F5" s="137">
        <f>SUMIF('WBS(テスト)'!$D$2:$D$95,$B5,'WBS(テスト)'!$G$2:$G$95)</f>
        <v>19</v>
      </c>
      <c r="G5" s="137">
        <f t="shared" si="0"/>
        <v>53.5</v>
      </c>
      <c r="H5" s="137">
        <f>COUNTIF('WBS(詳細設計_製造)'!$D$2:$D$182,$B5)+COUNTIF('WBS(テスト)'!$D$2:$D$95,$B5)</f>
        <v>10</v>
      </c>
    </row>
    <row r="6" spans="1:8">
      <c r="A6" t="s">
        <v>4683</v>
      </c>
      <c r="B6" t="s">
        <v>3297</v>
      </c>
      <c r="C6" s="137">
        <f>SUMIFS('WBS(基本設計)'!$I$2:$I$159,'WBS(基本設計)'!$E$2:$E$159,$B6,'WBS(基本設計)'!$N$2:$N$159,"対象")</f>
        <v>4.5</v>
      </c>
      <c r="D6" s="137">
        <f>SUMIF('WBS(詳細設計_製造)'!$D$2:$D$182,$B6,'WBS(詳細設計_製造)'!$G$2:$G$182)</f>
        <v>7.5</v>
      </c>
      <c r="E6" s="137">
        <f>SUMIF('WBS(詳細設計_製造)'!$D$2:$D$182,$B6,'WBS(詳細設計_製造)'!$H$2:$H$182)</f>
        <v>6</v>
      </c>
      <c r="F6" s="137">
        <f>SUMIF('WBS(テスト)'!$D$2:$D$95,$B6,'WBS(テスト)'!$G$2:$G$95)</f>
        <v>14</v>
      </c>
      <c r="G6" s="137">
        <f t="shared" si="0"/>
        <v>32</v>
      </c>
      <c r="H6" s="137">
        <f>COUNTIF('WBS(詳細設計_製造)'!$D$2:$D$182,$B6)+COUNTIF('WBS(テスト)'!$D$2:$D$95,$B6)</f>
        <v>8</v>
      </c>
    </row>
    <row r="7" spans="1:8">
      <c r="A7" t="s">
        <v>4683</v>
      </c>
      <c r="B7" t="s">
        <v>2193</v>
      </c>
      <c r="C7" s="137">
        <f>SUMIFS('WBS(基本設計)'!$I$2:$I$159,'WBS(基本設計)'!$E$2:$E$159,$B7,'WBS(基本設計)'!$N$2:$N$159,"対象")</f>
        <v>1</v>
      </c>
      <c r="D7" s="137">
        <f>SUMIF('WBS(詳細設計_製造)'!$D$2:$D$182,$B7,'WBS(詳細設計_製造)'!$G$2:$G$182)</f>
        <v>4</v>
      </c>
      <c r="E7" s="137">
        <f>SUMIF('WBS(詳細設計_製造)'!$D$2:$D$182,$B7,'WBS(詳細設計_製造)'!$H$2:$H$182)</f>
        <v>5</v>
      </c>
      <c r="F7" s="137">
        <f>SUMIF('WBS(テスト)'!$D$2:$D$95,$B7,'WBS(テスト)'!$G$2:$G$95)</f>
        <v>2</v>
      </c>
      <c r="G7" s="137">
        <f t="shared" si="0"/>
        <v>12</v>
      </c>
      <c r="H7" s="137">
        <f>COUNTIF('WBS(詳細設計_製造)'!$D$2:$D$182,$B7)+COUNTIF('WBS(テスト)'!$D$2:$D$95,$B7)</f>
        <v>5</v>
      </c>
    </row>
    <row r="8" spans="1:8">
      <c r="A8" t="s">
        <v>4683</v>
      </c>
      <c r="B8" t="s">
        <v>1857</v>
      </c>
      <c r="C8" s="137">
        <f>SUMIFS('WBS(基本設計)'!$I$2:$I$159,'WBS(基本設計)'!$E$2:$E$159,$B8,'WBS(基本設計)'!$N$2:$N$159,"対象")</f>
        <v>0.5</v>
      </c>
      <c r="D8" s="137">
        <f>SUMIF('WBS(詳細設計_製造)'!$D$2:$D$182,$B8,'WBS(詳細設計_製造)'!$G$2:$G$182)</f>
        <v>1.5</v>
      </c>
      <c r="E8" s="137">
        <f>SUMIF('WBS(詳細設計_製造)'!$D$2:$D$182,$B8,'WBS(詳細設計_製造)'!$H$2:$H$182)</f>
        <v>2</v>
      </c>
      <c r="F8" s="137">
        <f>SUMIF('WBS(テスト)'!$D$2:$D$95,$B8,'WBS(テスト)'!$G$2:$G$95)</f>
        <v>1</v>
      </c>
      <c r="G8" s="137">
        <f t="shared" si="0"/>
        <v>5</v>
      </c>
      <c r="H8" s="137">
        <f>COUNTIF('WBS(詳細設計_製造)'!$D$2:$D$182,$B8)+COUNTIF('WBS(テスト)'!$D$2:$D$95,$B8)</f>
        <v>3</v>
      </c>
    </row>
    <row r="9" spans="1:8">
      <c r="A9" t="s">
        <v>4683</v>
      </c>
      <c r="B9" t="s">
        <v>3313</v>
      </c>
      <c r="C9" s="137">
        <f>SUMIFS('WBS(基本設計)'!$I$2:$I$159,'WBS(基本設計)'!$E$2:$E$159,$B9,'WBS(基本設計)'!$N$2:$N$159,"対象")</f>
        <v>4.5</v>
      </c>
      <c r="D9" s="137">
        <f>SUMIF('WBS(詳細設計_製造)'!$D$2:$D$182,$B9,'WBS(詳細設計_製造)'!$G$2:$G$182)</f>
        <v>4.5</v>
      </c>
      <c r="E9" s="137">
        <f>SUMIF('WBS(詳細設計_製造)'!$D$2:$D$182,$B9,'WBS(詳細設計_製造)'!$H$2:$H$182)</f>
        <v>8</v>
      </c>
      <c r="F9" s="137">
        <f>SUMIF('WBS(テスト)'!$D$2:$D$95,$B9,'WBS(テスト)'!$G$2:$G$95)</f>
        <v>7</v>
      </c>
      <c r="G9" s="137">
        <f t="shared" si="0"/>
        <v>24</v>
      </c>
      <c r="H9" s="137">
        <f>COUNTIF('WBS(詳細設計_製造)'!$D$2:$D$182,$B9)+COUNTIF('WBS(テスト)'!$D$2:$D$95,$B9)</f>
        <v>8</v>
      </c>
    </row>
    <row r="10" spans="1:8">
      <c r="A10" t="s">
        <v>4684</v>
      </c>
      <c r="B10" t="s">
        <v>2171</v>
      </c>
      <c r="C10" s="137">
        <f>SUMIFS('WBS(基本設計)'!$I$2:$I$159,'WBS(基本設計)'!$E$2:$E$159,$B10,'WBS(基本設計)'!$N$2:$N$159,"対象")</f>
        <v>0.5</v>
      </c>
      <c r="D10" s="137">
        <f>SUMIF('WBS(詳細設計_製造)'!$D$2:$D$182,$B10,'WBS(詳細設計_製造)'!$G$2:$G$182)</f>
        <v>0</v>
      </c>
      <c r="E10" s="137">
        <f>SUMIF('WBS(詳細設計_製造)'!$D$2:$D$182,$B10,'WBS(詳細設計_製造)'!$H$2:$H$182)</f>
        <v>0</v>
      </c>
      <c r="F10" s="137">
        <f>SUMIF('WBS(テスト)'!$D$2:$D$95,$B10,'WBS(テスト)'!$G$2:$G$95)</f>
        <v>0</v>
      </c>
      <c r="G10" s="137">
        <f t="shared" si="0"/>
        <v>0.5</v>
      </c>
      <c r="H10" s="137">
        <f>COUNTIF('WBS(詳細設計_製造)'!$D$2:$D$182,$B10)+COUNTIF('WBS(テスト)'!$D$2:$D$95,$B10)</f>
        <v>0</v>
      </c>
    </row>
    <row r="11" spans="1:8">
      <c r="A11" t="s">
        <v>4684</v>
      </c>
      <c r="B11" t="s">
        <v>4003</v>
      </c>
      <c r="C11" s="137">
        <f>SUMIFS('WBS(基本設計)'!$I$2:$I$159,'WBS(基本設計)'!$E$2:$E$159,$B11,'WBS(基本設計)'!$N$2:$N$159,"対象")</f>
        <v>3</v>
      </c>
      <c r="D11" s="137">
        <f>SUMIF('WBS(詳細設計_製造)'!$D$2:$D$182,$B11,'WBS(詳細設計_製造)'!$G$2:$G$182)</f>
        <v>2</v>
      </c>
      <c r="E11" s="137">
        <f>SUMIF('WBS(詳細設計_製造)'!$D$2:$D$182,$B11,'WBS(詳細設計_製造)'!$H$2:$H$182)</f>
        <v>8</v>
      </c>
      <c r="F11" s="137">
        <f>SUMIF('WBS(テスト)'!$D$2:$D$95,$B11,'WBS(テスト)'!$G$2:$G$95)</f>
        <v>2</v>
      </c>
      <c r="G11" s="137">
        <f t="shared" si="0"/>
        <v>15</v>
      </c>
      <c r="H11" s="137">
        <f>COUNTIF('WBS(詳細設計_製造)'!$D$2:$D$182,$B11)+COUNTIF('WBS(テスト)'!$D$2:$D$95,$B11)</f>
        <v>4</v>
      </c>
    </row>
    <row r="12" spans="1:8">
      <c r="A12" t="s">
        <v>4686</v>
      </c>
      <c r="B12" t="s">
        <v>3298</v>
      </c>
      <c r="C12" s="137">
        <f>SUMIFS('WBS(基本設計)'!$I$2:$I$159,'WBS(基本設計)'!$E$2:$E$159,$B12,'WBS(基本設計)'!$N$2:$N$159,"対象")</f>
        <v>1</v>
      </c>
      <c r="D12" s="137">
        <f>SUMIF('WBS(詳細設計_製造)'!$D$2:$D$182,$B12,'WBS(詳細設計_製造)'!$G$2:$G$182)</f>
        <v>1.5</v>
      </c>
      <c r="E12" s="137">
        <f>SUMIF('WBS(詳細設計_製造)'!$D$2:$D$182,$B12,'WBS(詳細設計_製造)'!$H$2:$H$182)</f>
        <v>3</v>
      </c>
      <c r="F12" s="137">
        <f>SUMIF('WBS(テスト)'!$D$2:$D$95,$B12,'WBS(テスト)'!$G$2:$G$95)</f>
        <v>3</v>
      </c>
      <c r="G12" s="137">
        <f t="shared" si="0"/>
        <v>8.5</v>
      </c>
      <c r="H12" s="137">
        <f>COUNTIF('WBS(詳細設計_製造)'!$D$2:$D$182,$B12)+COUNTIF('WBS(テスト)'!$D$2:$D$95,$B12)</f>
        <v>4</v>
      </c>
    </row>
    <row r="13" spans="1:8">
      <c r="A13" t="s">
        <v>4687</v>
      </c>
      <c r="B13" t="s">
        <v>2192</v>
      </c>
      <c r="C13" s="137">
        <f>SUMIFS('WBS(基本設計)'!$I$2:$I$159,'WBS(基本設計)'!$E$2:$E$159,$B13,'WBS(基本設計)'!$N$2:$N$159,"対象")</f>
        <v>5</v>
      </c>
      <c r="D13" s="137">
        <f>SUMIF('WBS(詳細設計_製造)'!$D$2:$D$182,$B13,'WBS(詳細設計_製造)'!$G$2:$G$182)</f>
        <v>4</v>
      </c>
      <c r="E13" s="137">
        <f>SUMIF('WBS(詳細設計_製造)'!$D$2:$D$182,$B13,'WBS(詳細設計_製造)'!$H$2:$H$182)</f>
        <v>3</v>
      </c>
      <c r="F13" s="137">
        <f>SUMIF('WBS(テスト)'!$D$2:$D$95,$B13,'WBS(テスト)'!$G$2:$G$95)</f>
        <v>6</v>
      </c>
      <c r="G13" s="137">
        <f t="shared" si="0"/>
        <v>18</v>
      </c>
      <c r="H13" s="137">
        <f>COUNTIF('WBS(詳細設計_製造)'!$D$2:$D$182,$B13)+COUNTIF('WBS(テスト)'!$D$2:$D$95,$B13)</f>
        <v>5</v>
      </c>
    </row>
    <row r="14" spans="1:8">
      <c r="A14" t="s">
        <v>4687</v>
      </c>
      <c r="B14" t="s">
        <v>2211</v>
      </c>
      <c r="C14" s="137">
        <f>SUMIFS('WBS(基本設計)'!$I$2:$I$159,'WBS(基本設計)'!$E$2:$E$159,$B14,'WBS(基本設計)'!$N$2:$N$159,"対象")</f>
        <v>4</v>
      </c>
      <c r="D14" s="137">
        <f>SUMIF('WBS(詳細設計_製造)'!$D$2:$D$182,$B14,'WBS(詳細設計_製造)'!$G$2:$G$182)</f>
        <v>3</v>
      </c>
      <c r="E14" s="137">
        <f>SUMIF('WBS(詳細設計_製造)'!$D$2:$D$182,$B14,'WBS(詳細設計_製造)'!$H$2:$H$182)</f>
        <v>3.5</v>
      </c>
      <c r="F14" s="137">
        <f>SUMIF('WBS(テスト)'!$D$2:$D$95,$B14,'WBS(テスト)'!$G$2:$G$95)</f>
        <v>4</v>
      </c>
      <c r="G14" s="137">
        <f t="shared" si="0"/>
        <v>14.5</v>
      </c>
      <c r="H14" s="137">
        <f>COUNTIF('WBS(詳細設計_製造)'!$D$2:$D$182,$B14)+COUNTIF('WBS(テスト)'!$D$2:$D$95,$B14)</f>
        <v>4</v>
      </c>
    </row>
    <row r="15" spans="1:8">
      <c r="A15" t="s">
        <v>2125</v>
      </c>
      <c r="B15" t="s">
        <v>2164</v>
      </c>
      <c r="C15" s="137">
        <f>SUMIFS('WBS(基本設計)'!$I$2:$I$159,'WBS(基本設計)'!$E$2:$E$159,$B15,'WBS(基本設計)'!$N$2:$N$159,"対象")</f>
        <v>1</v>
      </c>
      <c r="D15" s="137">
        <f>SUMIF('WBS(詳細設計_製造)'!$D$2:$D$182,$B15,'WBS(詳細設計_製造)'!$G$2:$G$182)</f>
        <v>2</v>
      </c>
      <c r="E15" s="137">
        <f>SUMIF('WBS(詳細設計_製造)'!$D$2:$D$182,$B15,'WBS(詳細設計_製造)'!$H$2:$H$182)</f>
        <v>4</v>
      </c>
      <c r="F15" s="137">
        <f>SUMIF('WBS(テスト)'!$D$2:$D$95,$B15,'WBS(テスト)'!$G$2:$G$95)</f>
        <v>2</v>
      </c>
      <c r="G15" s="137">
        <f t="shared" si="0"/>
        <v>9</v>
      </c>
      <c r="H15" s="137">
        <f>COUNTIF('WBS(詳細設計_製造)'!$D$2:$D$182,$B15)+COUNTIF('WBS(テスト)'!$D$2:$D$95,$B15)</f>
        <v>4</v>
      </c>
    </row>
    <row r="16" spans="1:8">
      <c r="A16" t="s">
        <v>2125</v>
      </c>
      <c r="B16" t="s">
        <v>3299</v>
      </c>
      <c r="C16" s="137">
        <f>SUMIFS('WBS(基本設計)'!$I$2:$I$159,'WBS(基本設計)'!$E$2:$E$159,$B16,'WBS(基本設計)'!$N$2:$N$159,"対象")</f>
        <v>1</v>
      </c>
      <c r="D16" s="137">
        <f>SUMIF('WBS(詳細設計_製造)'!$D$2:$D$182,$B16,'WBS(詳細設計_製造)'!$G$2:$G$182)</f>
        <v>1</v>
      </c>
      <c r="E16" s="137">
        <f>SUMIF('WBS(詳細設計_製造)'!$D$2:$D$182,$B16,'WBS(詳細設計_製造)'!$H$2:$H$182)</f>
        <v>2</v>
      </c>
      <c r="F16" s="137">
        <f>SUMIF('WBS(テスト)'!$D$2:$D$95,$B16,'WBS(テスト)'!$G$2:$G$95)</f>
        <v>1.5</v>
      </c>
      <c r="G16" s="137">
        <f t="shared" si="0"/>
        <v>5.5</v>
      </c>
      <c r="H16" s="137">
        <f>COUNTIF('WBS(詳細設計_製造)'!$D$2:$D$182,$B16)+COUNTIF('WBS(テスト)'!$D$2:$D$95,$B16)</f>
        <v>3</v>
      </c>
    </row>
    <row r="17" spans="1:8">
      <c r="A17" t="s">
        <v>2125</v>
      </c>
      <c r="B17" t="s">
        <v>2200</v>
      </c>
      <c r="C17" s="137">
        <f>SUMIFS('WBS(基本設計)'!$I$2:$I$159,'WBS(基本設計)'!$E$2:$E$159,$B17,'WBS(基本設計)'!$N$2:$N$159,"対象")</f>
        <v>0.5</v>
      </c>
      <c r="D17" s="137">
        <f>SUMIF('WBS(詳細設計_製造)'!$D$2:$D$182,$B17,'WBS(詳細設計_製造)'!$G$2:$G$182)</f>
        <v>0</v>
      </c>
      <c r="E17" s="137">
        <f>SUMIF('WBS(詳細設計_製造)'!$D$2:$D$182,$B17,'WBS(詳細設計_製造)'!$H$2:$H$182)</f>
        <v>0</v>
      </c>
      <c r="F17" s="137">
        <f>SUMIF('WBS(テスト)'!$D$2:$D$95,$B17,'WBS(テスト)'!$G$2:$G$95)</f>
        <v>0</v>
      </c>
      <c r="G17" s="137">
        <f t="shared" si="0"/>
        <v>0.5</v>
      </c>
      <c r="H17" s="137">
        <f>COUNTIF('WBS(詳細設計_製造)'!$D$2:$D$182,$B17)+COUNTIF('WBS(テスト)'!$D$2:$D$95,$B17)</f>
        <v>0</v>
      </c>
    </row>
    <row r="18" spans="1:8">
      <c r="A18" t="s">
        <v>2128</v>
      </c>
      <c r="B18" t="s">
        <v>4696</v>
      </c>
      <c r="C18" s="137">
        <f>SUMIFS('WBS(基本設計)'!$I$2:$I$159,'WBS(基本設計)'!$E$2:$E$159,$B18,'WBS(基本設計)'!$N$2:$N$159,"対象")</f>
        <v>6.75</v>
      </c>
      <c r="D18" s="137">
        <f>SUMIF('WBS(詳細設計_製造)'!$D$2:$D$182,$B18,'WBS(詳細設計_製造)'!$G$2:$G$182)</f>
        <v>10</v>
      </c>
      <c r="E18" s="137">
        <f>SUMIF('WBS(詳細設計_製造)'!$D$2:$D$182,$B18,'WBS(詳細設計_製造)'!$H$2:$H$182)</f>
        <v>12.5</v>
      </c>
      <c r="F18" s="137">
        <f>SUMIF('WBS(テスト)'!$D$2:$D$95,$B18,'WBS(テスト)'!$G$2:$G$95)</f>
        <v>21</v>
      </c>
      <c r="G18" s="137">
        <f t="shared" si="0"/>
        <v>50.25</v>
      </c>
      <c r="H18" s="137">
        <f>COUNTIF('WBS(詳細設計_製造)'!$D$2:$D$182,$B18)+COUNTIF('WBS(テスト)'!$D$2:$D$95,$B18)</f>
        <v>15</v>
      </c>
    </row>
    <row r="19" spans="1:8">
      <c r="A19" t="s">
        <v>2129</v>
      </c>
      <c r="B19" t="s">
        <v>4705</v>
      </c>
      <c r="C19" s="137">
        <f>SUMIFS('WBS(基本設計)'!$I$2:$I$159,'WBS(基本設計)'!$E$2:$E$159,$B19,'WBS(基本設計)'!$N$2:$N$159,"対象")</f>
        <v>3</v>
      </c>
      <c r="D19" s="137">
        <f>SUMIF('WBS(詳細設計_製造)'!$D$2:$D$182,$B19,'WBS(詳細設計_製造)'!$G$2:$G$182)</f>
        <v>3</v>
      </c>
      <c r="E19" s="137">
        <f>SUMIF('WBS(詳細設計_製造)'!$D$2:$D$182,$B19,'WBS(詳細設計_製造)'!$H$2:$H$182)</f>
        <v>3</v>
      </c>
      <c r="F19" s="137">
        <f>SUMIF('WBS(テスト)'!$D$2:$D$95,$B19,'WBS(テスト)'!$G$2:$G$95)</f>
        <v>4</v>
      </c>
      <c r="G19" s="137">
        <f t="shared" si="0"/>
        <v>13</v>
      </c>
      <c r="H19" s="137">
        <f>COUNTIF('WBS(詳細設計_製造)'!$D$2:$D$182,$B19)+COUNTIF('WBS(テスト)'!$D$2:$D$95,$B19)</f>
        <v>3</v>
      </c>
    </row>
    <row r="20" spans="1:8">
      <c r="A20" t="s">
        <v>2129</v>
      </c>
      <c r="B20" t="s">
        <v>4706</v>
      </c>
      <c r="C20" s="137">
        <f>SUMIFS('WBS(基本設計)'!$I$2:$I$159,'WBS(基本設計)'!$E$2:$E$159,$B20,'WBS(基本設計)'!$N$2:$N$159,"対象")</f>
        <v>0.75</v>
      </c>
      <c r="D20" s="137">
        <f>SUMIF('WBS(詳細設計_製造)'!$D$2:$D$182,$B20,'WBS(詳細設計_製造)'!$G$2:$G$182)</f>
        <v>1.5</v>
      </c>
      <c r="E20" s="137">
        <f>SUMIF('WBS(詳細設計_製造)'!$D$2:$D$182,$B20,'WBS(詳細設計_製造)'!$H$2:$H$182)</f>
        <v>1.5</v>
      </c>
      <c r="F20" s="137">
        <f>SUMIF('WBS(テスト)'!$D$2:$D$95,$B20,'WBS(テスト)'!$G$2:$G$95)</f>
        <v>1</v>
      </c>
      <c r="G20" s="137">
        <f t="shared" si="0"/>
        <v>4.75</v>
      </c>
      <c r="H20" s="137">
        <f>COUNTIF('WBS(詳細設計_製造)'!$D$2:$D$182,$B20)+COUNTIF('WBS(テスト)'!$D$2:$D$95,$B20)</f>
        <v>3</v>
      </c>
    </row>
    <row r="21" spans="1:8">
      <c r="A21" t="s">
        <v>2131</v>
      </c>
      <c r="B21" t="s">
        <v>3300</v>
      </c>
      <c r="C21" s="137">
        <f>SUMIFS('WBS(基本設計)'!$I$2:$I$159,'WBS(基本設計)'!$E$2:$E$159,$B21,'WBS(基本設計)'!$N$2:$N$159,"対象")</f>
        <v>0.75</v>
      </c>
      <c r="D21" s="137">
        <f>SUMIF('WBS(詳細設計_製造)'!$D$2:$D$182,$B21,'WBS(詳細設計_製造)'!$G$2:$G$182)</f>
        <v>1.5</v>
      </c>
      <c r="E21" s="137">
        <f>SUMIF('WBS(詳細設計_製造)'!$D$2:$D$182,$B21,'WBS(詳細設計_製造)'!$H$2:$H$182)</f>
        <v>2</v>
      </c>
      <c r="F21" s="137">
        <f>SUMIF('WBS(テスト)'!$D$2:$D$95,$B21,'WBS(テスト)'!$G$2:$G$95)</f>
        <v>3</v>
      </c>
      <c r="G21" s="137">
        <f t="shared" si="0"/>
        <v>7.25</v>
      </c>
      <c r="H21" s="137">
        <f>COUNTIF('WBS(詳細設計_製造)'!$D$2:$D$182,$B21)+COUNTIF('WBS(テスト)'!$D$2:$D$95,$B21)</f>
        <v>3</v>
      </c>
    </row>
    <row r="22" spans="1:8">
      <c r="A22" t="s">
        <v>2131</v>
      </c>
      <c r="B22" t="s">
        <v>3301</v>
      </c>
      <c r="C22" s="137">
        <f>SUMIFS('WBS(基本設計)'!$I$2:$I$159,'WBS(基本設計)'!$E$2:$E$159,$B22,'WBS(基本設計)'!$N$2:$N$159,"対象")</f>
        <v>0.75</v>
      </c>
      <c r="D22" s="137">
        <f>SUMIF('WBS(詳細設計_製造)'!$D$2:$D$182,$B22,'WBS(詳細設計_製造)'!$G$2:$G$182)</f>
        <v>0.5</v>
      </c>
      <c r="E22" s="137">
        <f>SUMIF('WBS(詳細設計_製造)'!$D$2:$D$182,$B22,'WBS(詳細設計_製造)'!$H$2:$H$182)</f>
        <v>1</v>
      </c>
      <c r="F22" s="137">
        <f>SUMIF('WBS(テスト)'!$D$2:$D$95,$B22,'WBS(テスト)'!$G$2:$G$95)</f>
        <v>2</v>
      </c>
      <c r="G22" s="137">
        <f t="shared" si="0"/>
        <v>4.25</v>
      </c>
      <c r="H22" s="137">
        <f>COUNTIF('WBS(詳細設計_製造)'!$D$2:$D$182,$B22)+COUNTIF('WBS(テスト)'!$D$2:$D$95,$B22)</f>
        <v>3</v>
      </c>
    </row>
    <row r="23" spans="1:8">
      <c r="A23" t="s">
        <v>2131</v>
      </c>
      <c r="B23" t="s">
        <v>1877</v>
      </c>
      <c r="C23" s="137">
        <f>SUMIFS('WBS(基本設計)'!$I$2:$I$159,'WBS(基本設計)'!$E$2:$E$159,$B23,'WBS(基本設計)'!$N$2:$N$159,"対象")</f>
        <v>1</v>
      </c>
      <c r="D23" s="137">
        <f>SUMIF('WBS(詳細設計_製造)'!$D$2:$D$182,$B23,'WBS(詳細設計_製造)'!$G$2:$G$182)</f>
        <v>1</v>
      </c>
      <c r="E23" s="137">
        <f>SUMIF('WBS(詳細設計_製造)'!$D$2:$D$182,$B23,'WBS(詳細設計_製造)'!$H$2:$H$182)</f>
        <v>1.5</v>
      </c>
      <c r="F23" s="137">
        <f>SUMIF('WBS(テスト)'!$D$2:$D$95,$B23,'WBS(テスト)'!$G$2:$G$95)</f>
        <v>1.5</v>
      </c>
      <c r="G23" s="137">
        <f t="shared" si="0"/>
        <v>5</v>
      </c>
      <c r="H23" s="137">
        <f>COUNTIF('WBS(詳細設計_製造)'!$D$2:$D$182,$B23)+COUNTIF('WBS(テスト)'!$D$2:$D$95,$B23)</f>
        <v>3</v>
      </c>
    </row>
    <row r="24" spans="1:8">
      <c r="A24" t="s">
        <v>2131</v>
      </c>
      <c r="B24" t="s">
        <v>1880</v>
      </c>
      <c r="C24" s="137">
        <f>SUMIFS('WBS(基本設計)'!$I$2:$I$159,'WBS(基本設計)'!$E$2:$E$159,$B24,'WBS(基本設計)'!$N$2:$N$159,"対象")</f>
        <v>1.5</v>
      </c>
      <c r="D24" s="137">
        <f>SUMIF('WBS(詳細設計_製造)'!$D$2:$D$182,$B24,'WBS(詳細設計_製造)'!$G$2:$G$182)</f>
        <v>1.5</v>
      </c>
      <c r="E24" s="137">
        <f>SUMIF('WBS(詳細設計_製造)'!$D$2:$D$182,$B24,'WBS(詳細設計_製造)'!$H$2:$H$182)</f>
        <v>2</v>
      </c>
      <c r="F24" s="137">
        <f>SUMIF('WBS(テスト)'!$D$2:$D$95,$B24,'WBS(テスト)'!$G$2:$G$95)</f>
        <v>2</v>
      </c>
      <c r="G24" s="137">
        <f t="shared" si="0"/>
        <v>7</v>
      </c>
      <c r="H24" s="137">
        <f>COUNTIF('WBS(詳細設計_製造)'!$D$2:$D$182,$B24)+COUNTIF('WBS(テスト)'!$D$2:$D$95,$B24)</f>
        <v>3</v>
      </c>
    </row>
    <row r="25" spans="1:8">
      <c r="A25" t="s">
        <v>2132</v>
      </c>
      <c r="B25" t="s">
        <v>1929</v>
      </c>
      <c r="C25" s="137">
        <f>SUMIFS('WBS(基本設計)'!$I$2:$I$159,'WBS(基本設計)'!$E$2:$E$159,$B25,'WBS(基本設計)'!$N$2:$N$159,"対象")</f>
        <v>1</v>
      </c>
      <c r="D25" s="137">
        <f>SUMIF('WBS(詳細設計_製造)'!$D$2:$D$182,$B25,'WBS(詳細設計_製造)'!$G$2:$G$182)</f>
        <v>2</v>
      </c>
      <c r="E25" s="137">
        <f>SUMIF('WBS(詳細設計_製造)'!$D$2:$D$182,$B25,'WBS(詳細設計_製造)'!$H$2:$H$182)</f>
        <v>2</v>
      </c>
      <c r="F25" s="137">
        <f>SUMIF('WBS(テスト)'!$D$2:$D$95,$B25,'WBS(テスト)'!$G$2:$G$95)</f>
        <v>3</v>
      </c>
      <c r="G25" s="137">
        <f t="shared" si="0"/>
        <v>8</v>
      </c>
      <c r="H25" s="137">
        <f>COUNTIF('WBS(詳細設計_製造)'!$D$2:$D$182,$B25)+COUNTIF('WBS(テスト)'!$D$2:$D$95,$B25)</f>
        <v>3</v>
      </c>
    </row>
    <row r="26" spans="1:8">
      <c r="A26" t="s">
        <v>2132</v>
      </c>
      <c r="B26" t="s">
        <v>2178</v>
      </c>
      <c r="C26" s="137">
        <f>SUMIFS('WBS(基本設計)'!$I$2:$I$159,'WBS(基本設計)'!$E$2:$E$159,$B26,'WBS(基本設計)'!$N$2:$N$159,"対象")</f>
        <v>1</v>
      </c>
      <c r="D26" s="137">
        <f>SUMIF('WBS(詳細設計_製造)'!$D$2:$D$182,$B26,'WBS(詳細設計_製造)'!$G$2:$G$182)</f>
        <v>1.5</v>
      </c>
      <c r="E26" s="137">
        <f>SUMIF('WBS(詳細設計_製造)'!$D$2:$D$182,$B26,'WBS(詳細設計_製造)'!$H$2:$H$182)</f>
        <v>1.5</v>
      </c>
      <c r="F26" s="137">
        <f>SUMIF('WBS(テスト)'!$D$2:$D$95,$B26,'WBS(テスト)'!$G$2:$G$95)</f>
        <v>4</v>
      </c>
      <c r="G26" s="137">
        <f t="shared" si="0"/>
        <v>8</v>
      </c>
      <c r="H26" s="137">
        <f>COUNTIF('WBS(詳細設計_製造)'!$D$2:$D$182,$B26)+COUNTIF('WBS(テスト)'!$D$2:$D$95,$B26)</f>
        <v>3</v>
      </c>
    </row>
    <row r="27" spans="1:8">
      <c r="A27" t="s">
        <v>4688</v>
      </c>
      <c r="B27" t="s">
        <v>3302</v>
      </c>
      <c r="C27" s="137">
        <f>SUMIFS('WBS(基本設計)'!$I$2:$I$159,'WBS(基本設計)'!$E$2:$E$159,$B27,'WBS(基本設計)'!$N$2:$N$159,"対象")</f>
        <v>2</v>
      </c>
      <c r="D27" s="137">
        <f>SUMIF('WBS(詳細設計_製造)'!$D$2:$D$182,$B27,'WBS(詳細設計_製造)'!$G$2:$G$182)</f>
        <v>0</v>
      </c>
      <c r="E27" s="137">
        <f>SUMIF('WBS(詳細設計_製造)'!$D$2:$D$182,$B27,'WBS(詳細設計_製造)'!$H$2:$H$182)</f>
        <v>3</v>
      </c>
      <c r="F27" s="137">
        <f>SUMIF('WBS(テスト)'!$D$2:$D$95,$B27,'WBS(テスト)'!$G$2:$G$95)</f>
        <v>4</v>
      </c>
      <c r="G27" s="137">
        <f t="shared" si="0"/>
        <v>9</v>
      </c>
      <c r="H27" s="137">
        <f>COUNTIF('WBS(詳細設計_製造)'!$D$2:$D$182,$B27)+COUNTIF('WBS(テスト)'!$D$2:$D$95,$B27)</f>
        <v>2</v>
      </c>
    </row>
    <row r="28" spans="1:8">
      <c r="A28" t="s">
        <v>4688</v>
      </c>
      <c r="B28" t="s">
        <v>1869</v>
      </c>
      <c r="C28" s="137">
        <f>SUMIFS('WBS(基本設計)'!$I$2:$I$159,'WBS(基本設計)'!$E$2:$E$159,$B28,'WBS(基本設計)'!$N$2:$N$159,"対象")</f>
        <v>3</v>
      </c>
      <c r="D28" s="137">
        <f>SUMIF('WBS(詳細設計_製造)'!$D$2:$D$182,$B28,'WBS(詳細設計_製造)'!$G$2:$G$182)</f>
        <v>2</v>
      </c>
      <c r="E28" s="137">
        <f>SUMIF('WBS(詳細設計_製造)'!$D$2:$D$182,$B28,'WBS(詳細設計_製造)'!$H$2:$H$182)</f>
        <v>3</v>
      </c>
      <c r="F28" s="137">
        <f>SUMIF('WBS(テスト)'!$D$2:$D$95,$B28,'WBS(テスト)'!$G$2:$G$95)</f>
        <v>5</v>
      </c>
      <c r="G28" s="137">
        <f t="shared" si="0"/>
        <v>13</v>
      </c>
      <c r="H28" s="137">
        <f>COUNTIF('WBS(詳細設計_製造)'!$D$2:$D$182,$B28)+COUNTIF('WBS(テスト)'!$D$2:$D$95,$B28)</f>
        <v>3</v>
      </c>
    </row>
    <row r="29" spans="1:8">
      <c r="A29" t="s">
        <v>4688</v>
      </c>
      <c r="B29" t="s">
        <v>4708</v>
      </c>
      <c r="C29" s="137">
        <f>SUMIFS('WBS(基本設計)'!$I$2:$I$159,'WBS(基本設計)'!$E$2:$E$159,$B29,'WBS(基本設計)'!$N$2:$N$159,"対象")</f>
        <v>1</v>
      </c>
      <c r="D29" s="137">
        <f>SUMIF('WBS(詳細設計_製造)'!$D$2:$D$182,$B29,'WBS(詳細設計_製造)'!$G$2:$G$182)</f>
        <v>1.5</v>
      </c>
      <c r="E29" s="137">
        <f>SUMIF('WBS(詳細設計_製造)'!$D$2:$D$182,$B29,'WBS(詳細設計_製造)'!$H$2:$H$182)</f>
        <v>2</v>
      </c>
      <c r="F29" s="137">
        <f>SUMIF('WBS(テスト)'!$D$2:$D$95,$B29,'WBS(テスト)'!$G$2:$G$95)</f>
        <v>1.5</v>
      </c>
      <c r="G29" s="137">
        <f t="shared" si="0"/>
        <v>6</v>
      </c>
      <c r="H29" s="137">
        <f>COUNTIF('WBS(詳細設計_製造)'!$D$2:$D$182,$B29)+COUNTIF('WBS(テスト)'!$D$2:$D$95,$B29)</f>
        <v>3</v>
      </c>
    </row>
    <row r="30" spans="1:8">
      <c r="A30" t="s">
        <v>4689</v>
      </c>
      <c r="B30" t="s">
        <v>4709</v>
      </c>
      <c r="C30" s="137">
        <f>SUMIFS('WBS(基本設計)'!$I$2:$I$159,'WBS(基本設計)'!$E$2:$E$159,$B30,'WBS(基本設計)'!$N$2:$N$159,"対象")</f>
        <v>4</v>
      </c>
      <c r="D30" s="137">
        <f>SUMIF('WBS(詳細設計_製造)'!$D$2:$D$182,$B30,'WBS(詳細設計_製造)'!$G$2:$G$182)</f>
        <v>4</v>
      </c>
      <c r="E30" s="137">
        <f>SUMIF('WBS(詳細設計_製造)'!$D$2:$D$182,$B30,'WBS(詳細設計_製造)'!$H$2:$H$182)</f>
        <v>4.5</v>
      </c>
      <c r="F30" s="137">
        <f>SUMIF('WBS(テスト)'!$D$2:$D$95,$B30,'WBS(テスト)'!$G$2:$G$95)</f>
        <v>9</v>
      </c>
      <c r="G30" s="137">
        <f t="shared" si="0"/>
        <v>21.5</v>
      </c>
      <c r="H30" s="137">
        <f>COUNTIF('WBS(詳細設計_製造)'!$D$2:$D$182,$B30)+COUNTIF('WBS(テスト)'!$D$2:$D$95,$B30)</f>
        <v>6</v>
      </c>
    </row>
    <row r="31" spans="1:8">
      <c r="A31" t="s">
        <v>4689</v>
      </c>
      <c r="B31" t="s">
        <v>3304</v>
      </c>
      <c r="C31" s="137">
        <f>SUMIFS('WBS(基本設計)'!$I$2:$I$159,'WBS(基本設計)'!$E$2:$E$159,$B31,'WBS(基本設計)'!$N$2:$N$159,"対象")</f>
        <v>1.5</v>
      </c>
      <c r="D31" s="137">
        <f>SUMIF('WBS(詳細設計_製造)'!$D$2:$D$182,$B31,'WBS(詳細設計_製造)'!$G$2:$G$182)</f>
        <v>1.5</v>
      </c>
      <c r="E31" s="137">
        <f>SUMIF('WBS(詳細設計_製造)'!$D$2:$D$182,$B31,'WBS(詳細設計_製造)'!$H$2:$H$182)</f>
        <v>3</v>
      </c>
      <c r="F31" s="137">
        <f>SUMIF('WBS(テスト)'!$D$2:$D$95,$B31,'WBS(テスト)'!$G$2:$G$95)</f>
        <v>2</v>
      </c>
      <c r="G31" s="137">
        <f t="shared" si="0"/>
        <v>8</v>
      </c>
      <c r="H31" s="137">
        <f>COUNTIF('WBS(詳細設計_製造)'!$D$2:$D$182,$B31)+COUNTIF('WBS(テスト)'!$D$2:$D$95,$B31)</f>
        <v>4</v>
      </c>
    </row>
    <row r="32" spans="1:8">
      <c r="A32" t="s">
        <v>2134</v>
      </c>
      <c r="B32" t="s">
        <v>1862</v>
      </c>
      <c r="C32" s="137">
        <f>SUMIFS('WBS(基本設計)'!$I$2:$I$159,'WBS(基本設計)'!$E$2:$E$159,$B32,'WBS(基本設計)'!$N$2:$N$159,"対象")</f>
        <v>3</v>
      </c>
      <c r="D32" s="137">
        <f>SUMIF('WBS(詳細設計_製造)'!$D$2:$D$182,$B32,'WBS(詳細設計_製造)'!$G$2:$G$182)</f>
        <v>2</v>
      </c>
      <c r="E32" s="137">
        <f>SUMIF('WBS(詳細設計_製造)'!$D$2:$D$182,$B32,'WBS(詳細設計_製造)'!$H$2:$H$182)</f>
        <v>2</v>
      </c>
      <c r="F32" s="137">
        <f>SUMIF('WBS(テスト)'!$D$2:$D$95,$B32,'WBS(テスト)'!$G$2:$G$95)</f>
        <v>2</v>
      </c>
      <c r="G32" s="137">
        <f t="shared" si="0"/>
        <v>9</v>
      </c>
      <c r="H32" s="137">
        <f>COUNTIF('WBS(詳細設計_製造)'!$D$2:$D$182,$B32)+COUNTIF('WBS(テスト)'!$D$2:$D$95,$B32)</f>
        <v>3</v>
      </c>
    </row>
    <row r="33" spans="1:8">
      <c r="A33" t="s">
        <v>2134</v>
      </c>
      <c r="B33" t="s">
        <v>3303</v>
      </c>
      <c r="C33" s="137">
        <f>SUMIFS('WBS(基本設計)'!$I$2:$I$159,'WBS(基本設計)'!$E$2:$E$159,$B33,'WBS(基本設計)'!$N$2:$N$159,"対象")</f>
        <v>0.5</v>
      </c>
      <c r="D33" s="137">
        <f>SUMIF('WBS(詳細設計_製造)'!$D$2:$D$182,$B33,'WBS(詳細設計_製造)'!$G$2:$G$182)</f>
        <v>1.5</v>
      </c>
      <c r="E33" s="137">
        <f>SUMIF('WBS(詳細設計_製造)'!$D$2:$D$182,$B33,'WBS(詳細設計_製造)'!$H$2:$H$182)</f>
        <v>2.5</v>
      </c>
      <c r="F33" s="137">
        <f>SUMIF('WBS(テスト)'!$D$2:$D$95,$B33,'WBS(テスト)'!$G$2:$G$95)</f>
        <v>4</v>
      </c>
      <c r="G33" s="137">
        <f t="shared" si="0"/>
        <v>8.5</v>
      </c>
      <c r="H33" s="137">
        <f>COUNTIF('WBS(詳細設計_製造)'!$D$2:$D$182,$B33)+COUNTIF('WBS(テスト)'!$D$2:$D$95,$B33)</f>
        <v>4</v>
      </c>
    </row>
    <row r="34" spans="1:8">
      <c r="A34" t="s">
        <v>4690</v>
      </c>
      <c r="B34" t="s">
        <v>2206</v>
      </c>
      <c r="C34" s="137">
        <f>SUMIFS('WBS(基本設計)'!$I$2:$I$159,'WBS(基本設計)'!$E$2:$E$159,$B34,'WBS(基本設計)'!$N$2:$N$159,"対象")</f>
        <v>1</v>
      </c>
      <c r="D34" s="137">
        <f>SUMIF('WBS(詳細設計_製造)'!$D$2:$D$182,$B34,'WBS(詳細設計_製造)'!$G$2:$G$182)</f>
        <v>2</v>
      </c>
      <c r="E34" s="137">
        <f>SUMIF('WBS(詳細設計_製造)'!$D$2:$D$182,$B34,'WBS(詳細設計_製造)'!$H$2:$H$182)</f>
        <v>4</v>
      </c>
      <c r="F34" s="137">
        <f>SUMIF('WBS(テスト)'!$D$2:$D$95,$B34,'WBS(テスト)'!$G$2:$G$95)</f>
        <v>4</v>
      </c>
      <c r="G34" s="137">
        <f t="shared" si="0"/>
        <v>11</v>
      </c>
      <c r="H34" s="137">
        <f>COUNTIF('WBS(詳細設計_製造)'!$D$2:$D$182,$B34)+COUNTIF('WBS(テスト)'!$D$2:$D$95,$B34)</f>
        <v>4</v>
      </c>
    </row>
    <row r="35" spans="1:8">
      <c r="A35" t="s">
        <v>4690</v>
      </c>
      <c r="B35" t="s">
        <v>4714</v>
      </c>
      <c r="C35" s="137">
        <f>SUMIFS('WBS(基本設計)'!$I$2:$I$159,'WBS(基本設計)'!$E$2:$E$159,$B35,'WBS(基本設計)'!$N$2:$N$159,"対象")</f>
        <v>2</v>
      </c>
      <c r="D35" s="137">
        <f>SUMIF('WBS(詳細設計_製造)'!$D$2:$D$182,$B35,'WBS(詳細設計_製造)'!$G$2:$G$182)</f>
        <v>1.5</v>
      </c>
      <c r="E35" s="137">
        <f>SUMIF('WBS(詳細設計_製造)'!$D$2:$D$182,$B35,'WBS(詳細設計_製造)'!$H$2:$H$182)</f>
        <v>2</v>
      </c>
      <c r="F35" s="137">
        <f>SUMIF('WBS(テスト)'!$D$2:$D$95,$B35,'WBS(テスト)'!$G$2:$G$95)</f>
        <v>2</v>
      </c>
      <c r="G35" s="137">
        <f t="shared" si="0"/>
        <v>7.5</v>
      </c>
      <c r="H35" s="137">
        <f>COUNTIF('WBS(詳細設計_製造)'!$D$2:$D$182,$B35)+COUNTIF('WBS(テスト)'!$D$2:$D$95,$B35)</f>
        <v>3</v>
      </c>
    </row>
    <row r="36" spans="1:8">
      <c r="A36" t="s">
        <v>1848</v>
      </c>
      <c r="B36" t="s">
        <v>1848</v>
      </c>
      <c r="C36" s="137">
        <f>SUMIFS('WBS(基本設計)'!$I$2:$I$159,'WBS(基本設計)'!$E$2:$E$159,$B36,'WBS(基本設計)'!$N$2:$N$159,"対象")</f>
        <v>7</v>
      </c>
      <c r="D36" s="137">
        <f>SUMIF('WBS(詳細設計_製造)'!$D$2:$D$182,$B36,'WBS(詳細設計_製造)'!$G$2:$G$182)</f>
        <v>5</v>
      </c>
      <c r="E36" s="137">
        <f>SUMIF('WBS(詳細設計_製造)'!$D$2:$D$182,$B36,'WBS(詳細設計_製造)'!$H$2:$H$182)</f>
        <v>6</v>
      </c>
      <c r="F36" s="137">
        <f>SUMIF('WBS(テスト)'!$D$2:$D$95,$B36,'WBS(テスト)'!$G$2:$G$95)</f>
        <v>13</v>
      </c>
      <c r="G36" s="137">
        <f t="shared" si="0"/>
        <v>31</v>
      </c>
      <c r="H36" s="137">
        <f>COUNTIF('WBS(詳細設計_製造)'!$D$2:$D$182,$B36)+COUNTIF('WBS(テスト)'!$D$2:$D$95,$B36)</f>
        <v>7</v>
      </c>
    </row>
    <row r="37" spans="1:8">
      <c r="A37" t="s">
        <v>1848</v>
      </c>
      <c r="B37" t="s">
        <v>3305</v>
      </c>
      <c r="C37" s="137">
        <f>SUMIFS('WBS(基本設計)'!$I$2:$I$159,'WBS(基本設計)'!$E$2:$E$159,$B37,'WBS(基本設計)'!$N$2:$N$159,"対象")</f>
        <v>2</v>
      </c>
      <c r="D37" s="137">
        <f>SUMIF('WBS(詳細設計_製造)'!$D$2:$D$182,$B37,'WBS(詳細設計_製造)'!$G$2:$G$182)</f>
        <v>0</v>
      </c>
      <c r="E37" s="137">
        <f>SUMIF('WBS(詳細設計_製造)'!$D$2:$D$182,$B37,'WBS(詳細設計_製造)'!$H$2:$H$182)</f>
        <v>2</v>
      </c>
      <c r="F37" s="137">
        <f>SUMIF('WBS(テスト)'!$D$2:$D$95,$B37,'WBS(テスト)'!$G$2:$G$95)</f>
        <v>1</v>
      </c>
      <c r="G37" s="137">
        <f t="shared" si="0"/>
        <v>5</v>
      </c>
      <c r="H37" s="137">
        <f>COUNTIF('WBS(詳細設計_製造)'!$D$2:$D$182,$B37)+COUNTIF('WBS(テスト)'!$D$2:$D$95,$B37)</f>
        <v>2</v>
      </c>
    </row>
    <row r="38" spans="1:8">
      <c r="A38" t="s">
        <v>1848</v>
      </c>
      <c r="B38" t="s">
        <v>1873</v>
      </c>
      <c r="C38" s="137">
        <f>SUMIFS('WBS(基本設計)'!$I$2:$I$159,'WBS(基本設計)'!$E$2:$E$159,$B38,'WBS(基本設計)'!$N$2:$N$159,"対象")</f>
        <v>1</v>
      </c>
      <c r="D38" s="137">
        <f>SUMIF('WBS(詳細設計_製造)'!$D$2:$D$182,$B38,'WBS(詳細設計_製造)'!$G$2:$G$182)</f>
        <v>0</v>
      </c>
      <c r="E38" s="137">
        <f>SUMIF('WBS(詳細設計_製造)'!$D$2:$D$182,$B38,'WBS(詳細設計_製造)'!$H$2:$H$182)</f>
        <v>1</v>
      </c>
      <c r="F38" s="137">
        <f>SUMIF('WBS(テスト)'!$D$2:$D$95,$B38,'WBS(テスト)'!$G$2:$G$95)</f>
        <v>1</v>
      </c>
      <c r="G38" s="137">
        <f t="shared" si="0"/>
        <v>3</v>
      </c>
      <c r="H38" s="137">
        <f>COUNTIF('WBS(詳細設計_製造)'!$D$2:$D$182,$B38)+COUNTIF('WBS(テスト)'!$D$2:$D$95,$B38)</f>
        <v>2</v>
      </c>
    </row>
    <row r="39" spans="1:8">
      <c r="A39" t="s">
        <v>2135</v>
      </c>
      <c r="B39" t="s">
        <v>4717</v>
      </c>
      <c r="C39" s="137">
        <f>SUMIFS('WBS(基本設計)'!$I$2:$I$159,'WBS(基本設計)'!$E$2:$E$159,$B39,'WBS(基本設計)'!$N$2:$N$159,"対象")</f>
        <v>2</v>
      </c>
      <c r="D39" s="137">
        <f>SUMIF('WBS(詳細設計_製造)'!$D$2:$D$182,$B39,'WBS(詳細設計_製造)'!$G$2:$G$182)</f>
        <v>4</v>
      </c>
      <c r="E39" s="137">
        <f>SUMIF('WBS(詳細設計_製造)'!$D$2:$D$182,$B39,'WBS(詳細設計_製造)'!$H$2:$H$182)</f>
        <v>4.5</v>
      </c>
      <c r="F39" s="137">
        <f>SUMIF('WBS(テスト)'!$D$2:$D$95,$B39,'WBS(テスト)'!$G$2:$G$95)</f>
        <v>7</v>
      </c>
      <c r="G39" s="137">
        <f t="shared" si="0"/>
        <v>17.5</v>
      </c>
      <c r="H39" s="137">
        <f>COUNTIF('WBS(詳細設計_製造)'!$D$2:$D$182,$B39)+COUNTIF('WBS(テスト)'!$D$2:$D$95,$B39)</f>
        <v>6</v>
      </c>
    </row>
    <row r="40" spans="1:8">
      <c r="A40" t="s">
        <v>2135</v>
      </c>
      <c r="B40" t="s">
        <v>2210</v>
      </c>
      <c r="C40" s="137">
        <f>SUMIFS('WBS(基本設計)'!$I$2:$I$159,'WBS(基本設計)'!$E$2:$E$159,$B40,'WBS(基本設計)'!$N$2:$N$159,"対象")</f>
        <v>1</v>
      </c>
      <c r="D40" s="137">
        <f>SUMIF('WBS(詳細設計_製造)'!$D$2:$D$182,$B40,'WBS(詳細設計_製造)'!$G$2:$G$182)</f>
        <v>1</v>
      </c>
      <c r="E40" s="137">
        <f>SUMIF('WBS(詳細設計_製造)'!$D$2:$D$182,$B40,'WBS(詳細設計_製造)'!$H$2:$H$182)</f>
        <v>1.5</v>
      </c>
      <c r="F40" s="137">
        <f>SUMIF('WBS(テスト)'!$D$2:$D$95,$B40,'WBS(テスト)'!$G$2:$G$95)</f>
        <v>1.5</v>
      </c>
      <c r="G40" s="137">
        <f t="shared" si="0"/>
        <v>5</v>
      </c>
      <c r="H40" s="137">
        <f>COUNTIF('WBS(詳細設計_製造)'!$D$2:$D$182,$B40)+COUNTIF('WBS(テスト)'!$D$2:$D$95,$B40)</f>
        <v>3</v>
      </c>
    </row>
    <row r="41" spans="1:8">
      <c r="A41" t="s">
        <v>2138</v>
      </c>
      <c r="B41" t="s">
        <v>4718</v>
      </c>
      <c r="C41" s="137">
        <f>SUMIFS('WBS(基本設計)'!$I$2:$I$159,'WBS(基本設計)'!$E$2:$E$159,$B41,'WBS(基本設計)'!$N$2:$N$159,"対象")</f>
        <v>2.5</v>
      </c>
      <c r="D41" s="137">
        <f>SUMIF('WBS(詳細設計_製造)'!$D$2:$D$182,$B41,'WBS(詳細設計_製造)'!$G$2:$G$182)</f>
        <v>2</v>
      </c>
      <c r="E41" s="137">
        <f>SUMIF('WBS(詳細設計_製造)'!$D$2:$D$182,$B41,'WBS(詳細設計_製造)'!$H$2:$H$182)</f>
        <v>3</v>
      </c>
      <c r="F41" s="137">
        <f>SUMIF('WBS(テスト)'!$D$2:$D$95,$B41,'WBS(テスト)'!$G$2:$G$95)</f>
        <v>1.5</v>
      </c>
      <c r="G41" s="137">
        <f t="shared" si="0"/>
        <v>9</v>
      </c>
      <c r="H41" s="137">
        <f>COUNTIF('WBS(詳細設計_製造)'!$D$2:$D$182,$B41)+COUNTIF('WBS(テスト)'!$D$2:$D$95,$B41)</f>
        <v>4</v>
      </c>
    </row>
    <row r="42" spans="1:8">
      <c r="A42" t="s">
        <v>2138</v>
      </c>
      <c r="B42" t="s">
        <v>4719</v>
      </c>
      <c r="C42" s="137">
        <f>SUMIFS('WBS(基本設計)'!$I$2:$I$159,'WBS(基本設計)'!$E$2:$E$159,$B42,'WBS(基本設計)'!$N$2:$N$159,"対象")</f>
        <v>0.5</v>
      </c>
      <c r="D42" s="137">
        <f>SUMIF('WBS(詳細設計_製造)'!$D$2:$D$182,$B42,'WBS(詳細設計_製造)'!$G$2:$G$182)</f>
        <v>1.5</v>
      </c>
      <c r="E42" s="137">
        <f>SUMIF('WBS(詳細設計_製造)'!$D$2:$D$182,$B42,'WBS(詳細設計_製造)'!$H$2:$H$182)</f>
        <v>2</v>
      </c>
      <c r="F42" s="137">
        <f>SUMIF('WBS(テスト)'!$D$2:$D$95,$B42,'WBS(テスト)'!$G$2:$G$95)</f>
        <v>0.5</v>
      </c>
      <c r="G42" s="137">
        <f t="shared" si="0"/>
        <v>4.5</v>
      </c>
      <c r="H42" s="137">
        <f>COUNTIF('WBS(詳細設計_製造)'!$D$2:$D$182,$B42)+COUNTIF('WBS(テスト)'!$D$2:$D$95,$B42)</f>
        <v>3</v>
      </c>
    </row>
    <row r="43" spans="1:8">
      <c r="A43" t="s">
        <v>2138</v>
      </c>
      <c r="B43" t="s">
        <v>4720</v>
      </c>
      <c r="C43" s="137">
        <f>SUMIFS('WBS(基本設計)'!$I$2:$I$159,'WBS(基本設計)'!$E$2:$E$159,$B43,'WBS(基本設計)'!$N$2:$N$159,"対象")</f>
        <v>0.5</v>
      </c>
      <c r="D43" s="137">
        <f>SUMIF('WBS(詳細設計_製造)'!$D$2:$D$182,$B43,'WBS(詳細設計_製造)'!$G$2:$G$182)</f>
        <v>1.5</v>
      </c>
      <c r="E43" s="137">
        <f>SUMIF('WBS(詳細設計_製造)'!$D$2:$D$182,$B43,'WBS(詳細設計_製造)'!$H$2:$H$182)</f>
        <v>2</v>
      </c>
      <c r="F43" s="137">
        <f>SUMIF('WBS(テスト)'!$D$2:$D$95,$B43,'WBS(テスト)'!$G$2:$G$95)</f>
        <v>1</v>
      </c>
      <c r="G43" s="137">
        <f t="shared" si="0"/>
        <v>5</v>
      </c>
      <c r="H43" s="137">
        <f>COUNTIF('WBS(詳細設計_製造)'!$D$2:$D$182,$B43)+COUNTIF('WBS(テスト)'!$D$2:$D$95,$B43)</f>
        <v>3</v>
      </c>
    </row>
    <row r="44" spans="1:8">
      <c r="A44" t="s">
        <v>1932</v>
      </c>
      <c r="B44" t="s">
        <v>4722</v>
      </c>
      <c r="C44" s="137">
        <f>SUMIFS('WBS(基本設計)'!$I$2:$I$159,'WBS(基本設計)'!$E$2:$E$159,$B44,'WBS(基本設計)'!$N$2:$N$159,"対象")</f>
        <v>1</v>
      </c>
      <c r="D44" s="137">
        <f>SUMIF('WBS(詳細設計_製造)'!$D$2:$D$182,$B44,'WBS(詳細設計_製造)'!$G$2:$G$182)</f>
        <v>1</v>
      </c>
      <c r="E44" s="137">
        <f>SUMIF('WBS(詳細設計_製造)'!$D$2:$D$182,$B44,'WBS(詳細設計_製造)'!$H$2:$H$182)</f>
        <v>2</v>
      </c>
      <c r="F44" s="137">
        <f>SUMIF('WBS(テスト)'!$D$2:$D$95,$B44,'WBS(テスト)'!$G$2:$G$95)</f>
        <v>1.5</v>
      </c>
      <c r="G44" s="137">
        <f t="shared" si="0"/>
        <v>5.5</v>
      </c>
      <c r="H44" s="137">
        <f>COUNTIF('WBS(詳細設計_製造)'!$D$2:$D$182,$B44)+COUNTIF('WBS(テスト)'!$D$2:$D$95,$B44)</f>
        <v>3</v>
      </c>
    </row>
    <row r="45" spans="1:8">
      <c r="A45" t="s">
        <v>2141</v>
      </c>
      <c r="B45" t="s">
        <v>2185</v>
      </c>
      <c r="C45" s="137">
        <f>SUMIFS('WBS(基本設計)'!$I$2:$I$159,'WBS(基本設計)'!$E$2:$E$159,$B45,'WBS(基本設計)'!$N$2:$N$159,"対象")</f>
        <v>2</v>
      </c>
      <c r="D45" s="137">
        <f>SUMIF('WBS(詳細設計_製造)'!$D$2:$D$182,$B45,'WBS(詳細設計_製造)'!$G$2:$G$182)</f>
        <v>2</v>
      </c>
      <c r="E45" s="137">
        <f>SUMIF('WBS(詳細設計_製造)'!$D$2:$D$182,$B45,'WBS(詳細設計_製造)'!$H$2:$H$182)</f>
        <v>2</v>
      </c>
      <c r="F45" s="137">
        <f>SUMIF('WBS(テスト)'!$D$2:$D$95,$B45,'WBS(テスト)'!$G$2:$G$95)</f>
        <v>1.5</v>
      </c>
      <c r="G45" s="137">
        <f t="shared" si="0"/>
        <v>7.5</v>
      </c>
      <c r="H45" s="137">
        <f>COUNTIF('WBS(詳細設計_製造)'!$D$2:$D$182,$B45)+COUNTIF('WBS(テスト)'!$D$2:$D$95,$B45)</f>
        <v>3</v>
      </c>
    </row>
    <row r="46" spans="1:8">
      <c r="A46" t="s">
        <v>2141</v>
      </c>
      <c r="B46" t="s">
        <v>2162</v>
      </c>
      <c r="C46" s="137">
        <f>SUMIFS('WBS(基本設計)'!$I$2:$I$159,'WBS(基本設計)'!$E$2:$E$159,$B46,'WBS(基本設計)'!$N$2:$N$159,"対象")</f>
        <v>4</v>
      </c>
      <c r="D46" s="137">
        <f>SUMIF('WBS(詳細設計_製造)'!$D$2:$D$182,$B46,'WBS(詳細設計_製造)'!$G$2:$G$182)</f>
        <v>5</v>
      </c>
      <c r="E46" s="137">
        <f>SUMIF('WBS(詳細設計_製造)'!$D$2:$D$182,$B46,'WBS(詳細設計_製造)'!$H$2:$H$182)</f>
        <v>12</v>
      </c>
      <c r="F46" s="137">
        <f>SUMIF('WBS(テスト)'!$D$2:$D$95,$B46,'WBS(テスト)'!$G$2:$G$95)</f>
        <v>4</v>
      </c>
      <c r="G46" s="137">
        <f t="shared" si="0"/>
        <v>25</v>
      </c>
      <c r="H46" s="137">
        <f>COUNTIF('WBS(詳細設計_製造)'!$D$2:$D$182,$B46)+COUNTIF('WBS(テスト)'!$D$2:$D$95,$B46)</f>
        <v>4</v>
      </c>
    </row>
    <row r="47" spans="1:8">
      <c r="A47" t="s">
        <v>2141</v>
      </c>
      <c r="B47" t="s">
        <v>2163</v>
      </c>
      <c r="C47" s="137">
        <f>SUMIFS('WBS(基本設計)'!$I$2:$I$159,'WBS(基本設計)'!$E$2:$E$159,$B47,'WBS(基本設計)'!$N$2:$N$159,"対象")</f>
        <v>2</v>
      </c>
      <c r="D47" s="137">
        <f>SUMIF('WBS(詳細設計_製造)'!$D$2:$D$182,$B47,'WBS(詳細設計_製造)'!$G$2:$G$182)</f>
        <v>4</v>
      </c>
      <c r="E47" s="137">
        <f>SUMIF('WBS(詳細設計_製造)'!$D$2:$D$182,$B47,'WBS(詳細設計_製造)'!$H$2:$H$182)</f>
        <v>15</v>
      </c>
      <c r="F47" s="137">
        <f>SUMIF('WBS(テスト)'!$D$2:$D$95,$B47,'WBS(テスト)'!$G$2:$G$95)</f>
        <v>4</v>
      </c>
      <c r="G47" s="137">
        <f t="shared" si="0"/>
        <v>25</v>
      </c>
      <c r="H47" s="137">
        <f>COUNTIF('WBS(詳細設計_製造)'!$D$2:$D$182,$B47)+COUNTIF('WBS(テスト)'!$D$2:$D$95,$B47)</f>
        <v>5</v>
      </c>
    </row>
    <row r="48" spans="1:8">
      <c r="A48" t="s">
        <v>2141</v>
      </c>
      <c r="B48" t="s">
        <v>2172</v>
      </c>
      <c r="C48" s="137">
        <f>SUMIFS('WBS(基本設計)'!$I$2:$I$159,'WBS(基本設計)'!$E$2:$E$159,$B48,'WBS(基本設計)'!$N$2:$N$159,"対象")</f>
        <v>4</v>
      </c>
      <c r="D48" s="137">
        <f>SUMIF('WBS(詳細設計_製造)'!$D$2:$D$182,$B48,'WBS(詳細設計_製造)'!$G$2:$G$182)</f>
        <v>3</v>
      </c>
      <c r="E48" s="137">
        <f>SUMIF('WBS(詳細設計_製造)'!$D$2:$D$182,$B48,'WBS(詳細設計_製造)'!$H$2:$H$182)</f>
        <v>4</v>
      </c>
      <c r="F48" s="137">
        <f>SUMIF('WBS(テスト)'!$D$2:$D$95,$B48,'WBS(テスト)'!$G$2:$G$95)</f>
        <v>2</v>
      </c>
      <c r="G48" s="137">
        <f t="shared" si="0"/>
        <v>13</v>
      </c>
      <c r="H48" s="137">
        <f>COUNTIF('WBS(詳細設計_製造)'!$D$2:$D$182,$B48)+COUNTIF('WBS(テスト)'!$D$2:$D$95,$B48)</f>
        <v>3</v>
      </c>
    </row>
    <row r="49" spans="1:8">
      <c r="A49" t="s">
        <v>2141</v>
      </c>
      <c r="B49" t="s">
        <v>2204</v>
      </c>
      <c r="C49" s="137">
        <f>SUMIFS('WBS(基本設計)'!$I$2:$I$159,'WBS(基本設計)'!$E$2:$E$159,$B49,'WBS(基本設計)'!$N$2:$N$159,"対象")</f>
        <v>1</v>
      </c>
      <c r="D49" s="137">
        <f>SUMIF('WBS(詳細設計_製造)'!$D$2:$D$182,$B49,'WBS(詳細設計_製造)'!$G$2:$G$182)</f>
        <v>2</v>
      </c>
      <c r="E49" s="137">
        <f>SUMIF('WBS(詳細設計_製造)'!$D$2:$D$182,$B49,'WBS(詳細設計_製造)'!$H$2:$H$182)</f>
        <v>10</v>
      </c>
      <c r="F49" s="137">
        <f>SUMIF('WBS(テスト)'!$D$2:$D$95,$B49,'WBS(テスト)'!$G$2:$G$95)</f>
        <v>2</v>
      </c>
      <c r="G49" s="137">
        <f t="shared" si="0"/>
        <v>15</v>
      </c>
      <c r="H49" s="137">
        <f>COUNTIF('WBS(詳細設計_製造)'!$D$2:$D$182,$B49)+COUNTIF('WBS(テスト)'!$D$2:$D$95,$B49)</f>
        <v>4</v>
      </c>
    </row>
    <row r="50" spans="1:8">
      <c r="A50" t="s">
        <v>2141</v>
      </c>
      <c r="B50" t="s">
        <v>2166</v>
      </c>
      <c r="C50" s="137">
        <f>SUMIFS('WBS(基本設計)'!$I$2:$I$159,'WBS(基本設計)'!$E$2:$E$159,$B50,'WBS(基本設計)'!$N$2:$N$159,"対象")</f>
        <v>1.5</v>
      </c>
      <c r="D50" s="137">
        <f>SUMIF('WBS(詳細設計_製造)'!$D$2:$D$182,$B50,'WBS(詳細設計_製造)'!$G$2:$G$182)</f>
        <v>0</v>
      </c>
      <c r="E50" s="137">
        <f>SUMIF('WBS(詳細設計_製造)'!$D$2:$D$182,$B50,'WBS(詳細設計_製造)'!$H$2:$H$182)</f>
        <v>0</v>
      </c>
      <c r="F50" s="137">
        <f>SUMIF('WBS(テスト)'!$D$2:$D$95,$B50,'WBS(テスト)'!$G$2:$G$95)</f>
        <v>0</v>
      </c>
      <c r="G50" s="137">
        <f t="shared" si="0"/>
        <v>1.5</v>
      </c>
      <c r="H50" s="137">
        <f>COUNTIF('WBS(詳細設計_製造)'!$D$2:$D$182,$B50)+COUNTIF('WBS(テスト)'!$D$2:$D$95,$B50)</f>
        <v>0</v>
      </c>
    </row>
    <row r="51" spans="1:8">
      <c r="A51" t="s">
        <v>2141</v>
      </c>
      <c r="B51" t="s">
        <v>3306</v>
      </c>
      <c r="C51" s="137">
        <f>SUMIFS('WBS(基本設計)'!$I$2:$I$159,'WBS(基本設計)'!$E$2:$E$159,$B51,'WBS(基本設計)'!$N$2:$N$159,"対象")</f>
        <v>3</v>
      </c>
      <c r="D51" s="137">
        <f>SUMIF('WBS(詳細設計_製造)'!$D$2:$D$182,$B51,'WBS(詳細設計_製造)'!$G$2:$G$182)</f>
        <v>5</v>
      </c>
      <c r="E51" s="137">
        <f>SUMIF('WBS(詳細設計_製造)'!$D$2:$D$182,$B51,'WBS(詳細設計_製造)'!$H$2:$H$182)</f>
        <v>0</v>
      </c>
      <c r="F51" s="137">
        <f>SUMIF('WBS(テスト)'!$D$2:$D$95,$B51,'WBS(テスト)'!$G$2:$G$95)</f>
        <v>7</v>
      </c>
      <c r="G51" s="137">
        <f t="shared" si="0"/>
        <v>15</v>
      </c>
      <c r="H51" s="137">
        <f>COUNTIF('WBS(詳細設計_製造)'!$D$2:$D$182,$B51)+COUNTIF('WBS(テスト)'!$D$2:$D$95,$B51)</f>
        <v>4</v>
      </c>
    </row>
    <row r="52" spans="1:8">
      <c r="A52" t="s">
        <v>2144</v>
      </c>
      <c r="B52" t="s">
        <v>2177</v>
      </c>
      <c r="C52" s="137">
        <f>SUMIFS('WBS(基本設計)'!$I$2:$I$159,'WBS(基本設計)'!$E$2:$E$159,$B52,'WBS(基本設計)'!$N$2:$N$159,"対象")</f>
        <v>4</v>
      </c>
      <c r="D52" s="137">
        <f>SUMIF('WBS(詳細設計_製造)'!$D$2:$D$182,$B52,'WBS(詳細設計_製造)'!$G$2:$G$182)</f>
        <v>3</v>
      </c>
      <c r="E52" s="137">
        <f>SUMIF('WBS(詳細設計_製造)'!$D$2:$D$182,$B52,'WBS(詳細設計_製造)'!$H$2:$H$182)</f>
        <v>3</v>
      </c>
      <c r="F52" s="137">
        <f>SUMIF('WBS(テスト)'!$D$2:$D$95,$B52,'WBS(テスト)'!$G$2:$G$95)</f>
        <v>8</v>
      </c>
      <c r="G52" s="137">
        <f t="shared" si="0"/>
        <v>18</v>
      </c>
      <c r="H52" s="137">
        <f>COUNTIF('WBS(詳細設計_製造)'!$D$2:$D$182,$B52)+COUNTIF('WBS(テスト)'!$D$2:$D$95,$B52)</f>
        <v>3</v>
      </c>
    </row>
    <row r="53" spans="1:8">
      <c r="A53" t="s">
        <v>2144</v>
      </c>
      <c r="B53" t="s">
        <v>2158</v>
      </c>
      <c r="C53" s="137">
        <f>SUMIFS('WBS(基本設計)'!$I$2:$I$159,'WBS(基本設計)'!$E$2:$E$159,$B53,'WBS(基本設計)'!$N$2:$N$159,"対象")</f>
        <v>6.5</v>
      </c>
      <c r="D53" s="137">
        <f>SUMIF('WBS(詳細設計_製造)'!$D$2:$D$182,$B53,'WBS(詳細設計_製造)'!$G$2:$G$182)</f>
        <v>2</v>
      </c>
      <c r="E53" s="137">
        <f>SUMIF('WBS(詳細設計_製造)'!$D$2:$D$182,$B53,'WBS(詳細設計_製造)'!$H$2:$H$182)</f>
        <v>1</v>
      </c>
      <c r="F53" s="137">
        <f>SUMIF('WBS(テスト)'!$D$2:$D$95,$B53,'WBS(テスト)'!$G$2:$G$95)</f>
        <v>6</v>
      </c>
      <c r="G53" s="137">
        <f t="shared" si="0"/>
        <v>15.5</v>
      </c>
      <c r="H53" s="137">
        <f>COUNTIF('WBS(詳細設計_製造)'!$D$2:$D$182,$B53)+COUNTIF('WBS(テスト)'!$D$2:$D$95,$B53)</f>
        <v>3</v>
      </c>
    </row>
    <row r="54" spans="1:8">
      <c r="A54" t="s">
        <v>2144</v>
      </c>
      <c r="B54" t="s">
        <v>2168</v>
      </c>
      <c r="C54" s="137">
        <f>SUMIFS('WBS(基本設計)'!$I$2:$I$159,'WBS(基本設計)'!$E$2:$E$159,$B54,'WBS(基本設計)'!$N$2:$N$159,"対象")</f>
        <v>3</v>
      </c>
      <c r="D54" s="137">
        <f>SUMIF('WBS(詳細設計_製造)'!$D$2:$D$182,$B54,'WBS(詳細設計_製造)'!$G$2:$G$182)</f>
        <v>2</v>
      </c>
      <c r="E54" s="137">
        <f>SUMIF('WBS(詳細設計_製造)'!$D$2:$D$182,$B54,'WBS(詳細設計_製造)'!$H$2:$H$182)</f>
        <v>2</v>
      </c>
      <c r="F54" s="137">
        <f>SUMIF('WBS(テスト)'!$D$2:$D$95,$B54,'WBS(テスト)'!$G$2:$G$95)</f>
        <v>3</v>
      </c>
      <c r="G54" s="137">
        <f t="shared" si="0"/>
        <v>10</v>
      </c>
      <c r="H54" s="137">
        <f>COUNTIF('WBS(詳細設計_製造)'!$D$2:$D$182,$B54)+COUNTIF('WBS(テスト)'!$D$2:$D$95,$B54)</f>
        <v>3</v>
      </c>
    </row>
    <row r="55" spans="1:8">
      <c r="A55" t="s">
        <v>2144</v>
      </c>
      <c r="B55" t="s">
        <v>2174</v>
      </c>
      <c r="C55" s="137">
        <f>SUMIFS('WBS(基本設計)'!$I$2:$I$159,'WBS(基本設計)'!$E$2:$E$159,$B55,'WBS(基本設計)'!$N$2:$N$159,"対象")</f>
        <v>4</v>
      </c>
      <c r="D55" s="137">
        <f>SUMIF('WBS(詳細設計_製造)'!$D$2:$D$182,$B55,'WBS(詳細設計_製造)'!$G$2:$G$182)</f>
        <v>2</v>
      </c>
      <c r="E55" s="137">
        <f>SUMIF('WBS(詳細設計_製造)'!$D$2:$D$182,$B55,'WBS(詳細設計_製造)'!$H$2:$H$182)</f>
        <v>2</v>
      </c>
      <c r="F55" s="137">
        <f>SUMIF('WBS(テスト)'!$D$2:$D$95,$B55,'WBS(テスト)'!$G$2:$G$95)</f>
        <v>0</v>
      </c>
      <c r="G55" s="137">
        <f t="shared" si="0"/>
        <v>8</v>
      </c>
      <c r="H55" s="137">
        <f>COUNTIF('WBS(詳細設計_製造)'!$D$2:$D$182,$B55)+COUNTIF('WBS(テスト)'!$D$2:$D$95,$B55)</f>
        <v>2</v>
      </c>
    </row>
    <row r="56" spans="1:8">
      <c r="A56" t="s">
        <v>2146</v>
      </c>
      <c r="B56" t="s">
        <v>2165</v>
      </c>
      <c r="C56" s="137">
        <f>SUMIFS('WBS(基本設計)'!$I$2:$I$159,'WBS(基本設計)'!$E$2:$E$159,$B56,'WBS(基本設計)'!$N$2:$N$159,"対象")</f>
        <v>11.5</v>
      </c>
      <c r="D56" s="137">
        <f>SUMIF('WBS(詳細設計_製造)'!$D$2:$D$182,$B56,'WBS(詳細設計_製造)'!$G$2:$G$182)</f>
        <v>9</v>
      </c>
      <c r="E56" s="137">
        <f>SUMIF('WBS(詳細設計_製造)'!$D$2:$D$182,$B56,'WBS(詳細設計_製造)'!$H$2:$H$182)</f>
        <v>22</v>
      </c>
      <c r="F56" s="137">
        <f>SUMIF('WBS(テスト)'!$D$2:$D$95,$B56,'WBS(テスト)'!$G$2:$G$95)</f>
        <v>11</v>
      </c>
      <c r="G56" s="137">
        <f t="shared" si="0"/>
        <v>53.5</v>
      </c>
      <c r="H56" s="137">
        <f>COUNTIF('WBS(詳細設計_製造)'!$D$2:$D$182,$B56)+COUNTIF('WBS(テスト)'!$D$2:$D$95,$B56)</f>
        <v>9</v>
      </c>
    </row>
    <row r="57" spans="1:8">
      <c r="A57" t="s">
        <v>2146</v>
      </c>
      <c r="B57" t="s">
        <v>2182</v>
      </c>
      <c r="C57" s="137">
        <f>SUMIFS('WBS(基本設計)'!$I$2:$I$159,'WBS(基本設計)'!$E$2:$E$159,$B57,'WBS(基本設計)'!$N$2:$N$159,"対象")</f>
        <v>2</v>
      </c>
      <c r="D57" s="137">
        <f>SUMIF('WBS(詳細設計_製造)'!$D$2:$D$182,$B57,'WBS(詳細設計_製造)'!$G$2:$G$182)</f>
        <v>2</v>
      </c>
      <c r="E57" s="137">
        <f>SUMIF('WBS(詳細設計_製造)'!$D$2:$D$182,$B57,'WBS(詳細設計_製造)'!$H$2:$H$182)</f>
        <v>4</v>
      </c>
      <c r="F57" s="137">
        <f>SUMIF('WBS(テスト)'!$D$2:$D$95,$B57,'WBS(テスト)'!$G$2:$G$95)</f>
        <v>11</v>
      </c>
      <c r="G57" s="137">
        <f t="shared" si="0"/>
        <v>19</v>
      </c>
      <c r="H57" s="137">
        <f>COUNTIF('WBS(詳細設計_製造)'!$D$2:$D$182,$B57)+COUNTIF('WBS(テスト)'!$D$2:$D$95,$B57)</f>
        <v>4</v>
      </c>
    </row>
    <row r="58" spans="1:8">
      <c r="A58" t="s">
        <v>2146</v>
      </c>
      <c r="B58" t="s">
        <v>2208</v>
      </c>
      <c r="C58" s="137">
        <f>SUMIFS('WBS(基本設計)'!$I$2:$I$159,'WBS(基本設計)'!$E$2:$E$159,$B58,'WBS(基本設計)'!$N$2:$N$159,"対象")</f>
        <v>1</v>
      </c>
      <c r="D58" s="137">
        <f>SUMIF('WBS(詳細設計_製造)'!$D$2:$D$182,$B58,'WBS(詳細設計_製造)'!$G$2:$G$182)</f>
        <v>0</v>
      </c>
      <c r="E58" s="137">
        <f>SUMIF('WBS(詳細設計_製造)'!$D$2:$D$182,$B58,'WBS(詳細設計_製造)'!$H$2:$H$182)</f>
        <v>0</v>
      </c>
      <c r="F58" s="137">
        <f>SUMIF('WBS(テスト)'!$D$2:$D$95,$B58,'WBS(テスト)'!$G$2:$G$95)</f>
        <v>2</v>
      </c>
      <c r="G58" s="137">
        <f t="shared" si="0"/>
        <v>3</v>
      </c>
      <c r="H58" s="137">
        <f>COUNTIF('WBS(詳細設計_製造)'!$D$2:$D$182,$B58)+COUNTIF('WBS(テスト)'!$D$2:$D$95,$B58)</f>
        <v>1</v>
      </c>
    </row>
    <row r="59" spans="1:8">
      <c r="A59" t="s">
        <v>2148</v>
      </c>
      <c r="B59" t="s">
        <v>2161</v>
      </c>
      <c r="C59" s="137">
        <f>SUMIFS('WBS(基本設計)'!$I$2:$I$159,'WBS(基本設計)'!$E$2:$E$159,$B59,'WBS(基本設計)'!$N$2:$N$159,"対象")</f>
        <v>4</v>
      </c>
      <c r="D59" s="137">
        <f>SUMIF('WBS(詳細設計_製造)'!$D$2:$D$182,$B59,'WBS(詳細設計_製造)'!$G$2:$G$182)</f>
        <v>3</v>
      </c>
      <c r="E59" s="137">
        <f>SUMIF('WBS(詳細設計_製造)'!$D$2:$D$182,$B59,'WBS(詳細設計_製造)'!$H$2:$H$182)</f>
        <v>6</v>
      </c>
      <c r="F59" s="137">
        <f>SUMIF('WBS(テスト)'!$D$2:$D$95,$B59,'WBS(テスト)'!$G$2:$G$95)</f>
        <v>14</v>
      </c>
      <c r="G59" s="137">
        <f t="shared" si="0"/>
        <v>27</v>
      </c>
      <c r="H59" s="137">
        <f>COUNTIF('WBS(詳細設計_製造)'!$D$2:$D$182,$B59)+COUNTIF('WBS(テスト)'!$D$2:$D$95,$B59)</f>
        <v>5</v>
      </c>
    </row>
    <row r="60" spans="1:8">
      <c r="A60" t="s">
        <v>2148</v>
      </c>
      <c r="B60" t="s">
        <v>2176</v>
      </c>
      <c r="C60" s="137">
        <f>SUMIFS('WBS(基本設計)'!$I$2:$I$159,'WBS(基本設計)'!$E$2:$E$159,$B60,'WBS(基本設計)'!$N$2:$N$159,"対象")</f>
        <v>3</v>
      </c>
      <c r="D60" s="137">
        <f>SUMIF('WBS(詳細設計_製造)'!$D$2:$D$182,$B60,'WBS(詳細設計_製造)'!$G$2:$G$182)</f>
        <v>3</v>
      </c>
      <c r="E60" s="137">
        <f>SUMIF('WBS(詳細設計_製造)'!$D$2:$D$182,$B60,'WBS(詳細設計_製造)'!$H$2:$H$182)</f>
        <v>4</v>
      </c>
      <c r="F60" s="137">
        <f>SUMIF('WBS(テスト)'!$D$2:$D$95,$B60,'WBS(テスト)'!$G$2:$G$95)</f>
        <v>7</v>
      </c>
      <c r="G60" s="137">
        <f t="shared" si="0"/>
        <v>17</v>
      </c>
      <c r="H60" s="137">
        <f>COUNTIF('WBS(詳細設計_製造)'!$D$2:$D$182,$B60)+COUNTIF('WBS(テスト)'!$D$2:$D$95,$B60)</f>
        <v>4</v>
      </c>
    </row>
    <row r="61" spans="1:8">
      <c r="A61" t="s">
        <v>2148</v>
      </c>
      <c r="B61" t="s">
        <v>2187</v>
      </c>
      <c r="C61" s="137">
        <f>SUMIFS('WBS(基本設計)'!$I$2:$I$159,'WBS(基本設計)'!$E$2:$E$159,$B61,'WBS(基本設計)'!$N$2:$N$159,"対象")</f>
        <v>3</v>
      </c>
      <c r="D61" s="137">
        <f>SUMIF('WBS(詳細設計_製造)'!$D$2:$D$182,$B61,'WBS(詳細設計_製造)'!$G$2:$G$182)</f>
        <v>2</v>
      </c>
      <c r="E61" s="137">
        <f>SUMIF('WBS(詳細設計_製造)'!$D$2:$D$182,$B61,'WBS(詳細設計_製造)'!$H$2:$H$182)</f>
        <v>3</v>
      </c>
      <c r="F61" s="137">
        <f>SUMIF('WBS(テスト)'!$D$2:$D$95,$B61,'WBS(テスト)'!$G$2:$G$95)</f>
        <v>4</v>
      </c>
      <c r="G61" s="137">
        <f t="shared" si="0"/>
        <v>12</v>
      </c>
      <c r="H61" s="137">
        <f>COUNTIF('WBS(詳細設計_製造)'!$D$2:$D$182,$B61)+COUNTIF('WBS(テスト)'!$D$2:$D$95,$B61)</f>
        <v>3</v>
      </c>
    </row>
    <row r="62" spans="1:8">
      <c r="A62" t="s">
        <v>2150</v>
      </c>
      <c r="B62" t="s">
        <v>2203</v>
      </c>
      <c r="C62" s="137">
        <f>SUMIFS('WBS(基本設計)'!$I$2:$I$159,'WBS(基本設計)'!$E$2:$E$159,$B62,'WBS(基本設計)'!$N$2:$N$159,"対象")</f>
        <v>3</v>
      </c>
      <c r="D62" s="137">
        <f>SUMIF('WBS(詳細設計_製造)'!$D$2:$D$182,$B62,'WBS(詳細設計_製造)'!$G$2:$G$182)</f>
        <v>3</v>
      </c>
      <c r="E62" s="137">
        <f>SUMIF('WBS(詳細設計_製造)'!$D$2:$D$182,$B62,'WBS(詳細設計_製造)'!$H$2:$H$182)</f>
        <v>8</v>
      </c>
      <c r="F62" s="137">
        <f>SUMIF('WBS(テスト)'!$D$2:$D$95,$B62,'WBS(テスト)'!$G$2:$G$95)</f>
        <v>6</v>
      </c>
      <c r="G62" s="137">
        <f t="shared" si="0"/>
        <v>20</v>
      </c>
      <c r="H62" s="137">
        <f>COUNTIF('WBS(詳細設計_製造)'!$D$2:$D$182,$B62)+COUNTIF('WBS(テスト)'!$D$2:$D$95,$B62)</f>
        <v>3</v>
      </c>
    </row>
    <row r="63" spans="1:8">
      <c r="A63" t="s">
        <v>2150</v>
      </c>
      <c r="B63" t="s">
        <v>2183</v>
      </c>
      <c r="C63" s="137">
        <f>SUMIFS('WBS(基本設計)'!$I$2:$I$159,'WBS(基本設計)'!$E$2:$E$159,$B63,'WBS(基本設計)'!$N$2:$N$159,"対象")</f>
        <v>1</v>
      </c>
      <c r="D63" s="137">
        <f>SUMIF('WBS(詳細設計_製造)'!$D$2:$D$182,$B63,'WBS(詳細設計_製造)'!$G$2:$G$182)</f>
        <v>0</v>
      </c>
      <c r="E63" s="137">
        <f>SUMIF('WBS(詳細設計_製造)'!$D$2:$D$182,$B63,'WBS(詳細設計_製造)'!$H$2:$H$182)</f>
        <v>1</v>
      </c>
      <c r="F63" s="137">
        <f>SUMIF('WBS(テスト)'!$D$2:$D$95,$B63,'WBS(テスト)'!$G$2:$G$95)</f>
        <v>4</v>
      </c>
      <c r="G63" s="137">
        <f t="shared" si="0"/>
        <v>6</v>
      </c>
      <c r="H63" s="137">
        <f>COUNTIF('WBS(詳細設計_製造)'!$D$2:$D$182,$B63)+COUNTIF('WBS(テスト)'!$D$2:$D$95,$B63)</f>
        <v>2</v>
      </c>
    </row>
    <row r="64" spans="1:8">
      <c r="A64" t="s">
        <v>2150</v>
      </c>
      <c r="B64" t="s">
        <v>2179</v>
      </c>
      <c r="C64" s="137">
        <f>SUMIFS('WBS(基本設計)'!$I$2:$I$159,'WBS(基本設計)'!$E$2:$E$159,$B64,'WBS(基本設計)'!$N$2:$N$159,"対象")</f>
        <v>2</v>
      </c>
      <c r="D64" s="137">
        <f>SUMIF('WBS(詳細設計_製造)'!$D$2:$D$182,$B64,'WBS(詳細設計_製造)'!$G$2:$G$182)</f>
        <v>0</v>
      </c>
      <c r="E64" s="137">
        <f>SUMIF('WBS(詳細設計_製造)'!$D$2:$D$182,$B64,'WBS(詳細設計_製造)'!$H$2:$H$182)</f>
        <v>1</v>
      </c>
      <c r="F64" s="137">
        <f>SUMIF('WBS(テスト)'!$D$2:$D$95,$B64,'WBS(テスト)'!$G$2:$G$95)</f>
        <v>8</v>
      </c>
      <c r="G64" s="137">
        <f t="shared" si="0"/>
        <v>11</v>
      </c>
      <c r="H64" s="137">
        <f>COUNTIF('WBS(詳細設計_製造)'!$D$2:$D$182,$B64)+COUNTIF('WBS(テスト)'!$D$2:$D$95,$B64)</f>
        <v>2</v>
      </c>
    </row>
    <row r="65" spans="1:8">
      <c r="A65" t="s">
        <v>2150</v>
      </c>
      <c r="B65" t="s">
        <v>2180</v>
      </c>
      <c r="C65" s="137">
        <f>SUMIFS('WBS(基本設計)'!$I$2:$I$159,'WBS(基本設計)'!$E$2:$E$159,$B65,'WBS(基本設計)'!$N$2:$N$159,"対象")</f>
        <v>0.5</v>
      </c>
      <c r="D65" s="137">
        <f>SUMIF('WBS(詳細設計_製造)'!$D$2:$D$182,$B65,'WBS(詳細設計_製造)'!$G$2:$G$182)</f>
        <v>1.5</v>
      </c>
      <c r="E65" s="137">
        <f>SUMIF('WBS(詳細設計_製造)'!$D$2:$D$182,$B65,'WBS(詳細設計_製造)'!$H$2:$H$182)</f>
        <v>2</v>
      </c>
      <c r="F65" s="137">
        <f>SUMIF('WBS(テスト)'!$D$2:$D$95,$B65,'WBS(テスト)'!$G$2:$G$95)</f>
        <v>3</v>
      </c>
      <c r="G65" s="137">
        <f t="shared" si="0"/>
        <v>7</v>
      </c>
      <c r="H65" s="137">
        <f>COUNTIF('WBS(詳細設計_製造)'!$D$2:$D$182,$B65)+COUNTIF('WBS(テスト)'!$D$2:$D$95,$B65)</f>
        <v>3</v>
      </c>
    </row>
    <row r="66" spans="1:8">
      <c r="A66" t="s">
        <v>2150</v>
      </c>
      <c r="B66" t="s">
        <v>4012</v>
      </c>
      <c r="C66" s="137">
        <f>SUMIFS('WBS(基本設計)'!$I$2:$I$159,'WBS(基本設計)'!$E$2:$E$159,$B66,'WBS(基本設計)'!$N$2:$N$159,"対象")</f>
        <v>2</v>
      </c>
      <c r="D66" s="137">
        <f>SUMIF('WBS(詳細設計_製造)'!$D$2:$D$182,$B66,'WBS(詳細設計_製造)'!$G$2:$G$182)</f>
        <v>1.5</v>
      </c>
      <c r="E66" s="137">
        <f>SUMIF('WBS(詳細設計_製造)'!$D$2:$D$182,$B66,'WBS(詳細設計_製造)'!$H$2:$H$182)</f>
        <v>2</v>
      </c>
      <c r="F66" s="137">
        <f>SUMIF('WBS(テスト)'!$D$2:$D$95,$B66,'WBS(テスト)'!$G$2:$G$95)</f>
        <v>2</v>
      </c>
      <c r="G66" s="137">
        <f t="shared" si="0"/>
        <v>7.5</v>
      </c>
      <c r="H66" s="137">
        <f>COUNTIF('WBS(詳細設計_製造)'!$D$2:$D$182,$B66)+COUNTIF('WBS(テスト)'!$D$2:$D$95,$B66)</f>
        <v>3</v>
      </c>
    </row>
    <row r="67" spans="1:8">
      <c r="A67" t="s">
        <v>2150</v>
      </c>
      <c r="B67" t="s">
        <v>3307</v>
      </c>
      <c r="C67" s="137">
        <f>SUMIFS('WBS(基本設計)'!$I$2:$I$159,'WBS(基本設計)'!$E$2:$E$159,$B67,'WBS(基本設計)'!$N$2:$N$159,"対象")</f>
        <v>6</v>
      </c>
      <c r="D67" s="137">
        <f>SUMIF('WBS(詳細設計_製造)'!$D$2:$D$182,$B67,'WBS(詳細設計_製造)'!$G$2:$G$182)</f>
        <v>6</v>
      </c>
      <c r="E67" s="137">
        <f>SUMIF('WBS(詳細設計_製造)'!$D$2:$D$182,$B67,'WBS(詳細設計_製造)'!$H$2:$H$182)</f>
        <v>9</v>
      </c>
      <c r="F67" s="137">
        <f>SUMIF('WBS(テスト)'!$D$2:$D$95,$B67,'WBS(テスト)'!$G$2:$G$95)</f>
        <v>9</v>
      </c>
      <c r="G67" s="137">
        <f t="shared" ref="G67:G80" si="1">SUM(C67:F67)</f>
        <v>30</v>
      </c>
      <c r="H67" s="137">
        <f>COUNTIF('WBS(詳細設計_製造)'!$D$2:$D$182,$B67)+COUNTIF('WBS(テスト)'!$D$2:$D$95,$B67)</f>
        <v>7</v>
      </c>
    </row>
    <row r="68" spans="1:8">
      <c r="A68" t="s">
        <v>2150</v>
      </c>
      <c r="B68" t="s">
        <v>3100</v>
      </c>
      <c r="C68" s="137">
        <f>SUMIFS('WBS(基本設計)'!$I$2:$I$159,'WBS(基本設計)'!$E$2:$E$159,$B68,'WBS(基本設計)'!$N$2:$N$159,"対象")</f>
        <v>7</v>
      </c>
      <c r="D68" s="137">
        <f>SUMIF('WBS(詳細設計_製造)'!$D$2:$D$182,$B68,'WBS(詳細設計_製造)'!$G$2:$G$182)</f>
        <v>0</v>
      </c>
      <c r="E68" s="137">
        <f>SUMIF('WBS(詳細設計_製造)'!$D$2:$D$182,$B68,'WBS(詳細設計_製造)'!$H$2:$H$182)</f>
        <v>0</v>
      </c>
      <c r="F68" s="137">
        <f>SUMIF('WBS(テスト)'!$D$2:$D$95,$B68,'WBS(テスト)'!$G$2:$G$95)</f>
        <v>0</v>
      </c>
      <c r="G68" s="137">
        <f t="shared" si="1"/>
        <v>7</v>
      </c>
      <c r="H68" s="137">
        <f>COUNTIF('WBS(詳細設計_製造)'!$D$2:$D$182,$B68)+COUNTIF('WBS(テスト)'!$D$2:$D$95,$B68)</f>
        <v>0</v>
      </c>
    </row>
    <row r="69" spans="1:8">
      <c r="A69" t="s">
        <v>2150</v>
      </c>
      <c r="B69" t="s">
        <v>3103</v>
      </c>
      <c r="C69" s="137">
        <f>SUMIFS('WBS(基本設計)'!$I$2:$I$159,'WBS(基本設計)'!$E$2:$E$159,$B69,'WBS(基本設計)'!$N$2:$N$159,"対象")</f>
        <v>2</v>
      </c>
      <c r="D69" s="137">
        <f>SUMIF('WBS(詳細設計_製造)'!$D$2:$D$182,$B69,'WBS(詳細設計_製造)'!$G$2:$G$182)</f>
        <v>0</v>
      </c>
      <c r="E69" s="137">
        <f>SUMIF('WBS(詳細設計_製造)'!$D$2:$D$182,$B69,'WBS(詳細設計_製造)'!$H$2:$H$182)</f>
        <v>0</v>
      </c>
      <c r="F69" s="137">
        <f>SUMIF('WBS(テスト)'!$D$2:$D$95,$B69,'WBS(テスト)'!$G$2:$G$95)</f>
        <v>0</v>
      </c>
      <c r="G69" s="137">
        <f t="shared" si="1"/>
        <v>2</v>
      </c>
      <c r="H69" s="137">
        <f>COUNTIF('WBS(詳細設計_製造)'!$D$2:$D$182,$B69)+COUNTIF('WBS(テスト)'!$D$2:$D$95,$B69)</f>
        <v>0</v>
      </c>
    </row>
    <row r="70" spans="1:8">
      <c r="A70" t="s">
        <v>2150</v>
      </c>
      <c r="B70" t="s">
        <v>3106</v>
      </c>
      <c r="C70" s="137">
        <f>SUMIFS('WBS(基本設計)'!$I$2:$I$159,'WBS(基本設計)'!$E$2:$E$159,$B70,'WBS(基本設計)'!$N$2:$N$159,"対象")</f>
        <v>3.5</v>
      </c>
      <c r="D70" s="137">
        <f>SUMIF('WBS(詳細設計_製造)'!$D$2:$D$182,$B70,'WBS(詳細設計_製造)'!$G$2:$G$182)</f>
        <v>0</v>
      </c>
      <c r="E70" s="137">
        <f>SUMIF('WBS(詳細設計_製造)'!$D$2:$D$182,$B70,'WBS(詳細設計_製造)'!$H$2:$H$182)</f>
        <v>0</v>
      </c>
      <c r="F70" s="137">
        <f>SUMIF('WBS(テスト)'!$D$2:$D$95,$B70,'WBS(テスト)'!$G$2:$G$95)</f>
        <v>0</v>
      </c>
      <c r="G70" s="137">
        <f t="shared" si="1"/>
        <v>3.5</v>
      </c>
      <c r="H70" s="137">
        <f>COUNTIF('WBS(詳細設計_製造)'!$D$2:$D$182,$B70)+COUNTIF('WBS(テスト)'!$D$2:$D$95,$B70)</f>
        <v>0</v>
      </c>
    </row>
    <row r="71" spans="1:8">
      <c r="A71" t="s">
        <v>2151</v>
      </c>
      <c r="B71" t="s">
        <v>2173</v>
      </c>
      <c r="C71" s="137">
        <f>SUMIFS('WBS(基本設計)'!$I$2:$I$159,'WBS(基本設計)'!$E$2:$E$159,$B71,'WBS(基本設計)'!$N$2:$N$159,"対象")</f>
        <v>1</v>
      </c>
      <c r="D71" s="137">
        <f>SUMIF('WBS(詳細設計_製造)'!$D$2:$D$182,$B71,'WBS(詳細設計_製造)'!$G$2:$G$182)</f>
        <v>0</v>
      </c>
      <c r="E71" s="137">
        <f>SUMIF('WBS(詳細設計_製造)'!$D$2:$D$182,$B71,'WBS(詳細設計_製造)'!$H$2:$H$182)</f>
        <v>0</v>
      </c>
      <c r="F71" s="137">
        <f>SUMIF('WBS(テスト)'!$D$2:$D$95,$B71,'WBS(テスト)'!$G$2:$G$95)</f>
        <v>14</v>
      </c>
      <c r="G71" s="137">
        <f t="shared" si="1"/>
        <v>15</v>
      </c>
      <c r="H71" s="137">
        <f>COUNTIF('WBS(詳細設計_製造)'!$D$2:$D$182,$B71)+COUNTIF('WBS(テスト)'!$D$2:$D$95,$B71)</f>
        <v>2</v>
      </c>
    </row>
    <row r="72" spans="1:8">
      <c r="A72" t="s">
        <v>2151</v>
      </c>
      <c r="B72" t="s">
        <v>2170</v>
      </c>
      <c r="C72" s="137">
        <f>SUMIFS('WBS(基本設計)'!$I$2:$I$159,'WBS(基本設計)'!$E$2:$E$159,$B72,'WBS(基本設計)'!$N$2:$N$159,"対象")</f>
        <v>1.5</v>
      </c>
      <c r="D72" s="137">
        <f>SUMIF('WBS(詳細設計_製造)'!$D$2:$D$182,$B72,'WBS(詳細設計_製造)'!$G$2:$G$182)</f>
        <v>2</v>
      </c>
      <c r="E72" s="137">
        <f>SUMIF('WBS(詳細設計_製造)'!$D$2:$D$182,$B72,'WBS(詳細設計_製造)'!$H$2:$H$182)</f>
        <v>2</v>
      </c>
      <c r="F72" s="137">
        <f>SUMIF('WBS(テスト)'!$D$2:$D$95,$B72,'WBS(テスト)'!$G$2:$G$95)</f>
        <v>5</v>
      </c>
      <c r="G72" s="137">
        <f t="shared" si="1"/>
        <v>10.5</v>
      </c>
      <c r="H72" s="137">
        <f>COUNTIF('WBS(詳細設計_製造)'!$D$2:$D$182,$B72)+COUNTIF('WBS(テスト)'!$D$2:$D$95,$B72)</f>
        <v>3</v>
      </c>
    </row>
    <row r="73" spans="1:8">
      <c r="A73" t="s">
        <v>2153</v>
      </c>
      <c r="B73" t="s">
        <v>2186</v>
      </c>
      <c r="C73" s="137">
        <f>SUMIFS('WBS(基本設計)'!$I$2:$I$159,'WBS(基本設計)'!$E$2:$E$159,$B73,'WBS(基本設計)'!$N$2:$N$159,"対象")</f>
        <v>3.5</v>
      </c>
      <c r="D73" s="137">
        <f>SUMIF('WBS(詳細設計_製造)'!$D$2:$D$182,$B73,'WBS(詳細設計_製造)'!$G$2:$G$182)</f>
        <v>3</v>
      </c>
      <c r="E73" s="137">
        <f>SUMIF('WBS(詳細設計_製造)'!$D$2:$D$182,$B73,'WBS(詳細設計_製造)'!$H$2:$H$182)</f>
        <v>2</v>
      </c>
      <c r="F73" s="137">
        <f>SUMIF('WBS(テスト)'!$D$2:$D$95,$B73,'WBS(テスト)'!$G$2:$G$95)</f>
        <v>8</v>
      </c>
      <c r="G73" s="137">
        <f t="shared" si="1"/>
        <v>16.5</v>
      </c>
      <c r="H73" s="137">
        <f>COUNTIF('WBS(詳細設計_製造)'!$D$2:$D$182,$B73)+COUNTIF('WBS(テスト)'!$D$2:$D$95,$B73)</f>
        <v>3</v>
      </c>
    </row>
    <row r="74" spans="1:8">
      <c r="A74" t="s">
        <v>2153</v>
      </c>
      <c r="B74" t="s">
        <v>2189</v>
      </c>
      <c r="C74" s="137">
        <f>SUMIFS('WBS(基本設計)'!$I$2:$I$159,'WBS(基本設計)'!$E$2:$E$159,$B74,'WBS(基本設計)'!$N$2:$N$159,"対象")</f>
        <v>2</v>
      </c>
      <c r="D74" s="137">
        <f>SUMIF('WBS(詳細設計_製造)'!$D$2:$D$182,$B74,'WBS(詳細設計_製造)'!$G$2:$G$182)</f>
        <v>2</v>
      </c>
      <c r="E74" s="137">
        <f>SUMIF('WBS(詳細設計_製造)'!$D$2:$D$182,$B74,'WBS(詳細設計_製造)'!$H$2:$H$182)</f>
        <v>0</v>
      </c>
      <c r="F74" s="137">
        <f>SUMIF('WBS(テスト)'!$D$2:$D$95,$B74,'WBS(テスト)'!$G$2:$G$95)</f>
        <v>2</v>
      </c>
      <c r="G74" s="137">
        <f t="shared" si="1"/>
        <v>6</v>
      </c>
      <c r="H74" s="137">
        <f>COUNTIF('WBS(詳細設計_製造)'!$D$2:$D$182,$B74)+COUNTIF('WBS(テスト)'!$D$2:$D$95,$B74)</f>
        <v>2</v>
      </c>
    </row>
    <row r="75" spans="1:8">
      <c r="A75" t="s">
        <v>2153</v>
      </c>
      <c r="B75" t="s">
        <v>2188</v>
      </c>
      <c r="C75" s="137">
        <f>SUMIFS('WBS(基本設計)'!$I$2:$I$159,'WBS(基本設計)'!$E$2:$E$159,$B75,'WBS(基本設計)'!$N$2:$N$159,"対象")</f>
        <v>1.5</v>
      </c>
      <c r="D75" s="137">
        <f>SUMIF('WBS(詳細設計_製造)'!$D$2:$D$182,$B75,'WBS(詳細設計_製造)'!$G$2:$G$182)</f>
        <v>2</v>
      </c>
      <c r="E75" s="137">
        <f>SUMIF('WBS(詳細設計_製造)'!$D$2:$D$182,$B75,'WBS(詳細設計_製造)'!$H$2:$H$182)</f>
        <v>4</v>
      </c>
      <c r="F75" s="137">
        <f>SUMIF('WBS(テスト)'!$D$2:$D$95,$B75,'WBS(テスト)'!$G$2:$G$95)</f>
        <v>4</v>
      </c>
      <c r="G75" s="137">
        <f t="shared" si="1"/>
        <v>11.5</v>
      </c>
      <c r="H75" s="137">
        <f>COUNTIF('WBS(詳細設計_製造)'!$D$2:$D$182,$B75)+COUNTIF('WBS(テスト)'!$D$2:$D$95,$B75)</f>
        <v>3</v>
      </c>
    </row>
    <row r="76" spans="1:8">
      <c r="A76" t="s">
        <v>2155</v>
      </c>
      <c r="B76" t="s">
        <v>2184</v>
      </c>
      <c r="C76" s="137">
        <f>SUMIFS('WBS(基本設計)'!$I$2:$I$159,'WBS(基本設計)'!$E$2:$E$159,$B76,'WBS(基本設計)'!$N$2:$N$159,"対象")</f>
        <v>2.5</v>
      </c>
      <c r="D76" s="137">
        <f>SUMIF('WBS(詳細設計_製造)'!$D$2:$D$182,$B76,'WBS(詳細設計_製造)'!$G$2:$G$182)</f>
        <v>1.5</v>
      </c>
      <c r="E76" s="137">
        <f>SUMIF('WBS(詳細設計_製造)'!$D$2:$D$182,$B76,'WBS(詳細設計_製造)'!$H$2:$H$182)</f>
        <v>0</v>
      </c>
      <c r="F76" s="137">
        <f>SUMIF('WBS(テスト)'!$D$2:$D$95,$B76,'WBS(テスト)'!$G$2:$G$95)</f>
        <v>0</v>
      </c>
      <c r="G76" s="137">
        <f t="shared" si="1"/>
        <v>4</v>
      </c>
      <c r="H76" s="137">
        <f>COUNTIF('WBS(詳細設計_製造)'!$D$2:$D$182,$B76)+COUNTIF('WBS(テスト)'!$D$2:$D$95,$B76)</f>
        <v>1</v>
      </c>
    </row>
    <row r="77" spans="1:8">
      <c r="A77" t="s">
        <v>2155</v>
      </c>
      <c r="B77" t="s">
        <v>2190</v>
      </c>
      <c r="C77" s="137">
        <f>SUMIFS('WBS(基本設計)'!$I$2:$I$159,'WBS(基本設計)'!$E$2:$E$159,$B77,'WBS(基本設計)'!$N$2:$N$159,"対象")</f>
        <v>7</v>
      </c>
      <c r="D77" s="137">
        <f>SUMIF('WBS(詳細設計_製造)'!$D$2:$D$182,$B77,'WBS(詳細設計_製造)'!$G$2:$G$182)</f>
        <v>3</v>
      </c>
      <c r="E77" s="137">
        <f>SUMIF('WBS(詳細設計_製造)'!$D$2:$D$182,$B77,'WBS(詳細設計_製造)'!$H$2:$H$182)</f>
        <v>2</v>
      </c>
      <c r="F77" s="137">
        <f>SUMIF('WBS(テスト)'!$D$2:$D$95,$B77,'WBS(テスト)'!$G$2:$G$95)</f>
        <v>6</v>
      </c>
      <c r="G77" s="137">
        <f t="shared" si="1"/>
        <v>18</v>
      </c>
      <c r="H77" s="137">
        <f>COUNTIF('WBS(詳細設計_製造)'!$D$2:$D$182,$B77)+COUNTIF('WBS(テスト)'!$D$2:$D$95,$B77)</f>
        <v>3</v>
      </c>
    </row>
    <row r="78" spans="1:8">
      <c r="A78" t="s">
        <v>2155</v>
      </c>
      <c r="B78" t="s">
        <v>2205</v>
      </c>
      <c r="C78" s="137">
        <f>SUMIFS('WBS(基本設計)'!$I$2:$I$159,'WBS(基本設計)'!$E$2:$E$159,$B78,'WBS(基本設計)'!$N$2:$N$159,"対象")</f>
        <v>15</v>
      </c>
      <c r="D78" s="137">
        <f>SUMIF('WBS(詳細設計_製造)'!$D$2:$D$182,$B78,'WBS(詳細設計_製造)'!$G$2:$G$182)</f>
        <v>9</v>
      </c>
      <c r="E78" s="137">
        <f>SUMIF('WBS(詳細設計_製造)'!$D$2:$D$182,$B78,'WBS(詳細設計_製造)'!$H$2:$H$182)</f>
        <v>6</v>
      </c>
      <c r="F78" s="137">
        <f>SUMIF('WBS(テスト)'!$D$2:$D$95,$B78,'WBS(テスト)'!$G$2:$G$95)</f>
        <v>8</v>
      </c>
      <c r="G78" s="137">
        <f t="shared" si="1"/>
        <v>38</v>
      </c>
      <c r="H78" s="137">
        <f>COUNTIF('WBS(詳細設計_製造)'!$D$2:$D$182,$B78)+COUNTIF('WBS(テスト)'!$D$2:$D$95,$B78)</f>
        <v>3</v>
      </c>
    </row>
    <row r="79" spans="1:8">
      <c r="A79" t="s">
        <v>2156</v>
      </c>
      <c r="B79" t="s">
        <v>2209</v>
      </c>
      <c r="C79" s="137">
        <f>SUMIFS('WBS(基本設計)'!$I$2:$I$159,'WBS(基本設計)'!$E$2:$E$159,$B79,'WBS(基本設計)'!$N$2:$N$159,"対象")</f>
        <v>1</v>
      </c>
      <c r="D79" s="137">
        <f>SUMIF('WBS(詳細設計_製造)'!$D$2:$D$182,$B79,'WBS(詳細設計_製造)'!$G$2:$G$182)</f>
        <v>2</v>
      </c>
      <c r="E79" s="137">
        <f>SUMIF('WBS(詳細設計_製造)'!$D$2:$D$182,$B79,'WBS(詳細設計_製造)'!$H$2:$H$182)</f>
        <v>4</v>
      </c>
      <c r="F79" s="137">
        <f>SUMIF('WBS(テスト)'!$D$2:$D$95,$B79,'WBS(テスト)'!$G$2:$G$95)</f>
        <v>5</v>
      </c>
      <c r="G79" s="137">
        <f t="shared" si="1"/>
        <v>12</v>
      </c>
      <c r="H79" s="137">
        <f>COUNTIF('WBS(詳細設計_製造)'!$D$2:$D$182,$B79)+COUNTIF('WBS(テスト)'!$D$2:$D$95,$B79)</f>
        <v>3</v>
      </c>
    </row>
    <row r="80" spans="1:8">
      <c r="A80" t="s">
        <v>2156</v>
      </c>
      <c r="B80" t="s">
        <v>2207</v>
      </c>
      <c r="C80" s="137">
        <f>SUMIFS('WBS(基本設計)'!$I$2:$I$159,'WBS(基本設計)'!$E$2:$E$159,$B80,'WBS(基本設計)'!$N$2:$N$159,"対象")</f>
        <v>3</v>
      </c>
      <c r="D80" s="137">
        <f>SUMIF('WBS(詳細設計_製造)'!$D$2:$D$182,$B80,'WBS(詳細設計_製造)'!$G$2:$G$182)</f>
        <v>0</v>
      </c>
      <c r="E80" s="137">
        <f>SUMIF('WBS(詳細設計_製造)'!$D$2:$D$182,$B80,'WBS(詳細設計_製造)'!$H$2:$H$182)</f>
        <v>0</v>
      </c>
      <c r="F80" s="137">
        <f>SUMIF('WBS(テスト)'!$D$2:$D$95,$B80,'WBS(テスト)'!$G$2:$G$95)</f>
        <v>0</v>
      </c>
      <c r="G80" s="137">
        <f t="shared" si="1"/>
        <v>3</v>
      </c>
      <c r="H80" s="137">
        <f>COUNTIF('WBS(詳細設計_製造)'!$D$2:$D$182,$B80)+COUNTIF('WBS(テスト)'!$D$2:$D$95,$B80)</f>
        <v>0</v>
      </c>
    </row>
    <row r="81" spans="1:8">
      <c r="C81" s="137"/>
      <c r="D81" s="137"/>
      <c r="E81" s="137"/>
      <c r="F81" s="137"/>
      <c r="G81" s="137"/>
      <c r="H81" s="137"/>
    </row>
    <row r="82" spans="1:8">
      <c r="A82" s="2" t="s">
        <v>4</v>
      </c>
      <c r="B82" s="2"/>
      <c r="C82" s="138">
        <f>SUM(C2:C80)</f>
        <v>220.5</v>
      </c>
      <c r="D82" s="138">
        <f>SUM(D2:D80)</f>
        <v>184</v>
      </c>
      <c r="E82" s="138">
        <f>SUM(E2:E80)</f>
        <v>276.5</v>
      </c>
      <c r="F82" s="138">
        <f>SUM(F2:F80)</f>
        <v>345</v>
      </c>
      <c r="G82" s="138">
        <f>SUM(G2:G80)</f>
        <v>1026</v>
      </c>
      <c r="H82" s="138">
        <f>SUM(H2:H80)</f>
        <v>275</v>
      </c>
    </row>
    <row r="83" spans="1:8">
      <c r="C83" s="137"/>
      <c r="D83" s="137"/>
      <c r="E83" s="137"/>
      <c r="F83" s="137"/>
      <c r="G83" s="137"/>
      <c r="H83" s="137"/>
    </row>
    <row r="84" spans="1:8">
      <c r="C84" s="137"/>
      <c r="D84" s="137"/>
      <c r="E84" s="137"/>
      <c r="F84" s="137"/>
      <c r="G84" s="137"/>
      <c r="H84" s="137"/>
    </row>
    <row r="85" spans="1:8">
      <c r="C85" s="137"/>
      <c r="D85" s="137"/>
      <c r="E85" s="137"/>
      <c r="F85" s="137"/>
      <c r="G85" s="137"/>
      <c r="H85" s="137"/>
    </row>
    <row r="86" spans="1:8">
      <c r="A86" s="2"/>
      <c r="B86" s="2"/>
      <c r="C86" s="138"/>
      <c r="D86" s="138"/>
      <c r="E86" s="138"/>
      <c r="F86" s="138"/>
      <c r="G86" s="138"/>
      <c r="H86" s="138"/>
    </row>
  </sheetData>
  <autoFilter ref="A1:H80" xr:uid="{F7B7A54F-346E-3646-A1DA-7D48FBCA8819}"/>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13</vt:i4>
      </vt:variant>
    </vt:vector>
  </HeadingPairs>
  <TitlesOfParts>
    <vt:vector size="13" baseType="lpstr">
      <vt:lpstr>コスト見積もり</vt:lpstr>
      <vt:lpstr>設計決定一覧</vt:lpstr>
      <vt:lpstr>ADR一覧</vt:lpstr>
      <vt:lpstr>機能グループ一覧</vt:lpstr>
      <vt:lpstr>提供API一覧</vt:lpstr>
      <vt:lpstr>要件マッピング</vt:lpstr>
      <vt:lpstr>要件・機能対応表</vt:lpstr>
      <vt:lpstr>WBS(基本設計)</vt:lpstr>
      <vt:lpstr>WBS(詳細設計_製造)</vt:lpstr>
      <vt:lpstr>WBS(テスト)</vt:lpstr>
      <vt:lpstr>運用（定常）</vt:lpstr>
      <vt:lpstr>機能名一覧</vt:lpstr>
      <vt:lpstr>サマリ(工程別)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昌平 末永</dc:creator>
  <cp:lastModifiedBy>昌平 末永</cp:lastModifiedBy>
  <dcterms:created xsi:type="dcterms:W3CDTF">2026-08-10T06:54:40Z</dcterms:created>
  <dcterms:modified xsi:type="dcterms:W3CDTF">2026-09-16T02:44:57Z</dcterms:modified>
</cp:coreProperties>
</file>